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thesis/curves/crust_curves/single_curves_cyano/"/>
    </mc:Choice>
  </mc:AlternateContent>
  <xr:revisionPtr revIDLastSave="8" documentId="11_ACE07100460BD98DED5CFBBA7133EC5636358739" xr6:coauthVersionLast="47" xr6:coauthVersionMax="47" xr10:uidLastSave="{81BF7ADB-D961-D241-AFA0-3745218120AA}"/>
  <bookViews>
    <workbookView xWindow="240" yWindow="500" windowWidth="1610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" i="1"/>
  <c r="W168" i="1"/>
  <c r="V168" i="1"/>
  <c r="T168" i="1"/>
  <c r="S168" i="1"/>
  <c r="Q168" i="1" s="1"/>
  <c r="N168" i="1"/>
  <c r="M168" i="1"/>
  <c r="W167" i="1"/>
  <c r="V167" i="1"/>
  <c r="T167" i="1"/>
  <c r="S167" i="1"/>
  <c r="Q167" i="1" s="1"/>
  <c r="N167" i="1"/>
  <c r="M167" i="1"/>
  <c r="H167" i="1"/>
  <c r="W166" i="1"/>
  <c r="V166" i="1"/>
  <c r="T166" i="1"/>
  <c r="S166" i="1"/>
  <c r="Q166" i="1" s="1"/>
  <c r="R166" i="1" s="1"/>
  <c r="N166" i="1"/>
  <c r="M166" i="1"/>
  <c r="L166" i="1" s="1"/>
  <c r="W165" i="1"/>
  <c r="V165" i="1"/>
  <c r="T165" i="1"/>
  <c r="S165" i="1"/>
  <c r="Q165" i="1" s="1"/>
  <c r="N165" i="1"/>
  <c r="M165" i="1"/>
  <c r="H165" i="1"/>
  <c r="W164" i="1"/>
  <c r="V164" i="1"/>
  <c r="T164" i="1"/>
  <c r="S164" i="1"/>
  <c r="Q164" i="1" s="1"/>
  <c r="R164" i="1" s="1"/>
  <c r="N164" i="1"/>
  <c r="M164" i="1"/>
  <c r="W163" i="1"/>
  <c r="V163" i="1"/>
  <c r="T163" i="1"/>
  <c r="S163" i="1"/>
  <c r="Q163" i="1" s="1"/>
  <c r="N163" i="1"/>
  <c r="L163" i="1" s="1"/>
  <c r="M163" i="1"/>
  <c r="W162" i="1"/>
  <c r="V162" i="1"/>
  <c r="T162" i="1"/>
  <c r="U162" i="1" s="1"/>
  <c r="S162" i="1"/>
  <c r="Q162" i="1" s="1"/>
  <c r="N162" i="1"/>
  <c r="M162" i="1"/>
  <c r="W161" i="1"/>
  <c r="V161" i="1"/>
  <c r="T161" i="1"/>
  <c r="U161" i="1" s="1"/>
  <c r="S161" i="1"/>
  <c r="Q161" i="1" s="1"/>
  <c r="H161" i="1" s="1"/>
  <c r="N161" i="1"/>
  <c r="M161" i="1"/>
  <c r="W160" i="1"/>
  <c r="V160" i="1"/>
  <c r="T160" i="1"/>
  <c r="S160" i="1"/>
  <c r="Q160" i="1" s="1"/>
  <c r="R160" i="1" s="1"/>
  <c r="N160" i="1"/>
  <c r="M160" i="1"/>
  <c r="W159" i="1"/>
  <c r="V159" i="1"/>
  <c r="T159" i="1"/>
  <c r="S159" i="1"/>
  <c r="Q159" i="1" s="1"/>
  <c r="N159" i="1"/>
  <c r="M159" i="1"/>
  <c r="W158" i="1"/>
  <c r="V158" i="1"/>
  <c r="T158" i="1"/>
  <c r="S158" i="1"/>
  <c r="Q158" i="1" s="1"/>
  <c r="R158" i="1" s="1"/>
  <c r="N158" i="1"/>
  <c r="M158" i="1"/>
  <c r="W157" i="1"/>
  <c r="V157" i="1"/>
  <c r="T157" i="1"/>
  <c r="S157" i="1"/>
  <c r="Q157" i="1" s="1"/>
  <c r="N157" i="1"/>
  <c r="M157" i="1"/>
  <c r="W156" i="1"/>
  <c r="V156" i="1"/>
  <c r="T156" i="1"/>
  <c r="U156" i="1" s="1"/>
  <c r="S156" i="1"/>
  <c r="Q156" i="1" s="1"/>
  <c r="R156" i="1" s="1"/>
  <c r="N156" i="1"/>
  <c r="M156" i="1"/>
  <c r="W155" i="1"/>
  <c r="V155" i="1"/>
  <c r="T155" i="1"/>
  <c r="S155" i="1"/>
  <c r="Q155" i="1" s="1"/>
  <c r="N155" i="1"/>
  <c r="L155" i="1" s="1"/>
  <c r="M155" i="1"/>
  <c r="W154" i="1"/>
  <c r="V154" i="1"/>
  <c r="T154" i="1"/>
  <c r="U154" i="1" s="1"/>
  <c r="S154" i="1"/>
  <c r="Q154" i="1" s="1"/>
  <c r="N154" i="1"/>
  <c r="M154" i="1"/>
  <c r="W153" i="1"/>
  <c r="V153" i="1"/>
  <c r="T153" i="1"/>
  <c r="S153" i="1"/>
  <c r="Q153" i="1"/>
  <c r="N153" i="1"/>
  <c r="L153" i="1" s="1"/>
  <c r="M153" i="1"/>
  <c r="H153" i="1"/>
  <c r="W152" i="1"/>
  <c r="V152" i="1"/>
  <c r="T152" i="1"/>
  <c r="S152" i="1"/>
  <c r="Q152" i="1" s="1"/>
  <c r="K152" i="1" s="1"/>
  <c r="N152" i="1"/>
  <c r="M152" i="1"/>
  <c r="W151" i="1"/>
  <c r="V151" i="1"/>
  <c r="T151" i="1"/>
  <c r="S151" i="1"/>
  <c r="Q151" i="1"/>
  <c r="N151" i="1"/>
  <c r="M151" i="1"/>
  <c r="W150" i="1"/>
  <c r="V150" i="1"/>
  <c r="T150" i="1"/>
  <c r="S150" i="1"/>
  <c r="Q150" i="1" s="1"/>
  <c r="N150" i="1"/>
  <c r="M150" i="1"/>
  <c r="L150" i="1" s="1"/>
  <c r="W149" i="1"/>
  <c r="V149" i="1"/>
  <c r="T149" i="1"/>
  <c r="S149" i="1"/>
  <c r="Q149" i="1" s="1"/>
  <c r="K149" i="1" s="1"/>
  <c r="N149" i="1"/>
  <c r="M149" i="1"/>
  <c r="W148" i="1"/>
  <c r="V148" i="1"/>
  <c r="T148" i="1"/>
  <c r="S148" i="1"/>
  <c r="Q148" i="1" s="1"/>
  <c r="K148" i="1" s="1"/>
  <c r="N148" i="1"/>
  <c r="M148" i="1"/>
  <c r="L148" i="1" s="1"/>
  <c r="W147" i="1"/>
  <c r="V147" i="1"/>
  <c r="T147" i="1"/>
  <c r="S147" i="1"/>
  <c r="Q147" i="1" s="1"/>
  <c r="N147" i="1"/>
  <c r="M147" i="1"/>
  <c r="W146" i="1"/>
  <c r="V146" i="1"/>
  <c r="T146" i="1"/>
  <c r="S146" i="1"/>
  <c r="Q146" i="1" s="1"/>
  <c r="K146" i="1" s="1"/>
  <c r="N146" i="1"/>
  <c r="M146" i="1"/>
  <c r="L146" i="1" s="1"/>
  <c r="W145" i="1"/>
  <c r="V145" i="1"/>
  <c r="T145" i="1"/>
  <c r="S145" i="1"/>
  <c r="Q145" i="1" s="1"/>
  <c r="N145" i="1"/>
  <c r="M145" i="1"/>
  <c r="W144" i="1"/>
  <c r="V144" i="1"/>
  <c r="T144" i="1"/>
  <c r="S144" i="1"/>
  <c r="Q144" i="1" s="1"/>
  <c r="N144" i="1"/>
  <c r="M144" i="1"/>
  <c r="L144" i="1" s="1"/>
  <c r="W143" i="1"/>
  <c r="V143" i="1"/>
  <c r="T143" i="1"/>
  <c r="S143" i="1"/>
  <c r="Q143" i="1" s="1"/>
  <c r="H143" i="1" s="1"/>
  <c r="N143" i="1"/>
  <c r="M143" i="1"/>
  <c r="W142" i="1"/>
  <c r="V142" i="1"/>
  <c r="T142" i="1"/>
  <c r="S142" i="1"/>
  <c r="Q142" i="1" s="1"/>
  <c r="K142" i="1" s="1"/>
  <c r="N142" i="1"/>
  <c r="M142" i="1"/>
  <c r="W141" i="1"/>
  <c r="V141" i="1"/>
  <c r="T141" i="1"/>
  <c r="S141" i="1"/>
  <c r="Q141" i="1" s="1"/>
  <c r="N141" i="1"/>
  <c r="L141" i="1" s="1"/>
  <c r="M141" i="1"/>
  <c r="W140" i="1"/>
  <c r="V140" i="1"/>
  <c r="T140" i="1"/>
  <c r="S140" i="1"/>
  <c r="Q140" i="1" s="1"/>
  <c r="K140" i="1" s="1"/>
  <c r="N140" i="1"/>
  <c r="M140" i="1"/>
  <c r="W139" i="1"/>
  <c r="V139" i="1"/>
  <c r="T139" i="1"/>
  <c r="S139" i="1"/>
  <c r="Q139" i="1" s="1"/>
  <c r="N139" i="1"/>
  <c r="M139" i="1"/>
  <c r="W138" i="1"/>
  <c r="V138" i="1"/>
  <c r="T138" i="1"/>
  <c r="U138" i="1" s="1"/>
  <c r="S138" i="1"/>
  <c r="Q138" i="1" s="1"/>
  <c r="K138" i="1" s="1"/>
  <c r="N138" i="1"/>
  <c r="L138" i="1" s="1"/>
  <c r="M138" i="1"/>
  <c r="W137" i="1"/>
  <c r="V137" i="1"/>
  <c r="T137" i="1"/>
  <c r="S137" i="1"/>
  <c r="Q137" i="1" s="1"/>
  <c r="N137" i="1"/>
  <c r="L137" i="1" s="1"/>
  <c r="M137" i="1"/>
  <c r="W136" i="1"/>
  <c r="V136" i="1"/>
  <c r="T136" i="1"/>
  <c r="S136" i="1"/>
  <c r="Q136" i="1" s="1"/>
  <c r="N136" i="1"/>
  <c r="M136" i="1"/>
  <c r="L136" i="1" s="1"/>
  <c r="W135" i="1"/>
  <c r="V135" i="1"/>
  <c r="T135" i="1"/>
  <c r="S135" i="1"/>
  <c r="Q135" i="1"/>
  <c r="K135" i="1" s="1"/>
  <c r="N135" i="1"/>
  <c r="L135" i="1" s="1"/>
  <c r="M135" i="1"/>
  <c r="H135" i="1"/>
  <c r="W134" i="1"/>
  <c r="V134" i="1"/>
  <c r="T134" i="1"/>
  <c r="S134" i="1"/>
  <c r="Q134" i="1" s="1"/>
  <c r="H134" i="1" s="1"/>
  <c r="N134" i="1"/>
  <c r="M134" i="1"/>
  <c r="W133" i="1"/>
  <c r="V133" i="1"/>
  <c r="T133" i="1"/>
  <c r="S133" i="1"/>
  <c r="Q133" i="1" s="1"/>
  <c r="N133" i="1"/>
  <c r="M133" i="1"/>
  <c r="L133" i="1" s="1"/>
  <c r="W132" i="1"/>
  <c r="V132" i="1"/>
  <c r="T132" i="1"/>
  <c r="S132" i="1"/>
  <c r="Q132" i="1" s="1"/>
  <c r="K132" i="1" s="1"/>
  <c r="N132" i="1"/>
  <c r="M132" i="1"/>
  <c r="W131" i="1"/>
  <c r="V131" i="1"/>
  <c r="T131" i="1"/>
  <c r="S131" i="1"/>
  <c r="Q131" i="1" s="1"/>
  <c r="N131" i="1"/>
  <c r="M131" i="1"/>
  <c r="W130" i="1"/>
  <c r="V130" i="1"/>
  <c r="U130" i="1" s="1"/>
  <c r="T130" i="1"/>
  <c r="S130" i="1"/>
  <c r="Q130" i="1" s="1"/>
  <c r="R130" i="1" s="1"/>
  <c r="N130" i="1"/>
  <c r="M130" i="1"/>
  <c r="L130" i="1" s="1"/>
  <c r="K130" i="1"/>
  <c r="H130" i="1"/>
  <c r="W129" i="1"/>
  <c r="V129" i="1"/>
  <c r="T129" i="1"/>
  <c r="S129" i="1"/>
  <c r="Q129" i="1" s="1"/>
  <c r="H129" i="1" s="1"/>
  <c r="N129" i="1"/>
  <c r="M129" i="1"/>
  <c r="W128" i="1"/>
  <c r="V128" i="1"/>
  <c r="T128" i="1"/>
  <c r="S128" i="1"/>
  <c r="Q128" i="1" s="1"/>
  <c r="K128" i="1" s="1"/>
  <c r="N128" i="1"/>
  <c r="M128" i="1"/>
  <c r="L128" i="1" s="1"/>
  <c r="H128" i="1"/>
  <c r="W127" i="1"/>
  <c r="V127" i="1"/>
  <c r="T127" i="1"/>
  <c r="S127" i="1"/>
  <c r="Q127" i="1" s="1"/>
  <c r="N127" i="1"/>
  <c r="M127" i="1"/>
  <c r="W126" i="1"/>
  <c r="V126" i="1"/>
  <c r="T126" i="1"/>
  <c r="S126" i="1"/>
  <c r="Q126" i="1" s="1"/>
  <c r="K126" i="1" s="1"/>
  <c r="N126" i="1"/>
  <c r="M126" i="1"/>
  <c r="L126" i="1" s="1"/>
  <c r="H126" i="1"/>
  <c r="W125" i="1"/>
  <c r="V125" i="1"/>
  <c r="T125" i="1"/>
  <c r="S125" i="1"/>
  <c r="Q125" i="1" s="1"/>
  <c r="N125" i="1"/>
  <c r="M125" i="1"/>
  <c r="W124" i="1"/>
  <c r="V124" i="1"/>
  <c r="T124" i="1"/>
  <c r="S124" i="1"/>
  <c r="Q124" i="1" s="1"/>
  <c r="R124" i="1" s="1"/>
  <c r="N124" i="1"/>
  <c r="L124" i="1" s="1"/>
  <c r="M124" i="1"/>
  <c r="W123" i="1"/>
  <c r="V123" i="1"/>
  <c r="T123" i="1"/>
  <c r="S123" i="1"/>
  <c r="Q123" i="1" s="1"/>
  <c r="N123" i="1"/>
  <c r="M123" i="1"/>
  <c r="L123" i="1"/>
  <c r="W122" i="1"/>
  <c r="V122" i="1"/>
  <c r="T122" i="1"/>
  <c r="S122" i="1"/>
  <c r="Q122" i="1" s="1"/>
  <c r="N122" i="1"/>
  <c r="M122" i="1"/>
  <c r="W121" i="1"/>
  <c r="V121" i="1"/>
  <c r="T121" i="1"/>
  <c r="S121" i="1"/>
  <c r="Q121" i="1" s="1"/>
  <c r="N121" i="1"/>
  <c r="M121" i="1"/>
  <c r="W120" i="1"/>
  <c r="V120" i="1"/>
  <c r="T120" i="1"/>
  <c r="S120" i="1"/>
  <c r="Q120" i="1" s="1"/>
  <c r="N120" i="1"/>
  <c r="M120" i="1"/>
  <c r="W119" i="1"/>
  <c r="V119" i="1"/>
  <c r="T119" i="1"/>
  <c r="S119" i="1"/>
  <c r="Q119" i="1" s="1"/>
  <c r="N119" i="1"/>
  <c r="M119" i="1"/>
  <c r="L119" i="1" s="1"/>
  <c r="W118" i="1"/>
  <c r="V118" i="1"/>
  <c r="T118" i="1"/>
  <c r="S118" i="1"/>
  <c r="Q118" i="1" s="1"/>
  <c r="R118" i="1" s="1"/>
  <c r="N118" i="1"/>
  <c r="M118" i="1"/>
  <c r="W117" i="1"/>
  <c r="V117" i="1"/>
  <c r="T117" i="1"/>
  <c r="S117" i="1"/>
  <c r="Q117" i="1" s="1"/>
  <c r="K117" i="1" s="1"/>
  <c r="N117" i="1"/>
  <c r="M117" i="1"/>
  <c r="W116" i="1"/>
  <c r="V116" i="1"/>
  <c r="U116" i="1" s="1"/>
  <c r="T116" i="1"/>
  <c r="S116" i="1"/>
  <c r="Q116" i="1" s="1"/>
  <c r="H116" i="1" s="1"/>
  <c r="N116" i="1"/>
  <c r="M116" i="1"/>
  <c r="W115" i="1"/>
  <c r="V115" i="1"/>
  <c r="T115" i="1"/>
  <c r="S115" i="1"/>
  <c r="Q115" i="1" s="1"/>
  <c r="N115" i="1"/>
  <c r="M115" i="1"/>
  <c r="W114" i="1"/>
  <c r="V114" i="1"/>
  <c r="T114" i="1"/>
  <c r="S114" i="1"/>
  <c r="Q114" i="1" s="1"/>
  <c r="H114" i="1" s="1"/>
  <c r="N114" i="1"/>
  <c r="M114" i="1"/>
  <c r="L114" i="1"/>
  <c r="K114" i="1"/>
  <c r="W113" i="1"/>
  <c r="V113" i="1"/>
  <c r="T113" i="1"/>
  <c r="S113" i="1"/>
  <c r="Q113" i="1" s="1"/>
  <c r="H113" i="1" s="1"/>
  <c r="N113" i="1"/>
  <c r="M113" i="1"/>
  <c r="L113" i="1"/>
  <c r="W112" i="1"/>
  <c r="V112" i="1"/>
  <c r="T112" i="1"/>
  <c r="S112" i="1"/>
  <c r="Q112" i="1" s="1"/>
  <c r="N112" i="1"/>
  <c r="M112" i="1"/>
  <c r="W111" i="1"/>
  <c r="V111" i="1"/>
  <c r="U111" i="1" s="1"/>
  <c r="T111" i="1"/>
  <c r="S111" i="1"/>
  <c r="Q111" i="1" s="1"/>
  <c r="H111" i="1" s="1"/>
  <c r="N111" i="1"/>
  <c r="M111" i="1"/>
  <c r="W110" i="1"/>
  <c r="V110" i="1"/>
  <c r="T110" i="1"/>
  <c r="S110" i="1"/>
  <c r="Q110" i="1" s="1"/>
  <c r="H110" i="1" s="1"/>
  <c r="N110" i="1"/>
  <c r="M110" i="1"/>
  <c r="W109" i="1"/>
  <c r="V109" i="1"/>
  <c r="T109" i="1"/>
  <c r="U109" i="1" s="1"/>
  <c r="S109" i="1"/>
  <c r="Q109" i="1" s="1"/>
  <c r="H109" i="1" s="1"/>
  <c r="N109" i="1"/>
  <c r="M109" i="1"/>
  <c r="W108" i="1"/>
  <c r="V108" i="1"/>
  <c r="T108" i="1"/>
  <c r="S108" i="1"/>
  <c r="Q108" i="1" s="1"/>
  <c r="N108" i="1"/>
  <c r="M108" i="1"/>
  <c r="W107" i="1"/>
  <c r="V107" i="1"/>
  <c r="T107" i="1"/>
  <c r="S107" i="1"/>
  <c r="Q107" i="1" s="1"/>
  <c r="N107" i="1"/>
  <c r="M107" i="1"/>
  <c r="W106" i="1"/>
  <c r="V106" i="1"/>
  <c r="T106" i="1"/>
  <c r="S106" i="1"/>
  <c r="Q106" i="1" s="1"/>
  <c r="N106" i="1"/>
  <c r="M106" i="1"/>
  <c r="W105" i="1"/>
  <c r="V105" i="1"/>
  <c r="T105" i="1"/>
  <c r="U105" i="1" s="1"/>
  <c r="S105" i="1"/>
  <c r="Q105" i="1" s="1"/>
  <c r="K105" i="1" s="1"/>
  <c r="N105" i="1"/>
  <c r="M105" i="1"/>
  <c r="W104" i="1"/>
  <c r="V104" i="1"/>
  <c r="T104" i="1"/>
  <c r="S104" i="1"/>
  <c r="Q104" i="1" s="1"/>
  <c r="R104" i="1" s="1"/>
  <c r="N104" i="1"/>
  <c r="M104" i="1"/>
  <c r="L104" i="1" s="1"/>
  <c r="W103" i="1"/>
  <c r="V103" i="1"/>
  <c r="U103" i="1" s="1"/>
  <c r="T103" i="1"/>
  <c r="S103" i="1"/>
  <c r="Q103" i="1" s="1"/>
  <c r="R103" i="1" s="1"/>
  <c r="N103" i="1"/>
  <c r="M103" i="1"/>
  <c r="L103" i="1" s="1"/>
  <c r="W102" i="1"/>
  <c r="V102" i="1"/>
  <c r="T102" i="1"/>
  <c r="S102" i="1"/>
  <c r="Q102" i="1" s="1"/>
  <c r="N102" i="1"/>
  <c r="M102" i="1"/>
  <c r="W101" i="1"/>
  <c r="V101" i="1"/>
  <c r="T101" i="1"/>
  <c r="S101" i="1"/>
  <c r="Q101" i="1" s="1"/>
  <c r="H101" i="1" s="1"/>
  <c r="N101" i="1"/>
  <c r="M101" i="1"/>
  <c r="L101" i="1" s="1"/>
  <c r="W100" i="1"/>
  <c r="V100" i="1"/>
  <c r="T100" i="1"/>
  <c r="U100" i="1" s="1"/>
  <c r="S100" i="1"/>
  <c r="Q100" i="1" s="1"/>
  <c r="N100" i="1"/>
  <c r="M100" i="1"/>
  <c r="W99" i="1"/>
  <c r="V99" i="1"/>
  <c r="T99" i="1"/>
  <c r="S99" i="1"/>
  <c r="Q99" i="1" s="1"/>
  <c r="N99" i="1"/>
  <c r="M99" i="1"/>
  <c r="W98" i="1"/>
  <c r="V98" i="1"/>
  <c r="T98" i="1"/>
  <c r="S98" i="1"/>
  <c r="Q98" i="1" s="1"/>
  <c r="K98" i="1" s="1"/>
  <c r="N98" i="1"/>
  <c r="M98" i="1"/>
  <c r="W97" i="1"/>
  <c r="V97" i="1"/>
  <c r="T97" i="1"/>
  <c r="U97" i="1" s="1"/>
  <c r="S97" i="1"/>
  <c r="Q97" i="1" s="1"/>
  <c r="H97" i="1" s="1"/>
  <c r="N97" i="1"/>
  <c r="M97" i="1"/>
  <c r="W96" i="1"/>
  <c r="V96" i="1"/>
  <c r="T96" i="1"/>
  <c r="S96" i="1"/>
  <c r="Q96" i="1" s="1"/>
  <c r="R96" i="1" s="1"/>
  <c r="N96" i="1"/>
  <c r="M96" i="1"/>
  <c r="W95" i="1"/>
  <c r="V95" i="1"/>
  <c r="T95" i="1"/>
  <c r="S95" i="1"/>
  <c r="Q95" i="1" s="1"/>
  <c r="K95" i="1" s="1"/>
  <c r="N95" i="1"/>
  <c r="M95" i="1"/>
  <c r="W94" i="1"/>
  <c r="V94" i="1"/>
  <c r="T94" i="1"/>
  <c r="S94" i="1"/>
  <c r="Q94" i="1" s="1"/>
  <c r="H94" i="1" s="1"/>
  <c r="N94" i="1"/>
  <c r="M94" i="1"/>
  <c r="W93" i="1"/>
  <c r="V93" i="1"/>
  <c r="T93" i="1"/>
  <c r="S93" i="1"/>
  <c r="Q93" i="1" s="1"/>
  <c r="H93" i="1" s="1"/>
  <c r="N93" i="1"/>
  <c r="M93" i="1"/>
  <c r="W92" i="1"/>
  <c r="V92" i="1"/>
  <c r="T92" i="1"/>
  <c r="S92" i="1"/>
  <c r="Q92" i="1" s="1"/>
  <c r="N92" i="1"/>
  <c r="M92" i="1"/>
  <c r="W91" i="1"/>
  <c r="V91" i="1"/>
  <c r="T91" i="1"/>
  <c r="U91" i="1" s="1"/>
  <c r="S91" i="1"/>
  <c r="Q91" i="1" s="1"/>
  <c r="R91" i="1" s="1"/>
  <c r="N91" i="1"/>
  <c r="M91" i="1"/>
  <c r="W90" i="1"/>
  <c r="V90" i="1"/>
  <c r="T90" i="1"/>
  <c r="S90" i="1"/>
  <c r="Q90" i="1"/>
  <c r="K90" i="1" s="1"/>
  <c r="N90" i="1"/>
  <c r="M90" i="1"/>
  <c r="W89" i="1"/>
  <c r="V89" i="1"/>
  <c r="T89" i="1"/>
  <c r="S89" i="1"/>
  <c r="Q89" i="1" s="1"/>
  <c r="K89" i="1" s="1"/>
  <c r="N89" i="1"/>
  <c r="M89" i="1"/>
  <c r="W88" i="1"/>
  <c r="V88" i="1"/>
  <c r="T88" i="1"/>
  <c r="S88" i="1"/>
  <c r="Q88" i="1" s="1"/>
  <c r="K88" i="1" s="1"/>
  <c r="N88" i="1"/>
  <c r="M88" i="1"/>
  <c r="W87" i="1"/>
  <c r="V87" i="1"/>
  <c r="T87" i="1"/>
  <c r="S87" i="1"/>
  <c r="Q87" i="1" s="1"/>
  <c r="K87" i="1" s="1"/>
  <c r="N87" i="1"/>
  <c r="M87" i="1"/>
  <c r="W86" i="1"/>
  <c r="V86" i="1"/>
  <c r="T86" i="1"/>
  <c r="U86" i="1" s="1"/>
  <c r="S86" i="1"/>
  <c r="Q86" i="1" s="1"/>
  <c r="R86" i="1" s="1"/>
  <c r="N86" i="1"/>
  <c r="M86" i="1"/>
  <c r="W85" i="1"/>
  <c r="V85" i="1"/>
  <c r="U85" i="1" s="1"/>
  <c r="T85" i="1"/>
  <c r="S85" i="1"/>
  <c r="Q85" i="1" s="1"/>
  <c r="K85" i="1" s="1"/>
  <c r="N85" i="1"/>
  <c r="M85" i="1"/>
  <c r="W84" i="1"/>
  <c r="V84" i="1"/>
  <c r="T84" i="1"/>
  <c r="S84" i="1"/>
  <c r="Q84" i="1" s="1"/>
  <c r="H84" i="1" s="1"/>
  <c r="N84" i="1"/>
  <c r="M84" i="1"/>
  <c r="L84" i="1" s="1"/>
  <c r="W83" i="1"/>
  <c r="V83" i="1"/>
  <c r="T83" i="1"/>
  <c r="S83" i="1"/>
  <c r="Q83" i="1" s="1"/>
  <c r="R83" i="1" s="1"/>
  <c r="N83" i="1"/>
  <c r="M83" i="1"/>
  <c r="W82" i="1"/>
  <c r="V82" i="1"/>
  <c r="T82" i="1"/>
  <c r="S82" i="1"/>
  <c r="Q82" i="1" s="1"/>
  <c r="N82" i="1"/>
  <c r="M82" i="1"/>
  <c r="L82" i="1" s="1"/>
  <c r="W81" i="1"/>
  <c r="V81" i="1"/>
  <c r="T81" i="1"/>
  <c r="S81" i="1"/>
  <c r="Q81" i="1" s="1"/>
  <c r="R81" i="1" s="1"/>
  <c r="N81" i="1"/>
  <c r="M81" i="1"/>
  <c r="K81" i="1"/>
  <c r="H81" i="1"/>
  <c r="W80" i="1"/>
  <c r="V80" i="1"/>
  <c r="T80" i="1"/>
  <c r="S80" i="1"/>
  <c r="Q80" i="1" s="1"/>
  <c r="N80" i="1"/>
  <c r="M80" i="1"/>
  <c r="L80" i="1"/>
  <c r="W79" i="1"/>
  <c r="V79" i="1"/>
  <c r="U79" i="1" s="1"/>
  <c r="T79" i="1"/>
  <c r="S79" i="1"/>
  <c r="Q79" i="1" s="1"/>
  <c r="R79" i="1" s="1"/>
  <c r="N79" i="1"/>
  <c r="L79" i="1" s="1"/>
  <c r="M79" i="1"/>
  <c r="W78" i="1"/>
  <c r="V78" i="1"/>
  <c r="T78" i="1"/>
  <c r="S78" i="1"/>
  <c r="Q78" i="1" s="1"/>
  <c r="H78" i="1" s="1"/>
  <c r="N78" i="1"/>
  <c r="L78" i="1" s="1"/>
  <c r="M78" i="1"/>
  <c r="W77" i="1"/>
  <c r="V77" i="1"/>
  <c r="T77" i="1"/>
  <c r="S77" i="1"/>
  <c r="Q77" i="1" s="1"/>
  <c r="H77" i="1" s="1"/>
  <c r="N77" i="1"/>
  <c r="M77" i="1"/>
  <c r="W76" i="1"/>
  <c r="V76" i="1"/>
  <c r="T76" i="1"/>
  <c r="S76" i="1"/>
  <c r="Q76" i="1" s="1"/>
  <c r="N76" i="1"/>
  <c r="M76" i="1"/>
  <c r="W75" i="1"/>
  <c r="V75" i="1"/>
  <c r="T75" i="1"/>
  <c r="S75" i="1"/>
  <c r="Q75" i="1" s="1"/>
  <c r="R75" i="1" s="1"/>
  <c r="N75" i="1"/>
  <c r="M75" i="1"/>
  <c r="W74" i="1"/>
  <c r="V74" i="1"/>
  <c r="T74" i="1"/>
  <c r="U74" i="1" s="1"/>
  <c r="S74" i="1"/>
  <c r="Q74" i="1" s="1"/>
  <c r="R74" i="1" s="1"/>
  <c r="N74" i="1"/>
  <c r="M74" i="1"/>
  <c r="W73" i="1"/>
  <c r="V73" i="1"/>
  <c r="T73" i="1"/>
  <c r="S73" i="1"/>
  <c r="Q73" i="1" s="1"/>
  <c r="K73" i="1" s="1"/>
  <c r="N73" i="1"/>
  <c r="M73" i="1"/>
  <c r="W72" i="1"/>
  <c r="V72" i="1"/>
  <c r="T72" i="1"/>
  <c r="S72" i="1"/>
  <c r="Q72" i="1" s="1"/>
  <c r="N72" i="1"/>
  <c r="M72" i="1"/>
  <c r="L72" i="1" s="1"/>
  <c r="W71" i="1"/>
  <c r="V71" i="1"/>
  <c r="T71" i="1"/>
  <c r="S71" i="1"/>
  <c r="Q71" i="1" s="1"/>
  <c r="H71" i="1" s="1"/>
  <c r="N71" i="1"/>
  <c r="M71" i="1"/>
  <c r="W70" i="1"/>
  <c r="V70" i="1"/>
  <c r="T70" i="1"/>
  <c r="S70" i="1"/>
  <c r="Q70" i="1" s="1"/>
  <c r="R70" i="1" s="1"/>
  <c r="N70" i="1"/>
  <c r="M70" i="1"/>
  <c r="W69" i="1"/>
  <c r="V69" i="1"/>
  <c r="T69" i="1"/>
  <c r="S69" i="1"/>
  <c r="Q69" i="1" s="1"/>
  <c r="K69" i="1" s="1"/>
  <c r="N69" i="1"/>
  <c r="M69" i="1"/>
  <c r="W68" i="1"/>
  <c r="V68" i="1"/>
  <c r="T68" i="1"/>
  <c r="S68" i="1"/>
  <c r="Q68" i="1" s="1"/>
  <c r="N68" i="1"/>
  <c r="M68" i="1"/>
  <c r="L68" i="1" s="1"/>
  <c r="W67" i="1"/>
  <c r="V67" i="1"/>
  <c r="T67" i="1"/>
  <c r="S67" i="1"/>
  <c r="Q67" i="1" s="1"/>
  <c r="H67" i="1" s="1"/>
  <c r="N67" i="1"/>
  <c r="M67" i="1"/>
  <c r="W66" i="1"/>
  <c r="V66" i="1"/>
  <c r="T66" i="1"/>
  <c r="S66" i="1"/>
  <c r="Q66" i="1"/>
  <c r="R66" i="1" s="1"/>
  <c r="N66" i="1"/>
  <c r="L66" i="1" s="1"/>
  <c r="M66" i="1"/>
  <c r="W65" i="1"/>
  <c r="V65" i="1"/>
  <c r="T65" i="1"/>
  <c r="S65" i="1"/>
  <c r="Q65" i="1" s="1"/>
  <c r="K65" i="1" s="1"/>
  <c r="N65" i="1"/>
  <c r="M65" i="1"/>
  <c r="L65" i="1" s="1"/>
  <c r="W64" i="1"/>
  <c r="V64" i="1"/>
  <c r="T64" i="1"/>
  <c r="S64" i="1"/>
  <c r="Q64" i="1" s="1"/>
  <c r="N64" i="1"/>
  <c r="M64" i="1"/>
  <c r="L64" i="1"/>
  <c r="W63" i="1"/>
  <c r="V63" i="1"/>
  <c r="T63" i="1"/>
  <c r="S63" i="1"/>
  <c r="Q63" i="1" s="1"/>
  <c r="H63" i="1" s="1"/>
  <c r="N63" i="1"/>
  <c r="M63" i="1"/>
  <c r="L63" i="1" s="1"/>
  <c r="K63" i="1"/>
  <c r="W62" i="1"/>
  <c r="V62" i="1"/>
  <c r="T62" i="1"/>
  <c r="S62" i="1"/>
  <c r="Q62" i="1" s="1"/>
  <c r="R62" i="1" s="1"/>
  <c r="N62" i="1"/>
  <c r="M62" i="1"/>
  <c r="W61" i="1"/>
  <c r="V61" i="1"/>
  <c r="T61" i="1"/>
  <c r="S61" i="1"/>
  <c r="Q61" i="1" s="1"/>
  <c r="K61" i="1" s="1"/>
  <c r="N61" i="1"/>
  <c r="M61" i="1"/>
  <c r="L61" i="1" s="1"/>
  <c r="W60" i="1"/>
  <c r="V60" i="1"/>
  <c r="T60" i="1"/>
  <c r="S60" i="1"/>
  <c r="Q60" i="1" s="1"/>
  <c r="N60" i="1"/>
  <c r="M60" i="1"/>
  <c r="L60" i="1" s="1"/>
  <c r="W59" i="1"/>
  <c r="V59" i="1"/>
  <c r="T59" i="1"/>
  <c r="S59" i="1"/>
  <c r="Q59" i="1" s="1"/>
  <c r="H59" i="1" s="1"/>
  <c r="N59" i="1"/>
  <c r="M59" i="1"/>
  <c r="W58" i="1"/>
  <c r="V58" i="1"/>
  <c r="T58" i="1"/>
  <c r="S58" i="1"/>
  <c r="Q58" i="1" s="1"/>
  <c r="R58" i="1" s="1"/>
  <c r="N58" i="1"/>
  <c r="M58" i="1"/>
  <c r="W57" i="1"/>
  <c r="V57" i="1"/>
  <c r="T57" i="1"/>
  <c r="S57" i="1"/>
  <c r="Q57" i="1" s="1"/>
  <c r="K57" i="1" s="1"/>
  <c r="N57" i="1"/>
  <c r="M57" i="1"/>
  <c r="L57" i="1" s="1"/>
  <c r="W56" i="1"/>
  <c r="V56" i="1"/>
  <c r="T56" i="1"/>
  <c r="S56" i="1"/>
  <c r="Q56" i="1" s="1"/>
  <c r="N56" i="1"/>
  <c r="M56" i="1"/>
  <c r="L56" i="1" s="1"/>
  <c r="W55" i="1"/>
  <c r="V55" i="1"/>
  <c r="T55" i="1"/>
  <c r="S55" i="1"/>
  <c r="Q55" i="1" s="1"/>
  <c r="H55" i="1" s="1"/>
  <c r="N55" i="1"/>
  <c r="M55" i="1"/>
  <c r="L55" i="1" s="1"/>
  <c r="W54" i="1"/>
  <c r="V54" i="1"/>
  <c r="T54" i="1"/>
  <c r="S54" i="1"/>
  <c r="Q54" i="1" s="1"/>
  <c r="N54" i="1"/>
  <c r="M54" i="1"/>
  <c r="W53" i="1"/>
  <c r="V53" i="1"/>
  <c r="T53" i="1"/>
  <c r="S53" i="1"/>
  <c r="Q53" i="1" s="1"/>
  <c r="R53" i="1" s="1"/>
  <c r="N53" i="1"/>
  <c r="M53" i="1"/>
  <c r="W52" i="1"/>
  <c r="V52" i="1"/>
  <c r="T52" i="1"/>
  <c r="S52" i="1"/>
  <c r="Q52" i="1" s="1"/>
  <c r="N52" i="1"/>
  <c r="M52" i="1"/>
  <c r="W51" i="1"/>
  <c r="V51" i="1"/>
  <c r="T51" i="1"/>
  <c r="S51" i="1"/>
  <c r="Q51" i="1" s="1"/>
  <c r="K51" i="1" s="1"/>
  <c r="N51" i="1"/>
  <c r="M51" i="1"/>
  <c r="H51" i="1"/>
  <c r="W50" i="1"/>
  <c r="V50" i="1"/>
  <c r="T50" i="1"/>
  <c r="U50" i="1" s="1"/>
  <c r="S50" i="1"/>
  <c r="Q50" i="1" s="1"/>
  <c r="N50" i="1"/>
  <c r="M50" i="1"/>
  <c r="L50" i="1" s="1"/>
  <c r="W49" i="1"/>
  <c r="V49" i="1"/>
  <c r="T49" i="1"/>
  <c r="S49" i="1"/>
  <c r="Q49" i="1" s="1"/>
  <c r="K49" i="1" s="1"/>
  <c r="R49" i="1"/>
  <c r="N49" i="1"/>
  <c r="L49" i="1" s="1"/>
  <c r="M49" i="1"/>
  <c r="W48" i="1"/>
  <c r="V48" i="1"/>
  <c r="T48" i="1"/>
  <c r="S48" i="1"/>
  <c r="Q48" i="1" s="1"/>
  <c r="K48" i="1" s="1"/>
  <c r="N48" i="1"/>
  <c r="M48" i="1"/>
  <c r="W47" i="1"/>
  <c r="V47" i="1"/>
  <c r="T47" i="1"/>
  <c r="U47" i="1" s="1"/>
  <c r="S47" i="1"/>
  <c r="Q47" i="1" s="1"/>
  <c r="K47" i="1" s="1"/>
  <c r="N47" i="1"/>
  <c r="L47" i="1" s="1"/>
  <c r="M47" i="1"/>
  <c r="W46" i="1"/>
  <c r="V46" i="1"/>
  <c r="T46" i="1"/>
  <c r="S46" i="1"/>
  <c r="Q46" i="1"/>
  <c r="R46" i="1" s="1"/>
  <c r="N46" i="1"/>
  <c r="L46" i="1" s="1"/>
  <c r="M46" i="1"/>
  <c r="W45" i="1"/>
  <c r="V45" i="1"/>
  <c r="T45" i="1"/>
  <c r="U45" i="1" s="1"/>
  <c r="S45" i="1"/>
  <c r="Q45" i="1" s="1"/>
  <c r="N45" i="1"/>
  <c r="M45" i="1"/>
  <c r="W44" i="1"/>
  <c r="V44" i="1"/>
  <c r="T44" i="1"/>
  <c r="S44" i="1"/>
  <c r="Q44" i="1" s="1"/>
  <c r="N44" i="1"/>
  <c r="M44" i="1"/>
  <c r="L44" i="1" s="1"/>
  <c r="W43" i="1"/>
  <c r="V43" i="1"/>
  <c r="U43" i="1" s="1"/>
  <c r="T43" i="1"/>
  <c r="S43" i="1"/>
  <c r="Q43" i="1" s="1"/>
  <c r="K43" i="1" s="1"/>
  <c r="N43" i="1"/>
  <c r="M43" i="1"/>
  <c r="W42" i="1"/>
  <c r="V42" i="1"/>
  <c r="T42" i="1"/>
  <c r="S42" i="1"/>
  <c r="Q42" i="1" s="1"/>
  <c r="N42" i="1"/>
  <c r="M42" i="1"/>
  <c r="L42" i="1" s="1"/>
  <c r="W41" i="1"/>
  <c r="V41" i="1"/>
  <c r="T41" i="1"/>
  <c r="S41" i="1"/>
  <c r="Q41" i="1" s="1"/>
  <c r="K41" i="1" s="1"/>
  <c r="N41" i="1"/>
  <c r="L41" i="1" s="1"/>
  <c r="M41" i="1"/>
  <c r="W40" i="1"/>
  <c r="V40" i="1"/>
  <c r="T40" i="1"/>
  <c r="S40" i="1"/>
  <c r="Q40" i="1" s="1"/>
  <c r="R40" i="1" s="1"/>
  <c r="N40" i="1"/>
  <c r="M40" i="1"/>
  <c r="L40" i="1" s="1"/>
  <c r="W39" i="1"/>
  <c r="V39" i="1"/>
  <c r="T39" i="1"/>
  <c r="U39" i="1" s="1"/>
  <c r="S39" i="1"/>
  <c r="Q39" i="1" s="1"/>
  <c r="N39" i="1"/>
  <c r="M39" i="1"/>
  <c r="W38" i="1"/>
  <c r="V38" i="1"/>
  <c r="T38" i="1"/>
  <c r="S38" i="1"/>
  <c r="Q38" i="1"/>
  <c r="R38" i="1" s="1"/>
  <c r="N38" i="1"/>
  <c r="L38" i="1" s="1"/>
  <c r="M38" i="1"/>
  <c r="W37" i="1"/>
  <c r="V37" i="1"/>
  <c r="T37" i="1"/>
  <c r="U37" i="1" s="1"/>
  <c r="S37" i="1"/>
  <c r="Q37" i="1" s="1"/>
  <c r="N37" i="1"/>
  <c r="M37" i="1"/>
  <c r="W36" i="1"/>
  <c r="V36" i="1"/>
  <c r="T36" i="1"/>
  <c r="S36" i="1"/>
  <c r="Q36" i="1" s="1"/>
  <c r="N36" i="1"/>
  <c r="M36" i="1"/>
  <c r="L36" i="1" s="1"/>
  <c r="W35" i="1"/>
  <c r="V35" i="1"/>
  <c r="T35" i="1"/>
  <c r="S35" i="1"/>
  <c r="Q35" i="1" s="1"/>
  <c r="K35" i="1" s="1"/>
  <c r="N35" i="1"/>
  <c r="M35" i="1"/>
  <c r="L35" i="1" s="1"/>
  <c r="W34" i="1"/>
  <c r="V34" i="1"/>
  <c r="T34" i="1"/>
  <c r="S34" i="1"/>
  <c r="Q34" i="1"/>
  <c r="R34" i="1" s="1"/>
  <c r="N34" i="1"/>
  <c r="L34" i="1" s="1"/>
  <c r="M34" i="1"/>
  <c r="W33" i="1"/>
  <c r="V33" i="1"/>
  <c r="T33" i="1"/>
  <c r="U33" i="1" s="1"/>
  <c r="S33" i="1"/>
  <c r="Q33" i="1"/>
  <c r="K33" i="1" s="1"/>
  <c r="N33" i="1"/>
  <c r="M33" i="1"/>
  <c r="W32" i="1"/>
  <c r="V32" i="1"/>
  <c r="T32" i="1"/>
  <c r="S32" i="1"/>
  <c r="Q32" i="1"/>
  <c r="R32" i="1" s="1"/>
  <c r="N32" i="1"/>
  <c r="M32" i="1"/>
  <c r="W31" i="1"/>
  <c r="V31" i="1"/>
  <c r="T31" i="1"/>
  <c r="U31" i="1" s="1"/>
  <c r="S31" i="1"/>
  <c r="Q31" i="1" s="1"/>
  <c r="N31" i="1"/>
  <c r="M31" i="1"/>
  <c r="L31" i="1" s="1"/>
  <c r="W30" i="1"/>
  <c r="V30" i="1"/>
  <c r="T30" i="1"/>
  <c r="S30" i="1"/>
  <c r="Q30" i="1"/>
  <c r="R30" i="1" s="1"/>
  <c r="N30" i="1"/>
  <c r="M30" i="1"/>
  <c r="W29" i="1"/>
  <c r="V29" i="1"/>
  <c r="T29" i="1"/>
  <c r="S29" i="1"/>
  <c r="Q29" i="1" s="1"/>
  <c r="N29" i="1"/>
  <c r="M29" i="1"/>
  <c r="L29" i="1" s="1"/>
  <c r="W28" i="1"/>
  <c r="V28" i="1"/>
  <c r="T28" i="1"/>
  <c r="S28" i="1"/>
  <c r="Q28" i="1" s="1"/>
  <c r="N28" i="1"/>
  <c r="M28" i="1"/>
  <c r="L28" i="1" s="1"/>
  <c r="W27" i="1"/>
  <c r="V27" i="1"/>
  <c r="T27" i="1"/>
  <c r="S27" i="1"/>
  <c r="Q27" i="1"/>
  <c r="K27" i="1" s="1"/>
  <c r="N27" i="1"/>
  <c r="M27" i="1"/>
  <c r="L27" i="1" s="1"/>
  <c r="W26" i="1"/>
  <c r="V26" i="1"/>
  <c r="T26" i="1"/>
  <c r="S26" i="1"/>
  <c r="Q26" i="1"/>
  <c r="R26" i="1" s="1"/>
  <c r="N26" i="1"/>
  <c r="L26" i="1" s="1"/>
  <c r="M26" i="1"/>
  <c r="W25" i="1"/>
  <c r="V25" i="1"/>
  <c r="T25" i="1"/>
  <c r="U25" i="1" s="1"/>
  <c r="S25" i="1"/>
  <c r="Q25" i="1"/>
  <c r="K25" i="1" s="1"/>
  <c r="N25" i="1"/>
  <c r="M25" i="1"/>
  <c r="W24" i="1"/>
  <c r="V24" i="1"/>
  <c r="T24" i="1"/>
  <c r="S24" i="1"/>
  <c r="Q24" i="1"/>
  <c r="R24" i="1" s="1"/>
  <c r="N24" i="1"/>
  <c r="M24" i="1"/>
  <c r="W23" i="1"/>
  <c r="V23" i="1"/>
  <c r="T23" i="1"/>
  <c r="U23" i="1" s="1"/>
  <c r="S23" i="1"/>
  <c r="Q23" i="1" s="1"/>
  <c r="N23" i="1"/>
  <c r="M23" i="1"/>
  <c r="L23" i="1" s="1"/>
  <c r="W22" i="1"/>
  <c r="V22" i="1"/>
  <c r="T22" i="1"/>
  <c r="U22" i="1" s="1"/>
  <c r="S22" i="1"/>
  <c r="Q22" i="1" s="1"/>
  <c r="N22" i="1"/>
  <c r="M22" i="1"/>
  <c r="L22" i="1" s="1"/>
  <c r="W21" i="1"/>
  <c r="V21" i="1"/>
  <c r="T21" i="1"/>
  <c r="U21" i="1" s="1"/>
  <c r="S21" i="1"/>
  <c r="Q21" i="1" s="1"/>
  <c r="N21" i="1"/>
  <c r="M21" i="1"/>
  <c r="W20" i="1"/>
  <c r="V20" i="1"/>
  <c r="T20" i="1"/>
  <c r="U20" i="1" s="1"/>
  <c r="S20" i="1"/>
  <c r="Q20" i="1" s="1"/>
  <c r="N20" i="1"/>
  <c r="M20" i="1"/>
  <c r="W19" i="1"/>
  <c r="V19" i="1"/>
  <c r="T19" i="1"/>
  <c r="S19" i="1"/>
  <c r="Q19" i="1" s="1"/>
  <c r="N19" i="1"/>
  <c r="M19" i="1"/>
  <c r="L19" i="1" s="1"/>
  <c r="W18" i="1"/>
  <c r="V18" i="1"/>
  <c r="T18" i="1"/>
  <c r="U18" i="1" s="1"/>
  <c r="S18" i="1"/>
  <c r="Q18" i="1" s="1"/>
  <c r="N18" i="1"/>
  <c r="M18" i="1"/>
  <c r="W17" i="1"/>
  <c r="V17" i="1"/>
  <c r="T17" i="1"/>
  <c r="U17" i="1" s="1"/>
  <c r="S17" i="1"/>
  <c r="Q17" i="1" s="1"/>
  <c r="N17" i="1"/>
  <c r="M17" i="1"/>
  <c r="W16" i="1"/>
  <c r="V16" i="1"/>
  <c r="T16" i="1"/>
  <c r="U16" i="1" s="1"/>
  <c r="S16" i="1"/>
  <c r="Q16" i="1" s="1"/>
  <c r="N16" i="1"/>
  <c r="L16" i="1" s="1"/>
  <c r="M16" i="1"/>
  <c r="R42" i="1" l="1"/>
  <c r="K42" i="1"/>
  <c r="L59" i="1"/>
  <c r="U62" i="1"/>
  <c r="U63" i="1"/>
  <c r="U71" i="1"/>
  <c r="R89" i="1"/>
  <c r="L93" i="1"/>
  <c r="U95" i="1"/>
  <c r="L97" i="1"/>
  <c r="L98" i="1"/>
  <c r="K103" i="1"/>
  <c r="L106" i="1"/>
  <c r="U107" i="1"/>
  <c r="U112" i="1"/>
  <c r="H117" i="1"/>
  <c r="K118" i="1"/>
  <c r="R126" i="1"/>
  <c r="U148" i="1"/>
  <c r="L160" i="1"/>
  <c r="L52" i="1"/>
  <c r="U61" i="1"/>
  <c r="U69" i="1"/>
  <c r="U70" i="1"/>
  <c r="U75" i="1"/>
  <c r="U94" i="1"/>
  <c r="U99" i="1"/>
  <c r="L109" i="1"/>
  <c r="K116" i="1"/>
  <c r="L117" i="1"/>
  <c r="L118" i="1"/>
  <c r="L131" i="1"/>
  <c r="U134" i="1"/>
  <c r="U143" i="1"/>
  <c r="U41" i="1"/>
  <c r="U48" i="1"/>
  <c r="U53" i="1"/>
  <c r="R67" i="1"/>
  <c r="L73" i="1"/>
  <c r="L77" i="1"/>
  <c r="U89" i="1"/>
  <c r="L116" i="1"/>
  <c r="R132" i="1"/>
  <c r="L145" i="1"/>
  <c r="L149" i="1"/>
  <c r="L159" i="1"/>
  <c r="U27" i="1"/>
  <c r="L30" i="1"/>
  <c r="U35" i="1"/>
  <c r="U160" i="1"/>
  <c r="U26" i="1"/>
  <c r="U34" i="1"/>
  <c r="U42" i="1"/>
  <c r="L121" i="1"/>
  <c r="U124" i="1"/>
  <c r="U150" i="1"/>
  <c r="L167" i="1"/>
  <c r="L18" i="1"/>
  <c r="L21" i="1"/>
  <c r="K26" i="1"/>
  <c r="K34" i="1"/>
  <c r="L62" i="1"/>
  <c r="L70" i="1"/>
  <c r="U73" i="1"/>
  <c r="L85" i="1"/>
  <c r="L90" i="1"/>
  <c r="U92" i="1"/>
  <c r="U96" i="1"/>
  <c r="L100" i="1"/>
  <c r="L107" i="1"/>
  <c r="L112" i="1"/>
  <c r="U118" i="1"/>
  <c r="L127" i="1"/>
  <c r="U132" i="1"/>
  <c r="U137" i="1"/>
  <c r="L140" i="1"/>
  <c r="U155" i="1"/>
  <c r="U168" i="1"/>
  <c r="U51" i="1"/>
  <c r="U55" i="1"/>
  <c r="R63" i="1"/>
  <c r="L69" i="1"/>
  <c r="R71" i="1"/>
  <c r="U108" i="1"/>
  <c r="K111" i="1"/>
  <c r="R114" i="1"/>
  <c r="H124" i="1"/>
  <c r="L125" i="1"/>
  <c r="L143" i="1"/>
  <c r="L152" i="1"/>
  <c r="L161" i="1"/>
  <c r="L24" i="1"/>
  <c r="U29" i="1"/>
  <c r="L32" i="1"/>
  <c r="K59" i="1"/>
  <c r="H103" i="1"/>
  <c r="H105" i="1"/>
  <c r="H118" i="1"/>
  <c r="K124" i="1"/>
  <c r="H132" i="1"/>
  <c r="L165" i="1"/>
  <c r="R28" i="1"/>
  <c r="K28" i="1"/>
  <c r="R36" i="1"/>
  <c r="K36" i="1"/>
  <c r="R44" i="1"/>
  <c r="K44" i="1"/>
  <c r="K106" i="1"/>
  <c r="H106" i="1"/>
  <c r="R106" i="1"/>
  <c r="K52" i="1"/>
  <c r="H52" i="1"/>
  <c r="R52" i="1"/>
  <c r="K82" i="1"/>
  <c r="H82" i="1"/>
  <c r="K108" i="1"/>
  <c r="R108" i="1"/>
  <c r="K29" i="1"/>
  <c r="R29" i="1"/>
  <c r="K37" i="1"/>
  <c r="R37" i="1"/>
  <c r="K45" i="1"/>
  <c r="R45" i="1"/>
  <c r="K76" i="1"/>
  <c r="H76" i="1"/>
  <c r="K23" i="1"/>
  <c r="R23" i="1"/>
  <c r="K31" i="1"/>
  <c r="R31" i="1"/>
  <c r="K39" i="1"/>
  <c r="R39" i="1"/>
  <c r="K54" i="1"/>
  <c r="R54" i="1"/>
  <c r="U36" i="1"/>
  <c r="U44" i="1"/>
  <c r="L20" i="1"/>
  <c r="U38" i="1"/>
  <c r="H49" i="1"/>
  <c r="L58" i="1"/>
  <c r="H95" i="1"/>
  <c r="L17" i="1"/>
  <c r="U19" i="1"/>
  <c r="L25" i="1"/>
  <c r="L33" i="1"/>
  <c r="U57" i="1"/>
  <c r="K67" i="1"/>
  <c r="L71" i="1"/>
  <c r="R77" i="1"/>
  <c r="U80" i="1"/>
  <c r="L91" i="1"/>
  <c r="R93" i="1"/>
  <c r="R95" i="1"/>
  <c r="R97" i="1"/>
  <c r="U101" i="1"/>
  <c r="U110" i="1"/>
  <c r="U123" i="1"/>
  <c r="U126" i="1"/>
  <c r="R148" i="1"/>
  <c r="R149" i="1"/>
  <c r="L162" i="1"/>
  <c r="L67" i="1"/>
  <c r="U81" i="1"/>
  <c r="U83" i="1"/>
  <c r="R87" i="1"/>
  <c r="R88" i="1"/>
  <c r="U104" i="1"/>
  <c r="L120" i="1"/>
  <c r="U122" i="1"/>
  <c r="R140" i="1"/>
  <c r="R142" i="1"/>
  <c r="U158" i="1"/>
  <c r="U164" i="1"/>
  <c r="R98" i="1"/>
  <c r="U139" i="1"/>
  <c r="U145" i="1"/>
  <c r="R146" i="1"/>
  <c r="U147" i="1"/>
  <c r="L154" i="1"/>
  <c r="U157" i="1"/>
  <c r="U163" i="1"/>
  <c r="L168" i="1"/>
  <c r="R90" i="1"/>
  <c r="L134" i="1"/>
  <c r="U140" i="1"/>
  <c r="U141" i="1"/>
  <c r="U142" i="1"/>
  <c r="U144" i="1"/>
  <c r="U30" i="1"/>
  <c r="K93" i="1"/>
  <c r="L43" i="1"/>
  <c r="R27" i="1"/>
  <c r="K30" i="1"/>
  <c r="R35" i="1"/>
  <c r="L37" i="1"/>
  <c r="K38" i="1"/>
  <c r="R43" i="1"/>
  <c r="L45" i="1"/>
  <c r="K46" i="1"/>
  <c r="L48" i="1"/>
  <c r="L51" i="1"/>
  <c r="U65" i="1"/>
  <c r="U66" i="1"/>
  <c r="U67" i="1"/>
  <c r="K77" i="1"/>
  <c r="L81" i="1"/>
  <c r="L83" i="1"/>
  <c r="H87" i="1"/>
  <c r="L96" i="1"/>
  <c r="K97" i="1"/>
  <c r="L111" i="1"/>
  <c r="R116" i="1"/>
  <c r="R117" i="1"/>
  <c r="R128" i="1"/>
  <c r="H140" i="1"/>
  <c r="H146" i="1"/>
  <c r="U146" i="1"/>
  <c r="H148" i="1"/>
  <c r="L151" i="1"/>
  <c r="U28" i="1"/>
  <c r="R41" i="1"/>
  <c r="U49" i="1"/>
  <c r="U24" i="1"/>
  <c r="U40" i="1"/>
  <c r="H53" i="1"/>
  <c r="K75" i="1"/>
  <c r="H88" i="1"/>
  <c r="H89" i="1"/>
  <c r="R135" i="1"/>
  <c r="H142" i="1"/>
  <c r="R25" i="1"/>
  <c r="R33" i="1"/>
  <c r="U87" i="1"/>
  <c r="U32" i="1"/>
  <c r="K24" i="1"/>
  <c r="K32" i="1"/>
  <c r="L39" i="1"/>
  <c r="K40" i="1"/>
  <c r="R51" i="1"/>
  <c r="L53" i="1"/>
  <c r="L54" i="1"/>
  <c r="U59" i="1"/>
  <c r="K71" i="1"/>
  <c r="L74" i="1"/>
  <c r="L75" i="1"/>
  <c r="L76" i="1"/>
  <c r="L87" i="1"/>
  <c r="L88" i="1"/>
  <c r="L89" i="1"/>
  <c r="L92" i="1"/>
  <c r="L95" i="1"/>
  <c r="L99" i="1"/>
  <c r="U102" i="1"/>
  <c r="R105" i="1"/>
  <c r="L108" i="1"/>
  <c r="U113" i="1"/>
  <c r="L122" i="1"/>
  <c r="U125" i="1"/>
  <c r="U127" i="1"/>
  <c r="U128" i="1"/>
  <c r="U131" i="1"/>
  <c r="U136" i="1"/>
  <c r="L139" i="1"/>
  <c r="L142" i="1"/>
  <c r="L147" i="1"/>
  <c r="U152" i="1"/>
  <c r="U153" i="1"/>
  <c r="L157" i="1"/>
  <c r="U159" i="1"/>
  <c r="U166" i="1"/>
  <c r="K50" i="1"/>
  <c r="H50" i="1"/>
  <c r="R50" i="1"/>
  <c r="R22" i="1"/>
  <c r="K22" i="1"/>
  <c r="H22" i="1"/>
  <c r="R16" i="1"/>
  <c r="K16" i="1"/>
  <c r="H16" i="1"/>
  <c r="R20" i="1"/>
  <c r="K20" i="1"/>
  <c r="H20" i="1"/>
  <c r="K119" i="1"/>
  <c r="H119" i="1"/>
  <c r="R119" i="1"/>
  <c r="K92" i="1"/>
  <c r="R92" i="1"/>
  <c r="H92" i="1"/>
  <c r="R18" i="1"/>
  <c r="K18" i="1"/>
  <c r="H18" i="1"/>
  <c r="R17" i="1"/>
  <c r="K17" i="1"/>
  <c r="H17" i="1"/>
  <c r="R21" i="1"/>
  <c r="K21" i="1"/>
  <c r="H21" i="1"/>
  <c r="R19" i="1"/>
  <c r="K19" i="1"/>
  <c r="H19" i="1"/>
  <c r="K80" i="1"/>
  <c r="H80" i="1"/>
  <c r="R80" i="1"/>
  <c r="H24" i="1"/>
  <c r="H26" i="1"/>
  <c r="H28" i="1"/>
  <c r="H30" i="1"/>
  <c r="H32" i="1"/>
  <c r="H34" i="1"/>
  <c r="H36" i="1"/>
  <c r="H38" i="1"/>
  <c r="H40" i="1"/>
  <c r="H42" i="1"/>
  <c r="H44" i="1"/>
  <c r="H46" i="1"/>
  <c r="U46" i="1"/>
  <c r="R47" i="1"/>
  <c r="K55" i="1"/>
  <c r="U56" i="1"/>
  <c r="R57" i="1"/>
  <c r="U60" i="1"/>
  <c r="R61" i="1"/>
  <c r="U64" i="1"/>
  <c r="R65" i="1"/>
  <c r="U68" i="1"/>
  <c r="R69" i="1"/>
  <c r="U72" i="1"/>
  <c r="R73" i="1"/>
  <c r="U77" i="1"/>
  <c r="U78" i="1"/>
  <c r="U82" i="1"/>
  <c r="U88" i="1"/>
  <c r="L102" i="1"/>
  <c r="H120" i="1"/>
  <c r="R120" i="1"/>
  <c r="K120" i="1"/>
  <c r="U121" i="1"/>
  <c r="U129" i="1"/>
  <c r="K131" i="1"/>
  <c r="H131" i="1"/>
  <c r="K133" i="1"/>
  <c r="H133" i="1"/>
  <c r="R133" i="1"/>
  <c r="K137" i="1"/>
  <c r="R137" i="1"/>
  <c r="K144" i="1"/>
  <c r="H144" i="1"/>
  <c r="R144" i="1"/>
  <c r="K147" i="1"/>
  <c r="H147" i="1"/>
  <c r="U165" i="1"/>
  <c r="K58" i="1"/>
  <c r="H58" i="1"/>
  <c r="K62" i="1"/>
  <c r="H62" i="1"/>
  <c r="K66" i="1"/>
  <c r="H66" i="1"/>
  <c r="K70" i="1"/>
  <c r="H70" i="1"/>
  <c r="K74" i="1"/>
  <c r="H74" i="1"/>
  <c r="U84" i="1"/>
  <c r="R85" i="1"/>
  <c r="K86" i="1"/>
  <c r="H86" i="1"/>
  <c r="R107" i="1"/>
  <c r="K107" i="1"/>
  <c r="L110" i="1"/>
  <c r="H136" i="1"/>
  <c r="R136" i="1"/>
  <c r="R157" i="1"/>
  <c r="K157" i="1"/>
  <c r="H157" i="1"/>
  <c r="R163" i="1"/>
  <c r="K163" i="1"/>
  <c r="H163" i="1"/>
  <c r="K99" i="1"/>
  <c r="H99" i="1"/>
  <c r="R99" i="1"/>
  <c r="K100" i="1"/>
  <c r="R100" i="1"/>
  <c r="K102" i="1"/>
  <c r="H102" i="1"/>
  <c r="R102" i="1"/>
  <c r="K162" i="1"/>
  <c r="H162" i="1"/>
  <c r="R162" i="1"/>
  <c r="H47" i="1"/>
  <c r="R48" i="1"/>
  <c r="K53" i="1"/>
  <c r="H57" i="1"/>
  <c r="H61" i="1"/>
  <c r="H65" i="1"/>
  <c r="H69" i="1"/>
  <c r="H73" i="1"/>
  <c r="H79" i="1"/>
  <c r="L94" i="1"/>
  <c r="R101" i="1"/>
  <c r="L105" i="1"/>
  <c r="R109" i="1"/>
  <c r="K110" i="1"/>
  <c r="R110" i="1"/>
  <c r="R111" i="1"/>
  <c r="R155" i="1"/>
  <c r="K155" i="1"/>
  <c r="H155" i="1"/>
  <c r="K156" i="1"/>
  <c r="H156" i="1"/>
  <c r="H23" i="1"/>
  <c r="H25" i="1"/>
  <c r="H27" i="1"/>
  <c r="H29" i="1"/>
  <c r="H31" i="1"/>
  <c r="H33" i="1"/>
  <c r="H35" i="1"/>
  <c r="H37" i="1"/>
  <c r="H39" i="1"/>
  <c r="H41" i="1"/>
  <c r="H43" i="1"/>
  <c r="H45" i="1"/>
  <c r="U54" i="1"/>
  <c r="R55" i="1"/>
  <c r="U58" i="1"/>
  <c r="R59" i="1"/>
  <c r="K79" i="1"/>
  <c r="H85" i="1"/>
  <c r="H90" i="1"/>
  <c r="K112" i="1"/>
  <c r="H112" i="1"/>
  <c r="R112" i="1"/>
  <c r="K113" i="1"/>
  <c r="R113" i="1"/>
  <c r="K115" i="1"/>
  <c r="H115" i="1"/>
  <c r="R154" i="1"/>
  <c r="K154" i="1"/>
  <c r="H154" i="1"/>
  <c r="H54" i="1"/>
  <c r="K56" i="1"/>
  <c r="H56" i="1"/>
  <c r="K60" i="1"/>
  <c r="H60" i="1"/>
  <c r="K64" i="1"/>
  <c r="H64" i="1"/>
  <c r="K68" i="1"/>
  <c r="H68" i="1"/>
  <c r="K72" i="1"/>
  <c r="H72" i="1"/>
  <c r="R76" i="1"/>
  <c r="K94" i="1"/>
  <c r="R94" i="1"/>
  <c r="H98" i="1"/>
  <c r="H107" i="1"/>
  <c r="R115" i="1"/>
  <c r="K123" i="1"/>
  <c r="H123" i="1"/>
  <c r="R123" i="1"/>
  <c r="K127" i="1"/>
  <c r="H127" i="1"/>
  <c r="R127" i="1"/>
  <c r="K136" i="1"/>
  <c r="H137" i="1"/>
  <c r="K151" i="1"/>
  <c r="H151" i="1"/>
  <c r="R151" i="1"/>
  <c r="H48" i="1"/>
  <c r="R56" i="1"/>
  <c r="R60" i="1"/>
  <c r="R64" i="1"/>
  <c r="R68" i="1"/>
  <c r="R72" i="1"/>
  <c r="R82" i="1"/>
  <c r="H91" i="1"/>
  <c r="H100" i="1"/>
  <c r="K104" i="1"/>
  <c r="H104" i="1"/>
  <c r="H108" i="1"/>
  <c r="K121" i="1"/>
  <c r="R121" i="1"/>
  <c r="H121" i="1"/>
  <c r="H122" i="1"/>
  <c r="K122" i="1"/>
  <c r="R122" i="1"/>
  <c r="K125" i="1"/>
  <c r="H125" i="1"/>
  <c r="R125" i="1"/>
  <c r="K129" i="1"/>
  <c r="R129" i="1"/>
  <c r="K141" i="1"/>
  <c r="H141" i="1"/>
  <c r="R150" i="1"/>
  <c r="K150" i="1"/>
  <c r="H150" i="1"/>
  <c r="H152" i="1"/>
  <c r="R152" i="1"/>
  <c r="U52" i="1"/>
  <c r="H75" i="1"/>
  <c r="U76" i="1"/>
  <c r="K78" i="1"/>
  <c r="R78" i="1"/>
  <c r="K83" i="1"/>
  <c r="H83" i="1"/>
  <c r="K84" i="1"/>
  <c r="R84" i="1"/>
  <c r="L86" i="1"/>
  <c r="K91" i="1"/>
  <c r="U93" i="1"/>
  <c r="K96" i="1"/>
  <c r="H96" i="1"/>
  <c r="K101" i="1"/>
  <c r="K109" i="1"/>
  <c r="U114" i="1"/>
  <c r="U115" i="1"/>
  <c r="R131" i="1"/>
  <c r="H138" i="1"/>
  <c r="R138" i="1"/>
  <c r="R141" i="1"/>
  <c r="R147" i="1"/>
  <c r="U98" i="1"/>
  <c r="U120" i="1"/>
  <c r="L129" i="1"/>
  <c r="R134" i="1"/>
  <c r="K134" i="1"/>
  <c r="K139" i="1"/>
  <c r="H139" i="1"/>
  <c r="R139" i="1"/>
  <c r="K160" i="1"/>
  <c r="H160" i="1"/>
  <c r="R161" i="1"/>
  <c r="K161" i="1"/>
  <c r="R159" i="1"/>
  <c r="K159" i="1"/>
  <c r="H159" i="1"/>
  <c r="K145" i="1"/>
  <c r="H145" i="1"/>
  <c r="R145" i="1"/>
  <c r="H149" i="1"/>
  <c r="U90" i="1"/>
  <c r="U106" i="1"/>
  <c r="L115" i="1"/>
  <c r="L132" i="1"/>
  <c r="K143" i="1"/>
  <c r="R143" i="1"/>
  <c r="K158" i="1"/>
  <c r="H158" i="1"/>
  <c r="U119" i="1"/>
  <c r="U135" i="1"/>
  <c r="U151" i="1"/>
  <c r="L164" i="1"/>
  <c r="K168" i="1"/>
  <c r="H168" i="1"/>
  <c r="R168" i="1"/>
  <c r="R153" i="1"/>
  <c r="K153" i="1"/>
  <c r="K166" i="1"/>
  <c r="H166" i="1"/>
  <c r="R167" i="1"/>
  <c r="K167" i="1"/>
  <c r="U117" i="1"/>
  <c r="U133" i="1"/>
  <c r="U149" i="1"/>
  <c r="L156" i="1"/>
  <c r="L158" i="1"/>
  <c r="K164" i="1"/>
  <c r="H164" i="1"/>
  <c r="R165" i="1"/>
  <c r="K165" i="1"/>
  <c r="U167" i="1"/>
</calcChain>
</file>

<file path=xl/sharedStrings.xml><?xml version="1.0" encoding="utf-8"?>
<sst xmlns="http://schemas.openxmlformats.org/spreadsheetml/2006/main" count="1994" uniqueCount="606">
  <si>
    <t>File opened</t>
  </si>
  <si>
    <t>2026-01-23 15:30:20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</si>
  <si>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</si>
  <si>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</si>
  <si>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</si>
  <si>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</si>
  <si>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</si>
  <si>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</si>
  <si>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</si>
  <si>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</si>
  <si>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</si>
  <si>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</si>
  <si>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</si>
  <si>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{"co2bspanconc1": "2473", "h2obspan2a": "0.0704999", "h2obspanconc1": "12.29", "co2bzero": "0.99384", "h2oaspan2b": "0.0721966", "h2oaspanconc2": "0", "co2aspan2a": "0.299679", "co2aspanconc2": "301.4", "h2obspan2": "0", "h2obspanconc2": "0", "co2aspan2b": "0.296788", "h2oaspan1": "1.01335", "h2oaspan2": "0", "h2obspan1": "1.03315", "co2bspan1": "1.00094", "flowmeterzero": "1.00472", "co2aspanconc1": "2473", "h2obspan2b": "0.0728367", "h2obzero": "1.08151", "chamberpressurezero": "2.63782", "flowazero": "0.34786", "co2bspan2": "-0.0359676", "h2oazero": "1.07438", "h2oaspanconc1": "12.29", "tbzero": "0.0726261", "co2bspan2a": "0.295418", "flowbzero": "0.30857", "h2oaspan2a": "0.0712457", "co2aspan2": "-0.033915", "ssb_ref": "38888.9", "co2aspan1": "1.00052", "co2bspan2b": "0.292556", "co2azero": "0.922307", "oxygen": "21", "tazero": "0.0117626", "co2bspanconc2": "301.4", "ssa_ref": "39976.8"}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</si>
  <si>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</si>
  <si>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</si>
  <si>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</si>
  <si>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</si>
  <si>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</si>
  <si>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</si>
  <si>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</si>
  <si>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</si>
  <si>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</si>
  <si>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</si>
  <si>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</si>
  <si>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</si>
  <si>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</si>
  <si>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</si>
  <si>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</si>
  <si>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</si>
  <si>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</si>
  <si>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</si>
  <si>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</si>
  <si>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</si>
  <si>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15:30:20</t>
  </si>
  <si>
    <t>Stability Definition:	ΔH2O (Meas2): Slp&lt;0.1 Per=20	ΔCO2 (Meas2): Slp&lt;0.5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</si>
  <si>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</si>
  <si>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</si>
  <si>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</si>
  <si>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</si>
  <si>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</si>
  <si>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</si>
  <si>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</si>
  <si>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</si>
  <si>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</si>
  <si>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</si>
  <si>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</si>
  <si>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</si>
  <si>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</si>
  <si>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</si>
  <si>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</si>
  <si>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</si>
  <si>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</si>
  <si>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</si>
  <si>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</si>
  <si>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</si>
  <si>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</si>
  <si>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</si>
  <si>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</si>
  <si>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</si>
  <si>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</si>
  <si>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</si>
  <si>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</si>
  <si>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</si>
  <si>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</si>
  <si>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</si>
  <si>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</si>
  <si>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</si>
  <si>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</si>
  <si>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</si>
  <si>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</si>
  <si>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</si>
  <si>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</si>
  <si>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</si>
  <si>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</si>
  <si>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</si>
  <si>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</si>
  <si>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</si>
  <si>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</si>
  <si>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</si>
  <si>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</si>
  <si>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</si>
  <si>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</si>
  <si>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</si>
  <si>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</si>
  <si>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</si>
  <si>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</si>
  <si>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7.94339 89.0828 380.817 626.813 857.511 1065.25 1243.56 1421.93</t>
  </si>
  <si>
    <t>Fs_true</t>
  </si>
  <si>
    <t>0.103495 102.566 401.354 601.39 801.465 1002.45 1200.72 1401.29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</si>
  <si>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</si>
  <si>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</si>
  <si>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</si>
  <si>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</si>
  <si>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</si>
  <si>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</si>
  <si>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</si>
  <si>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</si>
  <si>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</si>
  <si>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</si>
  <si>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</si>
  <si>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</si>
  <si>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</si>
  <si>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</si>
  <si>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</si>
  <si>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</si>
  <si>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</si>
  <si>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</si>
  <si>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</si>
  <si>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</si>
  <si>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</si>
  <si>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</si>
  <si>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</si>
  <si>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</si>
  <si>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</si>
  <si>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</si>
  <si>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</si>
  <si>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</si>
  <si>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</si>
  <si>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</si>
  <si>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</si>
  <si>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</si>
  <si>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</si>
  <si>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</si>
  <si>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</si>
  <si>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</si>
  <si>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</si>
  <si>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</si>
  <si>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</si>
  <si>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</si>
  <si>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</si>
  <si>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</si>
  <si>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</si>
  <si>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</si>
  <si>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</si>
  <si>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</si>
  <si>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</si>
  <si>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</si>
  <si>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</si>
  <si>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</si>
  <si>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</si>
  <si>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</si>
  <si>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</si>
  <si>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</si>
  <si>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</si>
  <si>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</si>
  <si>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</si>
  <si>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</si>
  <si>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</si>
  <si>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</si>
  <si>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</si>
  <si>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</si>
  <si>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</si>
  <si>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</si>
  <si>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</si>
  <si>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</si>
  <si>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</si>
  <si>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</si>
  <si>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</si>
  <si>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</si>
  <si>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</si>
  <si>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</si>
  <si>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</si>
  <si>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</si>
  <si>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</si>
  <si>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</si>
  <si>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</si>
  <si>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</si>
  <si>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</si>
  <si>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</si>
  <si>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</si>
  <si>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</si>
  <si>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</si>
  <si>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</si>
  <si>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</si>
  <si>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</si>
  <si>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</si>
  <si>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</si>
  <si>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</si>
  <si>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</si>
  <si>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</si>
  <si>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</si>
  <si>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</si>
  <si>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</si>
  <si>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</si>
  <si>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</si>
  <si>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</si>
  <si>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</si>
  <si>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</si>
  <si>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</si>
  <si>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</si>
  <si>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</si>
  <si>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</si>
  <si>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</si>
  <si>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</si>
  <si>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</si>
  <si>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</si>
  <si>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</si>
  <si>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</si>
  <si>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</si>
  <si>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</si>
  <si>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</si>
  <si>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</si>
  <si>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</si>
  <si>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</si>
  <si>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</si>
  <si>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</si>
  <si>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</si>
  <si>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</si>
  <si>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</si>
  <si>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</si>
  <si>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</si>
  <si>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</si>
  <si>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</si>
  <si>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</si>
  <si>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</si>
  <si>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</si>
  <si>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</si>
  <si>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</si>
  <si>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</si>
  <si>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</si>
  <si>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</si>
  <si>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</si>
  <si>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AccH2O_des</t>
  </si>
  <si>
    <t>AccH2O_hum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</si>
  <si>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</si>
  <si>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</si>
  <si>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</si>
  <si>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</si>
  <si>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</si>
  <si>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</si>
  <si>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</si>
  <si>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</si>
  <si>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</si>
  <si>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</si>
  <si>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</si>
  <si>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</si>
  <si>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</si>
  <si>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</si>
  <si>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</si>
  <si>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</si>
  <si>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</si>
  <si>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</si>
  <si>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</si>
  <si>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</si>
  <si>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</si>
  <si>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</si>
  <si>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</si>
  <si>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</si>
  <si>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</si>
  <si>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</si>
  <si>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</si>
  <si>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</si>
  <si>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</si>
  <si>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</si>
  <si>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</si>
  <si>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</si>
  <si>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</si>
  <si>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</si>
  <si>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</si>
  <si>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</si>
  <si>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</si>
  <si>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</si>
  <si>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</si>
  <si>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</si>
  <si>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</si>
  <si>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</si>
  <si>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</si>
  <si>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</si>
  <si>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</si>
  <si>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</si>
  <si>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</si>
  <si>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</si>
  <si>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</si>
  <si>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</si>
  <si>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</si>
  <si>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</si>
  <si>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</si>
  <si>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</si>
  <si>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</si>
  <si>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</si>
  <si>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</si>
  <si>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</si>
  <si>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</si>
  <si>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</si>
  <si>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</si>
  <si>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</si>
  <si>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20260123 15:31:11</t>
  </si>
  <si>
    <t>15:31:11</t>
  </si>
  <si>
    <t>15:31:36</t>
  </si>
  <si>
    <t>0/2</t>
  </si>
  <si>
    <t>10111111</t>
  </si>
  <si>
    <t>oioooooo</t>
  </si>
  <si>
    <t>off</t>
  </si>
  <si>
    <t>on</t>
  </si>
  <si>
    <t>20260123 15:31:38</t>
  </si>
  <si>
    <t>15:31:38</t>
  </si>
  <si>
    <t>2/2</t>
  </si>
  <si>
    <t>20260123 15:31:53</t>
  </si>
  <si>
    <t>15:31:53</t>
  </si>
  <si>
    <t>20260123 15:32:08</t>
  </si>
  <si>
    <t>15:32:08</t>
  </si>
  <si>
    <t>1/2</t>
  </si>
  <si>
    <t>20260123 15:32:23</t>
  </si>
  <si>
    <t>15:32:23</t>
  </si>
  <si>
    <t>20260123 15:32:38</t>
  </si>
  <si>
    <t>15:32:38</t>
  </si>
  <si>
    <t>20260123 15:32:53</t>
  </si>
  <si>
    <t>15:32:53</t>
  </si>
  <si>
    <t>20260123 15:33:08</t>
  </si>
  <si>
    <t>15:33:08</t>
  </si>
  <si>
    <t>20260123 15:33:23</t>
  </si>
  <si>
    <t>15:33:23</t>
  </si>
  <si>
    <t>20260123 15:33:38</t>
  </si>
  <si>
    <t>15:33:38</t>
  </si>
  <si>
    <t>20260123 15:33:53</t>
  </si>
  <si>
    <t>15:33:53</t>
  </si>
  <si>
    <t>20260123 15:34:08</t>
  </si>
  <si>
    <t>15:34:08</t>
  </si>
  <si>
    <t>20260123 15:34:23</t>
  </si>
  <si>
    <t>15:34:23</t>
  </si>
  <si>
    <t>20260123 15:34:38</t>
  </si>
  <si>
    <t>15:34:38</t>
  </si>
  <si>
    <t>20260123 15:34:53</t>
  </si>
  <si>
    <t>15:34:53</t>
  </si>
  <si>
    <t>20260123 15:35:08</t>
  </si>
  <si>
    <t>15:35:08</t>
  </si>
  <si>
    <t>20260123 15:35:23</t>
  </si>
  <si>
    <t>15:35:23</t>
  </si>
  <si>
    <t>20260123 15:35:38</t>
  </si>
  <si>
    <t>15:35:38</t>
  </si>
  <si>
    <t>20260123 15:38:03</t>
  </si>
  <si>
    <t>15:38:03</t>
  </si>
  <si>
    <t>20260123 15:38:18</t>
  </si>
  <si>
    <t>15:38:18</t>
  </si>
  <si>
    <t>20260123 15:38:33</t>
  </si>
  <si>
    <t>15:38:33</t>
  </si>
  <si>
    <t>20260123 15:38:48</t>
  </si>
  <si>
    <t>15:38:48</t>
  </si>
  <si>
    <t>20260123 15:39:03</t>
  </si>
  <si>
    <t>15:39:03</t>
  </si>
  <si>
    <t>20260123 15:39:18</t>
  </si>
  <si>
    <t>15:39:18</t>
  </si>
  <si>
    <t>20260123 15:39:33</t>
  </si>
  <si>
    <t>15:39:33</t>
  </si>
  <si>
    <t>20260123 15:39:48</t>
  </si>
  <si>
    <t>15:39:48</t>
  </si>
  <si>
    <t>20260123 15:40:03</t>
  </si>
  <si>
    <t>15:40:03</t>
  </si>
  <si>
    <t>20260123 15:40:18</t>
  </si>
  <si>
    <t>15:40:18</t>
  </si>
  <si>
    <t>20260123 15:40:33</t>
  </si>
  <si>
    <t>15:40:33</t>
  </si>
  <si>
    <t>20260123 15:40:48</t>
  </si>
  <si>
    <t>15:40:48</t>
  </si>
  <si>
    <t>20260123 15:41:03</t>
  </si>
  <si>
    <t>15:41:03</t>
  </si>
  <si>
    <t>20260123 15:41:18</t>
  </si>
  <si>
    <t>15:41:18</t>
  </si>
  <si>
    <t>20260123 15:41:33</t>
  </si>
  <si>
    <t>15:41:33</t>
  </si>
  <si>
    <t>20260123 15:41:48</t>
  </si>
  <si>
    <t>15:41:48</t>
  </si>
  <si>
    <t>15:42:14</t>
  </si>
  <si>
    <t>20260123 15:42:16</t>
  </si>
  <si>
    <t>15:42:16</t>
  </si>
  <si>
    <t>20260123 15:42:31</t>
  </si>
  <si>
    <t>15:42:31</t>
  </si>
  <si>
    <t>20260123 15:42:46</t>
  </si>
  <si>
    <t>15:42:46</t>
  </si>
  <si>
    <t>20260123 15:43:01</t>
  </si>
  <si>
    <t>15:43:01</t>
  </si>
  <si>
    <t>20260123 15:43:16</t>
  </si>
  <si>
    <t>15:43:16</t>
  </si>
  <si>
    <t>20260123 15:43:31</t>
  </si>
  <si>
    <t>15:43:31</t>
  </si>
  <si>
    <t>20260123 15:43:46</t>
  </si>
  <si>
    <t>15:43:46</t>
  </si>
  <si>
    <t>20260123 15:46:48</t>
  </si>
  <si>
    <t>15:46:48</t>
  </si>
  <si>
    <t>20260123 15:47:03</t>
  </si>
  <si>
    <t>15:47:03</t>
  </si>
  <si>
    <t>20260123 15:47:18</t>
  </si>
  <si>
    <t>15:47:18</t>
  </si>
  <si>
    <t>20260123 15:47:33</t>
  </si>
  <si>
    <t>15:47:33</t>
  </si>
  <si>
    <t>20260123 15:47:48</t>
  </si>
  <si>
    <t>15:47:48</t>
  </si>
  <si>
    <t>20260123 15:48:03</t>
  </si>
  <si>
    <t>15:48:03</t>
  </si>
  <si>
    <t>20260123 15:48:18</t>
  </si>
  <si>
    <t>15:48:18</t>
  </si>
  <si>
    <t>20260123 15:48:33</t>
  </si>
  <si>
    <t>15:48:33</t>
  </si>
  <si>
    <t>20260123 15:48:48</t>
  </si>
  <si>
    <t>15:48:48</t>
  </si>
  <si>
    <t>20260123 15:49:03</t>
  </si>
  <si>
    <t>15:49:03</t>
  </si>
  <si>
    <t>20260123 15:49:18</t>
  </si>
  <si>
    <t>15:49:18</t>
  </si>
  <si>
    <t>20260123 15:49:33</t>
  </si>
  <si>
    <t>15:49:33</t>
  </si>
  <si>
    <t>20260123 15:49:48</t>
  </si>
  <si>
    <t>15:49:48</t>
  </si>
  <si>
    <t>20260123 15:50:03</t>
  </si>
  <si>
    <t>15:50:03</t>
  </si>
  <si>
    <t>20260123 15:50:18</t>
  </si>
  <si>
    <t>15:50:18</t>
  </si>
  <si>
    <t>20260123 15:50:33</t>
  </si>
  <si>
    <t>15:50:33</t>
  </si>
  <si>
    <t>20260123 15:50:48</t>
  </si>
  <si>
    <t>15:50:48</t>
  </si>
  <si>
    <t>20260123 15:51:03</t>
  </si>
  <si>
    <t>15:51:03</t>
  </si>
  <si>
    <t>20260123 15:51:18</t>
  </si>
  <si>
    <t>15:51:18</t>
  </si>
  <si>
    <t>20260123 15:51:33</t>
  </si>
  <si>
    <t>15:51:33</t>
  </si>
  <si>
    <t>20260123 15:53:25</t>
  </si>
  <si>
    <t>15:53:25</t>
  </si>
  <si>
    <t>15:53:49</t>
  </si>
  <si>
    <t>20260123 15:53:51</t>
  </si>
  <si>
    <t>15:53:51</t>
  </si>
  <si>
    <t>20260123 15:54:06</t>
  </si>
  <si>
    <t>15:54:06</t>
  </si>
  <si>
    <t>20260123 15:54:21</t>
  </si>
  <si>
    <t>15:54:21</t>
  </si>
  <si>
    <t>20260123 15:54:36</t>
  </si>
  <si>
    <t>15:54:36</t>
  </si>
  <si>
    <t>20260123 15:54:51</t>
  </si>
  <si>
    <t>15:54:51</t>
  </si>
  <si>
    <t>20260123 15:55:06</t>
  </si>
  <si>
    <t>15:55:06</t>
  </si>
  <si>
    <t>20260123 15:55:21</t>
  </si>
  <si>
    <t>15:55:21</t>
  </si>
  <si>
    <t>20260123 15:55:36</t>
  </si>
  <si>
    <t>15:55:36</t>
  </si>
  <si>
    <t>20260123 15:55:51</t>
  </si>
  <si>
    <t>15:55:51</t>
  </si>
  <si>
    <t>20260123 15:56:06</t>
  </si>
  <si>
    <t>15:56:06</t>
  </si>
  <si>
    <t>20260123 15:56:21</t>
  </si>
  <si>
    <t>15:56:21</t>
  </si>
  <si>
    <t>20260123 15:56:36</t>
  </si>
  <si>
    <t>15:56:36</t>
  </si>
  <si>
    <t>20260123 15:56:51</t>
  </si>
  <si>
    <t>15:56:51</t>
  </si>
  <si>
    <t>20260123 15:57:06</t>
  </si>
  <si>
    <t>15:57:06</t>
  </si>
  <si>
    <t>20260123 15:57:21</t>
  </si>
  <si>
    <t>15:57:21</t>
  </si>
  <si>
    <t>20260123 15:57:36</t>
  </si>
  <si>
    <t>15:57:36</t>
  </si>
  <si>
    <t>20260123 15:57:51</t>
  </si>
  <si>
    <t>15:57:51</t>
  </si>
  <si>
    <t>20260123 15:58:06</t>
  </si>
  <si>
    <t>15:58:06</t>
  </si>
  <si>
    <t>20260123 15:58:21</t>
  </si>
  <si>
    <t>15:58:21</t>
  </si>
  <si>
    <t>20260123 16:00:11</t>
  </si>
  <si>
    <t>16:00:11</t>
  </si>
  <si>
    <t>20260123 16:00:26</t>
  </si>
  <si>
    <t>16:00:26</t>
  </si>
  <si>
    <t>20260123 16:00:41</t>
  </si>
  <si>
    <t>16:00:41</t>
  </si>
  <si>
    <t>20260123 16:00:56</t>
  </si>
  <si>
    <t>16:00:56</t>
  </si>
  <si>
    <t>20260123 16:01:11</t>
  </si>
  <si>
    <t>16:01:11</t>
  </si>
  <si>
    <t>20260123 16:01:26</t>
  </si>
  <si>
    <t>16:01:26</t>
  </si>
  <si>
    <t>20260123 16:01:41</t>
  </si>
  <si>
    <t>16:01:41</t>
  </si>
  <si>
    <t>20260123 16:01:56</t>
  </si>
  <si>
    <t>16:01:56</t>
  </si>
  <si>
    <t>20260123 16:02:11</t>
  </si>
  <si>
    <t>16:02:11</t>
  </si>
  <si>
    <t>20260123 16:02:26</t>
  </si>
  <si>
    <t>16:02:26</t>
  </si>
  <si>
    <t>20260123 16:02:41</t>
  </si>
  <si>
    <t>16:02:41</t>
  </si>
  <si>
    <t>20260123 16:02:56</t>
  </si>
  <si>
    <t>16:02:56</t>
  </si>
  <si>
    <t>20260123 16:03:11</t>
  </si>
  <si>
    <t>16:03:11</t>
  </si>
  <si>
    <t>20260123 16:03:26</t>
  </si>
  <si>
    <t>16:03:26</t>
  </si>
  <si>
    <t>20260123 16:03:41</t>
  </si>
  <si>
    <t>16:03:41</t>
  </si>
  <si>
    <t>20260123 16:03:56</t>
  </si>
  <si>
    <t>16:03:56</t>
  </si>
  <si>
    <t>16:04:18</t>
  </si>
  <si>
    <t>20260123 16:04:20</t>
  </si>
  <si>
    <t>16:04:20</t>
  </si>
  <si>
    <t>20260123 16:04:35</t>
  </si>
  <si>
    <t>16:04:35</t>
  </si>
  <si>
    <t>20260123 16:04:50</t>
  </si>
  <si>
    <t>16:04:50</t>
  </si>
  <si>
    <t>20260123 16:06:53</t>
  </si>
  <si>
    <t>16:06:53</t>
  </si>
  <si>
    <t>20260123 16:07:08</t>
  </si>
  <si>
    <t>16:07:08</t>
  </si>
  <si>
    <t>20260123 16:07:23</t>
  </si>
  <si>
    <t>16:07:23</t>
  </si>
  <si>
    <t>20260123 16:07:38</t>
  </si>
  <si>
    <t>16:07:38</t>
  </si>
  <si>
    <t>20260123 16:07:53</t>
  </si>
  <si>
    <t>16:07:53</t>
  </si>
  <si>
    <t>20260123 16:08:09</t>
  </si>
  <si>
    <t>16:08:09</t>
  </si>
  <si>
    <t>20260123 16:08:24</t>
  </si>
  <si>
    <t>16:08:24</t>
  </si>
  <si>
    <t>20260123 16:08:39</t>
  </si>
  <si>
    <t>16:08:39</t>
  </si>
  <si>
    <t>20260123 16:08:54</t>
  </si>
  <si>
    <t>16:08:54</t>
  </si>
  <si>
    <t>20260123 16:09:09</t>
  </si>
  <si>
    <t>16:09:09</t>
  </si>
  <si>
    <t>20260123 16:09:24</t>
  </si>
  <si>
    <t>16:09:24</t>
  </si>
  <si>
    <t>20260123 16:09:39</t>
  </si>
  <si>
    <t>16:09:39</t>
  </si>
  <si>
    <t>20260123 16:09:54</t>
  </si>
  <si>
    <t>16:09:54</t>
  </si>
  <si>
    <t>20260123 16:10:09</t>
  </si>
  <si>
    <t>16:10:09</t>
  </si>
  <si>
    <t>20260123 16:10:24</t>
  </si>
  <si>
    <t>16:10:24</t>
  </si>
  <si>
    <t>20260123 16:10:39</t>
  </si>
  <si>
    <t>16:10:39</t>
  </si>
  <si>
    <t>20260123 16:10:54</t>
  </si>
  <si>
    <t>16:10:54</t>
  </si>
  <si>
    <t>20260123 16:11:09</t>
  </si>
  <si>
    <t>16:11:09</t>
  </si>
  <si>
    <t>20260123 16:11:24</t>
  </si>
  <si>
    <t>16:11:24</t>
  </si>
  <si>
    <t>20260123 16:11:39</t>
  </si>
  <si>
    <t>16:11:39</t>
  </si>
  <si>
    <t>20260123 16:11:54</t>
  </si>
  <si>
    <t>16:11:54</t>
  </si>
  <si>
    <t>20260123 16:13:50</t>
  </si>
  <si>
    <t>16:13:50</t>
  </si>
  <si>
    <t>20260123 16:14:05</t>
  </si>
  <si>
    <t>16:14:05</t>
  </si>
  <si>
    <t>20260123 16:14:20</t>
  </si>
  <si>
    <t>16:14:20</t>
  </si>
  <si>
    <t>16:14:46</t>
  </si>
  <si>
    <t>20260123 16:14:48</t>
  </si>
  <si>
    <t>16:14:48</t>
  </si>
  <si>
    <t>20260123 16:15:03</t>
  </si>
  <si>
    <t>16:15:03</t>
  </si>
  <si>
    <t>20260123 16:15:18</t>
  </si>
  <si>
    <t>16:15:18</t>
  </si>
  <si>
    <t>20260123 16:15:33</t>
  </si>
  <si>
    <t>16:15:33</t>
  </si>
  <si>
    <t>20260123 16:15:48</t>
  </si>
  <si>
    <t>16:15:48</t>
  </si>
  <si>
    <t>20260123 16:16:03</t>
  </si>
  <si>
    <t>16:16:03</t>
  </si>
  <si>
    <t>20260123 16:16:18</t>
  </si>
  <si>
    <t>16:16:18</t>
  </si>
  <si>
    <t>20260123 16:16:33</t>
  </si>
  <si>
    <t>16:16:33</t>
  </si>
  <si>
    <t>20260123 16:16:48</t>
  </si>
  <si>
    <t>16:16:48</t>
  </si>
  <si>
    <t>20260123 16:17:03</t>
  </si>
  <si>
    <t>16:17:03</t>
  </si>
  <si>
    <t>20260123 16:17:18</t>
  </si>
  <si>
    <t>16:17:18</t>
  </si>
  <si>
    <t>20260123 16:17:33</t>
  </si>
  <si>
    <t>16:17:33</t>
  </si>
  <si>
    <t>20260123 16:17:48</t>
  </si>
  <si>
    <t>16:17:48</t>
  </si>
  <si>
    <t>20260123 16:18:03</t>
  </si>
  <si>
    <t>16:18:03</t>
  </si>
  <si>
    <t>20260123 16:18:18</t>
  </si>
  <si>
    <t>16:18:18</t>
  </si>
  <si>
    <t>20260123 16:20:48</t>
  </si>
  <si>
    <t>16:20:48</t>
  </si>
  <si>
    <t>20260123 16:21:03</t>
  </si>
  <si>
    <t>16:21:03</t>
  </si>
  <si>
    <t>20260123 16:21:18</t>
  </si>
  <si>
    <t>16:21:18</t>
  </si>
  <si>
    <t>20260123 16:21:33</t>
  </si>
  <si>
    <t>16:21:33</t>
  </si>
  <si>
    <t>20260123 16:21:48</t>
  </si>
  <si>
    <t>16:21:48</t>
  </si>
  <si>
    <t>20260123 16:22:03</t>
  </si>
  <si>
    <t>16:22:03</t>
  </si>
  <si>
    <t>20260123 16:22:18</t>
  </si>
  <si>
    <t>16:22:18</t>
  </si>
  <si>
    <t>20260123 16:22:33</t>
  </si>
  <si>
    <t>16:22:33</t>
  </si>
  <si>
    <t>20260123 16:22:48</t>
  </si>
  <si>
    <t>16:22:48</t>
  </si>
  <si>
    <t>20260123 16:23:03</t>
  </si>
  <si>
    <t>16:23:03</t>
  </si>
  <si>
    <t>20260123 16:23:18</t>
  </si>
  <si>
    <t>16:23:18</t>
  </si>
  <si>
    <t>20260123 16:23:33</t>
  </si>
  <si>
    <t>16:23:33</t>
  </si>
  <si>
    <t>20260123 16:23:48</t>
  </si>
  <si>
    <t>16:23:48</t>
  </si>
  <si>
    <t>20260123 16:24:03</t>
  </si>
  <si>
    <t>16:24:03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</si>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</sst>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168"/>
  <sheetViews>
    <sheetView tabSelected="1" topLeftCell="A12" workbookViewId="0">
      <selection activeCell="J17" sqref="J17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605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1769200271</v>
      </c>
      <c r="C16">
        <v>0</v>
      </c>
      <c r="D16" t="s">
        <v>287</v>
      </c>
      <c r="E16" t="s">
        <v>288</v>
      </c>
      <c r="F16">
        <v>15</v>
      </c>
      <c r="G16">
        <v>1769200262.5</v>
      </c>
      <c r="H16">
        <f t="shared" ref="H16:H47" si="0">AF16*Q16*(AB16-AC16)/(1000*X16*(1000-Q16*AB16))</f>
        <v>3.7123131644806396E-4</v>
      </c>
      <c r="I16">
        <v>0</v>
      </c>
      <c r="J16">
        <f>K16*(0.0005573/0.0143664)</f>
        <v>-0.10626349888235671</v>
      </c>
      <c r="K16">
        <f t="shared" ref="K16:K47" si="1">AF16*Q16*(AA16-Z16*(1000-Q16*AC16)/(1000-Q16*AB16))/(1000*X16)</f>
        <v>-2.7393216047792737</v>
      </c>
      <c r="L16">
        <f t="shared" ref="L16:L47" si="2">(M16/N16*100)</f>
        <v>72.874755548827864</v>
      </c>
      <c r="M16">
        <f t="shared" ref="M16:M47" si="3">AB16*(AG16+AH16)/1000</f>
        <v>1.6035465066297794</v>
      </c>
      <c r="N16">
        <f t="shared" ref="N16:N47" si="4">0.61365*EXP(17.502*AI16/(240.97+AI16))</f>
        <v>2.2004142512085192</v>
      </c>
      <c r="O16">
        <v>0</v>
      </c>
      <c r="P16">
        <v>0</v>
      </c>
      <c r="Q16">
        <f t="shared" ref="Q16:Q47" si="5">IF(O16*$H$13&gt;=S16,1,(S16/(S16-O16*$H$13)))</f>
        <v>1</v>
      </c>
      <c r="R16">
        <f t="shared" ref="R16:R47" si="6">(Q16-1)*100</f>
        <v>0</v>
      </c>
      <c r="S16">
        <f t="shared" ref="S16:S47" si="7">MAX(0,($B$13+$C$13*AN16)/(1+$D$13*AN16)*AG16/(AI16+273)*$E$13)</f>
        <v>26241.031905413838</v>
      </c>
      <c r="T16">
        <f t="shared" ref="T16:T47" si="8">$B$11*AO16+$C$11*AP16+$D$11*BA16</f>
        <v>299.99987499999997</v>
      </c>
      <c r="U16">
        <f t="shared" ref="U16:U47" si="9">T16*V16</f>
        <v>252.89974314381308</v>
      </c>
      <c r="V16">
        <f t="shared" ref="V16:V47" si="10">($B$11*$D$9+$C$11*$D$9+$D$11*(BB16*$E$9+BC16*$F$9+BD16*$G$9+BE16*$H$9))/($B$11+$C$11+$D$11)</f>
        <v>0.84299949506249994</v>
      </c>
      <c r="W16">
        <f t="shared" ref="W16:W47" si="11">($B$11*$L$9+$C$11*$L$9+$D$11*(BB16*$M$9+BC16*$N$9+BD16*$O$9+BE16*$P$9))/($B$11+$C$11+$D$11)</f>
        <v>0.15869845751625</v>
      </c>
      <c r="X16">
        <v>1</v>
      </c>
      <c r="Y16">
        <v>1769200262.5</v>
      </c>
      <c r="Z16">
        <v>413.38049999999998</v>
      </c>
      <c r="AA16">
        <v>410.14812499999999</v>
      </c>
      <c r="AB16">
        <v>15.991943750000001</v>
      </c>
      <c r="AC16">
        <v>15.53531875</v>
      </c>
      <c r="AD16">
        <v>414.19349999999997</v>
      </c>
      <c r="AE16">
        <v>15.88494375</v>
      </c>
      <c r="AF16">
        <v>799.98818749999998</v>
      </c>
      <c r="AG16">
        <v>100.208375</v>
      </c>
      <c r="AH16">
        <v>6.3770256250000004E-2</v>
      </c>
      <c r="AI16">
        <v>18.965331249999998</v>
      </c>
      <c r="AJ16">
        <v>999.9</v>
      </c>
      <c r="AK16">
        <v>999.9</v>
      </c>
      <c r="AL16">
        <v>0</v>
      </c>
      <c r="AM16">
        <v>0</v>
      </c>
      <c r="AN16">
        <v>4993.59375</v>
      </c>
      <c r="AO16">
        <v>0</v>
      </c>
      <c r="AP16">
        <v>1.58440125</v>
      </c>
      <c r="AQ16">
        <v>3.2877174999999998</v>
      </c>
      <c r="AR16">
        <v>420.14550000000003</v>
      </c>
      <c r="AS16">
        <v>416.62049999999999</v>
      </c>
      <c r="AT16">
        <v>0.43534855</v>
      </c>
      <c r="AU16">
        <v>410.14812499999999</v>
      </c>
      <c r="AV16">
        <v>15.53531875</v>
      </c>
      <c r="AW16">
        <v>1.60039625</v>
      </c>
      <c r="AX16">
        <v>1.5567712499999999</v>
      </c>
      <c r="AY16">
        <v>13.961987499999999</v>
      </c>
      <c r="AZ16">
        <v>13.53591875</v>
      </c>
      <c r="BA16">
        <v>299.99987499999997</v>
      </c>
      <c r="BB16">
        <v>0.90002099999999996</v>
      </c>
      <c r="BC16">
        <v>0</v>
      </c>
      <c r="BD16">
        <v>9.9979143749999999E-2</v>
      </c>
      <c r="BE16">
        <v>0</v>
      </c>
      <c r="BF16">
        <v>24</v>
      </c>
      <c r="BG16">
        <v>4946.6643750000003</v>
      </c>
      <c r="BH16">
        <v>1769200296</v>
      </c>
      <c r="BI16" t="s">
        <v>289</v>
      </c>
      <c r="BJ16">
        <v>1769200296</v>
      </c>
      <c r="BK16">
        <v>1769200293</v>
      </c>
      <c r="BL16">
        <v>13</v>
      </c>
      <c r="BM16">
        <v>-5.6000000000000001E-2</v>
      </c>
      <c r="BN16">
        <v>2.1000000000000001E-2</v>
      </c>
      <c r="BO16">
        <v>-0.81299999999999994</v>
      </c>
      <c r="BP16">
        <v>0.107</v>
      </c>
      <c r="BQ16">
        <v>410</v>
      </c>
      <c r="BR16">
        <v>15</v>
      </c>
      <c r="BS16">
        <v>0.3</v>
      </c>
      <c r="BT16">
        <v>0.04</v>
      </c>
      <c r="BU16">
        <v>4.5223155000000004</v>
      </c>
      <c r="BV16">
        <v>-23.450349022556399</v>
      </c>
      <c r="BW16">
        <v>2.3068050727239102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0.17661254000000001</v>
      </c>
      <c r="CD16">
        <v>5.2033493413533796</v>
      </c>
      <c r="CE16">
        <v>0.50057787087184402</v>
      </c>
      <c r="CF16">
        <v>0</v>
      </c>
      <c r="CG16">
        <v>0</v>
      </c>
      <c r="CH16">
        <v>2</v>
      </c>
      <c r="CI16" t="s">
        <v>290</v>
      </c>
      <c r="CJ16">
        <v>3.5325600000000001</v>
      </c>
      <c r="CK16">
        <v>2.7015799999999999</v>
      </c>
      <c r="CL16">
        <v>9.8361799999999999E-2</v>
      </c>
      <c r="CM16">
        <v>9.6768000000000007E-2</v>
      </c>
      <c r="CN16">
        <v>9.0457599999999999E-2</v>
      </c>
      <c r="CO16">
        <v>8.5046899999999995E-2</v>
      </c>
      <c r="CP16">
        <v>31629</v>
      </c>
      <c r="CQ16">
        <v>27843.200000000001</v>
      </c>
      <c r="CR16">
        <v>32466.6</v>
      </c>
      <c r="CS16">
        <v>30752.2</v>
      </c>
      <c r="CT16">
        <v>39984.9</v>
      </c>
      <c r="CU16">
        <v>39569.199999999997</v>
      </c>
      <c r="CV16">
        <v>47420.3</v>
      </c>
      <c r="CW16">
        <v>46905.3</v>
      </c>
      <c r="CX16">
        <v>2.6253799999999998</v>
      </c>
      <c r="CY16">
        <v>2.1269999999999998</v>
      </c>
      <c r="CZ16">
        <v>0</v>
      </c>
      <c r="DA16">
        <v>0</v>
      </c>
      <c r="DB16">
        <v>999.9</v>
      </c>
      <c r="DC16">
        <v>999.9</v>
      </c>
      <c r="DD16">
        <v>46.618000000000002</v>
      </c>
      <c r="DE16">
        <v>28.631</v>
      </c>
      <c r="DF16">
        <v>18.312100000000001</v>
      </c>
      <c r="DG16">
        <v>30.3599</v>
      </c>
      <c r="DH16">
        <v>16.398199999999999</v>
      </c>
      <c r="DI16">
        <v>2</v>
      </c>
      <c r="DJ16">
        <v>-0.134795</v>
      </c>
      <c r="DK16">
        <v>1.7100500000000001</v>
      </c>
      <c r="DL16">
        <v>20.223800000000001</v>
      </c>
      <c r="DM16">
        <v>5.2503500000000001</v>
      </c>
      <c r="DN16">
        <v>12.033899999999999</v>
      </c>
      <c r="DO16">
        <v>4.9671200000000004</v>
      </c>
      <c r="DP16">
        <v>3.2909999999999999</v>
      </c>
      <c r="DQ16">
        <v>537.6</v>
      </c>
      <c r="DR16">
        <v>9999</v>
      </c>
      <c r="DS16">
        <v>9999</v>
      </c>
      <c r="DT16">
        <v>9999</v>
      </c>
      <c r="DU16">
        <v>1.8710800000000001</v>
      </c>
      <c r="DV16">
        <v>1.8761099999999999</v>
      </c>
      <c r="DW16">
        <v>1.8763000000000001</v>
      </c>
      <c r="DX16">
        <v>1.8827799999999999</v>
      </c>
      <c r="DY16">
        <v>1.87561</v>
      </c>
      <c r="DZ16">
        <v>1.87469</v>
      </c>
      <c r="EA16">
        <v>1.87086</v>
      </c>
      <c r="EB16">
        <v>1.87466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-0.81299999999999994</v>
      </c>
      <c r="EQ16">
        <v>0.107</v>
      </c>
      <c r="ER16">
        <v>-0.75763636363637898</v>
      </c>
      <c r="ES16">
        <v>0</v>
      </c>
      <c r="ET16">
        <v>0</v>
      </c>
      <c r="EU16">
        <v>0</v>
      </c>
      <c r="EV16">
        <v>8.5740000000001301E-2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11.3</v>
      </c>
      <c r="FE16">
        <v>10.9</v>
      </c>
      <c r="FF16">
        <v>1.24512</v>
      </c>
      <c r="FG16">
        <v>2.6000999999999999</v>
      </c>
      <c r="FH16">
        <v>2.19604</v>
      </c>
      <c r="FI16">
        <v>2.66113</v>
      </c>
      <c r="FJ16">
        <v>2.4462899999999999</v>
      </c>
      <c r="FK16">
        <v>2.2961399999999998</v>
      </c>
      <c r="FL16">
        <v>32.8202</v>
      </c>
      <c r="FM16">
        <v>24.148800000000001</v>
      </c>
      <c r="FN16">
        <v>19</v>
      </c>
      <c r="FO16">
        <v>865.43</v>
      </c>
      <c r="FP16">
        <v>572.38</v>
      </c>
      <c r="FQ16">
        <v>17.6234</v>
      </c>
      <c r="FR16">
        <v>25.308599999999998</v>
      </c>
      <c r="FS16">
        <v>29.997399999999999</v>
      </c>
      <c r="FT16">
        <v>25.360399999999998</v>
      </c>
      <c r="FU16">
        <v>25.360399999999998</v>
      </c>
      <c r="FV16">
        <v>24.991399999999999</v>
      </c>
      <c r="FW16">
        <v>21.718399999999999</v>
      </c>
      <c r="FX16">
        <v>2.6266400000000001</v>
      </c>
      <c r="FY16">
        <v>17.706600000000002</v>
      </c>
      <c r="FZ16">
        <v>410</v>
      </c>
      <c r="GA16">
        <v>14.7424</v>
      </c>
      <c r="GB16">
        <v>99.916600000000003</v>
      </c>
      <c r="GC16">
        <v>99.845399999999998</v>
      </c>
    </row>
    <row r="17" spans="1:185" x14ac:dyDescent="0.2">
      <c r="A17">
        <v>2</v>
      </c>
      <c r="B17">
        <v>1769200298</v>
      </c>
      <c r="C17">
        <v>27</v>
      </c>
      <c r="D17" t="s">
        <v>295</v>
      </c>
      <c r="E17" t="s">
        <v>296</v>
      </c>
      <c r="F17">
        <v>15</v>
      </c>
      <c r="G17">
        <v>1769200297</v>
      </c>
      <c r="H17">
        <f t="shared" si="0"/>
        <v>-1.6242013776811423E-6</v>
      </c>
      <c r="I17">
        <v>0</v>
      </c>
      <c r="J17">
        <f t="shared" ref="J17:J80" si="12">K17*(0.0005573/0.0143664)</f>
        <v>3.672107697539415E-4</v>
      </c>
      <c r="K17">
        <f t="shared" si="1"/>
        <v>9.4661704693935478E-3</v>
      </c>
      <c r="L17">
        <f t="shared" si="2"/>
        <v>68.126273764459668</v>
      </c>
      <c r="M17">
        <f t="shared" si="3"/>
        <v>1.4908242958012001</v>
      </c>
      <c r="N17">
        <f t="shared" si="4"/>
        <v>2.1883250226712652</v>
      </c>
      <c r="O17">
        <v>484</v>
      </c>
      <c r="P17">
        <v>60</v>
      </c>
      <c r="Q17">
        <f t="shared" si="5"/>
        <v>1</v>
      </c>
      <c r="R17">
        <f t="shared" si="6"/>
        <v>0</v>
      </c>
      <c r="S17">
        <f t="shared" si="7"/>
        <v>26275.914683778286</v>
      </c>
      <c r="T17">
        <f t="shared" si="8"/>
        <v>300.00099999999998</v>
      </c>
      <c r="U17">
        <f t="shared" si="9"/>
        <v>252.90085830005097</v>
      </c>
      <c r="V17">
        <f t="shared" si="10"/>
        <v>0.84300005099999997</v>
      </c>
      <c r="W17">
        <f t="shared" si="11"/>
        <v>0.15869954286000001</v>
      </c>
      <c r="X17">
        <v>1</v>
      </c>
      <c r="Y17">
        <v>1769200297</v>
      </c>
      <c r="Z17">
        <v>409.96300000000002</v>
      </c>
      <c r="AA17">
        <v>409.97399999999999</v>
      </c>
      <c r="AB17">
        <v>14.866</v>
      </c>
      <c r="AC17">
        <v>14.868</v>
      </c>
      <c r="AD17">
        <v>410.77699999999999</v>
      </c>
      <c r="AE17">
        <v>14.7593</v>
      </c>
      <c r="AF17">
        <v>800.02800000000002</v>
      </c>
      <c r="AG17">
        <v>100.209</v>
      </c>
      <c r="AH17">
        <v>7.5158199999999994E-2</v>
      </c>
      <c r="AI17">
        <v>18.877099999999999</v>
      </c>
      <c r="AJ17">
        <v>999.9</v>
      </c>
      <c r="AK17">
        <v>999.9</v>
      </c>
      <c r="AL17">
        <v>0</v>
      </c>
      <c r="AM17">
        <v>0</v>
      </c>
      <c r="AN17">
        <v>4998</v>
      </c>
      <c r="AO17">
        <v>0</v>
      </c>
      <c r="AP17">
        <v>1.59894</v>
      </c>
      <c r="AQ17">
        <v>-1.1108399999999999E-2</v>
      </c>
      <c r="AR17">
        <v>416.15</v>
      </c>
      <c r="AS17">
        <v>416.16199999999998</v>
      </c>
      <c r="AT17">
        <v>-2.0866399999999998E-3</v>
      </c>
      <c r="AU17">
        <v>409.97399999999999</v>
      </c>
      <c r="AV17">
        <v>14.868</v>
      </c>
      <c r="AW17">
        <v>1.4897</v>
      </c>
      <c r="AX17">
        <v>1.4899100000000001</v>
      </c>
      <c r="AY17">
        <v>12.8629</v>
      </c>
      <c r="AZ17">
        <v>12.865</v>
      </c>
      <c r="BA17">
        <v>300.00099999999998</v>
      </c>
      <c r="BB17">
        <v>0.900007</v>
      </c>
      <c r="BC17">
        <v>0</v>
      </c>
      <c r="BD17">
        <v>9.9993299999999993E-2</v>
      </c>
      <c r="BE17">
        <v>0</v>
      </c>
      <c r="BF17">
        <v>24</v>
      </c>
      <c r="BG17">
        <v>4946.67</v>
      </c>
      <c r="BH17">
        <v>1769200296</v>
      </c>
      <c r="BI17" t="s">
        <v>289</v>
      </c>
      <c r="BJ17">
        <v>1769200296</v>
      </c>
      <c r="BK17">
        <v>1769200293</v>
      </c>
      <c r="BL17">
        <v>13</v>
      </c>
      <c r="BM17">
        <v>-5.6000000000000001E-2</v>
      </c>
      <c r="BN17">
        <v>2.1000000000000001E-2</v>
      </c>
      <c r="BO17">
        <v>-0.81299999999999994</v>
      </c>
      <c r="BP17">
        <v>0.107</v>
      </c>
      <c r="BQ17">
        <v>410</v>
      </c>
      <c r="BR17">
        <v>15</v>
      </c>
      <c r="BS17">
        <v>0.3</v>
      </c>
      <c r="BT17">
        <v>0.04</v>
      </c>
      <c r="BU17">
        <v>5.2919000000000001E-2</v>
      </c>
      <c r="BV17">
        <v>-0.103341744360902</v>
      </c>
      <c r="BW17">
        <v>3.2637624014134399E-2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-1.0116100499999999E-2</v>
      </c>
      <c r="CD17">
        <v>-6.2003855187969997E-2</v>
      </c>
      <c r="CE17">
        <v>2.5145953420706E-2</v>
      </c>
      <c r="CF17">
        <v>1</v>
      </c>
      <c r="CG17">
        <v>2</v>
      </c>
      <c r="CH17">
        <v>2</v>
      </c>
      <c r="CI17" t="s">
        <v>297</v>
      </c>
      <c r="CJ17">
        <v>3.5338799999999999</v>
      </c>
      <c r="CK17">
        <v>2.7116600000000002</v>
      </c>
      <c r="CL17">
        <v>9.8064399999999996E-2</v>
      </c>
      <c r="CM17">
        <v>9.6722500000000003E-2</v>
      </c>
      <c r="CN17">
        <v>8.5136799999999999E-2</v>
      </c>
      <c r="CO17">
        <v>8.4088200000000002E-2</v>
      </c>
      <c r="CP17">
        <v>31639.3</v>
      </c>
      <c r="CQ17">
        <v>27844.1</v>
      </c>
      <c r="CR17">
        <v>32466.5</v>
      </c>
      <c r="CS17">
        <v>30751.7</v>
      </c>
      <c r="CT17">
        <v>40226.300000000003</v>
      </c>
      <c r="CU17">
        <v>39611.1</v>
      </c>
      <c r="CV17">
        <v>47420.1</v>
      </c>
      <c r="CW17">
        <v>46904.3</v>
      </c>
      <c r="CX17">
        <v>1.6893</v>
      </c>
      <c r="CY17">
        <v>1.59846</v>
      </c>
      <c r="CZ17">
        <v>0</v>
      </c>
      <c r="DA17">
        <v>0</v>
      </c>
      <c r="DB17">
        <v>999.9</v>
      </c>
      <c r="DC17">
        <v>999.9</v>
      </c>
      <c r="DD17">
        <v>46.594000000000001</v>
      </c>
      <c r="DE17">
        <v>28.631</v>
      </c>
      <c r="DF17">
        <v>18.305099999999999</v>
      </c>
      <c r="DG17">
        <v>30.3599</v>
      </c>
      <c r="DH17">
        <v>16.850999999999999</v>
      </c>
      <c r="DI17">
        <v>2</v>
      </c>
      <c r="DJ17">
        <v>-0.13453000000000001</v>
      </c>
      <c r="DK17">
        <v>1.70777</v>
      </c>
      <c r="DL17">
        <v>20.2211</v>
      </c>
      <c r="DM17">
        <v>5.2396900000000004</v>
      </c>
      <c r="DN17">
        <v>12.033899999999999</v>
      </c>
      <c r="DO17">
        <v>4.96516</v>
      </c>
      <c r="DP17">
        <v>3.2893599999999998</v>
      </c>
      <c r="DQ17">
        <v>537.6</v>
      </c>
      <c r="DR17">
        <v>9999</v>
      </c>
      <c r="DS17">
        <v>9999</v>
      </c>
      <c r="DT17">
        <v>9999</v>
      </c>
      <c r="DU17">
        <v>1.87113</v>
      </c>
      <c r="DV17">
        <v>1.8761099999999999</v>
      </c>
      <c r="DW17">
        <v>1.8763399999999999</v>
      </c>
      <c r="DX17">
        <v>1.8827799999999999</v>
      </c>
      <c r="DY17">
        <v>1.8755999999999999</v>
      </c>
      <c r="DZ17">
        <v>1.87469</v>
      </c>
      <c r="EA17">
        <v>1.87087</v>
      </c>
      <c r="EB17">
        <v>1.87466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-0.81399999999999995</v>
      </c>
      <c r="EQ17">
        <v>0.1067</v>
      </c>
      <c r="ER17">
        <v>-0.81336363636353304</v>
      </c>
      <c r="ES17">
        <v>0</v>
      </c>
      <c r="ET17">
        <v>0</v>
      </c>
      <c r="EU17">
        <v>0</v>
      </c>
      <c r="EV17">
        <v>0.1067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</v>
      </c>
      <c r="FE17">
        <v>0.1</v>
      </c>
      <c r="FF17">
        <v>1.24512</v>
      </c>
      <c r="FG17">
        <v>2.6049799999999999</v>
      </c>
      <c r="FH17">
        <v>2.19604</v>
      </c>
      <c r="FI17">
        <v>2.66113</v>
      </c>
      <c r="FJ17">
        <v>2.4462899999999999</v>
      </c>
      <c r="FK17">
        <v>2.2814899999999998</v>
      </c>
      <c r="FL17">
        <v>32.798000000000002</v>
      </c>
      <c r="FM17">
        <v>24.14</v>
      </c>
      <c r="FN17">
        <v>19</v>
      </c>
      <c r="FO17">
        <v>298.62700000000001</v>
      </c>
      <c r="FP17">
        <v>275.33</v>
      </c>
      <c r="FQ17">
        <v>18.069299999999998</v>
      </c>
      <c r="FR17">
        <v>25.308599999999998</v>
      </c>
      <c r="FS17">
        <v>30</v>
      </c>
      <c r="FT17">
        <v>25.363</v>
      </c>
      <c r="FU17">
        <v>25.3642</v>
      </c>
      <c r="FV17">
        <v>24.994299999999999</v>
      </c>
      <c r="FW17">
        <v>20.248100000000001</v>
      </c>
      <c r="FX17">
        <v>2.6266400000000001</v>
      </c>
      <c r="FY17">
        <v>18.1737</v>
      </c>
      <c r="FZ17">
        <v>410</v>
      </c>
      <c r="GA17">
        <v>15.3179</v>
      </c>
      <c r="GB17">
        <v>99.916300000000007</v>
      </c>
      <c r="GC17">
        <v>99.843400000000003</v>
      </c>
    </row>
    <row r="18" spans="1:185" x14ac:dyDescent="0.2">
      <c r="A18">
        <v>3</v>
      </c>
      <c r="B18">
        <v>1769200313</v>
      </c>
      <c r="C18">
        <v>42</v>
      </c>
      <c r="D18" t="s">
        <v>298</v>
      </c>
      <c r="E18" t="s">
        <v>299</v>
      </c>
      <c r="F18">
        <v>15</v>
      </c>
      <c r="G18">
        <v>1769200304.9333301</v>
      </c>
      <c r="H18">
        <f t="shared" si="0"/>
        <v>9.6911224195706468E-4</v>
      </c>
      <c r="I18">
        <v>0</v>
      </c>
      <c r="J18">
        <f t="shared" si="12"/>
        <v>-3.6551821008868352E-3</v>
      </c>
      <c r="K18">
        <f t="shared" si="1"/>
        <v>-9.4225386926575672E-2</v>
      </c>
      <c r="L18">
        <f t="shared" si="2"/>
        <v>72.837159018125291</v>
      </c>
      <c r="M18">
        <f t="shared" si="3"/>
        <v>1.594776824481249</v>
      </c>
      <c r="N18">
        <f t="shared" si="4"/>
        <v>2.1895099232033388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26284.032155045901</v>
      </c>
      <c r="T18">
        <f t="shared" si="8"/>
        <v>300.00006666666701</v>
      </c>
      <c r="U18">
        <f t="shared" si="9"/>
        <v>252.89993715997392</v>
      </c>
      <c r="V18">
        <f t="shared" si="10"/>
        <v>0.84299960320000022</v>
      </c>
      <c r="W18">
        <f t="shared" si="11"/>
        <v>0.15869908595200005</v>
      </c>
      <c r="X18">
        <v>1</v>
      </c>
      <c r="Y18">
        <v>1769200304.9333301</v>
      </c>
      <c r="Z18">
        <v>409.68453333333298</v>
      </c>
      <c r="AA18">
        <v>410.06286666666699</v>
      </c>
      <c r="AB18">
        <v>15.90408</v>
      </c>
      <c r="AC18">
        <v>14.7125</v>
      </c>
      <c r="AD18">
        <v>410.49786666666699</v>
      </c>
      <c r="AE18">
        <v>15.79738</v>
      </c>
      <c r="AF18">
        <v>800.36540000000002</v>
      </c>
      <c r="AG18">
        <v>100.20893333333299</v>
      </c>
      <c r="AH18">
        <v>6.5765013333333303E-2</v>
      </c>
      <c r="AI18">
        <v>18.885766666666701</v>
      </c>
      <c r="AJ18">
        <v>999.9</v>
      </c>
      <c r="AK18">
        <v>999.9</v>
      </c>
      <c r="AL18">
        <v>0</v>
      </c>
      <c r="AM18">
        <v>0</v>
      </c>
      <c r="AN18">
        <v>4999.4666666666699</v>
      </c>
      <c r="AO18">
        <v>0</v>
      </c>
      <c r="AP18">
        <v>1.5958553333333301</v>
      </c>
      <c r="AQ18">
        <v>-0.37836298666666701</v>
      </c>
      <c r="AR18">
        <v>416.30553333333302</v>
      </c>
      <c r="AS18">
        <v>416.18613333333298</v>
      </c>
      <c r="AT18">
        <v>1.1915736906666701</v>
      </c>
      <c r="AU18">
        <v>410.06286666666699</v>
      </c>
      <c r="AV18">
        <v>14.7125</v>
      </c>
      <c r="AW18">
        <v>1.5937286666666699</v>
      </c>
      <c r="AX18">
        <v>1.47432266666667</v>
      </c>
      <c r="AY18">
        <v>13.8938733333333</v>
      </c>
      <c r="AZ18">
        <v>12.70354</v>
      </c>
      <c r="BA18">
        <v>300.00006666666701</v>
      </c>
      <c r="BB18">
        <v>0.900012066666667</v>
      </c>
      <c r="BC18">
        <v>0</v>
      </c>
      <c r="BD18">
        <v>9.99878933333333E-2</v>
      </c>
      <c r="BE18">
        <v>0</v>
      </c>
      <c r="BF18">
        <v>24</v>
      </c>
      <c r="BG18">
        <v>4946.65333333333</v>
      </c>
      <c r="BH18">
        <v>1769200296</v>
      </c>
      <c r="BI18" t="s">
        <v>289</v>
      </c>
      <c r="BJ18">
        <v>1769200296</v>
      </c>
      <c r="BK18">
        <v>1769200293</v>
      </c>
      <c r="BL18">
        <v>13</v>
      </c>
      <c r="BM18">
        <v>-5.6000000000000001E-2</v>
      </c>
      <c r="BN18">
        <v>2.1000000000000001E-2</v>
      </c>
      <c r="BO18">
        <v>-0.81299999999999994</v>
      </c>
      <c r="BP18">
        <v>0.107</v>
      </c>
      <c r="BQ18">
        <v>410</v>
      </c>
      <c r="BR18">
        <v>15</v>
      </c>
      <c r="BS18">
        <v>0.3</v>
      </c>
      <c r="BT18">
        <v>0.04</v>
      </c>
      <c r="BU18">
        <v>-0.25720502380952398</v>
      </c>
      <c r="BV18">
        <v>-2.33070402077922</v>
      </c>
      <c r="BW18">
        <v>0.243691655499614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0.85170866714285698</v>
      </c>
      <c r="CD18">
        <v>6.5550306303896102</v>
      </c>
      <c r="CE18">
        <v>0.69128608941641601</v>
      </c>
      <c r="CF18">
        <v>0</v>
      </c>
      <c r="CG18">
        <v>0</v>
      </c>
      <c r="CH18">
        <v>2</v>
      </c>
      <c r="CI18" t="s">
        <v>290</v>
      </c>
      <c r="CJ18">
        <v>3.5325099999999998</v>
      </c>
      <c r="CK18">
        <v>2.7017500000000001</v>
      </c>
      <c r="CL18">
        <v>9.8022499999999999E-2</v>
      </c>
      <c r="CM18">
        <v>9.6753800000000001E-2</v>
      </c>
      <c r="CN18">
        <v>9.0094499999999994E-2</v>
      </c>
      <c r="CO18">
        <v>8.2030199999999998E-2</v>
      </c>
      <c r="CP18">
        <v>31640.7</v>
      </c>
      <c r="CQ18">
        <v>27843.200000000001</v>
      </c>
      <c r="CR18">
        <v>32466.400000000001</v>
      </c>
      <c r="CS18">
        <v>30751.8</v>
      </c>
      <c r="CT18">
        <v>40001.1</v>
      </c>
      <c r="CU18">
        <v>39703.1</v>
      </c>
      <c r="CV18">
        <v>47420</v>
      </c>
      <c r="CW18">
        <v>46904.7</v>
      </c>
      <c r="CX18">
        <v>2.6230199999999999</v>
      </c>
      <c r="CY18">
        <v>2.1241400000000001</v>
      </c>
      <c r="CZ18">
        <v>0</v>
      </c>
      <c r="DA18">
        <v>0</v>
      </c>
      <c r="DB18">
        <v>999.9</v>
      </c>
      <c r="DC18">
        <v>999.9</v>
      </c>
      <c r="DD18">
        <v>46.594000000000001</v>
      </c>
      <c r="DE18">
        <v>28.631</v>
      </c>
      <c r="DF18">
        <v>18.303000000000001</v>
      </c>
      <c r="DG18">
        <v>30.419899999999998</v>
      </c>
      <c r="DH18">
        <v>16.546500000000002</v>
      </c>
      <c r="DI18">
        <v>2</v>
      </c>
      <c r="DJ18">
        <v>-0.134657</v>
      </c>
      <c r="DK18">
        <v>1.4888300000000001</v>
      </c>
      <c r="DL18">
        <v>20.2258</v>
      </c>
      <c r="DM18">
        <v>5.2502399999999998</v>
      </c>
      <c r="DN18">
        <v>12.033899999999999</v>
      </c>
      <c r="DO18">
        <v>4.96692</v>
      </c>
      <c r="DP18">
        <v>3.2909999999999999</v>
      </c>
      <c r="DQ18">
        <v>537.6</v>
      </c>
      <c r="DR18">
        <v>9999</v>
      </c>
      <c r="DS18">
        <v>9999</v>
      </c>
      <c r="DT18">
        <v>9999</v>
      </c>
      <c r="DU18">
        <v>1.87113</v>
      </c>
      <c r="DV18">
        <v>1.87612</v>
      </c>
      <c r="DW18">
        <v>1.8763399999999999</v>
      </c>
      <c r="DX18">
        <v>1.8827799999999999</v>
      </c>
      <c r="DY18">
        <v>1.87561</v>
      </c>
      <c r="DZ18">
        <v>1.8746799999999999</v>
      </c>
      <c r="EA18">
        <v>1.87087</v>
      </c>
      <c r="EB18">
        <v>1.87466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-0.81399999999999995</v>
      </c>
      <c r="EQ18">
        <v>0.1067</v>
      </c>
      <c r="ER18">
        <v>-0.81336363636353304</v>
      </c>
      <c r="ES18">
        <v>0</v>
      </c>
      <c r="ET18">
        <v>0</v>
      </c>
      <c r="EU18">
        <v>0</v>
      </c>
      <c r="EV18">
        <v>0.1067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0.3</v>
      </c>
      <c r="FF18">
        <v>1.24512</v>
      </c>
      <c r="FG18">
        <v>2.6025399999999999</v>
      </c>
      <c r="FH18">
        <v>2.19604</v>
      </c>
      <c r="FI18">
        <v>2.66235</v>
      </c>
      <c r="FJ18">
        <v>2.4462899999999999</v>
      </c>
      <c r="FK18">
        <v>2.33521</v>
      </c>
      <c r="FL18">
        <v>32.798000000000002</v>
      </c>
      <c r="FM18">
        <v>24.148800000000001</v>
      </c>
      <c r="FN18">
        <v>19</v>
      </c>
      <c r="FO18">
        <v>863.10699999999997</v>
      </c>
      <c r="FP18">
        <v>570.10299999999995</v>
      </c>
      <c r="FQ18">
        <v>18.324100000000001</v>
      </c>
      <c r="FR18">
        <v>25.310700000000001</v>
      </c>
      <c r="FS18">
        <v>30</v>
      </c>
      <c r="FT18">
        <v>25.3523</v>
      </c>
      <c r="FU18">
        <v>25.351400000000002</v>
      </c>
      <c r="FV18">
        <v>24.981000000000002</v>
      </c>
      <c r="FW18">
        <v>25.623100000000001</v>
      </c>
      <c r="FX18">
        <v>2.25631</v>
      </c>
      <c r="FY18">
        <v>18.410900000000002</v>
      </c>
      <c r="FZ18">
        <v>410</v>
      </c>
      <c r="GA18">
        <v>14.080500000000001</v>
      </c>
      <c r="GB18">
        <v>99.915899999999993</v>
      </c>
      <c r="GC18">
        <v>99.844200000000001</v>
      </c>
    </row>
    <row r="19" spans="1:185" x14ac:dyDescent="0.2">
      <c r="A19">
        <v>4</v>
      </c>
      <c r="B19">
        <v>1769200328</v>
      </c>
      <c r="C19">
        <v>57</v>
      </c>
      <c r="D19" t="s">
        <v>300</v>
      </c>
      <c r="E19" t="s">
        <v>301</v>
      </c>
      <c r="F19">
        <v>15</v>
      </c>
      <c r="G19">
        <v>1769200319.9333301</v>
      </c>
      <c r="H19">
        <f t="shared" si="0"/>
        <v>1.4529456110030984E-3</v>
      </c>
      <c r="I19">
        <v>0</v>
      </c>
      <c r="J19">
        <f t="shared" si="12"/>
        <v>-6.8150982624581458E-3</v>
      </c>
      <c r="K19">
        <f t="shared" si="1"/>
        <v>-0.1756835235560357</v>
      </c>
      <c r="L19">
        <f t="shared" si="2"/>
        <v>72.97785959845433</v>
      </c>
      <c r="M19">
        <f t="shared" si="3"/>
        <v>1.6002908572507444</v>
      </c>
      <c r="N19">
        <f t="shared" si="4"/>
        <v>2.1928443312204768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26302.974197653934</v>
      </c>
      <c r="T19">
        <f t="shared" si="8"/>
        <v>299.99979999999999</v>
      </c>
      <c r="U19">
        <f t="shared" si="9"/>
        <v>252.89980782001561</v>
      </c>
      <c r="V19">
        <f t="shared" si="10"/>
        <v>0.84299992139999969</v>
      </c>
      <c r="W19">
        <f t="shared" si="11"/>
        <v>0.15869963460399994</v>
      </c>
      <c r="X19">
        <v>1</v>
      </c>
      <c r="Y19">
        <v>1769200319.9333301</v>
      </c>
      <c r="Z19">
        <v>409.542466666667</v>
      </c>
      <c r="AA19">
        <v>410.066666666667</v>
      </c>
      <c r="AB19">
        <v>15.9590533333333</v>
      </c>
      <c r="AC19">
        <v>14.171853333333299</v>
      </c>
      <c r="AD19">
        <v>410.35573333333298</v>
      </c>
      <c r="AE19">
        <v>15.8523533333333</v>
      </c>
      <c r="AF19">
        <v>799.99886666666703</v>
      </c>
      <c r="AG19">
        <v>100.210733333333</v>
      </c>
      <c r="AH19">
        <v>6.4065166666666701E-2</v>
      </c>
      <c r="AI19">
        <v>18.910133333333299</v>
      </c>
      <c r="AJ19">
        <v>999.9</v>
      </c>
      <c r="AK19">
        <v>999.9</v>
      </c>
      <c r="AL19">
        <v>0</v>
      </c>
      <c r="AM19">
        <v>0</v>
      </c>
      <c r="AN19">
        <v>5002.8666666666704</v>
      </c>
      <c r="AO19">
        <v>0</v>
      </c>
      <c r="AP19">
        <v>1.58087</v>
      </c>
      <c r="AQ19">
        <v>-0.52420246666666703</v>
      </c>
      <c r="AR19">
        <v>416.18439999999998</v>
      </c>
      <c r="AS19">
        <v>415.96159999999998</v>
      </c>
      <c r="AT19">
        <v>1.7872079999999999</v>
      </c>
      <c r="AU19">
        <v>410.066666666667</v>
      </c>
      <c r="AV19">
        <v>14.171853333333299</v>
      </c>
      <c r="AW19">
        <v>1.59926866666667</v>
      </c>
      <c r="AX19">
        <v>1.420172</v>
      </c>
      <c r="AY19">
        <v>13.951599999999999</v>
      </c>
      <c r="AZ19">
        <v>12.1342866666667</v>
      </c>
      <c r="BA19">
        <v>299.99979999999999</v>
      </c>
      <c r="BB19">
        <v>0.90000513333333299</v>
      </c>
      <c r="BC19">
        <v>0</v>
      </c>
      <c r="BD19">
        <v>9.9994953333333303E-2</v>
      </c>
      <c r="BE19">
        <v>0</v>
      </c>
      <c r="BF19">
        <v>24</v>
      </c>
      <c r="BG19">
        <v>4946.6393333333299</v>
      </c>
      <c r="BH19">
        <v>1769200296</v>
      </c>
      <c r="BI19" t="s">
        <v>289</v>
      </c>
      <c r="BJ19">
        <v>1769200296</v>
      </c>
      <c r="BK19">
        <v>1769200293</v>
      </c>
      <c r="BL19">
        <v>13</v>
      </c>
      <c r="BM19">
        <v>-5.6000000000000001E-2</v>
      </c>
      <c r="BN19">
        <v>2.1000000000000001E-2</v>
      </c>
      <c r="BO19">
        <v>-0.81299999999999994</v>
      </c>
      <c r="BP19">
        <v>0.107</v>
      </c>
      <c r="BQ19">
        <v>410</v>
      </c>
      <c r="BR19">
        <v>15</v>
      </c>
      <c r="BS19">
        <v>0.3</v>
      </c>
      <c r="BT19">
        <v>0.04</v>
      </c>
      <c r="BU19">
        <v>-0.51909819047618999</v>
      </c>
      <c r="BV19">
        <v>-4.5115090909091299E-2</v>
      </c>
      <c r="BW19">
        <v>1.45934013484211E-2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1.71861857142857</v>
      </c>
      <c r="CD19">
        <v>0.99116415584415596</v>
      </c>
      <c r="CE19">
        <v>0.106720148108241</v>
      </c>
      <c r="CF19">
        <v>0</v>
      </c>
      <c r="CG19">
        <v>1</v>
      </c>
      <c r="CH19">
        <v>2</v>
      </c>
      <c r="CI19" t="s">
        <v>302</v>
      </c>
      <c r="CJ19">
        <v>3.5324900000000001</v>
      </c>
      <c r="CK19">
        <v>2.7017199999999999</v>
      </c>
      <c r="CL19">
        <v>9.7997200000000007E-2</v>
      </c>
      <c r="CM19">
        <v>9.6732200000000004E-2</v>
      </c>
      <c r="CN19">
        <v>8.8983499999999993E-2</v>
      </c>
      <c r="CO19">
        <v>8.0391699999999996E-2</v>
      </c>
      <c r="CP19">
        <v>31641</v>
      </c>
      <c r="CQ19">
        <v>27842.799999999999</v>
      </c>
      <c r="CR19">
        <v>32465.8</v>
      </c>
      <c r="CS19">
        <v>30750.7</v>
      </c>
      <c r="CT19">
        <v>40051</v>
      </c>
      <c r="CU19">
        <v>39774.6</v>
      </c>
      <c r="CV19">
        <v>47419.3</v>
      </c>
      <c r="CW19">
        <v>46903.199999999997</v>
      </c>
      <c r="CX19">
        <v>2.62548</v>
      </c>
      <c r="CY19">
        <v>2.1242000000000001</v>
      </c>
      <c r="CZ19">
        <v>0</v>
      </c>
      <c r="DA19">
        <v>0</v>
      </c>
      <c r="DB19">
        <v>999.9</v>
      </c>
      <c r="DC19">
        <v>999.9</v>
      </c>
      <c r="DD19">
        <v>46.576000000000001</v>
      </c>
      <c r="DE19">
        <v>28.631</v>
      </c>
      <c r="DF19">
        <v>18.297699999999999</v>
      </c>
      <c r="DG19">
        <v>30.239899999999999</v>
      </c>
      <c r="DH19">
        <v>16.506399999999999</v>
      </c>
      <c r="DI19">
        <v>2</v>
      </c>
      <c r="DJ19">
        <v>-0.13488</v>
      </c>
      <c r="DK19">
        <v>1.3873800000000001</v>
      </c>
      <c r="DL19">
        <v>20.226600000000001</v>
      </c>
      <c r="DM19">
        <v>5.2488000000000001</v>
      </c>
      <c r="DN19">
        <v>12.033899999999999</v>
      </c>
      <c r="DO19">
        <v>4.9671599999999998</v>
      </c>
      <c r="DP19">
        <v>3.29074</v>
      </c>
      <c r="DQ19">
        <v>537.6</v>
      </c>
      <c r="DR19">
        <v>9999</v>
      </c>
      <c r="DS19">
        <v>9999</v>
      </c>
      <c r="DT19">
        <v>9999</v>
      </c>
      <c r="DU19">
        <v>1.8711500000000001</v>
      </c>
      <c r="DV19">
        <v>1.8761300000000001</v>
      </c>
      <c r="DW19">
        <v>1.87636</v>
      </c>
      <c r="DX19">
        <v>1.8828</v>
      </c>
      <c r="DY19">
        <v>1.87561</v>
      </c>
      <c r="DZ19">
        <v>1.87469</v>
      </c>
      <c r="EA19">
        <v>1.87087</v>
      </c>
      <c r="EB19">
        <v>1.8746700000000001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-0.81299999999999994</v>
      </c>
      <c r="EQ19">
        <v>0.1067</v>
      </c>
      <c r="ER19">
        <v>-0.81336363636353304</v>
      </c>
      <c r="ES19">
        <v>0</v>
      </c>
      <c r="ET19">
        <v>0</v>
      </c>
      <c r="EU19">
        <v>0</v>
      </c>
      <c r="EV19">
        <v>0.1067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0.5</v>
      </c>
      <c r="FE19">
        <v>0.6</v>
      </c>
      <c r="FF19">
        <v>1.2439</v>
      </c>
      <c r="FG19">
        <v>2.6000999999999999</v>
      </c>
      <c r="FH19">
        <v>2.19604</v>
      </c>
      <c r="FI19">
        <v>2.66235</v>
      </c>
      <c r="FJ19">
        <v>2.4462899999999999</v>
      </c>
      <c r="FK19">
        <v>2.2912599999999999</v>
      </c>
      <c r="FL19">
        <v>32.798000000000002</v>
      </c>
      <c r="FM19">
        <v>24.148800000000001</v>
      </c>
      <c r="FN19">
        <v>19</v>
      </c>
      <c r="FO19">
        <v>865.32299999999998</v>
      </c>
      <c r="FP19">
        <v>570.12599999999998</v>
      </c>
      <c r="FQ19">
        <v>18.536100000000001</v>
      </c>
      <c r="FR19">
        <v>25.310700000000001</v>
      </c>
      <c r="FS19">
        <v>30</v>
      </c>
      <c r="FT19">
        <v>25.347999999999999</v>
      </c>
      <c r="FU19">
        <v>25.349299999999999</v>
      </c>
      <c r="FV19">
        <v>24.9756</v>
      </c>
      <c r="FW19">
        <v>27.3992</v>
      </c>
      <c r="FX19">
        <v>2.25631</v>
      </c>
      <c r="FY19">
        <v>18.5946</v>
      </c>
      <c r="FZ19">
        <v>410</v>
      </c>
      <c r="GA19">
        <v>13.8278</v>
      </c>
      <c r="GB19">
        <v>99.914400000000001</v>
      </c>
      <c r="GC19">
        <v>99.840699999999998</v>
      </c>
    </row>
    <row r="20" spans="1:185" x14ac:dyDescent="0.2">
      <c r="A20">
        <v>5</v>
      </c>
      <c r="B20">
        <v>1769200343</v>
      </c>
      <c r="C20">
        <v>72</v>
      </c>
      <c r="D20" t="s">
        <v>303</v>
      </c>
      <c r="E20" t="s">
        <v>304</v>
      </c>
      <c r="F20">
        <v>15</v>
      </c>
      <c r="G20">
        <v>1769200334.9333301</v>
      </c>
      <c r="H20">
        <f t="shared" si="0"/>
        <v>1.4903574311886467E-3</v>
      </c>
      <c r="I20">
        <v>0</v>
      </c>
      <c r="J20">
        <f t="shared" si="12"/>
        <v>-5.961921270079871E-3</v>
      </c>
      <c r="K20">
        <f t="shared" si="1"/>
        <v>-0.15368983623627391</v>
      </c>
      <c r="L20">
        <f t="shared" si="2"/>
        <v>71.70046732729412</v>
      </c>
      <c r="M20">
        <f t="shared" si="3"/>
        <v>1.5762217338998954</v>
      </c>
      <c r="N20">
        <f t="shared" si="4"/>
        <v>2.1983423437184171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26252.437040647666</v>
      </c>
      <c r="T20">
        <f t="shared" si="8"/>
        <v>299.99979999999999</v>
      </c>
      <c r="U20">
        <f t="shared" si="9"/>
        <v>252.89972412007148</v>
      </c>
      <c r="V20">
        <f t="shared" si="10"/>
        <v>0.84299964239999992</v>
      </c>
      <c r="W20">
        <f t="shared" si="11"/>
        <v>0.15869887214400002</v>
      </c>
      <c r="X20">
        <v>1</v>
      </c>
      <c r="Y20">
        <v>1769200334.9333301</v>
      </c>
      <c r="Z20">
        <v>409.44686666666701</v>
      </c>
      <c r="AA20">
        <v>410.01753333333301</v>
      </c>
      <c r="AB20">
        <v>15.7192333333333</v>
      </c>
      <c r="AC20">
        <v>13.885566666666699</v>
      </c>
      <c r="AD20">
        <v>410.26013333333299</v>
      </c>
      <c r="AE20">
        <v>15.6125333333333</v>
      </c>
      <c r="AF20">
        <v>799.99826666666695</v>
      </c>
      <c r="AG20">
        <v>100.209466666667</v>
      </c>
      <c r="AH20">
        <v>6.3981819999999995E-2</v>
      </c>
      <c r="AI20">
        <v>18.950240000000001</v>
      </c>
      <c r="AJ20">
        <v>999.9</v>
      </c>
      <c r="AK20">
        <v>999.9</v>
      </c>
      <c r="AL20">
        <v>0</v>
      </c>
      <c r="AM20">
        <v>0</v>
      </c>
      <c r="AN20">
        <v>4995.2</v>
      </c>
      <c r="AO20">
        <v>0</v>
      </c>
      <c r="AP20">
        <v>1.58463666666667</v>
      </c>
      <c r="AQ20">
        <v>-0.57068066666666695</v>
      </c>
      <c r="AR20">
        <v>415.98579999999998</v>
      </c>
      <c r="AS20">
        <v>415.79106666666701</v>
      </c>
      <c r="AT20">
        <v>1.8336733333333299</v>
      </c>
      <c r="AU20">
        <v>410.01753333333301</v>
      </c>
      <c r="AV20">
        <v>13.885566666666699</v>
      </c>
      <c r="AW20">
        <v>1.5752173333333299</v>
      </c>
      <c r="AX20">
        <v>1.39146533333333</v>
      </c>
      <c r="AY20">
        <v>13.71838</v>
      </c>
      <c r="AZ20">
        <v>11.824806666666699</v>
      </c>
      <c r="BA20">
        <v>299.99979999999999</v>
      </c>
      <c r="BB20">
        <v>0.90001540000000002</v>
      </c>
      <c r="BC20">
        <v>0</v>
      </c>
      <c r="BD20">
        <v>9.9984719999999999E-2</v>
      </c>
      <c r="BE20">
        <v>0</v>
      </c>
      <c r="BF20">
        <v>24</v>
      </c>
      <c r="BG20">
        <v>4946.6540000000005</v>
      </c>
      <c r="BH20">
        <v>1769200296</v>
      </c>
      <c r="BI20" t="s">
        <v>289</v>
      </c>
      <c r="BJ20">
        <v>1769200296</v>
      </c>
      <c r="BK20">
        <v>1769200293</v>
      </c>
      <c r="BL20">
        <v>13</v>
      </c>
      <c r="BM20">
        <v>-5.6000000000000001E-2</v>
      </c>
      <c r="BN20">
        <v>2.1000000000000001E-2</v>
      </c>
      <c r="BO20">
        <v>-0.81299999999999994</v>
      </c>
      <c r="BP20">
        <v>0.107</v>
      </c>
      <c r="BQ20">
        <v>410</v>
      </c>
      <c r="BR20">
        <v>15</v>
      </c>
      <c r="BS20">
        <v>0.3</v>
      </c>
      <c r="BT20">
        <v>0.04</v>
      </c>
      <c r="BU20">
        <v>-0.55474544999999997</v>
      </c>
      <c r="BV20">
        <v>-0.207930721804512</v>
      </c>
      <c r="BW20">
        <v>2.3725175757989599E-2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1.8302484999999999</v>
      </c>
      <c r="CD20">
        <v>7.1075639097744406E-2</v>
      </c>
      <c r="CE20">
        <v>8.7153463930012692E-3</v>
      </c>
      <c r="CF20">
        <v>1</v>
      </c>
      <c r="CG20">
        <v>2</v>
      </c>
      <c r="CH20">
        <v>2</v>
      </c>
      <c r="CI20" t="s">
        <v>297</v>
      </c>
      <c r="CJ20">
        <v>3.5325099999999998</v>
      </c>
      <c r="CK20">
        <v>2.7016399999999998</v>
      </c>
      <c r="CL20">
        <v>9.7978499999999996E-2</v>
      </c>
      <c r="CM20">
        <v>9.6727800000000003E-2</v>
      </c>
      <c r="CN20">
        <v>8.8107000000000005E-2</v>
      </c>
      <c r="CO20">
        <v>7.9568899999999998E-2</v>
      </c>
      <c r="CP20">
        <v>31641.5</v>
      </c>
      <c r="CQ20">
        <v>27843.1</v>
      </c>
      <c r="CR20">
        <v>32465.599999999999</v>
      </c>
      <c r="CS20">
        <v>30750.9</v>
      </c>
      <c r="CT20">
        <v>40090.6</v>
      </c>
      <c r="CU20">
        <v>39811.4</v>
      </c>
      <c r="CV20">
        <v>47419</v>
      </c>
      <c r="CW20">
        <v>46903.5</v>
      </c>
      <c r="CX20">
        <v>2.62622</v>
      </c>
      <c r="CY20">
        <v>2.1242399999999999</v>
      </c>
      <c r="CZ20">
        <v>0</v>
      </c>
      <c r="DA20">
        <v>0</v>
      </c>
      <c r="DB20">
        <v>999.9</v>
      </c>
      <c r="DC20">
        <v>999.9</v>
      </c>
      <c r="DD20">
        <v>46.576000000000001</v>
      </c>
      <c r="DE20">
        <v>28.631</v>
      </c>
      <c r="DF20">
        <v>18.296099999999999</v>
      </c>
      <c r="DG20">
        <v>30.479900000000001</v>
      </c>
      <c r="DH20">
        <v>16.546500000000002</v>
      </c>
      <c r="DI20">
        <v>2</v>
      </c>
      <c r="DJ20">
        <v>-0.13445099999999999</v>
      </c>
      <c r="DK20">
        <v>1.4213199999999999</v>
      </c>
      <c r="DL20">
        <v>20.2257</v>
      </c>
      <c r="DM20">
        <v>5.2474800000000004</v>
      </c>
      <c r="DN20">
        <v>12.033899999999999</v>
      </c>
      <c r="DO20">
        <v>4.96652</v>
      </c>
      <c r="DP20">
        <v>3.2905199999999999</v>
      </c>
      <c r="DQ20">
        <v>537.6</v>
      </c>
      <c r="DR20">
        <v>9999</v>
      </c>
      <c r="DS20">
        <v>9999</v>
      </c>
      <c r="DT20">
        <v>9999</v>
      </c>
      <c r="DU20">
        <v>1.8711199999999999</v>
      </c>
      <c r="DV20">
        <v>1.8761000000000001</v>
      </c>
      <c r="DW20">
        <v>1.87635</v>
      </c>
      <c r="DX20">
        <v>1.88279</v>
      </c>
      <c r="DY20">
        <v>1.87561</v>
      </c>
      <c r="DZ20">
        <v>1.87469</v>
      </c>
      <c r="EA20">
        <v>1.87087</v>
      </c>
      <c r="EB20">
        <v>1.87463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-0.81399999999999995</v>
      </c>
      <c r="EQ20">
        <v>0.1067</v>
      </c>
      <c r="ER20">
        <v>-0.81336363636353304</v>
      </c>
      <c r="ES20">
        <v>0</v>
      </c>
      <c r="ET20">
        <v>0</v>
      </c>
      <c r="EU20">
        <v>0</v>
      </c>
      <c r="EV20">
        <v>0.1067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0.8</v>
      </c>
      <c r="FF20">
        <v>1.2439</v>
      </c>
      <c r="FG20">
        <v>2.6037599999999999</v>
      </c>
      <c r="FH20">
        <v>2.19604</v>
      </c>
      <c r="FI20">
        <v>2.66235</v>
      </c>
      <c r="FJ20">
        <v>2.4462899999999999</v>
      </c>
      <c r="FK20">
        <v>2.36206</v>
      </c>
      <c r="FL20">
        <v>32.798000000000002</v>
      </c>
      <c r="FM20">
        <v>24.148800000000001</v>
      </c>
      <c r="FN20">
        <v>19</v>
      </c>
      <c r="FO20">
        <v>865.97799999999995</v>
      </c>
      <c r="FP20">
        <v>570.15599999999995</v>
      </c>
      <c r="FQ20">
        <v>18.673100000000002</v>
      </c>
      <c r="FR20">
        <v>25.310700000000001</v>
      </c>
      <c r="FS20">
        <v>30.0002</v>
      </c>
      <c r="FT20">
        <v>25.3459</v>
      </c>
      <c r="FU20">
        <v>25.349299999999999</v>
      </c>
      <c r="FV20">
        <v>24.972200000000001</v>
      </c>
      <c r="FW20">
        <v>27.989100000000001</v>
      </c>
      <c r="FX20">
        <v>2.25631</v>
      </c>
      <c r="FY20">
        <v>18.692699999999999</v>
      </c>
      <c r="FZ20">
        <v>410</v>
      </c>
      <c r="GA20">
        <v>13.762</v>
      </c>
      <c r="GB20">
        <v>99.913799999999995</v>
      </c>
      <c r="GC20">
        <v>99.841300000000004</v>
      </c>
    </row>
    <row r="21" spans="1:185" x14ac:dyDescent="0.2">
      <c r="A21">
        <v>6</v>
      </c>
      <c r="B21">
        <v>1769200358</v>
      </c>
      <c r="C21">
        <v>87</v>
      </c>
      <c r="D21" t="s">
        <v>305</v>
      </c>
      <c r="E21" t="s">
        <v>306</v>
      </c>
      <c r="F21">
        <v>15</v>
      </c>
      <c r="G21">
        <v>1769200349.9333301</v>
      </c>
      <c r="H21">
        <f t="shared" si="0"/>
        <v>1.4443174857352464E-3</v>
      </c>
      <c r="I21">
        <v>0</v>
      </c>
      <c r="J21">
        <f t="shared" si="12"/>
        <v>-3.6413441441528025E-3</v>
      </c>
      <c r="K21">
        <f t="shared" si="1"/>
        <v>-9.3868664117274028E-2</v>
      </c>
      <c r="L21">
        <f t="shared" si="2"/>
        <v>70.743083194254638</v>
      </c>
      <c r="M21">
        <f t="shared" si="3"/>
        <v>1.5594636951880867</v>
      </c>
      <c r="N21">
        <f t="shared" si="4"/>
        <v>2.2044044799488436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26326.404916305895</v>
      </c>
      <c r="T21">
        <f t="shared" si="8"/>
        <v>300.00073333333302</v>
      </c>
      <c r="U21">
        <f t="shared" si="9"/>
        <v>252.9005094797339</v>
      </c>
      <c r="V21">
        <f t="shared" si="10"/>
        <v>0.84299963759999974</v>
      </c>
      <c r="W21">
        <f t="shared" si="11"/>
        <v>0.15869919793599996</v>
      </c>
      <c r="X21">
        <v>1</v>
      </c>
      <c r="Y21">
        <v>1769200349.9333301</v>
      </c>
      <c r="Z21">
        <v>409.36779999999999</v>
      </c>
      <c r="AA21">
        <v>409.98953333333299</v>
      </c>
      <c r="AB21">
        <v>15.551873333333299</v>
      </c>
      <c r="AC21">
        <v>13.774559999999999</v>
      </c>
      <c r="AD21">
        <v>410.18106666666699</v>
      </c>
      <c r="AE21">
        <v>15.445173333333299</v>
      </c>
      <c r="AF21">
        <v>800.00279999999998</v>
      </c>
      <c r="AG21">
        <v>100.210866666667</v>
      </c>
      <c r="AH21">
        <v>6.4107399999999995E-2</v>
      </c>
      <c r="AI21">
        <v>18.99436</v>
      </c>
      <c r="AJ21">
        <v>999.9</v>
      </c>
      <c r="AK21">
        <v>999.9</v>
      </c>
      <c r="AL21">
        <v>0</v>
      </c>
      <c r="AM21">
        <v>0</v>
      </c>
      <c r="AN21">
        <v>5007.9666666666699</v>
      </c>
      <c r="AO21">
        <v>0</v>
      </c>
      <c r="AP21">
        <v>1.5839586666666701</v>
      </c>
      <c r="AQ21">
        <v>-0.62187086666666702</v>
      </c>
      <c r="AR21">
        <v>415.83473333333302</v>
      </c>
      <c r="AS21">
        <v>415.71606666666702</v>
      </c>
      <c r="AT21">
        <v>1.777298</v>
      </c>
      <c r="AU21">
        <v>409.98953333333299</v>
      </c>
      <c r="AV21">
        <v>13.774559999999999</v>
      </c>
      <c r="AW21">
        <v>1.558468</v>
      </c>
      <c r="AX21">
        <v>1.3803620000000001</v>
      </c>
      <c r="AY21">
        <v>13.55414</v>
      </c>
      <c r="AZ21">
        <v>11.703613333333299</v>
      </c>
      <c r="BA21">
        <v>300.00073333333302</v>
      </c>
      <c r="BB21">
        <v>0.90001053333333303</v>
      </c>
      <c r="BC21">
        <v>0</v>
      </c>
      <c r="BD21">
        <v>9.9989413333333402E-2</v>
      </c>
      <c r="BE21">
        <v>0</v>
      </c>
      <c r="BF21">
        <v>24</v>
      </c>
      <c r="BG21">
        <v>4946.6613333333298</v>
      </c>
      <c r="BH21">
        <v>1769200296</v>
      </c>
      <c r="BI21" t="s">
        <v>289</v>
      </c>
      <c r="BJ21">
        <v>1769200296</v>
      </c>
      <c r="BK21">
        <v>1769200293</v>
      </c>
      <c r="BL21">
        <v>13</v>
      </c>
      <c r="BM21">
        <v>-5.6000000000000001E-2</v>
      </c>
      <c r="BN21">
        <v>2.1000000000000001E-2</v>
      </c>
      <c r="BO21">
        <v>-0.81299999999999994</v>
      </c>
      <c r="BP21">
        <v>0.107</v>
      </c>
      <c r="BQ21">
        <v>410</v>
      </c>
      <c r="BR21">
        <v>15</v>
      </c>
      <c r="BS21">
        <v>0.3</v>
      </c>
      <c r="BT21">
        <v>0.04</v>
      </c>
      <c r="BU21">
        <v>-0.60811357142857103</v>
      </c>
      <c r="BV21">
        <v>-0.24878610389610301</v>
      </c>
      <c r="BW21">
        <v>4.1971540501325698E-2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1.7984980952381</v>
      </c>
      <c r="CD21">
        <v>-0.33320727272727202</v>
      </c>
      <c r="CE21">
        <v>3.4077502230601402E-2</v>
      </c>
      <c r="CF21">
        <v>0</v>
      </c>
      <c r="CG21">
        <v>1</v>
      </c>
      <c r="CH21">
        <v>2</v>
      </c>
      <c r="CI21" t="s">
        <v>302</v>
      </c>
      <c r="CJ21">
        <v>3.5325700000000002</v>
      </c>
      <c r="CK21">
        <v>2.70207</v>
      </c>
      <c r="CL21">
        <v>9.79709E-2</v>
      </c>
      <c r="CM21">
        <v>9.6723400000000001E-2</v>
      </c>
      <c r="CN21">
        <v>8.7574100000000002E-2</v>
      </c>
      <c r="CO21">
        <v>7.9430000000000001E-2</v>
      </c>
      <c r="CP21">
        <v>31641.200000000001</v>
      </c>
      <c r="CQ21">
        <v>27843.4</v>
      </c>
      <c r="CR21">
        <v>32465.1</v>
      </c>
      <c r="CS21">
        <v>30751.1</v>
      </c>
      <c r="CT21">
        <v>40114.199999999997</v>
      </c>
      <c r="CU21">
        <v>39817.9</v>
      </c>
      <c r="CV21">
        <v>47418.400000000001</v>
      </c>
      <c r="CW21">
        <v>46903.8</v>
      </c>
      <c r="CX21">
        <v>2.6263999999999998</v>
      </c>
      <c r="CY21">
        <v>2.1240600000000001</v>
      </c>
      <c r="CZ21">
        <v>0</v>
      </c>
      <c r="DA21">
        <v>0</v>
      </c>
      <c r="DB21">
        <v>999.9</v>
      </c>
      <c r="DC21">
        <v>999.9</v>
      </c>
      <c r="DD21">
        <v>46.576000000000001</v>
      </c>
      <c r="DE21">
        <v>28.631</v>
      </c>
      <c r="DF21">
        <v>18.2972</v>
      </c>
      <c r="DG21">
        <v>29.9999</v>
      </c>
      <c r="DH21">
        <v>16.470400000000001</v>
      </c>
      <c r="DI21">
        <v>2</v>
      </c>
      <c r="DJ21">
        <v>-0.133711</v>
      </c>
      <c r="DK21">
        <v>1.5523899999999999</v>
      </c>
      <c r="DL21">
        <v>20.225200000000001</v>
      </c>
      <c r="DM21">
        <v>5.2509499999999996</v>
      </c>
      <c r="DN21">
        <v>12.033899999999999</v>
      </c>
      <c r="DO21">
        <v>4.9672000000000001</v>
      </c>
      <c r="DP21">
        <v>3.2909999999999999</v>
      </c>
      <c r="DQ21">
        <v>537.6</v>
      </c>
      <c r="DR21">
        <v>9999</v>
      </c>
      <c r="DS21">
        <v>9999</v>
      </c>
      <c r="DT21">
        <v>9999</v>
      </c>
      <c r="DU21">
        <v>1.87113</v>
      </c>
      <c r="DV21">
        <v>1.87608</v>
      </c>
      <c r="DW21">
        <v>1.87632</v>
      </c>
      <c r="DX21">
        <v>1.88279</v>
      </c>
      <c r="DY21">
        <v>1.87561</v>
      </c>
      <c r="DZ21">
        <v>1.8746700000000001</v>
      </c>
      <c r="EA21">
        <v>1.8708499999999999</v>
      </c>
      <c r="EB21">
        <v>1.8746100000000001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-0.81399999999999995</v>
      </c>
      <c r="EQ21">
        <v>0.1067</v>
      </c>
      <c r="ER21">
        <v>-0.81336363636353304</v>
      </c>
      <c r="ES21">
        <v>0</v>
      </c>
      <c r="ET21">
        <v>0</v>
      </c>
      <c r="EU21">
        <v>0</v>
      </c>
      <c r="EV21">
        <v>0.1067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</v>
      </c>
      <c r="FE21">
        <v>1.1000000000000001</v>
      </c>
      <c r="FF21">
        <v>1.2439</v>
      </c>
      <c r="FG21">
        <v>2.6000999999999999</v>
      </c>
      <c r="FH21">
        <v>2.19604</v>
      </c>
      <c r="FI21">
        <v>2.66235</v>
      </c>
      <c r="FJ21">
        <v>2.4462899999999999</v>
      </c>
      <c r="FK21">
        <v>2.3327599999999999</v>
      </c>
      <c r="FL21">
        <v>32.798000000000002</v>
      </c>
      <c r="FM21">
        <v>24.148800000000001</v>
      </c>
      <c r="FN21">
        <v>19</v>
      </c>
      <c r="FO21">
        <v>866.14499999999998</v>
      </c>
      <c r="FP21">
        <v>570.005</v>
      </c>
      <c r="FQ21">
        <v>18.715399999999999</v>
      </c>
      <c r="FR21">
        <v>25.310700000000001</v>
      </c>
      <c r="FS21">
        <v>30.000299999999999</v>
      </c>
      <c r="FT21">
        <v>25.3459</v>
      </c>
      <c r="FU21">
        <v>25.347999999999999</v>
      </c>
      <c r="FV21">
        <v>24.976199999999999</v>
      </c>
      <c r="FW21">
        <v>27.989100000000001</v>
      </c>
      <c r="FX21">
        <v>1.8825499999999999</v>
      </c>
      <c r="FY21">
        <v>18.189</v>
      </c>
      <c r="FZ21">
        <v>410</v>
      </c>
      <c r="GA21">
        <v>13.743499999999999</v>
      </c>
      <c r="GB21">
        <v>99.912199999999999</v>
      </c>
      <c r="GC21">
        <v>99.841999999999999</v>
      </c>
    </row>
    <row r="22" spans="1:185" x14ac:dyDescent="0.2">
      <c r="A22">
        <v>7</v>
      </c>
      <c r="B22">
        <v>1769200373</v>
      </c>
      <c r="C22">
        <v>102</v>
      </c>
      <c r="D22" t="s">
        <v>307</v>
      </c>
      <c r="E22" t="s">
        <v>308</v>
      </c>
      <c r="F22">
        <v>15</v>
      </c>
      <c r="G22">
        <v>1769200364.9333301</v>
      </c>
      <c r="H22">
        <f t="shared" si="0"/>
        <v>1.3680041017392188E-3</v>
      </c>
      <c r="I22">
        <v>0</v>
      </c>
      <c r="J22">
        <f t="shared" si="12"/>
        <v>-8.0822950729005723E-4</v>
      </c>
      <c r="K22">
        <f t="shared" si="1"/>
        <v>-2.0835005192054327E-2</v>
      </c>
      <c r="L22">
        <f t="shared" si="2"/>
        <v>70.140671181824828</v>
      </c>
      <c r="M22">
        <f t="shared" si="3"/>
        <v>1.5486224867666862</v>
      </c>
      <c r="N22">
        <f t="shared" si="4"/>
        <v>2.2078809065744616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26293.773025541785</v>
      </c>
      <c r="T22">
        <f t="shared" si="8"/>
        <v>300.00053333333301</v>
      </c>
      <c r="U22">
        <f t="shared" si="9"/>
        <v>252.90043183996804</v>
      </c>
      <c r="V22">
        <f t="shared" si="10"/>
        <v>0.84299994079999963</v>
      </c>
      <c r="W22">
        <f t="shared" si="11"/>
        <v>0.15869977404799995</v>
      </c>
      <c r="X22">
        <v>1</v>
      </c>
      <c r="Y22">
        <v>1769200364.9333301</v>
      </c>
      <c r="Z22">
        <v>409.344333333333</v>
      </c>
      <c r="AA22">
        <v>410.01826666666699</v>
      </c>
      <c r="AB22">
        <v>15.443766666666701</v>
      </c>
      <c r="AC22">
        <v>13.76018</v>
      </c>
      <c r="AD22">
        <v>410.157733333333</v>
      </c>
      <c r="AE22">
        <v>15.337066666666701</v>
      </c>
      <c r="AF22">
        <v>800.00453333333303</v>
      </c>
      <c r="AG22">
        <v>100.210933333333</v>
      </c>
      <c r="AH22">
        <v>6.3987946666666698E-2</v>
      </c>
      <c r="AI22">
        <v>19.0196133333333</v>
      </c>
      <c r="AJ22">
        <v>999.9</v>
      </c>
      <c r="AK22">
        <v>999.9</v>
      </c>
      <c r="AL22">
        <v>0</v>
      </c>
      <c r="AM22">
        <v>0</v>
      </c>
      <c r="AN22">
        <v>5002.9666666666699</v>
      </c>
      <c r="AO22">
        <v>0</v>
      </c>
      <c r="AP22">
        <v>1.58087</v>
      </c>
      <c r="AQ22">
        <v>-0.67383426666666701</v>
      </c>
      <c r="AR22">
        <v>415.765266666667</v>
      </c>
      <c r="AS22">
        <v>415.73886666666698</v>
      </c>
      <c r="AT22">
        <v>1.6835979999999999</v>
      </c>
      <c r="AU22">
        <v>410.01826666666699</v>
      </c>
      <c r="AV22">
        <v>13.76018</v>
      </c>
      <c r="AW22">
        <v>1.54763266666667</v>
      </c>
      <c r="AX22">
        <v>1.3789166666666699</v>
      </c>
      <c r="AY22">
        <v>13.447013333333301</v>
      </c>
      <c r="AZ22">
        <v>11.6877666666667</v>
      </c>
      <c r="BA22">
        <v>300.00053333333301</v>
      </c>
      <c r="BB22">
        <v>0.90000313333333304</v>
      </c>
      <c r="BC22">
        <v>0</v>
      </c>
      <c r="BD22">
        <v>9.9996906666666593E-2</v>
      </c>
      <c r="BE22">
        <v>0</v>
      </c>
      <c r="BF22">
        <v>24</v>
      </c>
      <c r="BG22">
        <v>4946.6433333333298</v>
      </c>
      <c r="BH22">
        <v>1769200296</v>
      </c>
      <c r="BI22" t="s">
        <v>289</v>
      </c>
      <c r="BJ22">
        <v>1769200296</v>
      </c>
      <c r="BK22">
        <v>1769200293</v>
      </c>
      <c r="BL22">
        <v>13</v>
      </c>
      <c r="BM22">
        <v>-5.6000000000000001E-2</v>
      </c>
      <c r="BN22">
        <v>2.1000000000000001E-2</v>
      </c>
      <c r="BO22">
        <v>-0.81299999999999994</v>
      </c>
      <c r="BP22">
        <v>0.107</v>
      </c>
      <c r="BQ22">
        <v>410</v>
      </c>
      <c r="BR22">
        <v>15</v>
      </c>
      <c r="BS22">
        <v>0.3</v>
      </c>
      <c r="BT22">
        <v>0.04</v>
      </c>
      <c r="BU22">
        <v>-0.67054100000000005</v>
      </c>
      <c r="BV22">
        <v>-2.99337662337671E-2</v>
      </c>
      <c r="BW22">
        <v>1.46963843334403E-2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1.7014009523809499</v>
      </c>
      <c r="CD22">
        <v>-0.37360285714285801</v>
      </c>
      <c r="CE22">
        <v>3.7775879921649401E-2</v>
      </c>
      <c r="CF22">
        <v>0</v>
      </c>
      <c r="CG22">
        <v>1</v>
      </c>
      <c r="CH22">
        <v>2</v>
      </c>
      <c r="CI22" t="s">
        <v>302</v>
      </c>
      <c r="CJ22">
        <v>3.5325099999999998</v>
      </c>
      <c r="CK22">
        <v>2.7015699999999998</v>
      </c>
      <c r="CL22">
        <v>9.7973199999999996E-2</v>
      </c>
      <c r="CM22">
        <v>9.6726199999999998E-2</v>
      </c>
      <c r="CN22">
        <v>8.7160699999999994E-2</v>
      </c>
      <c r="CO22">
        <v>7.9391600000000007E-2</v>
      </c>
      <c r="CP22">
        <v>31639.9</v>
      </c>
      <c r="CQ22">
        <v>27842.2</v>
      </c>
      <c r="CR22">
        <v>32463.9</v>
      </c>
      <c r="CS22">
        <v>30749.8</v>
      </c>
      <c r="CT22">
        <v>40131.4</v>
      </c>
      <c r="CU22">
        <v>39818.1</v>
      </c>
      <c r="CV22">
        <v>47416.5</v>
      </c>
      <c r="CW22">
        <v>46902.1</v>
      </c>
      <c r="CX22">
        <v>2.6259600000000001</v>
      </c>
      <c r="CY22">
        <v>2.1237400000000002</v>
      </c>
      <c r="CZ22">
        <v>0</v>
      </c>
      <c r="DA22">
        <v>0</v>
      </c>
      <c r="DB22">
        <v>999.9</v>
      </c>
      <c r="DC22">
        <v>999.9</v>
      </c>
      <c r="DD22">
        <v>46.551000000000002</v>
      </c>
      <c r="DE22">
        <v>28.631</v>
      </c>
      <c r="DF22">
        <v>18.287500000000001</v>
      </c>
      <c r="DG22">
        <v>29.879899999999999</v>
      </c>
      <c r="DH22">
        <v>16.5304</v>
      </c>
      <c r="DI22">
        <v>2</v>
      </c>
      <c r="DJ22">
        <v>-0.12970100000000001</v>
      </c>
      <c r="DK22">
        <v>2.4663200000000001</v>
      </c>
      <c r="DL22">
        <v>20.210899999999999</v>
      </c>
      <c r="DM22">
        <v>5.2480799999999999</v>
      </c>
      <c r="DN22">
        <v>12.033899999999999</v>
      </c>
      <c r="DO22">
        <v>4.9668799999999997</v>
      </c>
      <c r="DP22">
        <v>3.2905600000000002</v>
      </c>
      <c r="DQ22">
        <v>537.6</v>
      </c>
      <c r="DR22">
        <v>9999</v>
      </c>
      <c r="DS22">
        <v>9999</v>
      </c>
      <c r="DT22">
        <v>9999</v>
      </c>
      <c r="DU22">
        <v>1.8711199999999999</v>
      </c>
      <c r="DV22">
        <v>1.8761300000000001</v>
      </c>
      <c r="DW22">
        <v>1.8763300000000001</v>
      </c>
      <c r="DX22">
        <v>1.8827799999999999</v>
      </c>
      <c r="DY22">
        <v>1.8755999999999999</v>
      </c>
      <c r="DZ22">
        <v>1.8746799999999999</v>
      </c>
      <c r="EA22">
        <v>1.8708800000000001</v>
      </c>
      <c r="EB22">
        <v>1.87466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-0.81299999999999994</v>
      </c>
      <c r="EQ22">
        <v>0.1067</v>
      </c>
      <c r="ER22">
        <v>-0.81336363636353304</v>
      </c>
      <c r="ES22">
        <v>0</v>
      </c>
      <c r="ET22">
        <v>0</v>
      </c>
      <c r="EU22">
        <v>0</v>
      </c>
      <c r="EV22">
        <v>0.1067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1.3</v>
      </c>
      <c r="FE22">
        <v>1.3</v>
      </c>
      <c r="FF22">
        <v>1.2439</v>
      </c>
      <c r="FG22">
        <v>2.6000999999999999</v>
      </c>
      <c r="FH22">
        <v>2.19604</v>
      </c>
      <c r="FI22">
        <v>2.66235</v>
      </c>
      <c r="FJ22">
        <v>2.4462899999999999</v>
      </c>
      <c r="FK22">
        <v>2.32666</v>
      </c>
      <c r="FL22">
        <v>32.798000000000002</v>
      </c>
      <c r="FM22">
        <v>24.148800000000001</v>
      </c>
      <c r="FN22">
        <v>19</v>
      </c>
      <c r="FO22">
        <v>865.70100000000002</v>
      </c>
      <c r="FP22">
        <v>569.75199999999995</v>
      </c>
      <c r="FQ22">
        <v>18.096699999999998</v>
      </c>
      <c r="FR22">
        <v>25.312799999999999</v>
      </c>
      <c r="FS22">
        <v>29.999500000000001</v>
      </c>
      <c r="FT22">
        <v>25.343800000000002</v>
      </c>
      <c r="FU22">
        <v>25.347100000000001</v>
      </c>
      <c r="FV22">
        <v>24.972300000000001</v>
      </c>
      <c r="FW22">
        <v>27.989100000000001</v>
      </c>
      <c r="FX22">
        <v>1.8825499999999999</v>
      </c>
      <c r="FY22">
        <v>18.1313</v>
      </c>
      <c r="FZ22">
        <v>410</v>
      </c>
      <c r="GA22">
        <v>13.7805</v>
      </c>
      <c r="GB22">
        <v>99.908500000000004</v>
      </c>
      <c r="GC22">
        <v>99.838200000000001</v>
      </c>
    </row>
    <row r="23" spans="1:185" x14ac:dyDescent="0.2">
      <c r="A23">
        <v>8</v>
      </c>
      <c r="B23">
        <v>1769200388</v>
      </c>
      <c r="C23">
        <v>117</v>
      </c>
      <c r="D23" t="s">
        <v>309</v>
      </c>
      <c r="E23" t="s">
        <v>310</v>
      </c>
      <c r="F23">
        <v>15</v>
      </c>
      <c r="G23">
        <v>1769200379.9333301</v>
      </c>
      <c r="H23">
        <f t="shared" si="0"/>
        <v>1.3157047974105493E-3</v>
      </c>
      <c r="I23">
        <v>0</v>
      </c>
      <c r="J23">
        <f t="shared" si="12"/>
        <v>-7.4728900275453525E-4</v>
      </c>
      <c r="K23">
        <f t="shared" si="1"/>
        <v>-1.9264045808671727E-2</v>
      </c>
      <c r="L23">
        <f t="shared" si="2"/>
        <v>69.918992686229686</v>
      </c>
      <c r="M23">
        <f t="shared" si="3"/>
        <v>1.541482092916832</v>
      </c>
      <c r="N23">
        <f t="shared" si="4"/>
        <v>2.2046686224935015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26238.64058558824</v>
      </c>
      <c r="T23">
        <f t="shared" si="8"/>
        <v>300.00093333333302</v>
      </c>
      <c r="U23">
        <f t="shared" si="9"/>
        <v>252.9008223801105</v>
      </c>
      <c r="V23">
        <f t="shared" si="10"/>
        <v>0.84300011860000024</v>
      </c>
      <c r="W23">
        <f t="shared" si="11"/>
        <v>0.15870020555600006</v>
      </c>
      <c r="X23">
        <v>1</v>
      </c>
      <c r="Y23">
        <v>1769200379.9333301</v>
      </c>
      <c r="Z23">
        <v>409.343866666667</v>
      </c>
      <c r="AA23">
        <v>409.99299999999999</v>
      </c>
      <c r="AB23">
        <v>15.372533333333299</v>
      </c>
      <c r="AC23">
        <v>13.7532</v>
      </c>
      <c r="AD23">
        <v>410.15706666666699</v>
      </c>
      <c r="AE23">
        <v>15.265833333333299</v>
      </c>
      <c r="AF23">
        <v>800.00766666666698</v>
      </c>
      <c r="AG23">
        <v>100.211266666667</v>
      </c>
      <c r="AH23">
        <v>6.3818739999999999E-2</v>
      </c>
      <c r="AI23">
        <v>18.996279999999999</v>
      </c>
      <c r="AJ23">
        <v>999.9</v>
      </c>
      <c r="AK23">
        <v>999.9</v>
      </c>
      <c r="AL23">
        <v>0</v>
      </c>
      <c r="AM23">
        <v>0</v>
      </c>
      <c r="AN23">
        <v>4993.5333333333301</v>
      </c>
      <c r="AO23">
        <v>0</v>
      </c>
      <c r="AP23">
        <v>1.58087</v>
      </c>
      <c r="AQ23">
        <v>-0.64915979999999995</v>
      </c>
      <c r="AR23">
        <v>415.734733333333</v>
      </c>
      <c r="AS23">
        <v>415.71033333333298</v>
      </c>
      <c r="AT23">
        <v>1.61932866666667</v>
      </c>
      <c r="AU23">
        <v>409.99299999999999</v>
      </c>
      <c r="AV23">
        <v>13.7532</v>
      </c>
      <c r="AW23">
        <v>1.5404993333333299</v>
      </c>
      <c r="AX23">
        <v>1.37822466666667</v>
      </c>
      <c r="AY23">
        <v>13.3761733333333</v>
      </c>
      <c r="AZ23">
        <v>11.680153333333299</v>
      </c>
      <c r="BA23">
        <v>300.00093333333302</v>
      </c>
      <c r="BB23">
        <v>0.89999739999999995</v>
      </c>
      <c r="BC23">
        <v>0</v>
      </c>
      <c r="BD23">
        <v>0.100002646666667</v>
      </c>
      <c r="BE23">
        <v>0</v>
      </c>
      <c r="BF23">
        <v>24</v>
      </c>
      <c r="BG23">
        <v>4946.6473333333297</v>
      </c>
      <c r="BH23">
        <v>1769200296</v>
      </c>
      <c r="BI23" t="s">
        <v>289</v>
      </c>
      <c r="BJ23">
        <v>1769200296</v>
      </c>
      <c r="BK23">
        <v>1769200293</v>
      </c>
      <c r="BL23">
        <v>13</v>
      </c>
      <c r="BM23">
        <v>-5.6000000000000001E-2</v>
      </c>
      <c r="BN23">
        <v>2.1000000000000001E-2</v>
      </c>
      <c r="BO23">
        <v>-0.81299999999999994</v>
      </c>
      <c r="BP23">
        <v>0.107</v>
      </c>
      <c r="BQ23">
        <v>410</v>
      </c>
      <c r="BR23">
        <v>15</v>
      </c>
      <c r="BS23">
        <v>0.3</v>
      </c>
      <c r="BT23">
        <v>0.04</v>
      </c>
      <c r="BU23">
        <v>-0.65611490476190504</v>
      </c>
      <c r="BV23">
        <v>0.125350675324675</v>
      </c>
      <c r="BW23">
        <v>1.69917743458269E-2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1.6322538095238099</v>
      </c>
      <c r="CD23">
        <v>-0.19733064935064801</v>
      </c>
      <c r="CE23">
        <v>2.02324608291185E-2</v>
      </c>
      <c r="CF23">
        <v>0</v>
      </c>
      <c r="CG23">
        <v>1</v>
      </c>
      <c r="CH23">
        <v>2</v>
      </c>
      <c r="CI23" t="s">
        <v>302</v>
      </c>
      <c r="CJ23">
        <v>3.5325099999999998</v>
      </c>
      <c r="CK23">
        <v>2.70173</v>
      </c>
      <c r="CL23">
        <v>9.7970199999999993E-2</v>
      </c>
      <c r="CM23">
        <v>9.67253E-2</v>
      </c>
      <c r="CN23">
        <v>8.6993399999999999E-2</v>
      </c>
      <c r="CO23">
        <v>7.9375699999999993E-2</v>
      </c>
      <c r="CP23">
        <v>31641.3</v>
      </c>
      <c r="CQ23">
        <v>27843.1</v>
      </c>
      <c r="CR23">
        <v>32465.200000000001</v>
      </c>
      <c r="CS23">
        <v>30750.799999999999</v>
      </c>
      <c r="CT23">
        <v>40140.699999999997</v>
      </c>
      <c r="CU23">
        <v>39819.800000000003</v>
      </c>
      <c r="CV23">
        <v>47418.5</v>
      </c>
      <c r="CW23">
        <v>46903.3</v>
      </c>
      <c r="CX23">
        <v>2.6258400000000002</v>
      </c>
      <c r="CY23">
        <v>2.1236999999999999</v>
      </c>
      <c r="CZ23">
        <v>0</v>
      </c>
      <c r="DA23">
        <v>0</v>
      </c>
      <c r="DB23">
        <v>999.9</v>
      </c>
      <c r="DC23">
        <v>999.9</v>
      </c>
      <c r="DD23">
        <v>46.527000000000001</v>
      </c>
      <c r="DE23">
        <v>28.631</v>
      </c>
      <c r="DF23">
        <v>18.277100000000001</v>
      </c>
      <c r="DG23">
        <v>30.539899999999999</v>
      </c>
      <c r="DH23">
        <v>16.482399999999998</v>
      </c>
      <c r="DI23">
        <v>2</v>
      </c>
      <c r="DJ23">
        <v>-0.132018</v>
      </c>
      <c r="DK23">
        <v>2.0553300000000001</v>
      </c>
      <c r="DL23">
        <v>20.218800000000002</v>
      </c>
      <c r="DM23">
        <v>5.2507099999999998</v>
      </c>
      <c r="DN23">
        <v>12.033899999999999</v>
      </c>
      <c r="DO23">
        <v>4.9671599999999998</v>
      </c>
      <c r="DP23">
        <v>3.2909999999999999</v>
      </c>
      <c r="DQ23">
        <v>537.6</v>
      </c>
      <c r="DR23">
        <v>9999</v>
      </c>
      <c r="DS23">
        <v>9999</v>
      </c>
      <c r="DT23">
        <v>9999</v>
      </c>
      <c r="DU23">
        <v>1.8710899999999999</v>
      </c>
      <c r="DV23">
        <v>1.8761399999999999</v>
      </c>
      <c r="DW23">
        <v>1.8763000000000001</v>
      </c>
      <c r="DX23">
        <v>1.8827799999999999</v>
      </c>
      <c r="DY23">
        <v>1.87561</v>
      </c>
      <c r="DZ23">
        <v>1.8746799999999999</v>
      </c>
      <c r="EA23">
        <v>1.87083</v>
      </c>
      <c r="EB23">
        <v>1.87462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-0.81399999999999995</v>
      </c>
      <c r="EQ23">
        <v>0.1067</v>
      </c>
      <c r="ER23">
        <v>-0.81336363636353304</v>
      </c>
      <c r="ES23">
        <v>0</v>
      </c>
      <c r="ET23">
        <v>0</v>
      </c>
      <c r="EU23">
        <v>0</v>
      </c>
      <c r="EV23">
        <v>0.1067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1.5</v>
      </c>
      <c r="FE23">
        <v>1.6</v>
      </c>
      <c r="FF23">
        <v>1.2439</v>
      </c>
      <c r="FG23">
        <v>2.6000999999999999</v>
      </c>
      <c r="FH23">
        <v>2.19604</v>
      </c>
      <c r="FI23">
        <v>2.66235</v>
      </c>
      <c r="FJ23">
        <v>2.4462899999999999</v>
      </c>
      <c r="FK23">
        <v>2.3107899999999999</v>
      </c>
      <c r="FL23">
        <v>32.798000000000002</v>
      </c>
      <c r="FM23">
        <v>24.148800000000001</v>
      </c>
      <c r="FN23">
        <v>19</v>
      </c>
      <c r="FO23">
        <v>865.59</v>
      </c>
      <c r="FP23">
        <v>569.72199999999998</v>
      </c>
      <c r="FQ23">
        <v>18.1221</v>
      </c>
      <c r="FR23">
        <v>25.312799999999999</v>
      </c>
      <c r="FS23">
        <v>29.999600000000001</v>
      </c>
      <c r="FT23">
        <v>25.343800000000002</v>
      </c>
      <c r="FU23">
        <v>25.347100000000001</v>
      </c>
      <c r="FV23">
        <v>24.974900000000002</v>
      </c>
      <c r="FW23">
        <v>27.989100000000001</v>
      </c>
      <c r="FX23">
        <v>1.5110300000000001</v>
      </c>
      <c r="FY23">
        <v>18.153700000000001</v>
      </c>
      <c r="FZ23">
        <v>410</v>
      </c>
      <c r="GA23">
        <v>13.7805</v>
      </c>
      <c r="GB23">
        <v>99.912599999999998</v>
      </c>
      <c r="GC23">
        <v>99.840900000000005</v>
      </c>
    </row>
    <row r="24" spans="1:185" x14ac:dyDescent="0.2">
      <c r="A24">
        <v>9</v>
      </c>
      <c r="B24">
        <v>1769200403</v>
      </c>
      <c r="C24">
        <v>132</v>
      </c>
      <c r="D24" t="s">
        <v>311</v>
      </c>
      <c r="E24" t="s">
        <v>312</v>
      </c>
      <c r="F24">
        <v>15</v>
      </c>
      <c r="G24">
        <v>1769200394.9333301</v>
      </c>
      <c r="H24">
        <f t="shared" si="0"/>
        <v>1.2944192042292598E-3</v>
      </c>
      <c r="I24">
        <v>0</v>
      </c>
      <c r="J24">
        <f t="shared" si="12"/>
        <v>-2.4173606639713165E-4</v>
      </c>
      <c r="K24">
        <f t="shared" si="1"/>
        <v>-6.2316113839722799E-3</v>
      </c>
      <c r="L24">
        <f t="shared" si="2"/>
        <v>69.853179572852056</v>
      </c>
      <c r="M24">
        <f t="shared" si="3"/>
        <v>1.538340497472686</v>
      </c>
      <c r="N24">
        <f t="shared" si="4"/>
        <v>2.2022483541616067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26300.847075894726</v>
      </c>
      <c r="T24">
        <f t="shared" si="8"/>
        <v>300.00093333333302</v>
      </c>
      <c r="U24">
        <f t="shared" si="9"/>
        <v>252.90085100019948</v>
      </c>
      <c r="V24">
        <f t="shared" si="10"/>
        <v>0.84300021400000003</v>
      </c>
      <c r="W24">
        <f t="shared" si="11"/>
        <v>0.15870053499999998</v>
      </c>
      <c r="X24">
        <v>1</v>
      </c>
      <c r="Y24">
        <v>1769200394.9333301</v>
      </c>
      <c r="Z24">
        <v>409.34440000000001</v>
      </c>
      <c r="AA24">
        <v>409.99893333333301</v>
      </c>
      <c r="AB24">
        <v>15.341060000000001</v>
      </c>
      <c r="AC24">
        <v>13.747873333333301</v>
      </c>
      <c r="AD24">
        <v>410.15780000000001</v>
      </c>
      <c r="AE24">
        <v>15.234360000000001</v>
      </c>
      <c r="AF24">
        <v>800.00760000000002</v>
      </c>
      <c r="AG24">
        <v>100.21226666666701</v>
      </c>
      <c r="AH24">
        <v>6.375712E-2</v>
      </c>
      <c r="AI24">
        <v>18.978680000000001</v>
      </c>
      <c r="AJ24">
        <v>999.9</v>
      </c>
      <c r="AK24">
        <v>999.9</v>
      </c>
      <c r="AL24">
        <v>0</v>
      </c>
      <c r="AM24">
        <v>0</v>
      </c>
      <c r="AN24">
        <v>5003.4666666666699</v>
      </c>
      <c r="AO24">
        <v>0</v>
      </c>
      <c r="AP24">
        <v>1.58087</v>
      </c>
      <c r="AQ24">
        <v>-0.65433966666666699</v>
      </c>
      <c r="AR24">
        <v>415.72213333333298</v>
      </c>
      <c r="AS24">
        <v>415.71393333333299</v>
      </c>
      <c r="AT24">
        <v>1.593194</v>
      </c>
      <c r="AU24">
        <v>409.99893333333301</v>
      </c>
      <c r="AV24">
        <v>13.747873333333301</v>
      </c>
      <c r="AW24">
        <v>1.53736266666667</v>
      </c>
      <c r="AX24">
        <v>1.3777046666666699</v>
      </c>
      <c r="AY24">
        <v>13.344900000000001</v>
      </c>
      <c r="AZ24">
        <v>11.674426666666699</v>
      </c>
      <c r="BA24">
        <v>300.00093333333302</v>
      </c>
      <c r="BB24">
        <v>0.899992866666667</v>
      </c>
      <c r="BC24">
        <v>0</v>
      </c>
      <c r="BD24">
        <v>0.100007133333333</v>
      </c>
      <c r="BE24">
        <v>0</v>
      </c>
      <c r="BF24">
        <v>24</v>
      </c>
      <c r="BG24">
        <v>4946.6400000000003</v>
      </c>
      <c r="BH24">
        <v>1769200296</v>
      </c>
      <c r="BI24" t="s">
        <v>289</v>
      </c>
      <c r="BJ24">
        <v>1769200296</v>
      </c>
      <c r="BK24">
        <v>1769200293</v>
      </c>
      <c r="BL24">
        <v>13</v>
      </c>
      <c r="BM24">
        <v>-5.6000000000000001E-2</v>
      </c>
      <c r="BN24">
        <v>2.1000000000000001E-2</v>
      </c>
      <c r="BO24">
        <v>-0.81299999999999994</v>
      </c>
      <c r="BP24">
        <v>0.107</v>
      </c>
      <c r="BQ24">
        <v>410</v>
      </c>
      <c r="BR24">
        <v>15</v>
      </c>
      <c r="BS24">
        <v>0.3</v>
      </c>
      <c r="BT24">
        <v>0.04</v>
      </c>
      <c r="BU24">
        <v>-0.65191366666666695</v>
      </c>
      <c r="BV24">
        <v>1.14724675324524E-3</v>
      </c>
      <c r="BW24">
        <v>1.7483886631582599E-2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1.59724380952381</v>
      </c>
      <c r="CD24">
        <v>-8.2062077922076898E-2</v>
      </c>
      <c r="CE24">
        <v>8.3101845009547794E-3</v>
      </c>
      <c r="CF24">
        <v>1</v>
      </c>
      <c r="CG24">
        <v>2</v>
      </c>
      <c r="CH24">
        <v>2</v>
      </c>
      <c r="CI24" t="s">
        <v>297</v>
      </c>
      <c r="CJ24">
        <v>3.5325500000000001</v>
      </c>
      <c r="CK24">
        <v>2.70167</v>
      </c>
      <c r="CL24">
        <v>9.7972600000000007E-2</v>
      </c>
      <c r="CM24">
        <v>9.6734200000000006E-2</v>
      </c>
      <c r="CN24">
        <v>8.6876700000000001E-2</v>
      </c>
      <c r="CO24">
        <v>7.9342499999999996E-2</v>
      </c>
      <c r="CP24">
        <v>31641.200000000001</v>
      </c>
      <c r="CQ24">
        <v>27842.799999999999</v>
      </c>
      <c r="CR24">
        <v>32465.200000000001</v>
      </c>
      <c r="CS24">
        <v>30750.799999999999</v>
      </c>
      <c r="CT24">
        <v>40146</v>
      </c>
      <c r="CU24">
        <v>39821.4</v>
      </c>
      <c r="CV24">
        <v>47418.6</v>
      </c>
      <c r="CW24">
        <v>46903.4</v>
      </c>
      <c r="CX24">
        <v>2.6258400000000002</v>
      </c>
      <c r="CY24">
        <v>2.12358</v>
      </c>
      <c r="CZ24">
        <v>0</v>
      </c>
      <c r="DA24">
        <v>0</v>
      </c>
      <c r="DB24">
        <v>999.9</v>
      </c>
      <c r="DC24">
        <v>999.9</v>
      </c>
      <c r="DD24">
        <v>46.527000000000001</v>
      </c>
      <c r="DE24">
        <v>28.631</v>
      </c>
      <c r="DF24">
        <v>18.277000000000001</v>
      </c>
      <c r="DG24">
        <v>29.9999</v>
      </c>
      <c r="DH24">
        <v>16.514399999999998</v>
      </c>
      <c r="DI24">
        <v>2</v>
      </c>
      <c r="DJ24">
        <v>-0.13228500000000001</v>
      </c>
      <c r="DK24">
        <v>2.0015399999999999</v>
      </c>
      <c r="DL24">
        <v>20.2195</v>
      </c>
      <c r="DM24">
        <v>5.25143</v>
      </c>
      <c r="DN24">
        <v>12.033899999999999</v>
      </c>
      <c r="DO24">
        <v>4.96732</v>
      </c>
      <c r="DP24">
        <v>3.2909999999999999</v>
      </c>
      <c r="DQ24">
        <v>537.6</v>
      </c>
      <c r="DR24">
        <v>9999</v>
      </c>
      <c r="DS24">
        <v>9999</v>
      </c>
      <c r="DT24">
        <v>9999</v>
      </c>
      <c r="DU24">
        <v>1.8710500000000001</v>
      </c>
      <c r="DV24">
        <v>1.8761099999999999</v>
      </c>
      <c r="DW24">
        <v>1.8763099999999999</v>
      </c>
      <c r="DX24">
        <v>1.88279</v>
      </c>
      <c r="DY24">
        <v>1.87561</v>
      </c>
      <c r="DZ24">
        <v>1.8746799999999999</v>
      </c>
      <c r="EA24">
        <v>1.8708400000000001</v>
      </c>
      <c r="EB24">
        <v>1.8746400000000001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-0.81299999999999994</v>
      </c>
      <c r="EQ24">
        <v>0.1067</v>
      </c>
      <c r="ER24">
        <v>-0.81336363636353304</v>
      </c>
      <c r="ES24">
        <v>0</v>
      </c>
      <c r="ET24">
        <v>0</v>
      </c>
      <c r="EU24">
        <v>0</v>
      </c>
      <c r="EV24">
        <v>0.1067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1.8</v>
      </c>
      <c r="FE24">
        <v>1.8</v>
      </c>
      <c r="FF24">
        <v>1.2439</v>
      </c>
      <c r="FG24">
        <v>2.5988799999999999</v>
      </c>
      <c r="FH24">
        <v>2.19604</v>
      </c>
      <c r="FI24">
        <v>2.66235</v>
      </c>
      <c r="FJ24">
        <v>2.4462899999999999</v>
      </c>
      <c r="FK24">
        <v>2.34009</v>
      </c>
      <c r="FL24">
        <v>32.798000000000002</v>
      </c>
      <c r="FM24">
        <v>24.14</v>
      </c>
      <c r="FN24">
        <v>19</v>
      </c>
      <c r="FO24">
        <v>865.56200000000001</v>
      </c>
      <c r="FP24">
        <v>569.60799999999995</v>
      </c>
      <c r="FQ24">
        <v>18.178000000000001</v>
      </c>
      <c r="FR24">
        <v>25.314499999999999</v>
      </c>
      <c r="FS24">
        <v>30</v>
      </c>
      <c r="FT24">
        <v>25.341999999999999</v>
      </c>
      <c r="FU24">
        <v>25.345099999999999</v>
      </c>
      <c r="FV24">
        <v>24.973099999999999</v>
      </c>
      <c r="FW24">
        <v>27.989100000000001</v>
      </c>
      <c r="FX24">
        <v>1.5110300000000001</v>
      </c>
      <c r="FY24">
        <v>18.1999</v>
      </c>
      <c r="FZ24">
        <v>410</v>
      </c>
      <c r="GA24">
        <v>13.787800000000001</v>
      </c>
      <c r="GB24">
        <v>99.912599999999998</v>
      </c>
      <c r="GC24">
        <v>99.841099999999997</v>
      </c>
    </row>
    <row r="25" spans="1:185" x14ac:dyDescent="0.2">
      <c r="A25">
        <v>10</v>
      </c>
      <c r="B25">
        <v>1769200418</v>
      </c>
      <c r="C25">
        <v>147</v>
      </c>
      <c r="D25" t="s">
        <v>313</v>
      </c>
      <c r="E25" t="s">
        <v>314</v>
      </c>
      <c r="F25">
        <v>15</v>
      </c>
      <c r="G25">
        <v>1769200409.9333301</v>
      </c>
      <c r="H25">
        <f t="shared" si="0"/>
        <v>1.2845279966124188E-3</v>
      </c>
      <c r="I25">
        <v>0</v>
      </c>
      <c r="J25">
        <f t="shared" si="12"/>
        <v>5.4924845365967136E-4</v>
      </c>
      <c r="K25">
        <f t="shared" si="1"/>
        <v>1.415884260659663E-2</v>
      </c>
      <c r="L25">
        <f t="shared" si="2"/>
        <v>69.796446742772801</v>
      </c>
      <c r="M25">
        <f t="shared" si="3"/>
        <v>1.536384524243807</v>
      </c>
      <c r="N25">
        <f t="shared" si="4"/>
        <v>2.2012360169364849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26291.778647420386</v>
      </c>
      <c r="T25">
        <f t="shared" si="8"/>
        <v>299.99993333333299</v>
      </c>
      <c r="U25">
        <f t="shared" si="9"/>
        <v>252.90007519997053</v>
      </c>
      <c r="V25">
        <f t="shared" si="10"/>
        <v>0.84300043800000002</v>
      </c>
      <c r="W25">
        <f t="shared" si="11"/>
        <v>0.15870109500000001</v>
      </c>
      <c r="X25">
        <v>1</v>
      </c>
      <c r="Y25">
        <v>1769200409.9333301</v>
      </c>
      <c r="Z25">
        <v>409.3288</v>
      </c>
      <c r="AA25">
        <v>410.003733333333</v>
      </c>
      <c r="AB25">
        <v>15.321440000000001</v>
      </c>
      <c r="AC25">
        <v>13.740399999999999</v>
      </c>
      <c r="AD25">
        <v>410.1422</v>
      </c>
      <c r="AE25">
        <v>15.214740000000001</v>
      </c>
      <c r="AF25">
        <v>800.00959999999998</v>
      </c>
      <c r="AG25">
        <v>100.21299999999999</v>
      </c>
      <c r="AH25">
        <v>6.3770606666666702E-2</v>
      </c>
      <c r="AI25">
        <v>18.971313333333299</v>
      </c>
      <c r="AJ25">
        <v>999.9</v>
      </c>
      <c r="AK25">
        <v>999.9</v>
      </c>
      <c r="AL25">
        <v>0</v>
      </c>
      <c r="AM25">
        <v>0</v>
      </c>
      <c r="AN25">
        <v>5001.8333333333303</v>
      </c>
      <c r="AO25">
        <v>0</v>
      </c>
      <c r="AP25">
        <v>1.58087</v>
      </c>
      <c r="AQ25">
        <v>-0.67486159999999995</v>
      </c>
      <c r="AR25">
        <v>415.69793333333303</v>
      </c>
      <c r="AS25">
        <v>415.71606666666702</v>
      </c>
      <c r="AT25">
        <v>1.581046</v>
      </c>
      <c r="AU25">
        <v>410.003733333333</v>
      </c>
      <c r="AV25">
        <v>13.740399999999999</v>
      </c>
      <c r="AW25">
        <v>1.53540866666667</v>
      </c>
      <c r="AX25">
        <v>1.3769673333333301</v>
      </c>
      <c r="AY25">
        <v>13.3254066666667</v>
      </c>
      <c r="AZ25">
        <v>11.6663466666667</v>
      </c>
      <c r="BA25">
        <v>299.99993333333299</v>
      </c>
      <c r="BB25">
        <v>0.89998540000000005</v>
      </c>
      <c r="BC25">
        <v>0</v>
      </c>
      <c r="BD25">
        <v>0.1000146</v>
      </c>
      <c r="BE25">
        <v>0</v>
      </c>
      <c r="BF25">
        <v>24</v>
      </c>
      <c r="BG25">
        <v>4946.6153333333305</v>
      </c>
      <c r="BH25">
        <v>1769200296</v>
      </c>
      <c r="BI25" t="s">
        <v>289</v>
      </c>
      <c r="BJ25">
        <v>1769200296</v>
      </c>
      <c r="BK25">
        <v>1769200293</v>
      </c>
      <c r="BL25">
        <v>13</v>
      </c>
      <c r="BM25">
        <v>-5.6000000000000001E-2</v>
      </c>
      <c r="BN25">
        <v>2.1000000000000001E-2</v>
      </c>
      <c r="BO25">
        <v>-0.81299999999999994</v>
      </c>
      <c r="BP25">
        <v>0.107</v>
      </c>
      <c r="BQ25">
        <v>410</v>
      </c>
      <c r="BR25">
        <v>15</v>
      </c>
      <c r="BS25">
        <v>0.3</v>
      </c>
      <c r="BT25">
        <v>0.04</v>
      </c>
      <c r="BU25">
        <v>-0.66838834999999996</v>
      </c>
      <c r="BV25">
        <v>-3.4213127819549202E-2</v>
      </c>
      <c r="BW25">
        <v>2.60159614338486E-2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1.5824275000000001</v>
      </c>
      <c r="CD25">
        <v>-3.1133684210527701E-2</v>
      </c>
      <c r="CE25">
        <v>3.3003255521236001E-3</v>
      </c>
      <c r="CF25">
        <v>1</v>
      </c>
      <c r="CG25">
        <v>2</v>
      </c>
      <c r="CH25">
        <v>2</v>
      </c>
      <c r="CI25" t="s">
        <v>297</v>
      </c>
      <c r="CJ25">
        <v>3.5325500000000001</v>
      </c>
      <c r="CK25">
        <v>2.70147</v>
      </c>
      <c r="CL25">
        <v>9.7970299999999996E-2</v>
      </c>
      <c r="CM25">
        <v>9.6727300000000002E-2</v>
      </c>
      <c r="CN25">
        <v>8.6798299999999995E-2</v>
      </c>
      <c r="CO25">
        <v>7.9315899999999995E-2</v>
      </c>
      <c r="CP25">
        <v>31641.3</v>
      </c>
      <c r="CQ25">
        <v>27842.5</v>
      </c>
      <c r="CR25">
        <v>32465.1</v>
      </c>
      <c r="CS25">
        <v>30750.3</v>
      </c>
      <c r="CT25">
        <v>40149.699999999997</v>
      </c>
      <c r="CU25">
        <v>39822.1</v>
      </c>
      <c r="CV25">
        <v>47418.7</v>
      </c>
      <c r="CW25">
        <v>46902.9</v>
      </c>
      <c r="CX25">
        <v>2.6256400000000002</v>
      </c>
      <c r="CY25">
        <v>2.1238800000000002</v>
      </c>
      <c r="CZ25">
        <v>0</v>
      </c>
      <c r="DA25">
        <v>0</v>
      </c>
      <c r="DB25">
        <v>999.9</v>
      </c>
      <c r="DC25">
        <v>999.9</v>
      </c>
      <c r="DD25">
        <v>46.502000000000002</v>
      </c>
      <c r="DE25">
        <v>28.631</v>
      </c>
      <c r="DF25">
        <v>18.267900000000001</v>
      </c>
      <c r="DG25">
        <v>30.0899</v>
      </c>
      <c r="DH25">
        <v>16.474399999999999</v>
      </c>
      <c r="DI25">
        <v>2</v>
      </c>
      <c r="DJ25">
        <v>-0.13242699999999999</v>
      </c>
      <c r="DK25">
        <v>1.9168099999999999</v>
      </c>
      <c r="DL25">
        <v>20.220600000000001</v>
      </c>
      <c r="DM25">
        <v>5.2508299999999997</v>
      </c>
      <c r="DN25">
        <v>12.033899999999999</v>
      </c>
      <c r="DO25">
        <v>4.9671599999999998</v>
      </c>
      <c r="DP25">
        <v>3.2909999999999999</v>
      </c>
      <c r="DQ25">
        <v>537.6</v>
      </c>
      <c r="DR25">
        <v>9999</v>
      </c>
      <c r="DS25">
        <v>9999</v>
      </c>
      <c r="DT25">
        <v>9999</v>
      </c>
      <c r="DU25">
        <v>1.8710800000000001</v>
      </c>
      <c r="DV25">
        <v>1.87609</v>
      </c>
      <c r="DW25">
        <v>1.8762799999999999</v>
      </c>
      <c r="DX25">
        <v>1.8827799999999999</v>
      </c>
      <c r="DY25">
        <v>1.87558</v>
      </c>
      <c r="DZ25">
        <v>1.8746799999999999</v>
      </c>
      <c r="EA25">
        <v>1.8708</v>
      </c>
      <c r="EB25">
        <v>1.8746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-0.81299999999999994</v>
      </c>
      <c r="EQ25">
        <v>0.1067</v>
      </c>
      <c r="ER25">
        <v>-0.81336363636353304</v>
      </c>
      <c r="ES25">
        <v>0</v>
      </c>
      <c r="ET25">
        <v>0</v>
      </c>
      <c r="EU25">
        <v>0</v>
      </c>
      <c r="EV25">
        <v>0.1067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</v>
      </c>
      <c r="FE25">
        <v>2.1</v>
      </c>
      <c r="FF25">
        <v>1.2439</v>
      </c>
      <c r="FG25">
        <v>2.6000999999999999</v>
      </c>
      <c r="FH25">
        <v>2.19604</v>
      </c>
      <c r="FI25">
        <v>2.66235</v>
      </c>
      <c r="FJ25">
        <v>2.4462899999999999</v>
      </c>
      <c r="FK25">
        <v>2.3120099999999999</v>
      </c>
      <c r="FL25">
        <v>32.798000000000002</v>
      </c>
      <c r="FM25">
        <v>24.14</v>
      </c>
      <c r="FN25">
        <v>19</v>
      </c>
      <c r="FO25">
        <v>865.36900000000003</v>
      </c>
      <c r="FP25">
        <v>569.81299999999999</v>
      </c>
      <c r="FQ25">
        <v>18.2334</v>
      </c>
      <c r="FR25">
        <v>25.315000000000001</v>
      </c>
      <c r="FS25">
        <v>30.0001</v>
      </c>
      <c r="FT25">
        <v>25.3416</v>
      </c>
      <c r="FU25">
        <v>25.343</v>
      </c>
      <c r="FV25">
        <v>24.972799999999999</v>
      </c>
      <c r="FW25">
        <v>27.989100000000001</v>
      </c>
      <c r="FX25">
        <v>1.1363700000000001</v>
      </c>
      <c r="FY25">
        <v>18.2608</v>
      </c>
      <c r="FZ25">
        <v>410</v>
      </c>
      <c r="GA25">
        <v>13.812099999999999</v>
      </c>
      <c r="GB25">
        <v>99.912700000000001</v>
      </c>
      <c r="GC25">
        <v>99.839699999999993</v>
      </c>
    </row>
    <row r="26" spans="1:185" x14ac:dyDescent="0.2">
      <c r="A26">
        <v>11</v>
      </c>
      <c r="B26">
        <v>1769200433</v>
      </c>
      <c r="C26">
        <v>162</v>
      </c>
      <c r="D26" t="s">
        <v>315</v>
      </c>
      <c r="E26" t="s">
        <v>316</v>
      </c>
      <c r="F26">
        <v>15</v>
      </c>
      <c r="G26">
        <v>1769200424.9333301</v>
      </c>
      <c r="H26">
        <f t="shared" si="0"/>
        <v>1.2658462727604049E-3</v>
      </c>
      <c r="I26">
        <v>0</v>
      </c>
      <c r="J26">
        <f t="shared" si="12"/>
        <v>5.5741579835842929E-4</v>
      </c>
      <c r="K26">
        <f t="shared" si="1"/>
        <v>1.4369385116699331E-2</v>
      </c>
      <c r="L26">
        <f t="shared" si="2"/>
        <v>69.713256521461332</v>
      </c>
      <c r="M26">
        <f t="shared" si="3"/>
        <v>1.5347582957240971</v>
      </c>
      <c r="N26">
        <f t="shared" si="4"/>
        <v>2.201530056556201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26262.27050920307</v>
      </c>
      <c r="T26">
        <f t="shared" si="8"/>
        <v>300.00113333333297</v>
      </c>
      <c r="U26">
        <f t="shared" si="9"/>
        <v>252.90110960058223</v>
      </c>
      <c r="V26">
        <f t="shared" si="10"/>
        <v>0.84300051399999998</v>
      </c>
      <c r="W26">
        <f t="shared" si="11"/>
        <v>0.15870128499999997</v>
      </c>
      <c r="X26">
        <v>1</v>
      </c>
      <c r="Y26">
        <v>1769200424.9333301</v>
      </c>
      <c r="Z26">
        <v>409.34280000000001</v>
      </c>
      <c r="AA26">
        <v>410.008466666667</v>
      </c>
      <c r="AB26">
        <v>15.3054466666667</v>
      </c>
      <c r="AC26">
        <v>13.74736</v>
      </c>
      <c r="AD26">
        <v>410.15600000000001</v>
      </c>
      <c r="AE26">
        <v>15.1987466666667</v>
      </c>
      <c r="AF26">
        <v>800.00166666666701</v>
      </c>
      <c r="AG26">
        <v>100.211666666667</v>
      </c>
      <c r="AH26">
        <v>6.3635919999999999E-2</v>
      </c>
      <c r="AI26">
        <v>18.9734533333333</v>
      </c>
      <c r="AJ26">
        <v>999.9</v>
      </c>
      <c r="AK26">
        <v>999.9</v>
      </c>
      <c r="AL26">
        <v>0</v>
      </c>
      <c r="AM26">
        <v>0</v>
      </c>
      <c r="AN26">
        <v>4997.0666666666702</v>
      </c>
      <c r="AO26">
        <v>0</v>
      </c>
      <c r="AP26">
        <v>1.58087</v>
      </c>
      <c r="AQ26">
        <v>-0.66582220000000003</v>
      </c>
      <c r="AR26">
        <v>415.7054</v>
      </c>
      <c r="AS26">
        <v>415.72366666666699</v>
      </c>
      <c r="AT26">
        <v>1.55807133333333</v>
      </c>
      <c r="AU26">
        <v>410.008466666667</v>
      </c>
      <c r="AV26">
        <v>13.74736</v>
      </c>
      <c r="AW26">
        <v>1.5337813333333301</v>
      </c>
      <c r="AX26">
        <v>1.37764333333333</v>
      </c>
      <c r="AY26">
        <v>13.309146666666701</v>
      </c>
      <c r="AZ26">
        <v>11.673773333333299</v>
      </c>
      <c r="BA26">
        <v>300.00113333333297</v>
      </c>
      <c r="BB26">
        <v>0.89998286666666705</v>
      </c>
      <c r="BC26">
        <v>0</v>
      </c>
      <c r="BD26">
        <v>0.10001713333333299</v>
      </c>
      <c r="BE26">
        <v>0</v>
      </c>
      <c r="BF26">
        <v>24</v>
      </c>
      <c r="BG26">
        <v>4946.6293333333297</v>
      </c>
      <c r="BH26">
        <v>1769200296</v>
      </c>
      <c r="BI26" t="s">
        <v>289</v>
      </c>
      <c r="BJ26">
        <v>1769200296</v>
      </c>
      <c r="BK26">
        <v>1769200293</v>
      </c>
      <c r="BL26">
        <v>13</v>
      </c>
      <c r="BM26">
        <v>-5.6000000000000001E-2</v>
      </c>
      <c r="BN26">
        <v>2.1000000000000001E-2</v>
      </c>
      <c r="BO26">
        <v>-0.81299999999999994</v>
      </c>
      <c r="BP26">
        <v>0.107</v>
      </c>
      <c r="BQ26">
        <v>410</v>
      </c>
      <c r="BR26">
        <v>15</v>
      </c>
      <c r="BS26">
        <v>0.3</v>
      </c>
      <c r="BT26">
        <v>0.04</v>
      </c>
      <c r="BU26">
        <v>-0.66335614285714295</v>
      </c>
      <c r="BV26">
        <v>-1.7544155844156799E-2</v>
      </c>
      <c r="BW26">
        <v>1.54447106750737E-2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1.5640157142857101</v>
      </c>
      <c r="CD26">
        <v>-0.11494753246753101</v>
      </c>
      <c r="CE26">
        <v>1.20537074207496E-2</v>
      </c>
      <c r="CF26">
        <v>0</v>
      </c>
      <c r="CG26">
        <v>1</v>
      </c>
      <c r="CH26">
        <v>2</v>
      </c>
      <c r="CI26" t="s">
        <v>302</v>
      </c>
      <c r="CJ26">
        <v>3.5324499999999999</v>
      </c>
      <c r="CK26">
        <v>2.7014300000000002</v>
      </c>
      <c r="CL26">
        <v>9.79709E-2</v>
      </c>
      <c r="CM26">
        <v>9.6726999999999994E-2</v>
      </c>
      <c r="CN26">
        <v>8.6786199999999994E-2</v>
      </c>
      <c r="CO26">
        <v>7.9405699999999996E-2</v>
      </c>
      <c r="CP26">
        <v>31640.799999999999</v>
      </c>
      <c r="CQ26">
        <v>27842.9</v>
      </c>
      <c r="CR26">
        <v>32464.7</v>
      </c>
      <c r="CS26">
        <v>30750.7</v>
      </c>
      <c r="CT26">
        <v>40149.5</v>
      </c>
      <c r="CU26">
        <v>39818.6</v>
      </c>
      <c r="CV26">
        <v>47417.8</v>
      </c>
      <c r="CW26">
        <v>46903.4</v>
      </c>
      <c r="CX26">
        <v>2.6258599999999999</v>
      </c>
      <c r="CY26">
        <v>2.1237400000000002</v>
      </c>
      <c r="CZ26">
        <v>0</v>
      </c>
      <c r="DA26">
        <v>0</v>
      </c>
      <c r="DB26">
        <v>999.9</v>
      </c>
      <c r="DC26">
        <v>999.9</v>
      </c>
      <c r="DD26">
        <v>46.502000000000002</v>
      </c>
      <c r="DE26">
        <v>28.640999999999998</v>
      </c>
      <c r="DF26">
        <v>18.278199999999998</v>
      </c>
      <c r="DG26">
        <v>30.059899999999999</v>
      </c>
      <c r="DH26">
        <v>16.5946</v>
      </c>
      <c r="DI26">
        <v>2</v>
      </c>
      <c r="DJ26">
        <v>-0.13270499999999999</v>
      </c>
      <c r="DK26">
        <v>1.8598699999999999</v>
      </c>
      <c r="DL26">
        <v>20.221399999999999</v>
      </c>
      <c r="DM26">
        <v>5.2517899999999997</v>
      </c>
      <c r="DN26">
        <v>12.033899999999999</v>
      </c>
      <c r="DO26">
        <v>4.96732</v>
      </c>
      <c r="DP26">
        <v>3.2909999999999999</v>
      </c>
      <c r="DQ26">
        <v>537.6</v>
      </c>
      <c r="DR26">
        <v>9999</v>
      </c>
      <c r="DS26">
        <v>9999</v>
      </c>
      <c r="DT26">
        <v>9999</v>
      </c>
      <c r="DU26">
        <v>1.87113</v>
      </c>
      <c r="DV26">
        <v>1.8761699999999999</v>
      </c>
      <c r="DW26">
        <v>1.87636</v>
      </c>
      <c r="DX26">
        <v>1.8828</v>
      </c>
      <c r="DY26">
        <v>1.87561</v>
      </c>
      <c r="DZ26">
        <v>1.87469</v>
      </c>
      <c r="EA26">
        <v>1.8708800000000001</v>
      </c>
      <c r="EB26">
        <v>1.8746799999999999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-0.81399999999999995</v>
      </c>
      <c r="EQ26">
        <v>0.1067</v>
      </c>
      <c r="ER26">
        <v>-0.81336363636353304</v>
      </c>
      <c r="ES26">
        <v>0</v>
      </c>
      <c r="ET26">
        <v>0</v>
      </c>
      <c r="EU26">
        <v>0</v>
      </c>
      <c r="EV26">
        <v>0.1067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2.2999999999999998</v>
      </c>
      <c r="FE26">
        <v>2.2999999999999998</v>
      </c>
      <c r="FF26">
        <v>1.2439</v>
      </c>
      <c r="FG26">
        <v>2.6037599999999999</v>
      </c>
      <c r="FH26">
        <v>2.19604</v>
      </c>
      <c r="FI26">
        <v>2.66235</v>
      </c>
      <c r="FJ26">
        <v>2.4462899999999999</v>
      </c>
      <c r="FK26">
        <v>2.2790499999999998</v>
      </c>
      <c r="FL26">
        <v>32.798000000000002</v>
      </c>
      <c r="FM26">
        <v>24.14</v>
      </c>
      <c r="FN26">
        <v>19</v>
      </c>
      <c r="FO26">
        <v>865.54</v>
      </c>
      <c r="FP26">
        <v>569.68200000000002</v>
      </c>
      <c r="FQ26">
        <v>18.294899999999998</v>
      </c>
      <c r="FR26">
        <v>25.3141</v>
      </c>
      <c r="FS26">
        <v>30.0001</v>
      </c>
      <c r="FT26">
        <v>25.339500000000001</v>
      </c>
      <c r="FU26">
        <v>25.340800000000002</v>
      </c>
      <c r="FV26">
        <v>24.973500000000001</v>
      </c>
      <c r="FW26">
        <v>27.441600000000001</v>
      </c>
      <c r="FX26">
        <v>1.1363700000000001</v>
      </c>
      <c r="FY26">
        <v>18.315899999999999</v>
      </c>
      <c r="FZ26">
        <v>410</v>
      </c>
      <c r="GA26">
        <v>13.8323</v>
      </c>
      <c r="GB26">
        <v>99.911000000000001</v>
      </c>
      <c r="GC26">
        <v>99.840900000000005</v>
      </c>
    </row>
    <row r="27" spans="1:185" x14ac:dyDescent="0.2">
      <c r="A27">
        <v>12</v>
      </c>
      <c r="B27">
        <v>1769200448</v>
      </c>
      <c r="C27">
        <v>177</v>
      </c>
      <c r="D27" t="s">
        <v>317</v>
      </c>
      <c r="E27" t="s">
        <v>318</v>
      </c>
      <c r="F27">
        <v>15</v>
      </c>
      <c r="G27">
        <v>1769200439.9333301</v>
      </c>
      <c r="H27">
        <f t="shared" si="0"/>
        <v>1.2402714754328385E-3</v>
      </c>
      <c r="I27">
        <v>0</v>
      </c>
      <c r="J27">
        <f t="shared" si="12"/>
        <v>6.5088233189071986E-4</v>
      </c>
      <c r="K27">
        <f t="shared" si="1"/>
        <v>1.6778819186927751E-2</v>
      </c>
      <c r="L27">
        <f t="shared" si="2"/>
        <v>69.699498406095699</v>
      </c>
      <c r="M27">
        <f t="shared" si="3"/>
        <v>1.5347919246523487</v>
      </c>
      <c r="N27">
        <f t="shared" si="4"/>
        <v>2.202012869174566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26243.20552802103</v>
      </c>
      <c r="T27">
        <f t="shared" si="8"/>
        <v>299.99913333333302</v>
      </c>
      <c r="U27">
        <f t="shared" si="9"/>
        <v>252.89947819939653</v>
      </c>
      <c r="V27">
        <f t="shared" si="10"/>
        <v>0.84300069599999994</v>
      </c>
      <c r="W27">
        <f t="shared" si="11"/>
        <v>0.15870174000000001</v>
      </c>
      <c r="X27">
        <v>1</v>
      </c>
      <c r="Y27">
        <v>1769200439.9333301</v>
      </c>
      <c r="Z27">
        <v>409.347733333333</v>
      </c>
      <c r="AA27">
        <v>410.00333333333299</v>
      </c>
      <c r="AB27">
        <v>15.30592</v>
      </c>
      <c r="AC27">
        <v>13.779313333333301</v>
      </c>
      <c r="AD27">
        <v>410.16120000000001</v>
      </c>
      <c r="AE27">
        <v>15.19922</v>
      </c>
      <c r="AF27">
        <v>800.00173333333305</v>
      </c>
      <c r="AG27">
        <v>100.210466666667</v>
      </c>
      <c r="AH27">
        <v>6.3932039999999996E-2</v>
      </c>
      <c r="AI27">
        <v>18.976966666666701</v>
      </c>
      <c r="AJ27">
        <v>999.9</v>
      </c>
      <c r="AK27">
        <v>999.9</v>
      </c>
      <c r="AL27">
        <v>0</v>
      </c>
      <c r="AM27">
        <v>0</v>
      </c>
      <c r="AN27">
        <v>4994.0333333333301</v>
      </c>
      <c r="AO27">
        <v>0</v>
      </c>
      <c r="AP27">
        <v>1.58087</v>
      </c>
      <c r="AQ27">
        <v>-0.65549513333333298</v>
      </c>
      <c r="AR27">
        <v>415.71066666666701</v>
      </c>
      <c r="AS27">
        <v>415.73160000000001</v>
      </c>
      <c r="AT27">
        <v>1.52659733333333</v>
      </c>
      <c r="AU27">
        <v>410.00333333333299</v>
      </c>
      <c r="AV27">
        <v>13.779313333333301</v>
      </c>
      <c r="AW27">
        <v>1.53381266666667</v>
      </c>
      <c r="AX27">
        <v>1.3808306666666701</v>
      </c>
      <c r="AY27">
        <v>13.3094466666667</v>
      </c>
      <c r="AZ27">
        <v>11.7087533333333</v>
      </c>
      <c r="BA27">
        <v>299.99913333333302</v>
      </c>
      <c r="BB27">
        <v>0.89997680000000002</v>
      </c>
      <c r="BC27">
        <v>0</v>
      </c>
      <c r="BD27">
        <v>0.10002320000000001</v>
      </c>
      <c r="BE27">
        <v>0</v>
      </c>
      <c r="BF27">
        <v>24</v>
      </c>
      <c r="BG27">
        <v>4946.5853333333298</v>
      </c>
      <c r="BH27">
        <v>1769200296</v>
      </c>
      <c r="BI27" t="s">
        <v>289</v>
      </c>
      <c r="BJ27">
        <v>1769200296</v>
      </c>
      <c r="BK27">
        <v>1769200293</v>
      </c>
      <c r="BL27">
        <v>13</v>
      </c>
      <c r="BM27">
        <v>-5.6000000000000001E-2</v>
      </c>
      <c r="BN27">
        <v>2.1000000000000001E-2</v>
      </c>
      <c r="BO27">
        <v>-0.81299999999999994</v>
      </c>
      <c r="BP27">
        <v>0.107</v>
      </c>
      <c r="BQ27">
        <v>410</v>
      </c>
      <c r="BR27">
        <v>15</v>
      </c>
      <c r="BS27">
        <v>0.3</v>
      </c>
      <c r="BT27">
        <v>0.04</v>
      </c>
      <c r="BU27">
        <v>-0.65942376190476204</v>
      </c>
      <c r="BV27">
        <v>-2.8191116883116901E-2</v>
      </c>
      <c r="BW27">
        <v>2.2212084276260299E-2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1.53472904761905</v>
      </c>
      <c r="CD27">
        <v>-0.115725974025974</v>
      </c>
      <c r="CE27">
        <v>1.3244246874905601E-2</v>
      </c>
      <c r="CF27">
        <v>0</v>
      </c>
      <c r="CG27">
        <v>1</v>
      </c>
      <c r="CH27">
        <v>2</v>
      </c>
      <c r="CI27" t="s">
        <v>302</v>
      </c>
      <c r="CJ27">
        <v>3.5324900000000001</v>
      </c>
      <c r="CK27">
        <v>2.7016800000000001</v>
      </c>
      <c r="CL27">
        <v>9.7976999999999995E-2</v>
      </c>
      <c r="CM27">
        <v>9.6725900000000004E-2</v>
      </c>
      <c r="CN27">
        <v>8.67753E-2</v>
      </c>
      <c r="CO27">
        <v>7.9516699999999996E-2</v>
      </c>
      <c r="CP27">
        <v>31641.1</v>
      </c>
      <c r="CQ27">
        <v>27843.200000000001</v>
      </c>
      <c r="CR27">
        <v>32465.200000000001</v>
      </c>
      <c r="CS27">
        <v>30750.9</v>
      </c>
      <c r="CT27">
        <v>40150.6</v>
      </c>
      <c r="CU27">
        <v>39814.1</v>
      </c>
      <c r="CV27">
        <v>47418.6</v>
      </c>
      <c r="CW27">
        <v>46903.9</v>
      </c>
      <c r="CX27">
        <v>2.6259600000000001</v>
      </c>
      <c r="CY27">
        <v>2.1237200000000001</v>
      </c>
      <c r="CZ27">
        <v>0</v>
      </c>
      <c r="DA27">
        <v>0</v>
      </c>
      <c r="DB27">
        <v>999.9</v>
      </c>
      <c r="DC27">
        <v>999.9</v>
      </c>
      <c r="DD27">
        <v>46.478000000000002</v>
      </c>
      <c r="DE27">
        <v>28.631</v>
      </c>
      <c r="DF27">
        <v>18.259399999999999</v>
      </c>
      <c r="DG27">
        <v>30.029900000000001</v>
      </c>
      <c r="DH27">
        <v>16.598600000000001</v>
      </c>
      <c r="DI27">
        <v>2</v>
      </c>
      <c r="DJ27">
        <v>-0.13286999999999999</v>
      </c>
      <c r="DK27">
        <v>1.82189</v>
      </c>
      <c r="DL27">
        <v>20.221900000000002</v>
      </c>
      <c r="DM27">
        <v>5.2509499999999996</v>
      </c>
      <c r="DN27">
        <v>12.033899999999999</v>
      </c>
      <c r="DO27">
        <v>4.9672400000000003</v>
      </c>
      <c r="DP27">
        <v>3.2909999999999999</v>
      </c>
      <c r="DQ27">
        <v>537.6</v>
      </c>
      <c r="DR27">
        <v>9999</v>
      </c>
      <c r="DS27">
        <v>9999</v>
      </c>
      <c r="DT27">
        <v>9999</v>
      </c>
      <c r="DU27">
        <v>1.8711500000000001</v>
      </c>
      <c r="DV27">
        <v>1.8761699999999999</v>
      </c>
      <c r="DW27">
        <v>1.8763300000000001</v>
      </c>
      <c r="DX27">
        <v>1.88279</v>
      </c>
      <c r="DY27">
        <v>1.87561</v>
      </c>
      <c r="DZ27">
        <v>1.8746799999999999</v>
      </c>
      <c r="EA27">
        <v>1.8708800000000001</v>
      </c>
      <c r="EB27">
        <v>1.8746700000000001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-0.81299999999999994</v>
      </c>
      <c r="EQ27">
        <v>0.1067</v>
      </c>
      <c r="ER27">
        <v>-0.81336363636353304</v>
      </c>
      <c r="ES27">
        <v>0</v>
      </c>
      <c r="ET27">
        <v>0</v>
      </c>
      <c r="EU27">
        <v>0</v>
      </c>
      <c r="EV27">
        <v>0.1067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2.5</v>
      </c>
      <c r="FE27">
        <v>2.6</v>
      </c>
      <c r="FF27">
        <v>1.2439</v>
      </c>
      <c r="FG27">
        <v>2.6037599999999999</v>
      </c>
      <c r="FH27">
        <v>2.19604</v>
      </c>
      <c r="FI27">
        <v>2.66235</v>
      </c>
      <c r="FJ27">
        <v>2.4462899999999999</v>
      </c>
      <c r="FK27">
        <v>2.2692899999999998</v>
      </c>
      <c r="FL27">
        <v>32.798000000000002</v>
      </c>
      <c r="FM27">
        <v>24.14</v>
      </c>
      <c r="FN27">
        <v>19</v>
      </c>
      <c r="FO27">
        <v>865.57799999999997</v>
      </c>
      <c r="FP27">
        <v>569.64300000000003</v>
      </c>
      <c r="FQ27">
        <v>18.3459</v>
      </c>
      <c r="FR27">
        <v>25.312799999999999</v>
      </c>
      <c r="FS27">
        <v>30</v>
      </c>
      <c r="FT27">
        <v>25.336099999999998</v>
      </c>
      <c r="FU27">
        <v>25.3386</v>
      </c>
      <c r="FV27">
        <v>24.973800000000001</v>
      </c>
      <c r="FW27">
        <v>27.441600000000001</v>
      </c>
      <c r="FX27">
        <v>1.1363700000000001</v>
      </c>
      <c r="FY27">
        <v>18.363700000000001</v>
      </c>
      <c r="FZ27">
        <v>410</v>
      </c>
      <c r="GA27">
        <v>13.8589</v>
      </c>
      <c r="GB27">
        <v>99.912700000000001</v>
      </c>
      <c r="GC27">
        <v>99.841899999999995</v>
      </c>
    </row>
    <row r="28" spans="1:185" x14ac:dyDescent="0.2">
      <c r="A28">
        <v>13</v>
      </c>
      <c r="B28">
        <v>1769200463</v>
      </c>
      <c r="C28">
        <v>192</v>
      </c>
      <c r="D28" t="s">
        <v>319</v>
      </c>
      <c r="E28" t="s">
        <v>320</v>
      </c>
      <c r="F28">
        <v>15</v>
      </c>
      <c r="G28">
        <v>1769200454.9333301</v>
      </c>
      <c r="H28">
        <f t="shared" si="0"/>
        <v>1.2147951447635764E-3</v>
      </c>
      <c r="I28">
        <v>0</v>
      </c>
      <c r="J28">
        <f t="shared" si="12"/>
        <v>1.8371705650337218E-3</v>
      </c>
      <c r="K28">
        <f t="shared" si="1"/>
        <v>4.735963970123893E-2</v>
      </c>
      <c r="L28">
        <f t="shared" si="2"/>
        <v>69.691814307942138</v>
      </c>
      <c r="M28">
        <f t="shared" si="3"/>
        <v>1.5352677691037442</v>
      </c>
      <c r="N28">
        <f t="shared" si="4"/>
        <v>2.2029384431290144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26258.013416703994</v>
      </c>
      <c r="T28">
        <f t="shared" si="8"/>
        <v>300.000133333333</v>
      </c>
      <c r="U28">
        <f t="shared" si="9"/>
        <v>252.90028280007544</v>
      </c>
      <c r="V28">
        <f t="shared" si="10"/>
        <v>0.84300056800000001</v>
      </c>
      <c r="W28">
        <f t="shared" si="11"/>
        <v>0.15870141999999995</v>
      </c>
      <c r="X28">
        <v>1</v>
      </c>
      <c r="Y28">
        <v>1769200454.9333301</v>
      </c>
      <c r="Z28">
        <v>409.31279999999998</v>
      </c>
      <c r="AA28">
        <v>409.993533333333</v>
      </c>
      <c r="AB28">
        <v>15.310653333333301</v>
      </c>
      <c r="AC28">
        <v>13.81542</v>
      </c>
      <c r="AD28">
        <v>410.12606666666699</v>
      </c>
      <c r="AE28">
        <v>15.203953333333301</v>
      </c>
      <c r="AF28">
        <v>800.00613333333297</v>
      </c>
      <c r="AG28">
        <v>100.210533333333</v>
      </c>
      <c r="AH28">
        <v>6.3944553333333307E-2</v>
      </c>
      <c r="AI28">
        <v>18.983699999999999</v>
      </c>
      <c r="AJ28">
        <v>999.9</v>
      </c>
      <c r="AK28">
        <v>999.9</v>
      </c>
      <c r="AL28">
        <v>0</v>
      </c>
      <c r="AM28">
        <v>0</v>
      </c>
      <c r="AN28">
        <v>4996.5666666666702</v>
      </c>
      <c r="AO28">
        <v>0</v>
      </c>
      <c r="AP28">
        <v>1.58087</v>
      </c>
      <c r="AQ28">
        <v>-0.68072706666666705</v>
      </c>
      <c r="AR28">
        <v>415.67700000000002</v>
      </c>
      <c r="AS28">
        <v>415.73700000000002</v>
      </c>
      <c r="AT28">
        <v>1.495236</v>
      </c>
      <c r="AU28">
        <v>409.993533333333</v>
      </c>
      <c r="AV28">
        <v>13.81542</v>
      </c>
      <c r="AW28">
        <v>1.5342880000000001</v>
      </c>
      <c r="AX28">
        <v>1.38445066666667</v>
      </c>
      <c r="AY28">
        <v>13.3141933333333</v>
      </c>
      <c r="AZ28">
        <v>11.7483533333333</v>
      </c>
      <c r="BA28">
        <v>300.000133333333</v>
      </c>
      <c r="BB28">
        <v>0.899981066666667</v>
      </c>
      <c r="BC28">
        <v>0</v>
      </c>
      <c r="BD28">
        <v>0.100018933333333</v>
      </c>
      <c r="BE28">
        <v>0</v>
      </c>
      <c r="BF28">
        <v>24</v>
      </c>
      <c r="BG28">
        <v>4946.6106666666601</v>
      </c>
      <c r="BH28">
        <v>1769200296</v>
      </c>
      <c r="BI28" t="s">
        <v>289</v>
      </c>
      <c r="BJ28">
        <v>1769200296</v>
      </c>
      <c r="BK28">
        <v>1769200293</v>
      </c>
      <c r="BL28">
        <v>13</v>
      </c>
      <c r="BM28">
        <v>-5.6000000000000001E-2</v>
      </c>
      <c r="BN28">
        <v>2.1000000000000001E-2</v>
      </c>
      <c r="BO28">
        <v>-0.81299999999999994</v>
      </c>
      <c r="BP28">
        <v>0.107</v>
      </c>
      <c r="BQ28">
        <v>410</v>
      </c>
      <c r="BR28">
        <v>15</v>
      </c>
      <c r="BS28">
        <v>0.3</v>
      </c>
      <c r="BT28">
        <v>0.04</v>
      </c>
      <c r="BU28">
        <v>-0.67605585714285699</v>
      </c>
      <c r="BV28">
        <v>1.97593246753234E-2</v>
      </c>
      <c r="BW28">
        <v>2.82768302464954E-2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1.50311095238095</v>
      </c>
      <c r="CD28">
        <v>-0.18257298701298899</v>
      </c>
      <c r="CE28">
        <v>2.00972895364529E-2</v>
      </c>
      <c r="CF28">
        <v>0</v>
      </c>
      <c r="CG28">
        <v>1</v>
      </c>
      <c r="CH28">
        <v>2</v>
      </c>
      <c r="CI28" t="s">
        <v>302</v>
      </c>
      <c r="CJ28">
        <v>3.5325199999999999</v>
      </c>
      <c r="CK28">
        <v>2.7018499999999999</v>
      </c>
      <c r="CL28">
        <v>9.7974199999999997E-2</v>
      </c>
      <c r="CM28">
        <v>9.6727599999999997E-2</v>
      </c>
      <c r="CN28">
        <v>8.6870600000000006E-2</v>
      </c>
      <c r="CO28">
        <v>7.9754000000000005E-2</v>
      </c>
      <c r="CP28">
        <v>31641.3</v>
      </c>
      <c r="CQ28">
        <v>27843.5</v>
      </c>
      <c r="CR28">
        <v>32465.3</v>
      </c>
      <c r="CS28">
        <v>30751.3</v>
      </c>
      <c r="CT28">
        <v>40146.300000000003</v>
      </c>
      <c r="CU28">
        <v>39804.199999999997</v>
      </c>
      <c r="CV28">
        <v>47418.6</v>
      </c>
      <c r="CW28">
        <v>46904.6</v>
      </c>
      <c r="CX28">
        <v>2.62588</v>
      </c>
      <c r="CY28">
        <v>2.12392</v>
      </c>
      <c r="CZ28">
        <v>0</v>
      </c>
      <c r="DA28">
        <v>0</v>
      </c>
      <c r="DB28">
        <v>999.9</v>
      </c>
      <c r="DC28">
        <v>999.9</v>
      </c>
      <c r="DD28">
        <v>46.453000000000003</v>
      </c>
      <c r="DE28">
        <v>28.631</v>
      </c>
      <c r="DF28">
        <v>18.247699999999998</v>
      </c>
      <c r="DG28">
        <v>30.209900000000001</v>
      </c>
      <c r="DH28">
        <v>16.546500000000002</v>
      </c>
      <c r="DI28">
        <v>2</v>
      </c>
      <c r="DJ28">
        <v>-0.133386</v>
      </c>
      <c r="DK28">
        <v>1.79017</v>
      </c>
      <c r="DL28">
        <v>20.2224</v>
      </c>
      <c r="DM28">
        <v>5.2510700000000003</v>
      </c>
      <c r="DN28">
        <v>12.033899999999999</v>
      </c>
      <c r="DO28">
        <v>4.9672799999999997</v>
      </c>
      <c r="DP28">
        <v>3.2909999999999999</v>
      </c>
      <c r="DQ28">
        <v>537.6</v>
      </c>
      <c r="DR28">
        <v>9999</v>
      </c>
      <c r="DS28">
        <v>9999</v>
      </c>
      <c r="DT28">
        <v>9999</v>
      </c>
      <c r="DU28">
        <v>1.8711100000000001</v>
      </c>
      <c r="DV28">
        <v>1.87616</v>
      </c>
      <c r="DW28">
        <v>1.87632</v>
      </c>
      <c r="DX28">
        <v>1.88279</v>
      </c>
      <c r="DY28">
        <v>1.87561</v>
      </c>
      <c r="DZ28">
        <v>1.8746799999999999</v>
      </c>
      <c r="EA28">
        <v>1.87087</v>
      </c>
      <c r="EB28">
        <v>1.87466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-0.81399999999999995</v>
      </c>
      <c r="EQ28">
        <v>0.1067</v>
      </c>
      <c r="ER28">
        <v>-0.81336363636353304</v>
      </c>
      <c r="ES28">
        <v>0</v>
      </c>
      <c r="ET28">
        <v>0</v>
      </c>
      <c r="EU28">
        <v>0</v>
      </c>
      <c r="EV28">
        <v>0.1067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2.8</v>
      </c>
      <c r="FE28">
        <v>2.8</v>
      </c>
      <c r="FF28">
        <v>1.2439</v>
      </c>
      <c r="FG28">
        <v>2.6086399999999998</v>
      </c>
      <c r="FH28">
        <v>2.19604</v>
      </c>
      <c r="FI28">
        <v>2.66113</v>
      </c>
      <c r="FJ28">
        <v>2.4462899999999999</v>
      </c>
      <c r="FK28">
        <v>2.3010299999999999</v>
      </c>
      <c r="FL28">
        <v>32.798000000000002</v>
      </c>
      <c r="FM28">
        <v>24.148800000000001</v>
      </c>
      <c r="FN28">
        <v>19</v>
      </c>
      <c r="FO28">
        <v>865.45500000000004</v>
      </c>
      <c r="FP28">
        <v>569.75400000000002</v>
      </c>
      <c r="FQ28">
        <v>18.386399999999998</v>
      </c>
      <c r="FR28">
        <v>25.309799999999999</v>
      </c>
      <c r="FS28">
        <v>30</v>
      </c>
      <c r="FT28">
        <v>25.333100000000002</v>
      </c>
      <c r="FU28">
        <v>25.334900000000001</v>
      </c>
      <c r="FV28">
        <v>24.9741</v>
      </c>
      <c r="FW28">
        <v>27.169599999999999</v>
      </c>
      <c r="FX28">
        <v>0.76227900000000004</v>
      </c>
      <c r="FY28">
        <v>18.3964</v>
      </c>
      <c r="FZ28">
        <v>410</v>
      </c>
      <c r="GA28">
        <v>13.849399999999999</v>
      </c>
      <c r="GB28">
        <v>99.912800000000004</v>
      </c>
      <c r="GC28">
        <v>99.843299999999999</v>
      </c>
    </row>
    <row r="29" spans="1:185" x14ac:dyDescent="0.2">
      <c r="A29">
        <v>14</v>
      </c>
      <c r="B29">
        <v>1769200478</v>
      </c>
      <c r="C29">
        <v>207</v>
      </c>
      <c r="D29" t="s">
        <v>321</v>
      </c>
      <c r="E29" t="s">
        <v>322</v>
      </c>
      <c r="F29">
        <v>15</v>
      </c>
      <c r="G29">
        <v>1769200469.9333301</v>
      </c>
      <c r="H29">
        <f t="shared" si="0"/>
        <v>1.213653184414543E-3</v>
      </c>
      <c r="I29">
        <v>0</v>
      </c>
      <c r="J29">
        <f t="shared" si="12"/>
        <v>4.8585497214298983E-4</v>
      </c>
      <c r="K29">
        <f t="shared" si="1"/>
        <v>1.2524648971460699E-2</v>
      </c>
      <c r="L29">
        <f t="shared" si="2"/>
        <v>69.741906071238674</v>
      </c>
      <c r="M29">
        <f t="shared" si="3"/>
        <v>1.5372964834470482</v>
      </c>
      <c r="N29">
        <f t="shared" si="4"/>
        <v>2.2042650825699526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26318.166718163331</v>
      </c>
      <c r="T29">
        <f t="shared" si="8"/>
        <v>299.99866666666702</v>
      </c>
      <c r="U29">
        <f t="shared" si="9"/>
        <v>252.89909499902697</v>
      </c>
      <c r="V29">
        <f t="shared" si="10"/>
        <v>0.84300072999999998</v>
      </c>
      <c r="W29">
        <f t="shared" si="11"/>
        <v>0.15870182499999996</v>
      </c>
      <c r="X29">
        <v>1</v>
      </c>
      <c r="Y29">
        <v>1769200469.9333301</v>
      </c>
      <c r="Z29">
        <v>409.35413333333298</v>
      </c>
      <c r="AA29">
        <v>409.99079999999998</v>
      </c>
      <c r="AB29">
        <v>15.3307133333333</v>
      </c>
      <c r="AC29">
        <v>13.836919999999999</v>
      </c>
      <c r="AD29">
        <v>410.16726666666699</v>
      </c>
      <c r="AE29">
        <v>15.2240133333333</v>
      </c>
      <c r="AF29">
        <v>800.00826666666705</v>
      </c>
      <c r="AG29">
        <v>100.21153333333299</v>
      </c>
      <c r="AH29">
        <v>6.4067026666666693E-2</v>
      </c>
      <c r="AI29">
        <v>18.993346666666699</v>
      </c>
      <c r="AJ29">
        <v>999.9</v>
      </c>
      <c r="AK29">
        <v>999.9</v>
      </c>
      <c r="AL29">
        <v>0</v>
      </c>
      <c r="AM29">
        <v>0</v>
      </c>
      <c r="AN29">
        <v>5006.5666666666702</v>
      </c>
      <c r="AO29">
        <v>0</v>
      </c>
      <c r="AP29">
        <v>1.58087</v>
      </c>
      <c r="AQ29">
        <v>-0.6367024</v>
      </c>
      <c r="AR29">
        <v>415.72733333333298</v>
      </c>
      <c r="AS29">
        <v>415.74326666666701</v>
      </c>
      <c r="AT29">
        <v>1.4937973333333301</v>
      </c>
      <c r="AU29">
        <v>409.99079999999998</v>
      </c>
      <c r="AV29">
        <v>13.836919999999999</v>
      </c>
      <c r="AW29">
        <v>1.536316</v>
      </c>
      <c r="AX29">
        <v>1.38662</v>
      </c>
      <c r="AY29">
        <v>13.3344533333333</v>
      </c>
      <c r="AZ29">
        <v>11.7720866666667</v>
      </c>
      <c r="BA29">
        <v>299.99866666666702</v>
      </c>
      <c r="BB29">
        <v>0.89997566666666695</v>
      </c>
      <c r="BC29">
        <v>0</v>
      </c>
      <c r="BD29">
        <v>0.10002433333333299</v>
      </c>
      <c r="BE29">
        <v>0</v>
      </c>
      <c r="BF29">
        <v>24</v>
      </c>
      <c r="BG29">
        <v>4946.5780000000004</v>
      </c>
      <c r="BH29">
        <v>1769200296</v>
      </c>
      <c r="BI29" t="s">
        <v>289</v>
      </c>
      <c r="BJ29">
        <v>1769200296</v>
      </c>
      <c r="BK29">
        <v>1769200293</v>
      </c>
      <c r="BL29">
        <v>13</v>
      </c>
      <c r="BM29">
        <v>-5.6000000000000001E-2</v>
      </c>
      <c r="BN29">
        <v>2.1000000000000001E-2</v>
      </c>
      <c r="BO29">
        <v>-0.81299999999999994</v>
      </c>
      <c r="BP29">
        <v>0.107</v>
      </c>
      <c r="BQ29">
        <v>410</v>
      </c>
      <c r="BR29">
        <v>15</v>
      </c>
      <c r="BS29">
        <v>0.3</v>
      </c>
      <c r="BT29">
        <v>0.04</v>
      </c>
      <c r="BU29">
        <v>-0.64325854999999998</v>
      </c>
      <c r="BV29">
        <v>4.33942105263148E-2</v>
      </c>
      <c r="BW29">
        <v>2.87463082559744E-2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1.4899985</v>
      </c>
      <c r="CD29">
        <v>7.0047067669173804E-2</v>
      </c>
      <c r="CE29">
        <v>7.6830972107607602E-3</v>
      </c>
      <c r="CF29">
        <v>1</v>
      </c>
      <c r="CG29">
        <v>2</v>
      </c>
      <c r="CH29">
        <v>2</v>
      </c>
      <c r="CI29" t="s">
        <v>297</v>
      </c>
      <c r="CJ29">
        <v>3.5325500000000001</v>
      </c>
      <c r="CK29">
        <v>2.7019099999999998</v>
      </c>
      <c r="CL29">
        <v>9.7975000000000007E-2</v>
      </c>
      <c r="CM29">
        <v>9.6737000000000004E-2</v>
      </c>
      <c r="CN29">
        <v>8.6895200000000006E-2</v>
      </c>
      <c r="CO29">
        <v>7.9730800000000004E-2</v>
      </c>
      <c r="CP29">
        <v>31640.799999999999</v>
      </c>
      <c r="CQ29">
        <v>27843.1</v>
      </c>
      <c r="CR29">
        <v>32464.799999999999</v>
      </c>
      <c r="CS29">
        <v>30751.200000000001</v>
      </c>
      <c r="CT29">
        <v>40144.699999999997</v>
      </c>
      <c r="CU29">
        <v>39804.699999999997</v>
      </c>
      <c r="CV29">
        <v>47418</v>
      </c>
      <c r="CW29">
        <v>46904.1</v>
      </c>
      <c r="CX29">
        <v>2.6257999999999999</v>
      </c>
      <c r="CY29">
        <v>2.12412</v>
      </c>
      <c r="CZ29">
        <v>0</v>
      </c>
      <c r="DA29">
        <v>0</v>
      </c>
      <c r="DB29">
        <v>999.9</v>
      </c>
      <c r="DC29">
        <v>999.9</v>
      </c>
      <c r="DD29">
        <v>46.429000000000002</v>
      </c>
      <c r="DE29">
        <v>28.631</v>
      </c>
      <c r="DF29">
        <v>18.239100000000001</v>
      </c>
      <c r="DG29">
        <v>30.149899999999999</v>
      </c>
      <c r="DH29">
        <v>16.5184</v>
      </c>
      <c r="DI29">
        <v>2</v>
      </c>
      <c r="DJ29">
        <v>-0.13378899999999999</v>
      </c>
      <c r="DK29">
        <v>1.79176</v>
      </c>
      <c r="DL29">
        <v>20.2224</v>
      </c>
      <c r="DM29">
        <v>5.2516699999999998</v>
      </c>
      <c r="DN29">
        <v>12.033899999999999</v>
      </c>
      <c r="DO29">
        <v>4.96732</v>
      </c>
      <c r="DP29">
        <v>3.2909999999999999</v>
      </c>
      <c r="DQ29">
        <v>537.6</v>
      </c>
      <c r="DR29">
        <v>9999</v>
      </c>
      <c r="DS29">
        <v>9999</v>
      </c>
      <c r="DT29">
        <v>9999</v>
      </c>
      <c r="DU29">
        <v>1.8711199999999999</v>
      </c>
      <c r="DV29">
        <v>1.87615</v>
      </c>
      <c r="DW29">
        <v>1.87636</v>
      </c>
      <c r="DX29">
        <v>1.8827799999999999</v>
      </c>
      <c r="DY29">
        <v>1.87561</v>
      </c>
      <c r="DZ29">
        <v>1.87469</v>
      </c>
      <c r="EA29">
        <v>1.87086</v>
      </c>
      <c r="EB29">
        <v>1.8746799999999999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-0.81399999999999995</v>
      </c>
      <c r="EQ29">
        <v>0.1067</v>
      </c>
      <c r="ER29">
        <v>-0.81336363636353304</v>
      </c>
      <c r="ES29">
        <v>0</v>
      </c>
      <c r="ET29">
        <v>0</v>
      </c>
      <c r="EU29">
        <v>0</v>
      </c>
      <c r="EV29">
        <v>0.1067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</v>
      </c>
      <c r="FE29">
        <v>3.1</v>
      </c>
      <c r="FF29">
        <v>1.2439</v>
      </c>
      <c r="FG29">
        <v>2.6013199999999999</v>
      </c>
      <c r="FH29">
        <v>2.19604</v>
      </c>
      <c r="FI29">
        <v>2.66113</v>
      </c>
      <c r="FJ29">
        <v>2.4462899999999999</v>
      </c>
      <c r="FK29">
        <v>2.3315399999999999</v>
      </c>
      <c r="FL29">
        <v>32.798000000000002</v>
      </c>
      <c r="FM29">
        <v>24.148800000000001</v>
      </c>
      <c r="FN29">
        <v>19</v>
      </c>
      <c r="FO29">
        <v>865.31200000000001</v>
      </c>
      <c r="FP29">
        <v>569.85500000000002</v>
      </c>
      <c r="FQ29">
        <v>18.406099999999999</v>
      </c>
      <c r="FR29">
        <v>25.305099999999999</v>
      </c>
      <c r="FS29">
        <v>30</v>
      </c>
      <c r="FT29">
        <v>25.328800000000001</v>
      </c>
      <c r="FU29">
        <v>25.330200000000001</v>
      </c>
      <c r="FV29">
        <v>24.9727</v>
      </c>
      <c r="FW29">
        <v>27.169599999999999</v>
      </c>
      <c r="FX29">
        <v>0.76227900000000004</v>
      </c>
      <c r="FY29">
        <v>18.409300000000002</v>
      </c>
      <c r="FZ29">
        <v>410</v>
      </c>
      <c r="GA29">
        <v>13.854699999999999</v>
      </c>
      <c r="GB29">
        <v>99.9114</v>
      </c>
      <c r="GC29">
        <v>99.842399999999998</v>
      </c>
    </row>
    <row r="30" spans="1:185" x14ac:dyDescent="0.2">
      <c r="A30">
        <v>15</v>
      </c>
      <c r="B30">
        <v>1769200493</v>
      </c>
      <c r="C30">
        <v>222</v>
      </c>
      <c r="D30" t="s">
        <v>323</v>
      </c>
      <c r="E30" t="s">
        <v>324</v>
      </c>
      <c r="F30">
        <v>15</v>
      </c>
      <c r="G30">
        <v>1769200484.9333301</v>
      </c>
      <c r="H30">
        <f t="shared" si="0"/>
        <v>1.2168590056203033E-3</v>
      </c>
      <c r="I30">
        <v>0</v>
      </c>
      <c r="J30">
        <f t="shared" si="12"/>
        <v>7.029382000976114E-4</v>
      </c>
      <c r="K30">
        <f t="shared" si="1"/>
        <v>1.812074530393383E-2</v>
      </c>
      <c r="L30">
        <f t="shared" si="2"/>
        <v>69.702284852878066</v>
      </c>
      <c r="M30">
        <f t="shared" si="3"/>
        <v>1.5370624569377325</v>
      </c>
      <c r="N30">
        <f t="shared" si="4"/>
        <v>2.205182312433573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26250.008729587254</v>
      </c>
      <c r="T30">
        <f t="shared" si="8"/>
        <v>300.0018</v>
      </c>
      <c r="U30">
        <f t="shared" si="9"/>
        <v>252.9017808015804</v>
      </c>
      <c r="V30">
        <f t="shared" si="10"/>
        <v>0.84300087800000001</v>
      </c>
      <c r="W30">
        <f t="shared" si="11"/>
        <v>0.15870219500000002</v>
      </c>
      <c r="X30">
        <v>1</v>
      </c>
      <c r="Y30">
        <v>1769200484.9333301</v>
      </c>
      <c r="Z30">
        <v>409.37166666666701</v>
      </c>
      <c r="AA30">
        <v>410.017</v>
      </c>
      <c r="AB30">
        <v>15.3283533333333</v>
      </c>
      <c r="AC30">
        <v>13.8306</v>
      </c>
      <c r="AD30">
        <v>410.18506666666701</v>
      </c>
      <c r="AE30">
        <v>15.2216533333333</v>
      </c>
      <c r="AF30">
        <v>800.00260000000003</v>
      </c>
      <c r="AG30">
        <v>100.21186666666701</v>
      </c>
      <c r="AH30">
        <v>6.3904873333333306E-2</v>
      </c>
      <c r="AI30">
        <v>19.0000133333333</v>
      </c>
      <c r="AJ30">
        <v>999.9</v>
      </c>
      <c r="AK30">
        <v>999.9</v>
      </c>
      <c r="AL30">
        <v>0</v>
      </c>
      <c r="AM30">
        <v>0</v>
      </c>
      <c r="AN30">
        <v>4995.4333333333298</v>
      </c>
      <c r="AO30">
        <v>0</v>
      </c>
      <c r="AP30">
        <v>1.58087</v>
      </c>
      <c r="AQ30">
        <v>-0.64525353333333302</v>
      </c>
      <c r="AR30">
        <v>415.74446666666699</v>
      </c>
      <c r="AS30">
        <v>415.7672</v>
      </c>
      <c r="AT30">
        <v>1.4977533333333299</v>
      </c>
      <c r="AU30">
        <v>410.017</v>
      </c>
      <c r="AV30">
        <v>13.8306</v>
      </c>
      <c r="AW30">
        <v>1.5360813333333301</v>
      </c>
      <c r="AX30">
        <v>1.3859900000000001</v>
      </c>
      <c r="AY30">
        <v>13.3321133333333</v>
      </c>
      <c r="AZ30">
        <v>11.7652066666667</v>
      </c>
      <c r="BA30">
        <v>300.0018</v>
      </c>
      <c r="BB30">
        <v>0.899970733333333</v>
      </c>
      <c r="BC30">
        <v>0</v>
      </c>
      <c r="BD30">
        <v>0.100029266666667</v>
      </c>
      <c r="BE30">
        <v>0</v>
      </c>
      <c r="BF30">
        <v>24</v>
      </c>
      <c r="BG30">
        <v>4946.6186666666699</v>
      </c>
      <c r="BH30">
        <v>1769200296</v>
      </c>
      <c r="BI30" t="s">
        <v>289</v>
      </c>
      <c r="BJ30">
        <v>1769200296</v>
      </c>
      <c r="BK30">
        <v>1769200293</v>
      </c>
      <c r="BL30">
        <v>13</v>
      </c>
      <c r="BM30">
        <v>-5.6000000000000001E-2</v>
      </c>
      <c r="BN30">
        <v>2.1000000000000001E-2</v>
      </c>
      <c r="BO30">
        <v>-0.81299999999999994</v>
      </c>
      <c r="BP30">
        <v>0.107</v>
      </c>
      <c r="BQ30">
        <v>410</v>
      </c>
      <c r="BR30">
        <v>15</v>
      </c>
      <c r="BS30">
        <v>0.3</v>
      </c>
      <c r="BT30">
        <v>0.04</v>
      </c>
      <c r="BU30">
        <v>-0.64403280952381003</v>
      </c>
      <c r="BV30">
        <v>2.6512207792204799E-3</v>
      </c>
      <c r="BW30">
        <v>3.2485866844373802E-2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1.4972080952380999</v>
      </c>
      <c r="CD30">
        <v>1.10392207792217E-2</v>
      </c>
      <c r="CE30">
        <v>1.91842102496429E-3</v>
      </c>
      <c r="CF30">
        <v>1</v>
      </c>
      <c r="CG30">
        <v>2</v>
      </c>
      <c r="CH30">
        <v>2</v>
      </c>
      <c r="CI30" t="s">
        <v>297</v>
      </c>
      <c r="CJ30">
        <v>3.5325700000000002</v>
      </c>
      <c r="CK30">
        <v>2.7019299999999999</v>
      </c>
      <c r="CL30">
        <v>9.7980399999999995E-2</v>
      </c>
      <c r="CM30">
        <v>9.6734000000000001E-2</v>
      </c>
      <c r="CN30">
        <v>8.6847900000000006E-2</v>
      </c>
      <c r="CO30">
        <v>7.9710699999999995E-2</v>
      </c>
      <c r="CP30">
        <v>31641</v>
      </c>
      <c r="CQ30">
        <v>27844.1</v>
      </c>
      <c r="CR30">
        <v>32465.1</v>
      </c>
      <c r="CS30">
        <v>30752.2</v>
      </c>
      <c r="CT30">
        <v>40147.199999999997</v>
      </c>
      <c r="CU30">
        <v>39806.800000000003</v>
      </c>
      <c r="CV30">
        <v>47418.5</v>
      </c>
      <c r="CW30">
        <v>46905.5</v>
      </c>
      <c r="CX30">
        <v>2.6260599999999998</v>
      </c>
      <c r="CY30">
        <v>2.1240199999999998</v>
      </c>
      <c r="CZ30">
        <v>0</v>
      </c>
      <c r="DA30">
        <v>0</v>
      </c>
      <c r="DB30">
        <v>999.9</v>
      </c>
      <c r="DC30">
        <v>999.9</v>
      </c>
      <c r="DD30">
        <v>46.429000000000002</v>
      </c>
      <c r="DE30">
        <v>28.631</v>
      </c>
      <c r="DF30">
        <v>18.2377</v>
      </c>
      <c r="DG30">
        <v>30.299900000000001</v>
      </c>
      <c r="DH30">
        <v>16.442299999999999</v>
      </c>
      <c r="DI30">
        <v>2</v>
      </c>
      <c r="DJ30">
        <v>-0.132911</v>
      </c>
      <c r="DK30">
        <v>2.3273899999999998</v>
      </c>
      <c r="DL30">
        <v>20.214300000000001</v>
      </c>
      <c r="DM30">
        <v>5.2510700000000003</v>
      </c>
      <c r="DN30">
        <v>12.033899999999999</v>
      </c>
      <c r="DO30">
        <v>4.9669600000000003</v>
      </c>
      <c r="DP30">
        <v>3.2909999999999999</v>
      </c>
      <c r="DQ30">
        <v>537.70000000000005</v>
      </c>
      <c r="DR30">
        <v>9999</v>
      </c>
      <c r="DS30">
        <v>9999</v>
      </c>
      <c r="DT30">
        <v>9999</v>
      </c>
      <c r="DU30">
        <v>1.87107</v>
      </c>
      <c r="DV30">
        <v>1.87608</v>
      </c>
      <c r="DW30">
        <v>1.8763000000000001</v>
      </c>
      <c r="DX30">
        <v>1.8827799999999999</v>
      </c>
      <c r="DY30">
        <v>1.8755999999999999</v>
      </c>
      <c r="DZ30">
        <v>1.87466</v>
      </c>
      <c r="EA30">
        <v>1.8708199999999999</v>
      </c>
      <c r="EB30">
        <v>1.8746400000000001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-0.81399999999999995</v>
      </c>
      <c r="EQ30">
        <v>0.1067</v>
      </c>
      <c r="ER30">
        <v>-0.81336363636353304</v>
      </c>
      <c r="ES30">
        <v>0</v>
      </c>
      <c r="ET30">
        <v>0</v>
      </c>
      <c r="EU30">
        <v>0</v>
      </c>
      <c r="EV30">
        <v>0.1067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3.3</v>
      </c>
      <c r="FE30">
        <v>3.3</v>
      </c>
      <c r="FF30">
        <v>1.2439</v>
      </c>
      <c r="FG30">
        <v>2.6049799999999999</v>
      </c>
      <c r="FH30">
        <v>2.19604</v>
      </c>
      <c r="FI30">
        <v>2.66235</v>
      </c>
      <c r="FJ30">
        <v>2.4462899999999999</v>
      </c>
      <c r="FK30">
        <v>2.2863799999999999</v>
      </c>
      <c r="FL30">
        <v>32.798000000000002</v>
      </c>
      <c r="FM30">
        <v>24.148800000000001</v>
      </c>
      <c r="FN30">
        <v>19</v>
      </c>
      <c r="FO30">
        <v>865.48500000000001</v>
      </c>
      <c r="FP30">
        <v>569.72699999999998</v>
      </c>
      <c r="FQ30">
        <v>18.343599999999999</v>
      </c>
      <c r="FR30">
        <v>25.299600000000002</v>
      </c>
      <c r="FS30">
        <v>30.000699999999998</v>
      </c>
      <c r="FT30">
        <v>25.3246</v>
      </c>
      <c r="FU30">
        <v>25.325500000000002</v>
      </c>
      <c r="FV30">
        <v>24.971599999999999</v>
      </c>
      <c r="FW30">
        <v>27.169599999999999</v>
      </c>
      <c r="FX30">
        <v>0.76227900000000004</v>
      </c>
      <c r="FY30">
        <v>18.274999999999999</v>
      </c>
      <c r="FZ30">
        <v>410</v>
      </c>
      <c r="GA30">
        <v>13.867599999999999</v>
      </c>
      <c r="GB30">
        <v>99.912499999999994</v>
      </c>
      <c r="GC30">
        <v>99.845500000000001</v>
      </c>
    </row>
    <row r="31" spans="1:185" x14ac:dyDescent="0.2">
      <c r="A31">
        <v>16</v>
      </c>
      <c r="B31">
        <v>1769200508</v>
      </c>
      <c r="C31">
        <v>237</v>
      </c>
      <c r="D31" t="s">
        <v>325</v>
      </c>
      <c r="E31" t="s">
        <v>326</v>
      </c>
      <c r="F31">
        <v>15</v>
      </c>
      <c r="G31">
        <v>1769200499.9333301</v>
      </c>
      <c r="H31">
        <f t="shared" si="0"/>
        <v>1.219937860276169E-3</v>
      </c>
      <c r="I31">
        <v>0</v>
      </c>
      <c r="J31">
        <f t="shared" si="12"/>
        <v>-4.363973304686932E-4</v>
      </c>
      <c r="K31">
        <f t="shared" si="1"/>
        <v>-1.1249701432703091E-2</v>
      </c>
      <c r="L31">
        <f t="shared" si="2"/>
        <v>69.651643748067883</v>
      </c>
      <c r="M31">
        <f t="shared" si="3"/>
        <v>1.5358473277574369</v>
      </c>
      <c r="N31">
        <f t="shared" si="4"/>
        <v>2.2050410372404756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26277.235604386035</v>
      </c>
      <c r="T31">
        <f t="shared" si="8"/>
        <v>300.00006666666701</v>
      </c>
      <c r="U31">
        <f t="shared" si="9"/>
        <v>252.90035620006668</v>
      </c>
      <c r="V31">
        <f t="shared" si="10"/>
        <v>0.84300099999999911</v>
      </c>
      <c r="W31">
        <f t="shared" si="11"/>
        <v>0.15870249999999983</v>
      </c>
      <c r="X31">
        <v>1</v>
      </c>
      <c r="Y31">
        <v>1769200499.9333301</v>
      </c>
      <c r="Z31">
        <v>409.376466666667</v>
      </c>
      <c r="AA31">
        <v>409.98666666666702</v>
      </c>
      <c r="AB31">
        <v>15.31634</v>
      </c>
      <c r="AC31">
        <v>13.8147866666667</v>
      </c>
      <c r="AD31">
        <v>410.18979999999999</v>
      </c>
      <c r="AE31">
        <v>15.20964</v>
      </c>
      <c r="AF31">
        <v>800.0068</v>
      </c>
      <c r="AG31">
        <v>100.21106666666699</v>
      </c>
      <c r="AH31">
        <v>6.4020446666666703E-2</v>
      </c>
      <c r="AI31">
        <v>18.998986666666699</v>
      </c>
      <c r="AJ31">
        <v>999.9</v>
      </c>
      <c r="AK31">
        <v>999.9</v>
      </c>
      <c r="AL31">
        <v>0</v>
      </c>
      <c r="AM31">
        <v>0</v>
      </c>
      <c r="AN31">
        <v>4999.9333333333298</v>
      </c>
      <c r="AO31">
        <v>0</v>
      </c>
      <c r="AP31">
        <v>1.58087</v>
      </c>
      <c r="AQ31">
        <v>-0.610205</v>
      </c>
      <c r="AR31">
        <v>415.74400000000003</v>
      </c>
      <c r="AS31">
        <v>415.73</v>
      </c>
      <c r="AT31">
        <v>1.5015466666666699</v>
      </c>
      <c r="AU31">
        <v>409.98666666666702</v>
      </c>
      <c r="AV31">
        <v>13.8147866666667</v>
      </c>
      <c r="AW31">
        <v>1.53486733333333</v>
      </c>
      <c r="AX31">
        <v>1.384396</v>
      </c>
      <c r="AY31">
        <v>13.319993333333301</v>
      </c>
      <c r="AZ31">
        <v>11.747773333333299</v>
      </c>
      <c r="BA31">
        <v>300.00006666666701</v>
      </c>
      <c r="BB31">
        <v>0.89996666666666603</v>
      </c>
      <c r="BC31">
        <v>0</v>
      </c>
      <c r="BD31">
        <v>0.100033333333333</v>
      </c>
      <c r="BE31">
        <v>0</v>
      </c>
      <c r="BF31">
        <v>24</v>
      </c>
      <c r="BG31">
        <v>4946.5866666666698</v>
      </c>
      <c r="BH31">
        <v>1769200296</v>
      </c>
      <c r="BI31" t="s">
        <v>289</v>
      </c>
      <c r="BJ31">
        <v>1769200296</v>
      </c>
      <c r="BK31">
        <v>1769200293</v>
      </c>
      <c r="BL31">
        <v>13</v>
      </c>
      <c r="BM31">
        <v>-5.6000000000000001E-2</v>
      </c>
      <c r="BN31">
        <v>2.1000000000000001E-2</v>
      </c>
      <c r="BO31">
        <v>-0.81299999999999994</v>
      </c>
      <c r="BP31">
        <v>0.107</v>
      </c>
      <c r="BQ31">
        <v>410</v>
      </c>
      <c r="BR31">
        <v>15</v>
      </c>
      <c r="BS31">
        <v>0.3</v>
      </c>
      <c r="BT31">
        <v>0.04</v>
      </c>
      <c r="BU31">
        <v>-0.62500580952381002</v>
      </c>
      <c r="BV31">
        <v>0.24287353246753199</v>
      </c>
      <c r="BW31">
        <v>3.0108210164289901E-2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1.49991619047619</v>
      </c>
      <c r="CD31">
        <v>4.9022337662337503E-2</v>
      </c>
      <c r="CE31">
        <v>8.7236015259046593E-3</v>
      </c>
      <c r="CF31">
        <v>1</v>
      </c>
      <c r="CG31">
        <v>2</v>
      </c>
      <c r="CH31">
        <v>2</v>
      </c>
      <c r="CI31" t="s">
        <v>297</v>
      </c>
      <c r="CJ31">
        <v>3.5325500000000001</v>
      </c>
      <c r="CK31">
        <v>2.70174</v>
      </c>
      <c r="CL31">
        <v>9.7979800000000006E-2</v>
      </c>
      <c r="CM31">
        <v>9.67364E-2</v>
      </c>
      <c r="CN31">
        <v>8.6820599999999998E-2</v>
      </c>
      <c r="CO31">
        <v>7.9613400000000001E-2</v>
      </c>
      <c r="CP31">
        <v>31641.4</v>
      </c>
      <c r="CQ31">
        <v>27844.5</v>
      </c>
      <c r="CR31">
        <v>32465.5</v>
      </c>
      <c r="CS31">
        <v>30752.6</v>
      </c>
      <c r="CT31">
        <v>40149</v>
      </c>
      <c r="CU31">
        <v>39811.699999999997</v>
      </c>
      <c r="CV31">
        <v>47419.1</v>
      </c>
      <c r="CW31">
        <v>46906.1</v>
      </c>
      <c r="CX31">
        <v>2.6261199999999998</v>
      </c>
      <c r="CY31">
        <v>2.1241599999999998</v>
      </c>
      <c r="CZ31">
        <v>0</v>
      </c>
      <c r="DA31">
        <v>0</v>
      </c>
      <c r="DB31">
        <v>999.9</v>
      </c>
      <c r="DC31">
        <v>999.9</v>
      </c>
      <c r="DD31">
        <v>46.38</v>
      </c>
      <c r="DE31">
        <v>28.640999999999998</v>
      </c>
      <c r="DF31">
        <v>18.230399999999999</v>
      </c>
      <c r="DG31">
        <v>30.3599</v>
      </c>
      <c r="DH31">
        <v>16.462299999999999</v>
      </c>
      <c r="DI31">
        <v>2</v>
      </c>
      <c r="DJ31">
        <v>-0.13417499999999999</v>
      </c>
      <c r="DK31">
        <v>1.9466300000000001</v>
      </c>
      <c r="DL31">
        <v>20.220300000000002</v>
      </c>
      <c r="DM31">
        <v>5.2503500000000001</v>
      </c>
      <c r="DN31">
        <v>12.033899999999999</v>
      </c>
      <c r="DO31">
        <v>4.9669600000000003</v>
      </c>
      <c r="DP31">
        <v>3.2909999999999999</v>
      </c>
      <c r="DQ31">
        <v>537.70000000000005</v>
      </c>
      <c r="DR31">
        <v>9999</v>
      </c>
      <c r="DS31">
        <v>9999</v>
      </c>
      <c r="DT31">
        <v>9999</v>
      </c>
      <c r="DU31">
        <v>1.8711500000000001</v>
      </c>
      <c r="DV31">
        <v>1.8761699999999999</v>
      </c>
      <c r="DW31">
        <v>1.87636</v>
      </c>
      <c r="DX31">
        <v>1.8828199999999999</v>
      </c>
      <c r="DY31">
        <v>1.87561</v>
      </c>
      <c r="DZ31">
        <v>1.87469</v>
      </c>
      <c r="EA31">
        <v>1.87086</v>
      </c>
      <c r="EB31">
        <v>1.8746700000000001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-0.81299999999999994</v>
      </c>
      <c r="EQ31">
        <v>0.1067</v>
      </c>
      <c r="ER31">
        <v>-0.81336363636353304</v>
      </c>
      <c r="ES31">
        <v>0</v>
      </c>
      <c r="ET31">
        <v>0</v>
      </c>
      <c r="EU31">
        <v>0</v>
      </c>
      <c r="EV31">
        <v>0.1067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3.5</v>
      </c>
      <c r="FE31">
        <v>3.6</v>
      </c>
      <c r="FF31">
        <v>1.2439</v>
      </c>
      <c r="FG31">
        <v>2.6000999999999999</v>
      </c>
      <c r="FH31">
        <v>2.19604</v>
      </c>
      <c r="FI31">
        <v>2.66113</v>
      </c>
      <c r="FJ31">
        <v>2.4462899999999999</v>
      </c>
      <c r="FK31">
        <v>2.2973599999999998</v>
      </c>
      <c r="FL31">
        <v>32.798000000000002</v>
      </c>
      <c r="FM31">
        <v>24.148800000000001</v>
      </c>
      <c r="FN31">
        <v>19</v>
      </c>
      <c r="FO31">
        <v>865.43799999999999</v>
      </c>
      <c r="FP31">
        <v>569.75800000000004</v>
      </c>
      <c r="FQ31">
        <v>18.258299999999998</v>
      </c>
      <c r="FR31">
        <v>25.292400000000001</v>
      </c>
      <c r="FS31">
        <v>29.999700000000001</v>
      </c>
      <c r="FT31">
        <v>25.318200000000001</v>
      </c>
      <c r="FU31">
        <v>25.3187</v>
      </c>
      <c r="FV31">
        <v>24.973199999999999</v>
      </c>
      <c r="FW31">
        <v>26.877300000000002</v>
      </c>
      <c r="FX31">
        <v>0.39173000000000002</v>
      </c>
      <c r="FY31">
        <v>18.272200000000002</v>
      </c>
      <c r="FZ31">
        <v>410</v>
      </c>
      <c r="GA31">
        <v>13.8847</v>
      </c>
      <c r="GB31">
        <v>99.913799999999995</v>
      </c>
      <c r="GC31">
        <v>99.846999999999994</v>
      </c>
    </row>
    <row r="32" spans="1:185" x14ac:dyDescent="0.2">
      <c r="A32">
        <v>17</v>
      </c>
      <c r="B32">
        <v>1769200523</v>
      </c>
      <c r="C32">
        <v>252</v>
      </c>
      <c r="D32" t="s">
        <v>327</v>
      </c>
      <c r="E32" t="s">
        <v>328</v>
      </c>
      <c r="F32">
        <v>15</v>
      </c>
      <c r="G32">
        <v>1769200514.9333301</v>
      </c>
      <c r="H32">
        <f t="shared" si="0"/>
        <v>1.2099422867130137E-3</v>
      </c>
      <c r="I32">
        <v>0</v>
      </c>
      <c r="J32">
        <f t="shared" si="12"/>
        <v>1.9234595829626996E-4</v>
      </c>
      <c r="K32">
        <f t="shared" si="1"/>
        <v>4.9584047645209626E-3</v>
      </c>
      <c r="L32">
        <f t="shared" si="2"/>
        <v>69.679261049964026</v>
      </c>
      <c r="M32">
        <f t="shared" si="3"/>
        <v>1.5354856252544129</v>
      </c>
      <c r="N32">
        <f t="shared" si="4"/>
        <v>2.2036479751893201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26334.787997620868</v>
      </c>
      <c r="T32">
        <f t="shared" si="8"/>
        <v>300.00186666666701</v>
      </c>
      <c r="U32">
        <f t="shared" si="9"/>
        <v>252.90191320211306</v>
      </c>
      <c r="V32">
        <f t="shared" si="10"/>
        <v>0.84300113199999904</v>
      </c>
      <c r="W32">
        <f t="shared" si="11"/>
        <v>0.15870282999999982</v>
      </c>
      <c r="X32">
        <v>1</v>
      </c>
      <c r="Y32">
        <v>1769200514.9333301</v>
      </c>
      <c r="Z32">
        <v>409.36939999999998</v>
      </c>
      <c r="AA32">
        <v>409.99473333333299</v>
      </c>
      <c r="AB32">
        <v>15.312720000000001</v>
      </c>
      <c r="AC32">
        <v>13.8234666666667</v>
      </c>
      <c r="AD32">
        <v>410.18259999999998</v>
      </c>
      <c r="AE32">
        <v>15.206020000000001</v>
      </c>
      <c r="AF32">
        <v>800.00813333333303</v>
      </c>
      <c r="AG32">
        <v>100.2116</v>
      </c>
      <c r="AH32">
        <v>6.3571573333333298E-2</v>
      </c>
      <c r="AI32">
        <v>18.988859999999999</v>
      </c>
      <c r="AJ32">
        <v>999.9</v>
      </c>
      <c r="AK32">
        <v>999.9</v>
      </c>
      <c r="AL32">
        <v>0</v>
      </c>
      <c r="AM32">
        <v>0</v>
      </c>
      <c r="AN32">
        <v>5009.2333333333299</v>
      </c>
      <c r="AO32">
        <v>0</v>
      </c>
      <c r="AP32">
        <v>1.58087</v>
      </c>
      <c r="AQ32">
        <v>-0.62527466666666698</v>
      </c>
      <c r="AR32">
        <v>415.73533333333302</v>
      </c>
      <c r="AS32">
        <v>415.74166666666702</v>
      </c>
      <c r="AT32">
        <v>1.4892479999999999</v>
      </c>
      <c r="AU32">
        <v>409.99473333333299</v>
      </c>
      <c r="AV32">
        <v>13.8234666666667</v>
      </c>
      <c r="AW32">
        <v>1.534516</v>
      </c>
      <c r="AX32">
        <v>1.38527666666667</v>
      </c>
      <c r="AY32">
        <v>13.316473333333301</v>
      </c>
      <c r="AZ32">
        <v>11.7574066666667</v>
      </c>
      <c r="BA32">
        <v>300.00186666666701</v>
      </c>
      <c r="BB32">
        <v>0.89996226666666601</v>
      </c>
      <c r="BC32">
        <v>0</v>
      </c>
      <c r="BD32">
        <v>0.100037733333333</v>
      </c>
      <c r="BE32">
        <v>0</v>
      </c>
      <c r="BF32">
        <v>24</v>
      </c>
      <c r="BG32">
        <v>4946.6093333333301</v>
      </c>
      <c r="BH32">
        <v>1769200296</v>
      </c>
      <c r="BI32" t="s">
        <v>289</v>
      </c>
      <c r="BJ32">
        <v>1769200296</v>
      </c>
      <c r="BK32">
        <v>1769200293</v>
      </c>
      <c r="BL32">
        <v>13</v>
      </c>
      <c r="BM32">
        <v>-5.6000000000000001E-2</v>
      </c>
      <c r="BN32">
        <v>2.1000000000000001E-2</v>
      </c>
      <c r="BO32">
        <v>-0.81299999999999994</v>
      </c>
      <c r="BP32">
        <v>0.107</v>
      </c>
      <c r="BQ32">
        <v>410</v>
      </c>
      <c r="BR32">
        <v>15</v>
      </c>
      <c r="BS32">
        <v>0.3</v>
      </c>
      <c r="BT32">
        <v>0.04</v>
      </c>
      <c r="BU32">
        <v>-0.62175061904761897</v>
      </c>
      <c r="BV32">
        <v>-7.3839350649351598E-2</v>
      </c>
      <c r="BW32">
        <v>2.14208707716745E-2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1.4958819047619001</v>
      </c>
      <c r="CD32">
        <v>-0.111513506493507</v>
      </c>
      <c r="CE32">
        <v>1.27107463416732E-2</v>
      </c>
      <c r="CF32">
        <v>0</v>
      </c>
      <c r="CG32">
        <v>1</v>
      </c>
      <c r="CH32">
        <v>2</v>
      </c>
      <c r="CI32" t="s">
        <v>302</v>
      </c>
      <c r="CJ32">
        <v>3.53254</v>
      </c>
      <c r="CK32">
        <v>2.7010700000000001</v>
      </c>
      <c r="CL32">
        <v>9.7983200000000006E-2</v>
      </c>
      <c r="CM32">
        <v>9.6734299999999995E-2</v>
      </c>
      <c r="CN32">
        <v>8.6818000000000006E-2</v>
      </c>
      <c r="CO32">
        <v>7.9741000000000006E-2</v>
      </c>
      <c r="CP32">
        <v>31642.799999999999</v>
      </c>
      <c r="CQ32">
        <v>27845.8</v>
      </c>
      <c r="CR32">
        <v>32467.1</v>
      </c>
      <c r="CS32">
        <v>30753.9</v>
      </c>
      <c r="CT32">
        <v>40151</v>
      </c>
      <c r="CU32">
        <v>39807.599999999999</v>
      </c>
      <c r="CV32">
        <v>47421.4</v>
      </c>
      <c r="CW32">
        <v>46908</v>
      </c>
      <c r="CX32">
        <v>2.6264799999999999</v>
      </c>
      <c r="CY32">
        <v>2.1245400000000001</v>
      </c>
      <c r="CZ32">
        <v>0</v>
      </c>
      <c r="DA32">
        <v>0</v>
      </c>
      <c r="DB32">
        <v>999.9</v>
      </c>
      <c r="DC32">
        <v>999.9</v>
      </c>
      <c r="DD32">
        <v>46.331000000000003</v>
      </c>
      <c r="DE32">
        <v>28.640999999999998</v>
      </c>
      <c r="DF32">
        <v>18.211200000000002</v>
      </c>
      <c r="DG32">
        <v>30.3599</v>
      </c>
      <c r="DH32">
        <v>16.570499999999999</v>
      </c>
      <c r="DI32">
        <v>2</v>
      </c>
      <c r="DJ32">
        <v>-0.13553499999999999</v>
      </c>
      <c r="DK32">
        <v>1.8482000000000001</v>
      </c>
      <c r="DL32">
        <v>20.221499999999999</v>
      </c>
      <c r="DM32">
        <v>5.25047</v>
      </c>
      <c r="DN32">
        <v>12.033899999999999</v>
      </c>
      <c r="DO32">
        <v>4.9670800000000002</v>
      </c>
      <c r="DP32">
        <v>3.2909999999999999</v>
      </c>
      <c r="DQ32">
        <v>537.70000000000005</v>
      </c>
      <c r="DR32">
        <v>9999</v>
      </c>
      <c r="DS32">
        <v>9999</v>
      </c>
      <c r="DT32">
        <v>9999</v>
      </c>
      <c r="DU32">
        <v>1.87117</v>
      </c>
      <c r="DV32">
        <v>1.87618</v>
      </c>
      <c r="DW32">
        <v>1.87636</v>
      </c>
      <c r="DX32">
        <v>1.8828100000000001</v>
      </c>
      <c r="DY32">
        <v>1.87561</v>
      </c>
      <c r="DZ32">
        <v>1.87469</v>
      </c>
      <c r="EA32">
        <v>1.8708800000000001</v>
      </c>
      <c r="EB32">
        <v>1.87469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-0.81299999999999994</v>
      </c>
      <c r="EQ32">
        <v>0.1067</v>
      </c>
      <c r="ER32">
        <v>-0.81336363636353304</v>
      </c>
      <c r="ES32">
        <v>0</v>
      </c>
      <c r="ET32">
        <v>0</v>
      </c>
      <c r="EU32">
        <v>0</v>
      </c>
      <c r="EV32">
        <v>0.1067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3.8</v>
      </c>
      <c r="FE32">
        <v>3.8</v>
      </c>
      <c r="FF32">
        <v>1.2439</v>
      </c>
      <c r="FG32">
        <v>2.6061999999999999</v>
      </c>
      <c r="FH32">
        <v>2.19604</v>
      </c>
      <c r="FI32">
        <v>2.66235</v>
      </c>
      <c r="FJ32">
        <v>2.4462899999999999</v>
      </c>
      <c r="FK32">
        <v>2.2705099999999998</v>
      </c>
      <c r="FL32">
        <v>32.798000000000002</v>
      </c>
      <c r="FM32">
        <v>24.14</v>
      </c>
      <c r="FN32">
        <v>19</v>
      </c>
      <c r="FO32">
        <v>865.65599999999995</v>
      </c>
      <c r="FP32">
        <v>569.971</v>
      </c>
      <c r="FQ32">
        <v>18.281500000000001</v>
      </c>
      <c r="FR32">
        <v>25.284300000000002</v>
      </c>
      <c r="FS32">
        <v>29.999700000000001</v>
      </c>
      <c r="FT32">
        <v>25.3109</v>
      </c>
      <c r="FU32">
        <v>25.311900000000001</v>
      </c>
      <c r="FV32">
        <v>24.974599999999999</v>
      </c>
      <c r="FW32">
        <v>26.6021</v>
      </c>
      <c r="FX32">
        <v>0.39173000000000002</v>
      </c>
      <c r="FY32">
        <v>18.296600000000002</v>
      </c>
      <c r="FZ32">
        <v>410</v>
      </c>
      <c r="GA32">
        <v>13.904500000000001</v>
      </c>
      <c r="GB32">
        <v>99.918499999999995</v>
      </c>
      <c r="GC32">
        <v>99.850999999999999</v>
      </c>
    </row>
    <row r="33" spans="1:185" x14ac:dyDescent="0.2">
      <c r="A33">
        <v>18</v>
      </c>
      <c r="B33">
        <v>1769200538</v>
      </c>
      <c r="C33">
        <v>267</v>
      </c>
      <c r="D33" t="s">
        <v>329</v>
      </c>
      <c r="E33" t="s">
        <v>330</v>
      </c>
      <c r="F33">
        <v>15</v>
      </c>
      <c r="G33">
        <v>1769200529.9333301</v>
      </c>
      <c r="H33">
        <f t="shared" si="0"/>
        <v>1.1691592002875725E-3</v>
      </c>
      <c r="I33">
        <v>0</v>
      </c>
      <c r="J33">
        <f t="shared" si="12"/>
        <v>2.9756079951956355E-4</v>
      </c>
      <c r="K33">
        <f t="shared" si="1"/>
        <v>7.6706934688997976E-3</v>
      </c>
      <c r="L33">
        <f t="shared" si="2"/>
        <v>69.71010361313003</v>
      </c>
      <c r="M33">
        <f t="shared" si="3"/>
        <v>1.5358157184287475</v>
      </c>
      <c r="N33">
        <f t="shared" si="4"/>
        <v>2.2031465151049838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26203.168447581695</v>
      </c>
      <c r="T33">
        <f t="shared" si="8"/>
        <v>300.000333333333</v>
      </c>
      <c r="U33">
        <f t="shared" si="9"/>
        <v>252.90064760040681</v>
      </c>
      <c r="V33">
        <f t="shared" si="10"/>
        <v>0.84300122199999916</v>
      </c>
      <c r="W33">
        <f t="shared" si="11"/>
        <v>0.15870305499999982</v>
      </c>
      <c r="X33">
        <v>1</v>
      </c>
      <c r="Y33">
        <v>1769200529.9333301</v>
      </c>
      <c r="Z33">
        <v>409.37506666666701</v>
      </c>
      <c r="AA33">
        <v>409.98293333333299</v>
      </c>
      <c r="AB33">
        <v>15.315706666666699</v>
      </c>
      <c r="AC33">
        <v>13.8766466666667</v>
      </c>
      <c r="AD33">
        <v>410.188266666667</v>
      </c>
      <c r="AE33">
        <v>15.209006666666699</v>
      </c>
      <c r="AF33">
        <v>800.00326666666695</v>
      </c>
      <c r="AG33">
        <v>100.2136</v>
      </c>
      <c r="AH33">
        <v>6.3569826666666704E-2</v>
      </c>
      <c r="AI33">
        <v>18.985213333333299</v>
      </c>
      <c r="AJ33">
        <v>999.9</v>
      </c>
      <c r="AK33">
        <v>999.9</v>
      </c>
      <c r="AL33">
        <v>0</v>
      </c>
      <c r="AM33">
        <v>0</v>
      </c>
      <c r="AN33">
        <v>4987.4333333333298</v>
      </c>
      <c r="AO33">
        <v>0</v>
      </c>
      <c r="AP33">
        <v>1.58087</v>
      </c>
      <c r="AQ33">
        <v>-0.60798540000000001</v>
      </c>
      <c r="AR33">
        <v>415.74239999999998</v>
      </c>
      <c r="AS33">
        <v>415.75226666666703</v>
      </c>
      <c r="AT33">
        <v>1.4390746666666701</v>
      </c>
      <c r="AU33">
        <v>409.98293333333299</v>
      </c>
      <c r="AV33">
        <v>13.8766466666667</v>
      </c>
      <c r="AW33">
        <v>1.5348426666666699</v>
      </c>
      <c r="AX33">
        <v>1.390628</v>
      </c>
      <c r="AY33">
        <v>13.31976</v>
      </c>
      <c r="AZ33">
        <v>11.81582</v>
      </c>
      <c r="BA33">
        <v>300.000333333333</v>
      </c>
      <c r="BB33">
        <v>0.89995926666666604</v>
      </c>
      <c r="BC33">
        <v>0</v>
      </c>
      <c r="BD33">
        <v>0.10004073333333301</v>
      </c>
      <c r="BE33">
        <v>0</v>
      </c>
      <c r="BF33">
        <v>24</v>
      </c>
      <c r="BG33">
        <v>4946.5793333333304</v>
      </c>
      <c r="BH33">
        <v>1769200296</v>
      </c>
      <c r="BI33" t="s">
        <v>289</v>
      </c>
      <c r="BJ33">
        <v>1769200296</v>
      </c>
      <c r="BK33">
        <v>1769200293</v>
      </c>
      <c r="BL33">
        <v>13</v>
      </c>
      <c r="BM33">
        <v>-5.6000000000000001E-2</v>
      </c>
      <c r="BN33">
        <v>2.1000000000000001E-2</v>
      </c>
      <c r="BO33">
        <v>-0.81299999999999994</v>
      </c>
      <c r="BP33">
        <v>0.107</v>
      </c>
      <c r="BQ33">
        <v>410</v>
      </c>
      <c r="BR33">
        <v>15</v>
      </c>
      <c r="BS33">
        <v>0.3</v>
      </c>
      <c r="BT33">
        <v>0.04</v>
      </c>
      <c r="BU33">
        <v>-0.61488266666666702</v>
      </c>
      <c r="BV33">
        <v>1.03019220779216E-2</v>
      </c>
      <c r="BW33">
        <v>3.43573966685672E-2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1.4540252380952401</v>
      </c>
      <c r="CD33">
        <v>-0.21802129870129899</v>
      </c>
      <c r="CE33">
        <v>2.5200127856638499E-2</v>
      </c>
      <c r="CF33">
        <v>0</v>
      </c>
      <c r="CG33">
        <v>1</v>
      </c>
      <c r="CH33">
        <v>2</v>
      </c>
      <c r="CI33" t="s">
        <v>302</v>
      </c>
      <c r="CJ33">
        <v>3.5325600000000001</v>
      </c>
      <c r="CK33">
        <v>2.7014800000000001</v>
      </c>
      <c r="CL33">
        <v>9.7985799999999998E-2</v>
      </c>
      <c r="CM33">
        <v>9.6741199999999999E-2</v>
      </c>
      <c r="CN33">
        <v>8.6887300000000001E-2</v>
      </c>
      <c r="CO33">
        <v>7.9967300000000005E-2</v>
      </c>
      <c r="CP33">
        <v>31643.200000000001</v>
      </c>
      <c r="CQ33">
        <v>27846.3</v>
      </c>
      <c r="CR33">
        <v>32467.599999999999</v>
      </c>
      <c r="CS33">
        <v>30754.799999999999</v>
      </c>
      <c r="CT33">
        <v>40148.400000000001</v>
      </c>
      <c r="CU33">
        <v>39798.800000000003</v>
      </c>
      <c r="CV33">
        <v>47422.1</v>
      </c>
      <c r="CW33">
        <v>46909.4</v>
      </c>
      <c r="CX33">
        <v>2.6263800000000002</v>
      </c>
      <c r="CY33">
        <v>2.12486</v>
      </c>
      <c r="CZ33">
        <v>0</v>
      </c>
      <c r="DA33">
        <v>0</v>
      </c>
      <c r="DB33">
        <v>999.9</v>
      </c>
      <c r="DC33">
        <v>999.9</v>
      </c>
      <c r="DD33">
        <v>46.307000000000002</v>
      </c>
      <c r="DE33">
        <v>28.640999999999998</v>
      </c>
      <c r="DF33">
        <v>18.200299999999999</v>
      </c>
      <c r="DG33">
        <v>30.419899999999998</v>
      </c>
      <c r="DH33">
        <v>16.5505</v>
      </c>
      <c r="DI33">
        <v>2</v>
      </c>
      <c r="DJ33">
        <v>-0.13644700000000001</v>
      </c>
      <c r="DK33">
        <v>1.8017000000000001</v>
      </c>
      <c r="DL33">
        <v>20.221900000000002</v>
      </c>
      <c r="DM33">
        <v>5.2502399999999998</v>
      </c>
      <c r="DN33">
        <v>12.033899999999999</v>
      </c>
      <c r="DO33">
        <v>4.96732</v>
      </c>
      <c r="DP33">
        <v>3.2909999999999999</v>
      </c>
      <c r="DQ33">
        <v>537.70000000000005</v>
      </c>
      <c r="DR33">
        <v>9999</v>
      </c>
      <c r="DS33">
        <v>9999</v>
      </c>
      <c r="DT33">
        <v>9999</v>
      </c>
      <c r="DU33">
        <v>1.8711500000000001</v>
      </c>
      <c r="DV33">
        <v>1.87618</v>
      </c>
      <c r="DW33">
        <v>1.8763700000000001</v>
      </c>
      <c r="DX33">
        <v>1.8828199999999999</v>
      </c>
      <c r="DY33">
        <v>1.87561</v>
      </c>
      <c r="DZ33">
        <v>1.87469</v>
      </c>
      <c r="EA33">
        <v>1.8708800000000001</v>
      </c>
      <c r="EB33">
        <v>1.87469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-0.81299999999999994</v>
      </c>
      <c r="EQ33">
        <v>0.1067</v>
      </c>
      <c r="ER33">
        <v>-0.81336363636353304</v>
      </c>
      <c r="ES33">
        <v>0</v>
      </c>
      <c r="ET33">
        <v>0</v>
      </c>
      <c r="EU33">
        <v>0</v>
      </c>
      <c r="EV33">
        <v>0.1067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</v>
      </c>
      <c r="FE33">
        <v>4.0999999999999996</v>
      </c>
      <c r="FF33">
        <v>1.2439</v>
      </c>
      <c r="FG33">
        <v>2.6074199999999998</v>
      </c>
      <c r="FH33">
        <v>2.19604</v>
      </c>
      <c r="FI33">
        <v>2.66235</v>
      </c>
      <c r="FJ33">
        <v>2.4462899999999999</v>
      </c>
      <c r="FK33">
        <v>2.2814899999999998</v>
      </c>
      <c r="FL33">
        <v>32.798000000000002</v>
      </c>
      <c r="FM33">
        <v>24.14</v>
      </c>
      <c r="FN33">
        <v>19</v>
      </c>
      <c r="FO33">
        <v>865.447</v>
      </c>
      <c r="FP33">
        <v>570.125</v>
      </c>
      <c r="FQ33">
        <v>18.313700000000001</v>
      </c>
      <c r="FR33">
        <v>25.275300000000001</v>
      </c>
      <c r="FS33">
        <v>29.9998</v>
      </c>
      <c r="FT33">
        <v>25.303699999999999</v>
      </c>
      <c r="FU33">
        <v>25.303899999999999</v>
      </c>
      <c r="FV33">
        <v>24.977</v>
      </c>
      <c r="FW33">
        <v>26.6021</v>
      </c>
      <c r="FX33">
        <v>2.0745300000000001E-2</v>
      </c>
      <c r="FY33">
        <v>18.3279</v>
      </c>
      <c r="FZ33">
        <v>410</v>
      </c>
      <c r="GA33">
        <v>13.9</v>
      </c>
      <c r="GB33">
        <v>99.920100000000005</v>
      </c>
      <c r="GC33">
        <v>99.853899999999996</v>
      </c>
    </row>
    <row r="34" spans="1:185" x14ac:dyDescent="0.2">
      <c r="A34">
        <v>19</v>
      </c>
      <c r="B34">
        <v>1769200683</v>
      </c>
      <c r="C34">
        <v>412</v>
      </c>
      <c r="D34" t="s">
        <v>331</v>
      </c>
      <c r="E34" t="s">
        <v>332</v>
      </c>
      <c r="F34">
        <v>15</v>
      </c>
      <c r="G34">
        <v>1769200674.5</v>
      </c>
      <c r="H34">
        <f t="shared" si="0"/>
        <v>1.6809373567135182E-4</v>
      </c>
      <c r="I34">
        <v>0</v>
      </c>
      <c r="J34">
        <f t="shared" si="12"/>
        <v>-9.0004656960347151E-2</v>
      </c>
      <c r="K34">
        <f t="shared" si="1"/>
        <v>-2.3201918244305242</v>
      </c>
      <c r="L34">
        <f t="shared" si="2"/>
        <v>72.734276336110113</v>
      </c>
      <c r="M34">
        <f t="shared" si="3"/>
        <v>1.5961653744955124</v>
      </c>
      <c r="N34">
        <f t="shared" si="4"/>
        <v>2.1945160588654544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26250.476478584813</v>
      </c>
      <c r="T34">
        <f t="shared" si="8"/>
        <v>100.00105625</v>
      </c>
      <c r="U34">
        <f t="shared" si="9"/>
        <v>84.30105767051657</v>
      </c>
      <c r="V34">
        <f t="shared" si="10"/>
        <v>0.84300167249999991</v>
      </c>
      <c r="W34">
        <f t="shared" si="11"/>
        <v>0.15870418124999999</v>
      </c>
      <c r="X34">
        <v>1</v>
      </c>
      <c r="Y34">
        <v>1769200674.5</v>
      </c>
      <c r="Z34">
        <v>412.955375</v>
      </c>
      <c r="AA34">
        <v>410.14187500000003</v>
      </c>
      <c r="AB34">
        <v>15.916443749999999</v>
      </c>
      <c r="AC34">
        <v>15.709668750000001</v>
      </c>
      <c r="AD34">
        <v>413.76887499999998</v>
      </c>
      <c r="AE34">
        <v>15.809743750000001</v>
      </c>
      <c r="AF34">
        <v>799.99168750000001</v>
      </c>
      <c r="AG34">
        <v>100.22024999999999</v>
      </c>
      <c r="AH34">
        <v>6.3795831250000004E-2</v>
      </c>
      <c r="AI34">
        <v>18.922337500000001</v>
      </c>
      <c r="AJ34">
        <v>999.9</v>
      </c>
      <c r="AK34">
        <v>999.9</v>
      </c>
      <c r="AL34">
        <v>0</v>
      </c>
      <c r="AM34">
        <v>0</v>
      </c>
      <c r="AN34">
        <v>4994</v>
      </c>
      <c r="AO34">
        <v>0</v>
      </c>
      <c r="AP34">
        <v>1.58087</v>
      </c>
      <c r="AQ34">
        <v>2.813560625</v>
      </c>
      <c r="AR34">
        <v>419.63431250000002</v>
      </c>
      <c r="AS34">
        <v>416.68781250000001</v>
      </c>
      <c r="AT34">
        <v>0.20678226250000001</v>
      </c>
      <c r="AU34">
        <v>410.14187500000003</v>
      </c>
      <c r="AV34">
        <v>15.709668750000001</v>
      </c>
      <c r="AW34">
        <v>1.595150625</v>
      </c>
      <c r="AX34">
        <v>1.574424375</v>
      </c>
      <c r="AY34">
        <v>13.911418749999999</v>
      </c>
      <c r="AZ34">
        <v>13.70954375</v>
      </c>
      <c r="BA34">
        <v>100.00105625</v>
      </c>
      <c r="BB34">
        <v>0.89994425</v>
      </c>
      <c r="BC34">
        <v>0</v>
      </c>
      <c r="BD34">
        <v>0.10005575</v>
      </c>
      <c r="BE34">
        <v>0</v>
      </c>
      <c r="BF34">
        <v>24</v>
      </c>
      <c r="BG34">
        <v>1648.8675000000001</v>
      </c>
      <c r="BH34">
        <v>1769200296</v>
      </c>
      <c r="BI34" t="s">
        <v>289</v>
      </c>
      <c r="BJ34">
        <v>1769200296</v>
      </c>
      <c r="BK34">
        <v>1769200293</v>
      </c>
      <c r="BL34">
        <v>13</v>
      </c>
      <c r="BM34">
        <v>-5.6000000000000001E-2</v>
      </c>
      <c r="BN34">
        <v>2.1000000000000001E-2</v>
      </c>
      <c r="BO34">
        <v>-0.81299999999999994</v>
      </c>
      <c r="BP34">
        <v>0.107</v>
      </c>
      <c r="BQ34">
        <v>410</v>
      </c>
      <c r="BR34">
        <v>15</v>
      </c>
      <c r="BS34">
        <v>0.3</v>
      </c>
      <c r="BT34">
        <v>0.04</v>
      </c>
      <c r="BU34">
        <v>3.8801749999999999</v>
      </c>
      <c r="BV34">
        <v>-20.330973834586398</v>
      </c>
      <c r="BW34">
        <v>1.99810764523711</v>
      </c>
      <c r="BX34">
        <v>0</v>
      </c>
      <c r="BY34">
        <v>0</v>
      </c>
      <c r="BZ34">
        <v>0</v>
      </c>
      <c r="CA34">
        <v>0</v>
      </c>
      <c r="CB34">
        <v>-1</v>
      </c>
      <c r="CC34">
        <v>-4.2909339999999997E-2</v>
      </c>
      <c r="CD34">
        <v>4.9575881052631603</v>
      </c>
      <c r="CE34">
        <v>0.47718533617674702</v>
      </c>
      <c r="CF34">
        <v>0</v>
      </c>
      <c r="CG34">
        <v>0</v>
      </c>
      <c r="CH34">
        <v>2</v>
      </c>
      <c r="CI34" t="s">
        <v>290</v>
      </c>
      <c r="CJ34">
        <v>3.5325600000000001</v>
      </c>
      <c r="CK34">
        <v>2.7016800000000001</v>
      </c>
      <c r="CL34">
        <v>9.8379800000000003E-2</v>
      </c>
      <c r="CM34">
        <v>9.6820500000000004E-2</v>
      </c>
      <c r="CN34">
        <v>9.0165499999999996E-2</v>
      </c>
      <c r="CO34">
        <v>8.5865700000000003E-2</v>
      </c>
      <c r="CP34">
        <v>31634.3</v>
      </c>
      <c r="CQ34">
        <v>27849.8</v>
      </c>
      <c r="CR34">
        <v>32472.2</v>
      </c>
      <c r="CS34">
        <v>30760.799999999999</v>
      </c>
      <c r="CT34">
        <v>40004.199999999997</v>
      </c>
      <c r="CU34">
        <v>39543.800000000003</v>
      </c>
      <c r="CV34">
        <v>47427.9</v>
      </c>
      <c r="CW34">
        <v>46918.400000000001</v>
      </c>
      <c r="CX34">
        <v>2.6265399999999999</v>
      </c>
      <c r="CY34">
        <v>2.1291799999999999</v>
      </c>
      <c r="CZ34">
        <v>0</v>
      </c>
      <c r="DA34">
        <v>0</v>
      </c>
      <c r="DB34">
        <v>999.9</v>
      </c>
      <c r="DC34">
        <v>999.9</v>
      </c>
      <c r="DD34">
        <v>46.136000000000003</v>
      </c>
      <c r="DE34">
        <v>28.640999999999998</v>
      </c>
      <c r="DF34">
        <v>18.131399999999999</v>
      </c>
      <c r="DG34">
        <v>30.3399</v>
      </c>
      <c r="DH34">
        <v>16.5505</v>
      </c>
      <c r="DI34">
        <v>2</v>
      </c>
      <c r="DJ34">
        <v>-0.14300599999999999</v>
      </c>
      <c r="DK34">
        <v>1.7769200000000001</v>
      </c>
      <c r="DL34">
        <v>20.236599999999999</v>
      </c>
      <c r="DM34">
        <v>5.2515499999999999</v>
      </c>
      <c r="DN34">
        <v>12.033899999999999</v>
      </c>
      <c r="DO34">
        <v>4.9674399999999999</v>
      </c>
      <c r="DP34">
        <v>3.2909999999999999</v>
      </c>
      <c r="DQ34">
        <v>537.70000000000005</v>
      </c>
      <c r="DR34">
        <v>9999</v>
      </c>
      <c r="DS34">
        <v>9999</v>
      </c>
      <c r="DT34">
        <v>9999</v>
      </c>
      <c r="DU34">
        <v>1.8711599999999999</v>
      </c>
      <c r="DV34">
        <v>1.8761099999999999</v>
      </c>
      <c r="DW34">
        <v>1.87635</v>
      </c>
      <c r="DX34">
        <v>1.8828400000000001</v>
      </c>
      <c r="DY34">
        <v>1.87561</v>
      </c>
      <c r="DZ34">
        <v>1.8746799999999999</v>
      </c>
      <c r="EA34">
        <v>1.87087</v>
      </c>
      <c r="EB34">
        <v>1.8746799999999999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-0.81299999999999994</v>
      </c>
      <c r="EQ34">
        <v>0.1067</v>
      </c>
      <c r="ER34">
        <v>-0.81336363636353304</v>
      </c>
      <c r="ES34">
        <v>0</v>
      </c>
      <c r="ET34">
        <v>0</v>
      </c>
      <c r="EU34">
        <v>0</v>
      </c>
      <c r="EV34">
        <v>0.1067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6.5</v>
      </c>
      <c r="FE34">
        <v>6.5</v>
      </c>
      <c r="FF34">
        <v>1.24512</v>
      </c>
      <c r="FG34">
        <v>2.6122999999999998</v>
      </c>
      <c r="FH34">
        <v>2.19604</v>
      </c>
      <c r="FI34">
        <v>2.66113</v>
      </c>
      <c r="FJ34">
        <v>2.4462899999999999</v>
      </c>
      <c r="FK34">
        <v>2.2790499999999998</v>
      </c>
      <c r="FL34">
        <v>32.798000000000002</v>
      </c>
      <c r="FM34">
        <v>24.148800000000001</v>
      </c>
      <c r="FN34">
        <v>19</v>
      </c>
      <c r="FO34">
        <v>864.56799999999998</v>
      </c>
      <c r="FP34">
        <v>572.68399999999997</v>
      </c>
      <c r="FQ34">
        <v>18.057200000000002</v>
      </c>
      <c r="FR34">
        <v>25.198499999999999</v>
      </c>
      <c r="FS34">
        <v>29.9998</v>
      </c>
      <c r="FT34">
        <v>25.239899999999999</v>
      </c>
      <c r="FU34">
        <v>25.238199999999999</v>
      </c>
      <c r="FV34">
        <v>24.994299999999999</v>
      </c>
      <c r="FW34">
        <v>20.085799999999999</v>
      </c>
      <c r="FX34">
        <v>3.7463600000000001</v>
      </c>
      <c r="FY34">
        <v>18.133099999999999</v>
      </c>
      <c r="FZ34">
        <v>410</v>
      </c>
      <c r="GA34">
        <v>14.898300000000001</v>
      </c>
      <c r="GB34">
        <v>99.933000000000007</v>
      </c>
      <c r="GC34">
        <v>99.873199999999997</v>
      </c>
    </row>
    <row r="35" spans="1:185" x14ac:dyDescent="0.2">
      <c r="A35">
        <v>20</v>
      </c>
      <c r="B35">
        <v>1769200698</v>
      </c>
      <c r="C35">
        <v>427</v>
      </c>
      <c r="D35" t="s">
        <v>333</v>
      </c>
      <c r="E35" t="s">
        <v>334</v>
      </c>
      <c r="F35">
        <v>15</v>
      </c>
      <c r="G35">
        <v>1769200689.9333301</v>
      </c>
      <c r="H35">
        <f t="shared" si="0"/>
        <v>8.599471962659962E-4</v>
      </c>
      <c r="I35">
        <v>0</v>
      </c>
      <c r="J35">
        <f t="shared" si="12"/>
        <v>-3.224602001983911E-2</v>
      </c>
      <c r="K35">
        <f t="shared" si="1"/>
        <v>-0.83125645435674955</v>
      </c>
      <c r="L35">
        <f t="shared" si="2"/>
        <v>73.478958197061743</v>
      </c>
      <c r="M35">
        <f t="shared" si="3"/>
        <v>1.610119746264117</v>
      </c>
      <c r="N35">
        <f t="shared" si="4"/>
        <v>2.191266432964345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26265.728035994573</v>
      </c>
      <c r="T35">
        <f t="shared" si="8"/>
        <v>100.000273333333</v>
      </c>
      <c r="U35">
        <f t="shared" si="9"/>
        <v>84.300371220384562</v>
      </c>
      <c r="V35">
        <f t="shared" si="10"/>
        <v>0.8430014079999999</v>
      </c>
      <c r="W35">
        <f t="shared" si="11"/>
        <v>0.15870351999999999</v>
      </c>
      <c r="X35">
        <v>1</v>
      </c>
      <c r="Y35">
        <v>1769200689.9333301</v>
      </c>
      <c r="Z35">
        <v>410.7636</v>
      </c>
      <c r="AA35">
        <v>410.16606666666701</v>
      </c>
      <c r="AB35">
        <v>16.0557533333333</v>
      </c>
      <c r="AC35">
        <v>14.9980666666667</v>
      </c>
      <c r="AD35">
        <v>411.57706666666701</v>
      </c>
      <c r="AE35">
        <v>15.9490533333333</v>
      </c>
      <c r="AF35">
        <v>799.991266666667</v>
      </c>
      <c r="AG35">
        <v>100.219266666667</v>
      </c>
      <c r="AH35">
        <v>6.3772866666666594E-2</v>
      </c>
      <c r="AI35">
        <v>18.898606666666701</v>
      </c>
      <c r="AJ35">
        <v>999.9</v>
      </c>
      <c r="AK35">
        <v>999.9</v>
      </c>
      <c r="AL35">
        <v>0</v>
      </c>
      <c r="AM35">
        <v>0</v>
      </c>
      <c r="AN35">
        <v>4996.2</v>
      </c>
      <c r="AO35">
        <v>0</v>
      </c>
      <c r="AP35">
        <v>1.58087</v>
      </c>
      <c r="AQ35">
        <v>0.59765966666666703</v>
      </c>
      <c r="AR35">
        <v>417.46653333333302</v>
      </c>
      <c r="AS35">
        <v>416.411333333333</v>
      </c>
      <c r="AT35">
        <v>1.05769553333333</v>
      </c>
      <c r="AU35">
        <v>410.16606666666701</v>
      </c>
      <c r="AV35">
        <v>14.9980666666667</v>
      </c>
      <c r="AW35">
        <v>1.60909533333333</v>
      </c>
      <c r="AX35">
        <v>1.5030939999999999</v>
      </c>
      <c r="AY35">
        <v>14.046146666666701</v>
      </c>
      <c r="AZ35">
        <v>12.9987666666667</v>
      </c>
      <c r="BA35">
        <v>100.000273333333</v>
      </c>
      <c r="BB35">
        <v>0.89995306666666697</v>
      </c>
      <c r="BC35">
        <v>0</v>
      </c>
      <c r="BD35">
        <v>0.100046933333333</v>
      </c>
      <c r="BE35">
        <v>0</v>
      </c>
      <c r="BF35">
        <v>24</v>
      </c>
      <c r="BG35">
        <v>1648.8606666666701</v>
      </c>
      <c r="BH35">
        <v>1769200296</v>
      </c>
      <c r="BI35" t="s">
        <v>289</v>
      </c>
      <c r="BJ35">
        <v>1769200296</v>
      </c>
      <c r="BK35">
        <v>1769200293</v>
      </c>
      <c r="BL35">
        <v>13</v>
      </c>
      <c r="BM35">
        <v>-5.6000000000000001E-2</v>
      </c>
      <c r="BN35">
        <v>2.1000000000000001E-2</v>
      </c>
      <c r="BO35">
        <v>-0.81299999999999994</v>
      </c>
      <c r="BP35">
        <v>0.107</v>
      </c>
      <c r="BQ35">
        <v>410</v>
      </c>
      <c r="BR35">
        <v>15</v>
      </c>
      <c r="BS35">
        <v>0.3</v>
      </c>
      <c r="BT35">
        <v>0.04</v>
      </c>
      <c r="BU35">
        <v>0.97419452380952398</v>
      </c>
      <c r="BV35">
        <v>-5.6039366493506497</v>
      </c>
      <c r="BW35">
        <v>0.58223110060857097</v>
      </c>
      <c r="BX35">
        <v>0</v>
      </c>
      <c r="BY35">
        <v>0</v>
      </c>
      <c r="BZ35">
        <v>0</v>
      </c>
      <c r="CA35">
        <v>0</v>
      </c>
      <c r="CB35">
        <v>-1</v>
      </c>
      <c r="CC35">
        <v>0.88217809523809498</v>
      </c>
      <c r="CD35">
        <v>2.6247649870129899</v>
      </c>
      <c r="CE35">
        <v>0.26971385371094703</v>
      </c>
      <c r="CF35">
        <v>0</v>
      </c>
      <c r="CG35">
        <v>0</v>
      </c>
      <c r="CH35">
        <v>2</v>
      </c>
      <c r="CI35" t="s">
        <v>290</v>
      </c>
      <c r="CJ35">
        <v>3.5325799999999998</v>
      </c>
      <c r="CK35">
        <v>2.70153</v>
      </c>
      <c r="CL35">
        <v>9.8172899999999994E-2</v>
      </c>
      <c r="CM35">
        <v>9.6776299999999996E-2</v>
      </c>
      <c r="CN35">
        <v>8.9710300000000007E-2</v>
      </c>
      <c r="CO35">
        <v>8.3494200000000005E-2</v>
      </c>
      <c r="CP35">
        <v>31641.5</v>
      </c>
      <c r="CQ35">
        <v>27851</v>
      </c>
      <c r="CR35">
        <v>32472.1</v>
      </c>
      <c r="CS35">
        <v>30760.7</v>
      </c>
      <c r="CT35">
        <v>40024.9</v>
      </c>
      <c r="CU35">
        <v>39649.300000000003</v>
      </c>
      <c r="CV35">
        <v>47428</v>
      </c>
      <c r="CW35">
        <v>46918.1</v>
      </c>
      <c r="CX35">
        <v>2.6275400000000002</v>
      </c>
      <c r="CY35">
        <v>2.1284399999999999</v>
      </c>
      <c r="CZ35">
        <v>0</v>
      </c>
      <c r="DA35">
        <v>0</v>
      </c>
      <c r="DB35">
        <v>999.9</v>
      </c>
      <c r="DC35">
        <v>999.9</v>
      </c>
      <c r="DD35">
        <v>46.136000000000003</v>
      </c>
      <c r="DE35">
        <v>28.640999999999998</v>
      </c>
      <c r="DF35">
        <v>18.132400000000001</v>
      </c>
      <c r="DG35">
        <v>30.399899999999999</v>
      </c>
      <c r="DH35">
        <v>16.4864</v>
      </c>
      <c r="DI35">
        <v>2</v>
      </c>
      <c r="DJ35">
        <v>-0.14392099999999999</v>
      </c>
      <c r="DK35">
        <v>1.53345</v>
      </c>
      <c r="DL35">
        <v>20.2395</v>
      </c>
      <c r="DM35">
        <v>5.2517899999999997</v>
      </c>
      <c r="DN35">
        <v>12.033899999999999</v>
      </c>
      <c r="DO35">
        <v>4.9673600000000002</v>
      </c>
      <c r="DP35">
        <v>3.2909999999999999</v>
      </c>
      <c r="DQ35">
        <v>537.70000000000005</v>
      </c>
      <c r="DR35">
        <v>9999</v>
      </c>
      <c r="DS35">
        <v>9999</v>
      </c>
      <c r="DT35">
        <v>9999</v>
      </c>
      <c r="DU35">
        <v>1.8711199999999999</v>
      </c>
      <c r="DV35">
        <v>1.8761099999999999</v>
      </c>
      <c r="DW35">
        <v>1.8763300000000001</v>
      </c>
      <c r="DX35">
        <v>1.88279</v>
      </c>
      <c r="DY35">
        <v>1.87561</v>
      </c>
      <c r="DZ35">
        <v>1.8746799999999999</v>
      </c>
      <c r="EA35">
        <v>1.87087</v>
      </c>
      <c r="EB35">
        <v>1.8746700000000001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-0.81299999999999994</v>
      </c>
      <c r="EQ35">
        <v>0.1067</v>
      </c>
      <c r="ER35">
        <v>-0.81336363636353304</v>
      </c>
      <c r="ES35">
        <v>0</v>
      </c>
      <c r="ET35">
        <v>0</v>
      </c>
      <c r="EU35">
        <v>0</v>
      </c>
      <c r="EV35">
        <v>0.1067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6.7</v>
      </c>
      <c r="FE35">
        <v>6.8</v>
      </c>
      <c r="FF35">
        <v>1.2439</v>
      </c>
      <c r="FG35">
        <v>2.6025399999999999</v>
      </c>
      <c r="FH35">
        <v>2.19604</v>
      </c>
      <c r="FI35">
        <v>2.66113</v>
      </c>
      <c r="FJ35">
        <v>2.4462899999999999</v>
      </c>
      <c r="FK35">
        <v>2.34009</v>
      </c>
      <c r="FL35">
        <v>32.798000000000002</v>
      </c>
      <c r="FM35">
        <v>24.157499999999999</v>
      </c>
      <c r="FN35">
        <v>19</v>
      </c>
      <c r="FO35">
        <v>865.38800000000003</v>
      </c>
      <c r="FP35">
        <v>572.05799999999999</v>
      </c>
      <c r="FQ35">
        <v>18.257200000000001</v>
      </c>
      <c r="FR35">
        <v>25.193899999999999</v>
      </c>
      <c r="FS35">
        <v>29.999700000000001</v>
      </c>
      <c r="FT35">
        <v>25.2332</v>
      </c>
      <c r="FU35">
        <v>25.232600000000001</v>
      </c>
      <c r="FV35">
        <v>24.983599999999999</v>
      </c>
      <c r="FW35">
        <v>22.459800000000001</v>
      </c>
      <c r="FX35">
        <v>3.37384</v>
      </c>
      <c r="FY35">
        <v>18.3475</v>
      </c>
      <c r="FZ35">
        <v>410</v>
      </c>
      <c r="GA35">
        <v>14.5038</v>
      </c>
      <c r="GB35">
        <v>99.933099999999996</v>
      </c>
      <c r="GC35">
        <v>99.872799999999998</v>
      </c>
    </row>
    <row r="36" spans="1:185" x14ac:dyDescent="0.2">
      <c r="A36">
        <v>21</v>
      </c>
      <c r="B36">
        <v>1769200713</v>
      </c>
      <c r="C36">
        <v>442</v>
      </c>
      <c r="D36" t="s">
        <v>335</v>
      </c>
      <c r="E36" t="s">
        <v>336</v>
      </c>
      <c r="F36">
        <v>15</v>
      </c>
      <c r="G36">
        <v>1769200704.9333301</v>
      </c>
      <c r="H36">
        <f t="shared" si="0"/>
        <v>1.0782819473085937E-3</v>
      </c>
      <c r="I36">
        <v>0</v>
      </c>
      <c r="J36">
        <f t="shared" si="12"/>
        <v>-1.5662147617332128E-2</v>
      </c>
      <c r="K36">
        <f t="shared" si="1"/>
        <v>-0.40374785130026963</v>
      </c>
      <c r="L36">
        <f t="shared" si="2"/>
        <v>72.751620836219459</v>
      </c>
      <c r="M36">
        <f t="shared" si="3"/>
        <v>1.5943882777010172</v>
      </c>
      <c r="N36">
        <f t="shared" si="4"/>
        <v>2.1915501804287634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26267.892853368394</v>
      </c>
      <c r="T36">
        <f t="shared" si="8"/>
        <v>100.00086</v>
      </c>
      <c r="U36">
        <f t="shared" si="9"/>
        <v>84.300894981461994</v>
      </c>
      <c r="V36">
        <f t="shared" si="10"/>
        <v>0.84300169999999996</v>
      </c>
      <c r="W36">
        <f t="shared" si="11"/>
        <v>0.15870425000000002</v>
      </c>
      <c r="X36">
        <v>1</v>
      </c>
      <c r="Y36">
        <v>1769200704.9333301</v>
      </c>
      <c r="Z36">
        <v>409.94979999999998</v>
      </c>
      <c r="AA36">
        <v>409.99766666666699</v>
      </c>
      <c r="AB36">
        <v>15.898820000000001</v>
      </c>
      <c r="AC36">
        <v>14.5724066666667</v>
      </c>
      <c r="AD36">
        <v>410.76306666666699</v>
      </c>
      <c r="AE36">
        <v>15.792120000000001</v>
      </c>
      <c r="AF36">
        <v>800.00593333333302</v>
      </c>
      <c r="AG36">
        <v>100.219733333333</v>
      </c>
      <c r="AH36">
        <v>6.37013933333333E-2</v>
      </c>
      <c r="AI36">
        <v>18.900680000000001</v>
      </c>
      <c r="AJ36">
        <v>999.9</v>
      </c>
      <c r="AK36">
        <v>999.9</v>
      </c>
      <c r="AL36">
        <v>0</v>
      </c>
      <c r="AM36">
        <v>0</v>
      </c>
      <c r="AN36">
        <v>4996.5666666666702</v>
      </c>
      <c r="AO36">
        <v>0</v>
      </c>
      <c r="AP36">
        <v>1.58087</v>
      </c>
      <c r="AQ36">
        <v>-4.7865786666666701E-2</v>
      </c>
      <c r="AR36">
        <v>416.57286666666698</v>
      </c>
      <c r="AS36">
        <v>416.06066666666698</v>
      </c>
      <c r="AT36">
        <v>1.3264039999999999</v>
      </c>
      <c r="AU36">
        <v>409.99766666666699</v>
      </c>
      <c r="AV36">
        <v>14.5724066666667</v>
      </c>
      <c r="AW36">
        <v>1.593378</v>
      </c>
      <c r="AX36">
        <v>1.46044666666667</v>
      </c>
      <c r="AY36">
        <v>13.89484</v>
      </c>
      <c r="AZ36">
        <v>12.5599666666667</v>
      </c>
      <c r="BA36">
        <v>100.00086</v>
      </c>
      <c r="BB36">
        <v>0.89994333333333298</v>
      </c>
      <c r="BC36">
        <v>0</v>
      </c>
      <c r="BD36">
        <v>0.100056666666667</v>
      </c>
      <c r="BE36">
        <v>0</v>
      </c>
      <c r="BF36">
        <v>24</v>
      </c>
      <c r="BG36">
        <v>1648.86533333333</v>
      </c>
      <c r="BH36">
        <v>1769200296</v>
      </c>
      <c r="BI36" t="s">
        <v>289</v>
      </c>
      <c r="BJ36">
        <v>1769200296</v>
      </c>
      <c r="BK36">
        <v>1769200293</v>
      </c>
      <c r="BL36">
        <v>13</v>
      </c>
      <c r="BM36">
        <v>-5.6000000000000001E-2</v>
      </c>
      <c r="BN36">
        <v>2.1000000000000001E-2</v>
      </c>
      <c r="BO36">
        <v>-0.81299999999999994</v>
      </c>
      <c r="BP36">
        <v>0.107</v>
      </c>
      <c r="BQ36">
        <v>410</v>
      </c>
      <c r="BR36">
        <v>15</v>
      </c>
      <c r="BS36">
        <v>0.3</v>
      </c>
      <c r="BT36">
        <v>0.04</v>
      </c>
      <c r="BU36">
        <v>7.563781E-2</v>
      </c>
      <c r="BV36">
        <v>-2.1730873082706799</v>
      </c>
      <c r="BW36">
        <v>0.209794559217333</v>
      </c>
      <c r="BX36">
        <v>0</v>
      </c>
      <c r="BY36">
        <v>0</v>
      </c>
      <c r="BZ36">
        <v>0</v>
      </c>
      <c r="CA36">
        <v>0</v>
      </c>
      <c r="CB36">
        <v>-1</v>
      </c>
      <c r="CC36">
        <v>1.2859780000000001</v>
      </c>
      <c r="CD36">
        <v>0.67837082706766905</v>
      </c>
      <c r="CE36">
        <v>6.7348517622884602E-2</v>
      </c>
      <c r="CF36">
        <v>0</v>
      </c>
      <c r="CG36">
        <v>0</v>
      </c>
      <c r="CH36">
        <v>2</v>
      </c>
      <c r="CI36" t="s">
        <v>290</v>
      </c>
      <c r="CJ36">
        <v>3.5325299999999999</v>
      </c>
      <c r="CK36">
        <v>2.7017600000000002</v>
      </c>
      <c r="CL36">
        <v>9.8082500000000003E-2</v>
      </c>
      <c r="CM36">
        <v>9.6772700000000003E-2</v>
      </c>
      <c r="CN36">
        <v>8.8967199999999996E-2</v>
      </c>
      <c r="CO36">
        <v>8.2245600000000002E-2</v>
      </c>
      <c r="CP36">
        <v>31644.799999999999</v>
      </c>
      <c r="CQ36">
        <v>27851.200000000001</v>
      </c>
      <c r="CR36">
        <v>32472.2</v>
      </c>
      <c r="CS36">
        <v>30760.799999999999</v>
      </c>
      <c r="CT36">
        <v>40058.800000000003</v>
      </c>
      <c r="CU36">
        <v>39705.1</v>
      </c>
      <c r="CV36">
        <v>47428.2</v>
      </c>
      <c r="CW36">
        <v>46918.400000000001</v>
      </c>
      <c r="CX36">
        <v>2.6278000000000001</v>
      </c>
      <c r="CY36">
        <v>2.1280800000000002</v>
      </c>
      <c r="CZ36">
        <v>0</v>
      </c>
      <c r="DA36">
        <v>0</v>
      </c>
      <c r="DB36">
        <v>999.9</v>
      </c>
      <c r="DC36">
        <v>999.9</v>
      </c>
      <c r="DD36">
        <v>46.112000000000002</v>
      </c>
      <c r="DE36">
        <v>28.640999999999998</v>
      </c>
      <c r="DF36">
        <v>18.123699999999999</v>
      </c>
      <c r="DG36">
        <v>30.369900000000001</v>
      </c>
      <c r="DH36">
        <v>16.506399999999999</v>
      </c>
      <c r="DI36">
        <v>2</v>
      </c>
      <c r="DJ36">
        <v>-0.14452599999999999</v>
      </c>
      <c r="DK36">
        <v>1.3387199999999999</v>
      </c>
      <c r="DL36">
        <v>20.241499999999998</v>
      </c>
      <c r="DM36">
        <v>5.2515499999999999</v>
      </c>
      <c r="DN36">
        <v>12.033899999999999</v>
      </c>
      <c r="DO36">
        <v>4.9672400000000003</v>
      </c>
      <c r="DP36">
        <v>3.2909999999999999</v>
      </c>
      <c r="DQ36">
        <v>537.70000000000005</v>
      </c>
      <c r="DR36">
        <v>9999</v>
      </c>
      <c r="DS36">
        <v>9999</v>
      </c>
      <c r="DT36">
        <v>9999</v>
      </c>
      <c r="DU36">
        <v>1.8710800000000001</v>
      </c>
      <c r="DV36">
        <v>1.8761000000000001</v>
      </c>
      <c r="DW36">
        <v>1.87632</v>
      </c>
      <c r="DX36">
        <v>1.8827799999999999</v>
      </c>
      <c r="DY36">
        <v>1.87561</v>
      </c>
      <c r="DZ36">
        <v>1.8746799999999999</v>
      </c>
      <c r="EA36">
        <v>1.87086</v>
      </c>
      <c r="EB36">
        <v>1.8746799999999999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-0.81299999999999994</v>
      </c>
      <c r="EQ36">
        <v>0.1067</v>
      </c>
      <c r="ER36">
        <v>-0.81336363636353304</v>
      </c>
      <c r="ES36">
        <v>0</v>
      </c>
      <c r="ET36">
        <v>0</v>
      </c>
      <c r="EU36">
        <v>0</v>
      </c>
      <c r="EV36">
        <v>0.1067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7</v>
      </c>
      <c r="FE36">
        <v>7</v>
      </c>
      <c r="FF36">
        <v>1.24512</v>
      </c>
      <c r="FG36">
        <v>2.6000999999999999</v>
      </c>
      <c r="FH36">
        <v>2.19604</v>
      </c>
      <c r="FI36">
        <v>2.66113</v>
      </c>
      <c r="FJ36">
        <v>2.4462899999999999</v>
      </c>
      <c r="FK36">
        <v>2.3107899999999999</v>
      </c>
      <c r="FL36">
        <v>32.798000000000002</v>
      </c>
      <c r="FM36">
        <v>24.148800000000001</v>
      </c>
      <c r="FN36">
        <v>19</v>
      </c>
      <c r="FO36">
        <v>865.53300000000002</v>
      </c>
      <c r="FP36">
        <v>571.73299999999995</v>
      </c>
      <c r="FQ36">
        <v>18.477499999999999</v>
      </c>
      <c r="FR36">
        <v>25.189599999999999</v>
      </c>
      <c r="FS36">
        <v>29.9999</v>
      </c>
      <c r="FT36">
        <v>25.2272</v>
      </c>
      <c r="FU36">
        <v>25.228000000000002</v>
      </c>
      <c r="FV36">
        <v>24.9834</v>
      </c>
      <c r="FW36">
        <v>23.869499999999999</v>
      </c>
      <c r="FX36">
        <v>3.37384</v>
      </c>
      <c r="FY36">
        <v>18.5535</v>
      </c>
      <c r="FZ36">
        <v>410</v>
      </c>
      <c r="GA36">
        <v>14.2583</v>
      </c>
      <c r="GB36">
        <v>99.933499999999995</v>
      </c>
      <c r="GC36">
        <v>99.873099999999994</v>
      </c>
    </row>
    <row r="37" spans="1:185" x14ac:dyDescent="0.2">
      <c r="A37">
        <v>22</v>
      </c>
      <c r="B37">
        <v>1769200728</v>
      </c>
      <c r="C37">
        <v>457</v>
      </c>
      <c r="D37" t="s">
        <v>337</v>
      </c>
      <c r="E37" t="s">
        <v>338</v>
      </c>
      <c r="F37">
        <v>15</v>
      </c>
      <c r="G37">
        <v>1769200719.9333301</v>
      </c>
      <c r="H37">
        <f t="shared" si="0"/>
        <v>1.1524189764958986E-3</v>
      </c>
      <c r="I37">
        <v>0</v>
      </c>
      <c r="J37">
        <f t="shared" si="12"/>
        <v>-6.6767403421003806E-3</v>
      </c>
      <c r="K37">
        <f t="shared" si="1"/>
        <v>-0.17211685349138864</v>
      </c>
      <c r="L37">
        <f t="shared" si="2"/>
        <v>71.900456965487976</v>
      </c>
      <c r="M37">
        <f t="shared" si="3"/>
        <v>1.578177364093291</v>
      </c>
      <c r="N37">
        <f t="shared" si="4"/>
        <v>2.1949476132687331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26318.546058524982</v>
      </c>
      <c r="T37">
        <f t="shared" si="8"/>
        <v>100.00043333333301</v>
      </c>
      <c r="U37">
        <f t="shared" si="9"/>
        <v>84.300525900695661</v>
      </c>
      <c r="V37">
        <f t="shared" si="10"/>
        <v>0.84300160599999996</v>
      </c>
      <c r="W37">
        <f t="shared" si="11"/>
        <v>0.15870401499999998</v>
      </c>
      <c r="X37">
        <v>1</v>
      </c>
      <c r="Y37">
        <v>1769200719.9333301</v>
      </c>
      <c r="Z37">
        <v>409.628533333333</v>
      </c>
      <c r="AA37">
        <v>410.00346666666701</v>
      </c>
      <c r="AB37">
        <v>15.737026666666701</v>
      </c>
      <c r="AC37">
        <v>14.3191733333333</v>
      </c>
      <c r="AD37">
        <v>410.4418</v>
      </c>
      <c r="AE37">
        <v>15.630326666666701</v>
      </c>
      <c r="AF37">
        <v>800.00046666666697</v>
      </c>
      <c r="AG37">
        <v>100.22053333333299</v>
      </c>
      <c r="AH37">
        <v>6.3808653333333298E-2</v>
      </c>
      <c r="AI37">
        <v>18.9254866666667</v>
      </c>
      <c r="AJ37">
        <v>999.9</v>
      </c>
      <c r="AK37">
        <v>999.9</v>
      </c>
      <c r="AL37">
        <v>0</v>
      </c>
      <c r="AM37">
        <v>0</v>
      </c>
      <c r="AN37">
        <v>5005.2333333333299</v>
      </c>
      <c r="AO37">
        <v>0</v>
      </c>
      <c r="AP37">
        <v>1.58087</v>
      </c>
      <c r="AQ37">
        <v>-0.37484533333333298</v>
      </c>
      <c r="AR37">
        <v>416.17806666666701</v>
      </c>
      <c r="AS37">
        <v>415.95953333333301</v>
      </c>
      <c r="AT37">
        <v>1.4178679999999999</v>
      </c>
      <c r="AU37">
        <v>410.00346666666701</v>
      </c>
      <c r="AV37">
        <v>14.3191733333333</v>
      </c>
      <c r="AW37">
        <v>1.5771726666666701</v>
      </c>
      <c r="AX37">
        <v>1.4350753333333299</v>
      </c>
      <c r="AY37">
        <v>13.737539999999999</v>
      </c>
      <c r="AZ37">
        <v>12.2932733333333</v>
      </c>
      <c r="BA37">
        <v>100.00043333333301</v>
      </c>
      <c r="BB37">
        <v>0.899946466666667</v>
      </c>
      <c r="BC37">
        <v>0</v>
      </c>
      <c r="BD37">
        <v>0.100053533333333</v>
      </c>
      <c r="BE37">
        <v>0</v>
      </c>
      <c r="BF37">
        <v>24</v>
      </c>
      <c r="BG37">
        <v>1648.8586666666699</v>
      </c>
      <c r="BH37">
        <v>1769200296</v>
      </c>
      <c r="BI37" t="s">
        <v>289</v>
      </c>
      <c r="BJ37">
        <v>1769200296</v>
      </c>
      <c r="BK37">
        <v>1769200293</v>
      </c>
      <c r="BL37">
        <v>13</v>
      </c>
      <c r="BM37">
        <v>-5.6000000000000001E-2</v>
      </c>
      <c r="BN37">
        <v>2.1000000000000001E-2</v>
      </c>
      <c r="BO37">
        <v>-0.81299999999999994</v>
      </c>
      <c r="BP37">
        <v>0.107</v>
      </c>
      <c r="BQ37">
        <v>410</v>
      </c>
      <c r="BR37">
        <v>15</v>
      </c>
      <c r="BS37">
        <v>0.3</v>
      </c>
      <c r="BT37">
        <v>0.04</v>
      </c>
      <c r="BU37">
        <v>-0.30759976190476201</v>
      </c>
      <c r="BV37">
        <v>-1.0278655324675301</v>
      </c>
      <c r="BW37">
        <v>0.10541349790587901</v>
      </c>
      <c r="BX37">
        <v>0</v>
      </c>
      <c r="BY37">
        <v>0</v>
      </c>
      <c r="BZ37">
        <v>0</v>
      </c>
      <c r="CA37">
        <v>0</v>
      </c>
      <c r="CB37">
        <v>-1</v>
      </c>
      <c r="CC37">
        <v>1.3970152380952401</v>
      </c>
      <c r="CD37">
        <v>0.30935376623376598</v>
      </c>
      <c r="CE37">
        <v>3.1503728217624899E-2</v>
      </c>
      <c r="CF37">
        <v>0</v>
      </c>
      <c r="CG37">
        <v>0</v>
      </c>
      <c r="CH37">
        <v>2</v>
      </c>
      <c r="CI37" t="s">
        <v>290</v>
      </c>
      <c r="CJ37">
        <v>3.5324599999999999</v>
      </c>
      <c r="CK37">
        <v>2.7014</v>
      </c>
      <c r="CL37">
        <v>9.8052399999999998E-2</v>
      </c>
      <c r="CM37">
        <v>9.6772700000000003E-2</v>
      </c>
      <c r="CN37">
        <v>8.8354000000000002E-2</v>
      </c>
      <c r="CO37">
        <v>8.13773E-2</v>
      </c>
      <c r="CP37">
        <v>31645.5</v>
      </c>
      <c r="CQ37">
        <v>27851.5</v>
      </c>
      <c r="CR37">
        <v>32471.9</v>
      </c>
      <c r="CS37">
        <v>30761.1</v>
      </c>
      <c r="CT37">
        <v>40086.199999999997</v>
      </c>
      <c r="CU37">
        <v>39744.199999999997</v>
      </c>
      <c r="CV37">
        <v>47427.6</v>
      </c>
      <c r="CW37">
        <v>46918.9</v>
      </c>
      <c r="CX37">
        <v>2.6280399999999999</v>
      </c>
      <c r="CY37">
        <v>2.1273599999999999</v>
      </c>
      <c r="CZ37">
        <v>0</v>
      </c>
      <c r="DA37">
        <v>0</v>
      </c>
      <c r="DB37">
        <v>999.9</v>
      </c>
      <c r="DC37">
        <v>999.9</v>
      </c>
      <c r="DD37">
        <v>46.087000000000003</v>
      </c>
      <c r="DE37">
        <v>28.640999999999998</v>
      </c>
      <c r="DF37">
        <v>18.113800000000001</v>
      </c>
      <c r="DG37">
        <v>30.4299</v>
      </c>
      <c r="DH37">
        <v>16.5946</v>
      </c>
      <c r="DI37">
        <v>2</v>
      </c>
      <c r="DJ37">
        <v>-0.14502399999999999</v>
      </c>
      <c r="DK37">
        <v>1.2779400000000001</v>
      </c>
      <c r="DL37">
        <v>20.242000000000001</v>
      </c>
      <c r="DM37">
        <v>5.25143</v>
      </c>
      <c r="DN37">
        <v>12.033899999999999</v>
      </c>
      <c r="DO37">
        <v>4.96732</v>
      </c>
      <c r="DP37">
        <v>3.2909999999999999</v>
      </c>
      <c r="DQ37">
        <v>537.70000000000005</v>
      </c>
      <c r="DR37">
        <v>9999</v>
      </c>
      <c r="DS37">
        <v>9999</v>
      </c>
      <c r="DT37">
        <v>9999</v>
      </c>
      <c r="DU37">
        <v>1.8711500000000001</v>
      </c>
      <c r="DV37">
        <v>1.87612</v>
      </c>
      <c r="DW37">
        <v>1.8763399999999999</v>
      </c>
      <c r="DX37">
        <v>1.8828</v>
      </c>
      <c r="DY37">
        <v>1.87561</v>
      </c>
      <c r="DZ37">
        <v>1.8746799999999999</v>
      </c>
      <c r="EA37">
        <v>1.87087</v>
      </c>
      <c r="EB37">
        <v>1.8746700000000001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-0.81299999999999994</v>
      </c>
      <c r="EQ37">
        <v>0.1067</v>
      </c>
      <c r="ER37">
        <v>-0.81336363636353304</v>
      </c>
      <c r="ES37">
        <v>0</v>
      </c>
      <c r="ET37">
        <v>0</v>
      </c>
      <c r="EU37">
        <v>0</v>
      </c>
      <c r="EV37">
        <v>0.1067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7.2</v>
      </c>
      <c r="FE37">
        <v>7.2</v>
      </c>
      <c r="FF37">
        <v>1.24512</v>
      </c>
      <c r="FG37">
        <v>2.6098599999999998</v>
      </c>
      <c r="FH37">
        <v>2.19604</v>
      </c>
      <c r="FI37">
        <v>2.66113</v>
      </c>
      <c r="FJ37">
        <v>2.4462899999999999</v>
      </c>
      <c r="FK37">
        <v>2.2790499999999998</v>
      </c>
      <c r="FL37">
        <v>32.798000000000002</v>
      </c>
      <c r="FM37">
        <v>24.148800000000001</v>
      </c>
      <c r="FN37">
        <v>19</v>
      </c>
      <c r="FO37">
        <v>865.67499999999995</v>
      </c>
      <c r="FP37">
        <v>571.12900000000002</v>
      </c>
      <c r="FQ37">
        <v>18.658100000000001</v>
      </c>
      <c r="FR37">
        <v>25.1845</v>
      </c>
      <c r="FS37">
        <v>30</v>
      </c>
      <c r="FT37">
        <v>25.222200000000001</v>
      </c>
      <c r="FU37">
        <v>25.222899999999999</v>
      </c>
      <c r="FV37">
        <v>24.9833</v>
      </c>
      <c r="FW37">
        <v>25.0503</v>
      </c>
      <c r="FX37">
        <v>3.37384</v>
      </c>
      <c r="FY37">
        <v>18.7056</v>
      </c>
      <c r="FZ37">
        <v>410</v>
      </c>
      <c r="GA37">
        <v>14.0984</v>
      </c>
      <c r="GB37">
        <v>99.932400000000001</v>
      </c>
      <c r="GC37">
        <v>99.874399999999994</v>
      </c>
    </row>
    <row r="38" spans="1:185" x14ac:dyDescent="0.2">
      <c r="A38">
        <v>23</v>
      </c>
      <c r="B38">
        <v>1769200743</v>
      </c>
      <c r="C38">
        <v>472</v>
      </c>
      <c r="D38" t="s">
        <v>339</v>
      </c>
      <c r="E38" t="s">
        <v>340</v>
      </c>
      <c r="F38">
        <v>15</v>
      </c>
      <c r="G38">
        <v>1769200734.9333301</v>
      </c>
      <c r="H38">
        <f t="shared" si="0"/>
        <v>1.1799686704082768E-3</v>
      </c>
      <c r="I38">
        <v>0</v>
      </c>
      <c r="J38">
        <f t="shared" si="12"/>
        <v>-3.4806883239080788E-3</v>
      </c>
      <c r="K38">
        <f t="shared" si="1"/>
        <v>-8.9727185961946912E-2</v>
      </c>
      <c r="L38">
        <f t="shared" si="2"/>
        <v>71.142909996867814</v>
      </c>
      <c r="M38">
        <f t="shared" si="3"/>
        <v>1.5647993484012399</v>
      </c>
      <c r="N38">
        <f t="shared" si="4"/>
        <v>2.1995155223059228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26354.904681282598</v>
      </c>
      <c r="T38">
        <f t="shared" si="8"/>
        <v>99.998646666666701</v>
      </c>
      <c r="U38">
        <f t="shared" si="9"/>
        <v>84.299011737934848</v>
      </c>
      <c r="V38">
        <f t="shared" si="10"/>
        <v>0.843001526</v>
      </c>
      <c r="W38">
        <f t="shared" si="11"/>
        <v>0.15870381500000003</v>
      </c>
      <c r="X38">
        <v>1</v>
      </c>
      <c r="Y38">
        <v>1769200734.9333301</v>
      </c>
      <c r="Z38">
        <v>409.52273333333301</v>
      </c>
      <c r="AA38">
        <v>410.01459999999997</v>
      </c>
      <c r="AB38">
        <v>15.6035866666667</v>
      </c>
      <c r="AC38">
        <v>14.1516533333333</v>
      </c>
      <c r="AD38">
        <v>410.33606666666702</v>
      </c>
      <c r="AE38">
        <v>15.4968866666667</v>
      </c>
      <c r="AF38">
        <v>800.00706666666701</v>
      </c>
      <c r="AG38">
        <v>100.2208</v>
      </c>
      <c r="AH38">
        <v>6.3793653333333297E-2</v>
      </c>
      <c r="AI38">
        <v>18.9587866666667</v>
      </c>
      <c r="AJ38">
        <v>999.9</v>
      </c>
      <c r="AK38">
        <v>999.9</v>
      </c>
      <c r="AL38">
        <v>0</v>
      </c>
      <c r="AM38">
        <v>0</v>
      </c>
      <c r="AN38">
        <v>5011.7</v>
      </c>
      <c r="AO38">
        <v>0</v>
      </c>
      <c r="AP38">
        <v>1.58087</v>
      </c>
      <c r="AQ38">
        <v>-0.49185580000000001</v>
      </c>
      <c r="AR38">
        <v>416.01400000000001</v>
      </c>
      <c r="AS38">
        <v>415.90019999999998</v>
      </c>
      <c r="AT38">
        <v>1.45194333333333</v>
      </c>
      <c r="AU38">
        <v>410.01459999999997</v>
      </c>
      <c r="AV38">
        <v>14.1516533333333</v>
      </c>
      <c r="AW38">
        <v>1.5638046666666701</v>
      </c>
      <c r="AX38">
        <v>1.4182886666666701</v>
      </c>
      <c r="AY38">
        <v>13.606640000000001</v>
      </c>
      <c r="AZ38">
        <v>12.114546666666699</v>
      </c>
      <c r="BA38">
        <v>99.998646666666701</v>
      </c>
      <c r="BB38">
        <v>0.89994913333333304</v>
      </c>
      <c r="BC38">
        <v>0</v>
      </c>
      <c r="BD38">
        <v>0.100050866666667</v>
      </c>
      <c r="BE38">
        <v>0</v>
      </c>
      <c r="BF38">
        <v>24</v>
      </c>
      <c r="BG38">
        <v>1648.83</v>
      </c>
      <c r="BH38">
        <v>1769200296</v>
      </c>
      <c r="BI38" t="s">
        <v>289</v>
      </c>
      <c r="BJ38">
        <v>1769200296</v>
      </c>
      <c r="BK38">
        <v>1769200293</v>
      </c>
      <c r="BL38">
        <v>13</v>
      </c>
      <c r="BM38">
        <v>-5.6000000000000001E-2</v>
      </c>
      <c r="BN38">
        <v>2.1000000000000001E-2</v>
      </c>
      <c r="BO38">
        <v>-0.81299999999999994</v>
      </c>
      <c r="BP38">
        <v>0.107</v>
      </c>
      <c r="BQ38">
        <v>410</v>
      </c>
      <c r="BR38">
        <v>15</v>
      </c>
      <c r="BS38">
        <v>0.3</v>
      </c>
      <c r="BT38">
        <v>0.04</v>
      </c>
      <c r="BU38">
        <v>-0.47621657142857099</v>
      </c>
      <c r="BV38">
        <v>-0.213539064935065</v>
      </c>
      <c r="BW38">
        <v>3.11071306028077E-2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1.44767523809524</v>
      </c>
      <c r="CD38">
        <v>2.11355844155846E-2</v>
      </c>
      <c r="CE38">
        <v>1.3212314825137499E-2</v>
      </c>
      <c r="CF38">
        <v>1</v>
      </c>
      <c r="CG38">
        <v>2</v>
      </c>
      <c r="CH38">
        <v>2</v>
      </c>
      <c r="CI38" t="s">
        <v>297</v>
      </c>
      <c r="CJ38">
        <v>3.5325500000000001</v>
      </c>
      <c r="CK38">
        <v>2.7014999999999998</v>
      </c>
      <c r="CL38">
        <v>9.8042699999999997E-2</v>
      </c>
      <c r="CM38">
        <v>9.6770900000000007E-2</v>
      </c>
      <c r="CN38">
        <v>8.7811500000000001E-2</v>
      </c>
      <c r="CO38">
        <v>8.0893300000000001E-2</v>
      </c>
      <c r="CP38">
        <v>31645.8</v>
      </c>
      <c r="CQ38">
        <v>27851.4</v>
      </c>
      <c r="CR38">
        <v>32471.9</v>
      </c>
      <c r="CS38">
        <v>30760.9</v>
      </c>
      <c r="CT38">
        <v>40110.699999999997</v>
      </c>
      <c r="CU38">
        <v>39765.4</v>
      </c>
      <c r="CV38">
        <v>47427.5</v>
      </c>
      <c r="CW38">
        <v>46918.5</v>
      </c>
      <c r="CX38">
        <v>2.6280399999999999</v>
      </c>
      <c r="CY38">
        <v>2.12738</v>
      </c>
      <c r="CZ38">
        <v>0</v>
      </c>
      <c r="DA38">
        <v>0</v>
      </c>
      <c r="DB38">
        <v>999.9</v>
      </c>
      <c r="DC38">
        <v>999.9</v>
      </c>
      <c r="DD38">
        <v>46.063000000000002</v>
      </c>
      <c r="DE38">
        <v>28.640999999999998</v>
      </c>
      <c r="DF38">
        <v>18.104500000000002</v>
      </c>
      <c r="DG38">
        <v>30.189900000000002</v>
      </c>
      <c r="DH38">
        <v>16.526399999999999</v>
      </c>
      <c r="DI38">
        <v>2</v>
      </c>
      <c r="DJ38">
        <v>-0.14513999999999999</v>
      </c>
      <c r="DK38">
        <v>1.2987299999999999</v>
      </c>
      <c r="DL38">
        <v>20.241499999999998</v>
      </c>
      <c r="DM38">
        <v>5.2517899999999997</v>
      </c>
      <c r="DN38">
        <v>12.033899999999999</v>
      </c>
      <c r="DO38">
        <v>4.9674399999999999</v>
      </c>
      <c r="DP38">
        <v>3.2909999999999999</v>
      </c>
      <c r="DQ38">
        <v>537.70000000000005</v>
      </c>
      <c r="DR38">
        <v>9999</v>
      </c>
      <c r="DS38">
        <v>9999</v>
      </c>
      <c r="DT38">
        <v>9999</v>
      </c>
      <c r="DU38">
        <v>1.8711500000000001</v>
      </c>
      <c r="DV38">
        <v>1.8761099999999999</v>
      </c>
      <c r="DW38">
        <v>1.87636</v>
      </c>
      <c r="DX38">
        <v>1.8828100000000001</v>
      </c>
      <c r="DY38">
        <v>1.87561</v>
      </c>
      <c r="DZ38">
        <v>1.87469</v>
      </c>
      <c r="EA38">
        <v>1.87086</v>
      </c>
      <c r="EB38">
        <v>1.8746700000000001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-0.81299999999999994</v>
      </c>
      <c r="EQ38">
        <v>0.1067</v>
      </c>
      <c r="ER38">
        <v>-0.81336363636353304</v>
      </c>
      <c r="ES38">
        <v>0</v>
      </c>
      <c r="ET38">
        <v>0</v>
      </c>
      <c r="EU38">
        <v>0</v>
      </c>
      <c r="EV38">
        <v>0.1067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7.5</v>
      </c>
      <c r="FE38">
        <v>7.5</v>
      </c>
      <c r="FF38">
        <v>1.2439</v>
      </c>
      <c r="FG38">
        <v>2.6037599999999999</v>
      </c>
      <c r="FH38">
        <v>2.19604</v>
      </c>
      <c r="FI38">
        <v>2.66235</v>
      </c>
      <c r="FJ38">
        <v>2.4462899999999999</v>
      </c>
      <c r="FK38">
        <v>2.3071299999999999</v>
      </c>
      <c r="FL38">
        <v>32.798000000000002</v>
      </c>
      <c r="FM38">
        <v>24.157499999999999</v>
      </c>
      <c r="FN38">
        <v>19</v>
      </c>
      <c r="FO38">
        <v>865.59900000000005</v>
      </c>
      <c r="FP38">
        <v>571.10199999999998</v>
      </c>
      <c r="FQ38">
        <v>18.77</v>
      </c>
      <c r="FR38">
        <v>25.180299999999999</v>
      </c>
      <c r="FS38">
        <v>30</v>
      </c>
      <c r="FT38">
        <v>25.217500000000001</v>
      </c>
      <c r="FU38">
        <v>25.219100000000001</v>
      </c>
      <c r="FV38">
        <v>24.9818</v>
      </c>
      <c r="FW38">
        <v>25.334499999999998</v>
      </c>
      <c r="FX38">
        <v>3.0026899999999999</v>
      </c>
      <c r="FY38">
        <v>18.7867</v>
      </c>
      <c r="FZ38">
        <v>410</v>
      </c>
      <c r="GA38">
        <v>14.0222</v>
      </c>
      <c r="GB38">
        <v>99.932199999999995</v>
      </c>
      <c r="GC38">
        <v>99.873500000000007</v>
      </c>
    </row>
    <row r="39" spans="1:185" x14ac:dyDescent="0.2">
      <c r="A39">
        <v>24</v>
      </c>
      <c r="B39">
        <v>1769200758</v>
      </c>
      <c r="C39">
        <v>487</v>
      </c>
      <c r="D39" t="s">
        <v>341</v>
      </c>
      <c r="E39" t="s">
        <v>342</v>
      </c>
      <c r="F39">
        <v>15</v>
      </c>
      <c r="G39">
        <v>1769200749.9333301</v>
      </c>
      <c r="H39">
        <f t="shared" si="0"/>
        <v>1.1623338749173525E-3</v>
      </c>
      <c r="I39">
        <v>0</v>
      </c>
      <c r="J39">
        <f t="shared" si="12"/>
        <v>-2.437532280339902E-3</v>
      </c>
      <c r="K39">
        <f t="shared" si="1"/>
        <v>-6.2836109370671384E-2</v>
      </c>
      <c r="L39">
        <f t="shared" si="2"/>
        <v>70.503464882566846</v>
      </c>
      <c r="M39">
        <f t="shared" si="3"/>
        <v>1.5541026553416899</v>
      </c>
      <c r="N39">
        <f t="shared" si="4"/>
        <v>2.2042925945983791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26198.125857579587</v>
      </c>
      <c r="T39">
        <f t="shared" si="8"/>
        <v>100.000053333333</v>
      </c>
      <c r="U39">
        <f t="shared" si="9"/>
        <v>84.300184360074056</v>
      </c>
      <c r="V39">
        <f t="shared" si="10"/>
        <v>0.84300139399999996</v>
      </c>
      <c r="W39">
        <f t="shared" si="11"/>
        <v>0.15870348500000003</v>
      </c>
      <c r="X39">
        <v>1</v>
      </c>
      <c r="Y39">
        <v>1769200749.9333301</v>
      </c>
      <c r="Z39">
        <v>409.48520000000002</v>
      </c>
      <c r="AA39">
        <v>410.0016</v>
      </c>
      <c r="AB39">
        <v>15.496866666666699</v>
      </c>
      <c r="AC39">
        <v>14.066473333333301</v>
      </c>
      <c r="AD39">
        <v>410.29873333333302</v>
      </c>
      <c r="AE39">
        <v>15.390166666666699</v>
      </c>
      <c r="AF39">
        <v>800.00466666666705</v>
      </c>
      <c r="AG39">
        <v>100.2212</v>
      </c>
      <c r="AH39">
        <v>6.37601E-2</v>
      </c>
      <c r="AI39">
        <v>18.993546666666699</v>
      </c>
      <c r="AJ39">
        <v>999.9</v>
      </c>
      <c r="AK39">
        <v>999.9</v>
      </c>
      <c r="AL39">
        <v>0</v>
      </c>
      <c r="AM39">
        <v>0</v>
      </c>
      <c r="AN39">
        <v>4986.3999999999996</v>
      </c>
      <c r="AO39">
        <v>0</v>
      </c>
      <c r="AP39">
        <v>1.58087</v>
      </c>
      <c r="AQ39">
        <v>-0.51639406666666698</v>
      </c>
      <c r="AR39">
        <v>415.93099999999998</v>
      </c>
      <c r="AS39">
        <v>415.85140000000001</v>
      </c>
      <c r="AT39">
        <v>1.4303920000000001</v>
      </c>
      <c r="AU39">
        <v>410.0016</v>
      </c>
      <c r="AV39">
        <v>14.066473333333301</v>
      </c>
      <c r="AW39">
        <v>1.55311466666667</v>
      </c>
      <c r="AX39">
        <v>1.40975733333333</v>
      </c>
      <c r="AY39">
        <v>13.5013066666667</v>
      </c>
      <c r="AZ39">
        <v>12.02298</v>
      </c>
      <c r="BA39">
        <v>100.000053333333</v>
      </c>
      <c r="BB39">
        <v>0.89995353333333294</v>
      </c>
      <c r="BC39">
        <v>0</v>
      </c>
      <c r="BD39">
        <v>0.100046466666667</v>
      </c>
      <c r="BE39">
        <v>0</v>
      </c>
      <c r="BF39">
        <v>24</v>
      </c>
      <c r="BG39">
        <v>1648.856</v>
      </c>
      <c r="BH39">
        <v>1769200296</v>
      </c>
      <c r="BI39" t="s">
        <v>289</v>
      </c>
      <c r="BJ39">
        <v>1769200296</v>
      </c>
      <c r="BK39">
        <v>1769200293</v>
      </c>
      <c r="BL39">
        <v>13</v>
      </c>
      <c r="BM39">
        <v>-5.6000000000000001E-2</v>
      </c>
      <c r="BN39">
        <v>2.1000000000000001E-2</v>
      </c>
      <c r="BO39">
        <v>-0.81299999999999994</v>
      </c>
      <c r="BP39">
        <v>0.107</v>
      </c>
      <c r="BQ39">
        <v>410</v>
      </c>
      <c r="BR39">
        <v>15</v>
      </c>
      <c r="BS39">
        <v>0.3</v>
      </c>
      <c r="BT39">
        <v>0.04</v>
      </c>
      <c r="BU39">
        <v>-0.51053165</v>
      </c>
      <c r="BV39">
        <v>-0.21019439097744499</v>
      </c>
      <c r="BW39">
        <v>2.4567143167806501E-2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1.4322465</v>
      </c>
      <c r="CD39">
        <v>4.9321804511267102E-3</v>
      </c>
      <c r="CE39">
        <v>9.9179112090197804E-3</v>
      </c>
      <c r="CF39">
        <v>1</v>
      </c>
      <c r="CG39">
        <v>2</v>
      </c>
      <c r="CH39">
        <v>2</v>
      </c>
      <c r="CI39" t="s">
        <v>297</v>
      </c>
      <c r="CJ39">
        <v>3.53254</v>
      </c>
      <c r="CK39">
        <v>2.70167</v>
      </c>
      <c r="CL39">
        <v>9.8038500000000001E-2</v>
      </c>
      <c r="CM39">
        <v>9.6772800000000006E-2</v>
      </c>
      <c r="CN39">
        <v>8.7453500000000003E-2</v>
      </c>
      <c r="CO39">
        <v>8.0552700000000005E-2</v>
      </c>
      <c r="CP39">
        <v>31646.799999999999</v>
      </c>
      <c r="CQ39">
        <v>27850.7</v>
      </c>
      <c r="CR39">
        <v>32472.7</v>
      </c>
      <c r="CS39">
        <v>30760.1</v>
      </c>
      <c r="CT39">
        <v>40128.300000000003</v>
      </c>
      <c r="CU39">
        <v>39779.5</v>
      </c>
      <c r="CV39">
        <v>47429</v>
      </c>
      <c r="CW39">
        <v>46917.2</v>
      </c>
      <c r="CX39">
        <v>2.62798</v>
      </c>
      <c r="CY39">
        <v>2.1271200000000001</v>
      </c>
      <c r="CZ39">
        <v>0</v>
      </c>
      <c r="DA39">
        <v>0</v>
      </c>
      <c r="DB39">
        <v>999.9</v>
      </c>
      <c r="DC39">
        <v>999.9</v>
      </c>
      <c r="DD39">
        <v>46.037999999999997</v>
      </c>
      <c r="DE39">
        <v>28.640999999999998</v>
      </c>
      <c r="DF39">
        <v>18.094100000000001</v>
      </c>
      <c r="DG39">
        <v>30.399899999999999</v>
      </c>
      <c r="DH39">
        <v>16.506399999999999</v>
      </c>
      <c r="DI39">
        <v>2</v>
      </c>
      <c r="DJ39">
        <v>-0.144978</v>
      </c>
      <c r="DK39">
        <v>1.39924</v>
      </c>
      <c r="DL39">
        <v>20.2408</v>
      </c>
      <c r="DM39">
        <v>5.25143</v>
      </c>
      <c r="DN39">
        <v>12.033899999999999</v>
      </c>
      <c r="DO39">
        <v>4.9671200000000004</v>
      </c>
      <c r="DP39">
        <v>3.2909999999999999</v>
      </c>
      <c r="DQ39">
        <v>537.70000000000005</v>
      </c>
      <c r="DR39">
        <v>9999</v>
      </c>
      <c r="DS39">
        <v>9999</v>
      </c>
      <c r="DT39">
        <v>9999</v>
      </c>
      <c r="DU39">
        <v>1.8711500000000001</v>
      </c>
      <c r="DV39">
        <v>1.8761399999999999</v>
      </c>
      <c r="DW39">
        <v>1.8763399999999999</v>
      </c>
      <c r="DX39">
        <v>1.88279</v>
      </c>
      <c r="DY39">
        <v>1.87561</v>
      </c>
      <c r="DZ39">
        <v>1.87469</v>
      </c>
      <c r="EA39">
        <v>1.8708499999999999</v>
      </c>
      <c r="EB39">
        <v>1.8746700000000001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-0.81299999999999994</v>
      </c>
      <c r="EQ39">
        <v>0.1067</v>
      </c>
      <c r="ER39">
        <v>-0.81336363636353304</v>
      </c>
      <c r="ES39">
        <v>0</v>
      </c>
      <c r="ET39">
        <v>0</v>
      </c>
      <c r="EU39">
        <v>0</v>
      </c>
      <c r="EV39">
        <v>0.1067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7.7</v>
      </c>
      <c r="FE39">
        <v>7.8</v>
      </c>
      <c r="FF39">
        <v>1.24512</v>
      </c>
      <c r="FG39">
        <v>2.6037599999999999</v>
      </c>
      <c r="FH39">
        <v>2.19604</v>
      </c>
      <c r="FI39">
        <v>2.66113</v>
      </c>
      <c r="FJ39">
        <v>2.4462899999999999</v>
      </c>
      <c r="FK39">
        <v>2.3095699999999999</v>
      </c>
      <c r="FL39">
        <v>32.798000000000002</v>
      </c>
      <c r="FM39">
        <v>24.157499999999999</v>
      </c>
      <c r="FN39">
        <v>19</v>
      </c>
      <c r="FO39">
        <v>865.47500000000002</v>
      </c>
      <c r="FP39">
        <v>570.86599999999999</v>
      </c>
      <c r="FQ39">
        <v>18.806899999999999</v>
      </c>
      <c r="FR39">
        <v>25.1752</v>
      </c>
      <c r="FS39">
        <v>30.0001</v>
      </c>
      <c r="FT39">
        <v>25.213200000000001</v>
      </c>
      <c r="FU39">
        <v>25.215699999999998</v>
      </c>
      <c r="FV39">
        <v>24.980399999999999</v>
      </c>
      <c r="FW39">
        <v>25.620699999999999</v>
      </c>
      <c r="FX39">
        <v>3.0026899999999999</v>
      </c>
      <c r="FY39">
        <v>18.367899999999999</v>
      </c>
      <c r="FZ39">
        <v>410</v>
      </c>
      <c r="GA39">
        <v>13.990600000000001</v>
      </c>
      <c r="GB39">
        <v>99.935100000000006</v>
      </c>
      <c r="GC39">
        <v>99.870800000000003</v>
      </c>
    </row>
    <row r="40" spans="1:185" x14ac:dyDescent="0.2">
      <c r="A40">
        <v>25</v>
      </c>
      <c r="B40">
        <v>1769200773</v>
      </c>
      <c r="C40">
        <v>502</v>
      </c>
      <c r="D40" t="s">
        <v>343</v>
      </c>
      <c r="E40" t="s">
        <v>344</v>
      </c>
      <c r="F40">
        <v>15</v>
      </c>
      <c r="G40">
        <v>1769200764.9333301</v>
      </c>
      <c r="H40">
        <f t="shared" si="0"/>
        <v>1.1451867601455859E-3</v>
      </c>
      <c r="I40">
        <v>0</v>
      </c>
      <c r="J40">
        <f t="shared" si="12"/>
        <v>-1.531892022739663E-3</v>
      </c>
      <c r="K40">
        <f t="shared" si="1"/>
        <v>-3.9489993819284211E-2</v>
      </c>
      <c r="L40">
        <f t="shared" si="2"/>
        <v>70.076292298426708</v>
      </c>
      <c r="M40">
        <f t="shared" si="3"/>
        <v>1.5466682841757828</v>
      </c>
      <c r="N40">
        <f t="shared" si="4"/>
        <v>2.2071206016282163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26300.971976429653</v>
      </c>
      <c r="T40">
        <f t="shared" si="8"/>
        <v>100.00214</v>
      </c>
      <c r="U40">
        <f t="shared" si="9"/>
        <v>84.301954023209987</v>
      </c>
      <c r="V40">
        <f t="shared" si="10"/>
        <v>0.84300149999999996</v>
      </c>
      <c r="W40">
        <f t="shared" si="11"/>
        <v>0.15870375000000003</v>
      </c>
      <c r="X40">
        <v>1</v>
      </c>
      <c r="Y40">
        <v>1769200764.9333301</v>
      </c>
      <c r="Z40">
        <v>409.48239999999998</v>
      </c>
      <c r="AA40">
        <v>410.01920000000001</v>
      </c>
      <c r="AB40">
        <v>15.4228466666667</v>
      </c>
      <c r="AC40">
        <v>14.013453333333301</v>
      </c>
      <c r="AD40">
        <v>410.29553333333303</v>
      </c>
      <c r="AE40">
        <v>15.3161466666667</v>
      </c>
      <c r="AF40">
        <v>800.00713333333294</v>
      </c>
      <c r="AG40">
        <v>100.220266666667</v>
      </c>
      <c r="AH40">
        <v>6.3962153333333299E-2</v>
      </c>
      <c r="AI40">
        <v>19.0140933333333</v>
      </c>
      <c r="AJ40">
        <v>999.9</v>
      </c>
      <c r="AK40">
        <v>999.9</v>
      </c>
      <c r="AL40">
        <v>0</v>
      </c>
      <c r="AM40">
        <v>0</v>
      </c>
      <c r="AN40">
        <v>5003.6666666666697</v>
      </c>
      <c r="AO40">
        <v>0</v>
      </c>
      <c r="AP40">
        <v>1.58087</v>
      </c>
      <c r="AQ40">
        <v>-0.53699746666666703</v>
      </c>
      <c r="AR40">
        <v>415.89653333333302</v>
      </c>
      <c r="AS40">
        <v>415.84673333333302</v>
      </c>
      <c r="AT40">
        <v>1.4093899999999999</v>
      </c>
      <c r="AU40">
        <v>410.01920000000001</v>
      </c>
      <c r="AV40">
        <v>14.013453333333301</v>
      </c>
      <c r="AW40">
        <v>1.5456826666666701</v>
      </c>
      <c r="AX40">
        <v>1.40443266666667</v>
      </c>
      <c r="AY40">
        <v>13.4276933333333</v>
      </c>
      <c r="AZ40">
        <v>11.965579999999999</v>
      </c>
      <c r="BA40">
        <v>100.00214</v>
      </c>
      <c r="BB40">
        <v>0.89995000000000003</v>
      </c>
      <c r="BC40">
        <v>0</v>
      </c>
      <c r="BD40">
        <v>0.10005</v>
      </c>
      <c r="BE40">
        <v>0</v>
      </c>
      <c r="BF40">
        <v>24</v>
      </c>
      <c r="BG40">
        <v>1648.88666666667</v>
      </c>
      <c r="BH40">
        <v>1769200296</v>
      </c>
      <c r="BI40" t="s">
        <v>289</v>
      </c>
      <c r="BJ40">
        <v>1769200296</v>
      </c>
      <c r="BK40">
        <v>1769200293</v>
      </c>
      <c r="BL40">
        <v>13</v>
      </c>
      <c r="BM40">
        <v>-5.6000000000000001E-2</v>
      </c>
      <c r="BN40">
        <v>2.1000000000000001E-2</v>
      </c>
      <c r="BO40">
        <v>-0.81299999999999994</v>
      </c>
      <c r="BP40">
        <v>0.107</v>
      </c>
      <c r="BQ40">
        <v>410</v>
      </c>
      <c r="BR40">
        <v>15</v>
      </c>
      <c r="BS40">
        <v>0.3</v>
      </c>
      <c r="BT40">
        <v>0.04</v>
      </c>
      <c r="BU40">
        <v>-0.53771055000000001</v>
      </c>
      <c r="BV40">
        <v>2.9035533834586201E-2</v>
      </c>
      <c r="BW40">
        <v>8.2851393197398895E-3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1.4199679999999999</v>
      </c>
      <c r="CD40">
        <v>-0.18630676691729101</v>
      </c>
      <c r="CE40">
        <v>1.86410028163723E-2</v>
      </c>
      <c r="CF40">
        <v>0</v>
      </c>
      <c r="CG40">
        <v>1</v>
      </c>
      <c r="CH40">
        <v>2</v>
      </c>
      <c r="CI40" t="s">
        <v>302</v>
      </c>
      <c r="CJ40">
        <v>3.5326</v>
      </c>
      <c r="CK40">
        <v>2.7019199999999999</v>
      </c>
      <c r="CL40">
        <v>9.8038899999999998E-2</v>
      </c>
      <c r="CM40">
        <v>9.6774799999999994E-2</v>
      </c>
      <c r="CN40">
        <v>8.7159299999999995E-2</v>
      </c>
      <c r="CO40">
        <v>8.0502599999999994E-2</v>
      </c>
      <c r="CP40">
        <v>31645.9</v>
      </c>
      <c r="CQ40">
        <v>27851</v>
      </c>
      <c r="CR40">
        <v>32471.7</v>
      </c>
      <c r="CS40">
        <v>30760.6</v>
      </c>
      <c r="CT40">
        <v>40140.300000000003</v>
      </c>
      <c r="CU40">
        <v>39782.199999999997</v>
      </c>
      <c r="CV40">
        <v>47427.4</v>
      </c>
      <c r="CW40">
        <v>46917.8</v>
      </c>
      <c r="CX40">
        <v>2.6278600000000001</v>
      </c>
      <c r="CY40">
        <v>2.1272199999999999</v>
      </c>
      <c r="CZ40">
        <v>0</v>
      </c>
      <c r="DA40">
        <v>0</v>
      </c>
      <c r="DB40">
        <v>999.9</v>
      </c>
      <c r="DC40">
        <v>999.9</v>
      </c>
      <c r="DD40">
        <v>46.037999999999997</v>
      </c>
      <c r="DE40">
        <v>28.640999999999998</v>
      </c>
      <c r="DF40">
        <v>18.093599999999999</v>
      </c>
      <c r="DG40">
        <v>30.039899999999999</v>
      </c>
      <c r="DH40">
        <v>16.5304</v>
      </c>
      <c r="DI40">
        <v>2</v>
      </c>
      <c r="DJ40">
        <v>-0.14235</v>
      </c>
      <c r="DK40">
        <v>2.1430799999999999</v>
      </c>
      <c r="DL40">
        <v>20.230799999999999</v>
      </c>
      <c r="DM40">
        <v>5.2511900000000002</v>
      </c>
      <c r="DN40">
        <v>12.033899999999999</v>
      </c>
      <c r="DO40">
        <v>4.9670399999999999</v>
      </c>
      <c r="DP40">
        <v>3.2909999999999999</v>
      </c>
      <c r="DQ40">
        <v>537.70000000000005</v>
      </c>
      <c r="DR40">
        <v>9999</v>
      </c>
      <c r="DS40">
        <v>9999</v>
      </c>
      <c r="DT40">
        <v>9999</v>
      </c>
      <c r="DU40">
        <v>1.8711199999999999</v>
      </c>
      <c r="DV40">
        <v>1.8761399999999999</v>
      </c>
      <c r="DW40">
        <v>1.87632</v>
      </c>
      <c r="DX40">
        <v>1.8828</v>
      </c>
      <c r="DY40">
        <v>1.87561</v>
      </c>
      <c r="DZ40">
        <v>1.8746799999999999</v>
      </c>
      <c r="EA40">
        <v>1.87086</v>
      </c>
      <c r="EB40">
        <v>1.8746700000000001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-0.81299999999999994</v>
      </c>
      <c r="EQ40">
        <v>0.1067</v>
      </c>
      <c r="ER40">
        <v>-0.81336363636353304</v>
      </c>
      <c r="ES40">
        <v>0</v>
      </c>
      <c r="ET40">
        <v>0</v>
      </c>
      <c r="EU40">
        <v>0</v>
      </c>
      <c r="EV40">
        <v>0.1067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8</v>
      </c>
      <c r="FE40">
        <v>8</v>
      </c>
      <c r="FF40">
        <v>1.2439</v>
      </c>
      <c r="FG40">
        <v>2.5976599999999999</v>
      </c>
      <c r="FH40">
        <v>2.19604</v>
      </c>
      <c r="FI40">
        <v>2.66235</v>
      </c>
      <c r="FJ40">
        <v>2.4462899999999999</v>
      </c>
      <c r="FK40">
        <v>2.3071299999999999</v>
      </c>
      <c r="FL40">
        <v>32.798000000000002</v>
      </c>
      <c r="FM40">
        <v>24.148800000000001</v>
      </c>
      <c r="FN40">
        <v>19</v>
      </c>
      <c r="FO40">
        <v>865.30799999999999</v>
      </c>
      <c r="FP40">
        <v>570.90099999999995</v>
      </c>
      <c r="FQ40">
        <v>18.295100000000001</v>
      </c>
      <c r="FR40">
        <v>25.170999999999999</v>
      </c>
      <c r="FS40">
        <v>29.999600000000001</v>
      </c>
      <c r="FT40">
        <v>25.209900000000001</v>
      </c>
      <c r="FU40">
        <v>25.2119</v>
      </c>
      <c r="FV40">
        <v>24.978899999999999</v>
      </c>
      <c r="FW40">
        <v>25.620699999999999</v>
      </c>
      <c r="FX40">
        <v>3.0026899999999999</v>
      </c>
      <c r="FY40">
        <v>18.3262</v>
      </c>
      <c r="FZ40">
        <v>410</v>
      </c>
      <c r="GA40">
        <v>14.038</v>
      </c>
      <c r="GB40">
        <v>99.931899999999999</v>
      </c>
      <c r="GC40">
        <v>99.872100000000003</v>
      </c>
    </row>
    <row r="41" spans="1:185" x14ac:dyDescent="0.2">
      <c r="A41">
        <v>26</v>
      </c>
      <c r="B41">
        <v>1769200788</v>
      </c>
      <c r="C41">
        <v>517</v>
      </c>
      <c r="D41" t="s">
        <v>345</v>
      </c>
      <c r="E41" t="s">
        <v>346</v>
      </c>
      <c r="F41">
        <v>15</v>
      </c>
      <c r="G41">
        <v>1769200779.9333301</v>
      </c>
      <c r="H41">
        <f t="shared" si="0"/>
        <v>1.1096563498507602E-3</v>
      </c>
      <c r="I41">
        <v>0</v>
      </c>
      <c r="J41">
        <f t="shared" si="12"/>
        <v>-1.4882721676942234E-3</v>
      </c>
      <c r="K41">
        <f t="shared" si="1"/>
        <v>-3.8365536102570048E-2</v>
      </c>
      <c r="L41">
        <f t="shared" si="2"/>
        <v>69.923525685672871</v>
      </c>
      <c r="M41">
        <f t="shared" si="3"/>
        <v>1.5412408678709093</v>
      </c>
      <c r="N41">
        <f t="shared" si="4"/>
        <v>2.2041807142266356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26311.359685715583</v>
      </c>
      <c r="T41">
        <f t="shared" si="8"/>
        <v>99.999366666666702</v>
      </c>
      <c r="U41">
        <f t="shared" si="9"/>
        <v>84.299667098727028</v>
      </c>
      <c r="V41">
        <f t="shared" si="10"/>
        <v>0.84300200999999997</v>
      </c>
      <c r="W41">
        <f t="shared" si="11"/>
        <v>0.158705025</v>
      </c>
      <c r="X41">
        <v>1</v>
      </c>
      <c r="Y41">
        <v>1769200779.9333301</v>
      </c>
      <c r="Z41">
        <v>409.47039999999998</v>
      </c>
      <c r="AA41">
        <v>409.99040000000002</v>
      </c>
      <c r="AB41">
        <v>15.3689066666667</v>
      </c>
      <c r="AC41">
        <v>14.003173333333301</v>
      </c>
      <c r="AD41">
        <v>410.28366666666699</v>
      </c>
      <c r="AE41">
        <v>15.2622066666667</v>
      </c>
      <c r="AF41">
        <v>800.01133333333303</v>
      </c>
      <c r="AG41">
        <v>100.219333333333</v>
      </c>
      <c r="AH41">
        <v>6.3718759999999999E-2</v>
      </c>
      <c r="AI41">
        <v>18.992733333333302</v>
      </c>
      <c r="AJ41">
        <v>999.9</v>
      </c>
      <c r="AK41">
        <v>999.9</v>
      </c>
      <c r="AL41">
        <v>0</v>
      </c>
      <c r="AM41">
        <v>0</v>
      </c>
      <c r="AN41">
        <v>5005.1000000000004</v>
      </c>
      <c r="AO41">
        <v>0</v>
      </c>
      <c r="AP41">
        <v>1.58087</v>
      </c>
      <c r="AQ41">
        <v>-0.5200806</v>
      </c>
      <c r="AR41">
        <v>415.86186666666703</v>
      </c>
      <c r="AS41">
        <v>415.81319999999999</v>
      </c>
      <c r="AT41">
        <v>1.36574533333333</v>
      </c>
      <c r="AU41">
        <v>409.99040000000002</v>
      </c>
      <c r="AV41">
        <v>14.003173333333301</v>
      </c>
      <c r="AW41">
        <v>1.5402613333333299</v>
      </c>
      <c r="AX41">
        <v>1.4033866666666699</v>
      </c>
      <c r="AY41">
        <v>13.37378</v>
      </c>
      <c r="AZ41">
        <v>11.954266666666699</v>
      </c>
      <c r="BA41">
        <v>99.999366666666702</v>
      </c>
      <c r="BB41">
        <v>0.89993299999999998</v>
      </c>
      <c r="BC41">
        <v>0</v>
      </c>
      <c r="BD41">
        <v>0.100067</v>
      </c>
      <c r="BE41">
        <v>0</v>
      </c>
      <c r="BF41">
        <v>24</v>
      </c>
      <c r="BG41">
        <v>1648.83666666667</v>
      </c>
      <c r="BH41">
        <v>1769200296</v>
      </c>
      <c r="BI41" t="s">
        <v>289</v>
      </c>
      <c r="BJ41">
        <v>1769200296</v>
      </c>
      <c r="BK41">
        <v>1769200293</v>
      </c>
      <c r="BL41">
        <v>13</v>
      </c>
      <c r="BM41">
        <v>-5.6000000000000001E-2</v>
      </c>
      <c r="BN41">
        <v>2.1000000000000001E-2</v>
      </c>
      <c r="BO41">
        <v>-0.81299999999999994</v>
      </c>
      <c r="BP41">
        <v>0.107</v>
      </c>
      <c r="BQ41">
        <v>410</v>
      </c>
      <c r="BR41">
        <v>15</v>
      </c>
      <c r="BS41">
        <v>0.3</v>
      </c>
      <c r="BT41">
        <v>0.04</v>
      </c>
      <c r="BU41">
        <v>-0.52353819999999995</v>
      </c>
      <c r="BV41">
        <v>4.7261864661653698E-2</v>
      </c>
      <c r="BW41">
        <v>1.5759554107270899E-2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1.3715470000000001</v>
      </c>
      <c r="CD41">
        <v>-0.126381654135339</v>
      </c>
      <c r="CE41">
        <v>1.2502207845016799E-2</v>
      </c>
      <c r="CF41">
        <v>0</v>
      </c>
      <c r="CG41">
        <v>1</v>
      </c>
      <c r="CH41">
        <v>2</v>
      </c>
      <c r="CI41" t="s">
        <v>302</v>
      </c>
      <c r="CJ41">
        <v>3.5324900000000001</v>
      </c>
      <c r="CK41">
        <v>2.7015099999999999</v>
      </c>
      <c r="CL41">
        <v>9.8036899999999996E-2</v>
      </c>
      <c r="CM41">
        <v>9.6773200000000004E-2</v>
      </c>
      <c r="CN41">
        <v>8.7029400000000007E-2</v>
      </c>
      <c r="CO41">
        <v>8.0467899999999995E-2</v>
      </c>
      <c r="CP41">
        <v>31647.4</v>
      </c>
      <c r="CQ41">
        <v>27851.4</v>
      </c>
      <c r="CR41">
        <v>32473.200000000001</v>
      </c>
      <c r="CS41">
        <v>30760.9</v>
      </c>
      <c r="CT41">
        <v>40147.9</v>
      </c>
      <c r="CU41">
        <v>39784.400000000001</v>
      </c>
      <c r="CV41">
        <v>47429.5</v>
      </c>
      <c r="CW41">
        <v>46918.6</v>
      </c>
      <c r="CX41">
        <v>2.6280999999999999</v>
      </c>
      <c r="CY41">
        <v>2.1270799999999999</v>
      </c>
      <c r="CZ41">
        <v>0</v>
      </c>
      <c r="DA41">
        <v>0</v>
      </c>
      <c r="DB41">
        <v>999.9</v>
      </c>
      <c r="DC41">
        <v>999.9</v>
      </c>
      <c r="DD41">
        <v>45.996000000000002</v>
      </c>
      <c r="DE41">
        <v>28.640999999999998</v>
      </c>
      <c r="DF41">
        <v>18.078499999999998</v>
      </c>
      <c r="DG41">
        <v>30.099900000000002</v>
      </c>
      <c r="DH41">
        <v>16.6066</v>
      </c>
      <c r="DI41">
        <v>2</v>
      </c>
      <c r="DJ41">
        <v>-0.14427799999999999</v>
      </c>
      <c r="DK41">
        <v>1.8469899999999999</v>
      </c>
      <c r="DL41">
        <v>20.235600000000002</v>
      </c>
      <c r="DM41">
        <v>5.2513100000000001</v>
      </c>
      <c r="DN41">
        <v>12.033899999999999</v>
      </c>
      <c r="DO41">
        <v>4.9672000000000001</v>
      </c>
      <c r="DP41">
        <v>3.2909999999999999</v>
      </c>
      <c r="DQ41">
        <v>537.70000000000005</v>
      </c>
      <c r="DR41">
        <v>9999</v>
      </c>
      <c r="DS41">
        <v>9999</v>
      </c>
      <c r="DT41">
        <v>9999</v>
      </c>
      <c r="DU41">
        <v>1.8711500000000001</v>
      </c>
      <c r="DV41">
        <v>1.87615</v>
      </c>
      <c r="DW41">
        <v>1.87636</v>
      </c>
      <c r="DX41">
        <v>1.8828</v>
      </c>
      <c r="DY41">
        <v>1.87561</v>
      </c>
      <c r="DZ41">
        <v>1.87469</v>
      </c>
      <c r="EA41">
        <v>1.87087</v>
      </c>
      <c r="EB41">
        <v>1.8746799999999999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-0.81299999999999994</v>
      </c>
      <c r="EQ41">
        <v>0.1067</v>
      </c>
      <c r="ER41">
        <v>-0.81336363636353304</v>
      </c>
      <c r="ES41">
        <v>0</v>
      </c>
      <c r="ET41">
        <v>0</v>
      </c>
      <c r="EU41">
        <v>0</v>
      </c>
      <c r="EV41">
        <v>0.1067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8.1999999999999993</v>
      </c>
      <c r="FE41">
        <v>8.1999999999999993</v>
      </c>
      <c r="FF41">
        <v>1.2439</v>
      </c>
      <c r="FG41">
        <v>2.6086399999999998</v>
      </c>
      <c r="FH41">
        <v>2.19604</v>
      </c>
      <c r="FI41">
        <v>2.66113</v>
      </c>
      <c r="FJ41">
        <v>2.4462899999999999</v>
      </c>
      <c r="FK41">
        <v>2.2814899999999998</v>
      </c>
      <c r="FL41">
        <v>32.775799999999997</v>
      </c>
      <c r="FM41">
        <v>24.148800000000001</v>
      </c>
      <c r="FN41">
        <v>19</v>
      </c>
      <c r="FO41">
        <v>865.48299999999995</v>
      </c>
      <c r="FP41">
        <v>570.77099999999996</v>
      </c>
      <c r="FQ41">
        <v>18.3233</v>
      </c>
      <c r="FR41">
        <v>25.168500000000002</v>
      </c>
      <c r="FS41">
        <v>29.999700000000001</v>
      </c>
      <c r="FT41">
        <v>25.206900000000001</v>
      </c>
      <c r="FU41">
        <v>25.209800000000001</v>
      </c>
      <c r="FV41">
        <v>24.979299999999999</v>
      </c>
      <c r="FW41">
        <v>25.620699999999999</v>
      </c>
      <c r="FX41">
        <v>3.0026899999999999</v>
      </c>
      <c r="FY41">
        <v>18.3474</v>
      </c>
      <c r="FZ41">
        <v>410</v>
      </c>
      <c r="GA41">
        <v>14.0619</v>
      </c>
      <c r="GB41">
        <v>99.936400000000006</v>
      </c>
      <c r="GC41">
        <v>99.873599999999996</v>
      </c>
    </row>
    <row r="42" spans="1:185" x14ac:dyDescent="0.2">
      <c r="A42">
        <v>27</v>
      </c>
      <c r="B42">
        <v>1769200803</v>
      </c>
      <c r="C42">
        <v>532</v>
      </c>
      <c r="D42" t="s">
        <v>347</v>
      </c>
      <c r="E42" t="s">
        <v>348</v>
      </c>
      <c r="F42">
        <v>15</v>
      </c>
      <c r="G42">
        <v>1769200794.9333301</v>
      </c>
      <c r="H42">
        <f t="shared" si="0"/>
        <v>1.0907629039174417E-3</v>
      </c>
      <c r="I42">
        <v>0</v>
      </c>
      <c r="J42">
        <f t="shared" si="12"/>
        <v>1.1264359416512068E-4</v>
      </c>
      <c r="K42">
        <f t="shared" si="1"/>
        <v>2.9037913712790051E-3</v>
      </c>
      <c r="L42">
        <f t="shared" si="2"/>
        <v>69.88944265415374</v>
      </c>
      <c r="M42">
        <f t="shared" si="3"/>
        <v>1.5390161450566959</v>
      </c>
      <c r="N42">
        <f t="shared" si="4"/>
        <v>2.2020724255485637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26289.378724745238</v>
      </c>
      <c r="T42">
        <f t="shared" si="8"/>
        <v>99.999673333333305</v>
      </c>
      <c r="U42">
        <f t="shared" si="9"/>
        <v>84.299954619248638</v>
      </c>
      <c r="V42">
        <f t="shared" si="10"/>
        <v>0.84300229999999998</v>
      </c>
      <c r="W42">
        <f t="shared" si="11"/>
        <v>0.15870575000000003</v>
      </c>
      <c r="X42">
        <v>1</v>
      </c>
      <c r="Y42">
        <v>1769200794.9333301</v>
      </c>
      <c r="Z42">
        <v>409.42933333333298</v>
      </c>
      <c r="AA42">
        <v>409.99119999999999</v>
      </c>
      <c r="AB42">
        <v>15.346773333333299</v>
      </c>
      <c r="AC42">
        <v>14.004246666666701</v>
      </c>
      <c r="AD42">
        <v>410.24266666666699</v>
      </c>
      <c r="AE42">
        <v>15.240073333333299</v>
      </c>
      <c r="AF42">
        <v>800.00139999999999</v>
      </c>
      <c r="AG42">
        <v>100.219066666667</v>
      </c>
      <c r="AH42">
        <v>6.3651506666666705E-2</v>
      </c>
      <c r="AI42">
        <v>18.977399999999999</v>
      </c>
      <c r="AJ42">
        <v>999.9</v>
      </c>
      <c r="AK42">
        <v>999.9</v>
      </c>
      <c r="AL42">
        <v>0</v>
      </c>
      <c r="AM42">
        <v>0</v>
      </c>
      <c r="AN42">
        <v>5001.2666666666701</v>
      </c>
      <c r="AO42">
        <v>0</v>
      </c>
      <c r="AP42">
        <v>1.58087</v>
      </c>
      <c r="AQ42">
        <v>-0.56170853333333304</v>
      </c>
      <c r="AR42">
        <v>415.81079999999997</v>
      </c>
      <c r="AS42">
        <v>415.81433333333302</v>
      </c>
      <c r="AT42">
        <v>1.3425326666666699</v>
      </c>
      <c r="AU42">
        <v>409.99119999999999</v>
      </c>
      <c r="AV42">
        <v>14.004246666666701</v>
      </c>
      <c r="AW42">
        <v>1.5380386666666701</v>
      </c>
      <c r="AX42">
        <v>1.403492</v>
      </c>
      <c r="AY42">
        <v>13.351653333333299</v>
      </c>
      <c r="AZ42">
        <v>11.955413333333301</v>
      </c>
      <c r="BA42">
        <v>99.999673333333305</v>
      </c>
      <c r="BB42">
        <v>0.89992333333333296</v>
      </c>
      <c r="BC42">
        <v>0</v>
      </c>
      <c r="BD42">
        <v>0.10007666666666699</v>
      </c>
      <c r="BE42">
        <v>0</v>
      </c>
      <c r="BF42">
        <v>24</v>
      </c>
      <c r="BG42">
        <v>1648.83466666667</v>
      </c>
      <c r="BH42">
        <v>1769200296</v>
      </c>
      <c r="BI42" t="s">
        <v>289</v>
      </c>
      <c r="BJ42">
        <v>1769200296</v>
      </c>
      <c r="BK42">
        <v>1769200293</v>
      </c>
      <c r="BL42">
        <v>13</v>
      </c>
      <c r="BM42">
        <v>-5.6000000000000001E-2</v>
      </c>
      <c r="BN42">
        <v>2.1000000000000001E-2</v>
      </c>
      <c r="BO42">
        <v>-0.81299999999999994</v>
      </c>
      <c r="BP42">
        <v>0.107</v>
      </c>
      <c r="BQ42">
        <v>410</v>
      </c>
      <c r="BR42">
        <v>15</v>
      </c>
      <c r="BS42">
        <v>0.3</v>
      </c>
      <c r="BT42">
        <v>0.04</v>
      </c>
      <c r="BU42">
        <v>-0.54517669999999996</v>
      </c>
      <c r="BV42">
        <v>-0.218805022556391</v>
      </c>
      <c r="BW42">
        <v>4.1679981400067803E-2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1.3485799999999999</v>
      </c>
      <c r="CD42">
        <v>-0.12155368421052599</v>
      </c>
      <c r="CE42">
        <v>1.4060279513580101E-2</v>
      </c>
      <c r="CF42">
        <v>0</v>
      </c>
      <c r="CG42">
        <v>1</v>
      </c>
      <c r="CH42">
        <v>2</v>
      </c>
      <c r="CI42" t="s">
        <v>302</v>
      </c>
      <c r="CJ42">
        <v>3.5325099999999998</v>
      </c>
      <c r="CK42">
        <v>2.7011099999999999</v>
      </c>
      <c r="CL42">
        <v>9.8003000000000007E-2</v>
      </c>
      <c r="CM42">
        <v>9.6774899999999997E-2</v>
      </c>
      <c r="CN42">
        <v>8.69423E-2</v>
      </c>
      <c r="CO42">
        <v>8.0562900000000007E-2</v>
      </c>
      <c r="CP42">
        <v>31648.1</v>
      </c>
      <c r="CQ42">
        <v>27851.8</v>
      </c>
      <c r="CR42">
        <v>32472.7</v>
      </c>
      <c r="CS42">
        <v>30761.4</v>
      </c>
      <c r="CT42">
        <v>40151.599999999999</v>
      </c>
      <c r="CU42">
        <v>39780.9</v>
      </c>
      <c r="CV42">
        <v>47429.2</v>
      </c>
      <c r="CW42">
        <v>46919.5</v>
      </c>
      <c r="CX42">
        <v>2.6282800000000002</v>
      </c>
      <c r="CY42">
        <v>2.1269999999999998</v>
      </c>
      <c r="CZ42">
        <v>0</v>
      </c>
      <c r="DA42">
        <v>0</v>
      </c>
      <c r="DB42">
        <v>999.9</v>
      </c>
      <c r="DC42">
        <v>999.9</v>
      </c>
      <c r="DD42">
        <v>45.996000000000002</v>
      </c>
      <c r="DE42">
        <v>28.661000000000001</v>
      </c>
      <c r="DF42">
        <v>18.0992</v>
      </c>
      <c r="DG42">
        <v>30.129899999999999</v>
      </c>
      <c r="DH42">
        <v>16.5745</v>
      </c>
      <c r="DI42">
        <v>2</v>
      </c>
      <c r="DJ42">
        <v>-0.144758</v>
      </c>
      <c r="DK42">
        <v>1.77858</v>
      </c>
      <c r="DL42">
        <v>20.235800000000001</v>
      </c>
      <c r="DM42">
        <v>5.2485600000000003</v>
      </c>
      <c r="DN42">
        <v>12.033899999999999</v>
      </c>
      <c r="DO42">
        <v>4.9668000000000001</v>
      </c>
      <c r="DP42">
        <v>3.2906399999999998</v>
      </c>
      <c r="DQ42">
        <v>537.70000000000005</v>
      </c>
      <c r="DR42">
        <v>9999</v>
      </c>
      <c r="DS42">
        <v>9999</v>
      </c>
      <c r="DT42">
        <v>9999</v>
      </c>
      <c r="DU42">
        <v>1.8711500000000001</v>
      </c>
      <c r="DV42">
        <v>1.8761300000000001</v>
      </c>
      <c r="DW42">
        <v>1.87636</v>
      </c>
      <c r="DX42">
        <v>1.8828499999999999</v>
      </c>
      <c r="DY42">
        <v>1.87561</v>
      </c>
      <c r="DZ42">
        <v>1.87469</v>
      </c>
      <c r="EA42">
        <v>1.87086</v>
      </c>
      <c r="EB42">
        <v>1.8746799999999999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-0.81399999999999995</v>
      </c>
      <c r="EQ42">
        <v>0.1067</v>
      </c>
      <c r="ER42">
        <v>-0.81336363636353304</v>
      </c>
      <c r="ES42">
        <v>0</v>
      </c>
      <c r="ET42">
        <v>0</v>
      </c>
      <c r="EU42">
        <v>0</v>
      </c>
      <c r="EV42">
        <v>0.1067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8.4</v>
      </c>
      <c r="FE42">
        <v>8.5</v>
      </c>
      <c r="FF42">
        <v>1.24512</v>
      </c>
      <c r="FG42">
        <v>2.6037599999999999</v>
      </c>
      <c r="FH42">
        <v>2.19604</v>
      </c>
      <c r="FI42">
        <v>2.66235</v>
      </c>
      <c r="FJ42">
        <v>2.4462899999999999</v>
      </c>
      <c r="FK42">
        <v>2.3022499999999999</v>
      </c>
      <c r="FL42">
        <v>32.775799999999997</v>
      </c>
      <c r="FM42">
        <v>24.148800000000001</v>
      </c>
      <c r="FN42">
        <v>19</v>
      </c>
      <c r="FO42">
        <v>865.62300000000005</v>
      </c>
      <c r="FP42">
        <v>570.70399999999995</v>
      </c>
      <c r="FQ42">
        <v>18.3736</v>
      </c>
      <c r="FR42">
        <v>25.168500000000002</v>
      </c>
      <c r="FS42">
        <v>29.9999</v>
      </c>
      <c r="FT42">
        <v>25.205200000000001</v>
      </c>
      <c r="FU42">
        <v>25.209299999999999</v>
      </c>
      <c r="FV42">
        <v>24.979600000000001</v>
      </c>
      <c r="FW42">
        <v>25.037800000000001</v>
      </c>
      <c r="FX42">
        <v>2.6306799999999999</v>
      </c>
      <c r="FY42">
        <v>18.3963</v>
      </c>
      <c r="FZ42">
        <v>410</v>
      </c>
      <c r="GA42">
        <v>14.1027</v>
      </c>
      <c r="GB42">
        <v>99.935299999999998</v>
      </c>
      <c r="GC42">
        <v>99.875399999999999</v>
      </c>
    </row>
    <row r="43" spans="1:185" x14ac:dyDescent="0.2">
      <c r="A43">
        <v>28</v>
      </c>
      <c r="B43">
        <v>1769200818</v>
      </c>
      <c r="C43">
        <v>547</v>
      </c>
      <c r="D43" t="s">
        <v>349</v>
      </c>
      <c r="E43" t="s">
        <v>350</v>
      </c>
      <c r="F43">
        <v>15</v>
      </c>
      <c r="G43">
        <v>1769200809.9333301</v>
      </c>
      <c r="H43">
        <f t="shared" si="0"/>
        <v>1.0471216918498342E-3</v>
      </c>
      <c r="I43">
        <v>0</v>
      </c>
      <c r="J43">
        <f t="shared" si="12"/>
        <v>1.077327684740661E-3</v>
      </c>
      <c r="K43">
        <f t="shared" si="1"/>
        <v>2.7771972815464254E-2</v>
      </c>
      <c r="L43">
        <f t="shared" si="2"/>
        <v>69.895103385540025</v>
      </c>
      <c r="M43">
        <f t="shared" si="3"/>
        <v>1.5387591479575</v>
      </c>
      <c r="N43">
        <f t="shared" si="4"/>
        <v>2.2015263922992352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26252.954324085822</v>
      </c>
      <c r="T43">
        <f t="shared" si="8"/>
        <v>99.999899999999997</v>
      </c>
      <c r="U43">
        <f t="shared" si="9"/>
        <v>84.300077299838392</v>
      </c>
      <c r="V43">
        <f t="shared" si="10"/>
        <v>0.8430016159999999</v>
      </c>
      <c r="W43">
        <f t="shared" si="11"/>
        <v>0.15870404000000002</v>
      </c>
      <c r="X43">
        <v>1</v>
      </c>
      <c r="Y43">
        <v>1769200809.9333301</v>
      </c>
      <c r="Z43">
        <v>409.41726666666699</v>
      </c>
      <c r="AA43">
        <v>409.987866666667</v>
      </c>
      <c r="AB43">
        <v>15.344200000000001</v>
      </c>
      <c r="AC43">
        <v>14.055386666666699</v>
      </c>
      <c r="AD43">
        <v>410.23046666666698</v>
      </c>
      <c r="AE43">
        <v>15.237500000000001</v>
      </c>
      <c r="AF43">
        <v>800.00293333333298</v>
      </c>
      <c r="AG43">
        <v>100.21939999999999</v>
      </c>
      <c r="AH43">
        <v>6.3387499999999999E-2</v>
      </c>
      <c r="AI43">
        <v>18.9734266666667</v>
      </c>
      <c r="AJ43">
        <v>999.9</v>
      </c>
      <c r="AK43">
        <v>999.9</v>
      </c>
      <c r="AL43">
        <v>0</v>
      </c>
      <c r="AM43">
        <v>0</v>
      </c>
      <c r="AN43">
        <v>4995.2</v>
      </c>
      <c r="AO43">
        <v>0</v>
      </c>
      <c r="AP43">
        <v>1.58087</v>
      </c>
      <c r="AQ43">
        <v>-0.57052613333333302</v>
      </c>
      <c r="AR43">
        <v>415.79726666666699</v>
      </c>
      <c r="AS43">
        <v>415.83240000000001</v>
      </c>
      <c r="AT43">
        <v>1.2888280000000001</v>
      </c>
      <c r="AU43">
        <v>409.987866666667</v>
      </c>
      <c r="AV43">
        <v>14.055386666666699</v>
      </c>
      <c r="AW43">
        <v>1.5377860000000001</v>
      </c>
      <c r="AX43">
        <v>1.40862</v>
      </c>
      <c r="AY43">
        <v>13.349119999999999</v>
      </c>
      <c r="AZ43">
        <v>12.0107533333333</v>
      </c>
      <c r="BA43">
        <v>99.999899999999997</v>
      </c>
      <c r="BB43">
        <v>0.89994613333333295</v>
      </c>
      <c r="BC43">
        <v>0</v>
      </c>
      <c r="BD43">
        <v>0.100053866666667</v>
      </c>
      <c r="BE43">
        <v>0</v>
      </c>
      <c r="BF43">
        <v>24</v>
      </c>
      <c r="BG43">
        <v>1648.8486666666699</v>
      </c>
      <c r="BH43">
        <v>1769200296</v>
      </c>
      <c r="BI43" t="s">
        <v>289</v>
      </c>
      <c r="BJ43">
        <v>1769200296</v>
      </c>
      <c r="BK43">
        <v>1769200293</v>
      </c>
      <c r="BL43">
        <v>13</v>
      </c>
      <c r="BM43">
        <v>-5.6000000000000001E-2</v>
      </c>
      <c r="BN43">
        <v>2.1000000000000001E-2</v>
      </c>
      <c r="BO43">
        <v>-0.81299999999999994</v>
      </c>
      <c r="BP43">
        <v>0.107</v>
      </c>
      <c r="BQ43">
        <v>410</v>
      </c>
      <c r="BR43">
        <v>15</v>
      </c>
      <c r="BS43">
        <v>0.3</v>
      </c>
      <c r="BT43">
        <v>0.04</v>
      </c>
      <c r="BU43">
        <v>-0.58261410000000002</v>
      </c>
      <c r="BV43">
        <v>0.37196508270676598</v>
      </c>
      <c r="BW43">
        <v>6.9399798001074903E-2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1.296859</v>
      </c>
      <c r="CD43">
        <v>-0.16833203007518599</v>
      </c>
      <c r="CE43">
        <v>1.8863650998679999E-2</v>
      </c>
      <c r="CF43">
        <v>0</v>
      </c>
      <c r="CG43">
        <v>1</v>
      </c>
      <c r="CH43">
        <v>2</v>
      </c>
      <c r="CI43" t="s">
        <v>302</v>
      </c>
      <c r="CJ43">
        <v>3.53254</v>
      </c>
      <c r="CK43">
        <v>2.7016</v>
      </c>
      <c r="CL43">
        <v>9.8038299999999995E-2</v>
      </c>
      <c r="CM43">
        <v>9.6774200000000005E-2</v>
      </c>
      <c r="CN43">
        <v>8.7051500000000004E-2</v>
      </c>
      <c r="CO43">
        <v>8.0767500000000006E-2</v>
      </c>
      <c r="CP43">
        <v>31646.6</v>
      </c>
      <c r="CQ43">
        <v>27852.3</v>
      </c>
      <c r="CR43">
        <v>32472.5</v>
      </c>
      <c r="CS43">
        <v>30762</v>
      </c>
      <c r="CT43">
        <v>40145.9</v>
      </c>
      <c r="CU43">
        <v>39772.400000000001</v>
      </c>
      <c r="CV43">
        <v>47428.4</v>
      </c>
      <c r="CW43">
        <v>46920.1</v>
      </c>
      <c r="CX43">
        <v>2.62798</v>
      </c>
      <c r="CY43">
        <v>2.1269800000000001</v>
      </c>
      <c r="CZ43">
        <v>0</v>
      </c>
      <c r="DA43">
        <v>0</v>
      </c>
      <c r="DB43">
        <v>999.9</v>
      </c>
      <c r="DC43">
        <v>999.9</v>
      </c>
      <c r="DD43">
        <v>45.970999999999997</v>
      </c>
      <c r="DE43">
        <v>28.640999999999998</v>
      </c>
      <c r="DF43">
        <v>18.067599999999999</v>
      </c>
      <c r="DG43">
        <v>30.129899999999999</v>
      </c>
      <c r="DH43">
        <v>16.474399999999999</v>
      </c>
      <c r="DI43">
        <v>2</v>
      </c>
      <c r="DJ43">
        <v>-0.144868</v>
      </c>
      <c r="DK43">
        <v>1.7237100000000001</v>
      </c>
      <c r="DL43">
        <v>20.237200000000001</v>
      </c>
      <c r="DM43">
        <v>5.2505899999999999</v>
      </c>
      <c r="DN43">
        <v>12.033899999999999</v>
      </c>
      <c r="DO43">
        <v>4.9672799999999997</v>
      </c>
      <c r="DP43">
        <v>3.2909999999999999</v>
      </c>
      <c r="DQ43">
        <v>537.70000000000005</v>
      </c>
      <c r="DR43">
        <v>9999</v>
      </c>
      <c r="DS43">
        <v>9999</v>
      </c>
      <c r="DT43">
        <v>9999</v>
      </c>
      <c r="DU43">
        <v>1.8711500000000001</v>
      </c>
      <c r="DV43">
        <v>1.87615</v>
      </c>
      <c r="DW43">
        <v>1.87636</v>
      </c>
      <c r="DX43">
        <v>1.8828499999999999</v>
      </c>
      <c r="DY43">
        <v>1.87561</v>
      </c>
      <c r="DZ43">
        <v>1.87469</v>
      </c>
      <c r="EA43">
        <v>1.8708400000000001</v>
      </c>
      <c r="EB43">
        <v>1.8746799999999999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-0.81299999999999994</v>
      </c>
      <c r="EQ43">
        <v>0.1067</v>
      </c>
      <c r="ER43">
        <v>-0.81336363636353304</v>
      </c>
      <c r="ES43">
        <v>0</v>
      </c>
      <c r="ET43">
        <v>0</v>
      </c>
      <c r="EU43">
        <v>0</v>
      </c>
      <c r="EV43">
        <v>0.1067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8.6999999999999993</v>
      </c>
      <c r="FE43">
        <v>8.8000000000000007</v>
      </c>
      <c r="FF43">
        <v>1.24512</v>
      </c>
      <c r="FG43">
        <v>2.6025399999999999</v>
      </c>
      <c r="FH43">
        <v>2.19604</v>
      </c>
      <c r="FI43">
        <v>2.66235</v>
      </c>
      <c r="FJ43">
        <v>2.4462899999999999</v>
      </c>
      <c r="FK43">
        <v>2.31812</v>
      </c>
      <c r="FL43">
        <v>32.798000000000002</v>
      </c>
      <c r="FM43">
        <v>24.157499999999999</v>
      </c>
      <c r="FN43">
        <v>19</v>
      </c>
      <c r="FO43">
        <v>865.31700000000001</v>
      </c>
      <c r="FP43">
        <v>570.66600000000005</v>
      </c>
      <c r="FQ43">
        <v>18.430599999999998</v>
      </c>
      <c r="FR43">
        <v>25.168099999999999</v>
      </c>
      <c r="FS43">
        <v>30</v>
      </c>
      <c r="FT43">
        <v>25.203499999999998</v>
      </c>
      <c r="FU43">
        <v>25.2073</v>
      </c>
      <c r="FV43">
        <v>24.9832</v>
      </c>
      <c r="FW43">
        <v>25.037800000000001</v>
      </c>
      <c r="FX43">
        <v>2.6306799999999999</v>
      </c>
      <c r="FY43">
        <v>18.452100000000002</v>
      </c>
      <c r="FZ43">
        <v>410</v>
      </c>
      <c r="GA43">
        <v>14.1081</v>
      </c>
      <c r="GB43">
        <v>99.933999999999997</v>
      </c>
      <c r="GC43">
        <v>99.876999999999995</v>
      </c>
    </row>
    <row r="44" spans="1:185" x14ac:dyDescent="0.2">
      <c r="A44">
        <v>29</v>
      </c>
      <c r="B44">
        <v>1769200833</v>
      </c>
      <c r="C44">
        <v>562</v>
      </c>
      <c r="D44" t="s">
        <v>351</v>
      </c>
      <c r="E44" t="s">
        <v>352</v>
      </c>
      <c r="F44">
        <v>15</v>
      </c>
      <c r="G44">
        <v>1769200824.9333301</v>
      </c>
      <c r="H44">
        <f t="shared" si="0"/>
        <v>1.0512384168698673E-3</v>
      </c>
      <c r="I44">
        <v>0</v>
      </c>
      <c r="J44">
        <f t="shared" si="12"/>
        <v>7.4576861504597959E-4</v>
      </c>
      <c r="K44">
        <f t="shared" si="1"/>
        <v>1.9224852379681606E-2</v>
      </c>
      <c r="L44">
        <f t="shared" si="2"/>
        <v>69.950822715288623</v>
      </c>
      <c r="M44">
        <f t="shared" si="3"/>
        <v>1.5403568826246317</v>
      </c>
      <c r="N44">
        <f t="shared" si="4"/>
        <v>2.2020568491297636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26270.141770879003</v>
      </c>
      <c r="T44">
        <f t="shared" si="8"/>
        <v>99.999406666666701</v>
      </c>
      <c r="U44">
        <f t="shared" si="9"/>
        <v>84.299657419064928</v>
      </c>
      <c r="V44">
        <f t="shared" si="10"/>
        <v>0.84300157599999992</v>
      </c>
      <c r="W44">
        <f t="shared" si="11"/>
        <v>0.15870393999999999</v>
      </c>
      <c r="X44">
        <v>1</v>
      </c>
      <c r="Y44">
        <v>1769200824.9333301</v>
      </c>
      <c r="Z44">
        <v>409.45260000000002</v>
      </c>
      <c r="AA44">
        <v>410.01466666666698</v>
      </c>
      <c r="AB44">
        <v>15.3599333333333</v>
      </c>
      <c r="AC44">
        <v>14.066079999999999</v>
      </c>
      <c r="AD44">
        <v>410.26600000000002</v>
      </c>
      <c r="AE44">
        <v>15.2532333333333</v>
      </c>
      <c r="AF44">
        <v>800.0068</v>
      </c>
      <c r="AG44">
        <v>100.2206</v>
      </c>
      <c r="AH44">
        <v>6.3486473333333293E-2</v>
      </c>
      <c r="AI44">
        <v>18.9772866666667</v>
      </c>
      <c r="AJ44">
        <v>999.9</v>
      </c>
      <c r="AK44">
        <v>999.9</v>
      </c>
      <c r="AL44">
        <v>0</v>
      </c>
      <c r="AM44">
        <v>0</v>
      </c>
      <c r="AN44">
        <v>4998.0333333333301</v>
      </c>
      <c r="AO44">
        <v>0</v>
      </c>
      <c r="AP44">
        <v>1.58087</v>
      </c>
      <c r="AQ44">
        <v>-0.561999466666667</v>
      </c>
      <c r="AR44">
        <v>415.83986666666698</v>
      </c>
      <c r="AS44">
        <v>415.86426666666699</v>
      </c>
      <c r="AT44">
        <v>1.29384533333333</v>
      </c>
      <c r="AU44">
        <v>410.01466666666698</v>
      </c>
      <c r="AV44">
        <v>14.066079999999999</v>
      </c>
      <c r="AW44">
        <v>1.539382</v>
      </c>
      <c r="AX44">
        <v>1.40971133333333</v>
      </c>
      <c r="AY44">
        <v>13.365033333333299</v>
      </c>
      <c r="AZ44">
        <v>12.0224933333333</v>
      </c>
      <c r="BA44">
        <v>99.999406666666701</v>
      </c>
      <c r="BB44">
        <v>0.89994746666666703</v>
      </c>
      <c r="BC44">
        <v>0</v>
      </c>
      <c r="BD44">
        <v>0.100052533333333</v>
      </c>
      <c r="BE44">
        <v>0</v>
      </c>
      <c r="BF44">
        <v>24</v>
      </c>
      <c r="BG44">
        <v>1648.8420000000001</v>
      </c>
      <c r="BH44">
        <v>1769200296</v>
      </c>
      <c r="BI44" t="s">
        <v>289</v>
      </c>
      <c r="BJ44">
        <v>1769200296</v>
      </c>
      <c r="BK44">
        <v>1769200293</v>
      </c>
      <c r="BL44">
        <v>13</v>
      </c>
      <c r="BM44">
        <v>-5.6000000000000001E-2</v>
      </c>
      <c r="BN44">
        <v>2.1000000000000001E-2</v>
      </c>
      <c r="BO44">
        <v>-0.81299999999999994</v>
      </c>
      <c r="BP44">
        <v>0.107</v>
      </c>
      <c r="BQ44">
        <v>410</v>
      </c>
      <c r="BR44">
        <v>15</v>
      </c>
      <c r="BS44">
        <v>0.3</v>
      </c>
      <c r="BT44">
        <v>0.04</v>
      </c>
      <c r="BU44">
        <v>-0.55134795238095302</v>
      </c>
      <c r="BV44">
        <v>-0.17109942857142801</v>
      </c>
      <c r="BW44">
        <v>2.46375025046046E-2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1.2906704761904799</v>
      </c>
      <c r="CD44">
        <v>4.5927272727272199E-2</v>
      </c>
      <c r="CE44">
        <v>5.8470606992626498E-3</v>
      </c>
      <c r="CF44">
        <v>1</v>
      </c>
      <c r="CG44">
        <v>2</v>
      </c>
      <c r="CH44">
        <v>2</v>
      </c>
      <c r="CI44" t="s">
        <v>297</v>
      </c>
      <c r="CJ44">
        <v>3.5326</v>
      </c>
      <c r="CK44">
        <v>2.7011599999999998</v>
      </c>
      <c r="CL44">
        <v>9.8034399999999994E-2</v>
      </c>
      <c r="CM44">
        <v>9.6767699999999998E-2</v>
      </c>
      <c r="CN44">
        <v>8.7038699999999997E-2</v>
      </c>
      <c r="CO44">
        <v>8.0736699999999995E-2</v>
      </c>
      <c r="CP44">
        <v>31646.6</v>
      </c>
      <c r="CQ44">
        <v>27852.2</v>
      </c>
      <c r="CR44">
        <v>32472.3</v>
      </c>
      <c r="CS44">
        <v>30761.7</v>
      </c>
      <c r="CT44">
        <v>40146.199999999997</v>
      </c>
      <c r="CU44">
        <v>39773.4</v>
      </c>
      <c r="CV44">
        <v>47428</v>
      </c>
      <c r="CW44">
        <v>46919.7</v>
      </c>
      <c r="CX44">
        <v>2.6280600000000001</v>
      </c>
      <c r="CY44">
        <v>2.1269399999999998</v>
      </c>
      <c r="CZ44">
        <v>0</v>
      </c>
      <c r="DA44">
        <v>0</v>
      </c>
      <c r="DB44">
        <v>999.9</v>
      </c>
      <c r="DC44">
        <v>999.9</v>
      </c>
      <c r="DD44">
        <v>45.947000000000003</v>
      </c>
      <c r="DE44">
        <v>28.661000000000001</v>
      </c>
      <c r="DF44">
        <v>18.078800000000001</v>
      </c>
      <c r="DG44">
        <v>30.459900000000001</v>
      </c>
      <c r="DH44">
        <v>16.494399999999999</v>
      </c>
      <c r="DI44">
        <v>2</v>
      </c>
      <c r="DJ44">
        <v>-0.14473</v>
      </c>
      <c r="DK44">
        <v>1.6912499999999999</v>
      </c>
      <c r="DL44">
        <v>20.2376</v>
      </c>
      <c r="DM44">
        <v>5.2516699999999998</v>
      </c>
      <c r="DN44">
        <v>12.033899999999999</v>
      </c>
      <c r="DO44">
        <v>4.9673600000000002</v>
      </c>
      <c r="DP44">
        <v>3.2909999999999999</v>
      </c>
      <c r="DQ44">
        <v>537.70000000000005</v>
      </c>
      <c r="DR44">
        <v>9999</v>
      </c>
      <c r="DS44">
        <v>9999</v>
      </c>
      <c r="DT44">
        <v>9999</v>
      </c>
      <c r="DU44">
        <v>1.8711199999999999</v>
      </c>
      <c r="DV44">
        <v>1.8761099999999999</v>
      </c>
      <c r="DW44">
        <v>1.8763399999999999</v>
      </c>
      <c r="DX44">
        <v>1.8827799999999999</v>
      </c>
      <c r="DY44">
        <v>1.87561</v>
      </c>
      <c r="DZ44">
        <v>1.8746799999999999</v>
      </c>
      <c r="EA44">
        <v>1.87083</v>
      </c>
      <c r="EB44">
        <v>1.87466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-0.81299999999999994</v>
      </c>
      <c r="EQ44">
        <v>0.1067</v>
      </c>
      <c r="ER44">
        <v>-0.81336363636353304</v>
      </c>
      <c r="ES44">
        <v>0</v>
      </c>
      <c r="ET44">
        <v>0</v>
      </c>
      <c r="EU44">
        <v>0</v>
      </c>
      <c r="EV44">
        <v>0.1067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8.9</v>
      </c>
      <c r="FE44">
        <v>9</v>
      </c>
      <c r="FF44">
        <v>1.2439</v>
      </c>
      <c r="FG44">
        <v>2.5964399999999999</v>
      </c>
      <c r="FH44">
        <v>2.19604</v>
      </c>
      <c r="FI44">
        <v>2.66235</v>
      </c>
      <c r="FJ44">
        <v>2.4462899999999999</v>
      </c>
      <c r="FK44">
        <v>2.3010299999999999</v>
      </c>
      <c r="FL44">
        <v>32.798000000000002</v>
      </c>
      <c r="FM44">
        <v>24.148800000000001</v>
      </c>
      <c r="FN44">
        <v>19</v>
      </c>
      <c r="FO44">
        <v>865.35699999999997</v>
      </c>
      <c r="FP44">
        <v>570.63199999999995</v>
      </c>
      <c r="FQ44">
        <v>18.482900000000001</v>
      </c>
      <c r="FR44">
        <v>25.168500000000002</v>
      </c>
      <c r="FS44">
        <v>30.0002</v>
      </c>
      <c r="FT44">
        <v>25.2014</v>
      </c>
      <c r="FU44">
        <v>25.206900000000001</v>
      </c>
      <c r="FV44">
        <v>24.9815</v>
      </c>
      <c r="FW44">
        <v>25.037800000000001</v>
      </c>
      <c r="FX44">
        <v>2.6306799999999999</v>
      </c>
      <c r="FY44">
        <v>18.4986</v>
      </c>
      <c r="FZ44">
        <v>410</v>
      </c>
      <c r="GA44">
        <v>14.1271</v>
      </c>
      <c r="GB44">
        <v>99.933300000000003</v>
      </c>
      <c r="GC44">
        <v>99.876099999999994</v>
      </c>
    </row>
    <row r="45" spans="1:185" x14ac:dyDescent="0.2">
      <c r="A45">
        <v>30</v>
      </c>
      <c r="B45">
        <v>1769200848</v>
      </c>
      <c r="C45">
        <v>577</v>
      </c>
      <c r="D45" t="s">
        <v>353</v>
      </c>
      <c r="E45" t="s">
        <v>354</v>
      </c>
      <c r="F45">
        <v>15</v>
      </c>
      <c r="G45">
        <v>1769200839.9333301</v>
      </c>
      <c r="H45">
        <f t="shared" si="0"/>
        <v>1.0449204536978332E-3</v>
      </c>
      <c r="I45">
        <v>0</v>
      </c>
      <c r="J45">
        <f t="shared" si="12"/>
        <v>1.4315701542370096E-5</v>
      </c>
      <c r="K45">
        <f t="shared" si="1"/>
        <v>3.6903838980496269E-4</v>
      </c>
      <c r="L45">
        <f t="shared" si="2"/>
        <v>69.894011433779895</v>
      </c>
      <c r="M45">
        <f t="shared" si="3"/>
        <v>1.539797003051689</v>
      </c>
      <c r="N45">
        <f t="shared" si="4"/>
        <v>2.2030456851236075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26270.371548798452</v>
      </c>
      <c r="T45">
        <f t="shared" si="8"/>
        <v>99.99982</v>
      </c>
      <c r="U45">
        <f t="shared" si="9"/>
        <v>84.299974259773208</v>
      </c>
      <c r="V45">
        <f t="shared" si="10"/>
        <v>0.84300126000000009</v>
      </c>
      <c r="W45">
        <f t="shared" si="11"/>
        <v>0.15870315000000002</v>
      </c>
      <c r="X45">
        <v>1</v>
      </c>
      <c r="Y45">
        <v>1769200839.9333301</v>
      </c>
      <c r="Z45">
        <v>409.45659999999998</v>
      </c>
      <c r="AA45">
        <v>409.99186666666702</v>
      </c>
      <c r="AB45">
        <v>15.354053333333299</v>
      </c>
      <c r="AC45">
        <v>14.067973333333301</v>
      </c>
      <c r="AD45">
        <v>410.26979999999998</v>
      </c>
      <c r="AE45">
        <v>15.247353333333299</v>
      </c>
      <c r="AF45">
        <v>800.00986666666699</v>
      </c>
      <c r="AG45">
        <v>100.22239999999999</v>
      </c>
      <c r="AH45">
        <v>6.3626733333333296E-2</v>
      </c>
      <c r="AI45">
        <v>18.984480000000001</v>
      </c>
      <c r="AJ45">
        <v>999.9</v>
      </c>
      <c r="AK45">
        <v>999.9</v>
      </c>
      <c r="AL45">
        <v>0</v>
      </c>
      <c r="AM45">
        <v>0</v>
      </c>
      <c r="AN45">
        <v>4998.1000000000004</v>
      </c>
      <c r="AO45">
        <v>0</v>
      </c>
      <c r="AP45">
        <v>1.58087</v>
      </c>
      <c r="AQ45">
        <v>-0.53543293333333297</v>
      </c>
      <c r="AR45">
        <v>415.84140000000002</v>
      </c>
      <c r="AS45">
        <v>415.84206666666699</v>
      </c>
      <c r="AT45">
        <v>1.2860766666666701</v>
      </c>
      <c r="AU45">
        <v>409.99186666666702</v>
      </c>
      <c r="AV45">
        <v>14.067973333333301</v>
      </c>
      <c r="AW45">
        <v>1.5388166666666701</v>
      </c>
      <c r="AX45">
        <v>1.4099233333333301</v>
      </c>
      <c r="AY45">
        <v>13.3594133333333</v>
      </c>
      <c r="AZ45">
        <v>12.0247666666667</v>
      </c>
      <c r="BA45">
        <v>99.99982</v>
      </c>
      <c r="BB45">
        <v>0.89995800000000004</v>
      </c>
      <c r="BC45">
        <v>0</v>
      </c>
      <c r="BD45">
        <v>0.10004200000000001</v>
      </c>
      <c r="BE45">
        <v>0</v>
      </c>
      <c r="BF45">
        <v>24</v>
      </c>
      <c r="BG45">
        <v>1648.8526666666701</v>
      </c>
      <c r="BH45">
        <v>1769200296</v>
      </c>
      <c r="BI45" t="s">
        <v>289</v>
      </c>
      <c r="BJ45">
        <v>1769200296</v>
      </c>
      <c r="BK45">
        <v>1769200293</v>
      </c>
      <c r="BL45">
        <v>13</v>
      </c>
      <c r="BM45">
        <v>-5.6000000000000001E-2</v>
      </c>
      <c r="BN45">
        <v>2.1000000000000001E-2</v>
      </c>
      <c r="BO45">
        <v>-0.81299999999999994</v>
      </c>
      <c r="BP45">
        <v>0.107</v>
      </c>
      <c r="BQ45">
        <v>410</v>
      </c>
      <c r="BR45">
        <v>15</v>
      </c>
      <c r="BS45">
        <v>0.3</v>
      </c>
      <c r="BT45">
        <v>0.04</v>
      </c>
      <c r="BU45">
        <v>-0.54458766666666703</v>
      </c>
      <c r="BV45">
        <v>6.5047012987012598E-2</v>
      </c>
      <c r="BW45">
        <v>2.4504144839546198E-2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1.2903119047619001</v>
      </c>
      <c r="CD45">
        <v>-5.5481298701298198E-2</v>
      </c>
      <c r="CE45">
        <v>9.4041675761575797E-3</v>
      </c>
      <c r="CF45">
        <v>1</v>
      </c>
      <c r="CG45">
        <v>2</v>
      </c>
      <c r="CH45">
        <v>2</v>
      </c>
      <c r="CI45" t="s">
        <v>297</v>
      </c>
      <c r="CJ45">
        <v>3.5325000000000002</v>
      </c>
      <c r="CK45">
        <v>2.7016</v>
      </c>
      <c r="CL45">
        <v>9.8039299999999996E-2</v>
      </c>
      <c r="CM45">
        <v>9.6771599999999999E-2</v>
      </c>
      <c r="CN45">
        <v>8.7056999999999995E-2</v>
      </c>
      <c r="CO45">
        <v>8.0944299999999997E-2</v>
      </c>
      <c r="CP45">
        <v>31646.400000000001</v>
      </c>
      <c r="CQ45">
        <v>27851.9</v>
      </c>
      <c r="CR45">
        <v>32472.3</v>
      </c>
      <c r="CS45">
        <v>30761.4</v>
      </c>
      <c r="CT45">
        <v>40145.4</v>
      </c>
      <c r="CU45">
        <v>39763.9</v>
      </c>
      <c r="CV45">
        <v>47428</v>
      </c>
      <c r="CW45">
        <v>46919.4</v>
      </c>
      <c r="CX45">
        <v>2.6281599999999998</v>
      </c>
      <c r="CY45">
        <v>2.12724</v>
      </c>
      <c r="CZ45">
        <v>0</v>
      </c>
      <c r="DA45">
        <v>0</v>
      </c>
      <c r="DB45">
        <v>999.9</v>
      </c>
      <c r="DC45">
        <v>999.9</v>
      </c>
      <c r="DD45">
        <v>45.921999999999997</v>
      </c>
      <c r="DE45">
        <v>28.640999999999998</v>
      </c>
      <c r="DF45">
        <v>18.047799999999999</v>
      </c>
      <c r="DG45">
        <v>30.5199</v>
      </c>
      <c r="DH45">
        <v>16.590499999999999</v>
      </c>
      <c r="DI45">
        <v>2</v>
      </c>
      <c r="DJ45">
        <v>-0.144789</v>
      </c>
      <c r="DK45">
        <v>1.68947</v>
      </c>
      <c r="DL45">
        <v>20.2377</v>
      </c>
      <c r="DM45">
        <v>5.2515499999999999</v>
      </c>
      <c r="DN45">
        <v>12.033899999999999</v>
      </c>
      <c r="DO45">
        <v>4.9673999999999996</v>
      </c>
      <c r="DP45">
        <v>3.2909999999999999</v>
      </c>
      <c r="DQ45">
        <v>537.70000000000005</v>
      </c>
      <c r="DR45">
        <v>9999</v>
      </c>
      <c r="DS45">
        <v>9999</v>
      </c>
      <c r="DT45">
        <v>9999</v>
      </c>
      <c r="DU45">
        <v>1.87117</v>
      </c>
      <c r="DV45">
        <v>1.87615</v>
      </c>
      <c r="DW45">
        <v>1.87636</v>
      </c>
      <c r="DX45">
        <v>1.8828100000000001</v>
      </c>
      <c r="DY45">
        <v>1.87561</v>
      </c>
      <c r="DZ45">
        <v>1.87469</v>
      </c>
      <c r="EA45">
        <v>1.87086</v>
      </c>
      <c r="EB45">
        <v>1.8746799999999999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-0.81299999999999994</v>
      </c>
      <c r="EQ45">
        <v>0.1067</v>
      </c>
      <c r="ER45">
        <v>-0.81336363636353304</v>
      </c>
      <c r="ES45">
        <v>0</v>
      </c>
      <c r="ET45">
        <v>0</v>
      </c>
      <c r="EU45">
        <v>0</v>
      </c>
      <c r="EV45">
        <v>0.1067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9.1999999999999993</v>
      </c>
      <c r="FE45">
        <v>9.1999999999999993</v>
      </c>
      <c r="FF45">
        <v>1.24512</v>
      </c>
      <c r="FG45">
        <v>2.6086399999999998</v>
      </c>
      <c r="FH45">
        <v>2.19604</v>
      </c>
      <c r="FI45">
        <v>2.66235</v>
      </c>
      <c r="FJ45">
        <v>2.4462899999999999</v>
      </c>
      <c r="FK45">
        <v>2.2692899999999998</v>
      </c>
      <c r="FL45">
        <v>32.775799999999997</v>
      </c>
      <c r="FM45">
        <v>24.148800000000001</v>
      </c>
      <c r="FN45">
        <v>19</v>
      </c>
      <c r="FO45">
        <v>865.45</v>
      </c>
      <c r="FP45">
        <v>570.84</v>
      </c>
      <c r="FQ45">
        <v>18.520900000000001</v>
      </c>
      <c r="FR45">
        <v>25.168500000000002</v>
      </c>
      <c r="FS45">
        <v>30.0001</v>
      </c>
      <c r="FT45">
        <v>25.2014</v>
      </c>
      <c r="FU45">
        <v>25.205100000000002</v>
      </c>
      <c r="FV45">
        <v>24.982900000000001</v>
      </c>
      <c r="FW45">
        <v>24.763500000000001</v>
      </c>
      <c r="FX45">
        <v>2.6306799999999999</v>
      </c>
      <c r="FY45">
        <v>18.53</v>
      </c>
      <c r="FZ45">
        <v>410</v>
      </c>
      <c r="GA45">
        <v>14.1327</v>
      </c>
      <c r="GB45">
        <v>99.933400000000006</v>
      </c>
      <c r="GC45">
        <v>99.875399999999999</v>
      </c>
    </row>
    <row r="46" spans="1:185" x14ac:dyDescent="0.2">
      <c r="A46">
        <v>31</v>
      </c>
      <c r="B46">
        <v>1769200863</v>
      </c>
      <c r="C46">
        <v>592</v>
      </c>
      <c r="D46" t="s">
        <v>355</v>
      </c>
      <c r="E46" t="s">
        <v>356</v>
      </c>
      <c r="F46">
        <v>15</v>
      </c>
      <c r="G46">
        <v>1769200854.9333301</v>
      </c>
      <c r="H46">
        <f t="shared" si="0"/>
        <v>1.0252355534435976E-3</v>
      </c>
      <c r="I46">
        <v>0</v>
      </c>
      <c r="J46">
        <f t="shared" si="12"/>
        <v>-2.1578994832270078E-4</v>
      </c>
      <c r="K46">
        <f t="shared" si="1"/>
        <v>-5.5627574261317928E-3</v>
      </c>
      <c r="L46">
        <f t="shared" si="2"/>
        <v>69.931066634400636</v>
      </c>
      <c r="M46">
        <f t="shared" si="3"/>
        <v>1.5416193638575066</v>
      </c>
      <c r="N46">
        <f t="shared" si="4"/>
        <v>2.2044842700842633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26274.913291697849</v>
      </c>
      <c r="T46">
        <f t="shared" si="8"/>
        <v>100.00206666666701</v>
      </c>
      <c r="U46">
        <f t="shared" si="9"/>
        <v>84.301911403497087</v>
      </c>
      <c r="V46">
        <f t="shared" si="10"/>
        <v>0.84300169199999997</v>
      </c>
      <c r="W46">
        <f t="shared" si="11"/>
        <v>0.15870423</v>
      </c>
      <c r="X46">
        <v>1</v>
      </c>
      <c r="Y46">
        <v>1769200854.9333301</v>
      </c>
      <c r="Z46">
        <v>409.472933333333</v>
      </c>
      <c r="AA46">
        <v>409.99073333333303</v>
      </c>
      <c r="AB46">
        <v>15.372540000000001</v>
      </c>
      <c r="AC46">
        <v>14.110706666666699</v>
      </c>
      <c r="AD46">
        <v>410.28626666666702</v>
      </c>
      <c r="AE46">
        <v>15.265840000000001</v>
      </c>
      <c r="AF46">
        <v>800.006666666667</v>
      </c>
      <c r="AG46">
        <v>100.220133333333</v>
      </c>
      <c r="AH46">
        <v>6.3838206666666703E-2</v>
      </c>
      <c r="AI46">
        <v>18.99494</v>
      </c>
      <c r="AJ46">
        <v>999.9</v>
      </c>
      <c r="AK46">
        <v>999.9</v>
      </c>
      <c r="AL46">
        <v>0</v>
      </c>
      <c r="AM46">
        <v>0</v>
      </c>
      <c r="AN46">
        <v>4999.1000000000004</v>
      </c>
      <c r="AO46">
        <v>0</v>
      </c>
      <c r="AP46">
        <v>1.58087</v>
      </c>
      <c r="AQ46">
        <v>-0.51773473333333297</v>
      </c>
      <c r="AR46">
        <v>415.86579999999998</v>
      </c>
      <c r="AS46">
        <v>415.85866666666698</v>
      </c>
      <c r="AT46">
        <v>1.2618339999999999</v>
      </c>
      <c r="AU46">
        <v>409.99073333333303</v>
      </c>
      <c r="AV46">
        <v>14.110706666666699</v>
      </c>
      <c r="AW46">
        <v>1.54063666666667</v>
      </c>
      <c r="AX46">
        <v>1.41417666666667</v>
      </c>
      <c r="AY46">
        <v>13.37754</v>
      </c>
      <c r="AZ46">
        <v>12.070486666666699</v>
      </c>
      <c r="BA46">
        <v>100.00206666666701</v>
      </c>
      <c r="BB46">
        <v>0.89994359999999995</v>
      </c>
      <c r="BC46">
        <v>0</v>
      </c>
      <c r="BD46">
        <v>0.1000564</v>
      </c>
      <c r="BE46">
        <v>0</v>
      </c>
      <c r="BF46">
        <v>24</v>
      </c>
      <c r="BG46">
        <v>1648.88533333333</v>
      </c>
      <c r="BH46">
        <v>1769200296</v>
      </c>
      <c r="BI46" t="s">
        <v>289</v>
      </c>
      <c r="BJ46">
        <v>1769200296</v>
      </c>
      <c r="BK46">
        <v>1769200293</v>
      </c>
      <c r="BL46">
        <v>13</v>
      </c>
      <c r="BM46">
        <v>-5.6000000000000001E-2</v>
      </c>
      <c r="BN46">
        <v>2.1000000000000001E-2</v>
      </c>
      <c r="BO46">
        <v>-0.81299999999999994</v>
      </c>
      <c r="BP46">
        <v>0.107</v>
      </c>
      <c r="BQ46">
        <v>410</v>
      </c>
      <c r="BR46">
        <v>15</v>
      </c>
      <c r="BS46">
        <v>0.3</v>
      </c>
      <c r="BT46">
        <v>0.04</v>
      </c>
      <c r="BU46">
        <v>-0.524893619047619</v>
      </c>
      <c r="BV46">
        <v>0.103971194805194</v>
      </c>
      <c r="BW46">
        <v>1.73112506589988E-2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1.2651371428571401</v>
      </c>
      <c r="CD46">
        <v>-2.71293506493522E-2</v>
      </c>
      <c r="CE46">
        <v>1.11001197517595E-2</v>
      </c>
      <c r="CF46">
        <v>1</v>
      </c>
      <c r="CG46">
        <v>2</v>
      </c>
      <c r="CH46">
        <v>2</v>
      </c>
      <c r="CI46" t="s">
        <v>297</v>
      </c>
      <c r="CJ46">
        <v>3.5324599999999999</v>
      </c>
      <c r="CK46">
        <v>2.70147</v>
      </c>
      <c r="CL46">
        <v>9.8039399999999999E-2</v>
      </c>
      <c r="CM46">
        <v>9.6772700000000003E-2</v>
      </c>
      <c r="CN46">
        <v>8.7120400000000001E-2</v>
      </c>
      <c r="CO46">
        <v>8.0944799999999997E-2</v>
      </c>
      <c r="CP46">
        <v>31645.9</v>
      </c>
      <c r="CQ46">
        <v>27851.4</v>
      </c>
      <c r="CR46">
        <v>32471.8</v>
      </c>
      <c r="CS46">
        <v>30760.9</v>
      </c>
      <c r="CT46">
        <v>40142.1</v>
      </c>
      <c r="CU46">
        <v>39763.300000000003</v>
      </c>
      <c r="CV46">
        <v>47427.5</v>
      </c>
      <c r="CW46">
        <v>46918.7</v>
      </c>
      <c r="CX46">
        <v>2.6277599999999999</v>
      </c>
      <c r="CY46">
        <v>2.1271399999999998</v>
      </c>
      <c r="CZ46">
        <v>0</v>
      </c>
      <c r="DA46">
        <v>0</v>
      </c>
      <c r="DB46">
        <v>999.9</v>
      </c>
      <c r="DC46">
        <v>999.9</v>
      </c>
      <c r="DD46">
        <v>45.898000000000003</v>
      </c>
      <c r="DE46">
        <v>28.640999999999998</v>
      </c>
      <c r="DF46">
        <v>18.039400000000001</v>
      </c>
      <c r="DG46">
        <v>30.1599</v>
      </c>
      <c r="DH46">
        <v>16.566500000000001</v>
      </c>
      <c r="DI46">
        <v>2</v>
      </c>
      <c r="DJ46">
        <v>-0.144346</v>
      </c>
      <c r="DK46">
        <v>1.7233099999999999</v>
      </c>
      <c r="DL46">
        <v>20.237200000000001</v>
      </c>
      <c r="DM46">
        <v>5.2519099999999996</v>
      </c>
      <c r="DN46">
        <v>12.033899999999999</v>
      </c>
      <c r="DO46">
        <v>4.9673600000000002</v>
      </c>
      <c r="DP46">
        <v>3.2909999999999999</v>
      </c>
      <c r="DQ46">
        <v>537.79999999999995</v>
      </c>
      <c r="DR46">
        <v>9999</v>
      </c>
      <c r="DS46">
        <v>9999</v>
      </c>
      <c r="DT46">
        <v>9999</v>
      </c>
      <c r="DU46">
        <v>1.8711500000000001</v>
      </c>
      <c r="DV46">
        <v>1.8761000000000001</v>
      </c>
      <c r="DW46">
        <v>1.87635</v>
      </c>
      <c r="DX46">
        <v>1.8827799999999999</v>
      </c>
      <c r="DY46">
        <v>1.87561</v>
      </c>
      <c r="DZ46">
        <v>1.87469</v>
      </c>
      <c r="EA46">
        <v>1.8708800000000001</v>
      </c>
      <c r="EB46">
        <v>1.8746700000000001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-0.81399999999999995</v>
      </c>
      <c r="EQ46">
        <v>0.1067</v>
      </c>
      <c r="ER46">
        <v>-0.81336363636353304</v>
      </c>
      <c r="ES46">
        <v>0</v>
      </c>
      <c r="ET46">
        <v>0</v>
      </c>
      <c r="EU46">
        <v>0</v>
      </c>
      <c r="EV46">
        <v>0.1067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9.4</v>
      </c>
      <c r="FE46">
        <v>9.5</v>
      </c>
      <c r="FF46">
        <v>1.2439</v>
      </c>
      <c r="FG46">
        <v>2.6037599999999999</v>
      </c>
      <c r="FH46">
        <v>2.19604</v>
      </c>
      <c r="FI46">
        <v>2.66113</v>
      </c>
      <c r="FJ46">
        <v>2.4462899999999999</v>
      </c>
      <c r="FK46">
        <v>2.31812</v>
      </c>
      <c r="FL46">
        <v>32.775799999999997</v>
      </c>
      <c r="FM46">
        <v>24.157499999999999</v>
      </c>
      <c r="FN46">
        <v>19</v>
      </c>
      <c r="FO46">
        <v>865.07899999999995</v>
      </c>
      <c r="FP46">
        <v>570.78800000000001</v>
      </c>
      <c r="FQ46">
        <v>18.541499999999999</v>
      </c>
      <c r="FR46">
        <v>25.1706</v>
      </c>
      <c r="FS46">
        <v>30.0002</v>
      </c>
      <c r="FT46">
        <v>25.2014</v>
      </c>
      <c r="FU46">
        <v>25.2073</v>
      </c>
      <c r="FV46">
        <v>24.9834</v>
      </c>
      <c r="FW46">
        <v>24.763500000000001</v>
      </c>
      <c r="FX46">
        <v>2.2580499999999999</v>
      </c>
      <c r="FY46">
        <v>18.538799999999998</v>
      </c>
      <c r="FZ46">
        <v>410</v>
      </c>
      <c r="GA46">
        <v>14.1287</v>
      </c>
      <c r="GB46">
        <v>99.932100000000005</v>
      </c>
      <c r="GC46">
        <v>99.873800000000003</v>
      </c>
    </row>
    <row r="47" spans="1:185" x14ac:dyDescent="0.2">
      <c r="A47">
        <v>32</v>
      </c>
      <c r="B47">
        <v>1769200878</v>
      </c>
      <c r="C47">
        <v>607</v>
      </c>
      <c r="D47" t="s">
        <v>357</v>
      </c>
      <c r="E47" t="s">
        <v>358</v>
      </c>
      <c r="F47">
        <v>15</v>
      </c>
      <c r="G47">
        <v>1769200869.9333301</v>
      </c>
      <c r="H47">
        <f t="shared" si="0"/>
        <v>1.0322718591482703E-3</v>
      </c>
      <c r="I47">
        <v>0</v>
      </c>
      <c r="J47">
        <f t="shared" si="12"/>
        <v>1.3176194644344029E-4</v>
      </c>
      <c r="K47">
        <f t="shared" si="1"/>
        <v>3.3966352545936485E-3</v>
      </c>
      <c r="L47">
        <f t="shared" si="2"/>
        <v>69.911040658239926</v>
      </c>
      <c r="M47">
        <f t="shared" si="3"/>
        <v>1.5422265426809405</v>
      </c>
      <c r="N47">
        <f t="shared" si="4"/>
        <v>2.205984245349907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26341.238701720184</v>
      </c>
      <c r="T47">
        <f t="shared" si="8"/>
        <v>99.999646666666706</v>
      </c>
      <c r="U47">
        <f t="shared" si="9"/>
        <v>84.299907339275009</v>
      </c>
      <c r="V47">
        <f t="shared" si="10"/>
        <v>0.84300205200000011</v>
      </c>
      <c r="W47">
        <f t="shared" si="11"/>
        <v>0.15870513</v>
      </c>
      <c r="X47">
        <v>1</v>
      </c>
      <c r="Y47">
        <v>1769200869.9333301</v>
      </c>
      <c r="Z47">
        <v>409.47213333333298</v>
      </c>
      <c r="AA47">
        <v>410.00473333333298</v>
      </c>
      <c r="AB47">
        <v>15.3786066666667</v>
      </c>
      <c r="AC47">
        <v>14.10812</v>
      </c>
      <c r="AD47">
        <v>410.28539999999998</v>
      </c>
      <c r="AE47">
        <v>15.2719066666667</v>
      </c>
      <c r="AF47">
        <v>800.00599999999997</v>
      </c>
      <c r="AG47">
        <v>100.2204</v>
      </c>
      <c r="AH47">
        <v>6.3492820000000005E-2</v>
      </c>
      <c r="AI47">
        <v>19.005839999999999</v>
      </c>
      <c r="AJ47">
        <v>999.9</v>
      </c>
      <c r="AK47">
        <v>999.9</v>
      </c>
      <c r="AL47">
        <v>0</v>
      </c>
      <c r="AM47">
        <v>0</v>
      </c>
      <c r="AN47">
        <v>5010.1666666666697</v>
      </c>
      <c r="AO47">
        <v>0</v>
      </c>
      <c r="AP47">
        <v>1.58087</v>
      </c>
      <c r="AQ47">
        <v>-0.53271686666666695</v>
      </c>
      <c r="AR47">
        <v>415.86733333333302</v>
      </c>
      <c r="AS47">
        <v>415.87186666666702</v>
      </c>
      <c r="AT47">
        <v>1.27047666666667</v>
      </c>
      <c r="AU47">
        <v>410.00473333333298</v>
      </c>
      <c r="AV47">
        <v>14.10812</v>
      </c>
      <c r="AW47">
        <v>1.5412493333333299</v>
      </c>
      <c r="AX47">
        <v>1.41392133333333</v>
      </c>
      <c r="AY47">
        <v>13.3836333333333</v>
      </c>
      <c r="AZ47">
        <v>12.067773333333299</v>
      </c>
      <c r="BA47">
        <v>99.999646666666706</v>
      </c>
      <c r="BB47">
        <v>0.89993160000000005</v>
      </c>
      <c r="BC47">
        <v>0</v>
      </c>
      <c r="BD47">
        <v>0.1000684</v>
      </c>
      <c r="BE47">
        <v>0</v>
      </c>
      <c r="BF47">
        <v>24</v>
      </c>
      <c r="BG47">
        <v>1648.8406666666699</v>
      </c>
      <c r="BH47">
        <v>1769200296</v>
      </c>
      <c r="BI47" t="s">
        <v>289</v>
      </c>
      <c r="BJ47">
        <v>1769200296</v>
      </c>
      <c r="BK47">
        <v>1769200293</v>
      </c>
      <c r="BL47">
        <v>13</v>
      </c>
      <c r="BM47">
        <v>-5.6000000000000001E-2</v>
      </c>
      <c r="BN47">
        <v>2.1000000000000001E-2</v>
      </c>
      <c r="BO47">
        <v>-0.81299999999999994</v>
      </c>
      <c r="BP47">
        <v>0.107</v>
      </c>
      <c r="BQ47">
        <v>410</v>
      </c>
      <c r="BR47">
        <v>15</v>
      </c>
      <c r="BS47">
        <v>0.3</v>
      </c>
      <c r="BT47">
        <v>0.04</v>
      </c>
      <c r="BU47">
        <v>-0.52887265000000006</v>
      </c>
      <c r="BV47">
        <v>-4.2586601503760299E-2</v>
      </c>
      <c r="BW47">
        <v>1.05481870919841E-2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1.2695399999999999</v>
      </c>
      <c r="CD47">
        <v>3.2914285714289497E-2</v>
      </c>
      <c r="CE47">
        <v>3.6763419318664799E-3</v>
      </c>
      <c r="CF47">
        <v>1</v>
      </c>
      <c r="CG47">
        <v>2</v>
      </c>
      <c r="CH47">
        <v>2</v>
      </c>
      <c r="CI47" t="s">
        <v>297</v>
      </c>
      <c r="CJ47">
        <v>3.5325500000000001</v>
      </c>
      <c r="CK47">
        <v>2.7010399999999999</v>
      </c>
      <c r="CL47">
        <v>9.80404E-2</v>
      </c>
      <c r="CM47">
        <v>9.6777699999999994E-2</v>
      </c>
      <c r="CN47">
        <v>8.7129999999999999E-2</v>
      </c>
      <c r="CO47">
        <v>8.0912999999999999E-2</v>
      </c>
      <c r="CP47">
        <v>31645.8</v>
      </c>
      <c r="CQ47">
        <v>27851.4</v>
      </c>
      <c r="CR47">
        <v>32471.7</v>
      </c>
      <c r="CS47">
        <v>30761.200000000001</v>
      </c>
      <c r="CT47">
        <v>40141.699999999997</v>
      </c>
      <c r="CU47">
        <v>39765.199999999997</v>
      </c>
      <c r="CV47">
        <v>47427.5</v>
      </c>
      <c r="CW47">
        <v>46919.199999999997</v>
      </c>
      <c r="CX47">
        <v>2.62792</v>
      </c>
      <c r="CY47">
        <v>2.1270199999999999</v>
      </c>
      <c r="CZ47">
        <v>0</v>
      </c>
      <c r="DA47">
        <v>0</v>
      </c>
      <c r="DB47">
        <v>999.9</v>
      </c>
      <c r="DC47">
        <v>999.9</v>
      </c>
      <c r="DD47">
        <v>45.874000000000002</v>
      </c>
      <c r="DE47">
        <v>28.661000000000001</v>
      </c>
      <c r="DF47">
        <v>18.0505</v>
      </c>
      <c r="DG47">
        <v>29.709900000000001</v>
      </c>
      <c r="DH47">
        <v>16.506399999999999</v>
      </c>
      <c r="DI47">
        <v>2</v>
      </c>
      <c r="DJ47">
        <v>-0.142876</v>
      </c>
      <c r="DK47">
        <v>2.0043799999999998</v>
      </c>
      <c r="DL47">
        <v>20.2332</v>
      </c>
      <c r="DM47">
        <v>5.2515499999999999</v>
      </c>
      <c r="DN47">
        <v>12.033899999999999</v>
      </c>
      <c r="DO47">
        <v>4.9673999999999996</v>
      </c>
      <c r="DP47">
        <v>3.2909999999999999</v>
      </c>
      <c r="DQ47">
        <v>537.79999999999995</v>
      </c>
      <c r="DR47">
        <v>9999</v>
      </c>
      <c r="DS47">
        <v>9999</v>
      </c>
      <c r="DT47">
        <v>9999</v>
      </c>
      <c r="DU47">
        <v>1.8711599999999999</v>
      </c>
      <c r="DV47">
        <v>1.87612</v>
      </c>
      <c r="DW47">
        <v>1.87635</v>
      </c>
      <c r="DX47">
        <v>1.8828</v>
      </c>
      <c r="DY47">
        <v>1.87561</v>
      </c>
      <c r="DZ47">
        <v>1.87469</v>
      </c>
      <c r="EA47">
        <v>1.87087</v>
      </c>
      <c r="EB47">
        <v>1.87466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-0.81299999999999994</v>
      </c>
      <c r="EQ47">
        <v>0.1067</v>
      </c>
      <c r="ER47">
        <v>-0.81336363636353304</v>
      </c>
      <c r="ES47">
        <v>0</v>
      </c>
      <c r="ET47">
        <v>0</v>
      </c>
      <c r="EU47">
        <v>0</v>
      </c>
      <c r="EV47">
        <v>0.1067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9.6999999999999993</v>
      </c>
      <c r="FE47">
        <v>9.8000000000000007</v>
      </c>
      <c r="FF47">
        <v>1.2439</v>
      </c>
      <c r="FG47">
        <v>2.6000999999999999</v>
      </c>
      <c r="FH47">
        <v>2.19604</v>
      </c>
      <c r="FI47">
        <v>2.66113</v>
      </c>
      <c r="FJ47">
        <v>2.4462899999999999</v>
      </c>
      <c r="FK47">
        <v>2.2851599999999999</v>
      </c>
      <c r="FL47">
        <v>32.798000000000002</v>
      </c>
      <c r="FM47">
        <v>24.148800000000001</v>
      </c>
      <c r="FN47">
        <v>19</v>
      </c>
      <c r="FO47">
        <v>865.26199999999994</v>
      </c>
      <c r="FP47">
        <v>570.69600000000003</v>
      </c>
      <c r="FQ47">
        <v>18.428999999999998</v>
      </c>
      <c r="FR47">
        <v>25.172699999999999</v>
      </c>
      <c r="FS47">
        <v>30.000399999999999</v>
      </c>
      <c r="FT47">
        <v>25.203499999999998</v>
      </c>
      <c r="FU47">
        <v>25.2073</v>
      </c>
      <c r="FV47">
        <v>24.9818</v>
      </c>
      <c r="FW47">
        <v>24.763500000000001</v>
      </c>
      <c r="FX47">
        <v>2.2580499999999999</v>
      </c>
      <c r="FY47">
        <v>18.420500000000001</v>
      </c>
      <c r="FZ47">
        <v>410</v>
      </c>
      <c r="GA47">
        <v>14.1286</v>
      </c>
      <c r="GB47">
        <v>99.932100000000005</v>
      </c>
      <c r="GC47">
        <v>99.874799999999993</v>
      </c>
    </row>
    <row r="48" spans="1:185" x14ac:dyDescent="0.2">
      <c r="A48">
        <v>33</v>
      </c>
      <c r="B48">
        <v>1769200893</v>
      </c>
      <c r="C48">
        <v>622</v>
      </c>
      <c r="D48" t="s">
        <v>359</v>
      </c>
      <c r="E48" t="s">
        <v>360</v>
      </c>
      <c r="F48">
        <v>15</v>
      </c>
      <c r="G48">
        <v>1769200884.9333301</v>
      </c>
      <c r="H48">
        <f t="shared" ref="H48:H79" si="13">AF48*Q48*(AB48-AC48)/(1000*X48*(1000-Q48*AB48))</f>
        <v>1.0361737447165335E-3</v>
      </c>
      <c r="I48">
        <v>0</v>
      </c>
      <c r="J48">
        <f t="shared" si="12"/>
        <v>5.1324471382658957E-4</v>
      </c>
      <c r="K48">
        <f t="shared" ref="K48:K79" si="14">AF48*Q48*(AA48-Z48*(1000-Q48*AC48)/(1000-Q48*AB48))/(1000*X48)</f>
        <v>1.3230717489176952E-2</v>
      </c>
      <c r="L48">
        <f t="shared" ref="L48:L79" si="15">(M48/N48*100)</f>
        <v>69.903164602471975</v>
      </c>
      <c r="M48">
        <f t="shared" ref="M48:M79" si="16">AB48*(AG48+AH48)/1000</f>
        <v>1.5418520219405776</v>
      </c>
      <c r="N48">
        <f t="shared" ref="N48:N79" si="17">0.61365*EXP(17.502*AI48/(240.97+AI48))</f>
        <v>2.2056970248898482</v>
      </c>
      <c r="O48">
        <v>0</v>
      </c>
      <c r="P48">
        <v>0</v>
      </c>
      <c r="Q48">
        <f t="shared" ref="Q48:Q79" si="18">IF(O48*$H$13&gt;=S48,1,(S48/(S48-O48*$H$13)))</f>
        <v>1</v>
      </c>
      <c r="R48">
        <f t="shared" ref="R48:R79" si="19">(Q48-1)*100</f>
        <v>0</v>
      </c>
      <c r="S48">
        <f t="shared" ref="S48:S79" si="20">MAX(0,($B$13+$C$13*AN48)/(1+$D$13*AN48)*AG48/(AI48+273)*$E$13)</f>
        <v>26279.899626034432</v>
      </c>
      <c r="T48">
        <f t="shared" ref="T48:T79" si="21">$B$11*AO48+$C$11*AP48+$D$11*BA48</f>
        <v>100.001106666667</v>
      </c>
      <c r="U48">
        <f t="shared" ref="U48:U79" si="22">T48*V48</f>
        <v>84.301147322372984</v>
      </c>
      <c r="V48">
        <f t="shared" ref="V48:V79" si="23">($B$11*$D$9+$C$11*$D$9+$D$11*(BB48*$E$9+BC48*$F$9+BD48*$G$9+BE48*$H$9))/($B$11+$C$11+$D$11)</f>
        <v>0.84300214400000006</v>
      </c>
      <c r="W48">
        <f t="shared" ref="W48:W79" si="24">($B$11*$L$9+$C$11*$L$9+$D$11*(BB48*$M$9+BC48*$N$9+BD48*$O$9+BE48*$P$9))/($B$11+$C$11+$D$11)</f>
        <v>0.15870536000000002</v>
      </c>
      <c r="X48">
        <v>1</v>
      </c>
      <c r="Y48">
        <v>1769200884.9333301</v>
      </c>
      <c r="Z48">
        <v>409.45886666666701</v>
      </c>
      <c r="AA48">
        <v>410.00573333333301</v>
      </c>
      <c r="AB48">
        <v>15.375120000000001</v>
      </c>
      <c r="AC48">
        <v>14.09984</v>
      </c>
      <c r="AD48">
        <v>410.272066666667</v>
      </c>
      <c r="AE48">
        <v>15.268420000000001</v>
      </c>
      <c r="AF48">
        <v>800.01446666666698</v>
      </c>
      <c r="AG48">
        <v>100.21899999999999</v>
      </c>
      <c r="AH48">
        <v>6.3275646666666699E-2</v>
      </c>
      <c r="AI48">
        <v>19.0037533333333</v>
      </c>
      <c r="AJ48">
        <v>999.9</v>
      </c>
      <c r="AK48">
        <v>999.9</v>
      </c>
      <c r="AL48">
        <v>0</v>
      </c>
      <c r="AM48">
        <v>0</v>
      </c>
      <c r="AN48">
        <v>5000.1000000000004</v>
      </c>
      <c r="AO48">
        <v>0</v>
      </c>
      <c r="AP48">
        <v>1.58087</v>
      </c>
      <c r="AQ48">
        <v>-0.5469482</v>
      </c>
      <c r="AR48">
        <v>415.85253333333299</v>
      </c>
      <c r="AS48">
        <v>415.86939999999998</v>
      </c>
      <c r="AT48">
        <v>1.27527733333333</v>
      </c>
      <c r="AU48">
        <v>410.00573333333301</v>
      </c>
      <c r="AV48">
        <v>14.09984</v>
      </c>
      <c r="AW48">
        <v>1.5408793333333299</v>
      </c>
      <c r="AX48">
        <v>1.4130720000000001</v>
      </c>
      <c r="AY48">
        <v>13.379953333333299</v>
      </c>
      <c r="AZ48">
        <v>12.05864</v>
      </c>
      <c r="BA48">
        <v>100.001106666667</v>
      </c>
      <c r="BB48">
        <v>0.899928533333333</v>
      </c>
      <c r="BC48">
        <v>0</v>
      </c>
      <c r="BD48">
        <v>0.100071466666667</v>
      </c>
      <c r="BE48">
        <v>0</v>
      </c>
      <c r="BF48">
        <v>24</v>
      </c>
      <c r="BG48">
        <v>1648.86</v>
      </c>
      <c r="BH48">
        <v>1769200296</v>
      </c>
      <c r="BI48" t="s">
        <v>289</v>
      </c>
      <c r="BJ48">
        <v>1769200296</v>
      </c>
      <c r="BK48">
        <v>1769200293</v>
      </c>
      <c r="BL48">
        <v>13</v>
      </c>
      <c r="BM48">
        <v>-5.6000000000000001E-2</v>
      </c>
      <c r="BN48">
        <v>2.1000000000000001E-2</v>
      </c>
      <c r="BO48">
        <v>-0.81299999999999994</v>
      </c>
      <c r="BP48">
        <v>0.107</v>
      </c>
      <c r="BQ48">
        <v>410</v>
      </c>
      <c r="BR48">
        <v>15</v>
      </c>
      <c r="BS48">
        <v>0.3</v>
      </c>
      <c r="BT48">
        <v>0.04</v>
      </c>
      <c r="BU48">
        <v>-0.54144580952380905</v>
      </c>
      <c r="BV48">
        <v>-0.107922</v>
      </c>
      <c r="BW48">
        <v>1.8424087467533899E-2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1.27502</v>
      </c>
      <c r="CD48">
        <v>4.49142857142868E-3</v>
      </c>
      <c r="CE48">
        <v>8.3280935908011005E-4</v>
      </c>
      <c r="CF48">
        <v>1</v>
      </c>
      <c r="CG48">
        <v>2</v>
      </c>
      <c r="CH48">
        <v>2</v>
      </c>
      <c r="CI48" t="s">
        <v>297</v>
      </c>
      <c r="CJ48">
        <v>3.5325700000000002</v>
      </c>
      <c r="CK48">
        <v>2.70133</v>
      </c>
      <c r="CL48">
        <v>9.8034099999999999E-2</v>
      </c>
      <c r="CM48">
        <v>9.6766400000000002E-2</v>
      </c>
      <c r="CN48">
        <v>8.7107199999999996E-2</v>
      </c>
      <c r="CO48">
        <v>8.0874500000000002E-2</v>
      </c>
      <c r="CP48">
        <v>31645.7</v>
      </c>
      <c r="CQ48">
        <v>27851.599999999999</v>
      </c>
      <c r="CR48">
        <v>32471.5</v>
      </c>
      <c r="CS48">
        <v>30760.9</v>
      </c>
      <c r="CT48">
        <v>40142.300000000003</v>
      </c>
      <c r="CU48">
        <v>39766.6</v>
      </c>
      <c r="CV48">
        <v>47427</v>
      </c>
      <c r="CW48">
        <v>46918.9</v>
      </c>
      <c r="CX48">
        <v>2.6278800000000002</v>
      </c>
      <c r="CY48">
        <v>2.1272199999999999</v>
      </c>
      <c r="CZ48">
        <v>0</v>
      </c>
      <c r="DA48">
        <v>0</v>
      </c>
      <c r="DB48">
        <v>999.9</v>
      </c>
      <c r="DC48">
        <v>999.9</v>
      </c>
      <c r="DD48">
        <v>45.848999999999997</v>
      </c>
      <c r="DE48">
        <v>28.640999999999998</v>
      </c>
      <c r="DF48">
        <v>18.020099999999999</v>
      </c>
      <c r="DG48">
        <v>30.099900000000002</v>
      </c>
      <c r="DH48">
        <v>16.458300000000001</v>
      </c>
      <c r="DI48">
        <v>2</v>
      </c>
      <c r="DJ48">
        <v>-0.14306099999999999</v>
      </c>
      <c r="DK48">
        <v>1.88096</v>
      </c>
      <c r="DL48">
        <v>20.2347</v>
      </c>
      <c r="DM48">
        <v>5.2519099999999996</v>
      </c>
      <c r="DN48">
        <v>12.033899999999999</v>
      </c>
      <c r="DO48">
        <v>4.9673600000000002</v>
      </c>
      <c r="DP48">
        <v>3.2909999999999999</v>
      </c>
      <c r="DQ48">
        <v>537.79999999999995</v>
      </c>
      <c r="DR48">
        <v>9999</v>
      </c>
      <c r="DS48">
        <v>9999</v>
      </c>
      <c r="DT48">
        <v>9999</v>
      </c>
      <c r="DU48">
        <v>1.87117</v>
      </c>
      <c r="DV48">
        <v>1.8761699999999999</v>
      </c>
      <c r="DW48">
        <v>1.8763700000000001</v>
      </c>
      <c r="DX48">
        <v>1.8828100000000001</v>
      </c>
      <c r="DY48">
        <v>1.87561</v>
      </c>
      <c r="DZ48">
        <v>1.87469</v>
      </c>
      <c r="EA48">
        <v>1.87087</v>
      </c>
      <c r="EB48">
        <v>1.8746799999999999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-0.81299999999999994</v>
      </c>
      <c r="EQ48">
        <v>0.1067</v>
      </c>
      <c r="ER48">
        <v>-0.81336363636353304</v>
      </c>
      <c r="ES48">
        <v>0</v>
      </c>
      <c r="ET48">
        <v>0</v>
      </c>
      <c r="EU48">
        <v>0</v>
      </c>
      <c r="EV48">
        <v>0.1067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9.9</v>
      </c>
      <c r="FE48">
        <v>10</v>
      </c>
      <c r="FF48">
        <v>1.2439</v>
      </c>
      <c r="FG48">
        <v>2.6013199999999999</v>
      </c>
      <c r="FH48">
        <v>2.19604</v>
      </c>
      <c r="FI48">
        <v>2.66235</v>
      </c>
      <c r="FJ48">
        <v>2.4462899999999999</v>
      </c>
      <c r="FK48">
        <v>2.3071299999999999</v>
      </c>
      <c r="FL48">
        <v>32.775799999999997</v>
      </c>
      <c r="FM48">
        <v>24.148800000000001</v>
      </c>
      <c r="FN48">
        <v>19</v>
      </c>
      <c r="FO48">
        <v>865.22500000000002</v>
      </c>
      <c r="FP48">
        <v>570.87099999999998</v>
      </c>
      <c r="FQ48">
        <v>18.406500000000001</v>
      </c>
      <c r="FR48">
        <v>25.1753</v>
      </c>
      <c r="FS48">
        <v>30.0001</v>
      </c>
      <c r="FT48">
        <v>25.203499999999998</v>
      </c>
      <c r="FU48">
        <v>25.209299999999999</v>
      </c>
      <c r="FV48">
        <v>24.9818</v>
      </c>
      <c r="FW48">
        <v>24.763500000000001</v>
      </c>
      <c r="FX48">
        <v>2.2580499999999999</v>
      </c>
      <c r="FY48">
        <v>18.410799999999998</v>
      </c>
      <c r="FZ48">
        <v>410</v>
      </c>
      <c r="GA48">
        <v>14.1303</v>
      </c>
      <c r="GB48">
        <v>99.931100000000001</v>
      </c>
      <c r="GC48">
        <v>99.874099999999999</v>
      </c>
    </row>
    <row r="49" spans="1:185" x14ac:dyDescent="0.2">
      <c r="A49">
        <v>34</v>
      </c>
      <c r="B49">
        <v>1769200908</v>
      </c>
      <c r="C49">
        <v>637</v>
      </c>
      <c r="D49" t="s">
        <v>361</v>
      </c>
      <c r="E49" t="s">
        <v>362</v>
      </c>
      <c r="F49">
        <v>15</v>
      </c>
      <c r="G49">
        <v>1769200899.9333301</v>
      </c>
      <c r="H49">
        <f t="shared" si="13"/>
        <v>1.0213965281307851E-3</v>
      </c>
      <c r="I49">
        <v>0</v>
      </c>
      <c r="J49">
        <f t="shared" si="12"/>
        <v>4.001090453338859E-4</v>
      </c>
      <c r="K49">
        <f t="shared" si="14"/>
        <v>1.0314241142804123E-2</v>
      </c>
      <c r="L49">
        <f t="shared" si="15"/>
        <v>69.800896960245638</v>
      </c>
      <c r="M49">
        <f t="shared" si="16"/>
        <v>1.5391441851840544</v>
      </c>
      <c r="N49">
        <f t="shared" si="17"/>
        <v>2.2050492933646075</v>
      </c>
      <c r="O49">
        <v>0</v>
      </c>
      <c r="P49">
        <v>0</v>
      </c>
      <c r="Q49">
        <f t="shared" si="18"/>
        <v>1</v>
      </c>
      <c r="R49">
        <f t="shared" si="19"/>
        <v>0</v>
      </c>
      <c r="S49">
        <f t="shared" si="20"/>
        <v>26280.763289252565</v>
      </c>
      <c r="T49">
        <f t="shared" si="21"/>
        <v>99.999533333333304</v>
      </c>
      <c r="U49">
        <f t="shared" si="22"/>
        <v>84.299826598973297</v>
      </c>
      <c r="V49">
        <f t="shared" si="23"/>
        <v>0.84300219999999992</v>
      </c>
      <c r="W49">
        <f t="shared" si="24"/>
        <v>0.15870549999999997</v>
      </c>
      <c r="X49">
        <v>1</v>
      </c>
      <c r="Y49">
        <v>1769200899.9333301</v>
      </c>
      <c r="Z49">
        <v>409.46146666666698</v>
      </c>
      <c r="AA49">
        <v>409.99713333333301</v>
      </c>
      <c r="AB49">
        <v>15.348086666666701</v>
      </c>
      <c r="AC49">
        <v>14.090946666666699</v>
      </c>
      <c r="AD49">
        <v>410.26546666666701</v>
      </c>
      <c r="AE49">
        <v>15.262086666666701</v>
      </c>
      <c r="AF49">
        <v>800.00639999999999</v>
      </c>
      <c r="AG49">
        <v>100.219133333333</v>
      </c>
      <c r="AH49">
        <v>6.3346079999999999E-2</v>
      </c>
      <c r="AI49">
        <v>18.9990466666667</v>
      </c>
      <c r="AJ49">
        <v>999.9</v>
      </c>
      <c r="AK49">
        <v>999.9</v>
      </c>
      <c r="AL49">
        <v>0</v>
      </c>
      <c r="AM49">
        <v>0</v>
      </c>
      <c r="AN49">
        <v>5000.1666666666697</v>
      </c>
      <c r="AO49">
        <v>0</v>
      </c>
      <c r="AP49">
        <v>1.58087</v>
      </c>
      <c r="AQ49">
        <v>-0.54509466666666695</v>
      </c>
      <c r="AR49">
        <v>415.84306666666703</v>
      </c>
      <c r="AS49">
        <v>415.85700000000003</v>
      </c>
      <c r="AT49">
        <v>1.277836</v>
      </c>
      <c r="AU49">
        <v>409.99713333333301</v>
      </c>
      <c r="AV49">
        <v>14.090946666666699</v>
      </c>
      <c r="AW49">
        <v>1.54025066666667</v>
      </c>
      <c r="AX49">
        <v>1.4121853333333301</v>
      </c>
      <c r="AY49">
        <v>13.37368</v>
      </c>
      <c r="AZ49">
        <v>12.049106666666701</v>
      </c>
      <c r="BA49">
        <v>99.999533333333304</v>
      </c>
      <c r="BB49">
        <v>0.89992666666666699</v>
      </c>
      <c r="BC49">
        <v>0</v>
      </c>
      <c r="BD49">
        <v>0.100073333333333</v>
      </c>
      <c r="BE49">
        <v>0</v>
      </c>
      <c r="BF49">
        <v>24</v>
      </c>
      <c r="BG49">
        <v>1648.83466666667</v>
      </c>
      <c r="BH49">
        <v>1769200934</v>
      </c>
      <c r="BI49" t="s">
        <v>363</v>
      </c>
      <c r="BJ49">
        <v>1769200934</v>
      </c>
      <c r="BK49">
        <v>1769200930</v>
      </c>
      <c r="BL49">
        <v>14</v>
      </c>
      <c r="BM49">
        <v>8.9999999999999993E-3</v>
      </c>
      <c r="BN49">
        <v>-2.1000000000000001E-2</v>
      </c>
      <c r="BO49">
        <v>-0.80400000000000005</v>
      </c>
      <c r="BP49">
        <v>8.5999999999999993E-2</v>
      </c>
      <c r="BQ49">
        <v>410</v>
      </c>
      <c r="BR49">
        <v>14</v>
      </c>
      <c r="BS49">
        <v>0.16</v>
      </c>
      <c r="BT49">
        <v>0.03</v>
      </c>
      <c r="BU49">
        <v>-0.54924154999999997</v>
      </c>
      <c r="BV49">
        <v>-3.9842842105263301E-2</v>
      </c>
      <c r="BW49">
        <v>2.4789655115541601E-2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1.2774350000000001</v>
      </c>
      <c r="CD49">
        <v>5.8132330827089804E-3</v>
      </c>
      <c r="CE49">
        <v>1.6918879986571099E-3</v>
      </c>
      <c r="CF49">
        <v>1</v>
      </c>
      <c r="CG49">
        <v>2</v>
      </c>
      <c r="CH49">
        <v>2</v>
      </c>
      <c r="CI49" t="s">
        <v>297</v>
      </c>
      <c r="CJ49">
        <v>3.5325099999999998</v>
      </c>
      <c r="CK49">
        <v>2.7012999999999998</v>
      </c>
      <c r="CL49">
        <v>9.8031400000000005E-2</v>
      </c>
      <c r="CM49">
        <v>9.6777500000000002E-2</v>
      </c>
      <c r="CN49">
        <v>8.7073899999999996E-2</v>
      </c>
      <c r="CO49">
        <v>8.0838599999999997E-2</v>
      </c>
      <c r="CP49">
        <v>31645.3</v>
      </c>
      <c r="CQ49">
        <v>27851.4</v>
      </c>
      <c r="CR49">
        <v>32470.9</v>
      </c>
      <c r="CS49">
        <v>30761.1</v>
      </c>
      <c r="CT49">
        <v>40143.1</v>
      </c>
      <c r="CU49">
        <v>39768.1</v>
      </c>
      <c r="CV49">
        <v>47426.2</v>
      </c>
      <c r="CW49">
        <v>46918.8</v>
      </c>
      <c r="CX49">
        <v>2.6278999999999999</v>
      </c>
      <c r="CY49">
        <v>2.1270199999999999</v>
      </c>
      <c r="CZ49">
        <v>0</v>
      </c>
      <c r="DA49">
        <v>0</v>
      </c>
      <c r="DB49">
        <v>999.9</v>
      </c>
      <c r="DC49">
        <v>999.9</v>
      </c>
      <c r="DD49">
        <v>45.848999999999997</v>
      </c>
      <c r="DE49">
        <v>28.661000000000001</v>
      </c>
      <c r="DF49">
        <v>18.041699999999999</v>
      </c>
      <c r="DG49">
        <v>30.219899999999999</v>
      </c>
      <c r="DH49">
        <v>16.6066</v>
      </c>
      <c r="DI49">
        <v>2</v>
      </c>
      <c r="DJ49">
        <v>-0.14301</v>
      </c>
      <c r="DK49">
        <v>1.84982</v>
      </c>
      <c r="DL49">
        <v>20.235299999999999</v>
      </c>
      <c r="DM49">
        <v>5.2519099999999996</v>
      </c>
      <c r="DN49">
        <v>12.033899999999999</v>
      </c>
      <c r="DO49">
        <v>4.96732</v>
      </c>
      <c r="DP49">
        <v>3.2909999999999999</v>
      </c>
      <c r="DQ49">
        <v>537.79999999999995</v>
      </c>
      <c r="DR49">
        <v>9999</v>
      </c>
      <c r="DS49">
        <v>9999</v>
      </c>
      <c r="DT49">
        <v>9999</v>
      </c>
      <c r="DU49">
        <v>1.87117</v>
      </c>
      <c r="DV49">
        <v>1.87612</v>
      </c>
      <c r="DW49">
        <v>1.87635</v>
      </c>
      <c r="DX49">
        <v>1.8828</v>
      </c>
      <c r="DY49">
        <v>1.87561</v>
      </c>
      <c r="DZ49">
        <v>1.87469</v>
      </c>
      <c r="EA49">
        <v>1.8708800000000001</v>
      </c>
      <c r="EB49">
        <v>1.8746700000000001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-0.80400000000000005</v>
      </c>
      <c r="EQ49">
        <v>8.5999999999999993E-2</v>
      </c>
      <c r="ER49">
        <v>-0.81336363636353304</v>
      </c>
      <c r="ES49">
        <v>0</v>
      </c>
      <c r="ET49">
        <v>0</v>
      </c>
      <c r="EU49">
        <v>0</v>
      </c>
      <c r="EV49">
        <v>0.1067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10.199999999999999</v>
      </c>
      <c r="FE49">
        <v>10.199999999999999</v>
      </c>
      <c r="FF49">
        <v>1.2439</v>
      </c>
      <c r="FG49">
        <v>2.6086399999999998</v>
      </c>
      <c r="FH49">
        <v>2.19604</v>
      </c>
      <c r="FI49">
        <v>2.66113</v>
      </c>
      <c r="FJ49">
        <v>2.4462899999999999</v>
      </c>
      <c r="FK49">
        <v>2.2973599999999998</v>
      </c>
      <c r="FL49">
        <v>32.798000000000002</v>
      </c>
      <c r="FM49">
        <v>24.148800000000001</v>
      </c>
      <c r="FN49">
        <v>19</v>
      </c>
      <c r="FO49">
        <v>865.27700000000004</v>
      </c>
      <c r="FP49">
        <v>570.71900000000005</v>
      </c>
      <c r="FQ49">
        <v>18.422599999999999</v>
      </c>
      <c r="FR49">
        <v>25.178999999999998</v>
      </c>
      <c r="FS49">
        <v>30.0001</v>
      </c>
      <c r="FT49">
        <v>25.2056</v>
      </c>
      <c r="FU49">
        <v>25.209299999999999</v>
      </c>
      <c r="FV49">
        <v>24.980799999999999</v>
      </c>
      <c r="FW49">
        <v>24.763500000000001</v>
      </c>
      <c r="FX49">
        <v>2.2580499999999999</v>
      </c>
      <c r="FY49">
        <v>18.4238</v>
      </c>
      <c r="FZ49">
        <v>410</v>
      </c>
      <c r="GA49">
        <v>14.147</v>
      </c>
      <c r="GB49">
        <v>99.929299999999998</v>
      </c>
      <c r="GC49">
        <v>99.874200000000002</v>
      </c>
    </row>
    <row r="50" spans="1:185" x14ac:dyDescent="0.2">
      <c r="A50">
        <v>35</v>
      </c>
      <c r="B50">
        <v>1769200936</v>
      </c>
      <c r="C50">
        <v>665</v>
      </c>
      <c r="D50" t="s">
        <v>364</v>
      </c>
      <c r="E50" t="s">
        <v>365</v>
      </c>
      <c r="F50">
        <v>15</v>
      </c>
      <c r="G50">
        <v>1769200935</v>
      </c>
      <c r="H50">
        <f t="shared" si="13"/>
        <v>-1.2171302529370211E-6</v>
      </c>
      <c r="I50">
        <v>0</v>
      </c>
      <c r="J50">
        <f t="shared" si="12"/>
        <v>-3.8407961759984546E-4</v>
      </c>
      <c r="K50">
        <f t="shared" si="14"/>
        <v>-9.9010253333687761E-3</v>
      </c>
      <c r="L50">
        <f t="shared" si="15"/>
        <v>63.993851120059666</v>
      </c>
      <c r="M50">
        <f t="shared" si="16"/>
        <v>1.41115349352618</v>
      </c>
      <c r="N50">
        <f t="shared" si="17"/>
        <v>2.2051391951371975</v>
      </c>
      <c r="O50">
        <v>484</v>
      </c>
      <c r="P50">
        <v>60</v>
      </c>
      <c r="Q50">
        <f t="shared" si="18"/>
        <v>1</v>
      </c>
      <c r="R50">
        <f t="shared" si="19"/>
        <v>0</v>
      </c>
      <c r="S50">
        <f t="shared" si="20"/>
        <v>26303.173842008579</v>
      </c>
      <c r="T50">
        <f t="shared" si="21"/>
        <v>99.999799999999993</v>
      </c>
      <c r="U50">
        <f t="shared" si="22"/>
        <v>84.300089399483994</v>
      </c>
      <c r="V50">
        <f t="shared" si="23"/>
        <v>0.84300257999999995</v>
      </c>
      <c r="W50">
        <f t="shared" si="24"/>
        <v>0.15870645</v>
      </c>
      <c r="X50">
        <v>1</v>
      </c>
      <c r="Y50">
        <v>1769200935</v>
      </c>
      <c r="Z50">
        <v>409.99200000000002</v>
      </c>
      <c r="AA50">
        <v>409.97899999999998</v>
      </c>
      <c r="AB50">
        <v>14.070600000000001</v>
      </c>
      <c r="AC50">
        <v>14.072100000000001</v>
      </c>
      <c r="AD50">
        <v>410.79700000000003</v>
      </c>
      <c r="AE50">
        <v>13.9847</v>
      </c>
      <c r="AF50">
        <v>800.00300000000004</v>
      </c>
      <c r="AG50">
        <v>100.21599999999999</v>
      </c>
      <c r="AH50">
        <v>7.49253E-2</v>
      </c>
      <c r="AI50">
        <v>18.999700000000001</v>
      </c>
      <c r="AJ50">
        <v>999.9</v>
      </c>
      <c r="AK50">
        <v>999.9</v>
      </c>
      <c r="AL50">
        <v>0</v>
      </c>
      <c r="AM50">
        <v>0</v>
      </c>
      <c r="AN50">
        <v>5004</v>
      </c>
      <c r="AO50">
        <v>0</v>
      </c>
      <c r="AP50">
        <v>1.58087</v>
      </c>
      <c r="AQ50">
        <v>1.27563E-2</v>
      </c>
      <c r="AR50">
        <v>415.84300000000002</v>
      </c>
      <c r="AS50">
        <v>415.83100000000002</v>
      </c>
      <c r="AT50">
        <v>-1.42574E-3</v>
      </c>
      <c r="AU50">
        <v>409.97899999999998</v>
      </c>
      <c r="AV50">
        <v>14.072100000000001</v>
      </c>
      <c r="AW50">
        <v>1.4100999999999999</v>
      </c>
      <c r="AX50">
        <v>1.4102399999999999</v>
      </c>
      <c r="AY50">
        <v>12.0267</v>
      </c>
      <c r="AZ50">
        <v>12.0282</v>
      </c>
      <c r="BA50">
        <v>99.999799999999993</v>
      </c>
      <c r="BB50">
        <v>0.89991399999999999</v>
      </c>
      <c r="BC50">
        <v>0</v>
      </c>
      <c r="BD50">
        <v>0.10008599999999999</v>
      </c>
      <c r="BE50">
        <v>0</v>
      </c>
      <c r="BF50">
        <v>24</v>
      </c>
      <c r="BG50">
        <v>1648.83</v>
      </c>
      <c r="BH50">
        <v>1769200934</v>
      </c>
      <c r="BI50" t="s">
        <v>363</v>
      </c>
      <c r="BJ50">
        <v>1769200934</v>
      </c>
      <c r="BK50">
        <v>1769200930</v>
      </c>
      <c r="BL50">
        <v>14</v>
      </c>
      <c r="BM50">
        <v>8.9999999999999993E-3</v>
      </c>
      <c r="BN50">
        <v>-2.1000000000000001E-2</v>
      </c>
      <c r="BO50">
        <v>-0.80400000000000005</v>
      </c>
      <c r="BP50">
        <v>8.5999999999999993E-2</v>
      </c>
      <c r="BQ50">
        <v>410</v>
      </c>
      <c r="BR50">
        <v>14</v>
      </c>
      <c r="BS50">
        <v>0.16</v>
      </c>
      <c r="BT50">
        <v>0.03</v>
      </c>
      <c r="BU50">
        <v>-2.86147985E-2</v>
      </c>
      <c r="BV50">
        <v>0.266382546315789</v>
      </c>
      <c r="BW50">
        <v>2.8784361711820101E-2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1.6192637449999998E-2</v>
      </c>
      <c r="CD50">
        <v>-8.7413579052631502E-2</v>
      </c>
      <c r="CE50">
        <v>1.0099595034226199E-2</v>
      </c>
      <c r="CF50">
        <v>1</v>
      </c>
      <c r="CG50">
        <v>2</v>
      </c>
      <c r="CH50">
        <v>2</v>
      </c>
      <c r="CI50" t="s">
        <v>297</v>
      </c>
      <c r="CJ50">
        <v>3.5341200000000002</v>
      </c>
      <c r="CK50">
        <v>2.7116500000000001</v>
      </c>
      <c r="CL50">
        <v>9.8102599999999998E-2</v>
      </c>
      <c r="CM50">
        <v>9.6761299999999995E-2</v>
      </c>
      <c r="CN50">
        <v>8.1795800000000002E-2</v>
      </c>
      <c r="CO50">
        <v>8.0770900000000007E-2</v>
      </c>
      <c r="CP50">
        <v>31642.400000000001</v>
      </c>
      <c r="CQ50">
        <v>27851.4</v>
      </c>
      <c r="CR50">
        <v>32470.6</v>
      </c>
      <c r="CS50">
        <v>30760.6</v>
      </c>
      <c r="CT50">
        <v>40382.400000000001</v>
      </c>
      <c r="CU50">
        <v>39770.6</v>
      </c>
      <c r="CV50">
        <v>47425.9</v>
      </c>
      <c r="CW50">
        <v>46918.2</v>
      </c>
      <c r="CX50">
        <v>1.6874400000000001</v>
      </c>
      <c r="CY50">
        <v>1.6062799999999999</v>
      </c>
      <c r="CZ50">
        <v>0</v>
      </c>
      <c r="DA50">
        <v>0</v>
      </c>
      <c r="DB50">
        <v>999.9</v>
      </c>
      <c r="DC50">
        <v>999.9</v>
      </c>
      <c r="DD50">
        <v>45.776000000000003</v>
      </c>
      <c r="DE50">
        <v>28.661000000000001</v>
      </c>
      <c r="DF50">
        <v>18.011800000000001</v>
      </c>
      <c r="DG50">
        <v>30.469899999999999</v>
      </c>
      <c r="DH50">
        <v>16.7788</v>
      </c>
      <c r="DI50">
        <v>2</v>
      </c>
      <c r="DJ50">
        <v>-0.142343</v>
      </c>
      <c r="DK50">
        <v>1.8835299999999999</v>
      </c>
      <c r="DL50">
        <v>20.232900000000001</v>
      </c>
      <c r="DM50">
        <v>5.2431700000000001</v>
      </c>
      <c r="DN50">
        <v>12.033899999999999</v>
      </c>
      <c r="DO50">
        <v>4.9656000000000002</v>
      </c>
      <c r="DP50">
        <v>3.2897400000000001</v>
      </c>
      <c r="DQ50">
        <v>537.79999999999995</v>
      </c>
      <c r="DR50">
        <v>9999</v>
      </c>
      <c r="DS50">
        <v>9999</v>
      </c>
      <c r="DT50">
        <v>9999</v>
      </c>
      <c r="DU50">
        <v>1.8710899999999999</v>
      </c>
      <c r="DV50">
        <v>1.87609</v>
      </c>
      <c r="DW50">
        <v>1.87632</v>
      </c>
      <c r="DX50">
        <v>1.88279</v>
      </c>
      <c r="DY50">
        <v>1.87561</v>
      </c>
      <c r="DZ50">
        <v>1.8746799999999999</v>
      </c>
      <c r="EA50">
        <v>1.87083</v>
      </c>
      <c r="EB50">
        <v>1.87462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-0.80400000000000005</v>
      </c>
      <c r="EQ50">
        <v>8.5900000000000004E-2</v>
      </c>
      <c r="ER50">
        <v>-0.80430000000006896</v>
      </c>
      <c r="ES50">
        <v>0</v>
      </c>
      <c r="ET50">
        <v>0</v>
      </c>
      <c r="EU50">
        <v>0</v>
      </c>
      <c r="EV50">
        <v>8.5900000000000504E-2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0</v>
      </c>
      <c r="FE50">
        <v>0.1</v>
      </c>
      <c r="FF50">
        <v>1.24512</v>
      </c>
      <c r="FG50">
        <v>2.5976599999999999</v>
      </c>
      <c r="FH50">
        <v>2.19604</v>
      </c>
      <c r="FI50">
        <v>2.66235</v>
      </c>
      <c r="FJ50">
        <v>2.4462899999999999</v>
      </c>
      <c r="FK50">
        <v>2.3083499999999999</v>
      </c>
      <c r="FL50">
        <v>32.775799999999997</v>
      </c>
      <c r="FM50">
        <v>24.1313</v>
      </c>
      <c r="FN50">
        <v>19</v>
      </c>
      <c r="FO50">
        <v>298.86700000000002</v>
      </c>
      <c r="FP50">
        <v>278.14499999999998</v>
      </c>
      <c r="FQ50">
        <v>18.425899999999999</v>
      </c>
      <c r="FR50">
        <v>25.186699999999998</v>
      </c>
      <c r="FS50">
        <v>30.0002</v>
      </c>
      <c r="FT50">
        <v>25.2226</v>
      </c>
      <c r="FU50">
        <v>25.2254</v>
      </c>
      <c r="FV50">
        <v>24.979900000000001</v>
      </c>
      <c r="FW50">
        <v>21.785</v>
      </c>
      <c r="FX50">
        <v>2.2580499999999999</v>
      </c>
      <c r="FY50">
        <v>18.4254</v>
      </c>
      <c r="FZ50">
        <v>410</v>
      </c>
      <c r="GA50">
        <v>14.9283</v>
      </c>
      <c r="GB50">
        <v>99.928700000000006</v>
      </c>
      <c r="GC50">
        <v>99.872799999999998</v>
      </c>
    </row>
    <row r="51" spans="1:185" x14ac:dyDescent="0.2">
      <c r="A51">
        <v>36</v>
      </c>
      <c r="B51">
        <v>1769200951</v>
      </c>
      <c r="C51">
        <v>680</v>
      </c>
      <c r="D51" t="s">
        <v>366</v>
      </c>
      <c r="E51" t="s">
        <v>367</v>
      </c>
      <c r="F51">
        <v>15</v>
      </c>
      <c r="G51">
        <v>1769200942.9333301</v>
      </c>
      <c r="H51">
        <f t="shared" si="13"/>
        <v>7.3696411790050501E-4</v>
      </c>
      <c r="I51">
        <v>0</v>
      </c>
      <c r="J51">
        <f t="shared" si="12"/>
        <v>1.034490094312284E-3</v>
      </c>
      <c r="K51">
        <f t="shared" si="14"/>
        <v>2.6667680766064947E-2</v>
      </c>
      <c r="L51">
        <f t="shared" si="15"/>
        <v>68.816389288918074</v>
      </c>
      <c r="M51">
        <f t="shared" si="16"/>
        <v>1.5176745797435738</v>
      </c>
      <c r="N51">
        <f t="shared" si="17"/>
        <v>2.2053969925271479</v>
      </c>
      <c r="O51">
        <v>0</v>
      </c>
      <c r="P51">
        <v>0</v>
      </c>
      <c r="Q51">
        <f t="shared" si="18"/>
        <v>1</v>
      </c>
      <c r="R51">
        <f t="shared" si="19"/>
        <v>0</v>
      </c>
      <c r="S51">
        <f t="shared" si="20"/>
        <v>26331.355398673259</v>
      </c>
      <c r="T51">
        <f t="shared" si="21"/>
        <v>99.998186666666598</v>
      </c>
      <c r="U51">
        <f t="shared" si="22"/>
        <v>84.298730755296148</v>
      </c>
      <c r="V51">
        <f t="shared" si="23"/>
        <v>0.84300259399999999</v>
      </c>
      <c r="W51">
        <f t="shared" si="24"/>
        <v>0.15870648500000001</v>
      </c>
      <c r="X51">
        <v>1</v>
      </c>
      <c r="Y51">
        <v>1769200942.9333301</v>
      </c>
      <c r="Z51">
        <v>409.53213333333298</v>
      </c>
      <c r="AA51">
        <v>409.94253333333302</v>
      </c>
      <c r="AB51">
        <v>15.1341066666667</v>
      </c>
      <c r="AC51">
        <v>14.22728</v>
      </c>
      <c r="AD51">
        <v>410.33673333333297</v>
      </c>
      <c r="AE51">
        <v>15.048206666666699</v>
      </c>
      <c r="AF51">
        <v>800.3854</v>
      </c>
      <c r="AG51">
        <v>100.21599999999999</v>
      </c>
      <c r="AH51">
        <v>6.5741973333333301E-2</v>
      </c>
      <c r="AI51">
        <v>19.001573333333301</v>
      </c>
      <c r="AJ51">
        <v>999.9</v>
      </c>
      <c r="AK51">
        <v>999.9</v>
      </c>
      <c r="AL51">
        <v>0</v>
      </c>
      <c r="AM51">
        <v>0</v>
      </c>
      <c r="AN51">
        <v>5008.6666666666697</v>
      </c>
      <c r="AO51">
        <v>0</v>
      </c>
      <c r="AP51">
        <v>1.58087</v>
      </c>
      <c r="AQ51">
        <v>-0.4104004</v>
      </c>
      <c r="AR51">
        <v>415.82546666666701</v>
      </c>
      <c r="AS51">
        <v>415.85913333333298</v>
      </c>
      <c r="AT51">
        <v>0.90683768399999998</v>
      </c>
      <c r="AU51">
        <v>409.94253333333302</v>
      </c>
      <c r="AV51">
        <v>14.22728</v>
      </c>
      <c r="AW51">
        <v>1.5166806666666699</v>
      </c>
      <c r="AX51">
        <v>1.4258</v>
      </c>
      <c r="AY51">
        <v>13.1320866666667</v>
      </c>
      <c r="AZ51">
        <v>12.194653333333299</v>
      </c>
      <c r="BA51">
        <v>99.998186666666598</v>
      </c>
      <c r="BB51">
        <v>0.89991353333333302</v>
      </c>
      <c r="BC51">
        <v>0</v>
      </c>
      <c r="BD51">
        <v>0.100086466666667</v>
      </c>
      <c r="BE51">
        <v>0</v>
      </c>
      <c r="BF51">
        <v>24</v>
      </c>
      <c r="BG51">
        <v>1648.80666666667</v>
      </c>
      <c r="BH51">
        <v>1769200934</v>
      </c>
      <c r="BI51" t="s">
        <v>363</v>
      </c>
      <c r="BJ51">
        <v>1769200934</v>
      </c>
      <c r="BK51">
        <v>1769200930</v>
      </c>
      <c r="BL51">
        <v>14</v>
      </c>
      <c r="BM51">
        <v>8.9999999999999993E-3</v>
      </c>
      <c r="BN51">
        <v>-2.1000000000000001E-2</v>
      </c>
      <c r="BO51">
        <v>-0.80400000000000005</v>
      </c>
      <c r="BP51">
        <v>8.5999999999999993E-2</v>
      </c>
      <c r="BQ51">
        <v>410</v>
      </c>
      <c r="BR51">
        <v>14</v>
      </c>
      <c r="BS51">
        <v>0.16</v>
      </c>
      <c r="BT51">
        <v>0.03</v>
      </c>
      <c r="BU51">
        <v>-0.296957836190476</v>
      </c>
      <c r="BV51">
        <v>-2.3485342589610401</v>
      </c>
      <c r="BW51">
        <v>0.24946061399827199</v>
      </c>
      <c r="BX51">
        <v>0</v>
      </c>
      <c r="BY51">
        <v>0</v>
      </c>
      <c r="BZ51">
        <v>0</v>
      </c>
      <c r="CA51">
        <v>0</v>
      </c>
      <c r="CB51">
        <v>-1</v>
      </c>
      <c r="CC51">
        <v>0.65177170709523802</v>
      </c>
      <c r="CD51">
        <v>4.5949307614285697</v>
      </c>
      <c r="CE51">
        <v>0.49782655353920502</v>
      </c>
      <c r="CF51">
        <v>0</v>
      </c>
      <c r="CG51">
        <v>0</v>
      </c>
      <c r="CH51">
        <v>2</v>
      </c>
      <c r="CI51" t="s">
        <v>290</v>
      </c>
      <c r="CJ51">
        <v>3.5325299999999999</v>
      </c>
      <c r="CK51">
        <v>2.7016200000000001</v>
      </c>
      <c r="CL51">
        <v>9.8022300000000007E-2</v>
      </c>
      <c r="CM51">
        <v>9.6773899999999996E-2</v>
      </c>
      <c r="CN51">
        <v>8.7388300000000002E-2</v>
      </c>
      <c r="CO51">
        <v>8.1543699999999997E-2</v>
      </c>
      <c r="CP51">
        <v>31645</v>
      </c>
      <c r="CQ51">
        <v>27850.5</v>
      </c>
      <c r="CR51">
        <v>32470.3</v>
      </c>
      <c r="CS51">
        <v>30760</v>
      </c>
      <c r="CT51">
        <v>40128.199999999997</v>
      </c>
      <c r="CU51">
        <v>39735.599999999999</v>
      </c>
      <c r="CV51">
        <v>47425.4</v>
      </c>
      <c r="CW51">
        <v>46917.5</v>
      </c>
      <c r="CX51">
        <v>2.62452</v>
      </c>
      <c r="CY51">
        <v>2.1259600000000001</v>
      </c>
      <c r="CZ51">
        <v>0</v>
      </c>
      <c r="DA51">
        <v>0</v>
      </c>
      <c r="DB51">
        <v>999.9</v>
      </c>
      <c r="DC51">
        <v>999.9</v>
      </c>
      <c r="DD51">
        <v>45.750999999999998</v>
      </c>
      <c r="DE51">
        <v>28.661000000000001</v>
      </c>
      <c r="DF51">
        <v>18.003499999999999</v>
      </c>
      <c r="DG51">
        <v>30.319900000000001</v>
      </c>
      <c r="DH51">
        <v>16.450299999999999</v>
      </c>
      <c r="DI51">
        <v>2</v>
      </c>
      <c r="DJ51">
        <v>-0.14183899999999999</v>
      </c>
      <c r="DK51">
        <v>1.90049</v>
      </c>
      <c r="DL51">
        <v>20.2348</v>
      </c>
      <c r="DM51">
        <v>5.2519099999999996</v>
      </c>
      <c r="DN51">
        <v>12.033899999999999</v>
      </c>
      <c r="DO51">
        <v>4.9672000000000001</v>
      </c>
      <c r="DP51">
        <v>3.2909999999999999</v>
      </c>
      <c r="DQ51">
        <v>537.79999999999995</v>
      </c>
      <c r="DR51">
        <v>9999</v>
      </c>
      <c r="DS51">
        <v>9999</v>
      </c>
      <c r="DT51">
        <v>9999</v>
      </c>
      <c r="DU51">
        <v>1.8711199999999999</v>
      </c>
      <c r="DV51">
        <v>1.87609</v>
      </c>
      <c r="DW51">
        <v>1.8763000000000001</v>
      </c>
      <c r="DX51">
        <v>1.8827799999999999</v>
      </c>
      <c r="DY51">
        <v>1.87561</v>
      </c>
      <c r="DZ51">
        <v>1.8746799999999999</v>
      </c>
      <c r="EA51">
        <v>1.8708499999999999</v>
      </c>
      <c r="EB51">
        <v>1.87463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-0.80400000000000005</v>
      </c>
      <c r="EQ51">
        <v>8.5999999999999993E-2</v>
      </c>
      <c r="ER51">
        <v>-0.80430000000006896</v>
      </c>
      <c r="ES51">
        <v>0</v>
      </c>
      <c r="ET51">
        <v>0</v>
      </c>
      <c r="EU51">
        <v>0</v>
      </c>
      <c r="EV51">
        <v>8.5900000000000504E-2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0.3</v>
      </c>
      <c r="FE51">
        <v>0.3</v>
      </c>
      <c r="FF51">
        <v>1.24512</v>
      </c>
      <c r="FG51">
        <v>2.5976599999999999</v>
      </c>
      <c r="FH51">
        <v>2.19604</v>
      </c>
      <c r="FI51">
        <v>2.66113</v>
      </c>
      <c r="FJ51">
        <v>2.4462899999999999</v>
      </c>
      <c r="FK51">
        <v>2.31934</v>
      </c>
      <c r="FL51">
        <v>32.798000000000002</v>
      </c>
      <c r="FM51">
        <v>24.148800000000001</v>
      </c>
      <c r="FN51">
        <v>19</v>
      </c>
      <c r="FO51">
        <v>862.27800000000002</v>
      </c>
      <c r="FP51">
        <v>569.98500000000001</v>
      </c>
      <c r="FQ51">
        <v>18.423200000000001</v>
      </c>
      <c r="FR51">
        <v>25.191800000000001</v>
      </c>
      <c r="FS51">
        <v>30.0002</v>
      </c>
      <c r="FT51">
        <v>25.214099999999998</v>
      </c>
      <c r="FU51">
        <v>25.215699999999998</v>
      </c>
      <c r="FV51">
        <v>24.986799999999999</v>
      </c>
      <c r="FW51">
        <v>23.610900000000001</v>
      </c>
      <c r="FX51">
        <v>2.2580499999999999</v>
      </c>
      <c r="FY51">
        <v>18.421299999999999</v>
      </c>
      <c r="FZ51">
        <v>410</v>
      </c>
      <c r="GA51">
        <v>14.212199999999999</v>
      </c>
      <c r="GB51">
        <v>99.927599999999998</v>
      </c>
      <c r="GC51">
        <v>99.870999999999995</v>
      </c>
    </row>
    <row r="52" spans="1:185" x14ac:dyDescent="0.2">
      <c r="A52">
        <v>37</v>
      </c>
      <c r="B52">
        <v>1769200966</v>
      </c>
      <c r="C52">
        <v>695</v>
      </c>
      <c r="D52" t="s">
        <v>368</v>
      </c>
      <c r="E52" t="s">
        <v>369</v>
      </c>
      <c r="F52">
        <v>15</v>
      </c>
      <c r="G52">
        <v>1769200957.9333301</v>
      </c>
      <c r="H52">
        <f t="shared" si="13"/>
        <v>9.5835261862559757E-4</v>
      </c>
      <c r="I52">
        <v>0</v>
      </c>
      <c r="J52">
        <f t="shared" si="12"/>
        <v>-4.5296091431458653E-4</v>
      </c>
      <c r="K52">
        <f t="shared" si="14"/>
        <v>-1.1676687025675713E-2</v>
      </c>
      <c r="L52">
        <f t="shared" si="15"/>
        <v>70.146417545581457</v>
      </c>
      <c r="M52">
        <f t="shared" si="16"/>
        <v>1.5469831707586037</v>
      </c>
      <c r="N52">
        <f t="shared" si="17"/>
        <v>2.2053630461646412</v>
      </c>
      <c r="O52">
        <v>0</v>
      </c>
      <c r="P52">
        <v>0</v>
      </c>
      <c r="Q52">
        <f t="shared" si="18"/>
        <v>1</v>
      </c>
      <c r="R52">
        <f t="shared" si="19"/>
        <v>0</v>
      </c>
      <c r="S52">
        <f t="shared" si="20"/>
        <v>26217.678958119388</v>
      </c>
      <c r="T52">
        <f t="shared" si="21"/>
        <v>100.00043333333301</v>
      </c>
      <c r="U52">
        <f t="shared" si="22"/>
        <v>84.30057950092791</v>
      </c>
      <c r="V52">
        <f t="shared" si="23"/>
        <v>0.8430021419999999</v>
      </c>
      <c r="W52">
        <f t="shared" si="24"/>
        <v>0.15870535499999999</v>
      </c>
      <c r="X52">
        <v>1</v>
      </c>
      <c r="Y52">
        <v>1769200957.9333301</v>
      </c>
      <c r="Z52">
        <v>409.53506666666698</v>
      </c>
      <c r="AA52">
        <v>410.01106666666698</v>
      </c>
      <c r="AB52">
        <v>15.426693333333301</v>
      </c>
      <c r="AC52">
        <v>14.24724</v>
      </c>
      <c r="AD52">
        <v>410.33946666666702</v>
      </c>
      <c r="AE52">
        <v>15.3407933333333</v>
      </c>
      <c r="AF52">
        <v>800.004866666667</v>
      </c>
      <c r="AG52">
        <v>100.21573333333301</v>
      </c>
      <c r="AH52">
        <v>6.3901280000000005E-2</v>
      </c>
      <c r="AI52">
        <v>19.001326666666699</v>
      </c>
      <c r="AJ52">
        <v>999.9</v>
      </c>
      <c r="AK52">
        <v>999.9</v>
      </c>
      <c r="AL52">
        <v>0</v>
      </c>
      <c r="AM52">
        <v>0</v>
      </c>
      <c r="AN52">
        <v>4989.9666666666699</v>
      </c>
      <c r="AO52">
        <v>0</v>
      </c>
      <c r="AP52">
        <v>1.58087</v>
      </c>
      <c r="AQ52">
        <v>-0.47592166666666702</v>
      </c>
      <c r="AR52">
        <v>415.951866666667</v>
      </c>
      <c r="AS52">
        <v>415.936933333333</v>
      </c>
      <c r="AT52">
        <v>1.1794706666666701</v>
      </c>
      <c r="AU52">
        <v>410.01106666666698</v>
      </c>
      <c r="AV52">
        <v>14.24724</v>
      </c>
      <c r="AW52">
        <v>1.5459986666666701</v>
      </c>
      <c r="AX52">
        <v>1.4277979999999999</v>
      </c>
      <c r="AY52">
        <v>13.43084</v>
      </c>
      <c r="AZ52">
        <v>12.216100000000001</v>
      </c>
      <c r="BA52">
        <v>100.00043333333301</v>
      </c>
      <c r="BB52">
        <v>0.89992859999999997</v>
      </c>
      <c r="BC52">
        <v>0</v>
      </c>
      <c r="BD52">
        <v>0.1000714</v>
      </c>
      <c r="BE52">
        <v>0</v>
      </c>
      <c r="BF52">
        <v>24</v>
      </c>
      <c r="BG52">
        <v>1648.85</v>
      </c>
      <c r="BH52">
        <v>1769200934</v>
      </c>
      <c r="BI52" t="s">
        <v>363</v>
      </c>
      <c r="BJ52">
        <v>1769200934</v>
      </c>
      <c r="BK52">
        <v>1769200930</v>
      </c>
      <c r="BL52">
        <v>14</v>
      </c>
      <c r="BM52">
        <v>8.9999999999999993E-3</v>
      </c>
      <c r="BN52">
        <v>-2.1000000000000001E-2</v>
      </c>
      <c r="BO52">
        <v>-0.80400000000000005</v>
      </c>
      <c r="BP52">
        <v>8.5999999999999993E-2</v>
      </c>
      <c r="BQ52">
        <v>410</v>
      </c>
      <c r="BR52">
        <v>14</v>
      </c>
      <c r="BS52">
        <v>0.16</v>
      </c>
      <c r="BT52">
        <v>0.03</v>
      </c>
      <c r="BU52">
        <v>-0.50472265000000005</v>
      </c>
      <c r="BV52">
        <v>0.55669132330826898</v>
      </c>
      <c r="BW52">
        <v>7.0943056970555599E-2</v>
      </c>
      <c r="BX52">
        <v>0</v>
      </c>
      <c r="BY52">
        <v>0</v>
      </c>
      <c r="BZ52">
        <v>0</v>
      </c>
      <c r="CA52">
        <v>0</v>
      </c>
      <c r="CB52">
        <v>-1</v>
      </c>
      <c r="CC52">
        <v>1.1711549999999999</v>
      </c>
      <c r="CD52">
        <v>0.16307729323308301</v>
      </c>
      <c r="CE52">
        <v>1.7464438582445199E-2</v>
      </c>
      <c r="CF52">
        <v>0</v>
      </c>
      <c r="CG52">
        <v>0</v>
      </c>
      <c r="CH52">
        <v>2</v>
      </c>
      <c r="CI52" t="s">
        <v>290</v>
      </c>
      <c r="CJ52">
        <v>3.5324599999999999</v>
      </c>
      <c r="CK52">
        <v>2.7016100000000001</v>
      </c>
      <c r="CL52">
        <v>9.8022399999999996E-2</v>
      </c>
      <c r="CM52">
        <v>9.6763100000000005E-2</v>
      </c>
      <c r="CN52">
        <v>8.7462600000000001E-2</v>
      </c>
      <c r="CO52">
        <v>8.1522600000000001E-2</v>
      </c>
      <c r="CP52">
        <v>31645</v>
      </c>
      <c r="CQ52">
        <v>27850.799999999999</v>
      </c>
      <c r="CR52">
        <v>32470.400000000001</v>
      </c>
      <c r="CS52">
        <v>30760</v>
      </c>
      <c r="CT52">
        <v>40125.1</v>
      </c>
      <c r="CU52">
        <v>39736.6</v>
      </c>
      <c r="CV52">
        <v>47425.7</v>
      </c>
      <c r="CW52">
        <v>46917.5</v>
      </c>
      <c r="CX52">
        <v>2.6264799999999999</v>
      </c>
      <c r="CY52">
        <v>2.1267200000000002</v>
      </c>
      <c r="CZ52">
        <v>0</v>
      </c>
      <c r="DA52">
        <v>0</v>
      </c>
      <c r="DB52">
        <v>999.9</v>
      </c>
      <c r="DC52">
        <v>999.9</v>
      </c>
      <c r="DD52">
        <v>45.726999999999997</v>
      </c>
      <c r="DE52">
        <v>28.640999999999998</v>
      </c>
      <c r="DF52">
        <v>17.9724</v>
      </c>
      <c r="DG52">
        <v>30.529900000000001</v>
      </c>
      <c r="DH52">
        <v>16.554500000000001</v>
      </c>
      <c r="DI52">
        <v>2</v>
      </c>
      <c r="DJ52">
        <v>-0.14127600000000001</v>
      </c>
      <c r="DK52">
        <v>1.9055599999999999</v>
      </c>
      <c r="DL52">
        <v>20.234400000000001</v>
      </c>
      <c r="DM52">
        <v>5.2497600000000002</v>
      </c>
      <c r="DN52">
        <v>12.033899999999999</v>
      </c>
      <c r="DO52">
        <v>4.9671200000000004</v>
      </c>
      <c r="DP52">
        <v>3.2907199999999999</v>
      </c>
      <c r="DQ52">
        <v>537.79999999999995</v>
      </c>
      <c r="DR52">
        <v>9999</v>
      </c>
      <c r="DS52">
        <v>9999</v>
      </c>
      <c r="DT52">
        <v>9999</v>
      </c>
      <c r="DU52">
        <v>1.8711</v>
      </c>
      <c r="DV52">
        <v>1.8761000000000001</v>
      </c>
      <c r="DW52">
        <v>1.8763399999999999</v>
      </c>
      <c r="DX52">
        <v>1.8828</v>
      </c>
      <c r="DY52">
        <v>1.87561</v>
      </c>
      <c r="DZ52">
        <v>1.87469</v>
      </c>
      <c r="EA52">
        <v>1.8708499999999999</v>
      </c>
      <c r="EB52">
        <v>1.8746400000000001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-0.80400000000000005</v>
      </c>
      <c r="EQ52">
        <v>8.5900000000000004E-2</v>
      </c>
      <c r="ER52">
        <v>-0.80430000000006896</v>
      </c>
      <c r="ES52">
        <v>0</v>
      </c>
      <c r="ET52">
        <v>0</v>
      </c>
      <c r="EU52">
        <v>0</v>
      </c>
      <c r="EV52">
        <v>8.5900000000000504E-2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0.5</v>
      </c>
      <c r="FE52">
        <v>0.6</v>
      </c>
      <c r="FF52">
        <v>1.24512</v>
      </c>
      <c r="FG52">
        <v>2.6098599999999998</v>
      </c>
      <c r="FH52">
        <v>2.19604</v>
      </c>
      <c r="FI52">
        <v>2.66113</v>
      </c>
      <c r="FJ52">
        <v>2.4462899999999999</v>
      </c>
      <c r="FK52">
        <v>2.2534200000000002</v>
      </c>
      <c r="FL52">
        <v>32.798000000000002</v>
      </c>
      <c r="FM52">
        <v>24.148800000000001</v>
      </c>
      <c r="FN52">
        <v>19</v>
      </c>
      <c r="FO52">
        <v>864.10199999999998</v>
      </c>
      <c r="FP52">
        <v>570.58500000000004</v>
      </c>
      <c r="FQ52">
        <v>18.418199999999999</v>
      </c>
      <c r="FR52">
        <v>25.196899999999999</v>
      </c>
      <c r="FS52">
        <v>30.0001</v>
      </c>
      <c r="FT52">
        <v>25.214600000000001</v>
      </c>
      <c r="FU52">
        <v>25.2178</v>
      </c>
      <c r="FV52">
        <v>24.986599999999999</v>
      </c>
      <c r="FW52">
        <v>23.610900000000001</v>
      </c>
      <c r="FX52">
        <v>1.8861000000000001</v>
      </c>
      <c r="FY52">
        <v>18.417200000000001</v>
      </c>
      <c r="FZ52">
        <v>410</v>
      </c>
      <c r="GA52">
        <v>14.194800000000001</v>
      </c>
      <c r="GB52">
        <v>99.927999999999997</v>
      </c>
      <c r="GC52">
        <v>99.871099999999998</v>
      </c>
    </row>
    <row r="53" spans="1:185" x14ac:dyDescent="0.2">
      <c r="A53">
        <v>38</v>
      </c>
      <c r="B53">
        <v>1769200981</v>
      </c>
      <c r="C53">
        <v>710</v>
      </c>
      <c r="D53" t="s">
        <v>370</v>
      </c>
      <c r="E53" t="s">
        <v>371</v>
      </c>
      <c r="F53">
        <v>15</v>
      </c>
      <c r="G53">
        <v>1769200972.9333301</v>
      </c>
      <c r="H53">
        <f t="shared" si="13"/>
        <v>9.6913537093283803E-4</v>
      </c>
      <c r="I53">
        <v>0</v>
      </c>
      <c r="J53">
        <f t="shared" si="12"/>
        <v>5.2568290117431049E-4</v>
      </c>
      <c r="K53">
        <f t="shared" si="14"/>
        <v>1.3551356237987823E-2</v>
      </c>
      <c r="L53">
        <f t="shared" si="15"/>
        <v>70.185992197637034</v>
      </c>
      <c r="M53">
        <f t="shared" si="16"/>
        <v>1.547944156200967</v>
      </c>
      <c r="N53">
        <f t="shared" si="17"/>
        <v>2.2054887417450826</v>
      </c>
      <c r="O53">
        <v>0</v>
      </c>
      <c r="P53">
        <v>0</v>
      </c>
      <c r="Q53">
        <f t="shared" si="18"/>
        <v>1</v>
      </c>
      <c r="R53">
        <f t="shared" si="19"/>
        <v>0</v>
      </c>
      <c r="S53">
        <f t="shared" si="20"/>
        <v>26292.706637880547</v>
      </c>
      <c r="T53">
        <f t="shared" si="21"/>
        <v>100.000293333333</v>
      </c>
      <c r="U53">
        <f t="shared" si="22"/>
        <v>84.30047928068025</v>
      </c>
      <c r="V53">
        <f t="shared" si="23"/>
        <v>0.84300231999999997</v>
      </c>
      <c r="W53">
        <f t="shared" si="24"/>
        <v>0.15870579999999998</v>
      </c>
      <c r="X53">
        <v>1</v>
      </c>
      <c r="Y53">
        <v>1769200972.9333301</v>
      </c>
      <c r="Z53">
        <v>409.48939999999999</v>
      </c>
      <c r="AA53">
        <v>410.00240000000002</v>
      </c>
      <c r="AB53">
        <v>15.436453333333301</v>
      </c>
      <c r="AC53">
        <v>14.243740000000001</v>
      </c>
      <c r="AD53">
        <v>410.29379999999998</v>
      </c>
      <c r="AE53">
        <v>15.3505466666667</v>
      </c>
      <c r="AF53">
        <v>800.00393333333295</v>
      </c>
      <c r="AG53">
        <v>100.2148</v>
      </c>
      <c r="AH53">
        <v>6.3685140000000001E-2</v>
      </c>
      <c r="AI53">
        <v>19.00224</v>
      </c>
      <c r="AJ53">
        <v>999.9</v>
      </c>
      <c r="AK53">
        <v>999.9</v>
      </c>
      <c r="AL53">
        <v>0</v>
      </c>
      <c r="AM53">
        <v>0</v>
      </c>
      <c r="AN53">
        <v>5002.3666666666704</v>
      </c>
      <c r="AO53">
        <v>0</v>
      </c>
      <c r="AP53">
        <v>1.58087</v>
      </c>
      <c r="AQ53">
        <v>-0.51287233333333304</v>
      </c>
      <c r="AR53">
        <v>415.90960000000001</v>
      </c>
      <c r="AS53">
        <v>415.92660000000001</v>
      </c>
      <c r="AT53">
        <v>1.19270533333333</v>
      </c>
      <c r="AU53">
        <v>410.00240000000002</v>
      </c>
      <c r="AV53">
        <v>14.243740000000001</v>
      </c>
      <c r="AW53">
        <v>1.54696066666667</v>
      </c>
      <c r="AX53">
        <v>1.42743333333333</v>
      </c>
      <c r="AY53">
        <v>13.440393333333301</v>
      </c>
      <c r="AZ53">
        <v>12.21224</v>
      </c>
      <c r="BA53">
        <v>100.000293333333</v>
      </c>
      <c r="BB53">
        <v>0.89992266666666698</v>
      </c>
      <c r="BC53">
        <v>0</v>
      </c>
      <c r="BD53">
        <v>0.100077333333333</v>
      </c>
      <c r="BE53">
        <v>0</v>
      </c>
      <c r="BF53">
        <v>24</v>
      </c>
      <c r="BG53">
        <v>1648.8413333333301</v>
      </c>
      <c r="BH53">
        <v>1769200934</v>
      </c>
      <c r="BI53" t="s">
        <v>363</v>
      </c>
      <c r="BJ53">
        <v>1769200934</v>
      </c>
      <c r="BK53">
        <v>1769200930</v>
      </c>
      <c r="BL53">
        <v>14</v>
      </c>
      <c r="BM53">
        <v>8.9999999999999993E-3</v>
      </c>
      <c r="BN53">
        <v>-2.1000000000000001E-2</v>
      </c>
      <c r="BO53">
        <v>-0.80400000000000005</v>
      </c>
      <c r="BP53">
        <v>8.5999999999999993E-2</v>
      </c>
      <c r="BQ53">
        <v>410</v>
      </c>
      <c r="BR53">
        <v>14</v>
      </c>
      <c r="BS53">
        <v>0.16</v>
      </c>
      <c r="BT53">
        <v>0.03</v>
      </c>
      <c r="BU53">
        <v>-0.49747433333333302</v>
      </c>
      <c r="BV53">
        <v>-0.14052483116883099</v>
      </c>
      <c r="BW53">
        <v>5.0551687546918397E-2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1.1908504761904799</v>
      </c>
      <c r="CD53">
        <v>3.7406493506493797E-2</v>
      </c>
      <c r="CE53">
        <v>3.9714019069563003E-3</v>
      </c>
      <c r="CF53">
        <v>1</v>
      </c>
      <c r="CG53">
        <v>2</v>
      </c>
      <c r="CH53">
        <v>2</v>
      </c>
      <c r="CI53" t="s">
        <v>297</v>
      </c>
      <c r="CJ53">
        <v>3.5325299999999999</v>
      </c>
      <c r="CK53">
        <v>2.7016800000000001</v>
      </c>
      <c r="CL53">
        <v>9.8036899999999996E-2</v>
      </c>
      <c r="CM53">
        <v>9.6761899999999998E-2</v>
      </c>
      <c r="CN53">
        <v>8.7486800000000003E-2</v>
      </c>
      <c r="CO53">
        <v>8.14835E-2</v>
      </c>
      <c r="CP53">
        <v>31644.9</v>
      </c>
      <c r="CQ53">
        <v>27851</v>
      </c>
      <c r="CR53">
        <v>32470.799999999999</v>
      </c>
      <c r="CS53">
        <v>30760.3</v>
      </c>
      <c r="CT53">
        <v>40124.6</v>
      </c>
      <c r="CU53">
        <v>39738.6</v>
      </c>
      <c r="CV53">
        <v>47426.400000000001</v>
      </c>
      <c r="CW53">
        <v>46917.9</v>
      </c>
      <c r="CX53">
        <v>2.6272799999999998</v>
      </c>
      <c r="CY53">
        <v>2.12676</v>
      </c>
      <c r="CZ53">
        <v>0</v>
      </c>
      <c r="DA53">
        <v>0</v>
      </c>
      <c r="DB53">
        <v>999.9</v>
      </c>
      <c r="DC53">
        <v>999.9</v>
      </c>
      <c r="DD53">
        <v>45.703000000000003</v>
      </c>
      <c r="DE53">
        <v>28.661000000000001</v>
      </c>
      <c r="DF53">
        <v>17.981999999999999</v>
      </c>
      <c r="DG53">
        <v>30.319900000000001</v>
      </c>
      <c r="DH53">
        <v>16.5745</v>
      </c>
      <c r="DI53">
        <v>2</v>
      </c>
      <c r="DJ53">
        <v>-0.14110400000000001</v>
      </c>
      <c r="DK53">
        <v>1.91825</v>
      </c>
      <c r="DL53">
        <v>20.2347</v>
      </c>
      <c r="DM53">
        <v>5.2517899999999997</v>
      </c>
      <c r="DN53">
        <v>12.033899999999999</v>
      </c>
      <c r="DO53">
        <v>4.9672799999999997</v>
      </c>
      <c r="DP53">
        <v>3.2909999999999999</v>
      </c>
      <c r="DQ53">
        <v>537.79999999999995</v>
      </c>
      <c r="DR53">
        <v>9999</v>
      </c>
      <c r="DS53">
        <v>9999</v>
      </c>
      <c r="DT53">
        <v>9999</v>
      </c>
      <c r="DU53">
        <v>1.8710500000000001</v>
      </c>
      <c r="DV53">
        <v>1.87608</v>
      </c>
      <c r="DW53">
        <v>1.8762799999999999</v>
      </c>
      <c r="DX53">
        <v>1.8827799999999999</v>
      </c>
      <c r="DY53">
        <v>1.8755999999999999</v>
      </c>
      <c r="DZ53">
        <v>1.87466</v>
      </c>
      <c r="EA53">
        <v>1.8708100000000001</v>
      </c>
      <c r="EB53">
        <v>1.87463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-0.80400000000000005</v>
      </c>
      <c r="EQ53">
        <v>8.5900000000000004E-2</v>
      </c>
      <c r="ER53">
        <v>-0.80430000000006896</v>
      </c>
      <c r="ES53">
        <v>0</v>
      </c>
      <c r="ET53">
        <v>0</v>
      </c>
      <c r="EU53">
        <v>0</v>
      </c>
      <c r="EV53">
        <v>8.5900000000000504E-2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0.8</v>
      </c>
      <c r="FE53">
        <v>0.8</v>
      </c>
      <c r="FF53">
        <v>1.24512</v>
      </c>
      <c r="FG53">
        <v>2.6037599999999999</v>
      </c>
      <c r="FH53">
        <v>2.19604</v>
      </c>
      <c r="FI53">
        <v>2.66113</v>
      </c>
      <c r="FJ53">
        <v>2.4462899999999999</v>
      </c>
      <c r="FK53">
        <v>2.32422</v>
      </c>
      <c r="FL53">
        <v>32.798000000000002</v>
      </c>
      <c r="FM53">
        <v>24.148800000000001</v>
      </c>
      <c r="FN53">
        <v>19</v>
      </c>
      <c r="FO53">
        <v>864.87900000000002</v>
      </c>
      <c r="FP53">
        <v>570.63900000000001</v>
      </c>
      <c r="FQ53">
        <v>18.412700000000001</v>
      </c>
      <c r="FR53">
        <v>25.202000000000002</v>
      </c>
      <c r="FS53">
        <v>30.000299999999999</v>
      </c>
      <c r="FT53">
        <v>25.216699999999999</v>
      </c>
      <c r="FU53">
        <v>25.219899999999999</v>
      </c>
      <c r="FV53">
        <v>24.986599999999999</v>
      </c>
      <c r="FW53">
        <v>23.610900000000001</v>
      </c>
      <c r="FX53">
        <v>1.8861000000000001</v>
      </c>
      <c r="FY53">
        <v>18.410699999999999</v>
      </c>
      <c r="FZ53">
        <v>410</v>
      </c>
      <c r="GA53">
        <v>14.178599999999999</v>
      </c>
      <c r="GB53">
        <v>99.929500000000004</v>
      </c>
      <c r="GC53">
        <v>99.871899999999997</v>
      </c>
    </row>
    <row r="54" spans="1:185" x14ac:dyDescent="0.2">
      <c r="A54">
        <v>39</v>
      </c>
      <c r="B54">
        <v>1769200996</v>
      </c>
      <c r="C54">
        <v>725</v>
      </c>
      <c r="D54" t="s">
        <v>372</v>
      </c>
      <c r="E54" t="s">
        <v>373</v>
      </c>
      <c r="F54">
        <v>15</v>
      </c>
      <c r="G54">
        <v>1769200987.9333301</v>
      </c>
      <c r="H54">
        <f t="shared" si="13"/>
        <v>9.837851914925571E-4</v>
      </c>
      <c r="I54">
        <v>0</v>
      </c>
      <c r="J54">
        <f t="shared" si="12"/>
        <v>-2.7792705699225772E-5</v>
      </c>
      <c r="K54">
        <f t="shared" si="14"/>
        <v>-7.1645635592563627E-4</v>
      </c>
      <c r="L54">
        <f t="shared" si="15"/>
        <v>70.234084225532129</v>
      </c>
      <c r="M54">
        <f t="shared" si="16"/>
        <v>1.5488308399535022</v>
      </c>
      <c r="N54">
        <f t="shared" si="17"/>
        <v>2.2052410265363114</v>
      </c>
      <c r="O54">
        <v>0</v>
      </c>
      <c r="P54">
        <v>0</v>
      </c>
      <c r="Q54">
        <f t="shared" si="18"/>
        <v>1</v>
      </c>
      <c r="R54">
        <f t="shared" si="19"/>
        <v>0</v>
      </c>
      <c r="S54">
        <f t="shared" si="20"/>
        <v>26337.0493368963</v>
      </c>
      <c r="T54">
        <f t="shared" si="21"/>
        <v>100.000293333333</v>
      </c>
      <c r="U54">
        <f t="shared" si="22"/>
        <v>84.300507280762389</v>
      </c>
      <c r="V54">
        <f t="shared" si="23"/>
        <v>0.84300259999999994</v>
      </c>
      <c r="W54">
        <f t="shared" si="24"/>
        <v>0.15870650000000003</v>
      </c>
      <c r="X54">
        <v>1</v>
      </c>
      <c r="Y54">
        <v>1769200987.9333301</v>
      </c>
      <c r="Z54">
        <v>409.49340000000001</v>
      </c>
      <c r="AA54">
        <v>409.99606666666699</v>
      </c>
      <c r="AB54">
        <v>15.445259999999999</v>
      </c>
      <c r="AC54">
        <v>14.2345333333333</v>
      </c>
      <c r="AD54">
        <v>410.297666666667</v>
      </c>
      <c r="AE54">
        <v>15.359360000000001</v>
      </c>
      <c r="AF54">
        <v>800.00746666666703</v>
      </c>
      <c r="AG54">
        <v>100.21493333333299</v>
      </c>
      <c r="AH54">
        <v>6.3782593333333304E-2</v>
      </c>
      <c r="AI54">
        <v>19.000440000000001</v>
      </c>
      <c r="AJ54">
        <v>999.9</v>
      </c>
      <c r="AK54">
        <v>999.9</v>
      </c>
      <c r="AL54">
        <v>0</v>
      </c>
      <c r="AM54">
        <v>0</v>
      </c>
      <c r="AN54">
        <v>5009.6333333333296</v>
      </c>
      <c r="AO54">
        <v>0</v>
      </c>
      <c r="AP54">
        <v>1.58087</v>
      </c>
      <c r="AQ54">
        <v>-0.502693733333333</v>
      </c>
      <c r="AR54">
        <v>415.91726666666699</v>
      </c>
      <c r="AS54">
        <v>415.91640000000001</v>
      </c>
      <c r="AT54">
        <v>1.21071533333333</v>
      </c>
      <c r="AU54">
        <v>409.99606666666699</v>
      </c>
      <c r="AV54">
        <v>14.2345333333333</v>
      </c>
      <c r="AW54">
        <v>1.5478460000000001</v>
      </c>
      <c r="AX54">
        <v>1.426512</v>
      </c>
      <c r="AY54">
        <v>13.4491666666667</v>
      </c>
      <c r="AZ54">
        <v>12.202446666666701</v>
      </c>
      <c r="BA54">
        <v>100.000293333333</v>
      </c>
      <c r="BB54">
        <v>0.89991333333333301</v>
      </c>
      <c r="BC54">
        <v>0</v>
      </c>
      <c r="BD54">
        <v>0.100086666666667</v>
      </c>
      <c r="BE54">
        <v>0</v>
      </c>
      <c r="BF54">
        <v>24</v>
      </c>
      <c r="BG54">
        <v>1648.83866666667</v>
      </c>
      <c r="BH54">
        <v>1769200934</v>
      </c>
      <c r="BI54" t="s">
        <v>363</v>
      </c>
      <c r="BJ54">
        <v>1769200934</v>
      </c>
      <c r="BK54">
        <v>1769200930</v>
      </c>
      <c r="BL54">
        <v>14</v>
      </c>
      <c r="BM54">
        <v>8.9999999999999993E-3</v>
      </c>
      <c r="BN54">
        <v>-2.1000000000000001E-2</v>
      </c>
      <c r="BO54">
        <v>-0.80400000000000005</v>
      </c>
      <c r="BP54">
        <v>8.5999999999999993E-2</v>
      </c>
      <c r="BQ54">
        <v>410</v>
      </c>
      <c r="BR54">
        <v>14</v>
      </c>
      <c r="BS54">
        <v>0.16</v>
      </c>
      <c r="BT54">
        <v>0.03</v>
      </c>
      <c r="BU54">
        <v>-0.49386445000000001</v>
      </c>
      <c r="BV54">
        <v>-0.214771533834588</v>
      </c>
      <c r="BW54">
        <v>2.42648319600095E-2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1.2070215</v>
      </c>
      <c r="CD54">
        <v>8.19848120300775E-2</v>
      </c>
      <c r="CE54">
        <v>8.1662061417771999E-3</v>
      </c>
      <c r="CF54">
        <v>1</v>
      </c>
      <c r="CG54">
        <v>2</v>
      </c>
      <c r="CH54">
        <v>2</v>
      </c>
      <c r="CI54" t="s">
        <v>297</v>
      </c>
      <c r="CJ54">
        <v>3.5325799999999998</v>
      </c>
      <c r="CK54">
        <v>2.7015199999999999</v>
      </c>
      <c r="CL54">
        <v>9.8031300000000002E-2</v>
      </c>
      <c r="CM54">
        <v>9.6765699999999996E-2</v>
      </c>
      <c r="CN54">
        <v>8.7494500000000003E-2</v>
      </c>
      <c r="CO54">
        <v>8.1373000000000001E-2</v>
      </c>
      <c r="CP54">
        <v>31645.1</v>
      </c>
      <c r="CQ54">
        <v>27850.3</v>
      </c>
      <c r="CR54">
        <v>32470.799999999999</v>
      </c>
      <c r="CS54">
        <v>30759.599999999999</v>
      </c>
      <c r="CT54">
        <v>40124.300000000003</v>
      </c>
      <c r="CU54">
        <v>39742.800000000003</v>
      </c>
      <c r="CV54">
        <v>47426.400000000001</v>
      </c>
      <c r="CW54">
        <v>46917</v>
      </c>
      <c r="CX54">
        <v>2.6272199999999999</v>
      </c>
      <c r="CY54">
        <v>2.1269200000000001</v>
      </c>
      <c r="CZ54">
        <v>0</v>
      </c>
      <c r="DA54">
        <v>0</v>
      </c>
      <c r="DB54">
        <v>999.9</v>
      </c>
      <c r="DC54">
        <v>999.9</v>
      </c>
      <c r="DD54">
        <v>45.703000000000003</v>
      </c>
      <c r="DE54">
        <v>28.640999999999998</v>
      </c>
      <c r="DF54">
        <v>17.962800000000001</v>
      </c>
      <c r="DG54">
        <v>30.229900000000001</v>
      </c>
      <c r="DH54">
        <v>16.450299999999999</v>
      </c>
      <c r="DI54">
        <v>2</v>
      </c>
      <c r="DJ54">
        <v>-0.140707</v>
      </c>
      <c r="DK54">
        <v>1.91682</v>
      </c>
      <c r="DL54">
        <v>20.2348</v>
      </c>
      <c r="DM54">
        <v>5.25143</v>
      </c>
      <c r="DN54">
        <v>12.033899999999999</v>
      </c>
      <c r="DO54">
        <v>4.9671599999999998</v>
      </c>
      <c r="DP54">
        <v>3.2909999999999999</v>
      </c>
      <c r="DQ54">
        <v>537.79999999999995</v>
      </c>
      <c r="DR54">
        <v>9999</v>
      </c>
      <c r="DS54">
        <v>9999</v>
      </c>
      <c r="DT54">
        <v>9999</v>
      </c>
      <c r="DU54">
        <v>1.87104</v>
      </c>
      <c r="DV54">
        <v>1.87608</v>
      </c>
      <c r="DW54">
        <v>1.87626</v>
      </c>
      <c r="DX54">
        <v>1.8827799999999999</v>
      </c>
      <c r="DY54">
        <v>1.8755900000000001</v>
      </c>
      <c r="DZ54">
        <v>1.8746700000000001</v>
      </c>
      <c r="EA54">
        <v>1.8708199999999999</v>
      </c>
      <c r="EB54">
        <v>1.8745799999999999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-0.80400000000000005</v>
      </c>
      <c r="EQ54">
        <v>8.5900000000000004E-2</v>
      </c>
      <c r="ER54">
        <v>-0.80430000000006896</v>
      </c>
      <c r="ES54">
        <v>0</v>
      </c>
      <c r="ET54">
        <v>0</v>
      </c>
      <c r="EU54">
        <v>0</v>
      </c>
      <c r="EV54">
        <v>8.5900000000000504E-2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1</v>
      </c>
      <c r="FE54">
        <v>1.1000000000000001</v>
      </c>
      <c r="FF54">
        <v>1.24512</v>
      </c>
      <c r="FG54">
        <v>2.6000999999999999</v>
      </c>
      <c r="FH54">
        <v>2.19604</v>
      </c>
      <c r="FI54">
        <v>2.66113</v>
      </c>
      <c r="FJ54">
        <v>2.4462899999999999</v>
      </c>
      <c r="FK54">
        <v>2.32056</v>
      </c>
      <c r="FL54">
        <v>32.798000000000002</v>
      </c>
      <c r="FM54">
        <v>24.148800000000001</v>
      </c>
      <c r="FN54">
        <v>19</v>
      </c>
      <c r="FO54">
        <v>864.86500000000001</v>
      </c>
      <c r="FP54">
        <v>570.79700000000003</v>
      </c>
      <c r="FQ54">
        <v>18.409099999999999</v>
      </c>
      <c r="FR54">
        <v>25.206600000000002</v>
      </c>
      <c r="FS54">
        <v>30.0001</v>
      </c>
      <c r="FT54">
        <v>25.2193</v>
      </c>
      <c r="FU54">
        <v>25.223299999999998</v>
      </c>
      <c r="FV54">
        <v>24.985800000000001</v>
      </c>
      <c r="FW54">
        <v>23.888200000000001</v>
      </c>
      <c r="FX54">
        <v>1.8861000000000001</v>
      </c>
      <c r="FY54">
        <v>18.408999999999999</v>
      </c>
      <c r="FZ54">
        <v>410</v>
      </c>
      <c r="GA54">
        <v>14.163</v>
      </c>
      <c r="GB54">
        <v>99.929400000000001</v>
      </c>
      <c r="GC54">
        <v>99.87</v>
      </c>
    </row>
    <row r="55" spans="1:185" x14ac:dyDescent="0.2">
      <c r="A55">
        <v>40</v>
      </c>
      <c r="B55">
        <v>1769201011</v>
      </c>
      <c r="C55">
        <v>740</v>
      </c>
      <c r="D55" t="s">
        <v>374</v>
      </c>
      <c r="E55" t="s">
        <v>375</v>
      </c>
      <c r="F55">
        <v>15</v>
      </c>
      <c r="G55">
        <v>1769201002.9333301</v>
      </c>
      <c r="H55">
        <f t="shared" si="13"/>
        <v>1.0021387673209352E-3</v>
      </c>
      <c r="I55">
        <v>0</v>
      </c>
      <c r="J55">
        <f t="shared" si="12"/>
        <v>-1.4815732251497788E-4</v>
      </c>
      <c r="K55">
        <f t="shared" si="14"/>
        <v>-3.819284690793429E-3</v>
      </c>
      <c r="L55">
        <f t="shared" si="15"/>
        <v>70.16717476354755</v>
      </c>
      <c r="M55">
        <f t="shared" si="16"/>
        <v>1.5473784993600266</v>
      </c>
      <c r="N55">
        <f t="shared" si="17"/>
        <v>2.2052740538213933</v>
      </c>
      <c r="O55">
        <v>0</v>
      </c>
      <c r="P55">
        <v>0</v>
      </c>
      <c r="Q55">
        <f t="shared" si="18"/>
        <v>1</v>
      </c>
      <c r="R55">
        <f t="shared" si="19"/>
        <v>0</v>
      </c>
      <c r="S55">
        <f t="shared" si="20"/>
        <v>26227.437673336532</v>
      </c>
      <c r="T55">
        <f t="shared" si="21"/>
        <v>100.000493333333</v>
      </c>
      <c r="U55">
        <f t="shared" si="22"/>
        <v>84.300680881306974</v>
      </c>
      <c r="V55">
        <f t="shared" si="23"/>
        <v>0.84300264999999919</v>
      </c>
      <c r="W55">
        <f t="shared" si="24"/>
        <v>0.15870662499999982</v>
      </c>
      <c r="X55">
        <v>1</v>
      </c>
      <c r="Y55">
        <v>1769201002.9333301</v>
      </c>
      <c r="Z55">
        <v>409.50686666666701</v>
      </c>
      <c r="AA55">
        <v>410.015066666667</v>
      </c>
      <c r="AB55">
        <v>15.4307933333333</v>
      </c>
      <c r="AC55">
        <v>14.19746</v>
      </c>
      <c r="AD55">
        <v>410.31139999999999</v>
      </c>
      <c r="AE55">
        <v>15.3448933333333</v>
      </c>
      <c r="AF55">
        <v>800.00673333333305</v>
      </c>
      <c r="AG55">
        <v>100.21486666666701</v>
      </c>
      <c r="AH55">
        <v>6.3742859999999998E-2</v>
      </c>
      <c r="AI55">
        <v>19.000679999999999</v>
      </c>
      <c r="AJ55">
        <v>999.9</v>
      </c>
      <c r="AK55">
        <v>999.9</v>
      </c>
      <c r="AL55">
        <v>0</v>
      </c>
      <c r="AM55">
        <v>0</v>
      </c>
      <c r="AN55">
        <v>4991.6000000000004</v>
      </c>
      <c r="AO55">
        <v>0</v>
      </c>
      <c r="AP55">
        <v>1.58087</v>
      </c>
      <c r="AQ55">
        <v>-0.50818686666666701</v>
      </c>
      <c r="AR55">
        <v>415.92500000000001</v>
      </c>
      <c r="AS55">
        <v>415.92020000000002</v>
      </c>
      <c r="AT55">
        <v>1.23330733333333</v>
      </c>
      <c r="AU55">
        <v>410.015066666667</v>
      </c>
      <c r="AV55">
        <v>14.19746</v>
      </c>
      <c r="AW55">
        <v>1.5463960000000001</v>
      </c>
      <c r="AX55">
        <v>1.4227973333333299</v>
      </c>
      <c r="AY55">
        <v>13.4347733333333</v>
      </c>
      <c r="AZ55">
        <v>12.16282</v>
      </c>
      <c r="BA55">
        <v>100.000493333333</v>
      </c>
      <c r="BB55">
        <v>0.899911666666666</v>
      </c>
      <c r="BC55">
        <v>0</v>
      </c>
      <c r="BD55">
        <v>0.100088333333333</v>
      </c>
      <c r="BE55">
        <v>0</v>
      </c>
      <c r="BF55">
        <v>24</v>
      </c>
      <c r="BG55">
        <v>1648.8426666666701</v>
      </c>
      <c r="BH55">
        <v>1769200934</v>
      </c>
      <c r="BI55" t="s">
        <v>363</v>
      </c>
      <c r="BJ55">
        <v>1769200934</v>
      </c>
      <c r="BK55">
        <v>1769200930</v>
      </c>
      <c r="BL55">
        <v>14</v>
      </c>
      <c r="BM55">
        <v>8.9999999999999993E-3</v>
      </c>
      <c r="BN55">
        <v>-2.1000000000000001E-2</v>
      </c>
      <c r="BO55">
        <v>-0.80400000000000005</v>
      </c>
      <c r="BP55">
        <v>8.5999999999999993E-2</v>
      </c>
      <c r="BQ55">
        <v>410</v>
      </c>
      <c r="BR55">
        <v>14</v>
      </c>
      <c r="BS55">
        <v>0.16</v>
      </c>
      <c r="BT55">
        <v>0.03</v>
      </c>
      <c r="BU55">
        <v>-0.51074071428571399</v>
      </c>
      <c r="BV55">
        <v>-2.1708857142857401E-2</v>
      </c>
      <c r="BW55">
        <v>2.2510495611609099E-2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1.2285090476190501</v>
      </c>
      <c r="CD55">
        <v>5.2421298701300398E-2</v>
      </c>
      <c r="CE55">
        <v>9.2769940250379303E-3</v>
      </c>
      <c r="CF55">
        <v>1</v>
      </c>
      <c r="CG55">
        <v>2</v>
      </c>
      <c r="CH55">
        <v>2</v>
      </c>
      <c r="CI55" t="s">
        <v>297</v>
      </c>
      <c r="CJ55">
        <v>3.5325299999999999</v>
      </c>
      <c r="CK55">
        <v>2.7013199999999999</v>
      </c>
      <c r="CL55">
        <v>9.8024700000000006E-2</v>
      </c>
      <c r="CM55">
        <v>9.6759700000000004E-2</v>
      </c>
      <c r="CN55">
        <v>8.7404599999999999E-2</v>
      </c>
      <c r="CO55">
        <v>8.1274100000000002E-2</v>
      </c>
      <c r="CP55">
        <v>31644.5</v>
      </c>
      <c r="CQ55">
        <v>27849.5</v>
      </c>
      <c r="CR55">
        <v>32470</v>
      </c>
      <c r="CS55">
        <v>30758.6</v>
      </c>
      <c r="CT55">
        <v>40127.4</v>
      </c>
      <c r="CU55">
        <v>39745.800000000003</v>
      </c>
      <c r="CV55">
        <v>47425.3</v>
      </c>
      <c r="CW55">
        <v>46915.4</v>
      </c>
      <c r="CX55">
        <v>2.6273200000000001</v>
      </c>
      <c r="CY55">
        <v>2.1267399999999999</v>
      </c>
      <c r="CZ55">
        <v>0</v>
      </c>
      <c r="DA55">
        <v>0</v>
      </c>
      <c r="DB55">
        <v>999.9</v>
      </c>
      <c r="DC55">
        <v>999.9</v>
      </c>
      <c r="DD55">
        <v>45.654000000000003</v>
      </c>
      <c r="DE55">
        <v>28.661000000000001</v>
      </c>
      <c r="DF55">
        <v>17.965800000000002</v>
      </c>
      <c r="DG55">
        <v>30.439900000000002</v>
      </c>
      <c r="DH55">
        <v>16.462299999999999</v>
      </c>
      <c r="DI55">
        <v>2</v>
      </c>
      <c r="DJ55">
        <v>-0.140374</v>
      </c>
      <c r="DK55">
        <v>1.92208</v>
      </c>
      <c r="DL55">
        <v>20.234400000000001</v>
      </c>
      <c r="DM55">
        <v>5.2520300000000004</v>
      </c>
      <c r="DN55">
        <v>12.033899999999999</v>
      </c>
      <c r="DO55">
        <v>4.9672400000000003</v>
      </c>
      <c r="DP55">
        <v>3.2909999999999999</v>
      </c>
      <c r="DQ55">
        <v>537.79999999999995</v>
      </c>
      <c r="DR55">
        <v>9999</v>
      </c>
      <c r="DS55">
        <v>9999</v>
      </c>
      <c r="DT55">
        <v>9999</v>
      </c>
      <c r="DU55">
        <v>1.8710500000000001</v>
      </c>
      <c r="DV55">
        <v>1.87608</v>
      </c>
      <c r="DW55">
        <v>1.87625</v>
      </c>
      <c r="DX55">
        <v>1.8827799999999999</v>
      </c>
      <c r="DY55">
        <v>1.8755900000000001</v>
      </c>
      <c r="DZ55">
        <v>1.8746400000000001</v>
      </c>
      <c r="EA55">
        <v>1.87083</v>
      </c>
      <c r="EB55">
        <v>1.8745799999999999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-0.80500000000000005</v>
      </c>
      <c r="EQ55">
        <v>8.5900000000000004E-2</v>
      </c>
      <c r="ER55">
        <v>-0.80430000000006896</v>
      </c>
      <c r="ES55">
        <v>0</v>
      </c>
      <c r="ET55">
        <v>0</v>
      </c>
      <c r="EU55">
        <v>0</v>
      </c>
      <c r="EV55">
        <v>8.5900000000000504E-2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1.3</v>
      </c>
      <c r="FE55">
        <v>1.4</v>
      </c>
      <c r="FF55">
        <v>1.24512</v>
      </c>
      <c r="FG55">
        <v>2.6013199999999999</v>
      </c>
      <c r="FH55">
        <v>2.19604</v>
      </c>
      <c r="FI55">
        <v>2.66113</v>
      </c>
      <c r="FJ55">
        <v>2.4462899999999999</v>
      </c>
      <c r="FK55">
        <v>2.3071299999999999</v>
      </c>
      <c r="FL55">
        <v>32.798000000000002</v>
      </c>
      <c r="FM55">
        <v>24.148800000000001</v>
      </c>
      <c r="FN55">
        <v>19</v>
      </c>
      <c r="FO55">
        <v>865.01199999999994</v>
      </c>
      <c r="FP55">
        <v>570.69799999999998</v>
      </c>
      <c r="FQ55">
        <v>18.407699999999998</v>
      </c>
      <c r="FR55">
        <v>25.2117</v>
      </c>
      <c r="FS55">
        <v>30.000299999999999</v>
      </c>
      <c r="FT55">
        <v>25.2226</v>
      </c>
      <c r="FU55">
        <v>25.226600000000001</v>
      </c>
      <c r="FV55">
        <v>24.985499999999998</v>
      </c>
      <c r="FW55">
        <v>23.888200000000001</v>
      </c>
      <c r="FX55">
        <v>1.8861000000000001</v>
      </c>
      <c r="FY55">
        <v>18.4071</v>
      </c>
      <c r="FZ55">
        <v>410</v>
      </c>
      <c r="GA55">
        <v>14.1675</v>
      </c>
      <c r="GB55">
        <v>99.927000000000007</v>
      </c>
      <c r="GC55">
        <v>99.866500000000002</v>
      </c>
    </row>
    <row r="56" spans="1:185" x14ac:dyDescent="0.2">
      <c r="A56">
        <v>41</v>
      </c>
      <c r="B56">
        <v>1769201026</v>
      </c>
      <c r="C56">
        <v>755</v>
      </c>
      <c r="D56" t="s">
        <v>376</v>
      </c>
      <c r="E56" t="s">
        <v>377</v>
      </c>
      <c r="F56">
        <v>15</v>
      </c>
      <c r="G56">
        <v>1769201017.9333301</v>
      </c>
      <c r="H56">
        <f t="shared" si="13"/>
        <v>1.0015193070888522E-3</v>
      </c>
      <c r="I56">
        <v>0</v>
      </c>
      <c r="J56">
        <f t="shared" si="12"/>
        <v>7.138710160785463E-4</v>
      </c>
      <c r="K56">
        <f t="shared" si="14"/>
        <v>1.8402577723651222E-2</v>
      </c>
      <c r="L56">
        <f t="shared" si="15"/>
        <v>70.10903955615737</v>
      </c>
      <c r="M56">
        <f t="shared" si="16"/>
        <v>1.546234109269875</v>
      </c>
      <c r="N56">
        <f t="shared" si="17"/>
        <v>2.2054703916337934</v>
      </c>
      <c r="O56">
        <v>0</v>
      </c>
      <c r="P56">
        <v>0</v>
      </c>
      <c r="Q56">
        <f t="shared" si="18"/>
        <v>1</v>
      </c>
      <c r="R56">
        <f t="shared" si="19"/>
        <v>0</v>
      </c>
      <c r="S56">
        <f t="shared" si="20"/>
        <v>26271.312566973244</v>
      </c>
      <c r="T56">
        <f t="shared" si="21"/>
        <v>99.9994333333333</v>
      </c>
      <c r="U56">
        <f t="shared" si="22"/>
        <v>84.299778298549228</v>
      </c>
      <c r="V56">
        <f t="shared" si="23"/>
        <v>0.84300255999999918</v>
      </c>
      <c r="W56">
        <f t="shared" si="24"/>
        <v>0.15870639999999983</v>
      </c>
      <c r="X56">
        <v>1</v>
      </c>
      <c r="Y56">
        <v>1769201017.9333301</v>
      </c>
      <c r="Z56">
        <v>409.45839999999998</v>
      </c>
      <c r="AA56">
        <v>409.99400000000003</v>
      </c>
      <c r="AB56">
        <v>15.41948</v>
      </c>
      <c r="AC56">
        <v>14.1868933333333</v>
      </c>
      <c r="AD56">
        <v>410.26260000000002</v>
      </c>
      <c r="AE56">
        <v>15.33358</v>
      </c>
      <c r="AF56">
        <v>800.00573333333296</v>
      </c>
      <c r="AG56">
        <v>100.214266666667</v>
      </c>
      <c r="AH56">
        <v>6.3700506666666698E-2</v>
      </c>
      <c r="AI56">
        <v>19.002106666666698</v>
      </c>
      <c r="AJ56">
        <v>999.9</v>
      </c>
      <c r="AK56">
        <v>999.9</v>
      </c>
      <c r="AL56">
        <v>0</v>
      </c>
      <c r="AM56">
        <v>0</v>
      </c>
      <c r="AN56">
        <v>4998.8666666666704</v>
      </c>
      <c r="AO56">
        <v>0</v>
      </c>
      <c r="AP56">
        <v>1.5801926666666699</v>
      </c>
      <c r="AQ56">
        <v>-0.53558966666666696</v>
      </c>
      <c r="AR56">
        <v>415.87093333333303</v>
      </c>
      <c r="AS56">
        <v>415.89420000000001</v>
      </c>
      <c r="AT56">
        <v>1.2325806666666701</v>
      </c>
      <c r="AU56">
        <v>409.99400000000003</v>
      </c>
      <c r="AV56">
        <v>14.1868933333333</v>
      </c>
      <c r="AW56">
        <v>1.5452526666666699</v>
      </c>
      <c r="AX56">
        <v>1.421732</v>
      </c>
      <c r="AY56">
        <v>13.423446666666701</v>
      </c>
      <c r="AZ56">
        <v>12.15142</v>
      </c>
      <c r="BA56">
        <v>99.9994333333333</v>
      </c>
      <c r="BB56">
        <v>0.89991466666666597</v>
      </c>
      <c r="BC56">
        <v>0</v>
      </c>
      <c r="BD56">
        <v>0.100085333333333</v>
      </c>
      <c r="BE56">
        <v>0</v>
      </c>
      <c r="BF56">
        <v>24</v>
      </c>
      <c r="BG56">
        <v>1648.8246666666701</v>
      </c>
      <c r="BH56">
        <v>1769200934</v>
      </c>
      <c r="BI56" t="s">
        <v>363</v>
      </c>
      <c r="BJ56">
        <v>1769200934</v>
      </c>
      <c r="BK56">
        <v>1769200930</v>
      </c>
      <c r="BL56">
        <v>14</v>
      </c>
      <c r="BM56">
        <v>8.9999999999999993E-3</v>
      </c>
      <c r="BN56">
        <v>-2.1000000000000001E-2</v>
      </c>
      <c r="BO56">
        <v>-0.80400000000000005</v>
      </c>
      <c r="BP56">
        <v>8.5999999999999993E-2</v>
      </c>
      <c r="BQ56">
        <v>410</v>
      </c>
      <c r="BR56">
        <v>14</v>
      </c>
      <c r="BS56">
        <v>0.16</v>
      </c>
      <c r="BT56">
        <v>0.03</v>
      </c>
      <c r="BU56">
        <v>-0.53376464999999995</v>
      </c>
      <c r="BV56">
        <v>-0.121506000000001</v>
      </c>
      <c r="BW56">
        <v>2.26834282688376E-2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1.231749</v>
      </c>
      <c r="CD56">
        <v>2.6833082706773799E-3</v>
      </c>
      <c r="CE56">
        <v>2.6464767144261901E-3</v>
      </c>
      <c r="CF56">
        <v>1</v>
      </c>
      <c r="CG56">
        <v>2</v>
      </c>
      <c r="CH56">
        <v>2</v>
      </c>
      <c r="CI56" t="s">
        <v>297</v>
      </c>
      <c r="CJ56">
        <v>3.5325000000000002</v>
      </c>
      <c r="CK56">
        <v>2.7015699999999998</v>
      </c>
      <c r="CL56">
        <v>9.8025699999999993E-2</v>
      </c>
      <c r="CM56">
        <v>9.6761E-2</v>
      </c>
      <c r="CN56">
        <v>8.7373800000000001E-2</v>
      </c>
      <c r="CO56">
        <v>8.1240300000000001E-2</v>
      </c>
      <c r="CP56">
        <v>31643.9</v>
      </c>
      <c r="CQ56">
        <v>27849.1</v>
      </c>
      <c r="CR56">
        <v>32469.5</v>
      </c>
      <c r="CS56">
        <v>30758.2</v>
      </c>
      <c r="CT56">
        <v>40128.699999999997</v>
      </c>
      <c r="CU56">
        <v>39746.9</v>
      </c>
      <c r="CV56">
        <v>47425</v>
      </c>
      <c r="CW56">
        <v>46914.9</v>
      </c>
      <c r="CX56">
        <v>2.6271399999999998</v>
      </c>
      <c r="CY56">
        <v>2.12676</v>
      </c>
      <c r="CZ56">
        <v>0</v>
      </c>
      <c r="DA56">
        <v>0</v>
      </c>
      <c r="DB56">
        <v>999.9</v>
      </c>
      <c r="DC56">
        <v>999.9</v>
      </c>
      <c r="DD56">
        <v>45.654000000000003</v>
      </c>
      <c r="DE56">
        <v>28.661000000000001</v>
      </c>
      <c r="DF56">
        <v>17.9648</v>
      </c>
      <c r="DG56">
        <v>30.4099</v>
      </c>
      <c r="DH56">
        <v>16.566500000000001</v>
      </c>
      <c r="DI56">
        <v>2</v>
      </c>
      <c r="DJ56">
        <v>-0.13974</v>
      </c>
      <c r="DK56">
        <v>1.9490400000000001</v>
      </c>
      <c r="DL56">
        <v>20.234100000000002</v>
      </c>
      <c r="DM56">
        <v>5.25143</v>
      </c>
      <c r="DN56">
        <v>12.033899999999999</v>
      </c>
      <c r="DO56">
        <v>4.9670399999999999</v>
      </c>
      <c r="DP56">
        <v>3.2909999999999999</v>
      </c>
      <c r="DQ56">
        <v>537.79999999999995</v>
      </c>
      <c r="DR56">
        <v>9999</v>
      </c>
      <c r="DS56">
        <v>9999</v>
      </c>
      <c r="DT56">
        <v>9999</v>
      </c>
      <c r="DU56">
        <v>1.87107</v>
      </c>
      <c r="DV56">
        <v>1.8760699999999999</v>
      </c>
      <c r="DW56">
        <v>1.87626</v>
      </c>
      <c r="DX56">
        <v>1.8827799999999999</v>
      </c>
      <c r="DY56">
        <v>1.8755999999999999</v>
      </c>
      <c r="DZ56">
        <v>1.8746799999999999</v>
      </c>
      <c r="EA56">
        <v>1.8708100000000001</v>
      </c>
      <c r="EB56">
        <v>1.8745700000000001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-0.80400000000000005</v>
      </c>
      <c r="EQ56">
        <v>8.5900000000000004E-2</v>
      </c>
      <c r="ER56">
        <v>-0.80430000000006896</v>
      </c>
      <c r="ES56">
        <v>0</v>
      </c>
      <c r="ET56">
        <v>0</v>
      </c>
      <c r="EU56">
        <v>0</v>
      </c>
      <c r="EV56">
        <v>8.5900000000000504E-2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1.5</v>
      </c>
      <c r="FE56">
        <v>1.6</v>
      </c>
      <c r="FF56">
        <v>1.24512</v>
      </c>
      <c r="FG56">
        <v>2.6074199999999998</v>
      </c>
      <c r="FH56">
        <v>2.19604</v>
      </c>
      <c r="FI56">
        <v>2.66113</v>
      </c>
      <c r="FJ56">
        <v>2.4462899999999999</v>
      </c>
      <c r="FK56">
        <v>2.3022499999999999</v>
      </c>
      <c r="FL56">
        <v>32.798000000000002</v>
      </c>
      <c r="FM56">
        <v>24.148800000000001</v>
      </c>
      <c r="FN56">
        <v>19</v>
      </c>
      <c r="FO56">
        <v>864.91300000000001</v>
      </c>
      <c r="FP56">
        <v>570.76</v>
      </c>
      <c r="FQ56">
        <v>18.404</v>
      </c>
      <c r="FR56">
        <v>25.217300000000002</v>
      </c>
      <c r="FS56">
        <v>30.000299999999999</v>
      </c>
      <c r="FT56">
        <v>25.226900000000001</v>
      </c>
      <c r="FU56">
        <v>25.230899999999998</v>
      </c>
      <c r="FV56">
        <v>24.985900000000001</v>
      </c>
      <c r="FW56">
        <v>23.888200000000001</v>
      </c>
      <c r="FX56">
        <v>1.8861000000000001</v>
      </c>
      <c r="FY56">
        <v>18.401399999999999</v>
      </c>
      <c r="FZ56">
        <v>410</v>
      </c>
      <c r="GA56">
        <v>14.171799999999999</v>
      </c>
      <c r="GB56">
        <v>99.926100000000005</v>
      </c>
      <c r="GC56">
        <v>99.865399999999994</v>
      </c>
    </row>
    <row r="57" spans="1:185" x14ac:dyDescent="0.2">
      <c r="A57">
        <v>42</v>
      </c>
      <c r="B57">
        <v>1769201208</v>
      </c>
      <c r="C57">
        <v>937</v>
      </c>
      <c r="D57" t="s">
        <v>378</v>
      </c>
      <c r="E57" t="s">
        <v>379</v>
      </c>
      <c r="F57">
        <v>15</v>
      </c>
      <c r="G57">
        <v>1769201200</v>
      </c>
      <c r="H57">
        <f t="shared" si="13"/>
        <v>8.0657720047589494E-4</v>
      </c>
      <c r="I57">
        <v>0</v>
      </c>
      <c r="J57">
        <f t="shared" si="12"/>
        <v>-4.0746450885288055E-2</v>
      </c>
      <c r="K57">
        <f t="shared" si="14"/>
        <v>-1.0503854512801045</v>
      </c>
      <c r="L57">
        <f t="shared" si="15"/>
        <v>73.349163380796782</v>
      </c>
      <c r="M57">
        <f t="shared" si="16"/>
        <v>1.607993765410948</v>
      </c>
      <c r="N57">
        <f t="shared" si="17"/>
        <v>2.1922455435012225</v>
      </c>
      <c r="O57">
        <v>0</v>
      </c>
      <c r="P57">
        <v>0</v>
      </c>
      <c r="Q57">
        <f t="shared" si="18"/>
        <v>1</v>
      </c>
      <c r="R57">
        <f t="shared" si="19"/>
        <v>0</v>
      </c>
      <c r="S57">
        <f t="shared" si="20"/>
        <v>26317.801082245736</v>
      </c>
      <c r="T57">
        <f t="shared" si="21"/>
        <v>0</v>
      </c>
      <c r="U57">
        <f t="shared" si="22"/>
        <v>0</v>
      </c>
      <c r="V57">
        <f t="shared" si="23"/>
        <v>0.84314180999999999</v>
      </c>
      <c r="W57">
        <f t="shared" si="24"/>
        <v>0.159054525</v>
      </c>
      <c r="X57">
        <v>1</v>
      </c>
      <c r="Y57">
        <v>1769201200</v>
      </c>
      <c r="Z57">
        <v>411.06746666666697</v>
      </c>
      <c r="AA57">
        <v>410.16893333333297</v>
      </c>
      <c r="AB57">
        <v>16.034766666666702</v>
      </c>
      <c r="AC57">
        <v>15.0427133333333</v>
      </c>
      <c r="AD57">
        <v>411.87166666666701</v>
      </c>
      <c r="AE57">
        <v>15.948866666666699</v>
      </c>
      <c r="AF57">
        <v>800.00126666666699</v>
      </c>
      <c r="AG57">
        <v>100.21786666666701</v>
      </c>
      <c r="AH57">
        <v>6.3839880000000002E-2</v>
      </c>
      <c r="AI57">
        <v>18.905760000000001</v>
      </c>
      <c r="AJ57">
        <v>999.9</v>
      </c>
      <c r="AK57">
        <v>999.9</v>
      </c>
      <c r="AL57">
        <v>0</v>
      </c>
      <c r="AM57">
        <v>0</v>
      </c>
      <c r="AN57">
        <v>5004.9333333333298</v>
      </c>
      <c r="AO57">
        <v>0</v>
      </c>
      <c r="AP57">
        <v>1.56551533333333</v>
      </c>
      <c r="AQ57">
        <v>0.89855933333333304</v>
      </c>
      <c r="AR57">
        <v>417.76633333333302</v>
      </c>
      <c r="AS57">
        <v>416.43326666666701</v>
      </c>
      <c r="AT57">
        <v>0.99204519999999996</v>
      </c>
      <c r="AU57">
        <v>410.16893333333297</v>
      </c>
      <c r="AV57">
        <v>15.0427133333333</v>
      </c>
      <c r="AW57">
        <v>1.60697</v>
      </c>
      <c r="AX57">
        <v>1.50754866666667</v>
      </c>
      <c r="AY57">
        <v>14.025779999999999</v>
      </c>
      <c r="AZ57">
        <v>13.044093333333301</v>
      </c>
      <c r="BA57">
        <v>0</v>
      </c>
      <c r="BB57">
        <v>0.89527299999999999</v>
      </c>
      <c r="BC57">
        <v>0</v>
      </c>
      <c r="BD57">
        <v>0.104727</v>
      </c>
      <c r="BE57">
        <v>0</v>
      </c>
      <c r="BF57">
        <v>24</v>
      </c>
      <c r="BG57">
        <v>0</v>
      </c>
      <c r="BH57">
        <v>1769200934</v>
      </c>
      <c r="BI57" t="s">
        <v>363</v>
      </c>
      <c r="BJ57">
        <v>1769200934</v>
      </c>
      <c r="BK57">
        <v>1769200930</v>
      </c>
      <c r="BL57">
        <v>14</v>
      </c>
      <c r="BM57">
        <v>8.9999999999999993E-3</v>
      </c>
      <c r="BN57">
        <v>-2.1000000000000001E-2</v>
      </c>
      <c r="BO57">
        <v>-0.80400000000000005</v>
      </c>
      <c r="BP57">
        <v>8.5999999999999993E-2</v>
      </c>
      <c r="BQ57">
        <v>410</v>
      </c>
      <c r="BR57">
        <v>14</v>
      </c>
      <c r="BS57">
        <v>0.16</v>
      </c>
      <c r="BT57">
        <v>0.03</v>
      </c>
      <c r="BU57">
        <v>1.228442</v>
      </c>
      <c r="BV57">
        <v>-6.9558801203007503</v>
      </c>
      <c r="BW57">
        <v>0.68337833647577695</v>
      </c>
      <c r="BX57">
        <v>0</v>
      </c>
      <c r="BY57">
        <v>0</v>
      </c>
      <c r="BZ57">
        <v>0</v>
      </c>
      <c r="CA57">
        <v>0</v>
      </c>
      <c r="CB57">
        <v>-1</v>
      </c>
      <c r="CC57">
        <v>0.875996</v>
      </c>
      <c r="CD57">
        <v>2.5303652030075199</v>
      </c>
      <c r="CE57">
        <v>0.246083408963303</v>
      </c>
      <c r="CF57">
        <v>0</v>
      </c>
      <c r="CG57">
        <v>0</v>
      </c>
      <c r="CH57">
        <v>2</v>
      </c>
      <c r="CI57" t="s">
        <v>290</v>
      </c>
      <c r="CJ57">
        <v>3.53241</v>
      </c>
      <c r="CK57">
        <v>2.7015899999999999</v>
      </c>
      <c r="CL57">
        <v>9.8195099999999994E-2</v>
      </c>
      <c r="CM57">
        <v>9.6778100000000006E-2</v>
      </c>
      <c r="CN57">
        <v>8.9783699999999994E-2</v>
      </c>
      <c r="CO57">
        <v>8.3584500000000006E-2</v>
      </c>
      <c r="CP57">
        <v>31634.799999999999</v>
      </c>
      <c r="CQ57">
        <v>27846</v>
      </c>
      <c r="CR57">
        <v>32466.5</v>
      </c>
      <c r="CS57">
        <v>30755.599999999999</v>
      </c>
      <c r="CT57">
        <v>40015.9</v>
      </c>
      <c r="CU57">
        <v>39639.699999999997</v>
      </c>
      <c r="CV57">
        <v>47420.800000000003</v>
      </c>
      <c r="CW57">
        <v>46911.6</v>
      </c>
      <c r="CX57">
        <v>2.6259399999999999</v>
      </c>
      <c r="CY57">
        <v>2.1267999999999998</v>
      </c>
      <c r="CZ57">
        <v>0</v>
      </c>
      <c r="DA57">
        <v>0</v>
      </c>
      <c r="DB57">
        <v>999.9</v>
      </c>
      <c r="DC57">
        <v>999.9</v>
      </c>
      <c r="DD57">
        <v>45.654000000000003</v>
      </c>
      <c r="DE57">
        <v>28.661000000000001</v>
      </c>
      <c r="DF57">
        <v>17.964700000000001</v>
      </c>
      <c r="DG57">
        <v>30.1599</v>
      </c>
      <c r="DH57">
        <v>16.630600000000001</v>
      </c>
      <c r="DI57">
        <v>2</v>
      </c>
      <c r="DJ57">
        <v>-0.13461000000000001</v>
      </c>
      <c r="DK57">
        <v>1.84815</v>
      </c>
      <c r="DL57">
        <v>20.2394</v>
      </c>
      <c r="DM57">
        <v>5.2461599999999997</v>
      </c>
      <c r="DN57">
        <v>12.033899999999999</v>
      </c>
      <c r="DO57">
        <v>4.9665999999999997</v>
      </c>
      <c r="DP57">
        <v>3.2906200000000001</v>
      </c>
      <c r="DQ57">
        <v>537.79999999999995</v>
      </c>
      <c r="DR57">
        <v>9999</v>
      </c>
      <c r="DS57">
        <v>9999</v>
      </c>
      <c r="DT57">
        <v>9999</v>
      </c>
      <c r="DU57">
        <v>1.8710899999999999</v>
      </c>
      <c r="DV57">
        <v>1.8761000000000001</v>
      </c>
      <c r="DW57">
        <v>1.87635</v>
      </c>
      <c r="DX57">
        <v>1.8828</v>
      </c>
      <c r="DY57">
        <v>1.87561</v>
      </c>
      <c r="DZ57">
        <v>1.8746799999999999</v>
      </c>
      <c r="EA57">
        <v>1.8708400000000001</v>
      </c>
      <c r="EB57">
        <v>1.8746400000000001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-0.80400000000000005</v>
      </c>
      <c r="EQ57">
        <v>8.5900000000000004E-2</v>
      </c>
      <c r="ER57">
        <v>-0.80430000000006896</v>
      </c>
      <c r="ES57">
        <v>0</v>
      </c>
      <c r="ET57">
        <v>0</v>
      </c>
      <c r="EU57">
        <v>0</v>
      </c>
      <c r="EV57">
        <v>8.5900000000000504E-2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4.5999999999999996</v>
      </c>
      <c r="FE57">
        <v>4.5999999999999996</v>
      </c>
      <c r="FF57">
        <v>1.24512</v>
      </c>
      <c r="FG57">
        <v>2.6086399999999998</v>
      </c>
      <c r="FH57">
        <v>2.19604</v>
      </c>
      <c r="FI57">
        <v>2.65991</v>
      </c>
      <c r="FJ57">
        <v>2.4462899999999999</v>
      </c>
      <c r="FK57">
        <v>2.2705099999999998</v>
      </c>
      <c r="FL57">
        <v>32.798000000000002</v>
      </c>
      <c r="FM57">
        <v>24.148800000000001</v>
      </c>
      <c r="FN57">
        <v>19</v>
      </c>
      <c r="FO57">
        <v>864.72299999999996</v>
      </c>
      <c r="FP57">
        <v>571.37300000000005</v>
      </c>
      <c r="FQ57">
        <v>18.123200000000001</v>
      </c>
      <c r="FR57">
        <v>25.295000000000002</v>
      </c>
      <c r="FS57">
        <v>30.0001</v>
      </c>
      <c r="FT57">
        <v>25.284199999999998</v>
      </c>
      <c r="FU57">
        <v>25.2835</v>
      </c>
      <c r="FV57">
        <v>24.985800000000001</v>
      </c>
      <c r="FW57">
        <v>21.883099999999999</v>
      </c>
      <c r="FX57">
        <v>6.8017399999999997</v>
      </c>
      <c r="FY57">
        <v>18.206399999999999</v>
      </c>
      <c r="FZ57">
        <v>410</v>
      </c>
      <c r="GA57">
        <v>14.4856</v>
      </c>
      <c r="GB57">
        <v>99.917100000000005</v>
      </c>
      <c r="GC57">
        <v>99.857900000000001</v>
      </c>
    </row>
    <row r="58" spans="1:185" x14ac:dyDescent="0.2">
      <c r="A58">
        <v>43</v>
      </c>
      <c r="B58">
        <v>1769201223</v>
      </c>
      <c r="C58">
        <v>952</v>
      </c>
      <c r="D58" t="s">
        <v>380</v>
      </c>
      <c r="E58" t="s">
        <v>381</v>
      </c>
      <c r="F58">
        <v>15</v>
      </c>
      <c r="G58">
        <v>1769201214.9333301</v>
      </c>
      <c r="H58">
        <f t="shared" si="13"/>
        <v>1.0879471251196201E-3</v>
      </c>
      <c r="I58">
        <v>0</v>
      </c>
      <c r="J58">
        <f t="shared" si="12"/>
        <v>-1.9660147887141724E-2</v>
      </c>
      <c r="K58">
        <f t="shared" si="14"/>
        <v>-0.5068106021995924</v>
      </c>
      <c r="L58">
        <f t="shared" si="15"/>
        <v>72.786301229343195</v>
      </c>
      <c r="M58">
        <f t="shared" si="16"/>
        <v>1.5944683851539787</v>
      </c>
      <c r="N58">
        <f t="shared" si="17"/>
        <v>2.190616033819262</v>
      </c>
      <c r="O58">
        <v>0</v>
      </c>
      <c r="P58">
        <v>0</v>
      </c>
      <c r="Q58">
        <f t="shared" si="18"/>
        <v>1</v>
      </c>
      <c r="R58">
        <f t="shared" si="19"/>
        <v>0</v>
      </c>
      <c r="S58">
        <f t="shared" si="20"/>
        <v>26273.84584738695</v>
      </c>
      <c r="T58">
        <f t="shared" si="21"/>
        <v>0</v>
      </c>
      <c r="U58">
        <f t="shared" si="22"/>
        <v>0</v>
      </c>
      <c r="V58">
        <f t="shared" si="23"/>
        <v>0.84314180999999999</v>
      </c>
      <c r="W58">
        <f t="shared" si="24"/>
        <v>0.159054525</v>
      </c>
      <c r="X58">
        <v>1</v>
      </c>
      <c r="Y58">
        <v>1769201214.9333301</v>
      </c>
      <c r="Z58">
        <v>410.10300000000001</v>
      </c>
      <c r="AA58">
        <v>410.02719999999999</v>
      </c>
      <c r="AB58">
        <v>15.8995466666667</v>
      </c>
      <c r="AC58">
        <v>14.56124</v>
      </c>
      <c r="AD58">
        <v>410.907266666667</v>
      </c>
      <c r="AE58">
        <v>15.813646666666701</v>
      </c>
      <c r="AF58">
        <v>800.00293333333298</v>
      </c>
      <c r="AG58">
        <v>100.22</v>
      </c>
      <c r="AH58">
        <v>6.3889760000000004E-2</v>
      </c>
      <c r="AI58">
        <v>18.893853333333301</v>
      </c>
      <c r="AJ58">
        <v>999.9</v>
      </c>
      <c r="AK58">
        <v>999.9</v>
      </c>
      <c r="AL58">
        <v>0</v>
      </c>
      <c r="AM58">
        <v>0</v>
      </c>
      <c r="AN58">
        <v>4997.4333333333298</v>
      </c>
      <c r="AO58">
        <v>0</v>
      </c>
      <c r="AP58">
        <v>1.58087</v>
      </c>
      <c r="AQ58">
        <v>7.5691819333333299E-2</v>
      </c>
      <c r="AR58">
        <v>416.72886666666699</v>
      </c>
      <c r="AS58">
        <v>416.08620000000002</v>
      </c>
      <c r="AT58">
        <v>1.33830933333333</v>
      </c>
      <c r="AU58">
        <v>410.02719999999999</v>
      </c>
      <c r="AV58">
        <v>14.56124</v>
      </c>
      <c r="AW58">
        <v>1.5934539999999999</v>
      </c>
      <c r="AX58">
        <v>1.4593293333333299</v>
      </c>
      <c r="AY58">
        <v>13.895573333333299</v>
      </c>
      <c r="AZ58">
        <v>12.548220000000001</v>
      </c>
      <c r="BA58">
        <v>0</v>
      </c>
      <c r="BB58">
        <v>0.89527299999999999</v>
      </c>
      <c r="BC58">
        <v>0</v>
      </c>
      <c r="BD58">
        <v>0.104727</v>
      </c>
      <c r="BE58">
        <v>0</v>
      </c>
      <c r="BF58">
        <v>24</v>
      </c>
      <c r="BG58">
        <v>0</v>
      </c>
      <c r="BH58">
        <v>1769200934</v>
      </c>
      <c r="BI58" t="s">
        <v>363</v>
      </c>
      <c r="BJ58">
        <v>1769200934</v>
      </c>
      <c r="BK58">
        <v>1769200930</v>
      </c>
      <c r="BL58">
        <v>14</v>
      </c>
      <c r="BM58">
        <v>8.9999999999999993E-3</v>
      </c>
      <c r="BN58">
        <v>-2.1000000000000001E-2</v>
      </c>
      <c r="BO58">
        <v>-0.80400000000000005</v>
      </c>
      <c r="BP58">
        <v>8.5999999999999993E-2</v>
      </c>
      <c r="BQ58">
        <v>410</v>
      </c>
      <c r="BR58">
        <v>14</v>
      </c>
      <c r="BS58">
        <v>0.16</v>
      </c>
      <c r="BT58">
        <v>0.03</v>
      </c>
      <c r="BU58">
        <v>0.21403206450000001</v>
      </c>
      <c r="BV58">
        <v>-2.3979600636090201</v>
      </c>
      <c r="BW58">
        <v>0.232970751391431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1.278562</v>
      </c>
      <c r="CD58">
        <v>0.99799127819548805</v>
      </c>
      <c r="CE58">
        <v>9.9156073117081397E-2</v>
      </c>
      <c r="CF58">
        <v>0</v>
      </c>
      <c r="CG58">
        <v>0</v>
      </c>
      <c r="CH58">
        <v>2</v>
      </c>
      <c r="CI58" t="s">
        <v>290</v>
      </c>
      <c r="CJ58">
        <v>3.53254</v>
      </c>
      <c r="CK58">
        <v>2.7017699999999998</v>
      </c>
      <c r="CL58">
        <v>9.8080200000000006E-2</v>
      </c>
      <c r="CM58">
        <v>9.6756200000000001E-2</v>
      </c>
      <c r="CN58">
        <v>8.9019500000000001E-2</v>
      </c>
      <c r="CO58">
        <v>8.2122600000000004E-2</v>
      </c>
      <c r="CP58">
        <v>31637.9</v>
      </c>
      <c r="CQ58">
        <v>27846.5</v>
      </c>
      <c r="CR58">
        <v>32465.599999999999</v>
      </c>
      <c r="CS58">
        <v>30755.5</v>
      </c>
      <c r="CT58">
        <v>40049.599999999999</v>
      </c>
      <c r="CU58">
        <v>39704.400000000001</v>
      </c>
      <c r="CV58">
        <v>47419.7</v>
      </c>
      <c r="CW58">
        <v>46911.1</v>
      </c>
      <c r="CX58">
        <v>2.6262599999999998</v>
      </c>
      <c r="CY58">
        <v>2.1257799999999998</v>
      </c>
      <c r="CZ58">
        <v>0</v>
      </c>
      <c r="DA58">
        <v>0</v>
      </c>
      <c r="DB58">
        <v>999.9</v>
      </c>
      <c r="DC58">
        <v>999.9</v>
      </c>
      <c r="DD58">
        <v>45.654000000000003</v>
      </c>
      <c r="DE58">
        <v>28.661000000000001</v>
      </c>
      <c r="DF58">
        <v>17.965599999999998</v>
      </c>
      <c r="DG58">
        <v>30.399899999999999</v>
      </c>
      <c r="DH58">
        <v>16.494399999999999</v>
      </c>
      <c r="DI58">
        <v>2</v>
      </c>
      <c r="DJ58">
        <v>-0.13464599999999999</v>
      </c>
      <c r="DK58">
        <v>1.61249</v>
      </c>
      <c r="DL58">
        <v>20.242599999999999</v>
      </c>
      <c r="DM58">
        <v>5.24796</v>
      </c>
      <c r="DN58">
        <v>12.033899999999999</v>
      </c>
      <c r="DO58">
        <v>4.9667199999999996</v>
      </c>
      <c r="DP58">
        <v>3.2909999999999999</v>
      </c>
      <c r="DQ58">
        <v>537.9</v>
      </c>
      <c r="DR58">
        <v>9999</v>
      </c>
      <c r="DS58">
        <v>9999</v>
      </c>
      <c r="DT58">
        <v>9999</v>
      </c>
      <c r="DU58">
        <v>1.87104</v>
      </c>
      <c r="DV58">
        <v>1.87609</v>
      </c>
      <c r="DW58">
        <v>1.8763000000000001</v>
      </c>
      <c r="DX58">
        <v>1.88279</v>
      </c>
      <c r="DY58">
        <v>1.8755599999999999</v>
      </c>
      <c r="DZ58">
        <v>1.87463</v>
      </c>
      <c r="EA58">
        <v>1.8708</v>
      </c>
      <c r="EB58">
        <v>1.8745799999999999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-0.80500000000000005</v>
      </c>
      <c r="EQ58">
        <v>8.5900000000000004E-2</v>
      </c>
      <c r="ER58">
        <v>-0.80430000000006896</v>
      </c>
      <c r="ES58">
        <v>0</v>
      </c>
      <c r="ET58">
        <v>0</v>
      </c>
      <c r="EU58">
        <v>0</v>
      </c>
      <c r="EV58">
        <v>8.5900000000000504E-2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4.8</v>
      </c>
      <c r="FE58">
        <v>4.9000000000000004</v>
      </c>
      <c r="FF58">
        <v>1.24512</v>
      </c>
      <c r="FG58">
        <v>2.6049799999999999</v>
      </c>
      <c r="FH58">
        <v>2.19604</v>
      </c>
      <c r="FI58">
        <v>2.66113</v>
      </c>
      <c r="FJ58">
        <v>2.4462899999999999</v>
      </c>
      <c r="FK58">
        <v>2.2949199999999998</v>
      </c>
      <c r="FL58">
        <v>32.798000000000002</v>
      </c>
      <c r="FM58">
        <v>24.148800000000001</v>
      </c>
      <c r="FN58">
        <v>19</v>
      </c>
      <c r="FO58">
        <v>865.06799999999998</v>
      </c>
      <c r="FP58">
        <v>570.64499999999998</v>
      </c>
      <c r="FQ58">
        <v>18.340199999999999</v>
      </c>
      <c r="FR58">
        <v>25.301400000000001</v>
      </c>
      <c r="FS58">
        <v>30.0001</v>
      </c>
      <c r="FT58">
        <v>25.287199999999999</v>
      </c>
      <c r="FU58">
        <v>25.287700000000001</v>
      </c>
      <c r="FV58">
        <v>24.984999999999999</v>
      </c>
      <c r="FW58">
        <v>23.639700000000001</v>
      </c>
      <c r="FX58">
        <v>6.8017399999999997</v>
      </c>
      <c r="FY58">
        <v>18.429600000000001</v>
      </c>
      <c r="FZ58">
        <v>410</v>
      </c>
      <c r="GA58">
        <v>14.2234</v>
      </c>
      <c r="GB58">
        <v>99.914500000000004</v>
      </c>
      <c r="GC58">
        <v>99.857100000000003</v>
      </c>
    </row>
    <row r="59" spans="1:185" x14ac:dyDescent="0.2">
      <c r="A59">
        <v>44</v>
      </c>
      <c r="B59">
        <v>1769201238</v>
      </c>
      <c r="C59">
        <v>967</v>
      </c>
      <c r="D59" t="s">
        <v>382</v>
      </c>
      <c r="E59" t="s">
        <v>383</v>
      </c>
      <c r="F59">
        <v>15</v>
      </c>
      <c r="G59">
        <v>1769201229.9333301</v>
      </c>
      <c r="H59">
        <f t="shared" si="13"/>
        <v>1.1747984946732701E-3</v>
      </c>
      <c r="I59">
        <v>0</v>
      </c>
      <c r="J59">
        <f t="shared" si="12"/>
        <v>-9.2493757880007452E-3</v>
      </c>
      <c r="K59">
        <f t="shared" si="14"/>
        <v>-0.23843572998516757</v>
      </c>
      <c r="L59">
        <f t="shared" si="15"/>
        <v>71.944685624333147</v>
      </c>
      <c r="M59">
        <f t="shared" si="16"/>
        <v>1.5768791656037322</v>
      </c>
      <c r="N59">
        <f t="shared" si="17"/>
        <v>2.1917938092572604</v>
      </c>
      <c r="O59">
        <v>0</v>
      </c>
      <c r="P59">
        <v>0</v>
      </c>
      <c r="Q59">
        <f t="shared" si="18"/>
        <v>1</v>
      </c>
      <c r="R59">
        <f t="shared" si="19"/>
        <v>0</v>
      </c>
      <c r="S59">
        <f t="shared" si="20"/>
        <v>26305.460626903448</v>
      </c>
      <c r="T59">
        <f t="shared" si="21"/>
        <v>0</v>
      </c>
      <c r="U59">
        <f t="shared" si="22"/>
        <v>0</v>
      </c>
      <c r="V59">
        <f t="shared" si="23"/>
        <v>0.84314180999999999</v>
      </c>
      <c r="W59">
        <f t="shared" si="24"/>
        <v>0.159054525</v>
      </c>
      <c r="X59">
        <v>1</v>
      </c>
      <c r="Y59">
        <v>1769201229.9333301</v>
      </c>
      <c r="Z59">
        <v>409.70159999999998</v>
      </c>
      <c r="AA59">
        <v>410.0052</v>
      </c>
      <c r="AB59">
        <v>15.7246466666667</v>
      </c>
      <c r="AC59">
        <v>14.279246666666699</v>
      </c>
      <c r="AD59">
        <v>410.50586666666698</v>
      </c>
      <c r="AE59">
        <v>15.6387466666667</v>
      </c>
      <c r="AF59">
        <v>800.00360000000001</v>
      </c>
      <c r="AG59">
        <v>100.21680000000001</v>
      </c>
      <c r="AH59">
        <v>6.3937560000000004E-2</v>
      </c>
      <c r="AI59">
        <v>18.902460000000001</v>
      </c>
      <c r="AJ59">
        <v>999.9</v>
      </c>
      <c r="AK59">
        <v>999.9</v>
      </c>
      <c r="AL59">
        <v>0</v>
      </c>
      <c r="AM59">
        <v>0</v>
      </c>
      <c r="AN59">
        <v>5002.8999999999996</v>
      </c>
      <c r="AO59">
        <v>0</v>
      </c>
      <c r="AP59">
        <v>1.58087</v>
      </c>
      <c r="AQ59">
        <v>-0.303540066666667</v>
      </c>
      <c r="AR59">
        <v>416.24720000000002</v>
      </c>
      <c r="AS59">
        <v>415.94459999999998</v>
      </c>
      <c r="AT59">
        <v>1.4454066666666701</v>
      </c>
      <c r="AU59">
        <v>410.0052</v>
      </c>
      <c r="AV59">
        <v>14.279246666666699</v>
      </c>
      <c r="AW59">
        <v>1.5758766666666699</v>
      </c>
      <c r="AX59">
        <v>1.431022</v>
      </c>
      <c r="AY59">
        <v>13.72484</v>
      </c>
      <c r="AZ59">
        <v>12.250246666666699</v>
      </c>
      <c r="BA59">
        <v>0</v>
      </c>
      <c r="BB59">
        <v>0.89527299999999999</v>
      </c>
      <c r="BC59">
        <v>0</v>
      </c>
      <c r="BD59">
        <v>0.104727</v>
      </c>
      <c r="BE59">
        <v>0</v>
      </c>
      <c r="BF59">
        <v>24</v>
      </c>
      <c r="BG59">
        <v>0</v>
      </c>
      <c r="BH59">
        <v>1769200934</v>
      </c>
      <c r="BI59" t="s">
        <v>363</v>
      </c>
      <c r="BJ59">
        <v>1769200934</v>
      </c>
      <c r="BK59">
        <v>1769200930</v>
      </c>
      <c r="BL59">
        <v>14</v>
      </c>
      <c r="BM59">
        <v>8.9999999999999993E-3</v>
      </c>
      <c r="BN59">
        <v>-2.1000000000000001E-2</v>
      </c>
      <c r="BO59">
        <v>-0.80400000000000005</v>
      </c>
      <c r="BP59">
        <v>8.5999999999999993E-2</v>
      </c>
      <c r="BQ59">
        <v>410</v>
      </c>
      <c r="BR59">
        <v>14</v>
      </c>
      <c r="BS59">
        <v>0.16</v>
      </c>
      <c r="BT59">
        <v>0.03</v>
      </c>
      <c r="BU59">
        <v>-0.22289749571428599</v>
      </c>
      <c r="BV59">
        <v>-1.1643487566233801</v>
      </c>
      <c r="BW59">
        <v>0.124598454344233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1.42414857142857</v>
      </c>
      <c r="CD59">
        <v>0.34339870129869998</v>
      </c>
      <c r="CE59">
        <v>3.6280606952149103E-2</v>
      </c>
      <c r="CF59">
        <v>0</v>
      </c>
      <c r="CG59">
        <v>0</v>
      </c>
      <c r="CH59">
        <v>2</v>
      </c>
      <c r="CI59" t="s">
        <v>290</v>
      </c>
      <c r="CJ59">
        <v>3.5324599999999999</v>
      </c>
      <c r="CK59">
        <v>2.70153</v>
      </c>
      <c r="CL59">
        <v>9.8038299999999995E-2</v>
      </c>
      <c r="CM59">
        <v>9.6746200000000004E-2</v>
      </c>
      <c r="CN59">
        <v>8.8322100000000001E-2</v>
      </c>
      <c r="CO59">
        <v>8.1249500000000002E-2</v>
      </c>
      <c r="CP59">
        <v>31639.5</v>
      </c>
      <c r="CQ59">
        <v>27846.3</v>
      </c>
      <c r="CR59">
        <v>32465.7</v>
      </c>
      <c r="CS59">
        <v>30755</v>
      </c>
      <c r="CT59">
        <v>40081.4</v>
      </c>
      <c r="CU59">
        <v>39742.800000000003</v>
      </c>
      <c r="CV59">
        <v>47419.7</v>
      </c>
      <c r="CW59">
        <v>46910.6</v>
      </c>
      <c r="CX59">
        <v>2.6262400000000001</v>
      </c>
      <c r="CY59">
        <v>2.1252</v>
      </c>
      <c r="CZ59">
        <v>0</v>
      </c>
      <c r="DA59">
        <v>0</v>
      </c>
      <c r="DB59">
        <v>999.9</v>
      </c>
      <c r="DC59">
        <v>999.9</v>
      </c>
      <c r="DD59">
        <v>45.604999999999997</v>
      </c>
      <c r="DE59">
        <v>28.661000000000001</v>
      </c>
      <c r="DF59">
        <v>17.9468</v>
      </c>
      <c r="DG59">
        <v>29.889900000000001</v>
      </c>
      <c r="DH59">
        <v>16.610600000000002</v>
      </c>
      <c r="DI59">
        <v>2</v>
      </c>
      <c r="DJ59">
        <v>-0.13456699999999999</v>
      </c>
      <c r="DK59">
        <v>1.43546</v>
      </c>
      <c r="DL59">
        <v>20.244700000000002</v>
      </c>
      <c r="DM59">
        <v>5.2478400000000001</v>
      </c>
      <c r="DN59">
        <v>12.033899999999999</v>
      </c>
      <c r="DO59">
        <v>4.9667599999999998</v>
      </c>
      <c r="DP59">
        <v>3.2909999999999999</v>
      </c>
      <c r="DQ59">
        <v>537.9</v>
      </c>
      <c r="DR59">
        <v>9999</v>
      </c>
      <c r="DS59">
        <v>9999</v>
      </c>
      <c r="DT59">
        <v>9999</v>
      </c>
      <c r="DU59">
        <v>1.8710899999999999</v>
      </c>
      <c r="DV59">
        <v>1.87609</v>
      </c>
      <c r="DW59">
        <v>1.8763300000000001</v>
      </c>
      <c r="DX59">
        <v>1.8828</v>
      </c>
      <c r="DY59">
        <v>1.8755999999999999</v>
      </c>
      <c r="DZ59">
        <v>1.87469</v>
      </c>
      <c r="EA59">
        <v>1.8708499999999999</v>
      </c>
      <c r="EB59">
        <v>1.8745700000000001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-0.80400000000000005</v>
      </c>
      <c r="EQ59">
        <v>8.5900000000000004E-2</v>
      </c>
      <c r="ER59">
        <v>-0.80430000000006896</v>
      </c>
      <c r="ES59">
        <v>0</v>
      </c>
      <c r="ET59">
        <v>0</v>
      </c>
      <c r="EU59">
        <v>0</v>
      </c>
      <c r="EV59">
        <v>8.5900000000000504E-2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5.0999999999999996</v>
      </c>
      <c r="FE59">
        <v>5.0999999999999996</v>
      </c>
      <c r="FF59">
        <v>1.24512</v>
      </c>
      <c r="FG59">
        <v>2.6049799999999999</v>
      </c>
      <c r="FH59">
        <v>2.19604</v>
      </c>
      <c r="FI59">
        <v>2.66113</v>
      </c>
      <c r="FJ59">
        <v>2.4462899999999999</v>
      </c>
      <c r="FK59">
        <v>2.2766099999999998</v>
      </c>
      <c r="FL59">
        <v>32.798000000000002</v>
      </c>
      <c r="FM59">
        <v>24.148800000000001</v>
      </c>
      <c r="FN59">
        <v>19</v>
      </c>
      <c r="FO59">
        <v>865.13099999999997</v>
      </c>
      <c r="FP59">
        <v>570.26</v>
      </c>
      <c r="FQ59">
        <v>18.558800000000002</v>
      </c>
      <c r="FR59">
        <v>25.307300000000001</v>
      </c>
      <c r="FS59">
        <v>30.0001</v>
      </c>
      <c r="FT59">
        <v>25.292300000000001</v>
      </c>
      <c r="FU59">
        <v>25.2928</v>
      </c>
      <c r="FV59">
        <v>24.985499999999998</v>
      </c>
      <c r="FW59">
        <v>24.495000000000001</v>
      </c>
      <c r="FX59">
        <v>6.4291299999999998</v>
      </c>
      <c r="FY59">
        <v>18.631399999999999</v>
      </c>
      <c r="FZ59">
        <v>410</v>
      </c>
      <c r="GA59">
        <v>14.0684</v>
      </c>
      <c r="GB59">
        <v>99.914699999999996</v>
      </c>
      <c r="GC59">
        <v>99.855699999999999</v>
      </c>
    </row>
    <row r="60" spans="1:185" x14ac:dyDescent="0.2">
      <c r="A60">
        <v>45</v>
      </c>
      <c r="B60">
        <v>1769201253</v>
      </c>
      <c r="C60">
        <v>982</v>
      </c>
      <c r="D60" t="s">
        <v>384</v>
      </c>
      <c r="E60" t="s">
        <v>385</v>
      </c>
      <c r="F60">
        <v>15</v>
      </c>
      <c r="G60">
        <v>1769201244.9333301</v>
      </c>
      <c r="H60">
        <f t="shared" si="13"/>
        <v>1.184954305932304E-3</v>
      </c>
      <c r="I60">
        <v>0</v>
      </c>
      <c r="J60">
        <f t="shared" si="12"/>
        <v>-5.1553340155819005E-3</v>
      </c>
      <c r="K60">
        <f t="shared" si="14"/>
        <v>-0.13289716598143872</v>
      </c>
      <c r="L60">
        <f t="shared" si="15"/>
        <v>71.157540034260464</v>
      </c>
      <c r="M60">
        <f t="shared" si="16"/>
        <v>1.5625456999881961</v>
      </c>
      <c r="N60">
        <f t="shared" si="17"/>
        <v>2.1958961752132971</v>
      </c>
      <c r="O60">
        <v>0</v>
      </c>
      <c r="P60">
        <v>0</v>
      </c>
      <c r="Q60">
        <f t="shared" si="18"/>
        <v>1</v>
      </c>
      <c r="R60">
        <f t="shared" si="19"/>
        <v>0</v>
      </c>
      <c r="S60">
        <f t="shared" si="20"/>
        <v>26222.931659567996</v>
      </c>
      <c r="T60">
        <f t="shared" si="21"/>
        <v>0</v>
      </c>
      <c r="U60">
        <f t="shared" si="22"/>
        <v>0</v>
      </c>
      <c r="V60">
        <f t="shared" si="23"/>
        <v>0.84314180999999999</v>
      </c>
      <c r="W60">
        <f t="shared" si="24"/>
        <v>0.159054525</v>
      </c>
      <c r="X60">
        <v>1</v>
      </c>
      <c r="Y60">
        <v>1769201244.9333301</v>
      </c>
      <c r="Z60">
        <v>409.57313333333298</v>
      </c>
      <c r="AA60">
        <v>410.01366666666701</v>
      </c>
      <c r="AB60">
        <v>15.581720000000001</v>
      </c>
      <c r="AC60">
        <v>14.123613333333299</v>
      </c>
      <c r="AD60">
        <v>410.37766666666698</v>
      </c>
      <c r="AE60">
        <v>15.49582</v>
      </c>
      <c r="AF60">
        <v>800.00366666666696</v>
      </c>
      <c r="AG60">
        <v>100.21680000000001</v>
      </c>
      <c r="AH60">
        <v>6.3894300000000001E-2</v>
      </c>
      <c r="AI60">
        <v>18.932406666666701</v>
      </c>
      <c r="AJ60">
        <v>999.9</v>
      </c>
      <c r="AK60">
        <v>999.9</v>
      </c>
      <c r="AL60">
        <v>0</v>
      </c>
      <c r="AM60">
        <v>0</v>
      </c>
      <c r="AN60">
        <v>4989.7666666666701</v>
      </c>
      <c r="AO60">
        <v>0</v>
      </c>
      <c r="AP60">
        <v>1.58087</v>
      </c>
      <c r="AQ60">
        <v>-0.440391066666667</v>
      </c>
      <c r="AR60">
        <v>416.05619999999999</v>
      </c>
      <c r="AS60">
        <v>415.88746666666702</v>
      </c>
      <c r="AT60">
        <v>1.458102</v>
      </c>
      <c r="AU60">
        <v>410.01366666666701</v>
      </c>
      <c r="AV60">
        <v>14.123613333333299</v>
      </c>
      <c r="AW60">
        <v>1.56154866666667</v>
      </c>
      <c r="AX60">
        <v>1.4154233333333299</v>
      </c>
      <c r="AY60">
        <v>13.584479999999999</v>
      </c>
      <c r="AZ60">
        <v>12.083833333333301</v>
      </c>
      <c r="BA60">
        <v>0</v>
      </c>
      <c r="BB60">
        <v>0.89527299999999999</v>
      </c>
      <c r="BC60">
        <v>0</v>
      </c>
      <c r="BD60">
        <v>0.104727</v>
      </c>
      <c r="BE60">
        <v>0</v>
      </c>
      <c r="BF60">
        <v>24</v>
      </c>
      <c r="BG60">
        <v>0</v>
      </c>
      <c r="BH60">
        <v>1769200934</v>
      </c>
      <c r="BI60" t="s">
        <v>363</v>
      </c>
      <c r="BJ60">
        <v>1769200934</v>
      </c>
      <c r="BK60">
        <v>1769200930</v>
      </c>
      <c r="BL60">
        <v>14</v>
      </c>
      <c r="BM60">
        <v>8.9999999999999993E-3</v>
      </c>
      <c r="BN60">
        <v>-2.1000000000000001E-2</v>
      </c>
      <c r="BO60">
        <v>-0.80400000000000005</v>
      </c>
      <c r="BP60">
        <v>8.5999999999999993E-2</v>
      </c>
      <c r="BQ60">
        <v>410</v>
      </c>
      <c r="BR60">
        <v>14</v>
      </c>
      <c r="BS60">
        <v>0.16</v>
      </c>
      <c r="BT60">
        <v>0.03</v>
      </c>
      <c r="BU60">
        <v>-0.41311357142857202</v>
      </c>
      <c r="BV60">
        <v>-0.49760025974026001</v>
      </c>
      <c r="BW60">
        <v>5.2753790581540998E-2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1.4591000000000001</v>
      </c>
      <c r="CD60">
        <v>-2.89340259740259E-2</v>
      </c>
      <c r="CE60">
        <v>7.2837013092180497E-3</v>
      </c>
      <c r="CF60">
        <v>1</v>
      </c>
      <c r="CG60">
        <v>2</v>
      </c>
      <c r="CH60">
        <v>2</v>
      </c>
      <c r="CI60" t="s">
        <v>297</v>
      </c>
      <c r="CJ60">
        <v>3.53254</v>
      </c>
      <c r="CK60">
        <v>2.7018200000000001</v>
      </c>
      <c r="CL60">
        <v>9.8024700000000006E-2</v>
      </c>
      <c r="CM60">
        <v>9.6748500000000001E-2</v>
      </c>
      <c r="CN60">
        <v>8.7806200000000001E-2</v>
      </c>
      <c r="CO60">
        <v>8.0740999999999993E-2</v>
      </c>
      <c r="CP60">
        <v>31639.7</v>
      </c>
      <c r="CQ60">
        <v>27845.8</v>
      </c>
      <c r="CR60">
        <v>32465.5</v>
      </c>
      <c r="CS60">
        <v>30754.6</v>
      </c>
      <c r="CT60">
        <v>40104.5</v>
      </c>
      <c r="CU60">
        <v>39764.6</v>
      </c>
      <c r="CV60">
        <v>47419.3</v>
      </c>
      <c r="CW60">
        <v>46909.7</v>
      </c>
      <c r="CX60">
        <v>2.6261999999999999</v>
      </c>
      <c r="CY60">
        <v>2.1247799999999999</v>
      </c>
      <c r="CZ60">
        <v>0</v>
      </c>
      <c r="DA60">
        <v>0</v>
      </c>
      <c r="DB60">
        <v>999.9</v>
      </c>
      <c r="DC60">
        <v>999.9</v>
      </c>
      <c r="DD60">
        <v>45.581000000000003</v>
      </c>
      <c r="DE60">
        <v>28.661000000000001</v>
      </c>
      <c r="DF60">
        <v>17.9377</v>
      </c>
      <c r="DG60">
        <v>30.489899999999999</v>
      </c>
      <c r="DH60">
        <v>16.490400000000001</v>
      </c>
      <c r="DI60">
        <v>2</v>
      </c>
      <c r="DJ60">
        <v>-0.13400200000000001</v>
      </c>
      <c r="DK60">
        <v>1.4013599999999999</v>
      </c>
      <c r="DL60">
        <v>20.244700000000002</v>
      </c>
      <c r="DM60">
        <v>5.2477200000000002</v>
      </c>
      <c r="DN60">
        <v>12.033899999999999</v>
      </c>
      <c r="DO60">
        <v>4.9667199999999996</v>
      </c>
      <c r="DP60">
        <v>3.2909999999999999</v>
      </c>
      <c r="DQ60">
        <v>537.9</v>
      </c>
      <c r="DR60">
        <v>9999</v>
      </c>
      <c r="DS60">
        <v>9999</v>
      </c>
      <c r="DT60">
        <v>9999</v>
      </c>
      <c r="DU60">
        <v>1.8710500000000001</v>
      </c>
      <c r="DV60">
        <v>1.8761000000000001</v>
      </c>
      <c r="DW60">
        <v>1.8763000000000001</v>
      </c>
      <c r="DX60">
        <v>1.8828</v>
      </c>
      <c r="DY60">
        <v>1.8755999999999999</v>
      </c>
      <c r="DZ60">
        <v>1.87466</v>
      </c>
      <c r="EA60">
        <v>1.8708</v>
      </c>
      <c r="EB60">
        <v>1.8746100000000001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-0.80400000000000005</v>
      </c>
      <c r="EQ60">
        <v>8.5900000000000004E-2</v>
      </c>
      <c r="ER60">
        <v>-0.80430000000006896</v>
      </c>
      <c r="ES60">
        <v>0</v>
      </c>
      <c r="ET60">
        <v>0</v>
      </c>
      <c r="EU60">
        <v>0</v>
      </c>
      <c r="EV60">
        <v>8.5900000000000504E-2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5.3</v>
      </c>
      <c r="FE60">
        <v>5.4</v>
      </c>
      <c r="FF60">
        <v>1.24512</v>
      </c>
      <c r="FG60">
        <v>2.6037599999999999</v>
      </c>
      <c r="FH60">
        <v>2.19604</v>
      </c>
      <c r="FI60">
        <v>2.66113</v>
      </c>
      <c r="FJ60">
        <v>2.4462899999999999</v>
      </c>
      <c r="FK60">
        <v>2.3303199999999999</v>
      </c>
      <c r="FL60">
        <v>32.798000000000002</v>
      </c>
      <c r="FM60">
        <v>24.157499999999999</v>
      </c>
      <c r="FN60">
        <v>19</v>
      </c>
      <c r="FO60">
        <v>865.16300000000001</v>
      </c>
      <c r="FP60">
        <v>569.99699999999996</v>
      </c>
      <c r="FQ60">
        <v>18.727900000000002</v>
      </c>
      <c r="FR60">
        <v>25.312799999999999</v>
      </c>
      <c r="FS60">
        <v>30.0002</v>
      </c>
      <c r="FT60">
        <v>25.296600000000002</v>
      </c>
      <c r="FU60">
        <v>25.297799999999999</v>
      </c>
      <c r="FV60">
        <v>24.983599999999999</v>
      </c>
      <c r="FW60">
        <v>24.793299999999999</v>
      </c>
      <c r="FX60">
        <v>6.4291299999999998</v>
      </c>
      <c r="FY60">
        <v>18.7682</v>
      </c>
      <c r="FZ60">
        <v>410</v>
      </c>
      <c r="GA60">
        <v>13.9833</v>
      </c>
      <c r="GB60">
        <v>99.913899999999998</v>
      </c>
      <c r="GC60">
        <v>99.853999999999999</v>
      </c>
    </row>
    <row r="61" spans="1:185" x14ac:dyDescent="0.2">
      <c r="A61">
        <v>46</v>
      </c>
      <c r="B61">
        <v>1769201268</v>
      </c>
      <c r="C61">
        <v>997</v>
      </c>
      <c r="D61" t="s">
        <v>386</v>
      </c>
      <c r="E61" t="s">
        <v>387</v>
      </c>
      <c r="F61">
        <v>15</v>
      </c>
      <c r="G61">
        <v>1769201259.9333301</v>
      </c>
      <c r="H61">
        <f t="shared" si="13"/>
        <v>1.1789579415865097E-3</v>
      </c>
      <c r="I61">
        <v>0</v>
      </c>
      <c r="J61">
        <f t="shared" si="12"/>
        <v>-3.0998593079681102E-3</v>
      </c>
      <c r="K61">
        <f t="shared" si="14"/>
        <v>-7.99099565081519E-2</v>
      </c>
      <c r="L61">
        <f t="shared" si="15"/>
        <v>70.52128282267509</v>
      </c>
      <c r="M61">
        <f t="shared" si="16"/>
        <v>1.5519258747115867</v>
      </c>
      <c r="N61">
        <f t="shared" si="17"/>
        <v>2.2006489567325165</v>
      </c>
      <c r="O61">
        <v>0</v>
      </c>
      <c r="P61">
        <v>0</v>
      </c>
      <c r="Q61">
        <f t="shared" si="18"/>
        <v>1</v>
      </c>
      <c r="R61">
        <f t="shared" si="19"/>
        <v>0</v>
      </c>
      <c r="S61">
        <f t="shared" si="20"/>
        <v>26293.918191767949</v>
      </c>
      <c r="T61">
        <f t="shared" si="21"/>
        <v>0</v>
      </c>
      <c r="U61">
        <f t="shared" si="22"/>
        <v>0</v>
      </c>
      <c r="V61">
        <f t="shared" si="23"/>
        <v>0.84314180999999999</v>
      </c>
      <c r="W61">
        <f t="shared" si="24"/>
        <v>0.159054525</v>
      </c>
      <c r="X61">
        <v>1</v>
      </c>
      <c r="Y61">
        <v>1769201259.9333301</v>
      </c>
      <c r="Z61">
        <v>409.50819999999999</v>
      </c>
      <c r="AA61">
        <v>410.01179999999999</v>
      </c>
      <c r="AB61">
        <v>15.475813333333299</v>
      </c>
      <c r="AC61">
        <v>14.0249333333333</v>
      </c>
      <c r="AD61">
        <v>410.31233333333302</v>
      </c>
      <c r="AE61">
        <v>15.3899133333333</v>
      </c>
      <c r="AF61">
        <v>800.00593333333302</v>
      </c>
      <c r="AG61">
        <v>100.2166</v>
      </c>
      <c r="AH61">
        <v>6.4131053333333299E-2</v>
      </c>
      <c r="AI61">
        <v>18.967040000000001</v>
      </c>
      <c r="AJ61">
        <v>999.9</v>
      </c>
      <c r="AK61">
        <v>999.9</v>
      </c>
      <c r="AL61">
        <v>0</v>
      </c>
      <c r="AM61">
        <v>0</v>
      </c>
      <c r="AN61">
        <v>5001.9666666666699</v>
      </c>
      <c r="AO61">
        <v>0</v>
      </c>
      <c r="AP61">
        <v>1.58087</v>
      </c>
      <c r="AQ61">
        <v>-0.50372926666666695</v>
      </c>
      <c r="AR61">
        <v>415.94513333333299</v>
      </c>
      <c r="AS61">
        <v>415.84393333333298</v>
      </c>
      <c r="AT61">
        <v>1.4508826666666701</v>
      </c>
      <c r="AU61">
        <v>410.01179999999999</v>
      </c>
      <c r="AV61">
        <v>14.0249333333333</v>
      </c>
      <c r="AW61">
        <v>1.550934</v>
      </c>
      <c r="AX61">
        <v>1.4055313333333299</v>
      </c>
      <c r="AY61">
        <v>13.4797333333333</v>
      </c>
      <c r="AZ61">
        <v>11.977406666666701</v>
      </c>
      <c r="BA61">
        <v>0</v>
      </c>
      <c r="BB61">
        <v>0.89527299999999999</v>
      </c>
      <c r="BC61">
        <v>0</v>
      </c>
      <c r="BD61">
        <v>0.104727</v>
      </c>
      <c r="BE61">
        <v>0</v>
      </c>
      <c r="BF61">
        <v>24</v>
      </c>
      <c r="BG61">
        <v>0</v>
      </c>
      <c r="BH61">
        <v>1769200934</v>
      </c>
      <c r="BI61" t="s">
        <v>363</v>
      </c>
      <c r="BJ61">
        <v>1769200934</v>
      </c>
      <c r="BK61">
        <v>1769200930</v>
      </c>
      <c r="BL61">
        <v>14</v>
      </c>
      <c r="BM61">
        <v>8.9999999999999993E-3</v>
      </c>
      <c r="BN61">
        <v>-2.1000000000000001E-2</v>
      </c>
      <c r="BO61">
        <v>-0.80400000000000005</v>
      </c>
      <c r="BP61">
        <v>8.5999999999999993E-2</v>
      </c>
      <c r="BQ61">
        <v>410</v>
      </c>
      <c r="BR61">
        <v>14</v>
      </c>
      <c r="BS61">
        <v>0.16</v>
      </c>
      <c r="BT61">
        <v>0.03</v>
      </c>
      <c r="BU61">
        <v>-0.49161209523809501</v>
      </c>
      <c r="BV61">
        <v>-0.206804181818182</v>
      </c>
      <c r="BW61">
        <v>2.4030698214109299E-2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1.4526300000000001</v>
      </c>
      <c r="CD61">
        <v>-7.1415584415578503E-3</v>
      </c>
      <c r="CE61">
        <v>6.6089852257578702E-3</v>
      </c>
      <c r="CF61">
        <v>1</v>
      </c>
      <c r="CG61">
        <v>2</v>
      </c>
      <c r="CH61">
        <v>2</v>
      </c>
      <c r="CI61" t="s">
        <v>297</v>
      </c>
      <c r="CJ61">
        <v>3.5324599999999999</v>
      </c>
      <c r="CK61">
        <v>2.7017699999999998</v>
      </c>
      <c r="CL61">
        <v>9.8011600000000004E-2</v>
      </c>
      <c r="CM61">
        <v>9.6740999999999994E-2</v>
      </c>
      <c r="CN61">
        <v>8.73921E-2</v>
      </c>
      <c r="CO61">
        <v>8.0423499999999995E-2</v>
      </c>
      <c r="CP61">
        <v>31639.599999999999</v>
      </c>
      <c r="CQ61">
        <v>27846.1</v>
      </c>
      <c r="CR61">
        <v>32465</v>
      </c>
      <c r="CS61">
        <v>30754.6</v>
      </c>
      <c r="CT61">
        <v>40122.5</v>
      </c>
      <c r="CU61">
        <v>39778.800000000003</v>
      </c>
      <c r="CV61">
        <v>47418.400000000001</v>
      </c>
      <c r="CW61">
        <v>46909.9</v>
      </c>
      <c r="CX61">
        <v>2.6261000000000001</v>
      </c>
      <c r="CY61">
        <v>2.1246800000000001</v>
      </c>
      <c r="CZ61">
        <v>0</v>
      </c>
      <c r="DA61">
        <v>0</v>
      </c>
      <c r="DB61">
        <v>999.9</v>
      </c>
      <c r="DC61">
        <v>999.9</v>
      </c>
      <c r="DD61">
        <v>45.555999999999997</v>
      </c>
      <c r="DE61">
        <v>28.670999999999999</v>
      </c>
      <c r="DF61">
        <v>17.937200000000001</v>
      </c>
      <c r="DG61">
        <v>30.5199</v>
      </c>
      <c r="DH61">
        <v>16.494399999999999</v>
      </c>
      <c r="DI61">
        <v>2</v>
      </c>
      <c r="DJ61">
        <v>-0.133657</v>
      </c>
      <c r="DK61">
        <v>1.4476800000000001</v>
      </c>
      <c r="DL61">
        <v>20.243500000000001</v>
      </c>
      <c r="DM61">
        <v>5.24472</v>
      </c>
      <c r="DN61">
        <v>12.033899999999999</v>
      </c>
      <c r="DO61">
        <v>4.9664000000000001</v>
      </c>
      <c r="DP61">
        <v>3.2905600000000002</v>
      </c>
      <c r="DQ61">
        <v>537.9</v>
      </c>
      <c r="DR61">
        <v>9999</v>
      </c>
      <c r="DS61">
        <v>9999</v>
      </c>
      <c r="DT61">
        <v>9999</v>
      </c>
      <c r="DU61">
        <v>1.8710800000000001</v>
      </c>
      <c r="DV61">
        <v>1.87608</v>
      </c>
      <c r="DW61">
        <v>1.8763099999999999</v>
      </c>
      <c r="DX61">
        <v>1.8827799999999999</v>
      </c>
      <c r="DY61">
        <v>1.8755999999999999</v>
      </c>
      <c r="DZ61">
        <v>1.8746799999999999</v>
      </c>
      <c r="EA61">
        <v>1.8708</v>
      </c>
      <c r="EB61">
        <v>1.87459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-0.80400000000000005</v>
      </c>
      <c r="EQ61">
        <v>8.5900000000000004E-2</v>
      </c>
      <c r="ER61">
        <v>-0.80430000000006896</v>
      </c>
      <c r="ES61">
        <v>0</v>
      </c>
      <c r="ET61">
        <v>0</v>
      </c>
      <c r="EU61">
        <v>0</v>
      </c>
      <c r="EV61">
        <v>8.5900000000000504E-2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5.6</v>
      </c>
      <c r="FE61">
        <v>5.6</v>
      </c>
      <c r="FF61">
        <v>1.24512</v>
      </c>
      <c r="FG61">
        <v>2.6025399999999999</v>
      </c>
      <c r="FH61">
        <v>2.19604</v>
      </c>
      <c r="FI61">
        <v>2.66113</v>
      </c>
      <c r="FJ61">
        <v>2.4462899999999999</v>
      </c>
      <c r="FK61">
        <v>2.2997999999999998</v>
      </c>
      <c r="FL61">
        <v>32.8202</v>
      </c>
      <c r="FM61">
        <v>24.148800000000001</v>
      </c>
      <c r="FN61">
        <v>19</v>
      </c>
      <c r="FO61">
        <v>865.14599999999996</v>
      </c>
      <c r="FP61">
        <v>569.97299999999996</v>
      </c>
      <c r="FQ61">
        <v>18.823699999999999</v>
      </c>
      <c r="FR61">
        <v>25.3171</v>
      </c>
      <c r="FS61">
        <v>30.000299999999999</v>
      </c>
      <c r="FT61">
        <v>25.301200000000001</v>
      </c>
      <c r="FU61">
        <v>25.302499999999998</v>
      </c>
      <c r="FV61">
        <v>24.982800000000001</v>
      </c>
      <c r="FW61">
        <v>25.064</v>
      </c>
      <c r="FX61">
        <v>6.4291299999999998</v>
      </c>
      <c r="FY61">
        <v>18.831700000000001</v>
      </c>
      <c r="FZ61">
        <v>410</v>
      </c>
      <c r="GA61">
        <v>14.012700000000001</v>
      </c>
      <c r="GB61">
        <v>99.912199999999999</v>
      </c>
      <c r="GC61">
        <v>99.854299999999995</v>
      </c>
    </row>
    <row r="62" spans="1:185" x14ac:dyDescent="0.2">
      <c r="A62">
        <v>47</v>
      </c>
      <c r="B62">
        <v>1769201283</v>
      </c>
      <c r="C62">
        <v>1012</v>
      </c>
      <c r="D62" t="s">
        <v>388</v>
      </c>
      <c r="E62" t="s">
        <v>389</v>
      </c>
      <c r="F62">
        <v>15</v>
      </c>
      <c r="G62">
        <v>1769201274.9333301</v>
      </c>
      <c r="H62">
        <f t="shared" si="13"/>
        <v>1.1448414912746355E-3</v>
      </c>
      <c r="I62">
        <v>0</v>
      </c>
      <c r="J62">
        <f t="shared" si="12"/>
        <v>-8.898600174898567E-4</v>
      </c>
      <c r="K62">
        <f t="shared" si="14"/>
        <v>-2.2939323443865556E-2</v>
      </c>
      <c r="L62">
        <f t="shared" si="15"/>
        <v>69.996759888865284</v>
      </c>
      <c r="M62">
        <f t="shared" si="16"/>
        <v>1.5441001519579722</v>
      </c>
      <c r="N62">
        <f t="shared" si="17"/>
        <v>2.2059594678518817</v>
      </c>
      <c r="O62">
        <v>0</v>
      </c>
      <c r="P62">
        <v>0</v>
      </c>
      <c r="Q62">
        <f t="shared" si="18"/>
        <v>1</v>
      </c>
      <c r="R62">
        <f t="shared" si="19"/>
        <v>0</v>
      </c>
      <c r="S62">
        <f t="shared" si="20"/>
        <v>26251.446450602722</v>
      </c>
      <c r="T62">
        <f t="shared" si="21"/>
        <v>0</v>
      </c>
      <c r="U62">
        <f t="shared" si="22"/>
        <v>0</v>
      </c>
      <c r="V62">
        <f t="shared" si="23"/>
        <v>0.84314180999999999</v>
      </c>
      <c r="W62">
        <f t="shared" si="24"/>
        <v>0.159054525</v>
      </c>
      <c r="X62">
        <v>1</v>
      </c>
      <c r="Y62">
        <v>1769201274.9333301</v>
      </c>
      <c r="Z62">
        <v>409.45066666666702</v>
      </c>
      <c r="AA62">
        <v>410.00793333333303</v>
      </c>
      <c r="AB62">
        <v>15.397259999999999</v>
      </c>
      <c r="AC62">
        <v>13.988253333333301</v>
      </c>
      <c r="AD62">
        <v>410.255</v>
      </c>
      <c r="AE62">
        <v>15.311360000000001</v>
      </c>
      <c r="AF62">
        <v>800.00620000000004</v>
      </c>
      <c r="AG62">
        <v>100.22006666666699</v>
      </c>
      <c r="AH62">
        <v>6.4019720000000002E-2</v>
      </c>
      <c r="AI62">
        <v>19.005659999999999</v>
      </c>
      <c r="AJ62">
        <v>999.9</v>
      </c>
      <c r="AK62">
        <v>999.9</v>
      </c>
      <c r="AL62">
        <v>0</v>
      </c>
      <c r="AM62">
        <v>0</v>
      </c>
      <c r="AN62">
        <v>4995.3999999999996</v>
      </c>
      <c r="AO62">
        <v>0</v>
      </c>
      <c r="AP62">
        <v>1.58087</v>
      </c>
      <c r="AQ62">
        <v>-0.55724280000000004</v>
      </c>
      <c r="AR62">
        <v>415.85359999999997</v>
      </c>
      <c r="AS62">
        <v>415.82466666666699</v>
      </c>
      <c r="AT62">
        <v>1.4090339999999999</v>
      </c>
      <c r="AU62">
        <v>410.00793333333303</v>
      </c>
      <c r="AV62">
        <v>13.988253333333301</v>
      </c>
      <c r="AW62">
        <v>1.5431159999999999</v>
      </c>
      <c r="AX62">
        <v>1.4019026666666701</v>
      </c>
      <c r="AY62">
        <v>13.4022066666667</v>
      </c>
      <c r="AZ62">
        <v>11.938226666666701</v>
      </c>
      <c r="BA62">
        <v>0</v>
      </c>
      <c r="BB62">
        <v>0.89527299999999999</v>
      </c>
      <c r="BC62">
        <v>0</v>
      </c>
      <c r="BD62">
        <v>0.104727</v>
      </c>
      <c r="BE62">
        <v>0</v>
      </c>
      <c r="BF62">
        <v>24</v>
      </c>
      <c r="BG62">
        <v>0</v>
      </c>
      <c r="BH62">
        <v>1769200934</v>
      </c>
      <c r="BI62" t="s">
        <v>363</v>
      </c>
      <c r="BJ62">
        <v>1769200934</v>
      </c>
      <c r="BK62">
        <v>1769200930</v>
      </c>
      <c r="BL62">
        <v>14</v>
      </c>
      <c r="BM62">
        <v>8.9999999999999993E-3</v>
      </c>
      <c r="BN62">
        <v>-2.1000000000000001E-2</v>
      </c>
      <c r="BO62">
        <v>-0.80400000000000005</v>
      </c>
      <c r="BP62">
        <v>8.5999999999999993E-2</v>
      </c>
      <c r="BQ62">
        <v>410</v>
      </c>
      <c r="BR62">
        <v>14</v>
      </c>
      <c r="BS62">
        <v>0.16</v>
      </c>
      <c r="BT62">
        <v>0.03</v>
      </c>
      <c r="BU62">
        <v>-0.54522119047619</v>
      </c>
      <c r="BV62">
        <v>-0.29333283116883102</v>
      </c>
      <c r="BW62">
        <v>3.5784153707124997E-2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1.4199876190476199</v>
      </c>
      <c r="CD62">
        <v>-0.21281999999999701</v>
      </c>
      <c r="CE62">
        <v>2.1657765769824699E-2</v>
      </c>
      <c r="CF62">
        <v>0</v>
      </c>
      <c r="CG62">
        <v>1</v>
      </c>
      <c r="CH62">
        <v>2</v>
      </c>
      <c r="CI62" t="s">
        <v>302</v>
      </c>
      <c r="CJ62">
        <v>3.5325000000000002</v>
      </c>
      <c r="CK62">
        <v>2.70187</v>
      </c>
      <c r="CL62">
        <v>9.8004999999999995E-2</v>
      </c>
      <c r="CM62">
        <v>9.6749100000000005E-2</v>
      </c>
      <c r="CN62">
        <v>8.7165800000000002E-2</v>
      </c>
      <c r="CO62">
        <v>8.0382200000000001E-2</v>
      </c>
      <c r="CP62">
        <v>31639.7</v>
      </c>
      <c r="CQ62">
        <v>27845</v>
      </c>
      <c r="CR62">
        <v>32464.799999999999</v>
      </c>
      <c r="CS62">
        <v>30753.7</v>
      </c>
      <c r="CT62">
        <v>40132.6</v>
      </c>
      <c r="CU62">
        <v>39779.599999999999</v>
      </c>
      <c r="CV62">
        <v>47418.1</v>
      </c>
      <c r="CW62">
        <v>46908.6</v>
      </c>
      <c r="CX62">
        <v>2.6259600000000001</v>
      </c>
      <c r="CY62">
        <v>2.1242999999999999</v>
      </c>
      <c r="CZ62">
        <v>0</v>
      </c>
      <c r="DA62">
        <v>0</v>
      </c>
      <c r="DB62">
        <v>999.9</v>
      </c>
      <c r="DC62">
        <v>999.9</v>
      </c>
      <c r="DD62">
        <v>45.555999999999997</v>
      </c>
      <c r="DE62">
        <v>28.661000000000001</v>
      </c>
      <c r="DF62">
        <v>17.926600000000001</v>
      </c>
      <c r="DG62">
        <v>30.5199</v>
      </c>
      <c r="DH62">
        <v>16.590499999999999</v>
      </c>
      <c r="DI62">
        <v>2</v>
      </c>
      <c r="DJ62">
        <v>-0.12867700000000001</v>
      </c>
      <c r="DK62">
        <v>3.3944200000000002</v>
      </c>
      <c r="DL62">
        <v>20.207999999999998</v>
      </c>
      <c r="DM62">
        <v>5.2480799999999999</v>
      </c>
      <c r="DN62">
        <v>12.033899999999999</v>
      </c>
      <c r="DO62">
        <v>4.9667199999999996</v>
      </c>
      <c r="DP62">
        <v>3.2909999999999999</v>
      </c>
      <c r="DQ62">
        <v>537.9</v>
      </c>
      <c r="DR62">
        <v>9999</v>
      </c>
      <c r="DS62">
        <v>9999</v>
      </c>
      <c r="DT62">
        <v>9999</v>
      </c>
      <c r="DU62">
        <v>1.87107</v>
      </c>
      <c r="DV62">
        <v>1.8761099999999999</v>
      </c>
      <c r="DW62">
        <v>1.87632</v>
      </c>
      <c r="DX62">
        <v>1.8827799999999999</v>
      </c>
      <c r="DY62">
        <v>1.8755999999999999</v>
      </c>
      <c r="DZ62">
        <v>1.8746799999999999</v>
      </c>
      <c r="EA62">
        <v>1.8708100000000001</v>
      </c>
      <c r="EB62">
        <v>1.8746100000000001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-0.80400000000000005</v>
      </c>
      <c r="EQ62">
        <v>8.5900000000000004E-2</v>
      </c>
      <c r="ER62">
        <v>-0.80430000000006896</v>
      </c>
      <c r="ES62">
        <v>0</v>
      </c>
      <c r="ET62">
        <v>0</v>
      </c>
      <c r="EU62">
        <v>0</v>
      </c>
      <c r="EV62">
        <v>8.5900000000000504E-2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5.8</v>
      </c>
      <c r="FE62">
        <v>5.9</v>
      </c>
      <c r="FF62">
        <v>1.24512</v>
      </c>
      <c r="FG62">
        <v>2.6049799999999999</v>
      </c>
      <c r="FH62">
        <v>2.19604</v>
      </c>
      <c r="FI62">
        <v>2.66113</v>
      </c>
      <c r="FJ62">
        <v>2.4462899999999999</v>
      </c>
      <c r="FK62">
        <v>2.3107899999999999</v>
      </c>
      <c r="FL62">
        <v>32.8202</v>
      </c>
      <c r="FM62">
        <v>24.148800000000001</v>
      </c>
      <c r="FN62">
        <v>19</v>
      </c>
      <c r="FO62">
        <v>865.09100000000001</v>
      </c>
      <c r="FP62">
        <v>569.745</v>
      </c>
      <c r="FQ62">
        <v>18.614000000000001</v>
      </c>
      <c r="FR62">
        <v>25.321400000000001</v>
      </c>
      <c r="FS62">
        <v>30.0032</v>
      </c>
      <c r="FT62">
        <v>25.305900000000001</v>
      </c>
      <c r="FU62">
        <v>25.308</v>
      </c>
      <c r="FV62">
        <v>24.981300000000001</v>
      </c>
      <c r="FW62">
        <v>25.064</v>
      </c>
      <c r="FX62">
        <v>6.4291299999999998</v>
      </c>
      <c r="FY62">
        <v>18.360700000000001</v>
      </c>
      <c r="FZ62">
        <v>410</v>
      </c>
      <c r="GA62">
        <v>14.0207</v>
      </c>
      <c r="GB62">
        <v>99.911600000000007</v>
      </c>
      <c r="GC62">
        <v>99.851500000000001</v>
      </c>
    </row>
    <row r="63" spans="1:185" x14ac:dyDescent="0.2">
      <c r="A63">
        <v>48</v>
      </c>
      <c r="B63">
        <v>1769201298</v>
      </c>
      <c r="C63">
        <v>1027</v>
      </c>
      <c r="D63" t="s">
        <v>390</v>
      </c>
      <c r="E63" t="s">
        <v>391</v>
      </c>
      <c r="F63">
        <v>15</v>
      </c>
      <c r="G63">
        <v>1769201289.9333301</v>
      </c>
      <c r="H63">
        <f t="shared" si="13"/>
        <v>1.1129820841406153E-3</v>
      </c>
      <c r="I63">
        <v>0</v>
      </c>
      <c r="J63">
        <f t="shared" si="12"/>
        <v>-1.0672607623889059E-3</v>
      </c>
      <c r="K63">
        <f t="shared" si="14"/>
        <v>-2.7512461899845641E-2</v>
      </c>
      <c r="L63">
        <f t="shared" si="15"/>
        <v>69.710361456575924</v>
      </c>
      <c r="M63">
        <f t="shared" si="16"/>
        <v>1.5384323930119577</v>
      </c>
      <c r="N63">
        <f t="shared" si="17"/>
        <v>2.2068920040965216</v>
      </c>
      <c r="O63">
        <v>0</v>
      </c>
      <c r="P63">
        <v>0</v>
      </c>
      <c r="Q63">
        <f t="shared" si="18"/>
        <v>1</v>
      </c>
      <c r="R63">
        <f t="shared" si="19"/>
        <v>0</v>
      </c>
      <c r="S63">
        <f t="shared" si="20"/>
        <v>26342.828350128741</v>
      </c>
      <c r="T63">
        <f t="shared" si="21"/>
        <v>0</v>
      </c>
      <c r="U63">
        <f t="shared" si="22"/>
        <v>0</v>
      </c>
      <c r="V63">
        <f t="shared" si="23"/>
        <v>0.84314180999999999</v>
      </c>
      <c r="W63">
        <f t="shared" si="24"/>
        <v>0.159054525</v>
      </c>
      <c r="X63">
        <v>1</v>
      </c>
      <c r="Y63">
        <v>1769201289.9333301</v>
      </c>
      <c r="Z63">
        <v>409.46699999999998</v>
      </c>
      <c r="AA63">
        <v>410.00226666666703</v>
      </c>
      <c r="AB63">
        <v>15.340859999999999</v>
      </c>
      <c r="AC63">
        <v>13.9709866666667</v>
      </c>
      <c r="AD63">
        <v>410.27113333333301</v>
      </c>
      <c r="AE63">
        <v>15.254960000000001</v>
      </c>
      <c r="AF63">
        <v>800.0068</v>
      </c>
      <c r="AG63">
        <v>100.219466666667</v>
      </c>
      <c r="AH63">
        <v>6.3854673333333306E-2</v>
      </c>
      <c r="AI63">
        <v>19.012433333333298</v>
      </c>
      <c r="AJ63">
        <v>999.9</v>
      </c>
      <c r="AK63">
        <v>999.9</v>
      </c>
      <c r="AL63">
        <v>0</v>
      </c>
      <c r="AM63">
        <v>0</v>
      </c>
      <c r="AN63">
        <v>5010.5666666666702</v>
      </c>
      <c r="AO63">
        <v>0</v>
      </c>
      <c r="AP63">
        <v>1.58087</v>
      </c>
      <c r="AQ63">
        <v>-0.53519893333333302</v>
      </c>
      <c r="AR63">
        <v>415.84640000000002</v>
      </c>
      <c r="AS63">
        <v>415.81139999999999</v>
      </c>
      <c r="AT63">
        <v>1.369874</v>
      </c>
      <c r="AU63">
        <v>410.00226666666703</v>
      </c>
      <c r="AV63">
        <v>13.9709866666667</v>
      </c>
      <c r="AW63">
        <v>1.5374540000000001</v>
      </c>
      <c r="AX63">
        <v>1.4001666666666699</v>
      </c>
      <c r="AY63">
        <v>13.3458133333333</v>
      </c>
      <c r="AZ63">
        <v>11.919420000000001</v>
      </c>
      <c r="BA63">
        <v>0</v>
      </c>
      <c r="BB63">
        <v>0.89527299999999999</v>
      </c>
      <c r="BC63">
        <v>0</v>
      </c>
      <c r="BD63">
        <v>0.104727</v>
      </c>
      <c r="BE63">
        <v>0</v>
      </c>
      <c r="BF63">
        <v>24</v>
      </c>
      <c r="BG63">
        <v>0</v>
      </c>
      <c r="BH63">
        <v>1769200934</v>
      </c>
      <c r="BI63" t="s">
        <v>363</v>
      </c>
      <c r="BJ63">
        <v>1769200934</v>
      </c>
      <c r="BK63">
        <v>1769200930</v>
      </c>
      <c r="BL63">
        <v>14</v>
      </c>
      <c r="BM63">
        <v>8.9999999999999993E-3</v>
      </c>
      <c r="BN63">
        <v>-2.1000000000000001E-2</v>
      </c>
      <c r="BO63">
        <v>-0.80400000000000005</v>
      </c>
      <c r="BP63">
        <v>8.5999999999999993E-2</v>
      </c>
      <c r="BQ63">
        <v>410</v>
      </c>
      <c r="BR63">
        <v>14</v>
      </c>
      <c r="BS63">
        <v>0.16</v>
      </c>
      <c r="BT63">
        <v>0.03</v>
      </c>
      <c r="BU63">
        <v>-0.54956965000000002</v>
      </c>
      <c r="BV63">
        <v>0.19549601503759401</v>
      </c>
      <c r="BW63">
        <v>3.37357646293589E-2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1.3754995000000001</v>
      </c>
      <c r="CD63">
        <v>-0.139991729323311</v>
      </c>
      <c r="CE63">
        <v>1.3581891059421701E-2</v>
      </c>
      <c r="CF63">
        <v>0</v>
      </c>
      <c r="CG63">
        <v>1</v>
      </c>
      <c r="CH63">
        <v>2</v>
      </c>
      <c r="CI63" t="s">
        <v>302</v>
      </c>
      <c r="CJ63">
        <v>3.5325099999999998</v>
      </c>
      <c r="CK63">
        <v>2.7012</v>
      </c>
      <c r="CL63">
        <v>9.8006200000000002E-2</v>
      </c>
      <c r="CM63">
        <v>9.67417E-2</v>
      </c>
      <c r="CN63">
        <v>8.6913299999999999E-2</v>
      </c>
      <c r="CO63">
        <v>8.0323699999999998E-2</v>
      </c>
      <c r="CP63">
        <v>31638.7</v>
      </c>
      <c r="CQ63">
        <v>27844.6</v>
      </c>
      <c r="CR63">
        <v>32463.9</v>
      </c>
      <c r="CS63">
        <v>30753</v>
      </c>
      <c r="CT63">
        <v>40143.1</v>
      </c>
      <c r="CU63">
        <v>39781.5</v>
      </c>
      <c r="CV63">
        <v>47417</v>
      </c>
      <c r="CW63">
        <v>46907.8</v>
      </c>
      <c r="CX63">
        <v>2.6257999999999999</v>
      </c>
      <c r="CY63">
        <v>2.12432</v>
      </c>
      <c r="CZ63">
        <v>0</v>
      </c>
      <c r="DA63">
        <v>0</v>
      </c>
      <c r="DB63">
        <v>999.9</v>
      </c>
      <c r="DC63">
        <v>999.9</v>
      </c>
      <c r="DD63">
        <v>45.500999999999998</v>
      </c>
      <c r="DE63">
        <v>28.670999999999999</v>
      </c>
      <c r="DF63">
        <v>17.9148</v>
      </c>
      <c r="DG63">
        <v>30.189900000000002</v>
      </c>
      <c r="DH63">
        <v>16.538499999999999</v>
      </c>
      <c r="DI63">
        <v>2</v>
      </c>
      <c r="DJ63">
        <v>-0.13037399999999999</v>
      </c>
      <c r="DK63">
        <v>2.1529799999999999</v>
      </c>
      <c r="DL63">
        <v>20.234500000000001</v>
      </c>
      <c r="DM63">
        <v>5.2449599999999998</v>
      </c>
      <c r="DN63">
        <v>12.033899999999999</v>
      </c>
      <c r="DO63">
        <v>4.9664000000000001</v>
      </c>
      <c r="DP63">
        <v>3.29054</v>
      </c>
      <c r="DQ63">
        <v>537.9</v>
      </c>
      <c r="DR63">
        <v>9999</v>
      </c>
      <c r="DS63">
        <v>9999</v>
      </c>
      <c r="DT63">
        <v>9999</v>
      </c>
      <c r="DU63">
        <v>1.87113</v>
      </c>
      <c r="DV63">
        <v>1.87615</v>
      </c>
      <c r="DW63">
        <v>1.87636</v>
      </c>
      <c r="DX63">
        <v>1.8828199999999999</v>
      </c>
      <c r="DY63">
        <v>1.87561</v>
      </c>
      <c r="DZ63">
        <v>1.87469</v>
      </c>
      <c r="EA63">
        <v>1.87086</v>
      </c>
      <c r="EB63">
        <v>1.8746799999999999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-0.80400000000000005</v>
      </c>
      <c r="EQ63">
        <v>8.5900000000000004E-2</v>
      </c>
      <c r="ER63">
        <v>-0.80430000000006896</v>
      </c>
      <c r="ES63">
        <v>0</v>
      </c>
      <c r="ET63">
        <v>0</v>
      </c>
      <c r="EU63">
        <v>0</v>
      </c>
      <c r="EV63">
        <v>8.5900000000000504E-2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6.1</v>
      </c>
      <c r="FE63">
        <v>6.1</v>
      </c>
      <c r="FF63">
        <v>1.24512</v>
      </c>
      <c r="FG63">
        <v>2.6037599999999999</v>
      </c>
      <c r="FH63">
        <v>2.19604</v>
      </c>
      <c r="FI63">
        <v>2.66113</v>
      </c>
      <c r="FJ63">
        <v>2.4462899999999999</v>
      </c>
      <c r="FK63">
        <v>2.3010299999999999</v>
      </c>
      <c r="FL63">
        <v>32.8202</v>
      </c>
      <c r="FM63">
        <v>24.148800000000001</v>
      </c>
      <c r="FN63">
        <v>19</v>
      </c>
      <c r="FO63">
        <v>865.024</v>
      </c>
      <c r="FP63">
        <v>569.82100000000003</v>
      </c>
      <c r="FQ63">
        <v>18.292899999999999</v>
      </c>
      <c r="FR63">
        <v>25.325600000000001</v>
      </c>
      <c r="FS63">
        <v>29.999300000000002</v>
      </c>
      <c r="FT63">
        <v>25.311</v>
      </c>
      <c r="FU63">
        <v>25.313500000000001</v>
      </c>
      <c r="FV63">
        <v>24.9819</v>
      </c>
      <c r="FW63">
        <v>24.7819</v>
      </c>
      <c r="FX63">
        <v>6.0588800000000003</v>
      </c>
      <c r="FY63">
        <v>18.3279</v>
      </c>
      <c r="FZ63">
        <v>410</v>
      </c>
      <c r="GA63">
        <v>14.0626</v>
      </c>
      <c r="GB63">
        <v>99.909099999999995</v>
      </c>
      <c r="GC63">
        <v>99.849599999999995</v>
      </c>
    </row>
    <row r="64" spans="1:185" x14ac:dyDescent="0.2">
      <c r="A64">
        <v>49</v>
      </c>
      <c r="B64">
        <v>1769201313</v>
      </c>
      <c r="C64">
        <v>1042</v>
      </c>
      <c r="D64" t="s">
        <v>392</v>
      </c>
      <c r="E64" t="s">
        <v>393</v>
      </c>
      <c r="F64">
        <v>15</v>
      </c>
      <c r="G64">
        <v>1769201304.9333301</v>
      </c>
      <c r="H64">
        <f t="shared" si="13"/>
        <v>1.0573635355366757E-3</v>
      </c>
      <c r="I64">
        <v>0</v>
      </c>
      <c r="J64">
        <f t="shared" si="12"/>
        <v>-9.2846470757433337E-4</v>
      </c>
      <c r="K64">
        <f t="shared" si="14"/>
        <v>-2.3934497353123814E-2</v>
      </c>
      <c r="L64">
        <f t="shared" si="15"/>
        <v>69.657219116870834</v>
      </c>
      <c r="M64">
        <f t="shared" si="16"/>
        <v>1.5349941508599769</v>
      </c>
      <c r="N64">
        <f t="shared" si="17"/>
        <v>2.2036397236653458</v>
      </c>
      <c r="O64">
        <v>0</v>
      </c>
      <c r="P64">
        <v>0</v>
      </c>
      <c r="Q64">
        <f t="shared" si="18"/>
        <v>1</v>
      </c>
      <c r="R64">
        <f t="shared" si="19"/>
        <v>0</v>
      </c>
      <c r="S64">
        <f t="shared" si="20"/>
        <v>26245.82968618469</v>
      </c>
      <c r="T64">
        <f t="shared" si="21"/>
        <v>0</v>
      </c>
      <c r="U64">
        <f t="shared" si="22"/>
        <v>0</v>
      </c>
      <c r="V64">
        <f t="shared" si="23"/>
        <v>0.84314180999999999</v>
      </c>
      <c r="W64">
        <f t="shared" si="24"/>
        <v>0.159054525</v>
      </c>
      <c r="X64">
        <v>1</v>
      </c>
      <c r="Y64">
        <v>1769201304.9333301</v>
      </c>
      <c r="Z64">
        <v>409.46379999999999</v>
      </c>
      <c r="AA64">
        <v>409.97506666666698</v>
      </c>
      <c r="AB64">
        <v>15.306646666666699</v>
      </c>
      <c r="AC64">
        <v>14.005186666666701</v>
      </c>
      <c r="AD64">
        <v>410.26839999999999</v>
      </c>
      <c r="AE64">
        <v>15.220746666666701</v>
      </c>
      <c r="AF64">
        <v>800.00833333333298</v>
      </c>
      <c r="AG64">
        <v>100.219133333333</v>
      </c>
      <c r="AH64">
        <v>6.3716613333333297E-2</v>
      </c>
      <c r="AI64">
        <v>18.988800000000001</v>
      </c>
      <c r="AJ64">
        <v>999.9</v>
      </c>
      <c r="AK64">
        <v>999.9</v>
      </c>
      <c r="AL64">
        <v>0</v>
      </c>
      <c r="AM64">
        <v>0</v>
      </c>
      <c r="AN64">
        <v>4994.2666666666701</v>
      </c>
      <c r="AO64">
        <v>0</v>
      </c>
      <c r="AP64">
        <v>1.58087</v>
      </c>
      <c r="AQ64">
        <v>-0.51101273333333297</v>
      </c>
      <c r="AR64">
        <v>415.828933333333</v>
      </c>
      <c r="AS64">
        <v>415.79840000000002</v>
      </c>
      <c r="AT64">
        <v>1.30145933333333</v>
      </c>
      <c r="AU64">
        <v>409.97506666666698</v>
      </c>
      <c r="AV64">
        <v>14.005186666666701</v>
      </c>
      <c r="AW64">
        <v>1.5340199999999999</v>
      </c>
      <c r="AX64">
        <v>1.40358733333333</v>
      </c>
      <c r="AY64">
        <v>13.3115133333333</v>
      </c>
      <c r="AZ64">
        <v>11.956426666666699</v>
      </c>
      <c r="BA64">
        <v>0</v>
      </c>
      <c r="BB64">
        <v>0.89527299999999999</v>
      </c>
      <c r="BC64">
        <v>0</v>
      </c>
      <c r="BD64">
        <v>0.104727</v>
      </c>
      <c r="BE64">
        <v>0</v>
      </c>
      <c r="BF64">
        <v>24</v>
      </c>
      <c r="BG64">
        <v>0</v>
      </c>
      <c r="BH64">
        <v>1769200934</v>
      </c>
      <c r="BI64" t="s">
        <v>363</v>
      </c>
      <c r="BJ64">
        <v>1769200934</v>
      </c>
      <c r="BK64">
        <v>1769200930</v>
      </c>
      <c r="BL64">
        <v>14</v>
      </c>
      <c r="BM64">
        <v>8.9999999999999993E-3</v>
      </c>
      <c r="BN64">
        <v>-2.1000000000000001E-2</v>
      </c>
      <c r="BO64">
        <v>-0.80400000000000005</v>
      </c>
      <c r="BP64">
        <v>8.5999999999999993E-2</v>
      </c>
      <c r="BQ64">
        <v>410</v>
      </c>
      <c r="BR64">
        <v>14</v>
      </c>
      <c r="BS64">
        <v>0.16</v>
      </c>
      <c r="BT64">
        <v>0.03</v>
      </c>
      <c r="BU64">
        <v>-0.51867215</v>
      </c>
      <c r="BV64">
        <v>7.7144796992481293E-2</v>
      </c>
      <c r="BW64">
        <v>2.8787699232962299E-2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1.3196455</v>
      </c>
      <c r="CD64">
        <v>-0.34181368421052599</v>
      </c>
      <c r="CE64">
        <v>3.3331171817834397E-2</v>
      </c>
      <c r="CF64">
        <v>0</v>
      </c>
      <c r="CG64">
        <v>1</v>
      </c>
      <c r="CH64">
        <v>2</v>
      </c>
      <c r="CI64" t="s">
        <v>302</v>
      </c>
      <c r="CJ64">
        <v>3.5325199999999999</v>
      </c>
      <c r="CK64">
        <v>2.7018300000000002</v>
      </c>
      <c r="CL64">
        <v>9.8004400000000005E-2</v>
      </c>
      <c r="CM64">
        <v>9.6740800000000002E-2</v>
      </c>
      <c r="CN64">
        <v>8.6922899999999997E-2</v>
      </c>
      <c r="CO64">
        <v>8.0585500000000004E-2</v>
      </c>
      <c r="CP64">
        <v>31639.4</v>
      </c>
      <c r="CQ64">
        <v>27844.3</v>
      </c>
      <c r="CR64">
        <v>32464.5</v>
      </c>
      <c r="CS64">
        <v>30752.7</v>
      </c>
      <c r="CT64">
        <v>40143.599999999999</v>
      </c>
      <c r="CU64">
        <v>39769.699999999997</v>
      </c>
      <c r="CV64">
        <v>47418.1</v>
      </c>
      <c r="CW64">
        <v>46907.6</v>
      </c>
      <c r="CX64">
        <v>2.62574</v>
      </c>
      <c r="CY64">
        <v>2.12446</v>
      </c>
      <c r="CZ64">
        <v>0</v>
      </c>
      <c r="DA64">
        <v>0</v>
      </c>
      <c r="DB64">
        <v>999.9</v>
      </c>
      <c r="DC64">
        <v>999.9</v>
      </c>
      <c r="DD64">
        <v>45.451999999999998</v>
      </c>
      <c r="DE64">
        <v>28.661000000000001</v>
      </c>
      <c r="DF64">
        <v>17.884799999999998</v>
      </c>
      <c r="DG64">
        <v>29.979900000000001</v>
      </c>
      <c r="DH64">
        <v>16.610600000000002</v>
      </c>
      <c r="DI64">
        <v>2</v>
      </c>
      <c r="DJ64">
        <v>-0.13103300000000001</v>
      </c>
      <c r="DK64">
        <v>1.9733700000000001</v>
      </c>
      <c r="DL64">
        <v>20.2378</v>
      </c>
      <c r="DM64">
        <v>5.24796</v>
      </c>
      <c r="DN64">
        <v>12.033899999999999</v>
      </c>
      <c r="DO64">
        <v>4.9669999999999996</v>
      </c>
      <c r="DP64">
        <v>3.2909999999999999</v>
      </c>
      <c r="DQ64">
        <v>537.9</v>
      </c>
      <c r="DR64">
        <v>9999</v>
      </c>
      <c r="DS64">
        <v>9999</v>
      </c>
      <c r="DT64">
        <v>9999</v>
      </c>
      <c r="DU64">
        <v>1.8711199999999999</v>
      </c>
      <c r="DV64">
        <v>1.87612</v>
      </c>
      <c r="DW64">
        <v>1.87635</v>
      </c>
      <c r="DX64">
        <v>1.88279</v>
      </c>
      <c r="DY64">
        <v>1.87561</v>
      </c>
      <c r="DZ64">
        <v>1.87469</v>
      </c>
      <c r="EA64">
        <v>1.8708499999999999</v>
      </c>
      <c r="EB64">
        <v>1.8746499999999999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-0.80500000000000005</v>
      </c>
      <c r="EQ64">
        <v>8.5900000000000004E-2</v>
      </c>
      <c r="ER64">
        <v>-0.80430000000006896</v>
      </c>
      <c r="ES64">
        <v>0</v>
      </c>
      <c r="ET64">
        <v>0</v>
      </c>
      <c r="EU64">
        <v>0</v>
      </c>
      <c r="EV64">
        <v>8.5900000000000504E-2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6.3</v>
      </c>
      <c r="FE64">
        <v>6.4</v>
      </c>
      <c r="FF64">
        <v>1.24512</v>
      </c>
      <c r="FG64">
        <v>2.6061999999999999</v>
      </c>
      <c r="FH64">
        <v>2.19604</v>
      </c>
      <c r="FI64">
        <v>2.66113</v>
      </c>
      <c r="FJ64">
        <v>2.4462899999999999</v>
      </c>
      <c r="FK64">
        <v>2.2619600000000002</v>
      </c>
      <c r="FL64">
        <v>32.8202</v>
      </c>
      <c r="FM64">
        <v>24.148800000000001</v>
      </c>
      <c r="FN64">
        <v>19</v>
      </c>
      <c r="FO64">
        <v>865.05</v>
      </c>
      <c r="FP64">
        <v>569.98400000000004</v>
      </c>
      <c r="FQ64">
        <v>18.342199999999998</v>
      </c>
      <c r="FR64">
        <v>25.329899999999999</v>
      </c>
      <c r="FS64">
        <v>30</v>
      </c>
      <c r="FT64">
        <v>25.316099999999999</v>
      </c>
      <c r="FU64">
        <v>25.3186</v>
      </c>
      <c r="FV64">
        <v>24.984400000000001</v>
      </c>
      <c r="FW64">
        <v>24.494700000000002</v>
      </c>
      <c r="FX64">
        <v>6.0588800000000003</v>
      </c>
      <c r="FY64">
        <v>18.3627</v>
      </c>
      <c r="FZ64">
        <v>410</v>
      </c>
      <c r="GA64">
        <v>14.0855</v>
      </c>
      <c r="GB64">
        <v>99.911199999999994</v>
      </c>
      <c r="GC64">
        <v>99.8489</v>
      </c>
    </row>
    <row r="65" spans="1:185" x14ac:dyDescent="0.2">
      <c r="A65">
        <v>50</v>
      </c>
      <c r="B65">
        <v>1769201328</v>
      </c>
      <c r="C65">
        <v>1057</v>
      </c>
      <c r="D65" t="s">
        <v>394</v>
      </c>
      <c r="E65" t="s">
        <v>395</v>
      </c>
      <c r="F65">
        <v>15</v>
      </c>
      <c r="G65">
        <v>1769201319.9333301</v>
      </c>
      <c r="H65">
        <f t="shared" si="13"/>
        <v>1.0492873060965872E-3</v>
      </c>
      <c r="I65">
        <v>0</v>
      </c>
      <c r="J65">
        <f t="shared" si="12"/>
        <v>-3.247470131756315E-4</v>
      </c>
      <c r="K65">
        <f t="shared" si="14"/>
        <v>-8.3715153240380251E-3</v>
      </c>
      <c r="L65">
        <f t="shared" si="15"/>
        <v>69.770572281909367</v>
      </c>
      <c r="M65">
        <f t="shared" si="16"/>
        <v>1.5363742408281404</v>
      </c>
      <c r="N65">
        <f t="shared" si="17"/>
        <v>2.202037607804606</v>
      </c>
      <c r="O65">
        <v>0</v>
      </c>
      <c r="P65">
        <v>0</v>
      </c>
      <c r="Q65">
        <f t="shared" si="18"/>
        <v>1</v>
      </c>
      <c r="R65">
        <f t="shared" si="19"/>
        <v>0</v>
      </c>
      <c r="S65">
        <f t="shared" si="20"/>
        <v>26307.330781395871</v>
      </c>
      <c r="T65">
        <f t="shared" si="21"/>
        <v>0</v>
      </c>
      <c r="U65">
        <f t="shared" si="22"/>
        <v>0</v>
      </c>
      <c r="V65">
        <f t="shared" si="23"/>
        <v>0.84314180999999999</v>
      </c>
      <c r="W65">
        <f t="shared" si="24"/>
        <v>0.159054525</v>
      </c>
      <c r="X65">
        <v>1</v>
      </c>
      <c r="Y65">
        <v>1769201319.9333301</v>
      </c>
      <c r="Z65">
        <v>409.47446666666701</v>
      </c>
      <c r="AA65">
        <v>410.00106666666699</v>
      </c>
      <c r="AB65">
        <v>15.3203266666667</v>
      </c>
      <c r="AC65">
        <v>14.028826666666699</v>
      </c>
      <c r="AD65">
        <v>410.27873333333298</v>
      </c>
      <c r="AE65">
        <v>15.2344266666667</v>
      </c>
      <c r="AF65">
        <v>800.00919999999996</v>
      </c>
      <c r="AG65">
        <v>100.219466666667</v>
      </c>
      <c r="AH65">
        <v>6.3919859999999995E-2</v>
      </c>
      <c r="AI65">
        <v>18.977146666666702</v>
      </c>
      <c r="AJ65">
        <v>999.9</v>
      </c>
      <c r="AK65">
        <v>999.9</v>
      </c>
      <c r="AL65">
        <v>0</v>
      </c>
      <c r="AM65">
        <v>0</v>
      </c>
      <c r="AN65">
        <v>5004.2</v>
      </c>
      <c r="AO65">
        <v>0</v>
      </c>
      <c r="AP65">
        <v>1.58087</v>
      </c>
      <c r="AQ65">
        <v>-0.526487066666667</v>
      </c>
      <c r="AR65">
        <v>415.84533333333297</v>
      </c>
      <c r="AS65">
        <v>415.83453333333301</v>
      </c>
      <c r="AT65">
        <v>1.29148666666667</v>
      </c>
      <c r="AU65">
        <v>410.00106666666699</v>
      </c>
      <c r="AV65">
        <v>14.028826666666699</v>
      </c>
      <c r="AW65">
        <v>1.535396</v>
      </c>
      <c r="AX65">
        <v>1.4059633333333299</v>
      </c>
      <c r="AY65">
        <v>13.325279999999999</v>
      </c>
      <c r="AZ65">
        <v>11.982100000000001</v>
      </c>
      <c r="BA65">
        <v>0</v>
      </c>
      <c r="BB65">
        <v>0.89527299999999999</v>
      </c>
      <c r="BC65">
        <v>0</v>
      </c>
      <c r="BD65">
        <v>0.104727</v>
      </c>
      <c r="BE65">
        <v>0</v>
      </c>
      <c r="BF65">
        <v>24</v>
      </c>
      <c r="BG65">
        <v>0</v>
      </c>
      <c r="BH65">
        <v>1769200934</v>
      </c>
      <c r="BI65" t="s">
        <v>363</v>
      </c>
      <c r="BJ65">
        <v>1769200934</v>
      </c>
      <c r="BK65">
        <v>1769200930</v>
      </c>
      <c r="BL65">
        <v>14</v>
      </c>
      <c r="BM65">
        <v>8.9999999999999993E-3</v>
      </c>
      <c r="BN65">
        <v>-2.1000000000000001E-2</v>
      </c>
      <c r="BO65">
        <v>-0.80400000000000005</v>
      </c>
      <c r="BP65">
        <v>8.5999999999999993E-2</v>
      </c>
      <c r="BQ65">
        <v>410</v>
      </c>
      <c r="BR65">
        <v>14</v>
      </c>
      <c r="BS65">
        <v>0.16</v>
      </c>
      <c r="BT65">
        <v>0.03</v>
      </c>
      <c r="BU65">
        <v>-0.52847739999999999</v>
      </c>
      <c r="BV65">
        <v>0.10909416541353301</v>
      </c>
      <c r="BW65">
        <v>1.7733683304378699E-2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1.287911</v>
      </c>
      <c r="CD65">
        <v>7.3190075187970993E-2</v>
      </c>
      <c r="CE65">
        <v>7.3627718285982496E-3</v>
      </c>
      <c r="CF65">
        <v>1</v>
      </c>
      <c r="CG65">
        <v>2</v>
      </c>
      <c r="CH65">
        <v>2</v>
      </c>
      <c r="CI65" t="s">
        <v>297</v>
      </c>
      <c r="CJ65">
        <v>3.5325299999999999</v>
      </c>
      <c r="CK65">
        <v>2.7016800000000001</v>
      </c>
      <c r="CL65">
        <v>9.8006499999999996E-2</v>
      </c>
      <c r="CM65">
        <v>9.6736100000000005E-2</v>
      </c>
      <c r="CN65">
        <v>8.6944300000000002E-2</v>
      </c>
      <c r="CO65">
        <v>8.0556299999999997E-2</v>
      </c>
      <c r="CP65">
        <v>31638.5</v>
      </c>
      <c r="CQ65">
        <v>27844.7</v>
      </c>
      <c r="CR65">
        <v>32463.7</v>
      </c>
      <c r="CS65">
        <v>30753</v>
      </c>
      <c r="CT65">
        <v>40141.9</v>
      </c>
      <c r="CU65">
        <v>39771.1</v>
      </c>
      <c r="CV65">
        <v>47417.2</v>
      </c>
      <c r="CW65">
        <v>46907.7</v>
      </c>
      <c r="CX65">
        <v>2.62554</v>
      </c>
      <c r="CY65">
        <v>2.1244200000000002</v>
      </c>
      <c r="CZ65">
        <v>0</v>
      </c>
      <c r="DA65">
        <v>0</v>
      </c>
      <c r="DB65">
        <v>999.9</v>
      </c>
      <c r="DC65">
        <v>999.9</v>
      </c>
      <c r="DD65">
        <v>45.451999999999998</v>
      </c>
      <c r="DE65">
        <v>28.670999999999999</v>
      </c>
      <c r="DF65">
        <v>17.896699999999999</v>
      </c>
      <c r="DG65">
        <v>30.1599</v>
      </c>
      <c r="DH65">
        <v>16.5625</v>
      </c>
      <c r="DI65">
        <v>2</v>
      </c>
      <c r="DJ65">
        <v>-0.13086600000000001</v>
      </c>
      <c r="DK65">
        <v>1.9191800000000001</v>
      </c>
      <c r="DL65">
        <v>20.238399999999999</v>
      </c>
      <c r="DM65">
        <v>5.2481999999999998</v>
      </c>
      <c r="DN65">
        <v>12.033899999999999</v>
      </c>
      <c r="DO65">
        <v>4.96692</v>
      </c>
      <c r="DP65">
        <v>3.2909999999999999</v>
      </c>
      <c r="DQ65">
        <v>537.9</v>
      </c>
      <c r="DR65">
        <v>9999</v>
      </c>
      <c r="DS65">
        <v>9999</v>
      </c>
      <c r="DT65">
        <v>9999</v>
      </c>
      <c r="DU65">
        <v>1.8710800000000001</v>
      </c>
      <c r="DV65">
        <v>1.8761000000000001</v>
      </c>
      <c r="DW65">
        <v>1.8763099999999999</v>
      </c>
      <c r="DX65">
        <v>1.88279</v>
      </c>
      <c r="DY65">
        <v>1.87558</v>
      </c>
      <c r="DZ65">
        <v>1.8746700000000001</v>
      </c>
      <c r="EA65">
        <v>1.8708199999999999</v>
      </c>
      <c r="EB65">
        <v>1.87462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-0.80400000000000005</v>
      </c>
      <c r="EQ65">
        <v>8.5900000000000004E-2</v>
      </c>
      <c r="ER65">
        <v>-0.80430000000006896</v>
      </c>
      <c r="ES65">
        <v>0</v>
      </c>
      <c r="ET65">
        <v>0</v>
      </c>
      <c r="EU65">
        <v>0</v>
      </c>
      <c r="EV65">
        <v>8.5900000000000504E-2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6.6</v>
      </c>
      <c r="FE65">
        <v>6.6</v>
      </c>
      <c r="FF65">
        <v>1.24512</v>
      </c>
      <c r="FG65">
        <v>2.6013199999999999</v>
      </c>
      <c r="FH65">
        <v>2.19604</v>
      </c>
      <c r="FI65">
        <v>2.66113</v>
      </c>
      <c r="FJ65">
        <v>2.4462899999999999</v>
      </c>
      <c r="FK65">
        <v>2.3083499999999999</v>
      </c>
      <c r="FL65">
        <v>32.8202</v>
      </c>
      <c r="FM65">
        <v>24.157499999999999</v>
      </c>
      <c r="FN65">
        <v>19</v>
      </c>
      <c r="FO65">
        <v>864.93299999999999</v>
      </c>
      <c r="FP65">
        <v>570.005</v>
      </c>
      <c r="FQ65">
        <v>18.3902</v>
      </c>
      <c r="FR65">
        <v>25.3355</v>
      </c>
      <c r="FS65">
        <v>30.0002</v>
      </c>
      <c r="FT65">
        <v>25.320399999999999</v>
      </c>
      <c r="FU65">
        <v>25.3233</v>
      </c>
      <c r="FV65">
        <v>24.985800000000001</v>
      </c>
      <c r="FW65">
        <v>24.220099999999999</v>
      </c>
      <c r="FX65">
        <v>6.0588800000000003</v>
      </c>
      <c r="FY65">
        <v>18.4116</v>
      </c>
      <c r="FZ65">
        <v>410</v>
      </c>
      <c r="GA65">
        <v>14.1027</v>
      </c>
      <c r="GB65">
        <v>99.909099999999995</v>
      </c>
      <c r="GC65">
        <v>99.849400000000003</v>
      </c>
    </row>
    <row r="66" spans="1:185" x14ac:dyDescent="0.2">
      <c r="A66">
        <v>51</v>
      </c>
      <c r="B66">
        <v>1769201343</v>
      </c>
      <c r="C66">
        <v>1072</v>
      </c>
      <c r="D66" t="s">
        <v>396</v>
      </c>
      <c r="E66" t="s">
        <v>397</v>
      </c>
      <c r="F66">
        <v>15</v>
      </c>
      <c r="G66">
        <v>1769201334.9333301</v>
      </c>
      <c r="H66">
        <f t="shared" si="13"/>
        <v>1.0375754019732598E-3</v>
      </c>
      <c r="I66">
        <v>0</v>
      </c>
      <c r="J66">
        <f t="shared" si="12"/>
        <v>-1.2717125601098124E-3</v>
      </c>
      <c r="K66">
        <f t="shared" si="14"/>
        <v>-3.2782937957225207E-2</v>
      </c>
      <c r="L66">
        <f t="shared" si="15"/>
        <v>69.787647362525433</v>
      </c>
      <c r="M66">
        <f t="shared" si="16"/>
        <v>1.5365136676252205</v>
      </c>
      <c r="N66">
        <f t="shared" si="17"/>
        <v>2.2016986181573119</v>
      </c>
      <c r="O66">
        <v>0</v>
      </c>
      <c r="P66">
        <v>0</v>
      </c>
      <c r="Q66">
        <f t="shared" si="18"/>
        <v>1</v>
      </c>
      <c r="R66">
        <f t="shared" si="19"/>
        <v>0</v>
      </c>
      <c r="S66">
        <f t="shared" si="20"/>
        <v>26262.45088449544</v>
      </c>
      <c r="T66">
        <f t="shared" si="21"/>
        <v>0</v>
      </c>
      <c r="U66">
        <f t="shared" si="22"/>
        <v>0</v>
      </c>
      <c r="V66">
        <f t="shared" si="23"/>
        <v>0.84314180999999999</v>
      </c>
      <c r="W66">
        <f t="shared" si="24"/>
        <v>0.159054525</v>
      </c>
      <c r="X66">
        <v>1</v>
      </c>
      <c r="Y66">
        <v>1769201334.9333301</v>
      </c>
      <c r="Z66">
        <v>409.50560000000002</v>
      </c>
      <c r="AA66">
        <v>409.99573333333302</v>
      </c>
      <c r="AB66">
        <v>15.321666666666699</v>
      </c>
      <c r="AC66">
        <v>14.04458</v>
      </c>
      <c r="AD66">
        <v>410.30986666666701</v>
      </c>
      <c r="AE66">
        <v>15.2357666666667</v>
      </c>
      <c r="AF66">
        <v>800.0068</v>
      </c>
      <c r="AG66">
        <v>100.219733333333</v>
      </c>
      <c r="AH66">
        <v>6.3982600000000001E-2</v>
      </c>
      <c r="AI66">
        <v>18.974679999999999</v>
      </c>
      <c r="AJ66">
        <v>999.9</v>
      </c>
      <c r="AK66">
        <v>999.9</v>
      </c>
      <c r="AL66">
        <v>0</v>
      </c>
      <c r="AM66">
        <v>0</v>
      </c>
      <c r="AN66">
        <v>4996.7666666666701</v>
      </c>
      <c r="AO66">
        <v>0</v>
      </c>
      <c r="AP66">
        <v>1.57793466666667</v>
      </c>
      <c r="AQ66">
        <v>-0.49023846666666698</v>
      </c>
      <c r="AR66">
        <v>415.87759999999997</v>
      </c>
      <c r="AS66">
        <v>415.83606666666702</v>
      </c>
      <c r="AT66">
        <v>1.27709933333333</v>
      </c>
      <c r="AU66">
        <v>409.99573333333302</v>
      </c>
      <c r="AV66">
        <v>14.04458</v>
      </c>
      <c r="AW66">
        <v>1.5355366666666701</v>
      </c>
      <c r="AX66">
        <v>1.407548</v>
      </c>
      <c r="AY66">
        <v>13.3267066666667</v>
      </c>
      <c r="AZ66">
        <v>11.999180000000001</v>
      </c>
      <c r="BA66">
        <v>0</v>
      </c>
      <c r="BB66">
        <v>0.89527299999999999</v>
      </c>
      <c r="BC66">
        <v>0</v>
      </c>
      <c r="BD66">
        <v>0.104727</v>
      </c>
      <c r="BE66">
        <v>0</v>
      </c>
      <c r="BF66">
        <v>24</v>
      </c>
      <c r="BG66">
        <v>0</v>
      </c>
      <c r="BH66">
        <v>1769200934</v>
      </c>
      <c r="BI66" t="s">
        <v>363</v>
      </c>
      <c r="BJ66">
        <v>1769200934</v>
      </c>
      <c r="BK66">
        <v>1769200930</v>
      </c>
      <c r="BL66">
        <v>14</v>
      </c>
      <c r="BM66">
        <v>8.9999999999999993E-3</v>
      </c>
      <c r="BN66">
        <v>-2.1000000000000001E-2</v>
      </c>
      <c r="BO66">
        <v>-0.80400000000000005</v>
      </c>
      <c r="BP66">
        <v>8.5999999999999993E-2</v>
      </c>
      <c r="BQ66">
        <v>410</v>
      </c>
      <c r="BR66">
        <v>14</v>
      </c>
      <c r="BS66">
        <v>0.16</v>
      </c>
      <c r="BT66">
        <v>0.03</v>
      </c>
      <c r="BU66">
        <v>-0.49650209523809502</v>
      </c>
      <c r="BV66">
        <v>0.21602057142857101</v>
      </c>
      <c r="BW66">
        <v>4.6476022972327002E-2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1.28217238095238</v>
      </c>
      <c r="CD66">
        <v>-9.8268311688312196E-2</v>
      </c>
      <c r="CE66">
        <v>1.0583591929991899E-2</v>
      </c>
      <c r="CF66">
        <v>1</v>
      </c>
      <c r="CG66">
        <v>2</v>
      </c>
      <c r="CH66">
        <v>2</v>
      </c>
      <c r="CI66" t="s">
        <v>297</v>
      </c>
      <c r="CJ66">
        <v>3.5325000000000002</v>
      </c>
      <c r="CK66">
        <v>2.7015799999999999</v>
      </c>
      <c r="CL66">
        <v>9.8018599999999997E-2</v>
      </c>
      <c r="CM66">
        <v>9.6746299999999993E-2</v>
      </c>
      <c r="CN66">
        <v>8.6935100000000001E-2</v>
      </c>
      <c r="CO66">
        <v>8.0661300000000005E-2</v>
      </c>
      <c r="CP66">
        <v>31638.400000000001</v>
      </c>
      <c r="CQ66">
        <v>27844.1</v>
      </c>
      <c r="CR66">
        <v>32464</v>
      </c>
      <c r="CS66">
        <v>30752.7</v>
      </c>
      <c r="CT66">
        <v>40142.6</v>
      </c>
      <c r="CU66">
        <v>39766</v>
      </c>
      <c r="CV66">
        <v>47417.599999999999</v>
      </c>
      <c r="CW66">
        <v>46907.199999999997</v>
      </c>
      <c r="CX66">
        <v>2.6253600000000001</v>
      </c>
      <c r="CY66">
        <v>2.1242200000000002</v>
      </c>
      <c r="CZ66">
        <v>0</v>
      </c>
      <c r="DA66">
        <v>0</v>
      </c>
      <c r="DB66">
        <v>999.9</v>
      </c>
      <c r="DC66">
        <v>999.9</v>
      </c>
      <c r="DD66">
        <v>45.433999999999997</v>
      </c>
      <c r="DE66">
        <v>28.670999999999999</v>
      </c>
      <c r="DF66">
        <v>17.8874</v>
      </c>
      <c r="DG66">
        <v>30.3399</v>
      </c>
      <c r="DH66">
        <v>16.458300000000001</v>
      </c>
      <c r="DI66">
        <v>2</v>
      </c>
      <c r="DJ66">
        <v>-0.13053699999999999</v>
      </c>
      <c r="DK66">
        <v>1.8598399999999999</v>
      </c>
      <c r="DL66">
        <v>20.2392</v>
      </c>
      <c r="DM66">
        <v>5.2485600000000003</v>
      </c>
      <c r="DN66">
        <v>12.033899999999999</v>
      </c>
      <c r="DO66">
        <v>4.9668400000000004</v>
      </c>
      <c r="DP66">
        <v>3.2909999999999999</v>
      </c>
      <c r="DQ66">
        <v>537.9</v>
      </c>
      <c r="DR66">
        <v>9999</v>
      </c>
      <c r="DS66">
        <v>9999</v>
      </c>
      <c r="DT66">
        <v>9999</v>
      </c>
      <c r="DU66">
        <v>1.8710599999999999</v>
      </c>
      <c r="DV66">
        <v>1.8761000000000001</v>
      </c>
      <c r="DW66">
        <v>1.8763300000000001</v>
      </c>
      <c r="DX66">
        <v>1.88279</v>
      </c>
      <c r="DY66">
        <v>1.8755900000000001</v>
      </c>
      <c r="DZ66">
        <v>1.87466</v>
      </c>
      <c r="EA66">
        <v>1.87079</v>
      </c>
      <c r="EB66">
        <v>1.8746100000000001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-0.80500000000000005</v>
      </c>
      <c r="EQ66">
        <v>8.5900000000000004E-2</v>
      </c>
      <c r="ER66">
        <v>-0.80430000000006896</v>
      </c>
      <c r="ES66">
        <v>0</v>
      </c>
      <c r="ET66">
        <v>0</v>
      </c>
      <c r="EU66">
        <v>0</v>
      </c>
      <c r="EV66">
        <v>8.5900000000000504E-2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6.8</v>
      </c>
      <c r="FE66">
        <v>6.9</v>
      </c>
      <c r="FF66">
        <v>1.24512</v>
      </c>
      <c r="FG66">
        <v>2.6013199999999999</v>
      </c>
      <c r="FH66">
        <v>2.19604</v>
      </c>
      <c r="FI66">
        <v>2.66113</v>
      </c>
      <c r="FJ66">
        <v>2.4462899999999999</v>
      </c>
      <c r="FK66">
        <v>2.3156699999999999</v>
      </c>
      <c r="FL66">
        <v>32.842399999999998</v>
      </c>
      <c r="FM66">
        <v>24.148800000000001</v>
      </c>
      <c r="FN66">
        <v>19</v>
      </c>
      <c r="FO66">
        <v>864.84100000000001</v>
      </c>
      <c r="FP66">
        <v>569.90499999999997</v>
      </c>
      <c r="FQ66">
        <v>18.4419</v>
      </c>
      <c r="FR66">
        <v>25.340599999999998</v>
      </c>
      <c r="FS66">
        <v>30.0002</v>
      </c>
      <c r="FT66">
        <v>25.325099999999999</v>
      </c>
      <c r="FU66">
        <v>25.327999999999999</v>
      </c>
      <c r="FV66">
        <v>24.983000000000001</v>
      </c>
      <c r="FW66">
        <v>24.220099999999999</v>
      </c>
      <c r="FX66">
        <v>6.0588800000000003</v>
      </c>
      <c r="FY66">
        <v>18.4649</v>
      </c>
      <c r="FZ66">
        <v>410</v>
      </c>
      <c r="GA66">
        <v>14.121600000000001</v>
      </c>
      <c r="GB66">
        <v>99.91</v>
      </c>
      <c r="GC66">
        <v>99.848399999999998</v>
      </c>
    </row>
    <row r="67" spans="1:185" x14ac:dyDescent="0.2">
      <c r="A67">
        <v>52</v>
      </c>
      <c r="B67">
        <v>1769201358</v>
      </c>
      <c r="C67">
        <v>1087</v>
      </c>
      <c r="D67" t="s">
        <v>398</v>
      </c>
      <c r="E67" t="s">
        <v>399</v>
      </c>
      <c r="F67">
        <v>15</v>
      </c>
      <c r="G67">
        <v>1769201349.9333301</v>
      </c>
      <c r="H67">
        <f t="shared" si="13"/>
        <v>1.0181192671256576E-3</v>
      </c>
      <c r="I67">
        <v>0</v>
      </c>
      <c r="J67">
        <f t="shared" si="12"/>
        <v>-1.4159440795347021E-3</v>
      </c>
      <c r="K67">
        <f t="shared" si="14"/>
        <v>-3.6501021037551304E-2</v>
      </c>
      <c r="L67">
        <f t="shared" si="15"/>
        <v>69.795500357413189</v>
      </c>
      <c r="M67">
        <f t="shared" si="16"/>
        <v>1.5369429910786592</v>
      </c>
      <c r="N67">
        <f t="shared" si="17"/>
        <v>2.2020660117173527</v>
      </c>
      <c r="O67">
        <v>0</v>
      </c>
      <c r="P67">
        <v>0</v>
      </c>
      <c r="Q67">
        <f t="shared" si="18"/>
        <v>1</v>
      </c>
      <c r="R67">
        <f t="shared" si="19"/>
        <v>0</v>
      </c>
      <c r="S67">
        <f t="shared" si="20"/>
        <v>26256.296887843451</v>
      </c>
      <c r="T67">
        <f t="shared" si="21"/>
        <v>0</v>
      </c>
      <c r="U67">
        <f t="shared" si="22"/>
        <v>0</v>
      </c>
      <c r="V67">
        <f t="shared" si="23"/>
        <v>0.84314180999999999</v>
      </c>
      <c r="W67">
        <f t="shared" si="24"/>
        <v>0.159054525</v>
      </c>
      <c r="X67">
        <v>1</v>
      </c>
      <c r="Y67">
        <v>1769201349.9333301</v>
      </c>
      <c r="Z67">
        <v>409.51113333333302</v>
      </c>
      <c r="AA67">
        <v>409.98666666666702</v>
      </c>
      <c r="AB67">
        <v>15.32572</v>
      </c>
      <c r="AC67">
        <v>14.0725866666667</v>
      </c>
      <c r="AD67">
        <v>410.315333333333</v>
      </c>
      <c r="AE67">
        <v>15.23982</v>
      </c>
      <c r="AF67">
        <v>800.00733333333301</v>
      </c>
      <c r="AG67">
        <v>100.221133333333</v>
      </c>
      <c r="AH67">
        <v>6.4072913333333301E-2</v>
      </c>
      <c r="AI67">
        <v>18.977353333333301</v>
      </c>
      <c r="AJ67">
        <v>999.9</v>
      </c>
      <c r="AK67">
        <v>999.9</v>
      </c>
      <c r="AL67">
        <v>0</v>
      </c>
      <c r="AM67">
        <v>0</v>
      </c>
      <c r="AN67">
        <v>4995.7333333333299</v>
      </c>
      <c r="AO67">
        <v>0</v>
      </c>
      <c r="AP67">
        <v>1.5687533333333299</v>
      </c>
      <c r="AQ67">
        <v>-0.47555746666666698</v>
      </c>
      <c r="AR67">
        <v>415.88499999999999</v>
      </c>
      <c r="AS67">
        <v>415.83859999999999</v>
      </c>
      <c r="AT67">
        <v>1.2531433333333299</v>
      </c>
      <c r="AU67">
        <v>409.98666666666702</v>
      </c>
      <c r="AV67">
        <v>14.0725866666667</v>
      </c>
      <c r="AW67">
        <v>1.5359640000000001</v>
      </c>
      <c r="AX67">
        <v>1.410372</v>
      </c>
      <c r="AY67">
        <v>13.33094</v>
      </c>
      <c r="AZ67">
        <v>12.0296066666667</v>
      </c>
      <c r="BA67">
        <v>0</v>
      </c>
      <c r="BB67">
        <v>0.89527299999999999</v>
      </c>
      <c r="BC67">
        <v>0</v>
      </c>
      <c r="BD67">
        <v>0.104727</v>
      </c>
      <c r="BE67">
        <v>0</v>
      </c>
      <c r="BF67">
        <v>24</v>
      </c>
      <c r="BG67">
        <v>0</v>
      </c>
      <c r="BH67">
        <v>1769200934</v>
      </c>
      <c r="BI67" t="s">
        <v>363</v>
      </c>
      <c r="BJ67">
        <v>1769200934</v>
      </c>
      <c r="BK67">
        <v>1769200930</v>
      </c>
      <c r="BL67">
        <v>14</v>
      </c>
      <c r="BM67">
        <v>8.9999999999999993E-3</v>
      </c>
      <c r="BN67">
        <v>-2.1000000000000001E-2</v>
      </c>
      <c r="BO67">
        <v>-0.80400000000000005</v>
      </c>
      <c r="BP67">
        <v>8.5999999999999993E-2</v>
      </c>
      <c r="BQ67">
        <v>410</v>
      </c>
      <c r="BR67">
        <v>14</v>
      </c>
      <c r="BS67">
        <v>0.16</v>
      </c>
      <c r="BT67">
        <v>0.03</v>
      </c>
      <c r="BU67">
        <v>-0.46633459999999999</v>
      </c>
      <c r="BV67">
        <v>-0.17350754887218101</v>
      </c>
      <c r="BW67">
        <v>2.3897273108871599E-2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1.2575179999999999</v>
      </c>
      <c r="CD67">
        <v>-0.144012631578947</v>
      </c>
      <c r="CE67">
        <v>1.5488958518893399E-2</v>
      </c>
      <c r="CF67">
        <v>0</v>
      </c>
      <c r="CG67">
        <v>1</v>
      </c>
      <c r="CH67">
        <v>2</v>
      </c>
      <c r="CI67" t="s">
        <v>302</v>
      </c>
      <c r="CJ67">
        <v>3.5325099999999998</v>
      </c>
      <c r="CK67">
        <v>2.70207</v>
      </c>
      <c r="CL67">
        <v>9.8007700000000003E-2</v>
      </c>
      <c r="CM67">
        <v>9.6737299999999998E-2</v>
      </c>
      <c r="CN67">
        <v>8.70311E-2</v>
      </c>
      <c r="CO67">
        <v>8.0880099999999996E-2</v>
      </c>
      <c r="CP67">
        <v>31638.400000000001</v>
      </c>
      <c r="CQ67">
        <v>27844.3</v>
      </c>
      <c r="CR67">
        <v>32463.599999999999</v>
      </c>
      <c r="CS67">
        <v>30752.7</v>
      </c>
      <c r="CT67">
        <v>40137.599999999999</v>
      </c>
      <c r="CU67">
        <v>39756.199999999997</v>
      </c>
      <c r="CV67">
        <v>47416.800000000003</v>
      </c>
      <c r="CW67">
        <v>46907.1</v>
      </c>
      <c r="CX67">
        <v>2.6253799999999998</v>
      </c>
      <c r="CY67">
        <v>2.12432</v>
      </c>
      <c r="CZ67">
        <v>0</v>
      </c>
      <c r="DA67">
        <v>0</v>
      </c>
      <c r="DB67">
        <v>999.9</v>
      </c>
      <c r="DC67">
        <v>999.9</v>
      </c>
      <c r="DD67">
        <v>45.396999999999998</v>
      </c>
      <c r="DE67">
        <v>28.670999999999999</v>
      </c>
      <c r="DF67">
        <v>17.873799999999999</v>
      </c>
      <c r="DG67">
        <v>30.399899999999999</v>
      </c>
      <c r="DH67">
        <v>16.598600000000001</v>
      </c>
      <c r="DI67">
        <v>2</v>
      </c>
      <c r="DJ67">
        <v>-0.13034599999999999</v>
      </c>
      <c r="DK67">
        <v>1.8101</v>
      </c>
      <c r="DL67">
        <v>20.239899999999999</v>
      </c>
      <c r="DM67">
        <v>5.2481999999999998</v>
      </c>
      <c r="DN67">
        <v>12.033899999999999</v>
      </c>
      <c r="DO67">
        <v>4.9668799999999997</v>
      </c>
      <c r="DP67">
        <v>3.2909999999999999</v>
      </c>
      <c r="DQ67">
        <v>537.9</v>
      </c>
      <c r="DR67">
        <v>9999</v>
      </c>
      <c r="DS67">
        <v>9999</v>
      </c>
      <c r="DT67">
        <v>9999</v>
      </c>
      <c r="DU67">
        <v>1.8710500000000001</v>
      </c>
      <c r="DV67">
        <v>1.87608</v>
      </c>
      <c r="DW67">
        <v>1.87626</v>
      </c>
      <c r="DX67">
        <v>1.8827799999999999</v>
      </c>
      <c r="DY67">
        <v>1.87557</v>
      </c>
      <c r="DZ67">
        <v>1.8746400000000001</v>
      </c>
      <c r="EA67">
        <v>1.87077</v>
      </c>
      <c r="EB67">
        <v>1.8745799999999999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-0.80400000000000005</v>
      </c>
      <c r="EQ67">
        <v>8.5900000000000004E-2</v>
      </c>
      <c r="ER67">
        <v>-0.80430000000006896</v>
      </c>
      <c r="ES67">
        <v>0</v>
      </c>
      <c r="ET67">
        <v>0</v>
      </c>
      <c r="EU67">
        <v>0</v>
      </c>
      <c r="EV67">
        <v>8.5900000000000504E-2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7.1</v>
      </c>
      <c r="FE67">
        <v>7.1</v>
      </c>
      <c r="FF67">
        <v>1.24512</v>
      </c>
      <c r="FG67">
        <v>2.6061999999999999</v>
      </c>
      <c r="FH67">
        <v>2.19604</v>
      </c>
      <c r="FI67">
        <v>2.66113</v>
      </c>
      <c r="FJ67">
        <v>2.4462899999999999</v>
      </c>
      <c r="FK67">
        <v>2.2949199999999998</v>
      </c>
      <c r="FL67">
        <v>32.842399999999998</v>
      </c>
      <c r="FM67">
        <v>24.148800000000001</v>
      </c>
      <c r="FN67">
        <v>19</v>
      </c>
      <c r="FO67">
        <v>864.93499999999995</v>
      </c>
      <c r="FP67">
        <v>570.02800000000002</v>
      </c>
      <c r="FQ67">
        <v>18.4937</v>
      </c>
      <c r="FR67">
        <v>25.345300000000002</v>
      </c>
      <c r="FS67">
        <v>30.0001</v>
      </c>
      <c r="FT67">
        <v>25.329699999999999</v>
      </c>
      <c r="FU67">
        <v>25.3323</v>
      </c>
      <c r="FV67">
        <v>24.986799999999999</v>
      </c>
      <c r="FW67">
        <v>23.928999999999998</v>
      </c>
      <c r="FX67">
        <v>6.0588800000000003</v>
      </c>
      <c r="FY67">
        <v>18.511399999999998</v>
      </c>
      <c r="FZ67">
        <v>410</v>
      </c>
      <c r="GA67">
        <v>14.1168</v>
      </c>
      <c r="GB67">
        <v>99.908500000000004</v>
      </c>
      <c r="GC67">
        <v>99.848299999999995</v>
      </c>
    </row>
    <row r="68" spans="1:185" x14ac:dyDescent="0.2">
      <c r="A68">
        <v>53</v>
      </c>
      <c r="B68">
        <v>1769201373</v>
      </c>
      <c r="C68">
        <v>1102</v>
      </c>
      <c r="D68" t="s">
        <v>400</v>
      </c>
      <c r="E68" t="s">
        <v>401</v>
      </c>
      <c r="F68">
        <v>15</v>
      </c>
      <c r="G68">
        <v>1769201364.9333301</v>
      </c>
      <c r="H68">
        <f t="shared" si="13"/>
        <v>1.0123062792162076E-3</v>
      </c>
      <c r="I68">
        <v>0</v>
      </c>
      <c r="J68">
        <f t="shared" si="12"/>
        <v>-3.3605046421746239E-4</v>
      </c>
      <c r="K68">
        <f t="shared" si="14"/>
        <v>-8.6629021875717759E-3</v>
      </c>
      <c r="L68">
        <f t="shared" si="15"/>
        <v>69.854313613501816</v>
      </c>
      <c r="M68">
        <f t="shared" si="16"/>
        <v>1.5388520106697046</v>
      </c>
      <c r="N68">
        <f t="shared" si="17"/>
        <v>2.2029448591880043</v>
      </c>
      <c r="O68">
        <v>0</v>
      </c>
      <c r="P68">
        <v>0</v>
      </c>
      <c r="Q68">
        <f t="shared" si="18"/>
        <v>1</v>
      </c>
      <c r="R68">
        <f t="shared" si="19"/>
        <v>0</v>
      </c>
      <c r="S68">
        <f t="shared" si="20"/>
        <v>26268.467407957214</v>
      </c>
      <c r="T68">
        <f t="shared" si="21"/>
        <v>0</v>
      </c>
      <c r="U68">
        <f t="shared" si="22"/>
        <v>0</v>
      </c>
      <c r="V68">
        <f t="shared" si="23"/>
        <v>0.84314180999999999</v>
      </c>
      <c r="W68">
        <f t="shared" si="24"/>
        <v>0.159054525</v>
      </c>
      <c r="X68">
        <v>1</v>
      </c>
      <c r="Y68">
        <v>1769201364.9333301</v>
      </c>
      <c r="Z68">
        <v>409.49</v>
      </c>
      <c r="AA68">
        <v>409.99733333333302</v>
      </c>
      <c r="AB68">
        <v>15.344773333333301</v>
      </c>
      <c r="AC68">
        <v>14.0988066666667</v>
      </c>
      <c r="AD68">
        <v>410.2946</v>
      </c>
      <c r="AE68">
        <v>15.2588733333333</v>
      </c>
      <c r="AF68">
        <v>799.99946666666699</v>
      </c>
      <c r="AG68">
        <v>100.221066666667</v>
      </c>
      <c r="AH68">
        <v>6.4025673333333297E-2</v>
      </c>
      <c r="AI68">
        <v>18.983746666666701</v>
      </c>
      <c r="AJ68">
        <v>999.9</v>
      </c>
      <c r="AK68">
        <v>999.9</v>
      </c>
      <c r="AL68">
        <v>0</v>
      </c>
      <c r="AM68">
        <v>0</v>
      </c>
      <c r="AN68">
        <v>4997.8333333333303</v>
      </c>
      <c r="AO68">
        <v>0</v>
      </c>
      <c r="AP68">
        <v>1.53292466666667</v>
      </c>
      <c r="AQ68">
        <v>-0.50727333333333302</v>
      </c>
      <c r="AR68">
        <v>415.871733333333</v>
      </c>
      <c r="AS68">
        <v>415.86046666666698</v>
      </c>
      <c r="AT68">
        <v>1.2459593333333301</v>
      </c>
      <c r="AU68">
        <v>409.99733333333302</v>
      </c>
      <c r="AV68">
        <v>14.0988066666667</v>
      </c>
      <c r="AW68">
        <v>1.5378673333333299</v>
      </c>
      <c r="AX68">
        <v>1.4129959999999999</v>
      </c>
      <c r="AY68">
        <v>13.3499533333333</v>
      </c>
      <c r="AZ68">
        <v>12.057826666666701</v>
      </c>
      <c r="BA68">
        <v>0</v>
      </c>
      <c r="BB68">
        <v>0.89527299999999999</v>
      </c>
      <c r="BC68">
        <v>0</v>
      </c>
      <c r="BD68">
        <v>0.104727</v>
      </c>
      <c r="BE68">
        <v>0</v>
      </c>
      <c r="BF68">
        <v>24</v>
      </c>
      <c r="BG68">
        <v>0</v>
      </c>
      <c r="BH68">
        <v>1769200934</v>
      </c>
      <c r="BI68" t="s">
        <v>363</v>
      </c>
      <c r="BJ68">
        <v>1769200934</v>
      </c>
      <c r="BK68">
        <v>1769200930</v>
      </c>
      <c r="BL68">
        <v>14</v>
      </c>
      <c r="BM68">
        <v>8.9999999999999993E-3</v>
      </c>
      <c r="BN68">
        <v>-2.1000000000000001E-2</v>
      </c>
      <c r="BO68">
        <v>-0.80400000000000005</v>
      </c>
      <c r="BP68">
        <v>8.5999999999999993E-2</v>
      </c>
      <c r="BQ68">
        <v>410</v>
      </c>
      <c r="BR68">
        <v>14</v>
      </c>
      <c r="BS68">
        <v>0.16</v>
      </c>
      <c r="BT68">
        <v>0.03</v>
      </c>
      <c r="BU68">
        <v>-0.50057214999999999</v>
      </c>
      <c r="BV68">
        <v>-0.114457127819549</v>
      </c>
      <c r="BW68">
        <v>1.8836239625453399E-2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1.2421180000000001</v>
      </c>
      <c r="CD68">
        <v>5.8296541353383302E-2</v>
      </c>
      <c r="CE68">
        <v>6.1884881837165999E-3</v>
      </c>
      <c r="CF68">
        <v>1</v>
      </c>
      <c r="CG68">
        <v>2</v>
      </c>
      <c r="CH68">
        <v>2</v>
      </c>
      <c r="CI68" t="s">
        <v>297</v>
      </c>
      <c r="CJ68">
        <v>3.5325199999999999</v>
      </c>
      <c r="CK68">
        <v>2.7017600000000002</v>
      </c>
      <c r="CL68">
        <v>9.8025100000000004E-2</v>
      </c>
      <c r="CM68">
        <v>9.6744700000000003E-2</v>
      </c>
      <c r="CN68">
        <v>8.7074499999999999E-2</v>
      </c>
      <c r="CO68">
        <v>8.0808099999999994E-2</v>
      </c>
      <c r="CP68">
        <v>31637.599999999999</v>
      </c>
      <c r="CQ68">
        <v>27843.8</v>
      </c>
      <c r="CR68">
        <v>32463.5</v>
      </c>
      <c r="CS68">
        <v>30752.3</v>
      </c>
      <c r="CT68">
        <v>40135.5</v>
      </c>
      <c r="CU68">
        <v>39758.9</v>
      </c>
      <c r="CV68">
        <v>47416.6</v>
      </c>
      <c r="CW68">
        <v>46906.5</v>
      </c>
      <c r="CX68">
        <v>2.6253199999999999</v>
      </c>
      <c r="CY68">
        <v>2.1242000000000001</v>
      </c>
      <c r="CZ68">
        <v>0</v>
      </c>
      <c r="DA68">
        <v>0</v>
      </c>
      <c r="DB68">
        <v>999.9</v>
      </c>
      <c r="DC68">
        <v>999.9</v>
      </c>
      <c r="DD68">
        <v>45.372999999999998</v>
      </c>
      <c r="DE68">
        <v>28.670999999999999</v>
      </c>
      <c r="DF68">
        <v>17.863399999999999</v>
      </c>
      <c r="DG68">
        <v>30.2499</v>
      </c>
      <c r="DH68">
        <v>16.494399999999999</v>
      </c>
      <c r="DI68">
        <v>2</v>
      </c>
      <c r="DJ68">
        <v>-0.13006499999999999</v>
      </c>
      <c r="DK68">
        <v>1.7962899999999999</v>
      </c>
      <c r="DL68">
        <v>20.240200000000002</v>
      </c>
      <c r="DM68">
        <v>5.24796</v>
      </c>
      <c r="DN68">
        <v>12.033899999999999</v>
      </c>
      <c r="DO68">
        <v>4.9668000000000001</v>
      </c>
      <c r="DP68">
        <v>3.2909999999999999</v>
      </c>
      <c r="DQ68">
        <v>537.9</v>
      </c>
      <c r="DR68">
        <v>9999</v>
      </c>
      <c r="DS68">
        <v>9999</v>
      </c>
      <c r="DT68">
        <v>9999</v>
      </c>
      <c r="DU68">
        <v>1.87103</v>
      </c>
      <c r="DV68">
        <v>1.8760699999999999</v>
      </c>
      <c r="DW68">
        <v>1.87622</v>
      </c>
      <c r="DX68">
        <v>1.8827700000000001</v>
      </c>
      <c r="DY68">
        <v>1.8755299999999999</v>
      </c>
      <c r="DZ68">
        <v>1.8746</v>
      </c>
      <c r="EA68">
        <v>1.8707499999999999</v>
      </c>
      <c r="EB68">
        <v>1.8745400000000001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-0.80400000000000005</v>
      </c>
      <c r="EQ68">
        <v>8.5900000000000004E-2</v>
      </c>
      <c r="ER68">
        <v>-0.80430000000006896</v>
      </c>
      <c r="ES68">
        <v>0</v>
      </c>
      <c r="ET68">
        <v>0</v>
      </c>
      <c r="EU68">
        <v>0</v>
      </c>
      <c r="EV68">
        <v>8.5900000000000504E-2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7.3</v>
      </c>
      <c r="FE68">
        <v>7.4</v>
      </c>
      <c r="FF68">
        <v>1.24512</v>
      </c>
      <c r="FG68">
        <v>2.5976599999999999</v>
      </c>
      <c r="FH68">
        <v>2.19604</v>
      </c>
      <c r="FI68">
        <v>2.66113</v>
      </c>
      <c r="FJ68">
        <v>2.4462899999999999</v>
      </c>
      <c r="FK68">
        <v>2.33643</v>
      </c>
      <c r="FL68">
        <v>32.842399999999998</v>
      </c>
      <c r="FM68">
        <v>24.157499999999999</v>
      </c>
      <c r="FN68">
        <v>19</v>
      </c>
      <c r="FO68">
        <v>864.95500000000004</v>
      </c>
      <c r="FP68">
        <v>569.98800000000006</v>
      </c>
      <c r="FQ68">
        <v>18.533899999999999</v>
      </c>
      <c r="FR68">
        <v>25.349599999999999</v>
      </c>
      <c r="FS68">
        <v>30.0002</v>
      </c>
      <c r="FT68">
        <v>25.334399999999999</v>
      </c>
      <c r="FU68">
        <v>25.3369</v>
      </c>
      <c r="FV68">
        <v>24.9862</v>
      </c>
      <c r="FW68">
        <v>23.928999999999998</v>
      </c>
      <c r="FX68">
        <v>5.6880199999999999</v>
      </c>
      <c r="FY68">
        <v>18.5444</v>
      </c>
      <c r="FZ68">
        <v>410</v>
      </c>
      <c r="GA68">
        <v>14.1143</v>
      </c>
      <c r="GB68">
        <v>99.908100000000005</v>
      </c>
      <c r="GC68">
        <v>99.847099999999998</v>
      </c>
    </row>
    <row r="69" spans="1:185" x14ac:dyDescent="0.2">
      <c r="A69">
        <v>54</v>
      </c>
      <c r="B69">
        <v>1769201388</v>
      </c>
      <c r="C69">
        <v>1117</v>
      </c>
      <c r="D69" t="s">
        <v>402</v>
      </c>
      <c r="E69" t="s">
        <v>403</v>
      </c>
      <c r="F69">
        <v>15</v>
      </c>
      <c r="G69">
        <v>1769201379.9333301</v>
      </c>
      <c r="H69">
        <f t="shared" si="13"/>
        <v>1.0280919029780427E-3</v>
      </c>
      <c r="I69">
        <v>0</v>
      </c>
      <c r="J69">
        <f t="shared" si="12"/>
        <v>-1.3535638014981729E-3</v>
      </c>
      <c r="K69">
        <f t="shared" si="14"/>
        <v>-3.4892946344595992E-2</v>
      </c>
      <c r="L69">
        <f t="shared" si="15"/>
        <v>69.802111858119517</v>
      </c>
      <c r="M69">
        <f t="shared" si="16"/>
        <v>1.5387176800794593</v>
      </c>
      <c r="N69">
        <f t="shared" si="17"/>
        <v>2.204399894385821</v>
      </c>
      <c r="O69">
        <v>0</v>
      </c>
      <c r="P69">
        <v>0</v>
      </c>
      <c r="Q69">
        <f t="shared" si="18"/>
        <v>1</v>
      </c>
      <c r="R69">
        <f t="shared" si="19"/>
        <v>0</v>
      </c>
      <c r="S69">
        <f t="shared" si="20"/>
        <v>26317.641799430432</v>
      </c>
      <c r="T69">
        <f t="shared" si="21"/>
        <v>0</v>
      </c>
      <c r="U69">
        <f t="shared" si="22"/>
        <v>0</v>
      </c>
      <c r="V69">
        <f t="shared" si="23"/>
        <v>0.84314180999999999</v>
      </c>
      <c r="W69">
        <f t="shared" si="24"/>
        <v>0.159054525</v>
      </c>
      <c r="X69">
        <v>1</v>
      </c>
      <c r="Y69">
        <v>1769201379.9333301</v>
      </c>
      <c r="Z69">
        <v>409.52499999999998</v>
      </c>
      <c r="AA69">
        <v>410.00766666666698</v>
      </c>
      <c r="AB69">
        <v>15.343526666666699</v>
      </c>
      <c r="AC69">
        <v>14.078139999999999</v>
      </c>
      <c r="AD69">
        <v>410.32920000000001</v>
      </c>
      <c r="AE69">
        <v>15.257626666666701</v>
      </c>
      <c r="AF69">
        <v>800.00633333333303</v>
      </c>
      <c r="AG69">
        <v>100.220666666667</v>
      </c>
      <c r="AH69">
        <v>6.3819000000000001E-2</v>
      </c>
      <c r="AI69">
        <v>18.994326666666701</v>
      </c>
      <c r="AJ69">
        <v>999.9</v>
      </c>
      <c r="AK69">
        <v>999.9</v>
      </c>
      <c r="AL69">
        <v>0</v>
      </c>
      <c r="AM69">
        <v>0</v>
      </c>
      <c r="AN69">
        <v>5006.1000000000004</v>
      </c>
      <c r="AO69">
        <v>0</v>
      </c>
      <c r="AP69">
        <v>1.5403</v>
      </c>
      <c r="AQ69">
        <v>-0.482613133333333</v>
      </c>
      <c r="AR69">
        <v>415.90640000000002</v>
      </c>
      <c r="AS69">
        <v>415.86213333333302</v>
      </c>
      <c r="AT69">
        <v>1.2653793333333301</v>
      </c>
      <c r="AU69">
        <v>410.00766666666698</v>
      </c>
      <c r="AV69">
        <v>14.078139999999999</v>
      </c>
      <c r="AW69">
        <v>1.537736</v>
      </c>
      <c r="AX69">
        <v>1.4109193333333301</v>
      </c>
      <c r="AY69">
        <v>13.3486266666667</v>
      </c>
      <c r="AZ69">
        <v>12.035500000000001</v>
      </c>
      <c r="BA69">
        <v>0</v>
      </c>
      <c r="BB69">
        <v>0.89527299999999999</v>
      </c>
      <c r="BC69">
        <v>0</v>
      </c>
      <c r="BD69">
        <v>0.104727</v>
      </c>
      <c r="BE69">
        <v>0</v>
      </c>
      <c r="BF69">
        <v>24</v>
      </c>
      <c r="BG69">
        <v>0</v>
      </c>
      <c r="BH69">
        <v>1769200934</v>
      </c>
      <c r="BI69" t="s">
        <v>363</v>
      </c>
      <c r="BJ69">
        <v>1769200934</v>
      </c>
      <c r="BK69">
        <v>1769200930</v>
      </c>
      <c r="BL69">
        <v>14</v>
      </c>
      <c r="BM69">
        <v>8.9999999999999993E-3</v>
      </c>
      <c r="BN69">
        <v>-2.1000000000000001E-2</v>
      </c>
      <c r="BO69">
        <v>-0.80400000000000005</v>
      </c>
      <c r="BP69">
        <v>8.5999999999999993E-2</v>
      </c>
      <c r="BQ69">
        <v>410</v>
      </c>
      <c r="BR69">
        <v>14</v>
      </c>
      <c r="BS69">
        <v>0.16</v>
      </c>
      <c r="BT69">
        <v>0.03</v>
      </c>
      <c r="BU69">
        <v>-0.48554684999999997</v>
      </c>
      <c r="BV69">
        <v>8.5215789473687808E-3</v>
      </c>
      <c r="BW69">
        <v>2.83770459654894E-2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1.2624375000000001</v>
      </c>
      <c r="CD69">
        <v>3.3398345864660499E-2</v>
      </c>
      <c r="CE69">
        <v>6.87141606584843E-3</v>
      </c>
      <c r="CF69">
        <v>1</v>
      </c>
      <c r="CG69">
        <v>2</v>
      </c>
      <c r="CH69">
        <v>2</v>
      </c>
      <c r="CI69" t="s">
        <v>297</v>
      </c>
      <c r="CJ69">
        <v>3.5325899999999999</v>
      </c>
      <c r="CK69">
        <v>2.70146</v>
      </c>
      <c r="CL69">
        <v>9.8010899999999998E-2</v>
      </c>
      <c r="CM69">
        <v>9.6738400000000002E-2</v>
      </c>
      <c r="CN69">
        <v>8.7007699999999993E-2</v>
      </c>
      <c r="CO69">
        <v>8.0759999999999998E-2</v>
      </c>
      <c r="CP69">
        <v>31638.3</v>
      </c>
      <c r="CQ69">
        <v>27843.3</v>
      </c>
      <c r="CR69">
        <v>32463.7</v>
      </c>
      <c r="CS69">
        <v>30751.7</v>
      </c>
      <c r="CT69">
        <v>40138.9</v>
      </c>
      <c r="CU69">
        <v>39760.1</v>
      </c>
      <c r="CV69">
        <v>47417.1</v>
      </c>
      <c r="CW69">
        <v>46905.5</v>
      </c>
      <c r="CX69">
        <v>2.62554</v>
      </c>
      <c r="CY69">
        <v>2.1242000000000001</v>
      </c>
      <c r="CZ69">
        <v>0</v>
      </c>
      <c r="DA69">
        <v>0</v>
      </c>
      <c r="DB69">
        <v>999.9</v>
      </c>
      <c r="DC69">
        <v>999.9</v>
      </c>
      <c r="DD69">
        <v>45.323999999999998</v>
      </c>
      <c r="DE69">
        <v>28.670999999999999</v>
      </c>
      <c r="DF69">
        <v>17.8461</v>
      </c>
      <c r="DG69">
        <v>30.399899999999999</v>
      </c>
      <c r="DH69">
        <v>16.474399999999999</v>
      </c>
      <c r="DI69">
        <v>2</v>
      </c>
      <c r="DJ69">
        <v>-0.12951399999999999</v>
      </c>
      <c r="DK69">
        <v>1.8243</v>
      </c>
      <c r="DL69">
        <v>20.239899999999999</v>
      </c>
      <c r="DM69">
        <v>5.2480799999999999</v>
      </c>
      <c r="DN69">
        <v>12.033899999999999</v>
      </c>
      <c r="DO69">
        <v>4.9668400000000004</v>
      </c>
      <c r="DP69">
        <v>3.2909999999999999</v>
      </c>
      <c r="DQ69">
        <v>537.9</v>
      </c>
      <c r="DR69">
        <v>9999</v>
      </c>
      <c r="DS69">
        <v>9999</v>
      </c>
      <c r="DT69">
        <v>9999</v>
      </c>
      <c r="DU69">
        <v>1.87103</v>
      </c>
      <c r="DV69">
        <v>1.87608</v>
      </c>
      <c r="DW69">
        <v>1.8763000000000001</v>
      </c>
      <c r="DX69">
        <v>1.8827799999999999</v>
      </c>
      <c r="DY69">
        <v>1.87557</v>
      </c>
      <c r="DZ69">
        <v>1.8746</v>
      </c>
      <c r="EA69">
        <v>1.8708100000000001</v>
      </c>
      <c r="EB69">
        <v>1.8745700000000001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-0.80500000000000005</v>
      </c>
      <c r="EQ69">
        <v>8.5900000000000004E-2</v>
      </c>
      <c r="ER69">
        <v>-0.80430000000006896</v>
      </c>
      <c r="ES69">
        <v>0</v>
      </c>
      <c r="ET69">
        <v>0</v>
      </c>
      <c r="EU69">
        <v>0</v>
      </c>
      <c r="EV69">
        <v>8.5900000000000504E-2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7.6</v>
      </c>
      <c r="FE69">
        <v>7.6</v>
      </c>
      <c r="FF69">
        <v>1.2439</v>
      </c>
      <c r="FG69">
        <v>2.6037599999999999</v>
      </c>
      <c r="FH69">
        <v>2.19604</v>
      </c>
      <c r="FI69">
        <v>2.66113</v>
      </c>
      <c r="FJ69">
        <v>2.4462899999999999</v>
      </c>
      <c r="FK69">
        <v>2.2534200000000002</v>
      </c>
      <c r="FL69">
        <v>32.8202</v>
      </c>
      <c r="FM69">
        <v>24.148800000000001</v>
      </c>
      <c r="FN69">
        <v>19</v>
      </c>
      <c r="FO69">
        <v>865.24199999999996</v>
      </c>
      <c r="FP69">
        <v>570.04399999999998</v>
      </c>
      <c r="FQ69">
        <v>18.556000000000001</v>
      </c>
      <c r="FR69">
        <v>25.3538</v>
      </c>
      <c r="FS69">
        <v>30.000299999999999</v>
      </c>
      <c r="FT69">
        <v>25.339500000000001</v>
      </c>
      <c r="FU69">
        <v>25.341999999999999</v>
      </c>
      <c r="FV69">
        <v>24.984300000000001</v>
      </c>
      <c r="FW69">
        <v>23.928999999999998</v>
      </c>
      <c r="FX69">
        <v>5.6880199999999999</v>
      </c>
      <c r="FY69">
        <v>18.554500000000001</v>
      </c>
      <c r="FZ69">
        <v>410</v>
      </c>
      <c r="GA69">
        <v>14.1264</v>
      </c>
      <c r="GB69">
        <v>99.908900000000003</v>
      </c>
      <c r="GC69">
        <v>99.844899999999996</v>
      </c>
    </row>
    <row r="70" spans="1:185" x14ac:dyDescent="0.2">
      <c r="A70">
        <v>55</v>
      </c>
      <c r="B70">
        <v>1769201403</v>
      </c>
      <c r="C70">
        <v>1132</v>
      </c>
      <c r="D70" t="s">
        <v>404</v>
      </c>
      <c r="E70" t="s">
        <v>405</v>
      </c>
      <c r="F70">
        <v>15</v>
      </c>
      <c r="G70">
        <v>1769201394.9333301</v>
      </c>
      <c r="H70">
        <f t="shared" si="13"/>
        <v>1.0245025010082924E-3</v>
      </c>
      <c r="I70">
        <v>0</v>
      </c>
      <c r="J70">
        <f t="shared" si="12"/>
        <v>-7.5975372172313682E-4</v>
      </c>
      <c r="K70">
        <f t="shared" si="14"/>
        <v>-1.9585368504868601E-2</v>
      </c>
      <c r="L70">
        <f t="shared" si="15"/>
        <v>69.70594144225403</v>
      </c>
      <c r="M70">
        <f t="shared" si="16"/>
        <v>1.5375805505026421</v>
      </c>
      <c r="N70">
        <f t="shared" si="17"/>
        <v>2.2058098903612233</v>
      </c>
      <c r="O70">
        <v>0</v>
      </c>
      <c r="P70">
        <v>0</v>
      </c>
      <c r="Q70">
        <f t="shared" si="18"/>
        <v>1</v>
      </c>
      <c r="R70">
        <f t="shared" si="19"/>
        <v>0</v>
      </c>
      <c r="S70">
        <f t="shared" si="20"/>
        <v>26236.276595390649</v>
      </c>
      <c r="T70">
        <f t="shared" si="21"/>
        <v>0</v>
      </c>
      <c r="U70">
        <f t="shared" si="22"/>
        <v>0</v>
      </c>
      <c r="V70">
        <f t="shared" si="23"/>
        <v>0.84314180999999999</v>
      </c>
      <c r="W70">
        <f t="shared" si="24"/>
        <v>0.159054525</v>
      </c>
      <c r="X70">
        <v>1</v>
      </c>
      <c r="Y70">
        <v>1769201394.9333301</v>
      </c>
      <c r="Z70">
        <v>409.50246666666698</v>
      </c>
      <c r="AA70">
        <v>410.00240000000002</v>
      </c>
      <c r="AB70">
        <v>15.3320666666667</v>
      </c>
      <c r="AC70">
        <v>14.0710866666667</v>
      </c>
      <c r="AD70">
        <v>410.30666666666701</v>
      </c>
      <c r="AE70">
        <v>15.246166666666699</v>
      </c>
      <c r="AF70">
        <v>800.00853333333305</v>
      </c>
      <c r="AG70">
        <v>100.22133333333301</v>
      </c>
      <c r="AH70">
        <v>6.3943526666666695E-2</v>
      </c>
      <c r="AI70">
        <v>19.004573333333301</v>
      </c>
      <c r="AJ70">
        <v>999.9</v>
      </c>
      <c r="AK70">
        <v>999.9</v>
      </c>
      <c r="AL70">
        <v>0</v>
      </c>
      <c r="AM70">
        <v>0</v>
      </c>
      <c r="AN70">
        <v>4992.8333333333303</v>
      </c>
      <c r="AO70">
        <v>0</v>
      </c>
      <c r="AP70">
        <v>1.5296126666666701</v>
      </c>
      <c r="AQ70">
        <v>-0.49983519999999998</v>
      </c>
      <c r="AR70">
        <v>415.87866666666702</v>
      </c>
      <c r="AS70">
        <v>415.85379999999998</v>
      </c>
      <c r="AT70">
        <v>1.26096866666667</v>
      </c>
      <c r="AU70">
        <v>410.00240000000002</v>
      </c>
      <c r="AV70">
        <v>14.0710866666667</v>
      </c>
      <c r="AW70">
        <v>1.5365993333333301</v>
      </c>
      <c r="AX70">
        <v>1.4102239999999999</v>
      </c>
      <c r="AY70">
        <v>13.337293333333299</v>
      </c>
      <c r="AZ70">
        <v>12.0280066666667</v>
      </c>
      <c r="BA70">
        <v>0</v>
      </c>
      <c r="BB70">
        <v>0.89527299999999999</v>
      </c>
      <c r="BC70">
        <v>0</v>
      </c>
      <c r="BD70">
        <v>0.104727</v>
      </c>
      <c r="BE70">
        <v>0</v>
      </c>
      <c r="BF70">
        <v>24</v>
      </c>
      <c r="BG70">
        <v>0</v>
      </c>
      <c r="BH70">
        <v>1769200934</v>
      </c>
      <c r="BI70" t="s">
        <v>363</v>
      </c>
      <c r="BJ70">
        <v>1769200934</v>
      </c>
      <c r="BK70">
        <v>1769200930</v>
      </c>
      <c r="BL70">
        <v>14</v>
      </c>
      <c r="BM70">
        <v>8.9999999999999993E-3</v>
      </c>
      <c r="BN70">
        <v>-2.1000000000000001E-2</v>
      </c>
      <c r="BO70">
        <v>-0.80400000000000005</v>
      </c>
      <c r="BP70">
        <v>8.5999999999999993E-2</v>
      </c>
      <c r="BQ70">
        <v>410</v>
      </c>
      <c r="BR70">
        <v>14</v>
      </c>
      <c r="BS70">
        <v>0.16</v>
      </c>
      <c r="BT70">
        <v>0.03</v>
      </c>
      <c r="BU70">
        <v>-0.49727025000000002</v>
      </c>
      <c r="BV70">
        <v>-2.0376225563910201E-2</v>
      </c>
      <c r="BW70">
        <v>1.79985113686521E-2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1.2614624999999999</v>
      </c>
      <c r="CD70">
        <v>-1.11902255639086E-2</v>
      </c>
      <c r="CE70">
        <v>1.9850286521861799E-3</v>
      </c>
      <c r="CF70">
        <v>1</v>
      </c>
      <c r="CG70">
        <v>2</v>
      </c>
      <c r="CH70">
        <v>2</v>
      </c>
      <c r="CI70" t="s">
        <v>297</v>
      </c>
      <c r="CJ70">
        <v>3.5325000000000002</v>
      </c>
      <c r="CK70">
        <v>2.70181</v>
      </c>
      <c r="CL70">
        <v>9.8012799999999997E-2</v>
      </c>
      <c r="CM70">
        <v>9.6739400000000003E-2</v>
      </c>
      <c r="CN70">
        <v>8.6993200000000007E-2</v>
      </c>
      <c r="CO70">
        <v>8.0733700000000005E-2</v>
      </c>
      <c r="CP70">
        <v>31638</v>
      </c>
      <c r="CQ70">
        <v>27842.9</v>
      </c>
      <c r="CR70">
        <v>32463.5</v>
      </c>
      <c r="CS70">
        <v>30751.3</v>
      </c>
      <c r="CT70">
        <v>40139.300000000003</v>
      </c>
      <c r="CU70">
        <v>39760.699999999997</v>
      </c>
      <c r="CV70">
        <v>47416.7</v>
      </c>
      <c r="CW70">
        <v>46904.800000000003</v>
      </c>
      <c r="CX70">
        <v>2.62514</v>
      </c>
      <c r="CY70">
        <v>2.1243400000000001</v>
      </c>
      <c r="CZ70">
        <v>0</v>
      </c>
      <c r="DA70">
        <v>0</v>
      </c>
      <c r="DB70">
        <v>999.9</v>
      </c>
      <c r="DC70">
        <v>999.9</v>
      </c>
      <c r="DD70">
        <v>45.3</v>
      </c>
      <c r="DE70">
        <v>28.670999999999999</v>
      </c>
      <c r="DF70">
        <v>17.836400000000001</v>
      </c>
      <c r="DG70">
        <v>30.309899999999999</v>
      </c>
      <c r="DH70">
        <v>16.5946</v>
      </c>
      <c r="DI70">
        <v>2</v>
      </c>
      <c r="DJ70">
        <v>-0.12823200000000001</v>
      </c>
      <c r="DK70">
        <v>2.1040800000000002</v>
      </c>
      <c r="DL70">
        <v>20.235800000000001</v>
      </c>
      <c r="DM70">
        <v>5.2490399999999999</v>
      </c>
      <c r="DN70">
        <v>12.033899999999999</v>
      </c>
      <c r="DO70">
        <v>4.9668400000000004</v>
      </c>
      <c r="DP70">
        <v>3.2909999999999999</v>
      </c>
      <c r="DQ70">
        <v>537.9</v>
      </c>
      <c r="DR70">
        <v>9999</v>
      </c>
      <c r="DS70">
        <v>9999</v>
      </c>
      <c r="DT70">
        <v>9999</v>
      </c>
      <c r="DU70">
        <v>1.87103</v>
      </c>
      <c r="DV70">
        <v>1.87608</v>
      </c>
      <c r="DW70">
        <v>1.87626</v>
      </c>
      <c r="DX70">
        <v>1.8827799999999999</v>
      </c>
      <c r="DY70">
        <v>1.87558</v>
      </c>
      <c r="DZ70">
        <v>1.87462</v>
      </c>
      <c r="EA70">
        <v>1.8707800000000001</v>
      </c>
      <c r="EB70">
        <v>1.8745499999999999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-0.80400000000000005</v>
      </c>
      <c r="EQ70">
        <v>8.5900000000000004E-2</v>
      </c>
      <c r="ER70">
        <v>-0.80430000000006896</v>
      </c>
      <c r="ES70">
        <v>0</v>
      </c>
      <c r="ET70">
        <v>0</v>
      </c>
      <c r="EU70">
        <v>0</v>
      </c>
      <c r="EV70">
        <v>8.5900000000000504E-2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7.8</v>
      </c>
      <c r="FE70">
        <v>7.9</v>
      </c>
      <c r="FF70">
        <v>1.24512</v>
      </c>
      <c r="FG70">
        <v>2.6110799999999998</v>
      </c>
      <c r="FH70">
        <v>2.19604</v>
      </c>
      <c r="FI70">
        <v>2.66113</v>
      </c>
      <c r="FJ70">
        <v>2.4462899999999999</v>
      </c>
      <c r="FK70">
        <v>2.3022499999999999</v>
      </c>
      <c r="FL70">
        <v>32.842399999999998</v>
      </c>
      <c r="FM70">
        <v>24.148800000000001</v>
      </c>
      <c r="FN70">
        <v>19</v>
      </c>
      <c r="FO70">
        <v>864.93899999999996</v>
      </c>
      <c r="FP70">
        <v>570.19799999999998</v>
      </c>
      <c r="FQ70">
        <v>18.443100000000001</v>
      </c>
      <c r="FR70">
        <v>25.358499999999999</v>
      </c>
      <c r="FS70">
        <v>30.0002</v>
      </c>
      <c r="FT70">
        <v>25.343800000000002</v>
      </c>
      <c r="FU70">
        <v>25.346299999999999</v>
      </c>
      <c r="FV70">
        <v>24.985099999999999</v>
      </c>
      <c r="FW70">
        <v>23.651</v>
      </c>
      <c r="FX70">
        <v>5.6880199999999999</v>
      </c>
      <c r="FY70">
        <v>18.436399999999999</v>
      </c>
      <c r="FZ70">
        <v>410</v>
      </c>
      <c r="GA70">
        <v>14.1388</v>
      </c>
      <c r="GB70">
        <v>99.908299999999997</v>
      </c>
      <c r="GC70">
        <v>99.843500000000006</v>
      </c>
    </row>
    <row r="71" spans="1:185" x14ac:dyDescent="0.2">
      <c r="A71">
        <v>56</v>
      </c>
      <c r="B71">
        <v>1769201418.0999999</v>
      </c>
      <c r="C71">
        <v>1147.0999999046301</v>
      </c>
      <c r="D71" t="s">
        <v>406</v>
      </c>
      <c r="E71" t="s">
        <v>407</v>
      </c>
      <c r="F71">
        <v>15</v>
      </c>
      <c r="G71">
        <v>1769201410.5142901</v>
      </c>
      <c r="H71">
        <f t="shared" si="13"/>
        <v>9.9732608419321987E-4</v>
      </c>
      <c r="I71">
        <v>0</v>
      </c>
      <c r="J71">
        <f t="shared" si="12"/>
        <v>-1.0532953321393793E-3</v>
      </c>
      <c r="K71">
        <f t="shared" si="14"/>
        <v>-2.7152453004929439E-2</v>
      </c>
      <c r="L71">
        <f t="shared" si="15"/>
        <v>69.737699830841052</v>
      </c>
      <c r="M71">
        <f t="shared" si="16"/>
        <v>1.5381711982749564</v>
      </c>
      <c r="N71">
        <f t="shared" si="17"/>
        <v>2.2056523257951075</v>
      </c>
      <c r="O71">
        <v>0</v>
      </c>
      <c r="P71">
        <v>0</v>
      </c>
      <c r="Q71">
        <f t="shared" si="18"/>
        <v>1</v>
      </c>
      <c r="R71">
        <f t="shared" si="19"/>
        <v>0</v>
      </c>
      <c r="S71">
        <f t="shared" si="20"/>
        <v>26291.526862739731</v>
      </c>
      <c r="T71">
        <f t="shared" si="21"/>
        <v>0</v>
      </c>
      <c r="U71">
        <f t="shared" si="22"/>
        <v>0</v>
      </c>
      <c r="V71">
        <f t="shared" si="23"/>
        <v>0.84314180999999999</v>
      </c>
      <c r="W71">
        <f t="shared" si="24"/>
        <v>0.159054525</v>
      </c>
      <c r="X71">
        <v>1</v>
      </c>
      <c r="Y71">
        <v>1769201410.5142901</v>
      </c>
      <c r="Z71">
        <v>409.50700000000001</v>
      </c>
      <c r="AA71">
        <v>409.983571428571</v>
      </c>
      <c r="AB71">
        <v>15.3380142857143</v>
      </c>
      <c r="AC71">
        <v>14.1104857142857</v>
      </c>
      <c r="AD71">
        <v>410.31135714285699</v>
      </c>
      <c r="AE71">
        <v>15.252114285714301</v>
      </c>
      <c r="AF71">
        <v>800.005071428571</v>
      </c>
      <c r="AG71">
        <v>100.220857142857</v>
      </c>
      <c r="AH71">
        <v>6.4040864285714302E-2</v>
      </c>
      <c r="AI71">
        <v>19.0034285714286</v>
      </c>
      <c r="AJ71">
        <v>999.9</v>
      </c>
      <c r="AK71">
        <v>999.9</v>
      </c>
      <c r="AL71">
        <v>0</v>
      </c>
      <c r="AM71">
        <v>0</v>
      </c>
      <c r="AN71">
        <v>5001.9285714285697</v>
      </c>
      <c r="AO71">
        <v>0</v>
      </c>
      <c r="AP71">
        <v>1.5261128571428599</v>
      </c>
      <c r="AQ71">
        <v>-0.47647085714285697</v>
      </c>
      <c r="AR71">
        <v>415.88585714285699</v>
      </c>
      <c r="AS71">
        <v>415.85135714285701</v>
      </c>
      <c r="AT71">
        <v>1.22751928571429</v>
      </c>
      <c r="AU71">
        <v>409.983571428571</v>
      </c>
      <c r="AV71">
        <v>14.1104857142857</v>
      </c>
      <c r="AW71">
        <v>1.53718857142857</v>
      </c>
      <c r="AX71">
        <v>1.41416571428571</v>
      </c>
      <c r="AY71">
        <v>13.3431714285714</v>
      </c>
      <c r="AZ71">
        <v>12.0703714285714</v>
      </c>
      <c r="BA71">
        <v>0</v>
      </c>
      <c r="BB71">
        <v>0.89527299999999999</v>
      </c>
      <c r="BC71">
        <v>0</v>
      </c>
      <c r="BD71">
        <v>0.104727</v>
      </c>
      <c r="BE71">
        <v>0</v>
      </c>
      <c r="BF71">
        <v>24</v>
      </c>
      <c r="BG71">
        <v>0</v>
      </c>
      <c r="BH71">
        <v>1769200934</v>
      </c>
      <c r="BI71" t="s">
        <v>363</v>
      </c>
      <c r="BJ71">
        <v>1769200934</v>
      </c>
      <c r="BK71">
        <v>1769200930</v>
      </c>
      <c r="BL71">
        <v>14</v>
      </c>
      <c r="BM71">
        <v>8.9999999999999993E-3</v>
      </c>
      <c r="BN71">
        <v>-2.1000000000000001E-2</v>
      </c>
      <c r="BO71">
        <v>-0.80400000000000005</v>
      </c>
      <c r="BP71">
        <v>8.5999999999999993E-2</v>
      </c>
      <c r="BQ71">
        <v>410</v>
      </c>
      <c r="BR71">
        <v>14</v>
      </c>
      <c r="BS71">
        <v>0.16</v>
      </c>
      <c r="BT71">
        <v>0.03</v>
      </c>
      <c r="BU71">
        <v>-0.47937610000000003</v>
      </c>
      <c r="BV71">
        <v>-1.1756025819185801E-2</v>
      </c>
      <c r="BW71">
        <v>2.6482712666756801E-2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1.239743</v>
      </c>
      <c r="CD71">
        <v>-0.182844656191093</v>
      </c>
      <c r="CE71">
        <v>1.9771221535352799E-2</v>
      </c>
      <c r="CF71">
        <v>0</v>
      </c>
      <c r="CG71">
        <v>1</v>
      </c>
      <c r="CH71">
        <v>2</v>
      </c>
      <c r="CI71" t="s">
        <v>302</v>
      </c>
      <c r="CJ71">
        <v>3.5325700000000002</v>
      </c>
      <c r="CK71">
        <v>2.7019299999999999</v>
      </c>
      <c r="CL71">
        <v>9.8008600000000001E-2</v>
      </c>
      <c r="CM71">
        <v>9.6741599999999997E-2</v>
      </c>
      <c r="CN71">
        <v>8.7049799999999997E-2</v>
      </c>
      <c r="CO71">
        <v>8.0959900000000001E-2</v>
      </c>
      <c r="CP71">
        <v>31637.599999999999</v>
      </c>
      <c r="CQ71">
        <v>27842.799999999999</v>
      </c>
      <c r="CR71">
        <v>32463</v>
      </c>
      <c r="CS71">
        <v>30751.200000000001</v>
      </c>
      <c r="CT71">
        <v>40136.199999999997</v>
      </c>
      <c r="CU71">
        <v>39750.699999999997</v>
      </c>
      <c r="CV71">
        <v>47416.1</v>
      </c>
      <c r="CW71">
        <v>46904.9</v>
      </c>
      <c r="CX71">
        <v>2.6249600000000002</v>
      </c>
      <c r="CY71">
        <v>2.1241400000000001</v>
      </c>
      <c r="CZ71">
        <v>0</v>
      </c>
      <c r="DA71">
        <v>0</v>
      </c>
      <c r="DB71">
        <v>999.9</v>
      </c>
      <c r="DC71">
        <v>999.9</v>
      </c>
      <c r="DD71">
        <v>45.274999999999999</v>
      </c>
      <c r="DE71">
        <v>28.670999999999999</v>
      </c>
      <c r="DF71">
        <v>17.824300000000001</v>
      </c>
      <c r="DG71">
        <v>30.099900000000002</v>
      </c>
      <c r="DH71">
        <v>16.442299999999999</v>
      </c>
      <c r="DI71">
        <v>2</v>
      </c>
      <c r="DJ71">
        <v>-0.12839999999999999</v>
      </c>
      <c r="DK71">
        <v>1.9865999999999999</v>
      </c>
      <c r="DL71">
        <v>20.2377</v>
      </c>
      <c r="DM71">
        <v>5.2503500000000001</v>
      </c>
      <c r="DN71">
        <v>12.033899999999999</v>
      </c>
      <c r="DO71">
        <v>4.9671200000000004</v>
      </c>
      <c r="DP71">
        <v>3.2909999999999999</v>
      </c>
      <c r="DQ71">
        <v>537.9</v>
      </c>
      <c r="DR71">
        <v>9999</v>
      </c>
      <c r="DS71">
        <v>9999</v>
      </c>
      <c r="DT71">
        <v>9999</v>
      </c>
      <c r="DU71">
        <v>1.87103</v>
      </c>
      <c r="DV71">
        <v>1.8760699999999999</v>
      </c>
      <c r="DW71">
        <v>1.87626</v>
      </c>
      <c r="DX71">
        <v>1.8827799999999999</v>
      </c>
      <c r="DY71">
        <v>1.8755599999999999</v>
      </c>
      <c r="DZ71">
        <v>1.87462</v>
      </c>
      <c r="EA71">
        <v>1.8708100000000001</v>
      </c>
      <c r="EB71">
        <v>1.8745799999999999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-0.80400000000000005</v>
      </c>
      <c r="EQ71">
        <v>8.5900000000000004E-2</v>
      </c>
      <c r="ER71">
        <v>-0.80430000000006896</v>
      </c>
      <c r="ES71">
        <v>0</v>
      </c>
      <c r="ET71">
        <v>0</v>
      </c>
      <c r="EU71">
        <v>0</v>
      </c>
      <c r="EV71">
        <v>8.5900000000000504E-2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8.1</v>
      </c>
      <c r="FE71">
        <v>8.1</v>
      </c>
      <c r="FF71">
        <v>1.24512</v>
      </c>
      <c r="FG71">
        <v>2.6037599999999999</v>
      </c>
      <c r="FH71">
        <v>2.19604</v>
      </c>
      <c r="FI71">
        <v>2.66113</v>
      </c>
      <c r="FJ71">
        <v>2.4462899999999999</v>
      </c>
      <c r="FK71">
        <v>2.323</v>
      </c>
      <c r="FL71">
        <v>32.842399999999998</v>
      </c>
      <c r="FM71">
        <v>24.157499999999999</v>
      </c>
      <c r="FN71">
        <v>19</v>
      </c>
      <c r="FO71">
        <v>864.84</v>
      </c>
      <c r="FP71">
        <v>570.09799999999996</v>
      </c>
      <c r="FQ71">
        <v>18.423100000000002</v>
      </c>
      <c r="FR71">
        <v>25.3628</v>
      </c>
      <c r="FS71">
        <v>30.0001</v>
      </c>
      <c r="FT71">
        <v>25.348099999999999</v>
      </c>
      <c r="FU71">
        <v>25.350899999999999</v>
      </c>
      <c r="FV71">
        <v>24.9876</v>
      </c>
      <c r="FW71">
        <v>23.651</v>
      </c>
      <c r="FX71">
        <v>5.6880199999999999</v>
      </c>
      <c r="FY71">
        <v>18.4267</v>
      </c>
      <c r="FZ71">
        <v>410</v>
      </c>
      <c r="GA71">
        <v>14.1356</v>
      </c>
      <c r="GB71">
        <v>99.906800000000004</v>
      </c>
      <c r="GC71">
        <v>99.843400000000003</v>
      </c>
    </row>
    <row r="72" spans="1:185" x14ac:dyDescent="0.2">
      <c r="A72">
        <v>57</v>
      </c>
      <c r="B72">
        <v>1769201433.0999999</v>
      </c>
      <c r="C72">
        <v>1162.0999999046301</v>
      </c>
      <c r="D72" t="s">
        <v>408</v>
      </c>
      <c r="E72" t="s">
        <v>409</v>
      </c>
      <c r="F72">
        <v>15</v>
      </c>
      <c r="G72">
        <v>1769201425.5999999</v>
      </c>
      <c r="H72">
        <f t="shared" si="13"/>
        <v>9.974675217647843E-4</v>
      </c>
      <c r="I72">
        <v>0</v>
      </c>
      <c r="J72">
        <f t="shared" si="12"/>
        <v>-9.5197882924973434E-4</v>
      </c>
      <c r="K72">
        <f t="shared" si="14"/>
        <v>-2.4540657908726685E-2</v>
      </c>
      <c r="L72">
        <f t="shared" si="15"/>
        <v>69.791326807649725</v>
      </c>
      <c r="M72">
        <f t="shared" si="16"/>
        <v>1.5389183876483428</v>
      </c>
      <c r="N72">
        <f t="shared" si="17"/>
        <v>2.2050281289102305</v>
      </c>
      <c r="O72">
        <v>0</v>
      </c>
      <c r="P72">
        <v>0</v>
      </c>
      <c r="Q72">
        <f t="shared" si="18"/>
        <v>1</v>
      </c>
      <c r="R72">
        <f t="shared" si="19"/>
        <v>0</v>
      </c>
      <c r="S72">
        <f t="shared" si="20"/>
        <v>26313.795681436633</v>
      </c>
      <c r="T72">
        <f t="shared" si="21"/>
        <v>0</v>
      </c>
      <c r="U72">
        <f t="shared" si="22"/>
        <v>0</v>
      </c>
      <c r="V72">
        <f t="shared" si="23"/>
        <v>0.84314180999999999</v>
      </c>
      <c r="W72">
        <f t="shared" si="24"/>
        <v>0.159054525</v>
      </c>
      <c r="X72">
        <v>1</v>
      </c>
      <c r="Y72">
        <v>1769201425.5999999</v>
      </c>
      <c r="Z72">
        <v>409.52542857142902</v>
      </c>
      <c r="AA72">
        <v>410.00535714285701</v>
      </c>
      <c r="AB72">
        <v>15.345535714285701</v>
      </c>
      <c r="AC72">
        <v>14.117850000000001</v>
      </c>
      <c r="AD72">
        <v>410.329785714286</v>
      </c>
      <c r="AE72">
        <v>15.2596357142857</v>
      </c>
      <c r="AF72">
        <v>800.01</v>
      </c>
      <c r="AG72">
        <v>100.22064285714301</v>
      </c>
      <c r="AH72">
        <v>6.37927142857143E-2</v>
      </c>
      <c r="AI72">
        <v>18.998892857142899</v>
      </c>
      <c r="AJ72">
        <v>999.9</v>
      </c>
      <c r="AK72">
        <v>999.9</v>
      </c>
      <c r="AL72">
        <v>0</v>
      </c>
      <c r="AM72">
        <v>0</v>
      </c>
      <c r="AN72">
        <v>5005.5357142857101</v>
      </c>
      <c r="AO72">
        <v>0</v>
      </c>
      <c r="AP72">
        <v>1.5251457142857101</v>
      </c>
      <c r="AQ72">
        <v>-0.47991292857142798</v>
      </c>
      <c r="AR72">
        <v>415.90771428571401</v>
      </c>
      <c r="AS72">
        <v>415.876714285714</v>
      </c>
      <c r="AT72">
        <v>1.2276978571428601</v>
      </c>
      <c r="AU72">
        <v>410.00535714285701</v>
      </c>
      <c r="AV72">
        <v>14.117850000000001</v>
      </c>
      <c r="AW72">
        <v>1.5379428571428599</v>
      </c>
      <c r="AX72">
        <v>1.4149</v>
      </c>
      <c r="AY72">
        <v>13.3506642857143</v>
      </c>
      <c r="AZ72">
        <v>12.0782785714286</v>
      </c>
      <c r="BA72">
        <v>0</v>
      </c>
      <c r="BB72">
        <v>0.89527299999999999</v>
      </c>
      <c r="BC72">
        <v>0</v>
      </c>
      <c r="BD72">
        <v>0.104727</v>
      </c>
      <c r="BE72">
        <v>0</v>
      </c>
      <c r="BF72">
        <v>24</v>
      </c>
      <c r="BG72">
        <v>0</v>
      </c>
      <c r="BH72">
        <v>1769200934</v>
      </c>
      <c r="BI72" t="s">
        <v>363</v>
      </c>
      <c r="BJ72">
        <v>1769200934</v>
      </c>
      <c r="BK72">
        <v>1769200930</v>
      </c>
      <c r="BL72">
        <v>14</v>
      </c>
      <c r="BM72">
        <v>8.9999999999999993E-3</v>
      </c>
      <c r="BN72">
        <v>-2.1000000000000001E-2</v>
      </c>
      <c r="BO72">
        <v>-0.80400000000000005</v>
      </c>
      <c r="BP72">
        <v>8.5999999999999993E-2</v>
      </c>
      <c r="BQ72">
        <v>410</v>
      </c>
      <c r="BR72">
        <v>14</v>
      </c>
      <c r="BS72">
        <v>0.16</v>
      </c>
      <c r="BT72">
        <v>0.03</v>
      </c>
      <c r="BU72">
        <v>-0.48763580000000001</v>
      </c>
      <c r="BV72">
        <v>0.104007565620059</v>
      </c>
      <c r="BW72">
        <v>1.7736968355950799E-2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1.2260690000000001</v>
      </c>
      <c r="CD72">
        <v>3.0640353274307398E-2</v>
      </c>
      <c r="CE72">
        <v>3.2127665648160799E-3</v>
      </c>
      <c r="CF72">
        <v>1</v>
      </c>
      <c r="CG72">
        <v>2</v>
      </c>
      <c r="CH72">
        <v>2</v>
      </c>
      <c r="CI72" t="s">
        <v>297</v>
      </c>
      <c r="CJ72">
        <v>3.5325000000000002</v>
      </c>
      <c r="CK72">
        <v>2.7014499999999999</v>
      </c>
      <c r="CL72">
        <v>9.8003999999999994E-2</v>
      </c>
      <c r="CM72">
        <v>9.6737000000000004E-2</v>
      </c>
      <c r="CN72">
        <v>8.7063600000000005E-2</v>
      </c>
      <c r="CO72">
        <v>8.0933500000000005E-2</v>
      </c>
      <c r="CP72">
        <v>31638.1</v>
      </c>
      <c r="CQ72">
        <v>27842.799999999999</v>
      </c>
      <c r="CR72">
        <v>32463.3</v>
      </c>
      <c r="CS72">
        <v>30751.1</v>
      </c>
      <c r="CT72">
        <v>40136.199999999997</v>
      </c>
      <c r="CU72">
        <v>39751.699999999997</v>
      </c>
      <c r="CV72">
        <v>47416.800000000003</v>
      </c>
      <c r="CW72">
        <v>46904.6</v>
      </c>
      <c r="CX72">
        <v>2.6250399999999998</v>
      </c>
      <c r="CY72">
        <v>2.1242399999999999</v>
      </c>
      <c r="CZ72">
        <v>0</v>
      </c>
      <c r="DA72">
        <v>0</v>
      </c>
      <c r="DB72">
        <v>999.9</v>
      </c>
      <c r="DC72">
        <v>999.9</v>
      </c>
      <c r="DD72">
        <v>45.250999999999998</v>
      </c>
      <c r="DE72">
        <v>28.690999999999999</v>
      </c>
      <c r="DF72">
        <v>17.835899999999999</v>
      </c>
      <c r="DG72">
        <v>29.9499</v>
      </c>
      <c r="DH72">
        <v>16.458300000000001</v>
      </c>
      <c r="DI72">
        <v>2</v>
      </c>
      <c r="DJ72">
        <v>-0.12828899999999999</v>
      </c>
      <c r="DK72">
        <v>1.9312</v>
      </c>
      <c r="DL72">
        <v>20.238199999999999</v>
      </c>
      <c r="DM72">
        <v>5.2490399999999999</v>
      </c>
      <c r="DN72">
        <v>12.033899999999999</v>
      </c>
      <c r="DO72">
        <v>4.9669600000000003</v>
      </c>
      <c r="DP72">
        <v>3.2909999999999999</v>
      </c>
      <c r="DQ72">
        <v>537.9</v>
      </c>
      <c r="DR72">
        <v>9999</v>
      </c>
      <c r="DS72">
        <v>9999</v>
      </c>
      <c r="DT72">
        <v>9999</v>
      </c>
      <c r="DU72">
        <v>1.87104</v>
      </c>
      <c r="DV72">
        <v>1.87608</v>
      </c>
      <c r="DW72">
        <v>1.8763000000000001</v>
      </c>
      <c r="DX72">
        <v>1.8827799999999999</v>
      </c>
      <c r="DY72">
        <v>1.87558</v>
      </c>
      <c r="DZ72">
        <v>1.8746499999999999</v>
      </c>
      <c r="EA72">
        <v>1.8708</v>
      </c>
      <c r="EB72">
        <v>1.87459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-0.80400000000000005</v>
      </c>
      <c r="EQ72">
        <v>8.5900000000000004E-2</v>
      </c>
      <c r="ER72">
        <v>-0.80430000000006896</v>
      </c>
      <c r="ES72">
        <v>0</v>
      </c>
      <c r="ET72">
        <v>0</v>
      </c>
      <c r="EU72">
        <v>0</v>
      </c>
      <c r="EV72">
        <v>8.5900000000000504E-2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8.3000000000000007</v>
      </c>
      <c r="FE72">
        <v>8.4</v>
      </c>
      <c r="FF72">
        <v>1.24512</v>
      </c>
      <c r="FG72">
        <v>2.6025399999999999</v>
      </c>
      <c r="FH72">
        <v>2.19604</v>
      </c>
      <c r="FI72">
        <v>2.66113</v>
      </c>
      <c r="FJ72">
        <v>2.4462899999999999</v>
      </c>
      <c r="FK72">
        <v>2.2851599999999999</v>
      </c>
      <c r="FL72">
        <v>32.842399999999998</v>
      </c>
      <c r="FM72">
        <v>24.148800000000001</v>
      </c>
      <c r="FN72">
        <v>19</v>
      </c>
      <c r="FO72">
        <v>864.98299999999995</v>
      </c>
      <c r="FP72">
        <v>570.21600000000001</v>
      </c>
      <c r="FQ72">
        <v>18.4315</v>
      </c>
      <c r="FR72">
        <v>25.366599999999998</v>
      </c>
      <c r="FS72">
        <v>30.0001</v>
      </c>
      <c r="FT72">
        <v>25.3523</v>
      </c>
      <c r="FU72">
        <v>25.354800000000001</v>
      </c>
      <c r="FV72">
        <v>24.985299999999999</v>
      </c>
      <c r="FW72">
        <v>23.651</v>
      </c>
      <c r="FX72">
        <v>5.6880199999999999</v>
      </c>
      <c r="FY72">
        <v>18.439</v>
      </c>
      <c r="FZ72">
        <v>410</v>
      </c>
      <c r="GA72">
        <v>14.1366</v>
      </c>
      <c r="GB72">
        <v>99.908199999999994</v>
      </c>
      <c r="GC72">
        <v>99.843000000000004</v>
      </c>
    </row>
    <row r="73" spans="1:185" x14ac:dyDescent="0.2">
      <c r="A73">
        <v>58</v>
      </c>
      <c r="B73">
        <v>1769201448.0999999</v>
      </c>
      <c r="C73">
        <v>1177.0999999046301</v>
      </c>
      <c r="D73" t="s">
        <v>410</v>
      </c>
      <c r="E73" t="s">
        <v>411</v>
      </c>
      <c r="F73">
        <v>15</v>
      </c>
      <c r="G73">
        <v>1769201440.5999999</v>
      </c>
      <c r="H73">
        <f t="shared" si="13"/>
        <v>1.007892624766357E-3</v>
      </c>
      <c r="I73">
        <v>0</v>
      </c>
      <c r="J73">
        <f t="shared" si="12"/>
        <v>-7.5135784375860847E-4</v>
      </c>
      <c r="K73">
        <f t="shared" si="14"/>
        <v>-1.9368934732771705E-2</v>
      </c>
      <c r="L73">
        <f t="shared" si="15"/>
        <v>69.834069667054166</v>
      </c>
      <c r="M73">
        <f t="shared" si="16"/>
        <v>1.5396199786843463</v>
      </c>
      <c r="N73">
        <f t="shared" si="17"/>
        <v>2.2046831668621736</v>
      </c>
      <c r="O73">
        <v>0</v>
      </c>
      <c r="P73">
        <v>0</v>
      </c>
      <c r="Q73">
        <f t="shared" si="18"/>
        <v>1</v>
      </c>
      <c r="R73">
        <f t="shared" si="19"/>
        <v>0</v>
      </c>
      <c r="S73">
        <f t="shared" si="20"/>
        <v>26248.847446896576</v>
      </c>
      <c r="T73">
        <f t="shared" si="21"/>
        <v>0</v>
      </c>
      <c r="U73">
        <f t="shared" si="22"/>
        <v>0</v>
      </c>
      <c r="V73">
        <f t="shared" si="23"/>
        <v>0.84314180999999999</v>
      </c>
      <c r="W73">
        <f t="shared" si="24"/>
        <v>0.159054525</v>
      </c>
      <c r="X73">
        <v>1</v>
      </c>
      <c r="Y73">
        <v>1769201440.5999999</v>
      </c>
      <c r="Z73">
        <v>409.50900000000001</v>
      </c>
      <c r="AA73">
        <v>410.00071428571403</v>
      </c>
      <c r="AB73">
        <v>15.352449999999999</v>
      </c>
      <c r="AC73">
        <v>14.111928571428599</v>
      </c>
      <c r="AD73">
        <v>410.31342857142897</v>
      </c>
      <c r="AE73">
        <v>15.266550000000001</v>
      </c>
      <c r="AF73">
        <v>800.00149999999996</v>
      </c>
      <c r="AG73">
        <v>100.221214285714</v>
      </c>
      <c r="AH73">
        <v>6.3755128571428593E-2</v>
      </c>
      <c r="AI73">
        <v>18.996385714285701</v>
      </c>
      <c r="AJ73">
        <v>999.9</v>
      </c>
      <c r="AK73">
        <v>999.9</v>
      </c>
      <c r="AL73">
        <v>0</v>
      </c>
      <c r="AM73">
        <v>0</v>
      </c>
      <c r="AN73">
        <v>4994.7857142857101</v>
      </c>
      <c r="AO73">
        <v>0</v>
      </c>
      <c r="AP73">
        <v>1.5269192857142899</v>
      </c>
      <c r="AQ73">
        <v>-0.49159021428571398</v>
      </c>
      <c r="AR73">
        <v>415.89407142857101</v>
      </c>
      <c r="AS73">
        <v>415.86942857142901</v>
      </c>
      <c r="AT73">
        <v>1.240505</v>
      </c>
      <c r="AU73">
        <v>410.00071428571403</v>
      </c>
      <c r="AV73">
        <v>14.111928571428599</v>
      </c>
      <c r="AW73">
        <v>1.53864142857143</v>
      </c>
      <c r="AX73">
        <v>1.4143157142857099</v>
      </c>
      <c r="AY73">
        <v>13.357642857142899</v>
      </c>
      <c r="AZ73">
        <v>12.0719928571429</v>
      </c>
      <c r="BA73">
        <v>0</v>
      </c>
      <c r="BB73">
        <v>0.89527299999999999</v>
      </c>
      <c r="BC73">
        <v>0</v>
      </c>
      <c r="BD73">
        <v>0.104727</v>
      </c>
      <c r="BE73">
        <v>0</v>
      </c>
      <c r="BF73">
        <v>24</v>
      </c>
      <c r="BG73">
        <v>0</v>
      </c>
      <c r="BH73">
        <v>1769200934</v>
      </c>
      <c r="BI73" t="s">
        <v>363</v>
      </c>
      <c r="BJ73">
        <v>1769200934</v>
      </c>
      <c r="BK73">
        <v>1769200930</v>
      </c>
      <c r="BL73">
        <v>14</v>
      </c>
      <c r="BM73">
        <v>8.9999999999999993E-3</v>
      </c>
      <c r="BN73">
        <v>-2.1000000000000001E-2</v>
      </c>
      <c r="BO73">
        <v>-0.80400000000000005</v>
      </c>
      <c r="BP73">
        <v>8.5999999999999993E-2</v>
      </c>
      <c r="BQ73">
        <v>410</v>
      </c>
      <c r="BR73">
        <v>14</v>
      </c>
      <c r="BS73">
        <v>0.16</v>
      </c>
      <c r="BT73">
        <v>0.03</v>
      </c>
      <c r="BU73">
        <v>-0.48807070000000002</v>
      </c>
      <c r="BV73">
        <v>-5.4212030075189398E-3</v>
      </c>
      <c r="BW73">
        <v>2.2775677166881302E-2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1.2374639999999999</v>
      </c>
      <c r="CD73">
        <v>5.0323308270676402E-2</v>
      </c>
      <c r="CE73">
        <v>5.2592151505714202E-3</v>
      </c>
      <c r="CF73">
        <v>1</v>
      </c>
      <c r="CG73">
        <v>2</v>
      </c>
      <c r="CH73">
        <v>2</v>
      </c>
      <c r="CI73" t="s">
        <v>297</v>
      </c>
      <c r="CJ73">
        <v>3.5325099999999998</v>
      </c>
      <c r="CK73">
        <v>2.7016200000000001</v>
      </c>
      <c r="CL73">
        <v>9.8010100000000003E-2</v>
      </c>
      <c r="CM73">
        <v>9.6735100000000004E-2</v>
      </c>
      <c r="CN73">
        <v>8.7060999999999999E-2</v>
      </c>
      <c r="CO73">
        <v>8.0903900000000001E-2</v>
      </c>
      <c r="CP73">
        <v>31637.599999999999</v>
      </c>
      <c r="CQ73">
        <v>27842.799999999999</v>
      </c>
      <c r="CR73">
        <v>32463.1</v>
      </c>
      <c r="CS73">
        <v>30751</v>
      </c>
      <c r="CT73">
        <v>40135.9</v>
      </c>
      <c r="CU73">
        <v>39753.1</v>
      </c>
      <c r="CV73">
        <v>47416.2</v>
      </c>
      <c r="CW73">
        <v>46904.800000000003</v>
      </c>
      <c r="CX73">
        <v>2.6248399999999998</v>
      </c>
      <c r="CY73">
        <v>2.1241599999999998</v>
      </c>
      <c r="CZ73">
        <v>0</v>
      </c>
      <c r="DA73">
        <v>0</v>
      </c>
      <c r="DB73">
        <v>999.9</v>
      </c>
      <c r="DC73">
        <v>999.9</v>
      </c>
      <c r="DD73">
        <v>45.225999999999999</v>
      </c>
      <c r="DE73">
        <v>28.690999999999999</v>
      </c>
      <c r="DF73">
        <v>17.825800000000001</v>
      </c>
      <c r="DG73">
        <v>30.099900000000002</v>
      </c>
      <c r="DH73">
        <v>16.5745</v>
      </c>
      <c r="DI73">
        <v>2</v>
      </c>
      <c r="DJ73">
        <v>-0.127967</v>
      </c>
      <c r="DK73">
        <v>1.9437</v>
      </c>
      <c r="DL73">
        <v>20.238</v>
      </c>
      <c r="DM73">
        <v>5.2488000000000001</v>
      </c>
      <c r="DN73">
        <v>12.033899999999999</v>
      </c>
      <c r="DO73">
        <v>4.9664400000000004</v>
      </c>
      <c r="DP73">
        <v>3.2909999999999999</v>
      </c>
      <c r="DQ73">
        <v>537.9</v>
      </c>
      <c r="DR73">
        <v>9999</v>
      </c>
      <c r="DS73">
        <v>9999</v>
      </c>
      <c r="DT73">
        <v>9999</v>
      </c>
      <c r="DU73">
        <v>1.8710599999999999</v>
      </c>
      <c r="DV73">
        <v>1.87609</v>
      </c>
      <c r="DW73">
        <v>1.8763000000000001</v>
      </c>
      <c r="DX73">
        <v>1.88279</v>
      </c>
      <c r="DY73">
        <v>1.87557</v>
      </c>
      <c r="DZ73">
        <v>1.87466</v>
      </c>
      <c r="EA73">
        <v>1.8708100000000001</v>
      </c>
      <c r="EB73">
        <v>1.8745799999999999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-0.80400000000000005</v>
      </c>
      <c r="EQ73">
        <v>8.5900000000000004E-2</v>
      </c>
      <c r="ER73">
        <v>-0.80430000000006896</v>
      </c>
      <c r="ES73">
        <v>0</v>
      </c>
      <c r="ET73">
        <v>0</v>
      </c>
      <c r="EU73">
        <v>0</v>
      </c>
      <c r="EV73">
        <v>8.5900000000000504E-2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8.6</v>
      </c>
      <c r="FE73">
        <v>8.6</v>
      </c>
      <c r="FF73">
        <v>1.24512</v>
      </c>
      <c r="FG73">
        <v>2.6061999999999999</v>
      </c>
      <c r="FH73">
        <v>2.19604</v>
      </c>
      <c r="FI73">
        <v>2.66113</v>
      </c>
      <c r="FJ73">
        <v>2.4462899999999999</v>
      </c>
      <c r="FK73">
        <v>2.2961399999999998</v>
      </c>
      <c r="FL73">
        <v>32.864699999999999</v>
      </c>
      <c r="FM73">
        <v>24.148800000000001</v>
      </c>
      <c r="FN73">
        <v>19</v>
      </c>
      <c r="FO73">
        <v>864.86500000000001</v>
      </c>
      <c r="FP73">
        <v>570.197</v>
      </c>
      <c r="FQ73">
        <v>18.444600000000001</v>
      </c>
      <c r="FR73">
        <v>25.3704</v>
      </c>
      <c r="FS73">
        <v>30.0002</v>
      </c>
      <c r="FT73">
        <v>25.3566</v>
      </c>
      <c r="FU73">
        <v>25.358599999999999</v>
      </c>
      <c r="FV73">
        <v>24.985800000000001</v>
      </c>
      <c r="FW73">
        <v>23.651</v>
      </c>
      <c r="FX73">
        <v>5.6880199999999999</v>
      </c>
      <c r="FY73">
        <v>18.446400000000001</v>
      </c>
      <c r="FZ73">
        <v>410</v>
      </c>
      <c r="GA73">
        <v>14.136699999999999</v>
      </c>
      <c r="GB73">
        <v>99.9071</v>
      </c>
      <c r="GC73">
        <v>99.843100000000007</v>
      </c>
    </row>
    <row r="74" spans="1:185" x14ac:dyDescent="0.2">
      <c r="A74">
        <v>59</v>
      </c>
      <c r="B74">
        <v>1769201463.0999999</v>
      </c>
      <c r="C74">
        <v>1192.0999999046301</v>
      </c>
      <c r="D74" t="s">
        <v>412</v>
      </c>
      <c r="E74" t="s">
        <v>413</v>
      </c>
      <c r="F74">
        <v>15</v>
      </c>
      <c r="G74">
        <v>1769201455.5999999</v>
      </c>
      <c r="H74">
        <f t="shared" si="13"/>
        <v>1.0068319824640504E-3</v>
      </c>
      <c r="I74">
        <v>0</v>
      </c>
      <c r="J74">
        <f t="shared" si="12"/>
        <v>-1.233389137075068E-3</v>
      </c>
      <c r="K74">
        <f t="shared" si="14"/>
        <v>-3.1795014711780464E-2</v>
      </c>
      <c r="L74">
        <f t="shared" si="15"/>
        <v>69.798298961580301</v>
      </c>
      <c r="M74">
        <f t="shared" si="16"/>
        <v>1.5388183153568029</v>
      </c>
      <c r="N74">
        <f t="shared" si="17"/>
        <v>2.2046644950528496</v>
      </c>
      <c r="O74">
        <v>0</v>
      </c>
      <c r="P74">
        <v>0</v>
      </c>
      <c r="Q74">
        <f t="shared" si="18"/>
        <v>1</v>
      </c>
      <c r="R74">
        <f t="shared" si="19"/>
        <v>0</v>
      </c>
      <c r="S74">
        <f t="shared" si="20"/>
        <v>26320.048039976264</v>
      </c>
      <c r="T74">
        <f t="shared" si="21"/>
        <v>0</v>
      </c>
      <c r="U74">
        <f t="shared" si="22"/>
        <v>0</v>
      </c>
      <c r="V74">
        <f t="shared" si="23"/>
        <v>0.84314180999999999</v>
      </c>
      <c r="W74">
        <f t="shared" si="24"/>
        <v>0.159054525</v>
      </c>
      <c r="X74">
        <v>1</v>
      </c>
      <c r="Y74">
        <v>1769201455.5999999</v>
      </c>
      <c r="Z74">
        <v>409.51378571428597</v>
      </c>
      <c r="AA74">
        <v>409.98942857142902</v>
      </c>
      <c r="AB74">
        <v>15.3440785714286</v>
      </c>
      <c r="AC74">
        <v>14.104857142857099</v>
      </c>
      <c r="AD74">
        <v>410.31807142857099</v>
      </c>
      <c r="AE74">
        <v>15.2581785714286</v>
      </c>
      <c r="AF74">
        <v>800.00478571428596</v>
      </c>
      <c r="AG74">
        <v>100.223714285714</v>
      </c>
      <c r="AH74">
        <v>6.3722864285714304E-2</v>
      </c>
      <c r="AI74">
        <v>18.99625</v>
      </c>
      <c r="AJ74">
        <v>999.9</v>
      </c>
      <c r="AK74">
        <v>999.9</v>
      </c>
      <c r="AL74">
        <v>0</v>
      </c>
      <c r="AM74">
        <v>0</v>
      </c>
      <c r="AN74">
        <v>5006.3928571428596</v>
      </c>
      <c r="AO74">
        <v>0</v>
      </c>
      <c r="AP74">
        <v>1.5244200000000001</v>
      </c>
      <c r="AQ74">
        <v>-0.47562949999999998</v>
      </c>
      <c r="AR74">
        <v>415.89528571428599</v>
      </c>
      <c r="AS74">
        <v>415.85500000000002</v>
      </c>
      <c r="AT74">
        <v>1.2392014285714299</v>
      </c>
      <c r="AU74">
        <v>409.98942857142902</v>
      </c>
      <c r="AV74">
        <v>14.104857142857099</v>
      </c>
      <c r="AW74">
        <v>1.53783928571429</v>
      </c>
      <c r="AX74">
        <v>1.41364214285714</v>
      </c>
      <c r="AY74">
        <v>13.349657142857099</v>
      </c>
      <c r="AZ74">
        <v>12.064778571428601</v>
      </c>
      <c r="BA74">
        <v>0</v>
      </c>
      <c r="BB74">
        <v>0.89527299999999999</v>
      </c>
      <c r="BC74">
        <v>0</v>
      </c>
      <c r="BD74">
        <v>0.104727</v>
      </c>
      <c r="BE74">
        <v>0</v>
      </c>
      <c r="BF74">
        <v>24</v>
      </c>
      <c r="BG74">
        <v>0</v>
      </c>
      <c r="BH74">
        <v>1769200934</v>
      </c>
      <c r="BI74" t="s">
        <v>363</v>
      </c>
      <c r="BJ74">
        <v>1769200934</v>
      </c>
      <c r="BK74">
        <v>1769200930</v>
      </c>
      <c r="BL74">
        <v>14</v>
      </c>
      <c r="BM74">
        <v>8.9999999999999993E-3</v>
      </c>
      <c r="BN74">
        <v>-2.1000000000000001E-2</v>
      </c>
      <c r="BO74">
        <v>-0.80400000000000005</v>
      </c>
      <c r="BP74">
        <v>8.5999999999999993E-2</v>
      </c>
      <c r="BQ74">
        <v>410</v>
      </c>
      <c r="BR74">
        <v>14</v>
      </c>
      <c r="BS74">
        <v>0.16</v>
      </c>
      <c r="BT74">
        <v>0.03</v>
      </c>
      <c r="BU74">
        <v>-0.476523238095238</v>
      </c>
      <c r="BV74">
        <v>5.9164519480518402E-2</v>
      </c>
      <c r="BW74">
        <v>2.0256317753809799E-2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1.24002761904762</v>
      </c>
      <c r="CD74">
        <v>-1.3902077922075901E-2</v>
      </c>
      <c r="CE74">
        <v>1.5454353825191101E-3</v>
      </c>
      <c r="CF74">
        <v>1</v>
      </c>
      <c r="CG74">
        <v>2</v>
      </c>
      <c r="CH74">
        <v>2</v>
      </c>
      <c r="CI74" t="s">
        <v>297</v>
      </c>
      <c r="CJ74">
        <v>3.5325799999999998</v>
      </c>
      <c r="CK74">
        <v>2.70153</v>
      </c>
      <c r="CL74">
        <v>9.8008999999999999E-2</v>
      </c>
      <c r="CM74">
        <v>9.6735100000000004E-2</v>
      </c>
      <c r="CN74">
        <v>8.7020299999999995E-2</v>
      </c>
      <c r="CO74">
        <v>8.0879000000000006E-2</v>
      </c>
      <c r="CP74">
        <v>31636.799999999999</v>
      </c>
      <c r="CQ74">
        <v>27842.799999999999</v>
      </c>
      <c r="CR74">
        <v>32462.2</v>
      </c>
      <c r="CS74">
        <v>30751.1</v>
      </c>
      <c r="CT74">
        <v>40136.800000000003</v>
      </c>
      <c r="CU74">
        <v>39754.6</v>
      </c>
      <c r="CV74">
        <v>47415.199999999997</v>
      </c>
      <c r="CW74">
        <v>46905.2</v>
      </c>
      <c r="CX74">
        <v>2.6250800000000001</v>
      </c>
      <c r="CY74">
        <v>2.12418</v>
      </c>
      <c r="CZ74">
        <v>0</v>
      </c>
      <c r="DA74">
        <v>0</v>
      </c>
      <c r="DB74">
        <v>999.9</v>
      </c>
      <c r="DC74">
        <v>999.9</v>
      </c>
      <c r="DD74">
        <v>45.201999999999998</v>
      </c>
      <c r="DE74">
        <v>28.701000000000001</v>
      </c>
      <c r="DF74">
        <v>17.827000000000002</v>
      </c>
      <c r="DG74">
        <v>30.5199</v>
      </c>
      <c r="DH74">
        <v>16.438300000000002</v>
      </c>
      <c r="DI74">
        <v>2</v>
      </c>
      <c r="DJ74">
        <v>-0.12770899999999999</v>
      </c>
      <c r="DK74">
        <v>1.9350400000000001</v>
      </c>
      <c r="DL74">
        <v>20.238399999999999</v>
      </c>
      <c r="DM74">
        <v>5.2486800000000002</v>
      </c>
      <c r="DN74">
        <v>12.033899999999999</v>
      </c>
      <c r="DO74">
        <v>4.9665600000000003</v>
      </c>
      <c r="DP74">
        <v>3.2909999999999999</v>
      </c>
      <c r="DQ74">
        <v>537.9</v>
      </c>
      <c r="DR74">
        <v>9999</v>
      </c>
      <c r="DS74">
        <v>9999</v>
      </c>
      <c r="DT74">
        <v>9999</v>
      </c>
      <c r="DU74">
        <v>1.8711</v>
      </c>
      <c r="DV74">
        <v>1.87609</v>
      </c>
      <c r="DW74">
        <v>1.87635</v>
      </c>
      <c r="DX74">
        <v>1.8828</v>
      </c>
      <c r="DY74">
        <v>1.8755900000000001</v>
      </c>
      <c r="DZ74">
        <v>1.8746799999999999</v>
      </c>
      <c r="EA74">
        <v>1.8708499999999999</v>
      </c>
      <c r="EB74">
        <v>1.87462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-0.80400000000000005</v>
      </c>
      <c r="EQ74">
        <v>8.5900000000000004E-2</v>
      </c>
      <c r="ER74">
        <v>-0.80430000000006896</v>
      </c>
      <c r="ES74">
        <v>0</v>
      </c>
      <c r="ET74">
        <v>0</v>
      </c>
      <c r="EU74">
        <v>0</v>
      </c>
      <c r="EV74">
        <v>8.5900000000000504E-2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8.8000000000000007</v>
      </c>
      <c r="FE74">
        <v>8.9</v>
      </c>
      <c r="FF74">
        <v>1.24512</v>
      </c>
      <c r="FG74">
        <v>2.6025399999999999</v>
      </c>
      <c r="FH74">
        <v>2.19604</v>
      </c>
      <c r="FI74">
        <v>2.66113</v>
      </c>
      <c r="FJ74">
        <v>2.4462899999999999</v>
      </c>
      <c r="FK74">
        <v>2.2997999999999998</v>
      </c>
      <c r="FL74">
        <v>32.864699999999999</v>
      </c>
      <c r="FM74">
        <v>24.157499999999999</v>
      </c>
      <c r="FN74">
        <v>19</v>
      </c>
      <c r="FO74">
        <v>865.15099999999995</v>
      </c>
      <c r="FP74">
        <v>570.255</v>
      </c>
      <c r="FQ74">
        <v>18.450199999999999</v>
      </c>
      <c r="FR74">
        <v>25.374700000000001</v>
      </c>
      <c r="FS74">
        <v>30.0002</v>
      </c>
      <c r="FT74">
        <v>25.360499999999998</v>
      </c>
      <c r="FU74">
        <v>25.362500000000001</v>
      </c>
      <c r="FV74">
        <v>24.9863</v>
      </c>
      <c r="FW74">
        <v>23.651</v>
      </c>
      <c r="FX74">
        <v>5.6880199999999999</v>
      </c>
      <c r="FY74">
        <v>18.4544</v>
      </c>
      <c r="FZ74">
        <v>410</v>
      </c>
      <c r="GA74">
        <v>14.1462</v>
      </c>
      <c r="GB74">
        <v>99.904700000000005</v>
      </c>
      <c r="GC74">
        <v>99.843800000000002</v>
      </c>
    </row>
    <row r="75" spans="1:185" x14ac:dyDescent="0.2">
      <c r="A75">
        <v>60</v>
      </c>
      <c r="B75">
        <v>1769201478.0999999</v>
      </c>
      <c r="C75">
        <v>1207.0999999046301</v>
      </c>
      <c r="D75" t="s">
        <v>414</v>
      </c>
      <c r="E75" t="s">
        <v>415</v>
      </c>
      <c r="F75">
        <v>15</v>
      </c>
      <c r="G75">
        <v>1769201470.5999999</v>
      </c>
      <c r="H75">
        <f t="shared" si="13"/>
        <v>1.0117995897207719E-3</v>
      </c>
      <c r="I75">
        <v>0</v>
      </c>
      <c r="J75">
        <f t="shared" si="12"/>
        <v>-6.5653336341135119E-4</v>
      </c>
      <c r="K75">
        <f t="shared" si="14"/>
        <v>-1.6924494728356065E-2</v>
      </c>
      <c r="L75">
        <f t="shared" si="15"/>
        <v>69.757837892782064</v>
      </c>
      <c r="M75">
        <f t="shared" si="16"/>
        <v>1.5379310832302462</v>
      </c>
      <c r="N75">
        <f t="shared" si="17"/>
        <v>2.2046713741243664</v>
      </c>
      <c r="O75">
        <v>0</v>
      </c>
      <c r="P75">
        <v>0</v>
      </c>
      <c r="Q75">
        <f t="shared" si="18"/>
        <v>1</v>
      </c>
      <c r="R75">
        <f t="shared" si="19"/>
        <v>0</v>
      </c>
      <c r="S75">
        <f t="shared" si="20"/>
        <v>26208.318984448149</v>
      </c>
      <c r="T75">
        <f t="shared" si="21"/>
        <v>0</v>
      </c>
      <c r="U75">
        <f t="shared" si="22"/>
        <v>0</v>
      </c>
      <c r="V75">
        <f t="shared" si="23"/>
        <v>0.84314180999999999</v>
      </c>
      <c r="W75">
        <f t="shared" si="24"/>
        <v>0.159054525</v>
      </c>
      <c r="X75">
        <v>1</v>
      </c>
      <c r="Y75">
        <v>1769201470.5999999</v>
      </c>
      <c r="Z75">
        <v>409.52449999999999</v>
      </c>
      <c r="AA75">
        <v>410.02128571428602</v>
      </c>
      <c r="AB75">
        <v>15.3351928571429</v>
      </c>
      <c r="AC75">
        <v>14.08985</v>
      </c>
      <c r="AD75">
        <v>410.32857142857102</v>
      </c>
      <c r="AE75">
        <v>15.249292857142899</v>
      </c>
      <c r="AF75">
        <v>800.00735714285702</v>
      </c>
      <c r="AG75">
        <v>100.223928571429</v>
      </c>
      <c r="AH75">
        <v>6.3762464285714304E-2</v>
      </c>
      <c r="AI75">
        <v>18.996300000000002</v>
      </c>
      <c r="AJ75">
        <v>999.9</v>
      </c>
      <c r="AK75">
        <v>999.9</v>
      </c>
      <c r="AL75">
        <v>0</v>
      </c>
      <c r="AM75">
        <v>0</v>
      </c>
      <c r="AN75">
        <v>4988</v>
      </c>
      <c r="AO75">
        <v>0</v>
      </c>
      <c r="AP75">
        <v>1.5244200000000001</v>
      </c>
      <c r="AQ75">
        <v>-0.49691557142857101</v>
      </c>
      <c r="AR75">
        <v>415.902357142857</v>
      </c>
      <c r="AS75">
        <v>415.88107142857098</v>
      </c>
      <c r="AT75">
        <v>1.2453607142857099</v>
      </c>
      <c r="AU75">
        <v>410.02128571428602</v>
      </c>
      <c r="AV75">
        <v>14.08985</v>
      </c>
      <c r="AW75">
        <v>1.53695357142857</v>
      </c>
      <c r="AX75">
        <v>1.41213642857143</v>
      </c>
      <c r="AY75">
        <v>13.3408142857143</v>
      </c>
      <c r="AZ75">
        <v>12.048607142857101</v>
      </c>
      <c r="BA75">
        <v>0</v>
      </c>
      <c r="BB75">
        <v>0.89527299999999999</v>
      </c>
      <c r="BC75">
        <v>0</v>
      </c>
      <c r="BD75">
        <v>0.104727</v>
      </c>
      <c r="BE75">
        <v>0</v>
      </c>
      <c r="BF75">
        <v>24</v>
      </c>
      <c r="BG75">
        <v>0</v>
      </c>
      <c r="BH75">
        <v>1769200934</v>
      </c>
      <c r="BI75" t="s">
        <v>363</v>
      </c>
      <c r="BJ75">
        <v>1769200934</v>
      </c>
      <c r="BK75">
        <v>1769200930</v>
      </c>
      <c r="BL75">
        <v>14</v>
      </c>
      <c r="BM75">
        <v>8.9999999999999993E-3</v>
      </c>
      <c r="BN75">
        <v>-2.1000000000000001E-2</v>
      </c>
      <c r="BO75">
        <v>-0.80400000000000005</v>
      </c>
      <c r="BP75">
        <v>8.5999999999999993E-2</v>
      </c>
      <c r="BQ75">
        <v>410</v>
      </c>
      <c r="BR75">
        <v>14</v>
      </c>
      <c r="BS75">
        <v>0.16</v>
      </c>
      <c r="BT75">
        <v>0.03</v>
      </c>
      <c r="BU75">
        <v>-0.48974305000000001</v>
      </c>
      <c r="BV75">
        <v>-0.116526902255639</v>
      </c>
      <c r="BW75">
        <v>1.5162971491350199E-2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1.2430429999999999</v>
      </c>
      <c r="CD75">
        <v>5.37500751879708E-2</v>
      </c>
      <c r="CE75">
        <v>6.0370034785479504E-3</v>
      </c>
      <c r="CF75">
        <v>1</v>
      </c>
      <c r="CG75">
        <v>2</v>
      </c>
      <c r="CH75">
        <v>2</v>
      </c>
      <c r="CI75" t="s">
        <v>297</v>
      </c>
      <c r="CJ75">
        <v>3.5325299999999999</v>
      </c>
      <c r="CK75">
        <v>2.7016900000000001</v>
      </c>
      <c r="CL75">
        <v>9.8005900000000007E-2</v>
      </c>
      <c r="CM75">
        <v>9.6738299999999999E-2</v>
      </c>
      <c r="CN75">
        <v>8.6980799999999997E-2</v>
      </c>
      <c r="CO75">
        <v>8.0791699999999994E-2</v>
      </c>
      <c r="CP75">
        <v>31636.799999999999</v>
      </c>
      <c r="CQ75">
        <v>27843.200000000001</v>
      </c>
      <c r="CR75">
        <v>32462.1</v>
      </c>
      <c r="CS75">
        <v>30751.7</v>
      </c>
      <c r="CT75">
        <v>40138.5</v>
      </c>
      <c r="CU75">
        <v>39759</v>
      </c>
      <c r="CV75">
        <v>47415.1</v>
      </c>
      <c r="CW75">
        <v>46905.9</v>
      </c>
      <c r="CX75">
        <v>2.6249199999999999</v>
      </c>
      <c r="CY75">
        <v>2.1241400000000001</v>
      </c>
      <c r="CZ75">
        <v>0</v>
      </c>
      <c r="DA75">
        <v>0</v>
      </c>
      <c r="DB75">
        <v>999.9</v>
      </c>
      <c r="DC75">
        <v>999.9</v>
      </c>
      <c r="DD75">
        <v>45.152999999999999</v>
      </c>
      <c r="DE75">
        <v>28.670999999999999</v>
      </c>
      <c r="DF75">
        <v>17.778300000000002</v>
      </c>
      <c r="DG75">
        <v>30.219899999999999</v>
      </c>
      <c r="DH75">
        <v>16.442299999999999</v>
      </c>
      <c r="DI75">
        <v>2</v>
      </c>
      <c r="DJ75">
        <v>-0.12728700000000001</v>
      </c>
      <c r="DK75">
        <v>1.9317599999999999</v>
      </c>
      <c r="DL75">
        <v>20.238399999999999</v>
      </c>
      <c r="DM75">
        <v>5.2483199999999997</v>
      </c>
      <c r="DN75">
        <v>12.033899999999999</v>
      </c>
      <c r="DO75">
        <v>4.9664799999999998</v>
      </c>
      <c r="DP75">
        <v>3.2909999999999999</v>
      </c>
      <c r="DQ75">
        <v>537.9</v>
      </c>
      <c r="DR75">
        <v>9999</v>
      </c>
      <c r="DS75">
        <v>9999</v>
      </c>
      <c r="DT75">
        <v>9999</v>
      </c>
      <c r="DU75">
        <v>1.87107</v>
      </c>
      <c r="DV75">
        <v>1.87609</v>
      </c>
      <c r="DW75">
        <v>1.87632</v>
      </c>
      <c r="DX75">
        <v>1.8827799999999999</v>
      </c>
      <c r="DY75">
        <v>1.8755999999999999</v>
      </c>
      <c r="DZ75">
        <v>1.8746700000000001</v>
      </c>
      <c r="EA75">
        <v>1.8708199999999999</v>
      </c>
      <c r="EB75">
        <v>1.87463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-0.80400000000000005</v>
      </c>
      <c r="EQ75">
        <v>8.5900000000000004E-2</v>
      </c>
      <c r="ER75">
        <v>-0.80430000000006896</v>
      </c>
      <c r="ES75">
        <v>0</v>
      </c>
      <c r="ET75">
        <v>0</v>
      </c>
      <c r="EU75">
        <v>0</v>
      </c>
      <c r="EV75">
        <v>8.5900000000000504E-2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9.1</v>
      </c>
      <c r="FE75">
        <v>9.1</v>
      </c>
      <c r="FF75">
        <v>1.24512</v>
      </c>
      <c r="FG75">
        <v>2.6049799999999999</v>
      </c>
      <c r="FH75">
        <v>2.19604</v>
      </c>
      <c r="FI75">
        <v>2.66113</v>
      </c>
      <c r="FJ75">
        <v>2.4462899999999999</v>
      </c>
      <c r="FK75">
        <v>2.2656200000000002</v>
      </c>
      <c r="FL75">
        <v>32.842399999999998</v>
      </c>
      <c r="FM75">
        <v>24.14</v>
      </c>
      <c r="FN75">
        <v>19</v>
      </c>
      <c r="FO75">
        <v>865.06399999999996</v>
      </c>
      <c r="FP75">
        <v>570.26800000000003</v>
      </c>
      <c r="FQ75">
        <v>18.459499999999998</v>
      </c>
      <c r="FR75">
        <v>25.378599999999999</v>
      </c>
      <c r="FS75">
        <v>30.0001</v>
      </c>
      <c r="FT75">
        <v>25.3643</v>
      </c>
      <c r="FU75">
        <v>25.366299999999999</v>
      </c>
      <c r="FV75">
        <v>24.984999999999999</v>
      </c>
      <c r="FW75">
        <v>23.366599999999998</v>
      </c>
      <c r="FX75">
        <v>5.3171900000000001</v>
      </c>
      <c r="FY75">
        <v>18.462</v>
      </c>
      <c r="FZ75">
        <v>410</v>
      </c>
      <c r="GA75">
        <v>14.1587</v>
      </c>
      <c r="GB75">
        <v>99.904399999999995</v>
      </c>
      <c r="GC75">
        <v>99.845399999999998</v>
      </c>
    </row>
    <row r="76" spans="1:185" x14ac:dyDescent="0.2">
      <c r="A76">
        <v>61</v>
      </c>
      <c r="B76">
        <v>1769201493.0999999</v>
      </c>
      <c r="C76">
        <v>1222.0999999046301</v>
      </c>
      <c r="D76" t="s">
        <v>416</v>
      </c>
      <c r="E76" t="s">
        <v>417</v>
      </c>
      <c r="F76">
        <v>15</v>
      </c>
      <c r="G76">
        <v>1769201485.5999999</v>
      </c>
      <c r="H76">
        <f t="shared" si="13"/>
        <v>1.0057204763238151E-3</v>
      </c>
      <c r="I76">
        <v>0</v>
      </c>
      <c r="J76">
        <f t="shared" si="12"/>
        <v>-5.5233443424242763E-4</v>
      </c>
      <c r="K76">
        <f t="shared" si="14"/>
        <v>-1.4238394789342206E-2</v>
      </c>
      <c r="L76">
        <f t="shared" si="15"/>
        <v>69.764006142660691</v>
      </c>
      <c r="M76">
        <f t="shared" si="16"/>
        <v>1.5381664860795947</v>
      </c>
      <c r="N76">
        <f t="shared" si="17"/>
        <v>2.2048138734094369</v>
      </c>
      <c r="O76">
        <v>0</v>
      </c>
      <c r="P76">
        <v>0</v>
      </c>
      <c r="Q76">
        <f t="shared" si="18"/>
        <v>1</v>
      </c>
      <c r="R76">
        <f t="shared" si="19"/>
        <v>0</v>
      </c>
      <c r="S76">
        <f t="shared" si="20"/>
        <v>26293.146610907061</v>
      </c>
      <c r="T76">
        <f t="shared" si="21"/>
        <v>0</v>
      </c>
      <c r="U76">
        <f t="shared" si="22"/>
        <v>0</v>
      </c>
      <c r="V76">
        <f t="shared" si="23"/>
        <v>0.84314180999999999</v>
      </c>
      <c r="W76">
        <f t="shared" si="24"/>
        <v>0.159054525</v>
      </c>
      <c r="X76">
        <v>1</v>
      </c>
      <c r="Y76">
        <v>1769201485.5999999</v>
      </c>
      <c r="Z76">
        <v>409.49507142857101</v>
      </c>
      <c r="AA76">
        <v>409.99207142857102</v>
      </c>
      <c r="AB76">
        <v>15.337628571428599</v>
      </c>
      <c r="AC76">
        <v>14.099757142857101</v>
      </c>
      <c r="AD76">
        <v>410.29928571428599</v>
      </c>
      <c r="AE76">
        <v>15.2517285714286</v>
      </c>
      <c r="AF76">
        <v>799.998357142857</v>
      </c>
      <c r="AG76">
        <v>100.22328571428601</v>
      </c>
      <c r="AH76">
        <v>6.3827049999999996E-2</v>
      </c>
      <c r="AI76">
        <v>18.9973357142857</v>
      </c>
      <c r="AJ76">
        <v>999.9</v>
      </c>
      <c r="AK76">
        <v>999.9</v>
      </c>
      <c r="AL76">
        <v>0</v>
      </c>
      <c r="AM76">
        <v>0</v>
      </c>
      <c r="AN76">
        <v>5002</v>
      </c>
      <c r="AO76">
        <v>0</v>
      </c>
      <c r="AP76">
        <v>1.5244200000000001</v>
      </c>
      <c r="AQ76">
        <v>-0.49713571428571401</v>
      </c>
      <c r="AR76">
        <v>415.87357142857098</v>
      </c>
      <c r="AS76">
        <v>415.85564285714298</v>
      </c>
      <c r="AT76">
        <v>1.2378707142857099</v>
      </c>
      <c r="AU76">
        <v>409.99207142857102</v>
      </c>
      <c r="AV76">
        <v>14.099757142857101</v>
      </c>
      <c r="AW76">
        <v>1.5371857142857099</v>
      </c>
      <c r="AX76">
        <v>1.4131221428571401</v>
      </c>
      <c r="AY76">
        <v>13.343142857142899</v>
      </c>
      <c r="AZ76">
        <v>12.0591714285714</v>
      </c>
      <c r="BA76">
        <v>0</v>
      </c>
      <c r="BB76">
        <v>0.89527299999999999</v>
      </c>
      <c r="BC76">
        <v>0</v>
      </c>
      <c r="BD76">
        <v>0.104727</v>
      </c>
      <c r="BE76">
        <v>0</v>
      </c>
      <c r="BF76">
        <v>24</v>
      </c>
      <c r="BG76">
        <v>0</v>
      </c>
      <c r="BH76">
        <v>1769200934</v>
      </c>
      <c r="BI76" t="s">
        <v>363</v>
      </c>
      <c r="BJ76">
        <v>1769200934</v>
      </c>
      <c r="BK76">
        <v>1769200930</v>
      </c>
      <c r="BL76">
        <v>14</v>
      </c>
      <c r="BM76">
        <v>8.9999999999999993E-3</v>
      </c>
      <c r="BN76">
        <v>-2.1000000000000001E-2</v>
      </c>
      <c r="BO76">
        <v>-0.80400000000000005</v>
      </c>
      <c r="BP76">
        <v>8.5999999999999993E-2</v>
      </c>
      <c r="BQ76">
        <v>410</v>
      </c>
      <c r="BR76">
        <v>14</v>
      </c>
      <c r="BS76">
        <v>0.16</v>
      </c>
      <c r="BT76">
        <v>0.03</v>
      </c>
      <c r="BU76">
        <v>-0.498171857142857</v>
      </c>
      <c r="BV76">
        <v>2.6495454545454201E-2</v>
      </c>
      <c r="BW76">
        <v>1.3165873086219901E-2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1.2418504761904801</v>
      </c>
      <c r="CD76">
        <v>-4.7703896103898302E-2</v>
      </c>
      <c r="CE76">
        <v>6.4293667585618303E-3</v>
      </c>
      <c r="CF76">
        <v>1</v>
      </c>
      <c r="CG76">
        <v>2</v>
      </c>
      <c r="CH76">
        <v>2</v>
      </c>
      <c r="CI76" t="s">
        <v>297</v>
      </c>
      <c r="CJ76">
        <v>3.5325199999999999</v>
      </c>
      <c r="CK76">
        <v>2.70166</v>
      </c>
      <c r="CL76">
        <v>9.80013E-2</v>
      </c>
      <c r="CM76">
        <v>9.6729800000000005E-2</v>
      </c>
      <c r="CN76">
        <v>8.7007299999999996E-2</v>
      </c>
      <c r="CO76">
        <v>8.0870999999999998E-2</v>
      </c>
      <c r="CP76">
        <v>31636.9</v>
      </c>
      <c r="CQ76">
        <v>27843.1</v>
      </c>
      <c r="CR76">
        <v>32462</v>
      </c>
      <c r="CS76">
        <v>30751.200000000001</v>
      </c>
      <c r="CT76">
        <v>40137.199999999997</v>
      </c>
      <c r="CU76">
        <v>39755.1</v>
      </c>
      <c r="CV76">
        <v>47414.9</v>
      </c>
      <c r="CW76">
        <v>46905.4</v>
      </c>
      <c r="CX76">
        <v>2.6248800000000001</v>
      </c>
      <c r="CY76">
        <v>2.1239599999999998</v>
      </c>
      <c r="CZ76">
        <v>0</v>
      </c>
      <c r="DA76">
        <v>0</v>
      </c>
      <c r="DB76">
        <v>999.9</v>
      </c>
      <c r="DC76">
        <v>999.9</v>
      </c>
      <c r="DD76">
        <v>45.128999999999998</v>
      </c>
      <c r="DE76">
        <v>28.690999999999999</v>
      </c>
      <c r="DF76">
        <v>17.789899999999999</v>
      </c>
      <c r="DG76">
        <v>30.3399</v>
      </c>
      <c r="DH76">
        <v>16.546500000000002</v>
      </c>
      <c r="DI76">
        <v>2</v>
      </c>
      <c r="DJ76">
        <v>-0.127191</v>
      </c>
      <c r="DK76">
        <v>1.9269700000000001</v>
      </c>
      <c r="DL76">
        <v>20.238399999999999</v>
      </c>
      <c r="DM76">
        <v>5.2488000000000001</v>
      </c>
      <c r="DN76">
        <v>12.033899999999999</v>
      </c>
      <c r="DO76">
        <v>4.9669600000000003</v>
      </c>
      <c r="DP76">
        <v>3.2909999999999999</v>
      </c>
      <c r="DQ76">
        <v>537.9</v>
      </c>
      <c r="DR76">
        <v>9999</v>
      </c>
      <c r="DS76">
        <v>9999</v>
      </c>
      <c r="DT76">
        <v>9999</v>
      </c>
      <c r="DU76">
        <v>1.87107</v>
      </c>
      <c r="DV76">
        <v>1.87609</v>
      </c>
      <c r="DW76">
        <v>1.8763099999999999</v>
      </c>
      <c r="DX76">
        <v>1.8827799999999999</v>
      </c>
      <c r="DY76">
        <v>1.8755999999999999</v>
      </c>
      <c r="DZ76">
        <v>1.8746700000000001</v>
      </c>
      <c r="EA76">
        <v>1.87083</v>
      </c>
      <c r="EB76">
        <v>1.8746400000000001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-0.80500000000000005</v>
      </c>
      <c r="EQ76">
        <v>8.5900000000000004E-2</v>
      </c>
      <c r="ER76">
        <v>-0.80430000000006896</v>
      </c>
      <c r="ES76">
        <v>0</v>
      </c>
      <c r="ET76">
        <v>0</v>
      </c>
      <c r="EU76">
        <v>0</v>
      </c>
      <c r="EV76">
        <v>8.5900000000000504E-2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9.3000000000000007</v>
      </c>
      <c r="FE76">
        <v>9.4</v>
      </c>
      <c r="FF76">
        <v>1.24512</v>
      </c>
      <c r="FG76">
        <v>2.6049799999999999</v>
      </c>
      <c r="FH76">
        <v>2.19604</v>
      </c>
      <c r="FI76">
        <v>2.66113</v>
      </c>
      <c r="FJ76">
        <v>2.4462899999999999</v>
      </c>
      <c r="FK76">
        <v>2.2863799999999999</v>
      </c>
      <c r="FL76">
        <v>32.842399999999998</v>
      </c>
      <c r="FM76">
        <v>24.157499999999999</v>
      </c>
      <c r="FN76">
        <v>19</v>
      </c>
      <c r="FO76">
        <v>865.08799999999997</v>
      </c>
      <c r="FP76">
        <v>570.178</v>
      </c>
      <c r="FQ76">
        <v>18.466200000000001</v>
      </c>
      <c r="FR76">
        <v>25.381499999999999</v>
      </c>
      <c r="FS76">
        <v>30.0002</v>
      </c>
      <c r="FT76">
        <v>25.368099999999998</v>
      </c>
      <c r="FU76">
        <v>25.3705</v>
      </c>
      <c r="FV76">
        <v>24.985900000000001</v>
      </c>
      <c r="FW76">
        <v>23.366599999999998</v>
      </c>
      <c r="FX76">
        <v>5.3171900000000001</v>
      </c>
      <c r="FY76">
        <v>18.467300000000002</v>
      </c>
      <c r="FZ76">
        <v>410</v>
      </c>
      <c r="GA76">
        <v>14.1662</v>
      </c>
      <c r="GB76">
        <v>99.9041</v>
      </c>
      <c r="GC76">
        <v>99.844200000000001</v>
      </c>
    </row>
    <row r="77" spans="1:185" x14ac:dyDescent="0.2">
      <c r="A77">
        <v>62</v>
      </c>
      <c r="B77">
        <v>1769201605.0999999</v>
      </c>
      <c r="C77">
        <v>1334.0999999046301</v>
      </c>
      <c r="D77" t="s">
        <v>418</v>
      </c>
      <c r="E77" t="s">
        <v>419</v>
      </c>
      <c r="F77">
        <v>15</v>
      </c>
      <c r="G77">
        <v>1769201597.0999999</v>
      </c>
      <c r="H77">
        <f t="shared" si="13"/>
        <v>-1.1974358342135457E-4</v>
      </c>
      <c r="I77">
        <v>0</v>
      </c>
      <c r="J77">
        <f t="shared" si="12"/>
        <v>-0.13075144866138452</v>
      </c>
      <c r="K77">
        <f t="shared" si="14"/>
        <v>-3.3705860614550769</v>
      </c>
      <c r="L77">
        <f t="shared" si="15"/>
        <v>72.492279640771528</v>
      </c>
      <c r="M77">
        <f t="shared" si="16"/>
        <v>1.5946707173664765</v>
      </c>
      <c r="N77">
        <f t="shared" si="17"/>
        <v>2.1997800666066962</v>
      </c>
      <c r="O77">
        <v>0</v>
      </c>
      <c r="P77">
        <v>0</v>
      </c>
      <c r="Q77">
        <f t="shared" si="18"/>
        <v>1</v>
      </c>
      <c r="R77">
        <f t="shared" si="19"/>
        <v>0</v>
      </c>
      <c r="S77">
        <f t="shared" si="20"/>
        <v>26225.420053454269</v>
      </c>
      <c r="T77">
        <f t="shared" si="21"/>
        <v>99.999260000000007</v>
      </c>
      <c r="U77">
        <f t="shared" si="22"/>
        <v>84.299678977759285</v>
      </c>
      <c r="V77">
        <f t="shared" si="23"/>
        <v>0.84300302799999993</v>
      </c>
      <c r="W77">
        <f t="shared" si="24"/>
        <v>0.15870756999999996</v>
      </c>
      <c r="X77">
        <v>1</v>
      </c>
      <c r="Y77">
        <v>1769201597.0999999</v>
      </c>
      <c r="Z77">
        <v>414.34859999999998</v>
      </c>
      <c r="AA77">
        <v>410.07333333333298</v>
      </c>
      <c r="AB77">
        <v>15.9005266666667</v>
      </c>
      <c r="AC77">
        <v>16.047826666666701</v>
      </c>
      <c r="AD77">
        <v>415.12759999999997</v>
      </c>
      <c r="AE77">
        <v>15.7785266666667</v>
      </c>
      <c r="AF77">
        <v>799.99726666666697</v>
      </c>
      <c r="AG77">
        <v>100.226733333333</v>
      </c>
      <c r="AH77">
        <v>6.3700486666666695E-2</v>
      </c>
      <c r="AI77">
        <v>18.960713333333299</v>
      </c>
      <c r="AJ77">
        <v>999.9</v>
      </c>
      <c r="AK77">
        <v>999.9</v>
      </c>
      <c r="AL77">
        <v>0</v>
      </c>
      <c r="AM77">
        <v>0</v>
      </c>
      <c r="AN77">
        <v>4990.1666666666697</v>
      </c>
      <c r="AO77">
        <v>0</v>
      </c>
      <c r="AP77">
        <v>1.5333766666666699</v>
      </c>
      <c r="AQ77">
        <v>4.2498773333333304</v>
      </c>
      <c r="AR77">
        <v>421.001933333333</v>
      </c>
      <c r="AS77">
        <v>416.76159999999999</v>
      </c>
      <c r="AT77">
        <v>-0.18339117999999999</v>
      </c>
      <c r="AU77">
        <v>410.07333333333298</v>
      </c>
      <c r="AV77">
        <v>16.047826666666701</v>
      </c>
      <c r="AW77">
        <v>1.5900399999999999</v>
      </c>
      <c r="AX77">
        <v>1.608422</v>
      </c>
      <c r="AY77">
        <v>13.8612866666667</v>
      </c>
      <c r="AZ77">
        <v>14.0387866666667</v>
      </c>
      <c r="BA77">
        <v>99.999260000000007</v>
      </c>
      <c r="BB77">
        <v>0.89989906666666697</v>
      </c>
      <c r="BC77">
        <v>0</v>
      </c>
      <c r="BD77">
        <v>0.100100933333333</v>
      </c>
      <c r="BE77">
        <v>0</v>
      </c>
      <c r="BF77">
        <v>24</v>
      </c>
      <c r="BG77">
        <v>1648.82</v>
      </c>
      <c r="BH77">
        <v>1769201629.0999999</v>
      </c>
      <c r="BI77" t="s">
        <v>420</v>
      </c>
      <c r="BJ77">
        <v>1769201629.0999999</v>
      </c>
      <c r="BK77">
        <v>1769201627.0999999</v>
      </c>
      <c r="BL77">
        <v>15</v>
      </c>
      <c r="BM77">
        <v>2.5000000000000001E-2</v>
      </c>
      <c r="BN77">
        <v>3.5999999999999997E-2</v>
      </c>
      <c r="BO77">
        <v>-0.77900000000000003</v>
      </c>
      <c r="BP77">
        <v>0.122</v>
      </c>
      <c r="BQ77">
        <v>410</v>
      </c>
      <c r="BR77">
        <v>15</v>
      </c>
      <c r="BS77">
        <v>0.28999999999999998</v>
      </c>
      <c r="BT77">
        <v>0.1</v>
      </c>
      <c r="BU77">
        <v>6.0844364999999998</v>
      </c>
      <c r="BV77">
        <v>-30.3888338345864</v>
      </c>
      <c r="BW77">
        <v>2.9770719283018301</v>
      </c>
      <c r="BX77">
        <v>0</v>
      </c>
      <c r="BY77">
        <v>0</v>
      </c>
      <c r="BZ77">
        <v>0</v>
      </c>
      <c r="CA77">
        <v>0</v>
      </c>
      <c r="CB77">
        <v>-1</v>
      </c>
      <c r="CC77">
        <v>-0.49044228499999998</v>
      </c>
      <c r="CD77">
        <v>5.3710866631579002</v>
      </c>
      <c r="CE77">
        <v>0.51768314937656901</v>
      </c>
      <c r="CF77">
        <v>0</v>
      </c>
      <c r="CG77">
        <v>0</v>
      </c>
      <c r="CH77">
        <v>2</v>
      </c>
      <c r="CI77" t="s">
        <v>290</v>
      </c>
      <c r="CJ77">
        <v>3.5324399999999998</v>
      </c>
      <c r="CK77">
        <v>2.7016200000000001</v>
      </c>
      <c r="CL77">
        <v>9.8475199999999999E-2</v>
      </c>
      <c r="CM77">
        <v>9.67837E-2</v>
      </c>
      <c r="CN77">
        <v>9.0483300000000003E-2</v>
      </c>
      <c r="CO77">
        <v>8.7373999999999993E-2</v>
      </c>
      <c r="CP77">
        <v>31619</v>
      </c>
      <c r="CQ77">
        <v>27839.200000000001</v>
      </c>
      <c r="CR77">
        <v>32460.799999999999</v>
      </c>
      <c r="CS77">
        <v>30748.7</v>
      </c>
      <c r="CT77">
        <v>39978.199999999997</v>
      </c>
      <c r="CU77">
        <v>39462.199999999997</v>
      </c>
      <c r="CV77">
        <v>47413.3</v>
      </c>
      <c r="CW77">
        <v>46901.5</v>
      </c>
      <c r="CX77">
        <v>2.6230000000000002</v>
      </c>
      <c r="CY77">
        <v>2.1268600000000002</v>
      </c>
      <c r="CZ77">
        <v>0</v>
      </c>
      <c r="DA77">
        <v>0</v>
      </c>
      <c r="DB77">
        <v>999.9</v>
      </c>
      <c r="DC77">
        <v>999.9</v>
      </c>
      <c r="DD77">
        <v>45.654000000000003</v>
      </c>
      <c r="DE77">
        <v>28.701000000000001</v>
      </c>
      <c r="DF77">
        <v>18.0044</v>
      </c>
      <c r="DG77">
        <v>30.439900000000002</v>
      </c>
      <c r="DH77">
        <v>16.490400000000001</v>
      </c>
      <c r="DI77">
        <v>2</v>
      </c>
      <c r="DJ77">
        <v>-0.12417499999999999</v>
      </c>
      <c r="DK77">
        <v>2.0864799999999999</v>
      </c>
      <c r="DL77">
        <v>20.232700000000001</v>
      </c>
      <c r="DM77">
        <v>5.2496400000000003</v>
      </c>
      <c r="DN77">
        <v>12.033899999999999</v>
      </c>
      <c r="DO77">
        <v>4.9668799999999997</v>
      </c>
      <c r="DP77">
        <v>3.2909999999999999</v>
      </c>
      <c r="DQ77">
        <v>538</v>
      </c>
      <c r="DR77">
        <v>9999</v>
      </c>
      <c r="DS77">
        <v>9999</v>
      </c>
      <c r="DT77">
        <v>9999</v>
      </c>
      <c r="DU77">
        <v>1.8710899999999999</v>
      </c>
      <c r="DV77">
        <v>1.8761099999999999</v>
      </c>
      <c r="DW77">
        <v>1.8763399999999999</v>
      </c>
      <c r="DX77">
        <v>1.8828400000000001</v>
      </c>
      <c r="DY77">
        <v>1.87561</v>
      </c>
      <c r="DZ77">
        <v>1.87469</v>
      </c>
      <c r="EA77">
        <v>1.87086</v>
      </c>
      <c r="EB77">
        <v>1.87466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-0.77900000000000003</v>
      </c>
      <c r="EQ77">
        <v>0.122</v>
      </c>
      <c r="ER77">
        <v>-0.80430000000006896</v>
      </c>
      <c r="ES77">
        <v>0</v>
      </c>
      <c r="ET77">
        <v>0</v>
      </c>
      <c r="EU77">
        <v>0</v>
      </c>
      <c r="EV77">
        <v>8.5900000000000504E-2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11.2</v>
      </c>
      <c r="FE77">
        <v>11.3</v>
      </c>
      <c r="FF77">
        <v>1.24634</v>
      </c>
      <c r="FG77">
        <v>2.6025399999999999</v>
      </c>
      <c r="FH77">
        <v>2.19604</v>
      </c>
      <c r="FI77">
        <v>2.65991</v>
      </c>
      <c r="FJ77">
        <v>2.4462899999999999</v>
      </c>
      <c r="FK77">
        <v>2.3046899999999999</v>
      </c>
      <c r="FL77">
        <v>32.842399999999998</v>
      </c>
      <c r="FM77">
        <v>24.148800000000001</v>
      </c>
      <c r="FN77">
        <v>19</v>
      </c>
      <c r="FO77">
        <v>863.92499999999995</v>
      </c>
      <c r="FP77">
        <v>572.74300000000005</v>
      </c>
      <c r="FQ77">
        <v>17.986999999999998</v>
      </c>
      <c r="FR77">
        <v>25.4175</v>
      </c>
      <c r="FS77">
        <v>29.999700000000001</v>
      </c>
      <c r="FT77">
        <v>25.404399999999999</v>
      </c>
      <c r="FU77">
        <v>25.402899999999999</v>
      </c>
      <c r="FV77">
        <v>25.007899999999999</v>
      </c>
      <c r="FW77">
        <v>17.599699999999999</v>
      </c>
      <c r="FX77">
        <v>9.9263700000000004</v>
      </c>
      <c r="FY77">
        <v>18.0273</v>
      </c>
      <c r="FZ77">
        <v>410</v>
      </c>
      <c r="GA77">
        <v>15.2142</v>
      </c>
      <c r="GB77">
        <v>99.900599999999997</v>
      </c>
      <c r="GC77">
        <v>99.835999999999999</v>
      </c>
    </row>
    <row r="78" spans="1:185" x14ac:dyDescent="0.2">
      <c r="A78">
        <v>63</v>
      </c>
      <c r="B78">
        <v>1769201631.0999999</v>
      </c>
      <c r="C78">
        <v>1360.0999999046301</v>
      </c>
      <c r="D78" t="s">
        <v>421</v>
      </c>
      <c r="E78" t="s">
        <v>422</v>
      </c>
      <c r="F78">
        <v>15</v>
      </c>
      <c r="G78">
        <v>1769201630.0999999</v>
      </c>
      <c r="H78">
        <f t="shared" si="13"/>
        <v>-8.1254514534623745E-7</v>
      </c>
      <c r="I78">
        <v>0</v>
      </c>
      <c r="J78">
        <f t="shared" si="12"/>
        <v>-8.8708285603284658E-4</v>
      </c>
      <c r="K78">
        <f t="shared" si="14"/>
        <v>-2.2867732178198968E-2</v>
      </c>
      <c r="L78">
        <f t="shared" si="15"/>
        <v>70.433481862820813</v>
      </c>
      <c r="M78">
        <f t="shared" si="16"/>
        <v>1.5449274663004</v>
      </c>
      <c r="N78">
        <f t="shared" si="17"/>
        <v>2.1934560459603079</v>
      </c>
      <c r="O78">
        <v>484</v>
      </c>
      <c r="P78">
        <v>60</v>
      </c>
      <c r="Q78">
        <f t="shared" si="18"/>
        <v>1</v>
      </c>
      <c r="R78">
        <f t="shared" si="19"/>
        <v>0</v>
      </c>
      <c r="S78">
        <f t="shared" si="20"/>
        <v>26186.572350392045</v>
      </c>
      <c r="T78">
        <f t="shared" si="21"/>
        <v>99.994100000000003</v>
      </c>
      <c r="U78">
        <f t="shared" si="22"/>
        <v>84.295317282830993</v>
      </c>
      <c r="V78">
        <f t="shared" si="23"/>
        <v>0.84300290999999994</v>
      </c>
      <c r="W78">
        <f t="shared" si="24"/>
        <v>0.15870727500000001</v>
      </c>
      <c r="X78">
        <v>1</v>
      </c>
      <c r="Y78">
        <v>1769201630.0999999</v>
      </c>
      <c r="Z78">
        <v>409.99299999999999</v>
      </c>
      <c r="AA78">
        <v>409.964</v>
      </c>
      <c r="AB78">
        <v>15.4024</v>
      </c>
      <c r="AC78">
        <v>15.4034</v>
      </c>
      <c r="AD78">
        <v>410.77199999999999</v>
      </c>
      <c r="AE78">
        <v>15.2807</v>
      </c>
      <c r="AF78">
        <v>800.03</v>
      </c>
      <c r="AG78">
        <v>100.229</v>
      </c>
      <c r="AH78">
        <v>7.5333499999999998E-2</v>
      </c>
      <c r="AI78">
        <v>18.9146</v>
      </c>
      <c r="AJ78">
        <v>999.9</v>
      </c>
      <c r="AK78">
        <v>999.9</v>
      </c>
      <c r="AL78">
        <v>0</v>
      </c>
      <c r="AM78">
        <v>0</v>
      </c>
      <c r="AN78">
        <v>4983</v>
      </c>
      <c r="AO78">
        <v>0</v>
      </c>
      <c r="AP78">
        <v>1.58087</v>
      </c>
      <c r="AQ78">
        <v>2.9144300000000001E-2</v>
      </c>
      <c r="AR78">
        <v>416.40699999999998</v>
      </c>
      <c r="AS78">
        <v>416.37799999999999</v>
      </c>
      <c r="AT78">
        <v>-9.4985999999999996E-4</v>
      </c>
      <c r="AU78">
        <v>409.964</v>
      </c>
      <c r="AV78">
        <v>15.4034</v>
      </c>
      <c r="AW78">
        <v>1.54376</v>
      </c>
      <c r="AX78">
        <v>1.54386</v>
      </c>
      <c r="AY78">
        <v>13.4086</v>
      </c>
      <c r="AZ78">
        <v>13.409599999999999</v>
      </c>
      <c r="BA78">
        <v>99.994100000000003</v>
      </c>
      <c r="BB78">
        <v>0.89990300000000001</v>
      </c>
      <c r="BC78">
        <v>0</v>
      </c>
      <c r="BD78">
        <v>0.10009700000000001</v>
      </c>
      <c r="BE78">
        <v>0</v>
      </c>
      <c r="BF78">
        <v>24</v>
      </c>
      <c r="BG78">
        <v>1648.73</v>
      </c>
      <c r="BH78">
        <v>1769201629.0999999</v>
      </c>
      <c r="BI78" t="s">
        <v>420</v>
      </c>
      <c r="BJ78">
        <v>1769201629.0999999</v>
      </c>
      <c r="BK78">
        <v>1769201627.0999999</v>
      </c>
      <c r="BL78">
        <v>15</v>
      </c>
      <c r="BM78">
        <v>2.5000000000000001E-2</v>
      </c>
      <c r="BN78">
        <v>3.5999999999999997E-2</v>
      </c>
      <c r="BO78">
        <v>-0.77900000000000003</v>
      </c>
      <c r="BP78">
        <v>0.122</v>
      </c>
      <c r="BQ78">
        <v>410</v>
      </c>
      <c r="BR78">
        <v>15</v>
      </c>
      <c r="BS78">
        <v>0.28999999999999998</v>
      </c>
      <c r="BT78">
        <v>0.1</v>
      </c>
      <c r="BU78">
        <v>2.95525967619048E-2</v>
      </c>
      <c r="BV78">
        <v>-0.69779774181818099</v>
      </c>
      <c r="BW78">
        <v>0.131507363601225</v>
      </c>
      <c r="BX78">
        <v>0</v>
      </c>
      <c r="BY78">
        <v>0</v>
      </c>
      <c r="BZ78">
        <v>0</v>
      </c>
      <c r="CA78">
        <v>0</v>
      </c>
      <c r="CB78">
        <v>-1</v>
      </c>
      <c r="CC78">
        <v>-6.6406120476190499E-3</v>
      </c>
      <c r="CD78">
        <v>-0.299409326961039</v>
      </c>
      <c r="CE78">
        <v>6.9613631778151497E-2</v>
      </c>
      <c r="CF78">
        <v>0</v>
      </c>
      <c r="CG78">
        <v>0</v>
      </c>
      <c r="CH78">
        <v>2</v>
      </c>
      <c r="CI78" t="s">
        <v>290</v>
      </c>
      <c r="CJ78">
        <v>3.5338699999999998</v>
      </c>
      <c r="CK78">
        <v>2.71177</v>
      </c>
      <c r="CL78">
        <v>9.8077499999999998E-2</v>
      </c>
      <c r="CM78">
        <v>9.6736299999999997E-2</v>
      </c>
      <c r="CN78">
        <v>8.7324799999999994E-2</v>
      </c>
      <c r="CO78">
        <v>8.63096E-2</v>
      </c>
      <c r="CP78">
        <v>31632.400000000001</v>
      </c>
      <c r="CQ78">
        <v>27839.8</v>
      </c>
      <c r="CR78">
        <v>32460.3</v>
      </c>
      <c r="CS78">
        <v>30748</v>
      </c>
      <c r="CT78">
        <v>40121</v>
      </c>
      <c r="CU78">
        <v>39509</v>
      </c>
      <c r="CV78">
        <v>47412.6</v>
      </c>
      <c r="CW78">
        <v>46900.7</v>
      </c>
      <c r="CX78">
        <v>1.6855800000000001</v>
      </c>
      <c r="CY78">
        <v>1.60568</v>
      </c>
      <c r="CZ78">
        <v>0</v>
      </c>
      <c r="DA78">
        <v>0</v>
      </c>
      <c r="DB78">
        <v>999.9</v>
      </c>
      <c r="DC78">
        <v>999.9</v>
      </c>
      <c r="DD78">
        <v>45.654000000000003</v>
      </c>
      <c r="DE78">
        <v>28.701000000000001</v>
      </c>
      <c r="DF78">
        <v>18.0045</v>
      </c>
      <c r="DG78">
        <v>30.369900000000001</v>
      </c>
      <c r="DH78">
        <v>16.8109</v>
      </c>
      <c r="DI78">
        <v>2</v>
      </c>
      <c r="DJ78">
        <v>-0.12422999999999999</v>
      </c>
      <c r="DK78">
        <v>1.7902400000000001</v>
      </c>
      <c r="DL78">
        <v>20.2348</v>
      </c>
      <c r="DM78">
        <v>5.2420900000000001</v>
      </c>
      <c r="DN78">
        <v>12.033899999999999</v>
      </c>
      <c r="DO78">
        <v>4.9652799999999999</v>
      </c>
      <c r="DP78">
        <v>3.2898399999999999</v>
      </c>
      <c r="DQ78">
        <v>538</v>
      </c>
      <c r="DR78">
        <v>9999</v>
      </c>
      <c r="DS78">
        <v>9999</v>
      </c>
      <c r="DT78">
        <v>9999</v>
      </c>
      <c r="DU78">
        <v>1.8711</v>
      </c>
      <c r="DV78">
        <v>1.87612</v>
      </c>
      <c r="DW78">
        <v>1.8763399999999999</v>
      </c>
      <c r="DX78">
        <v>1.88279</v>
      </c>
      <c r="DY78">
        <v>1.8755999999999999</v>
      </c>
      <c r="DZ78">
        <v>1.87469</v>
      </c>
      <c r="EA78">
        <v>1.8708499999999999</v>
      </c>
      <c r="EB78">
        <v>1.8746499999999999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-0.77900000000000003</v>
      </c>
      <c r="EQ78">
        <v>0.12180000000000001</v>
      </c>
      <c r="ER78">
        <v>-0.77899999999999603</v>
      </c>
      <c r="ES78">
        <v>0</v>
      </c>
      <c r="ET78">
        <v>0</v>
      </c>
      <c r="EU78">
        <v>0</v>
      </c>
      <c r="EV78">
        <v>0.121739999999999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0</v>
      </c>
      <c r="FE78">
        <v>0.1</v>
      </c>
      <c r="FF78">
        <v>1.24634</v>
      </c>
      <c r="FG78">
        <v>2.6074199999999998</v>
      </c>
      <c r="FH78">
        <v>2.19604</v>
      </c>
      <c r="FI78">
        <v>2.65991</v>
      </c>
      <c r="FJ78">
        <v>2.4462899999999999</v>
      </c>
      <c r="FK78">
        <v>2.2644000000000002</v>
      </c>
      <c r="FL78">
        <v>32.864699999999999</v>
      </c>
      <c r="FM78">
        <v>24.14</v>
      </c>
      <c r="FN78">
        <v>19</v>
      </c>
      <c r="FO78">
        <v>298.35500000000002</v>
      </c>
      <c r="FP78">
        <v>278.66500000000002</v>
      </c>
      <c r="FQ78">
        <v>18.276</v>
      </c>
      <c r="FR78">
        <v>25.427800000000001</v>
      </c>
      <c r="FS78">
        <v>30.0001</v>
      </c>
      <c r="FT78">
        <v>25.431699999999999</v>
      </c>
      <c r="FU78">
        <v>25.428100000000001</v>
      </c>
      <c r="FV78">
        <v>25.008500000000002</v>
      </c>
      <c r="FW78">
        <v>16.87</v>
      </c>
      <c r="FX78">
        <v>9.9263700000000004</v>
      </c>
      <c r="FY78">
        <v>18.3141</v>
      </c>
      <c r="FZ78">
        <v>410</v>
      </c>
      <c r="GA78">
        <v>15.535399999999999</v>
      </c>
      <c r="GB78">
        <v>99.899000000000001</v>
      </c>
      <c r="GC78">
        <v>99.8339</v>
      </c>
    </row>
    <row r="79" spans="1:185" x14ac:dyDescent="0.2">
      <c r="A79">
        <v>64</v>
      </c>
      <c r="B79">
        <v>1769201646.0999999</v>
      </c>
      <c r="C79">
        <v>1375.0999999046301</v>
      </c>
      <c r="D79" t="s">
        <v>423</v>
      </c>
      <c r="E79" t="s">
        <v>424</v>
      </c>
      <c r="F79">
        <v>15</v>
      </c>
      <c r="G79">
        <v>1769201638.03333</v>
      </c>
      <c r="H79">
        <f t="shared" si="13"/>
        <v>7.8259981310734917E-4</v>
      </c>
      <c r="I79">
        <v>0</v>
      </c>
      <c r="J79">
        <f t="shared" si="12"/>
        <v>-5.6195008178824488E-3</v>
      </c>
      <c r="K79">
        <f t="shared" si="14"/>
        <v>-0.14486272483406853</v>
      </c>
      <c r="L79">
        <f t="shared" si="15"/>
        <v>73.689572239080931</v>
      </c>
      <c r="M79">
        <f t="shared" si="16"/>
        <v>1.6167232060336525</v>
      </c>
      <c r="N79">
        <f t="shared" si="17"/>
        <v>2.1939647047865893</v>
      </c>
      <c r="O79">
        <v>0</v>
      </c>
      <c r="P79">
        <v>0</v>
      </c>
      <c r="Q79">
        <f t="shared" si="18"/>
        <v>1</v>
      </c>
      <c r="R79">
        <f t="shared" si="19"/>
        <v>0</v>
      </c>
      <c r="S79">
        <f t="shared" si="20"/>
        <v>26243.262443064013</v>
      </c>
      <c r="T79">
        <f t="shared" si="21"/>
        <v>100.00004</v>
      </c>
      <c r="U79">
        <f t="shared" si="22"/>
        <v>84.300288320101828</v>
      </c>
      <c r="V79">
        <f t="shared" si="23"/>
        <v>0.84300254599999991</v>
      </c>
      <c r="W79">
        <f t="shared" si="24"/>
        <v>0.15870636500000002</v>
      </c>
      <c r="X79">
        <v>1</v>
      </c>
      <c r="Y79">
        <v>1769201638.03333</v>
      </c>
      <c r="Z79">
        <v>409.89280000000002</v>
      </c>
      <c r="AA79">
        <v>410.11259999999999</v>
      </c>
      <c r="AB79">
        <v>16.1198266666667</v>
      </c>
      <c r="AC79">
        <v>15.157780000000001</v>
      </c>
      <c r="AD79">
        <v>410.67180000000002</v>
      </c>
      <c r="AE79">
        <v>15.9980933333333</v>
      </c>
      <c r="AF79">
        <v>800.36080000000004</v>
      </c>
      <c r="AG79">
        <v>100.228466666667</v>
      </c>
      <c r="AH79">
        <v>6.5614619999999999E-2</v>
      </c>
      <c r="AI79">
        <v>18.918313333333298</v>
      </c>
      <c r="AJ79">
        <v>999.9</v>
      </c>
      <c r="AK79">
        <v>999.9</v>
      </c>
      <c r="AL79">
        <v>0</v>
      </c>
      <c r="AM79">
        <v>0</v>
      </c>
      <c r="AN79">
        <v>4992.3999999999996</v>
      </c>
      <c r="AO79">
        <v>0</v>
      </c>
      <c r="AP79">
        <v>1.58087</v>
      </c>
      <c r="AQ79">
        <v>-0.219757090466667</v>
      </c>
      <c r="AR79">
        <v>416.60846666666703</v>
      </c>
      <c r="AS79">
        <v>416.4246</v>
      </c>
      <c r="AT79">
        <v>0.96204814266666705</v>
      </c>
      <c r="AU79">
        <v>410.11259999999999</v>
      </c>
      <c r="AV79">
        <v>15.157780000000001</v>
      </c>
      <c r="AW79">
        <v>1.6156666666666699</v>
      </c>
      <c r="AX79">
        <v>1.5192433333333299</v>
      </c>
      <c r="AY79">
        <v>14.10702</v>
      </c>
      <c r="AZ79">
        <v>13.161820000000001</v>
      </c>
      <c r="BA79">
        <v>100.00004</v>
      </c>
      <c r="BB79">
        <v>0.89991513333333295</v>
      </c>
      <c r="BC79">
        <v>0</v>
      </c>
      <c r="BD79">
        <v>0.10008486666666699</v>
      </c>
      <c r="BE79">
        <v>0</v>
      </c>
      <c r="BF79">
        <v>24</v>
      </c>
      <c r="BG79">
        <v>1648.83533333333</v>
      </c>
      <c r="BH79">
        <v>1769201629.0999999</v>
      </c>
      <c r="BI79" t="s">
        <v>420</v>
      </c>
      <c r="BJ79">
        <v>1769201629.0999999</v>
      </c>
      <c r="BK79">
        <v>1769201627.0999999</v>
      </c>
      <c r="BL79">
        <v>15</v>
      </c>
      <c r="BM79">
        <v>2.5000000000000001E-2</v>
      </c>
      <c r="BN79">
        <v>3.5999999999999997E-2</v>
      </c>
      <c r="BO79">
        <v>-0.77900000000000003</v>
      </c>
      <c r="BP79">
        <v>0.122</v>
      </c>
      <c r="BQ79">
        <v>410</v>
      </c>
      <c r="BR79">
        <v>15</v>
      </c>
      <c r="BS79">
        <v>0.28999999999999998</v>
      </c>
      <c r="BT79">
        <v>0.1</v>
      </c>
      <c r="BU79">
        <v>-0.16838227485000001</v>
      </c>
      <c r="BV79">
        <v>-1.4441197732781901</v>
      </c>
      <c r="BW79">
        <v>0.14858711073801301</v>
      </c>
      <c r="BX79">
        <v>0</v>
      </c>
      <c r="BY79">
        <v>0</v>
      </c>
      <c r="BZ79">
        <v>0</v>
      </c>
      <c r="CA79">
        <v>0</v>
      </c>
      <c r="CB79">
        <v>-1</v>
      </c>
      <c r="CC79">
        <v>0.72012891135000001</v>
      </c>
      <c r="CD79">
        <v>5.7204332522255603</v>
      </c>
      <c r="CE79">
        <v>0.56759042244667401</v>
      </c>
      <c r="CF79">
        <v>0</v>
      </c>
      <c r="CG79">
        <v>0</v>
      </c>
      <c r="CH79">
        <v>2</v>
      </c>
      <c r="CI79" t="s">
        <v>290</v>
      </c>
      <c r="CJ79">
        <v>3.5325199999999999</v>
      </c>
      <c r="CK79">
        <v>2.7018</v>
      </c>
      <c r="CL79">
        <v>9.8055699999999996E-2</v>
      </c>
      <c r="CM79">
        <v>9.6765199999999996E-2</v>
      </c>
      <c r="CN79">
        <v>9.0562199999999995E-2</v>
      </c>
      <c r="CO79">
        <v>8.3643599999999999E-2</v>
      </c>
      <c r="CP79">
        <v>31632.5</v>
      </c>
      <c r="CQ79">
        <v>27838.9</v>
      </c>
      <c r="CR79">
        <v>32459.7</v>
      </c>
      <c r="CS79">
        <v>30748</v>
      </c>
      <c r="CT79">
        <v>39973.4</v>
      </c>
      <c r="CU79">
        <v>39627.800000000003</v>
      </c>
      <c r="CV79">
        <v>47411.8</v>
      </c>
      <c r="CW79">
        <v>46900.800000000003</v>
      </c>
      <c r="CX79">
        <v>2.6215000000000002</v>
      </c>
      <c r="CY79">
        <v>2.1233599999999999</v>
      </c>
      <c r="CZ79">
        <v>0</v>
      </c>
      <c r="DA79">
        <v>0</v>
      </c>
      <c r="DB79">
        <v>999.9</v>
      </c>
      <c r="DC79">
        <v>999.9</v>
      </c>
      <c r="DD79">
        <v>45.654000000000003</v>
      </c>
      <c r="DE79">
        <v>28.701000000000001</v>
      </c>
      <c r="DF79">
        <v>18.0047</v>
      </c>
      <c r="DG79">
        <v>30.369900000000001</v>
      </c>
      <c r="DH79">
        <v>16.402200000000001</v>
      </c>
      <c r="DI79">
        <v>2</v>
      </c>
      <c r="DJ79">
        <v>-0.124002</v>
      </c>
      <c r="DK79">
        <v>1.6506099999999999</v>
      </c>
      <c r="DL79">
        <v>20.238099999999999</v>
      </c>
      <c r="DM79">
        <v>5.2496400000000003</v>
      </c>
      <c r="DN79">
        <v>12.033899999999999</v>
      </c>
      <c r="DO79">
        <v>4.96692</v>
      </c>
      <c r="DP79">
        <v>3.2909999999999999</v>
      </c>
      <c r="DQ79">
        <v>538</v>
      </c>
      <c r="DR79">
        <v>9999</v>
      </c>
      <c r="DS79">
        <v>9999</v>
      </c>
      <c r="DT79">
        <v>9999</v>
      </c>
      <c r="DU79">
        <v>1.87107</v>
      </c>
      <c r="DV79">
        <v>1.87609</v>
      </c>
      <c r="DW79">
        <v>1.87636</v>
      </c>
      <c r="DX79">
        <v>1.8828</v>
      </c>
      <c r="DY79">
        <v>1.87561</v>
      </c>
      <c r="DZ79">
        <v>1.8746799999999999</v>
      </c>
      <c r="EA79">
        <v>1.8708400000000001</v>
      </c>
      <c r="EB79">
        <v>1.87466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-0.77900000000000003</v>
      </c>
      <c r="EQ79">
        <v>0.1217</v>
      </c>
      <c r="ER79">
        <v>-0.77899999999999603</v>
      </c>
      <c r="ES79">
        <v>0</v>
      </c>
      <c r="ET79">
        <v>0</v>
      </c>
      <c r="EU79">
        <v>0</v>
      </c>
      <c r="EV79">
        <v>0.121739999999999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0.3</v>
      </c>
      <c r="FE79">
        <v>0.3</v>
      </c>
      <c r="FF79">
        <v>1.24512</v>
      </c>
      <c r="FG79">
        <v>2.6037599999999999</v>
      </c>
      <c r="FH79">
        <v>2.19604</v>
      </c>
      <c r="FI79">
        <v>2.65991</v>
      </c>
      <c r="FJ79">
        <v>2.4462899999999999</v>
      </c>
      <c r="FK79">
        <v>2.31812</v>
      </c>
      <c r="FL79">
        <v>32.864699999999999</v>
      </c>
      <c r="FM79">
        <v>24.157499999999999</v>
      </c>
      <c r="FN79">
        <v>19</v>
      </c>
      <c r="FO79">
        <v>862.75900000000001</v>
      </c>
      <c r="FP79">
        <v>570.22900000000004</v>
      </c>
      <c r="FQ79">
        <v>18.456600000000002</v>
      </c>
      <c r="FR79">
        <v>25.4346</v>
      </c>
      <c r="FS79">
        <v>30.0002</v>
      </c>
      <c r="FT79">
        <v>25.418500000000002</v>
      </c>
      <c r="FU79">
        <v>25.416499999999999</v>
      </c>
      <c r="FV79">
        <v>24.989899999999999</v>
      </c>
      <c r="FW79">
        <v>22.446300000000001</v>
      </c>
      <c r="FX79">
        <v>9.9263700000000004</v>
      </c>
      <c r="FY79">
        <v>18.488399999999999</v>
      </c>
      <c r="FZ79">
        <v>410</v>
      </c>
      <c r="GA79">
        <v>14.4368</v>
      </c>
      <c r="GB79">
        <v>99.897199999999998</v>
      </c>
      <c r="GC79">
        <v>99.834100000000007</v>
      </c>
    </row>
    <row r="80" spans="1:185" x14ac:dyDescent="0.2">
      <c r="A80">
        <v>65</v>
      </c>
      <c r="B80">
        <v>1769201661.0999999</v>
      </c>
      <c r="C80">
        <v>1390.0999999046301</v>
      </c>
      <c r="D80" t="s">
        <v>425</v>
      </c>
      <c r="E80" t="s">
        <v>426</v>
      </c>
      <c r="F80">
        <v>15</v>
      </c>
      <c r="G80">
        <v>1769201653.03333</v>
      </c>
      <c r="H80">
        <f t="shared" ref="H80:H111" si="25">AF80*Q80*(AB80-AC80)/(1000*X80*(1000-Q80*AB80))</f>
        <v>1.2644784362791902E-3</v>
      </c>
      <c r="I80">
        <v>0</v>
      </c>
      <c r="J80">
        <f t="shared" si="12"/>
        <v>-9.5094145988777346E-3</v>
      </c>
      <c r="K80">
        <f t="shared" ref="K80:K111" si="26">AF80*Q80*(AA80-Z80*(1000-Q80*AC80)/(1000-Q80*AB80))/(1000*X80)</f>
        <v>-0.24513916004542807</v>
      </c>
      <c r="L80">
        <f t="shared" ref="L80:L111" si="27">(M80/N80*100)</f>
        <v>73.419447806471638</v>
      </c>
      <c r="M80">
        <f t="shared" ref="M80:M111" si="28">AB80*(AG80+AH80)/1000</f>
        <v>1.6127813085845513</v>
      </c>
      <c r="N80">
        <f t="shared" ref="N80:N111" si="29">0.61365*EXP(17.502*AI80/(240.97+AI80))</f>
        <v>2.1966677178446319</v>
      </c>
      <c r="O80">
        <v>0</v>
      </c>
      <c r="P80">
        <v>0</v>
      </c>
      <c r="Q80">
        <f t="shared" ref="Q80:Q111" si="30">IF(O80*$H$13&gt;=S80,1,(S80/(S80-O80*$H$13)))</f>
        <v>1</v>
      </c>
      <c r="R80">
        <f t="shared" ref="R80:R111" si="31">(Q80-1)*100</f>
        <v>0</v>
      </c>
      <c r="S80">
        <f t="shared" ref="S80:S111" si="32">MAX(0,($B$13+$C$13*AN80)/(1+$D$13*AN80)*AG80/(AI80+273)*$E$13)</f>
        <v>26308.293479330103</v>
      </c>
      <c r="T80">
        <f t="shared" ref="T80:T111" si="33">$B$11*AO80+$C$11*AP80+$D$11*BA80</f>
        <v>99.999560000000002</v>
      </c>
      <c r="U80">
        <f t="shared" ref="U80:U111" si="34">T80*V80</f>
        <v>84.299877078908807</v>
      </c>
      <c r="V80">
        <f t="shared" ref="V80:V111" si="35">($B$11*$D$9+$C$11*$D$9+$D$11*(BB80*$E$9+BC80*$F$9+BD80*$G$9+BE80*$H$9))/($B$11+$C$11+$D$11)</f>
        <v>0.84300248</v>
      </c>
      <c r="W80">
        <f t="shared" ref="W80:W111" si="36">($B$11*$L$9+$C$11*$L$9+$D$11*(BB80*$M$9+BC80*$N$9+BD80*$O$9+BE80*$P$9))/($B$11+$C$11+$D$11)</f>
        <v>0.15870620000000005</v>
      </c>
      <c r="X80">
        <v>1</v>
      </c>
      <c r="Y80">
        <v>1769201653.03333</v>
      </c>
      <c r="Z80">
        <v>409.73546666666698</v>
      </c>
      <c r="AA80">
        <v>410.07666666666699</v>
      </c>
      <c r="AB80">
        <v>16.0807</v>
      </c>
      <c r="AC80">
        <v>14.5255333333333</v>
      </c>
      <c r="AD80">
        <v>410.51446666666698</v>
      </c>
      <c r="AE80">
        <v>15.95898</v>
      </c>
      <c r="AF80">
        <v>800.00733333333301</v>
      </c>
      <c r="AG80">
        <v>100.229</v>
      </c>
      <c r="AH80">
        <v>6.3979073333333303E-2</v>
      </c>
      <c r="AI80">
        <v>18.938033333333301</v>
      </c>
      <c r="AJ80">
        <v>999.9</v>
      </c>
      <c r="AK80">
        <v>999.9</v>
      </c>
      <c r="AL80">
        <v>0</v>
      </c>
      <c r="AM80">
        <v>0</v>
      </c>
      <c r="AN80">
        <v>5003.3666666666704</v>
      </c>
      <c r="AO80">
        <v>0</v>
      </c>
      <c r="AP80">
        <v>1.58087</v>
      </c>
      <c r="AQ80">
        <v>-0.341021666666667</v>
      </c>
      <c r="AR80">
        <v>416.43200000000002</v>
      </c>
      <c r="AS80">
        <v>416.12086666666698</v>
      </c>
      <c r="AT80">
        <v>1.55517533333333</v>
      </c>
      <c r="AU80">
        <v>410.07666666666699</v>
      </c>
      <c r="AV80">
        <v>14.5255333333333</v>
      </c>
      <c r="AW80">
        <v>1.6117520000000001</v>
      </c>
      <c r="AX80">
        <v>1.4558786666666701</v>
      </c>
      <c r="AY80">
        <v>14.0714466666667</v>
      </c>
      <c r="AZ80">
        <v>12.511900000000001</v>
      </c>
      <c r="BA80">
        <v>99.999560000000002</v>
      </c>
      <c r="BB80">
        <v>0.89991733333333301</v>
      </c>
      <c r="BC80">
        <v>0</v>
      </c>
      <c r="BD80">
        <v>0.100082666666667</v>
      </c>
      <c r="BE80">
        <v>0</v>
      </c>
      <c r="BF80">
        <v>24</v>
      </c>
      <c r="BG80">
        <v>1648.8293333333299</v>
      </c>
      <c r="BH80">
        <v>1769201629.0999999</v>
      </c>
      <c r="BI80" t="s">
        <v>420</v>
      </c>
      <c r="BJ80">
        <v>1769201629.0999999</v>
      </c>
      <c r="BK80">
        <v>1769201627.0999999</v>
      </c>
      <c r="BL80">
        <v>15</v>
      </c>
      <c r="BM80">
        <v>2.5000000000000001E-2</v>
      </c>
      <c r="BN80">
        <v>3.5999999999999997E-2</v>
      </c>
      <c r="BO80">
        <v>-0.77900000000000003</v>
      </c>
      <c r="BP80">
        <v>0.122</v>
      </c>
      <c r="BQ80">
        <v>410</v>
      </c>
      <c r="BR80">
        <v>15</v>
      </c>
      <c r="BS80">
        <v>0.28999999999999998</v>
      </c>
      <c r="BT80">
        <v>0.1</v>
      </c>
      <c r="BU80">
        <v>-0.33867795000000001</v>
      </c>
      <c r="BV80">
        <v>2.6651774436090601E-2</v>
      </c>
      <c r="BW80">
        <v>1.8679311773925199E-2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1.488863</v>
      </c>
      <c r="CD80">
        <v>1.12054917293233</v>
      </c>
      <c r="CE80">
        <v>0.111291504846507</v>
      </c>
      <c r="CF80">
        <v>0</v>
      </c>
      <c r="CG80">
        <v>1</v>
      </c>
      <c r="CH80">
        <v>2</v>
      </c>
      <c r="CI80" t="s">
        <v>302</v>
      </c>
      <c r="CJ80">
        <v>3.5325099999999998</v>
      </c>
      <c r="CK80">
        <v>2.7017600000000002</v>
      </c>
      <c r="CL80">
        <v>9.8017800000000002E-2</v>
      </c>
      <c r="CM80">
        <v>9.6739199999999997E-2</v>
      </c>
      <c r="CN80">
        <v>8.9436399999999999E-2</v>
      </c>
      <c r="CO80">
        <v>8.1754900000000005E-2</v>
      </c>
      <c r="CP80">
        <v>31633.3</v>
      </c>
      <c r="CQ80">
        <v>27839.7</v>
      </c>
      <c r="CR80">
        <v>32459.1</v>
      </c>
      <c r="CS80">
        <v>30748</v>
      </c>
      <c r="CT80">
        <v>40023.699999999997</v>
      </c>
      <c r="CU80">
        <v>39711.699999999997</v>
      </c>
      <c r="CV80">
        <v>47410.9</v>
      </c>
      <c r="CW80">
        <v>46900.7</v>
      </c>
      <c r="CX80">
        <v>2.6237400000000002</v>
      </c>
      <c r="CY80">
        <v>2.1235599999999999</v>
      </c>
      <c r="CZ80">
        <v>0</v>
      </c>
      <c r="DA80">
        <v>0</v>
      </c>
      <c r="DB80">
        <v>999.9</v>
      </c>
      <c r="DC80">
        <v>999.9</v>
      </c>
      <c r="DD80">
        <v>45.628999999999998</v>
      </c>
      <c r="DE80">
        <v>28.701000000000001</v>
      </c>
      <c r="DF80">
        <v>17.995100000000001</v>
      </c>
      <c r="DG80">
        <v>30.489899999999999</v>
      </c>
      <c r="DH80">
        <v>16.534500000000001</v>
      </c>
      <c r="DI80">
        <v>2</v>
      </c>
      <c r="DJ80">
        <v>-0.123626</v>
      </c>
      <c r="DK80">
        <v>1.5903499999999999</v>
      </c>
      <c r="DL80">
        <v>20.238600000000002</v>
      </c>
      <c r="DM80">
        <v>5.2471199999999998</v>
      </c>
      <c r="DN80">
        <v>12.033899999999999</v>
      </c>
      <c r="DO80">
        <v>4.9665999999999997</v>
      </c>
      <c r="DP80">
        <v>3.2907000000000002</v>
      </c>
      <c r="DQ80">
        <v>538</v>
      </c>
      <c r="DR80">
        <v>9999</v>
      </c>
      <c r="DS80">
        <v>9999</v>
      </c>
      <c r="DT80">
        <v>9999</v>
      </c>
      <c r="DU80">
        <v>1.87107</v>
      </c>
      <c r="DV80">
        <v>1.8761000000000001</v>
      </c>
      <c r="DW80">
        <v>1.8763300000000001</v>
      </c>
      <c r="DX80">
        <v>1.88279</v>
      </c>
      <c r="DY80">
        <v>1.87561</v>
      </c>
      <c r="DZ80">
        <v>1.8746799999999999</v>
      </c>
      <c r="EA80">
        <v>1.8708199999999999</v>
      </c>
      <c r="EB80">
        <v>1.8746499999999999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-0.77900000000000003</v>
      </c>
      <c r="EQ80">
        <v>0.12180000000000001</v>
      </c>
      <c r="ER80">
        <v>-0.77899999999999603</v>
      </c>
      <c r="ES80">
        <v>0</v>
      </c>
      <c r="ET80">
        <v>0</v>
      </c>
      <c r="EU80">
        <v>0</v>
      </c>
      <c r="EV80">
        <v>0.121739999999999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0.5</v>
      </c>
      <c r="FE80">
        <v>0.6</v>
      </c>
      <c r="FF80">
        <v>1.24512</v>
      </c>
      <c r="FG80">
        <v>2.6086399999999998</v>
      </c>
      <c r="FH80">
        <v>2.19604</v>
      </c>
      <c r="FI80">
        <v>2.66113</v>
      </c>
      <c r="FJ80">
        <v>2.4462899999999999</v>
      </c>
      <c r="FK80">
        <v>2.2839399999999999</v>
      </c>
      <c r="FL80">
        <v>32.864699999999999</v>
      </c>
      <c r="FM80">
        <v>24.148800000000001</v>
      </c>
      <c r="FN80">
        <v>19</v>
      </c>
      <c r="FO80">
        <v>864.89400000000001</v>
      </c>
      <c r="FP80">
        <v>570.43799999999999</v>
      </c>
      <c r="FQ80">
        <v>18.606100000000001</v>
      </c>
      <c r="FR80">
        <v>25.4406</v>
      </c>
      <c r="FS80">
        <v>30.0001</v>
      </c>
      <c r="FT80">
        <v>25.422000000000001</v>
      </c>
      <c r="FU80">
        <v>25.421700000000001</v>
      </c>
      <c r="FV80">
        <v>24.983799999999999</v>
      </c>
      <c r="FW80">
        <v>24.345400000000001</v>
      </c>
      <c r="FX80">
        <v>9.5551700000000004</v>
      </c>
      <c r="FY80">
        <v>18.6248</v>
      </c>
      <c r="FZ80">
        <v>410</v>
      </c>
      <c r="GA80">
        <v>14.1153</v>
      </c>
      <c r="GB80">
        <v>99.895399999999995</v>
      </c>
      <c r="GC80">
        <v>99.834100000000007</v>
      </c>
    </row>
    <row r="81" spans="1:185" x14ac:dyDescent="0.2">
      <c r="A81">
        <v>66</v>
      </c>
      <c r="B81">
        <v>1769201676.0999999</v>
      </c>
      <c r="C81">
        <v>1405.0999999046301</v>
      </c>
      <c r="D81" t="s">
        <v>427</v>
      </c>
      <c r="E81" t="s">
        <v>428</v>
      </c>
      <c r="F81">
        <v>15</v>
      </c>
      <c r="G81">
        <v>1769201668.03333</v>
      </c>
      <c r="H81">
        <f t="shared" si="25"/>
        <v>1.3403073837552307E-3</v>
      </c>
      <c r="I81">
        <v>0</v>
      </c>
      <c r="J81">
        <f t="shared" ref="J81:J144" si="37">K81*(0.0005573/0.0143664)</f>
        <v>-6.7038300248279566E-3</v>
      </c>
      <c r="K81">
        <f t="shared" si="26"/>
        <v>-0.17281518691672051</v>
      </c>
      <c r="L81">
        <f t="shared" si="27"/>
        <v>72.17602684999288</v>
      </c>
      <c r="M81">
        <f t="shared" si="28"/>
        <v>1.5880660486923406</v>
      </c>
      <c r="N81">
        <f t="shared" si="29"/>
        <v>2.200268036356309</v>
      </c>
      <c r="O81">
        <v>0</v>
      </c>
      <c r="P81">
        <v>0</v>
      </c>
      <c r="Q81">
        <f t="shared" si="30"/>
        <v>1</v>
      </c>
      <c r="R81">
        <f t="shared" si="31"/>
        <v>0</v>
      </c>
      <c r="S81">
        <f t="shared" si="32"/>
        <v>26304.486751558463</v>
      </c>
      <c r="T81">
        <f t="shared" si="33"/>
        <v>100.000333333333</v>
      </c>
      <c r="U81">
        <f t="shared" si="34"/>
        <v>84.300529000826387</v>
      </c>
      <c r="V81">
        <f t="shared" si="35"/>
        <v>0.84300248</v>
      </c>
      <c r="W81">
        <f t="shared" si="36"/>
        <v>0.15870620000000005</v>
      </c>
      <c r="X81">
        <v>1</v>
      </c>
      <c r="Y81">
        <v>1769201668.03333</v>
      </c>
      <c r="Z81">
        <v>409.54733333333297</v>
      </c>
      <c r="AA81">
        <v>410.01746666666702</v>
      </c>
      <c r="AB81">
        <v>15.834393333333299</v>
      </c>
      <c r="AC81">
        <v>14.1855266666667</v>
      </c>
      <c r="AD81">
        <v>410.32633333333303</v>
      </c>
      <c r="AE81">
        <v>15.7126533333333</v>
      </c>
      <c r="AF81">
        <v>799.99459999999999</v>
      </c>
      <c r="AG81">
        <v>100.22813333333301</v>
      </c>
      <c r="AH81">
        <v>6.4060706666666703E-2</v>
      </c>
      <c r="AI81">
        <v>18.964266666666699</v>
      </c>
      <c r="AJ81">
        <v>999.9</v>
      </c>
      <c r="AK81">
        <v>999.9</v>
      </c>
      <c r="AL81">
        <v>0</v>
      </c>
      <c r="AM81">
        <v>0</v>
      </c>
      <c r="AN81">
        <v>5003.1666666666697</v>
      </c>
      <c r="AO81">
        <v>0</v>
      </c>
      <c r="AP81">
        <v>1.58087</v>
      </c>
      <c r="AQ81">
        <v>-0.470107</v>
      </c>
      <c r="AR81">
        <v>416.13653333333298</v>
      </c>
      <c r="AS81">
        <v>415.91733333333298</v>
      </c>
      <c r="AT81">
        <v>1.64887266666667</v>
      </c>
      <c r="AU81">
        <v>410.01746666666702</v>
      </c>
      <c r="AV81">
        <v>14.1855266666667</v>
      </c>
      <c r="AW81">
        <v>1.58704933333333</v>
      </c>
      <c r="AX81">
        <v>1.42178733333333</v>
      </c>
      <c r="AY81">
        <v>13.83352</v>
      </c>
      <c r="AZ81">
        <v>12.1518466666667</v>
      </c>
      <c r="BA81">
        <v>100.000333333333</v>
      </c>
      <c r="BB81">
        <v>0.89991733333333301</v>
      </c>
      <c r="BC81">
        <v>0</v>
      </c>
      <c r="BD81">
        <v>0.100082666666667</v>
      </c>
      <c r="BE81">
        <v>0</v>
      </c>
      <c r="BF81">
        <v>24</v>
      </c>
      <c r="BG81">
        <v>1648.84</v>
      </c>
      <c r="BH81">
        <v>1769201629.0999999</v>
      </c>
      <c r="BI81" t="s">
        <v>420</v>
      </c>
      <c r="BJ81">
        <v>1769201629.0999999</v>
      </c>
      <c r="BK81">
        <v>1769201627.0999999</v>
      </c>
      <c r="BL81">
        <v>15</v>
      </c>
      <c r="BM81">
        <v>2.5000000000000001E-2</v>
      </c>
      <c r="BN81">
        <v>3.5999999999999997E-2</v>
      </c>
      <c r="BO81">
        <v>-0.77900000000000003</v>
      </c>
      <c r="BP81">
        <v>0.122</v>
      </c>
      <c r="BQ81">
        <v>410</v>
      </c>
      <c r="BR81">
        <v>15</v>
      </c>
      <c r="BS81">
        <v>0.28999999999999998</v>
      </c>
      <c r="BT81">
        <v>0.1</v>
      </c>
      <c r="BU81">
        <v>-0.44270165</v>
      </c>
      <c r="BV81">
        <v>-0.54272756390977495</v>
      </c>
      <c r="BW81">
        <v>5.7517456423484999E-2</v>
      </c>
      <c r="BX81">
        <v>0</v>
      </c>
      <c r="BY81">
        <v>0</v>
      </c>
      <c r="BZ81">
        <v>0</v>
      </c>
      <c r="CA81">
        <v>0</v>
      </c>
      <c r="CB81">
        <v>-1</v>
      </c>
      <c r="CC81">
        <v>1.6405525000000001</v>
      </c>
      <c r="CD81">
        <v>0.139152631578947</v>
      </c>
      <c r="CE81">
        <v>1.6690291451919002E-2</v>
      </c>
      <c r="CF81">
        <v>0</v>
      </c>
      <c r="CG81">
        <v>0</v>
      </c>
      <c r="CH81">
        <v>2</v>
      </c>
      <c r="CI81" t="s">
        <v>290</v>
      </c>
      <c r="CJ81">
        <v>3.5326300000000002</v>
      </c>
      <c r="CK81">
        <v>2.7019299999999999</v>
      </c>
      <c r="CL81">
        <v>9.7994300000000006E-2</v>
      </c>
      <c r="CM81">
        <v>9.6730800000000006E-2</v>
      </c>
      <c r="CN81">
        <v>8.84794E-2</v>
      </c>
      <c r="CO81">
        <v>8.0727099999999996E-2</v>
      </c>
      <c r="CP81">
        <v>31633.5</v>
      </c>
      <c r="CQ81">
        <v>27839.5</v>
      </c>
      <c r="CR81">
        <v>32458.5</v>
      </c>
      <c r="CS81">
        <v>30747.599999999999</v>
      </c>
      <c r="CT81">
        <v>40066.5</v>
      </c>
      <c r="CU81">
        <v>39757.1</v>
      </c>
      <c r="CV81">
        <v>47410</v>
      </c>
      <c r="CW81">
        <v>46900.3</v>
      </c>
      <c r="CX81">
        <v>2.62398</v>
      </c>
      <c r="CY81">
        <v>2.1228199999999999</v>
      </c>
      <c r="CZ81">
        <v>0</v>
      </c>
      <c r="DA81">
        <v>0</v>
      </c>
      <c r="DB81">
        <v>999.9</v>
      </c>
      <c r="DC81">
        <v>999.9</v>
      </c>
      <c r="DD81">
        <v>45.604999999999997</v>
      </c>
      <c r="DE81">
        <v>28.701000000000001</v>
      </c>
      <c r="DF81">
        <v>17.9848</v>
      </c>
      <c r="DG81">
        <v>30.1599</v>
      </c>
      <c r="DH81">
        <v>16.410299999999999</v>
      </c>
      <c r="DI81">
        <v>2</v>
      </c>
      <c r="DJ81">
        <v>-0.122874</v>
      </c>
      <c r="DK81">
        <v>1.5992</v>
      </c>
      <c r="DL81">
        <v>20.238700000000001</v>
      </c>
      <c r="DM81">
        <v>5.2495200000000004</v>
      </c>
      <c r="DN81">
        <v>12.033899999999999</v>
      </c>
      <c r="DO81">
        <v>4.9669999999999996</v>
      </c>
      <c r="DP81">
        <v>3.2909999999999999</v>
      </c>
      <c r="DQ81">
        <v>538</v>
      </c>
      <c r="DR81">
        <v>9999</v>
      </c>
      <c r="DS81">
        <v>9999</v>
      </c>
      <c r="DT81">
        <v>9999</v>
      </c>
      <c r="DU81">
        <v>1.8711199999999999</v>
      </c>
      <c r="DV81">
        <v>1.87615</v>
      </c>
      <c r="DW81">
        <v>1.87635</v>
      </c>
      <c r="DX81">
        <v>1.8828</v>
      </c>
      <c r="DY81">
        <v>1.87561</v>
      </c>
      <c r="DZ81">
        <v>1.8746799999999999</v>
      </c>
      <c r="EA81">
        <v>1.87086</v>
      </c>
      <c r="EB81">
        <v>1.8746799999999999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-0.77900000000000003</v>
      </c>
      <c r="EQ81">
        <v>0.12180000000000001</v>
      </c>
      <c r="ER81">
        <v>-0.77899999999999603</v>
      </c>
      <c r="ES81">
        <v>0</v>
      </c>
      <c r="ET81">
        <v>0</v>
      </c>
      <c r="EU81">
        <v>0</v>
      </c>
      <c r="EV81">
        <v>0.121739999999999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0.8</v>
      </c>
      <c r="FE81">
        <v>0.8</v>
      </c>
      <c r="FF81">
        <v>1.2439</v>
      </c>
      <c r="FG81">
        <v>2.6000999999999999</v>
      </c>
      <c r="FH81">
        <v>2.19604</v>
      </c>
      <c r="FI81">
        <v>2.66113</v>
      </c>
      <c r="FJ81">
        <v>2.4462899999999999</v>
      </c>
      <c r="FK81">
        <v>2.2924799999999999</v>
      </c>
      <c r="FL81">
        <v>32.886899999999997</v>
      </c>
      <c r="FM81">
        <v>24.157499999999999</v>
      </c>
      <c r="FN81">
        <v>19</v>
      </c>
      <c r="FO81">
        <v>865.2</v>
      </c>
      <c r="FP81">
        <v>569.94100000000003</v>
      </c>
      <c r="FQ81">
        <v>18.701699999999999</v>
      </c>
      <c r="FR81">
        <v>25.445699999999999</v>
      </c>
      <c r="FS81">
        <v>30.000299999999999</v>
      </c>
      <c r="FT81">
        <v>25.427</v>
      </c>
      <c r="FU81">
        <v>25.427600000000002</v>
      </c>
      <c r="FV81">
        <v>24.982600000000001</v>
      </c>
      <c r="FW81">
        <v>25.510300000000001</v>
      </c>
      <c r="FX81">
        <v>9.5551700000000004</v>
      </c>
      <c r="FY81">
        <v>18.708300000000001</v>
      </c>
      <c r="FZ81">
        <v>410</v>
      </c>
      <c r="GA81">
        <v>13.934900000000001</v>
      </c>
      <c r="GB81">
        <v>99.893600000000006</v>
      </c>
      <c r="GC81">
        <v>99.832999999999998</v>
      </c>
    </row>
    <row r="82" spans="1:185" x14ac:dyDescent="0.2">
      <c r="A82">
        <v>67</v>
      </c>
      <c r="B82">
        <v>1769201691.0999999</v>
      </c>
      <c r="C82">
        <v>1420.0999999046301</v>
      </c>
      <c r="D82" t="s">
        <v>429</v>
      </c>
      <c r="E82" t="s">
        <v>430</v>
      </c>
      <c r="F82">
        <v>15</v>
      </c>
      <c r="G82">
        <v>1769201683.03333</v>
      </c>
      <c r="H82">
        <f t="shared" si="25"/>
        <v>1.3425736801584067E-3</v>
      </c>
      <c r="I82">
        <v>0</v>
      </c>
      <c r="J82">
        <f t="shared" si="37"/>
        <v>-4.4288204023966134E-3</v>
      </c>
      <c r="K82">
        <f t="shared" si="26"/>
        <v>-0.11416868011661707</v>
      </c>
      <c r="L82">
        <f t="shared" si="27"/>
        <v>71.167660848373984</v>
      </c>
      <c r="M82">
        <f t="shared" si="28"/>
        <v>1.5689210099222233</v>
      </c>
      <c r="N82">
        <f t="shared" si="29"/>
        <v>2.2045420507284659</v>
      </c>
      <c r="O82">
        <v>0</v>
      </c>
      <c r="P82">
        <v>0</v>
      </c>
      <c r="Q82">
        <f t="shared" si="30"/>
        <v>1</v>
      </c>
      <c r="R82">
        <f t="shared" si="31"/>
        <v>0</v>
      </c>
      <c r="S82">
        <f t="shared" si="32"/>
        <v>26267.944045274628</v>
      </c>
      <c r="T82">
        <f t="shared" si="33"/>
        <v>99.998786666666703</v>
      </c>
      <c r="U82">
        <f t="shared" si="34"/>
        <v>84.299236556852648</v>
      </c>
      <c r="V82">
        <f t="shared" si="35"/>
        <v>0.84300259399999999</v>
      </c>
      <c r="W82">
        <f t="shared" si="36"/>
        <v>0.15870648500000001</v>
      </c>
      <c r="X82">
        <v>1</v>
      </c>
      <c r="Y82">
        <v>1769201683.03333</v>
      </c>
      <c r="Z82">
        <v>409.47086666666701</v>
      </c>
      <c r="AA82">
        <v>410.01533333333299</v>
      </c>
      <c r="AB82">
        <v>15.6434866666667</v>
      </c>
      <c r="AC82">
        <v>13.991533333333299</v>
      </c>
      <c r="AD82">
        <v>410.249866666667</v>
      </c>
      <c r="AE82">
        <v>15.52176</v>
      </c>
      <c r="AF82">
        <v>800.00513333333299</v>
      </c>
      <c r="AG82">
        <v>100.228466666667</v>
      </c>
      <c r="AH82">
        <v>6.3817486666666701E-2</v>
      </c>
      <c r="AI82">
        <v>18.995360000000002</v>
      </c>
      <c r="AJ82">
        <v>999.9</v>
      </c>
      <c r="AK82">
        <v>999.9</v>
      </c>
      <c r="AL82">
        <v>0</v>
      </c>
      <c r="AM82">
        <v>0</v>
      </c>
      <c r="AN82">
        <v>4997.6000000000004</v>
      </c>
      <c r="AO82">
        <v>0</v>
      </c>
      <c r="AP82">
        <v>1.58087</v>
      </c>
      <c r="AQ82">
        <v>-0.54436853333333302</v>
      </c>
      <c r="AR82">
        <v>415.97833333333301</v>
      </c>
      <c r="AS82">
        <v>415.83339999999998</v>
      </c>
      <c r="AT82">
        <v>1.65195</v>
      </c>
      <c r="AU82">
        <v>410.01533333333299</v>
      </c>
      <c r="AV82">
        <v>13.991533333333299</v>
      </c>
      <c r="AW82">
        <v>1.5679213333333299</v>
      </c>
      <c r="AX82">
        <v>1.4023479999999999</v>
      </c>
      <c r="AY82">
        <v>13.647040000000001</v>
      </c>
      <c r="AZ82">
        <v>11.943006666666699</v>
      </c>
      <c r="BA82">
        <v>99.998786666666703</v>
      </c>
      <c r="BB82">
        <v>0.89991353333333302</v>
      </c>
      <c r="BC82">
        <v>0</v>
      </c>
      <c r="BD82">
        <v>0.100086466666667</v>
      </c>
      <c r="BE82">
        <v>0</v>
      </c>
      <c r="BF82">
        <v>24</v>
      </c>
      <c r="BG82">
        <v>1648.816</v>
      </c>
      <c r="BH82">
        <v>1769201629.0999999</v>
      </c>
      <c r="BI82" t="s">
        <v>420</v>
      </c>
      <c r="BJ82">
        <v>1769201629.0999999</v>
      </c>
      <c r="BK82">
        <v>1769201627.0999999</v>
      </c>
      <c r="BL82">
        <v>15</v>
      </c>
      <c r="BM82">
        <v>2.5000000000000001E-2</v>
      </c>
      <c r="BN82">
        <v>3.5999999999999997E-2</v>
      </c>
      <c r="BO82">
        <v>-0.77900000000000003</v>
      </c>
      <c r="BP82">
        <v>0.122</v>
      </c>
      <c r="BQ82">
        <v>410</v>
      </c>
      <c r="BR82">
        <v>15</v>
      </c>
      <c r="BS82">
        <v>0.28999999999999998</v>
      </c>
      <c r="BT82">
        <v>0.1</v>
      </c>
      <c r="BU82">
        <v>-0.52793734999999997</v>
      </c>
      <c r="BV82">
        <v>-0.21171514285714399</v>
      </c>
      <c r="BW82">
        <v>2.5932485945768899E-2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1.6531255</v>
      </c>
      <c r="CD82">
        <v>-7.3529323308258298E-3</v>
      </c>
      <c r="CE82">
        <v>7.7526888722558498E-3</v>
      </c>
      <c r="CF82">
        <v>1</v>
      </c>
      <c r="CG82">
        <v>2</v>
      </c>
      <c r="CH82">
        <v>2</v>
      </c>
      <c r="CI82" t="s">
        <v>297</v>
      </c>
      <c r="CJ82">
        <v>3.5325000000000002</v>
      </c>
      <c r="CK82">
        <v>2.7016300000000002</v>
      </c>
      <c r="CL82">
        <v>9.7974599999999995E-2</v>
      </c>
      <c r="CM82">
        <v>9.6719299999999994E-2</v>
      </c>
      <c r="CN82">
        <v>8.7835700000000003E-2</v>
      </c>
      <c r="CO82">
        <v>8.0212099999999995E-2</v>
      </c>
      <c r="CP82">
        <v>31634.1</v>
      </c>
      <c r="CQ82">
        <v>27839.4</v>
      </c>
      <c r="CR82">
        <v>32458.5</v>
      </c>
      <c r="CS82">
        <v>30747.1</v>
      </c>
      <c r="CT82">
        <v>40095.800000000003</v>
      </c>
      <c r="CU82">
        <v>39779.4</v>
      </c>
      <c r="CV82">
        <v>47410.1</v>
      </c>
      <c r="CW82">
        <v>46899.6</v>
      </c>
      <c r="CX82">
        <v>2.6240600000000001</v>
      </c>
      <c r="CY82">
        <v>2.1223999999999998</v>
      </c>
      <c r="CZ82">
        <v>0</v>
      </c>
      <c r="DA82">
        <v>0</v>
      </c>
      <c r="DB82">
        <v>999.9</v>
      </c>
      <c r="DC82">
        <v>999.9</v>
      </c>
      <c r="DD82">
        <v>45.604999999999997</v>
      </c>
      <c r="DE82">
        <v>28.701000000000001</v>
      </c>
      <c r="DF82">
        <v>17.985299999999999</v>
      </c>
      <c r="DG82">
        <v>30.039899999999999</v>
      </c>
      <c r="DH82">
        <v>16.490400000000001</v>
      </c>
      <c r="DI82">
        <v>2</v>
      </c>
      <c r="DJ82">
        <v>-0.120799</v>
      </c>
      <c r="DK82">
        <v>2.7405400000000002</v>
      </c>
      <c r="DL82">
        <v>20.2164</v>
      </c>
      <c r="DM82">
        <v>5.24688</v>
      </c>
      <c r="DN82">
        <v>12.033899999999999</v>
      </c>
      <c r="DO82">
        <v>4.9664799999999998</v>
      </c>
      <c r="DP82">
        <v>3.2905600000000002</v>
      </c>
      <c r="DQ82">
        <v>538</v>
      </c>
      <c r="DR82">
        <v>9999</v>
      </c>
      <c r="DS82">
        <v>9999</v>
      </c>
      <c r="DT82">
        <v>9999</v>
      </c>
      <c r="DU82">
        <v>1.87107</v>
      </c>
      <c r="DV82">
        <v>1.8760699999999999</v>
      </c>
      <c r="DW82">
        <v>1.8763000000000001</v>
      </c>
      <c r="DX82">
        <v>1.88279</v>
      </c>
      <c r="DY82">
        <v>1.8755999999999999</v>
      </c>
      <c r="DZ82">
        <v>1.8746700000000001</v>
      </c>
      <c r="EA82">
        <v>1.87079</v>
      </c>
      <c r="EB82">
        <v>1.8746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-0.77900000000000003</v>
      </c>
      <c r="EQ82">
        <v>0.1217</v>
      </c>
      <c r="ER82">
        <v>-0.77899999999999603</v>
      </c>
      <c r="ES82">
        <v>0</v>
      </c>
      <c r="ET82">
        <v>0</v>
      </c>
      <c r="EU82">
        <v>0</v>
      </c>
      <c r="EV82">
        <v>0.121739999999999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1</v>
      </c>
      <c r="FE82">
        <v>1.1000000000000001</v>
      </c>
      <c r="FF82">
        <v>1.2439</v>
      </c>
      <c r="FG82">
        <v>2.6098599999999998</v>
      </c>
      <c r="FH82">
        <v>2.19604</v>
      </c>
      <c r="FI82">
        <v>2.66113</v>
      </c>
      <c r="FJ82">
        <v>2.4462899999999999</v>
      </c>
      <c r="FK82">
        <v>2.2705099999999998</v>
      </c>
      <c r="FL82">
        <v>32.886899999999997</v>
      </c>
      <c r="FM82">
        <v>24.14</v>
      </c>
      <c r="FN82">
        <v>19</v>
      </c>
      <c r="FO82">
        <v>865.34299999999996</v>
      </c>
      <c r="FP82">
        <v>569.68299999999999</v>
      </c>
      <c r="FQ82">
        <v>18.668800000000001</v>
      </c>
      <c r="FR82">
        <v>25.45</v>
      </c>
      <c r="FS82">
        <v>30.0015</v>
      </c>
      <c r="FT82">
        <v>25.4314</v>
      </c>
      <c r="FU82">
        <v>25.433199999999999</v>
      </c>
      <c r="FV82">
        <v>24.982199999999999</v>
      </c>
      <c r="FW82">
        <v>25.788</v>
      </c>
      <c r="FX82">
        <v>9.5551700000000004</v>
      </c>
      <c r="FY82">
        <v>18.346499999999999</v>
      </c>
      <c r="FZ82">
        <v>410</v>
      </c>
      <c r="GA82">
        <v>13.916499999999999</v>
      </c>
      <c r="GB82">
        <v>99.893699999999995</v>
      </c>
      <c r="GC82">
        <v>99.831400000000002</v>
      </c>
    </row>
    <row r="83" spans="1:185" x14ac:dyDescent="0.2">
      <c r="A83">
        <v>68</v>
      </c>
      <c r="B83">
        <v>1769201706.0999999</v>
      </c>
      <c r="C83">
        <v>1435.0999999046301</v>
      </c>
      <c r="D83" t="s">
        <v>431</v>
      </c>
      <c r="E83" t="s">
        <v>432</v>
      </c>
      <c r="F83">
        <v>15</v>
      </c>
      <c r="G83">
        <v>1769201698.03333</v>
      </c>
      <c r="H83">
        <f t="shared" si="25"/>
        <v>1.2823288372640843E-3</v>
      </c>
      <c r="I83">
        <v>0</v>
      </c>
      <c r="J83">
        <f t="shared" si="37"/>
        <v>-3.2285036691672574E-3</v>
      </c>
      <c r="K83">
        <f t="shared" si="26"/>
        <v>-8.3226224856853548E-2</v>
      </c>
      <c r="L83">
        <f t="shared" si="27"/>
        <v>70.537093893944487</v>
      </c>
      <c r="M83">
        <f t="shared" si="28"/>
        <v>1.5561459301079226</v>
      </c>
      <c r="N83">
        <f t="shared" si="29"/>
        <v>2.206138421931096</v>
      </c>
      <c r="O83">
        <v>0</v>
      </c>
      <c r="P83">
        <v>0</v>
      </c>
      <c r="Q83">
        <f t="shared" si="30"/>
        <v>1</v>
      </c>
      <c r="R83">
        <f t="shared" si="31"/>
        <v>0</v>
      </c>
      <c r="S83">
        <f t="shared" si="32"/>
        <v>26323.45451036064</v>
      </c>
      <c r="T83">
        <f t="shared" si="33"/>
        <v>100.001673333333</v>
      </c>
      <c r="U83">
        <f t="shared" si="34"/>
        <v>84.301636423778106</v>
      </c>
      <c r="V83">
        <f t="shared" si="35"/>
        <v>0.84300225799999995</v>
      </c>
      <c r="W83">
        <f t="shared" si="36"/>
        <v>0.15870564500000003</v>
      </c>
      <c r="X83">
        <v>1</v>
      </c>
      <c r="Y83">
        <v>1769201698.03333</v>
      </c>
      <c r="Z83">
        <v>409.4452</v>
      </c>
      <c r="AA83">
        <v>409.99746666666698</v>
      </c>
      <c r="AB83">
        <v>15.51596</v>
      </c>
      <c r="AC83">
        <v>13.9379333333333</v>
      </c>
      <c r="AD83">
        <v>410.2242</v>
      </c>
      <c r="AE83">
        <v>15.3942333333333</v>
      </c>
      <c r="AF83">
        <v>800.006933333333</v>
      </c>
      <c r="AG83">
        <v>100.2294</v>
      </c>
      <c r="AH83">
        <v>6.3841933333333295E-2</v>
      </c>
      <c r="AI83">
        <v>19.006959999999999</v>
      </c>
      <c r="AJ83">
        <v>999.9</v>
      </c>
      <c r="AK83">
        <v>999.9</v>
      </c>
      <c r="AL83">
        <v>0</v>
      </c>
      <c r="AM83">
        <v>0</v>
      </c>
      <c r="AN83">
        <v>5006.8666666666704</v>
      </c>
      <c r="AO83">
        <v>0</v>
      </c>
      <c r="AP83">
        <v>1.58087</v>
      </c>
      <c r="AQ83">
        <v>-0.55221960000000003</v>
      </c>
      <c r="AR83">
        <v>415.89826666666698</v>
      </c>
      <c r="AS83">
        <v>415.79286666666701</v>
      </c>
      <c r="AT83">
        <v>1.5780400000000001</v>
      </c>
      <c r="AU83">
        <v>409.99746666666698</v>
      </c>
      <c r="AV83">
        <v>13.9379333333333</v>
      </c>
      <c r="AW83">
        <v>1.5551566666666701</v>
      </c>
      <c r="AX83">
        <v>1.3969913333333299</v>
      </c>
      <c r="AY83">
        <v>13.5214866666667</v>
      </c>
      <c r="AZ83">
        <v>11.885013333333299</v>
      </c>
      <c r="BA83">
        <v>100.001673333333</v>
      </c>
      <c r="BB83">
        <v>0.899924733333333</v>
      </c>
      <c r="BC83">
        <v>0</v>
      </c>
      <c r="BD83">
        <v>0.100075266666667</v>
      </c>
      <c r="BE83">
        <v>0</v>
      </c>
      <c r="BF83">
        <v>24</v>
      </c>
      <c r="BG83">
        <v>1648.86733333333</v>
      </c>
      <c r="BH83">
        <v>1769201629.0999999</v>
      </c>
      <c r="BI83" t="s">
        <v>420</v>
      </c>
      <c r="BJ83">
        <v>1769201629.0999999</v>
      </c>
      <c r="BK83">
        <v>1769201627.0999999</v>
      </c>
      <c r="BL83">
        <v>15</v>
      </c>
      <c r="BM83">
        <v>2.5000000000000001E-2</v>
      </c>
      <c r="BN83">
        <v>3.5999999999999997E-2</v>
      </c>
      <c r="BO83">
        <v>-0.77900000000000003</v>
      </c>
      <c r="BP83">
        <v>0.122</v>
      </c>
      <c r="BQ83">
        <v>410</v>
      </c>
      <c r="BR83">
        <v>15</v>
      </c>
      <c r="BS83">
        <v>0.28999999999999998</v>
      </c>
      <c r="BT83">
        <v>0.1</v>
      </c>
      <c r="BU83">
        <v>-0.54959971428571397</v>
      </c>
      <c r="BV83">
        <v>-6.6272961038961894E-2</v>
      </c>
      <c r="BW83">
        <v>1.9423134684339299E-2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1.6017219047619</v>
      </c>
      <c r="CD83">
        <v>-0.36007324675324698</v>
      </c>
      <c r="CE83">
        <v>3.7117386327709702E-2</v>
      </c>
      <c r="CF83">
        <v>0</v>
      </c>
      <c r="CG83">
        <v>1</v>
      </c>
      <c r="CH83">
        <v>2</v>
      </c>
      <c r="CI83" t="s">
        <v>302</v>
      </c>
      <c r="CJ83">
        <v>3.5325600000000001</v>
      </c>
      <c r="CK83">
        <v>2.7015799999999999</v>
      </c>
      <c r="CL83">
        <v>9.7978399999999993E-2</v>
      </c>
      <c r="CM83">
        <v>9.6724099999999993E-2</v>
      </c>
      <c r="CN83">
        <v>8.7409600000000004E-2</v>
      </c>
      <c r="CO83">
        <v>8.0061400000000005E-2</v>
      </c>
      <c r="CP83">
        <v>31633.7</v>
      </c>
      <c r="CQ83">
        <v>27838.1</v>
      </c>
      <c r="CR83">
        <v>32458.3</v>
      </c>
      <c r="CS83">
        <v>30745.9</v>
      </c>
      <c r="CT83">
        <v>40115</v>
      </c>
      <c r="CU83">
        <v>39784.400000000001</v>
      </c>
      <c r="CV83">
        <v>47410</v>
      </c>
      <c r="CW83">
        <v>46897.599999999999</v>
      </c>
      <c r="CX83">
        <v>2.6238000000000001</v>
      </c>
      <c r="CY83">
        <v>2.12222</v>
      </c>
      <c r="CZ83">
        <v>0</v>
      </c>
      <c r="DA83">
        <v>0</v>
      </c>
      <c r="DB83">
        <v>999.9</v>
      </c>
      <c r="DC83">
        <v>999.9</v>
      </c>
      <c r="DD83">
        <v>45.555999999999997</v>
      </c>
      <c r="DE83">
        <v>28.701000000000001</v>
      </c>
      <c r="DF83">
        <v>17.9649</v>
      </c>
      <c r="DG83">
        <v>30.009899999999998</v>
      </c>
      <c r="DH83">
        <v>16.462299999999999</v>
      </c>
      <c r="DI83">
        <v>2</v>
      </c>
      <c r="DJ83">
        <v>-0.119724</v>
      </c>
      <c r="DK83">
        <v>2.1938</v>
      </c>
      <c r="DL83">
        <v>20.2303</v>
      </c>
      <c r="DM83">
        <v>5.2493999999999996</v>
      </c>
      <c r="DN83">
        <v>12.033899999999999</v>
      </c>
      <c r="DO83">
        <v>4.9667599999999998</v>
      </c>
      <c r="DP83">
        <v>3.2909999999999999</v>
      </c>
      <c r="DQ83">
        <v>538</v>
      </c>
      <c r="DR83">
        <v>9999</v>
      </c>
      <c r="DS83">
        <v>9999</v>
      </c>
      <c r="DT83">
        <v>9999</v>
      </c>
      <c r="DU83">
        <v>1.87104</v>
      </c>
      <c r="DV83">
        <v>1.8760699999999999</v>
      </c>
      <c r="DW83">
        <v>1.8762399999999999</v>
      </c>
      <c r="DX83">
        <v>1.8827799999999999</v>
      </c>
      <c r="DY83">
        <v>1.8755599999999999</v>
      </c>
      <c r="DZ83">
        <v>1.8746100000000001</v>
      </c>
      <c r="EA83">
        <v>1.87076</v>
      </c>
      <c r="EB83">
        <v>1.8745799999999999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-0.77900000000000003</v>
      </c>
      <c r="EQ83">
        <v>0.1217</v>
      </c>
      <c r="ER83">
        <v>-0.77899999999999603</v>
      </c>
      <c r="ES83">
        <v>0</v>
      </c>
      <c r="ET83">
        <v>0</v>
      </c>
      <c r="EU83">
        <v>0</v>
      </c>
      <c r="EV83">
        <v>0.121739999999999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1.3</v>
      </c>
      <c r="FE83">
        <v>1.3</v>
      </c>
      <c r="FF83">
        <v>1.24512</v>
      </c>
      <c r="FG83">
        <v>2.6037599999999999</v>
      </c>
      <c r="FH83">
        <v>2.19604</v>
      </c>
      <c r="FI83">
        <v>2.66113</v>
      </c>
      <c r="FJ83">
        <v>2.4462899999999999</v>
      </c>
      <c r="FK83">
        <v>2.2985799999999998</v>
      </c>
      <c r="FL83">
        <v>32.886899999999997</v>
      </c>
      <c r="FM83">
        <v>24.148800000000001</v>
      </c>
      <c r="FN83">
        <v>19</v>
      </c>
      <c r="FO83">
        <v>865.197</v>
      </c>
      <c r="FP83">
        <v>569.61599999999999</v>
      </c>
      <c r="FQ83">
        <v>18.284800000000001</v>
      </c>
      <c r="FR83">
        <v>25.455100000000002</v>
      </c>
      <c r="FS83">
        <v>29.999600000000001</v>
      </c>
      <c r="FT83">
        <v>25.4373</v>
      </c>
      <c r="FU83">
        <v>25.439599999999999</v>
      </c>
      <c r="FV83">
        <v>24.982399999999998</v>
      </c>
      <c r="FW83">
        <v>25.788</v>
      </c>
      <c r="FX83">
        <v>9.1842199999999998</v>
      </c>
      <c r="FY83">
        <v>18.320900000000002</v>
      </c>
      <c r="FZ83">
        <v>410</v>
      </c>
      <c r="GA83">
        <v>13.9345</v>
      </c>
      <c r="GB83">
        <v>99.893299999999996</v>
      </c>
      <c r="GC83">
        <v>99.827299999999994</v>
      </c>
    </row>
    <row r="84" spans="1:185" x14ac:dyDescent="0.2">
      <c r="A84">
        <v>69</v>
      </c>
      <c r="B84">
        <v>1769201721.0999999</v>
      </c>
      <c r="C84">
        <v>1450.0999999046301</v>
      </c>
      <c r="D84" t="s">
        <v>433</v>
      </c>
      <c r="E84" t="s">
        <v>434</v>
      </c>
      <c r="F84">
        <v>15</v>
      </c>
      <c r="G84">
        <v>1769201713.03333</v>
      </c>
      <c r="H84">
        <f t="shared" si="25"/>
        <v>1.244512192588215E-3</v>
      </c>
      <c r="I84">
        <v>0</v>
      </c>
      <c r="J84">
        <f t="shared" si="37"/>
        <v>-1.4883072978347691E-3</v>
      </c>
      <c r="K84">
        <f t="shared" si="26"/>
        <v>-3.8366441707542477E-2</v>
      </c>
      <c r="L84">
        <f t="shared" si="27"/>
        <v>70.275041743065373</v>
      </c>
      <c r="M84">
        <f t="shared" si="28"/>
        <v>1.5484251180577371</v>
      </c>
      <c r="N84">
        <f t="shared" si="29"/>
        <v>2.2033784394166274</v>
      </c>
      <c r="O84">
        <v>0</v>
      </c>
      <c r="P84">
        <v>0</v>
      </c>
      <c r="Q84">
        <f t="shared" si="30"/>
        <v>1</v>
      </c>
      <c r="R84">
        <f t="shared" si="31"/>
        <v>0</v>
      </c>
      <c r="S84">
        <f t="shared" si="32"/>
        <v>26236.490115403671</v>
      </c>
      <c r="T84">
        <f t="shared" si="33"/>
        <v>100.000313333333</v>
      </c>
      <c r="U84">
        <f t="shared" si="34"/>
        <v>84.300519140798713</v>
      </c>
      <c r="V84">
        <f t="shared" si="35"/>
        <v>0.84300254999999991</v>
      </c>
      <c r="W84">
        <f t="shared" si="36"/>
        <v>0.15870637500000001</v>
      </c>
      <c r="X84">
        <v>1</v>
      </c>
      <c r="Y84">
        <v>1769201713.03333</v>
      </c>
      <c r="Z84">
        <v>409.41180000000003</v>
      </c>
      <c r="AA84">
        <v>410.00073333333302</v>
      </c>
      <c r="AB84">
        <v>15.43914</v>
      </c>
      <c r="AC84">
        <v>13.9075333333333</v>
      </c>
      <c r="AD84">
        <v>410.19080000000002</v>
      </c>
      <c r="AE84">
        <v>15.3173933333333</v>
      </c>
      <c r="AF84">
        <v>800.00826666666705</v>
      </c>
      <c r="AG84">
        <v>100.228466666667</v>
      </c>
      <c r="AH84">
        <v>6.3720466666666697E-2</v>
      </c>
      <c r="AI84">
        <v>18.986899999999999</v>
      </c>
      <c r="AJ84">
        <v>999.9</v>
      </c>
      <c r="AK84">
        <v>999.9</v>
      </c>
      <c r="AL84">
        <v>0</v>
      </c>
      <c r="AM84">
        <v>0</v>
      </c>
      <c r="AN84">
        <v>4992.3</v>
      </c>
      <c r="AO84">
        <v>0</v>
      </c>
      <c r="AP84">
        <v>1.58087</v>
      </c>
      <c r="AQ84">
        <v>-0.58889153333333299</v>
      </c>
      <c r="AR84">
        <v>415.831866666667</v>
      </c>
      <c r="AS84">
        <v>415.78313333333301</v>
      </c>
      <c r="AT84">
        <v>1.5316173333333301</v>
      </c>
      <c r="AU84">
        <v>410.00073333333302</v>
      </c>
      <c r="AV84">
        <v>13.9075333333333</v>
      </c>
      <c r="AW84">
        <v>1.54744066666667</v>
      </c>
      <c r="AX84">
        <v>1.39392933333333</v>
      </c>
      <c r="AY84">
        <v>13.445133333333301</v>
      </c>
      <c r="AZ84">
        <v>11.851746666666701</v>
      </c>
      <c r="BA84">
        <v>100.000313333333</v>
      </c>
      <c r="BB84">
        <v>0.89991500000000002</v>
      </c>
      <c r="BC84">
        <v>0</v>
      </c>
      <c r="BD84">
        <v>0.10008499999999999</v>
      </c>
      <c r="BE84">
        <v>0</v>
      </c>
      <c r="BF84">
        <v>24</v>
      </c>
      <c r="BG84">
        <v>1648.8406666666699</v>
      </c>
      <c r="BH84">
        <v>1769201629.0999999</v>
      </c>
      <c r="BI84" t="s">
        <v>420</v>
      </c>
      <c r="BJ84">
        <v>1769201629.0999999</v>
      </c>
      <c r="BK84">
        <v>1769201627.0999999</v>
      </c>
      <c r="BL84">
        <v>15</v>
      </c>
      <c r="BM84">
        <v>2.5000000000000001E-2</v>
      </c>
      <c r="BN84">
        <v>3.5999999999999997E-2</v>
      </c>
      <c r="BO84">
        <v>-0.77900000000000003</v>
      </c>
      <c r="BP84">
        <v>0.122</v>
      </c>
      <c r="BQ84">
        <v>410</v>
      </c>
      <c r="BR84">
        <v>15</v>
      </c>
      <c r="BS84">
        <v>0.28999999999999998</v>
      </c>
      <c r="BT84">
        <v>0.1</v>
      </c>
      <c r="BU84">
        <v>-0.584154333333333</v>
      </c>
      <c r="BV84">
        <v>-0.120709402597403</v>
      </c>
      <c r="BW84">
        <v>1.84627318912692E-2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1.53957619047619</v>
      </c>
      <c r="CD84">
        <v>-0.15565324675324499</v>
      </c>
      <c r="CE84">
        <v>1.61217275678893E-2</v>
      </c>
      <c r="CF84">
        <v>0</v>
      </c>
      <c r="CG84">
        <v>1</v>
      </c>
      <c r="CH84">
        <v>2</v>
      </c>
      <c r="CI84" t="s">
        <v>302</v>
      </c>
      <c r="CJ84">
        <v>3.5325199999999999</v>
      </c>
      <c r="CK84">
        <v>2.7013699999999998</v>
      </c>
      <c r="CL84">
        <v>9.7962400000000005E-2</v>
      </c>
      <c r="CM84">
        <v>9.6714400000000006E-2</v>
      </c>
      <c r="CN84">
        <v>8.7218299999999999E-2</v>
      </c>
      <c r="CO84">
        <v>8.0014399999999999E-2</v>
      </c>
      <c r="CP84">
        <v>31633.4</v>
      </c>
      <c r="CQ84">
        <v>27838.9</v>
      </c>
      <c r="CR84">
        <v>32457.3</v>
      </c>
      <c r="CS84">
        <v>30746.400000000001</v>
      </c>
      <c r="CT84">
        <v>40122.5</v>
      </c>
      <c r="CU84">
        <v>39787.199999999997</v>
      </c>
      <c r="CV84">
        <v>47408.6</v>
      </c>
      <c r="CW84">
        <v>46898.5</v>
      </c>
      <c r="CX84">
        <v>2.62398</v>
      </c>
      <c r="CY84">
        <v>2.1223999999999998</v>
      </c>
      <c r="CZ84">
        <v>0</v>
      </c>
      <c r="DA84">
        <v>0</v>
      </c>
      <c r="DB84">
        <v>999.9</v>
      </c>
      <c r="DC84">
        <v>999.9</v>
      </c>
      <c r="DD84">
        <v>45.531999999999996</v>
      </c>
      <c r="DE84">
        <v>28.701000000000001</v>
      </c>
      <c r="DF84">
        <v>17.956099999999999</v>
      </c>
      <c r="DG84">
        <v>30.1599</v>
      </c>
      <c r="DH84">
        <v>16.446300000000001</v>
      </c>
      <c r="DI84">
        <v>2</v>
      </c>
      <c r="DJ84">
        <v>-0.120433</v>
      </c>
      <c r="DK84">
        <v>2.0222099999999998</v>
      </c>
      <c r="DL84">
        <v>20.233000000000001</v>
      </c>
      <c r="DM84">
        <v>5.2461599999999997</v>
      </c>
      <c r="DN84">
        <v>12.033899999999999</v>
      </c>
      <c r="DO84">
        <v>4.9664400000000004</v>
      </c>
      <c r="DP84">
        <v>3.2905600000000002</v>
      </c>
      <c r="DQ84">
        <v>538</v>
      </c>
      <c r="DR84">
        <v>9999</v>
      </c>
      <c r="DS84">
        <v>9999</v>
      </c>
      <c r="DT84">
        <v>9999</v>
      </c>
      <c r="DU84">
        <v>1.87104</v>
      </c>
      <c r="DV84">
        <v>1.8760699999999999</v>
      </c>
      <c r="DW84">
        <v>1.87622</v>
      </c>
      <c r="DX84">
        <v>1.8827799999999999</v>
      </c>
      <c r="DY84">
        <v>1.8755299999999999</v>
      </c>
      <c r="DZ84">
        <v>1.8746100000000001</v>
      </c>
      <c r="EA84">
        <v>1.8707400000000001</v>
      </c>
      <c r="EB84">
        <v>1.8745499999999999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-0.77900000000000003</v>
      </c>
      <c r="EQ84">
        <v>0.1217</v>
      </c>
      <c r="ER84">
        <v>-0.77899999999999603</v>
      </c>
      <c r="ES84">
        <v>0</v>
      </c>
      <c r="ET84">
        <v>0</v>
      </c>
      <c r="EU84">
        <v>0</v>
      </c>
      <c r="EV84">
        <v>0.121739999999999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1.5</v>
      </c>
      <c r="FE84">
        <v>1.6</v>
      </c>
      <c r="FF84">
        <v>1.24512</v>
      </c>
      <c r="FG84">
        <v>2.6013199999999999</v>
      </c>
      <c r="FH84">
        <v>2.19604</v>
      </c>
      <c r="FI84">
        <v>2.66113</v>
      </c>
      <c r="FJ84">
        <v>2.4462899999999999</v>
      </c>
      <c r="FK84">
        <v>2.2924799999999999</v>
      </c>
      <c r="FL84">
        <v>32.886899999999997</v>
      </c>
      <c r="FM84">
        <v>24.148800000000001</v>
      </c>
      <c r="FN84">
        <v>19</v>
      </c>
      <c r="FO84">
        <v>865.447</v>
      </c>
      <c r="FP84">
        <v>569.81399999999996</v>
      </c>
      <c r="FQ84">
        <v>18.322600000000001</v>
      </c>
      <c r="FR84">
        <v>25.4602</v>
      </c>
      <c r="FS84">
        <v>29.9999</v>
      </c>
      <c r="FT84">
        <v>25.442499999999999</v>
      </c>
      <c r="FU84">
        <v>25.4451</v>
      </c>
      <c r="FV84">
        <v>24.9831</v>
      </c>
      <c r="FW84">
        <v>25.788</v>
      </c>
      <c r="FX84">
        <v>9.1842199999999998</v>
      </c>
      <c r="FY84">
        <v>18.337499999999999</v>
      </c>
      <c r="FZ84">
        <v>410</v>
      </c>
      <c r="GA84">
        <v>13.944900000000001</v>
      </c>
      <c r="GB84">
        <v>99.8904</v>
      </c>
      <c r="GC84">
        <v>99.8292</v>
      </c>
    </row>
    <row r="85" spans="1:185" x14ac:dyDescent="0.2">
      <c r="A85">
        <v>70</v>
      </c>
      <c r="B85">
        <v>1769201736.0999999</v>
      </c>
      <c r="C85">
        <v>1465.0999999046301</v>
      </c>
      <c r="D85" t="s">
        <v>435</v>
      </c>
      <c r="E85" t="s">
        <v>436</v>
      </c>
      <c r="F85">
        <v>15</v>
      </c>
      <c r="G85">
        <v>1769201728.03333</v>
      </c>
      <c r="H85">
        <f t="shared" si="25"/>
        <v>1.2300563044919449E-3</v>
      </c>
      <c r="I85">
        <v>0</v>
      </c>
      <c r="J85">
        <f t="shared" si="37"/>
        <v>-1.0845870940130763E-3</v>
      </c>
      <c r="K85">
        <f t="shared" si="26"/>
        <v>-2.7959110043835379E-2</v>
      </c>
      <c r="L85">
        <f t="shared" si="27"/>
        <v>70.193533399827359</v>
      </c>
      <c r="M85">
        <f t="shared" si="28"/>
        <v>1.5457709717937684</v>
      </c>
      <c r="N85">
        <f t="shared" si="29"/>
        <v>2.2021558068446949</v>
      </c>
      <c r="O85">
        <v>0</v>
      </c>
      <c r="P85">
        <v>0</v>
      </c>
      <c r="Q85">
        <f t="shared" si="30"/>
        <v>1</v>
      </c>
      <c r="R85">
        <f t="shared" si="31"/>
        <v>0</v>
      </c>
      <c r="S85">
        <f t="shared" si="32"/>
        <v>26270.133818165334</v>
      </c>
      <c r="T85">
        <f t="shared" si="33"/>
        <v>99.9998066666667</v>
      </c>
      <c r="U85">
        <f t="shared" si="34"/>
        <v>84.300136419421193</v>
      </c>
      <c r="V85">
        <f t="shared" si="35"/>
        <v>0.84300299400000012</v>
      </c>
      <c r="W85">
        <f t="shared" si="36"/>
        <v>0.15870748500000001</v>
      </c>
      <c r="X85">
        <v>1</v>
      </c>
      <c r="Y85">
        <v>1769201728.03333</v>
      </c>
      <c r="Z85">
        <v>409.40706666666699</v>
      </c>
      <c r="AA85">
        <v>410.0016</v>
      </c>
      <c r="AB85">
        <v>15.41286</v>
      </c>
      <c r="AC85">
        <v>13.899013333333301</v>
      </c>
      <c r="AD85">
        <v>410.18606666666699</v>
      </c>
      <c r="AE85">
        <v>15.291126666666701</v>
      </c>
      <c r="AF85">
        <v>800.01340000000005</v>
      </c>
      <c r="AG85">
        <v>100.227</v>
      </c>
      <c r="AH85">
        <v>6.3988939999999994E-2</v>
      </c>
      <c r="AI85">
        <v>18.978006666666701</v>
      </c>
      <c r="AJ85">
        <v>999.9</v>
      </c>
      <c r="AK85">
        <v>999.9</v>
      </c>
      <c r="AL85">
        <v>0</v>
      </c>
      <c r="AM85">
        <v>0</v>
      </c>
      <c r="AN85">
        <v>4997.7666666666701</v>
      </c>
      <c r="AO85">
        <v>0</v>
      </c>
      <c r="AP85">
        <v>1.58087</v>
      </c>
      <c r="AQ85">
        <v>-0.59461266666666701</v>
      </c>
      <c r="AR85">
        <v>415.81593333333302</v>
      </c>
      <c r="AS85">
        <v>415.780666666667</v>
      </c>
      <c r="AT85">
        <v>1.5138513333333301</v>
      </c>
      <c r="AU85">
        <v>410.0016</v>
      </c>
      <c r="AV85">
        <v>13.899013333333301</v>
      </c>
      <c r="AW85">
        <v>1.54478466666667</v>
      </c>
      <c r="AX85">
        <v>1.39305533333333</v>
      </c>
      <c r="AY85">
        <v>13.4187733333333</v>
      </c>
      <c r="AZ85">
        <v>11.8422533333333</v>
      </c>
      <c r="BA85">
        <v>99.9998066666667</v>
      </c>
      <c r="BB85">
        <v>0.89990020000000004</v>
      </c>
      <c r="BC85">
        <v>0</v>
      </c>
      <c r="BD85">
        <v>0.1000998</v>
      </c>
      <c r="BE85">
        <v>0</v>
      </c>
      <c r="BF85">
        <v>24</v>
      </c>
      <c r="BG85">
        <v>1648.826</v>
      </c>
      <c r="BH85">
        <v>1769201629.0999999</v>
      </c>
      <c r="BI85" t="s">
        <v>420</v>
      </c>
      <c r="BJ85">
        <v>1769201629.0999999</v>
      </c>
      <c r="BK85">
        <v>1769201627.0999999</v>
      </c>
      <c r="BL85">
        <v>15</v>
      </c>
      <c r="BM85">
        <v>2.5000000000000001E-2</v>
      </c>
      <c r="BN85">
        <v>3.5999999999999997E-2</v>
      </c>
      <c r="BO85">
        <v>-0.77900000000000003</v>
      </c>
      <c r="BP85">
        <v>0.122</v>
      </c>
      <c r="BQ85">
        <v>410</v>
      </c>
      <c r="BR85">
        <v>15</v>
      </c>
      <c r="BS85">
        <v>0.28999999999999998</v>
      </c>
      <c r="BT85">
        <v>0.1</v>
      </c>
      <c r="BU85">
        <v>-0.59459689999999998</v>
      </c>
      <c r="BV85">
        <v>-2.0146466165420099E-3</v>
      </c>
      <c r="BW85">
        <v>1.6209029039088101E-2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1.5153825000000001</v>
      </c>
      <c r="CD85">
        <v>-4.6418796992482497E-2</v>
      </c>
      <c r="CE85">
        <v>5.0473595819992903E-3</v>
      </c>
      <c r="CF85">
        <v>1</v>
      </c>
      <c r="CG85">
        <v>2</v>
      </c>
      <c r="CH85">
        <v>2</v>
      </c>
      <c r="CI85" t="s">
        <v>297</v>
      </c>
      <c r="CJ85">
        <v>3.53254</v>
      </c>
      <c r="CK85">
        <v>2.70173</v>
      </c>
      <c r="CL85">
        <v>9.7967499999999999E-2</v>
      </c>
      <c r="CM85">
        <v>9.67108E-2</v>
      </c>
      <c r="CN85">
        <v>8.7149799999999999E-2</v>
      </c>
      <c r="CO85">
        <v>7.9981899999999995E-2</v>
      </c>
      <c r="CP85">
        <v>31633.7</v>
      </c>
      <c r="CQ85">
        <v>27838.2</v>
      </c>
      <c r="CR85">
        <v>32457.9</v>
      </c>
      <c r="CS85">
        <v>30745.599999999999</v>
      </c>
      <c r="CT85">
        <v>40126.6</v>
      </c>
      <c r="CU85">
        <v>39787.699999999997</v>
      </c>
      <c r="CV85">
        <v>47409.7</v>
      </c>
      <c r="CW85">
        <v>46897.4</v>
      </c>
      <c r="CX85">
        <v>2.62378</v>
      </c>
      <c r="CY85">
        <v>2.1222599999999998</v>
      </c>
      <c r="CZ85">
        <v>0</v>
      </c>
      <c r="DA85">
        <v>0</v>
      </c>
      <c r="DB85">
        <v>999.9</v>
      </c>
      <c r="DC85">
        <v>999.9</v>
      </c>
      <c r="DD85">
        <v>45.518999999999998</v>
      </c>
      <c r="DE85">
        <v>28.710999999999999</v>
      </c>
      <c r="DF85">
        <v>17.963000000000001</v>
      </c>
      <c r="DG85">
        <v>30.3399</v>
      </c>
      <c r="DH85">
        <v>16.458300000000001</v>
      </c>
      <c r="DI85">
        <v>2</v>
      </c>
      <c r="DJ85">
        <v>-0.120244</v>
      </c>
      <c r="DK85">
        <v>1.95252</v>
      </c>
      <c r="DL85">
        <v>20.234300000000001</v>
      </c>
      <c r="DM85">
        <v>5.2502399999999998</v>
      </c>
      <c r="DN85">
        <v>12.033899999999999</v>
      </c>
      <c r="DO85">
        <v>4.9668799999999997</v>
      </c>
      <c r="DP85">
        <v>3.2909999999999999</v>
      </c>
      <c r="DQ85">
        <v>538</v>
      </c>
      <c r="DR85">
        <v>9999</v>
      </c>
      <c r="DS85">
        <v>9999</v>
      </c>
      <c r="DT85">
        <v>9999</v>
      </c>
      <c r="DU85">
        <v>1.8710500000000001</v>
      </c>
      <c r="DV85">
        <v>1.8760699999999999</v>
      </c>
      <c r="DW85">
        <v>1.8762700000000001</v>
      </c>
      <c r="DX85">
        <v>1.8827799999999999</v>
      </c>
      <c r="DY85">
        <v>1.8755500000000001</v>
      </c>
      <c r="DZ85">
        <v>1.8746400000000001</v>
      </c>
      <c r="EA85">
        <v>1.87079</v>
      </c>
      <c r="EB85">
        <v>1.8745799999999999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-0.77900000000000003</v>
      </c>
      <c r="EQ85">
        <v>0.1217</v>
      </c>
      <c r="ER85">
        <v>-0.77899999999999603</v>
      </c>
      <c r="ES85">
        <v>0</v>
      </c>
      <c r="ET85">
        <v>0</v>
      </c>
      <c r="EU85">
        <v>0</v>
      </c>
      <c r="EV85">
        <v>0.121739999999999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1.8</v>
      </c>
      <c r="FE85">
        <v>1.8</v>
      </c>
      <c r="FF85">
        <v>1.24512</v>
      </c>
      <c r="FG85">
        <v>2.6037599999999999</v>
      </c>
      <c r="FH85">
        <v>2.19604</v>
      </c>
      <c r="FI85">
        <v>2.66113</v>
      </c>
      <c r="FJ85">
        <v>2.4462899999999999</v>
      </c>
      <c r="FK85">
        <v>2.2778299999999998</v>
      </c>
      <c r="FL85">
        <v>32.864699999999999</v>
      </c>
      <c r="FM85">
        <v>24.148800000000001</v>
      </c>
      <c r="FN85">
        <v>19</v>
      </c>
      <c r="FO85">
        <v>865.33600000000001</v>
      </c>
      <c r="FP85">
        <v>569.75599999999997</v>
      </c>
      <c r="FQ85">
        <v>18.3705</v>
      </c>
      <c r="FR85">
        <v>25.464600000000001</v>
      </c>
      <c r="FS85">
        <v>30.0001</v>
      </c>
      <c r="FT85">
        <v>25.447199999999999</v>
      </c>
      <c r="FU85">
        <v>25.449400000000001</v>
      </c>
      <c r="FV85">
        <v>24.982500000000002</v>
      </c>
      <c r="FW85">
        <v>25.788</v>
      </c>
      <c r="FX85">
        <v>9.1842199999999998</v>
      </c>
      <c r="FY85">
        <v>18.382100000000001</v>
      </c>
      <c r="FZ85">
        <v>410</v>
      </c>
      <c r="GA85">
        <v>13.9468</v>
      </c>
      <c r="GB85">
        <v>99.892499999999998</v>
      </c>
      <c r="GC85">
        <v>99.826700000000002</v>
      </c>
    </row>
    <row r="86" spans="1:185" x14ac:dyDescent="0.2">
      <c r="A86">
        <v>71</v>
      </c>
      <c r="B86">
        <v>1769201751.0999999</v>
      </c>
      <c r="C86">
        <v>1480.0999999046301</v>
      </c>
      <c r="D86" t="s">
        <v>437</v>
      </c>
      <c r="E86" t="s">
        <v>438</v>
      </c>
      <c r="F86">
        <v>15</v>
      </c>
      <c r="G86">
        <v>1769201743.03333</v>
      </c>
      <c r="H86">
        <f t="shared" si="25"/>
        <v>1.2243066931345032E-3</v>
      </c>
      <c r="I86">
        <v>0</v>
      </c>
      <c r="J86">
        <f t="shared" si="37"/>
        <v>-1.4221888496833424E-3</v>
      </c>
      <c r="K86">
        <f t="shared" si="26"/>
        <v>-3.6662002314894609E-2</v>
      </c>
      <c r="L86">
        <f t="shared" si="27"/>
        <v>70.13392034780837</v>
      </c>
      <c r="M86">
        <f t="shared" si="28"/>
        <v>1.5442654203557145</v>
      </c>
      <c r="N86">
        <f t="shared" si="29"/>
        <v>2.201880933929528</v>
      </c>
      <c r="O86">
        <v>0</v>
      </c>
      <c r="P86">
        <v>0</v>
      </c>
      <c r="Q86">
        <f t="shared" si="30"/>
        <v>1</v>
      </c>
      <c r="R86">
        <f t="shared" si="31"/>
        <v>0</v>
      </c>
      <c r="S86">
        <f t="shared" si="32"/>
        <v>26347.513015998957</v>
      </c>
      <c r="T86">
        <f t="shared" si="33"/>
        <v>100.000913333333</v>
      </c>
      <c r="U86">
        <f t="shared" si="34"/>
        <v>84.301045142513217</v>
      </c>
      <c r="V86">
        <f t="shared" si="35"/>
        <v>0.84300275199999997</v>
      </c>
      <c r="W86">
        <f t="shared" si="36"/>
        <v>0.15870687999999999</v>
      </c>
      <c r="X86">
        <v>1</v>
      </c>
      <c r="Y86">
        <v>1769201743.03333</v>
      </c>
      <c r="Z86">
        <v>409.41739999999999</v>
      </c>
      <c r="AA86">
        <v>409.99813333333299</v>
      </c>
      <c r="AB86">
        <v>15.3977066666667</v>
      </c>
      <c r="AC86">
        <v>13.8909</v>
      </c>
      <c r="AD86">
        <v>410.19639999999998</v>
      </c>
      <c r="AE86">
        <v>15.2759466666667</v>
      </c>
      <c r="AF86">
        <v>800.00653333333298</v>
      </c>
      <c r="AG86">
        <v>100.227866666667</v>
      </c>
      <c r="AH86">
        <v>6.4043926666666695E-2</v>
      </c>
      <c r="AI86">
        <v>18.976006666666699</v>
      </c>
      <c r="AJ86">
        <v>999.9</v>
      </c>
      <c r="AK86">
        <v>999.9</v>
      </c>
      <c r="AL86">
        <v>0</v>
      </c>
      <c r="AM86">
        <v>0</v>
      </c>
      <c r="AN86">
        <v>5010.4333333333298</v>
      </c>
      <c r="AO86">
        <v>0</v>
      </c>
      <c r="AP86">
        <v>1.58087</v>
      </c>
      <c r="AQ86">
        <v>-0.58072100000000004</v>
      </c>
      <c r="AR86">
        <v>415.81993333333298</v>
      </c>
      <c r="AS86">
        <v>415.77346666666699</v>
      </c>
      <c r="AT86">
        <v>1.506796</v>
      </c>
      <c r="AU86">
        <v>409.99813333333299</v>
      </c>
      <c r="AV86">
        <v>13.8909</v>
      </c>
      <c r="AW86">
        <v>1.5432806666666701</v>
      </c>
      <c r="AX86">
        <v>1.39225666666667</v>
      </c>
      <c r="AY86">
        <v>13.4038133333333</v>
      </c>
      <c r="AZ86">
        <v>11.833553333333301</v>
      </c>
      <c r="BA86">
        <v>100.000913333333</v>
      </c>
      <c r="BB86">
        <v>0.89990826666666701</v>
      </c>
      <c r="BC86">
        <v>0</v>
      </c>
      <c r="BD86">
        <v>0.100091733333333</v>
      </c>
      <c r="BE86">
        <v>0</v>
      </c>
      <c r="BF86">
        <v>24</v>
      </c>
      <c r="BG86">
        <v>1648.8486666666699</v>
      </c>
      <c r="BH86">
        <v>1769201629.0999999</v>
      </c>
      <c r="BI86" t="s">
        <v>420</v>
      </c>
      <c r="BJ86">
        <v>1769201629.0999999</v>
      </c>
      <c r="BK86">
        <v>1769201627.0999999</v>
      </c>
      <c r="BL86">
        <v>15</v>
      </c>
      <c r="BM86">
        <v>2.5000000000000001E-2</v>
      </c>
      <c r="BN86">
        <v>3.5999999999999997E-2</v>
      </c>
      <c r="BO86">
        <v>-0.77900000000000003</v>
      </c>
      <c r="BP86">
        <v>0.122</v>
      </c>
      <c r="BQ86">
        <v>410</v>
      </c>
      <c r="BR86">
        <v>15</v>
      </c>
      <c r="BS86">
        <v>0.28999999999999998</v>
      </c>
      <c r="BT86">
        <v>0.1</v>
      </c>
      <c r="BU86">
        <v>-0.58624414285714299</v>
      </c>
      <c r="BV86">
        <v>4.6190649350650301E-2</v>
      </c>
      <c r="BW86">
        <v>1.9661288249915299E-2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1.5075609523809499</v>
      </c>
      <c r="CD86">
        <v>-2.90984415584386E-2</v>
      </c>
      <c r="CE86">
        <v>3.9867015901821701E-3</v>
      </c>
      <c r="CF86">
        <v>1</v>
      </c>
      <c r="CG86">
        <v>2</v>
      </c>
      <c r="CH86">
        <v>2</v>
      </c>
      <c r="CI86" t="s">
        <v>297</v>
      </c>
      <c r="CJ86">
        <v>3.5325099999999998</v>
      </c>
      <c r="CK86">
        <v>2.7021600000000001</v>
      </c>
      <c r="CL86">
        <v>9.7966999999999999E-2</v>
      </c>
      <c r="CM86">
        <v>9.6720799999999996E-2</v>
      </c>
      <c r="CN86">
        <v>8.7054000000000006E-2</v>
      </c>
      <c r="CO86">
        <v>7.9949999999999993E-2</v>
      </c>
      <c r="CP86">
        <v>31633</v>
      </c>
      <c r="CQ86">
        <v>27838</v>
      </c>
      <c r="CR86">
        <v>32457.200000000001</v>
      </c>
      <c r="CS86">
        <v>30745.7</v>
      </c>
      <c r="CT86">
        <v>40130.1</v>
      </c>
      <c r="CU86">
        <v>39789.1</v>
      </c>
      <c r="CV86">
        <v>47408.7</v>
      </c>
      <c r="CW86">
        <v>46897.3</v>
      </c>
      <c r="CX86">
        <v>2.62358</v>
      </c>
      <c r="CY86">
        <v>2.1221199999999998</v>
      </c>
      <c r="CZ86">
        <v>0</v>
      </c>
      <c r="DA86">
        <v>0</v>
      </c>
      <c r="DB86">
        <v>999.9</v>
      </c>
      <c r="DC86">
        <v>999.9</v>
      </c>
      <c r="DD86">
        <v>45.476999999999997</v>
      </c>
      <c r="DE86">
        <v>28.701000000000001</v>
      </c>
      <c r="DF86">
        <v>17.934799999999999</v>
      </c>
      <c r="DG86">
        <v>30.129899999999999</v>
      </c>
      <c r="DH86">
        <v>16.482399999999998</v>
      </c>
      <c r="DI86">
        <v>2</v>
      </c>
      <c r="DJ86">
        <v>-0.119935</v>
      </c>
      <c r="DK86">
        <v>1.9121300000000001</v>
      </c>
      <c r="DL86">
        <v>20.2348</v>
      </c>
      <c r="DM86">
        <v>5.2493999999999996</v>
      </c>
      <c r="DN86">
        <v>12.033899999999999</v>
      </c>
      <c r="DO86">
        <v>4.9668799999999997</v>
      </c>
      <c r="DP86">
        <v>3.2909999999999999</v>
      </c>
      <c r="DQ86">
        <v>538</v>
      </c>
      <c r="DR86">
        <v>9999</v>
      </c>
      <c r="DS86">
        <v>9999</v>
      </c>
      <c r="DT86">
        <v>9999</v>
      </c>
      <c r="DU86">
        <v>1.87107</v>
      </c>
      <c r="DV86">
        <v>1.87608</v>
      </c>
      <c r="DW86">
        <v>1.8763399999999999</v>
      </c>
      <c r="DX86">
        <v>1.8827799999999999</v>
      </c>
      <c r="DY86">
        <v>1.87561</v>
      </c>
      <c r="DZ86">
        <v>1.8746799999999999</v>
      </c>
      <c r="EA86">
        <v>1.8708199999999999</v>
      </c>
      <c r="EB86">
        <v>1.87462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-0.77900000000000003</v>
      </c>
      <c r="EQ86">
        <v>0.1217</v>
      </c>
      <c r="ER86">
        <v>-0.77899999999999603</v>
      </c>
      <c r="ES86">
        <v>0</v>
      </c>
      <c r="ET86">
        <v>0</v>
      </c>
      <c r="EU86">
        <v>0</v>
      </c>
      <c r="EV86">
        <v>0.121739999999999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2</v>
      </c>
      <c r="FE86">
        <v>2.1</v>
      </c>
      <c r="FF86">
        <v>1.2439</v>
      </c>
      <c r="FG86">
        <v>2.6049799999999999</v>
      </c>
      <c r="FH86">
        <v>2.19604</v>
      </c>
      <c r="FI86">
        <v>2.66113</v>
      </c>
      <c r="FJ86">
        <v>2.4462899999999999</v>
      </c>
      <c r="FK86">
        <v>2.2814899999999998</v>
      </c>
      <c r="FL86">
        <v>32.886899999999997</v>
      </c>
      <c r="FM86">
        <v>24.157499999999999</v>
      </c>
      <c r="FN86">
        <v>19</v>
      </c>
      <c r="FO86">
        <v>865.226</v>
      </c>
      <c r="FP86">
        <v>569.697</v>
      </c>
      <c r="FQ86">
        <v>18.4239</v>
      </c>
      <c r="FR86">
        <v>25.4693</v>
      </c>
      <c r="FS86">
        <v>30.0001</v>
      </c>
      <c r="FT86">
        <v>25.451899999999998</v>
      </c>
      <c r="FU86">
        <v>25.453700000000001</v>
      </c>
      <c r="FV86">
        <v>24.980399999999999</v>
      </c>
      <c r="FW86">
        <v>25.788</v>
      </c>
      <c r="FX86">
        <v>9.1842199999999998</v>
      </c>
      <c r="FY86">
        <v>18.4329</v>
      </c>
      <c r="FZ86">
        <v>410</v>
      </c>
      <c r="GA86">
        <v>13.9468</v>
      </c>
      <c r="GB86">
        <v>99.890299999999996</v>
      </c>
      <c r="GC86">
        <v>99.826700000000002</v>
      </c>
    </row>
    <row r="87" spans="1:185" x14ac:dyDescent="0.2">
      <c r="A87">
        <v>72</v>
      </c>
      <c r="B87">
        <v>1769201766.0999999</v>
      </c>
      <c r="C87">
        <v>1495.0999999046301</v>
      </c>
      <c r="D87" t="s">
        <v>439</v>
      </c>
      <c r="E87" t="s">
        <v>440</v>
      </c>
      <c r="F87">
        <v>15</v>
      </c>
      <c r="G87">
        <v>1769201758.03333</v>
      </c>
      <c r="H87">
        <f t="shared" si="25"/>
        <v>1.2155186785533254E-3</v>
      </c>
      <c r="I87">
        <v>0</v>
      </c>
      <c r="J87">
        <f t="shared" si="37"/>
        <v>-1.0320798339899918E-3</v>
      </c>
      <c r="K87">
        <f t="shared" si="26"/>
        <v>-2.660554768891767E-2</v>
      </c>
      <c r="L87">
        <f t="shared" si="27"/>
        <v>70.003568837586812</v>
      </c>
      <c r="M87">
        <f t="shared" si="28"/>
        <v>1.5419462565213551</v>
      </c>
      <c r="N87">
        <f t="shared" si="29"/>
        <v>2.202668066964955</v>
      </c>
      <c r="O87">
        <v>0</v>
      </c>
      <c r="P87">
        <v>0</v>
      </c>
      <c r="Q87">
        <f t="shared" si="30"/>
        <v>1</v>
      </c>
      <c r="R87">
        <f t="shared" si="31"/>
        <v>0</v>
      </c>
      <c r="S87">
        <f t="shared" si="32"/>
        <v>26200.62583237276</v>
      </c>
      <c r="T87">
        <f t="shared" si="33"/>
        <v>99.999513333333297</v>
      </c>
      <c r="U87">
        <f t="shared" si="34"/>
        <v>84.299823138864085</v>
      </c>
      <c r="V87">
        <f t="shared" si="35"/>
        <v>0.84300233400000002</v>
      </c>
      <c r="W87">
        <f t="shared" si="36"/>
        <v>0.15870583500000002</v>
      </c>
      <c r="X87">
        <v>1</v>
      </c>
      <c r="Y87">
        <v>1769201758.03333</v>
      </c>
      <c r="Z87">
        <v>409.41120000000001</v>
      </c>
      <c r="AA87">
        <v>410</v>
      </c>
      <c r="AB87">
        <v>15.3748533333333</v>
      </c>
      <c r="AC87">
        <v>13.878819999999999</v>
      </c>
      <c r="AD87">
        <v>410.1902</v>
      </c>
      <c r="AE87">
        <v>15.25314</v>
      </c>
      <c r="AF87">
        <v>800.00239999999997</v>
      </c>
      <c r="AG87">
        <v>100.225933333333</v>
      </c>
      <c r="AH87">
        <v>6.4210779999999995E-2</v>
      </c>
      <c r="AI87">
        <v>18.981733333333299</v>
      </c>
      <c r="AJ87">
        <v>999.9</v>
      </c>
      <c r="AK87">
        <v>999.9</v>
      </c>
      <c r="AL87">
        <v>0</v>
      </c>
      <c r="AM87">
        <v>0</v>
      </c>
      <c r="AN87">
        <v>4986.4333333333298</v>
      </c>
      <c r="AO87">
        <v>0</v>
      </c>
      <c r="AP87">
        <v>1.58087</v>
      </c>
      <c r="AQ87">
        <v>-0.58890173333333296</v>
      </c>
      <c r="AR87">
        <v>415.80419999999998</v>
      </c>
      <c r="AS87">
        <v>415.7706</v>
      </c>
      <c r="AT87">
        <v>1.496048</v>
      </c>
      <c r="AU87">
        <v>410</v>
      </c>
      <c r="AV87">
        <v>13.878819999999999</v>
      </c>
      <c r="AW87">
        <v>1.5409613333333301</v>
      </c>
      <c r="AX87">
        <v>1.39101866666667</v>
      </c>
      <c r="AY87">
        <v>13.3807666666667</v>
      </c>
      <c r="AZ87">
        <v>11.820080000000001</v>
      </c>
      <c r="BA87">
        <v>99.999513333333297</v>
      </c>
      <c r="BB87">
        <v>0.89992220000000001</v>
      </c>
      <c r="BC87">
        <v>0</v>
      </c>
      <c r="BD87">
        <v>0.10007779999999999</v>
      </c>
      <c r="BE87">
        <v>0</v>
      </c>
      <c r="BF87">
        <v>24</v>
      </c>
      <c r="BG87">
        <v>1648.8306666666699</v>
      </c>
      <c r="BH87">
        <v>1769201629.0999999</v>
      </c>
      <c r="BI87" t="s">
        <v>420</v>
      </c>
      <c r="BJ87">
        <v>1769201629.0999999</v>
      </c>
      <c r="BK87">
        <v>1769201627.0999999</v>
      </c>
      <c r="BL87">
        <v>15</v>
      </c>
      <c r="BM87">
        <v>2.5000000000000001E-2</v>
      </c>
      <c r="BN87">
        <v>3.5999999999999997E-2</v>
      </c>
      <c r="BO87">
        <v>-0.77900000000000003</v>
      </c>
      <c r="BP87">
        <v>0.122</v>
      </c>
      <c r="BQ87">
        <v>410</v>
      </c>
      <c r="BR87">
        <v>15</v>
      </c>
      <c r="BS87">
        <v>0.28999999999999998</v>
      </c>
      <c r="BT87">
        <v>0.1</v>
      </c>
      <c r="BU87">
        <v>-0.58881830000000002</v>
      </c>
      <c r="BV87">
        <v>3.7281654135338099E-2</v>
      </c>
      <c r="BW87">
        <v>1.6888380301556399E-2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1.4975734999999999</v>
      </c>
      <c r="CD87">
        <v>-8.7938345864650505E-3</v>
      </c>
      <c r="CE87">
        <v>5.6509815740276303E-3</v>
      </c>
      <c r="CF87">
        <v>1</v>
      </c>
      <c r="CG87">
        <v>2</v>
      </c>
      <c r="CH87">
        <v>2</v>
      </c>
      <c r="CI87" t="s">
        <v>297</v>
      </c>
      <c r="CJ87">
        <v>3.5325799999999998</v>
      </c>
      <c r="CK87">
        <v>2.7020599999999999</v>
      </c>
      <c r="CL87">
        <v>9.79603E-2</v>
      </c>
      <c r="CM87">
        <v>9.6705899999999997E-2</v>
      </c>
      <c r="CN87">
        <v>8.6937200000000006E-2</v>
      </c>
      <c r="CO87">
        <v>7.9896300000000003E-2</v>
      </c>
      <c r="CP87">
        <v>31633</v>
      </c>
      <c r="CQ87">
        <v>27837.5</v>
      </c>
      <c r="CR87">
        <v>32456.9</v>
      </c>
      <c r="CS87">
        <v>30744.7</v>
      </c>
      <c r="CT87">
        <v>40134.9</v>
      </c>
      <c r="CU87">
        <v>39790.400000000001</v>
      </c>
      <c r="CV87">
        <v>47408.2</v>
      </c>
      <c r="CW87">
        <v>46896.1</v>
      </c>
      <c r="CX87">
        <v>2.6235599999999999</v>
      </c>
      <c r="CY87">
        <v>2.1219999999999999</v>
      </c>
      <c r="CZ87">
        <v>0</v>
      </c>
      <c r="DA87">
        <v>0</v>
      </c>
      <c r="DB87">
        <v>999.9</v>
      </c>
      <c r="DC87">
        <v>999.9</v>
      </c>
      <c r="DD87">
        <v>45.451999999999998</v>
      </c>
      <c r="DE87">
        <v>28.701000000000001</v>
      </c>
      <c r="DF87">
        <v>17.924600000000002</v>
      </c>
      <c r="DG87">
        <v>30.369900000000001</v>
      </c>
      <c r="DH87">
        <v>16.4343</v>
      </c>
      <c r="DI87">
        <v>2</v>
      </c>
      <c r="DJ87">
        <v>-0.119724</v>
      </c>
      <c r="DK87">
        <v>1.89476</v>
      </c>
      <c r="DL87">
        <v>20.2349</v>
      </c>
      <c r="DM87">
        <v>5.2484400000000004</v>
      </c>
      <c r="DN87">
        <v>12.033899999999999</v>
      </c>
      <c r="DO87">
        <v>4.96652</v>
      </c>
      <c r="DP87">
        <v>3.2909999999999999</v>
      </c>
      <c r="DQ87">
        <v>538</v>
      </c>
      <c r="DR87">
        <v>9999</v>
      </c>
      <c r="DS87">
        <v>9999</v>
      </c>
      <c r="DT87">
        <v>9999</v>
      </c>
      <c r="DU87">
        <v>1.87104</v>
      </c>
      <c r="DV87">
        <v>1.8760699999999999</v>
      </c>
      <c r="DW87">
        <v>1.87632</v>
      </c>
      <c r="DX87">
        <v>1.8827799999999999</v>
      </c>
      <c r="DY87">
        <v>1.8755900000000001</v>
      </c>
      <c r="DZ87">
        <v>1.8746499999999999</v>
      </c>
      <c r="EA87">
        <v>1.87079</v>
      </c>
      <c r="EB87">
        <v>1.87463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-0.77900000000000003</v>
      </c>
      <c r="EQ87">
        <v>0.12180000000000001</v>
      </c>
      <c r="ER87">
        <v>-0.77899999999999603</v>
      </c>
      <c r="ES87">
        <v>0</v>
      </c>
      <c r="ET87">
        <v>0</v>
      </c>
      <c r="EU87">
        <v>0</v>
      </c>
      <c r="EV87">
        <v>0.121739999999999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2.2999999999999998</v>
      </c>
      <c r="FE87">
        <v>2.2999999999999998</v>
      </c>
      <c r="FF87">
        <v>1.24512</v>
      </c>
      <c r="FG87">
        <v>2.6013199999999999</v>
      </c>
      <c r="FH87">
        <v>2.19604</v>
      </c>
      <c r="FI87">
        <v>2.66113</v>
      </c>
      <c r="FJ87">
        <v>2.4462899999999999</v>
      </c>
      <c r="FK87">
        <v>2.2973599999999998</v>
      </c>
      <c r="FL87">
        <v>32.886899999999997</v>
      </c>
      <c r="FM87">
        <v>24.148800000000001</v>
      </c>
      <c r="FN87">
        <v>19</v>
      </c>
      <c r="FO87">
        <v>865.28300000000002</v>
      </c>
      <c r="FP87">
        <v>569.65200000000004</v>
      </c>
      <c r="FQ87">
        <v>18.467700000000001</v>
      </c>
      <c r="FR87">
        <v>25.474</v>
      </c>
      <c r="FS87">
        <v>30.0002</v>
      </c>
      <c r="FT87">
        <v>25.456600000000002</v>
      </c>
      <c r="FU87">
        <v>25.457899999999999</v>
      </c>
      <c r="FV87">
        <v>24.982199999999999</v>
      </c>
      <c r="FW87">
        <v>25.496400000000001</v>
      </c>
      <c r="FX87">
        <v>8.8139199999999995</v>
      </c>
      <c r="FY87">
        <v>18.473199999999999</v>
      </c>
      <c r="FZ87">
        <v>410</v>
      </c>
      <c r="GA87">
        <v>13.9527</v>
      </c>
      <c r="GB87">
        <v>99.889300000000006</v>
      </c>
      <c r="GC87">
        <v>99.823800000000006</v>
      </c>
    </row>
    <row r="88" spans="1:185" x14ac:dyDescent="0.2">
      <c r="A88">
        <v>73</v>
      </c>
      <c r="B88">
        <v>1769201781.0999999</v>
      </c>
      <c r="C88">
        <v>1510.0999999046301</v>
      </c>
      <c r="D88" t="s">
        <v>441</v>
      </c>
      <c r="E88" t="s">
        <v>442</v>
      </c>
      <c r="F88">
        <v>15</v>
      </c>
      <c r="G88">
        <v>1769201773.03333</v>
      </c>
      <c r="H88">
        <f t="shared" si="25"/>
        <v>1.1840804208862947E-3</v>
      </c>
      <c r="I88">
        <v>0</v>
      </c>
      <c r="J88">
        <f t="shared" si="37"/>
        <v>-6.7706314824597202E-4</v>
      </c>
      <c r="K88">
        <f t="shared" si="26"/>
        <v>-1.7453723332066986E-2</v>
      </c>
      <c r="L88">
        <f t="shared" si="27"/>
        <v>69.897966682199623</v>
      </c>
      <c r="M88">
        <f t="shared" si="28"/>
        <v>1.5404371477097942</v>
      </c>
      <c r="N88">
        <f t="shared" si="29"/>
        <v>2.2038368508108341</v>
      </c>
      <c r="O88">
        <v>0</v>
      </c>
      <c r="P88">
        <v>0</v>
      </c>
      <c r="Q88">
        <f t="shared" si="30"/>
        <v>1</v>
      </c>
      <c r="R88">
        <f t="shared" si="31"/>
        <v>0</v>
      </c>
      <c r="S88">
        <f t="shared" si="32"/>
        <v>26319.718848855118</v>
      </c>
      <c r="T88">
        <f t="shared" si="33"/>
        <v>99.999766666666602</v>
      </c>
      <c r="U88">
        <f t="shared" si="34"/>
        <v>84.300034699459999</v>
      </c>
      <c r="V88">
        <f t="shared" si="35"/>
        <v>0.84300231399999992</v>
      </c>
      <c r="W88">
        <f t="shared" si="36"/>
        <v>0.15870578499999999</v>
      </c>
      <c r="X88">
        <v>1</v>
      </c>
      <c r="Y88">
        <v>1769201773.03333</v>
      </c>
      <c r="Z88">
        <v>409.40539999999999</v>
      </c>
      <c r="AA88">
        <v>409.98953333333299</v>
      </c>
      <c r="AB88">
        <v>15.359719999999999</v>
      </c>
      <c r="AC88">
        <v>13.902380000000001</v>
      </c>
      <c r="AD88">
        <v>410.18433333333297</v>
      </c>
      <c r="AE88">
        <v>15.237966666666701</v>
      </c>
      <c r="AF88">
        <v>800.01459999999997</v>
      </c>
      <c r="AG88">
        <v>100.2264</v>
      </c>
      <c r="AH88">
        <v>6.4305020000000004E-2</v>
      </c>
      <c r="AI88">
        <v>18.9902333333333</v>
      </c>
      <c r="AJ88">
        <v>999.9</v>
      </c>
      <c r="AK88">
        <v>999.9</v>
      </c>
      <c r="AL88">
        <v>0</v>
      </c>
      <c r="AM88">
        <v>0</v>
      </c>
      <c r="AN88">
        <v>5006.1333333333296</v>
      </c>
      <c r="AO88">
        <v>0</v>
      </c>
      <c r="AP88">
        <v>1.58087</v>
      </c>
      <c r="AQ88">
        <v>-0.5840902</v>
      </c>
      <c r="AR88">
        <v>415.79173333333301</v>
      </c>
      <c r="AS88">
        <v>415.76960000000003</v>
      </c>
      <c r="AT88">
        <v>1.457328</v>
      </c>
      <c r="AU88">
        <v>409.98953333333299</v>
      </c>
      <c r="AV88">
        <v>13.902380000000001</v>
      </c>
      <c r="AW88">
        <v>1.5394473333333301</v>
      </c>
      <c r="AX88">
        <v>1.39338466666667</v>
      </c>
      <c r="AY88">
        <v>13.365679999999999</v>
      </c>
      <c r="AZ88">
        <v>11.845833333333299</v>
      </c>
      <c r="BA88">
        <v>99.999766666666602</v>
      </c>
      <c r="BB88">
        <v>0.89992286666666699</v>
      </c>
      <c r="BC88">
        <v>0</v>
      </c>
      <c r="BD88">
        <v>0.100077133333333</v>
      </c>
      <c r="BE88">
        <v>0</v>
      </c>
      <c r="BF88">
        <v>24</v>
      </c>
      <c r="BG88">
        <v>1648.838</v>
      </c>
      <c r="BH88">
        <v>1769201629.0999999</v>
      </c>
      <c r="BI88" t="s">
        <v>420</v>
      </c>
      <c r="BJ88">
        <v>1769201629.0999999</v>
      </c>
      <c r="BK88">
        <v>1769201627.0999999</v>
      </c>
      <c r="BL88">
        <v>15</v>
      </c>
      <c r="BM88">
        <v>2.5000000000000001E-2</v>
      </c>
      <c r="BN88">
        <v>3.5999999999999997E-2</v>
      </c>
      <c r="BO88">
        <v>-0.77900000000000003</v>
      </c>
      <c r="BP88">
        <v>0.122</v>
      </c>
      <c r="BQ88">
        <v>410</v>
      </c>
      <c r="BR88">
        <v>15</v>
      </c>
      <c r="BS88">
        <v>0.28999999999999998</v>
      </c>
      <c r="BT88">
        <v>0.1</v>
      </c>
      <c r="BU88">
        <v>-0.58262024999999995</v>
      </c>
      <c r="BV88">
        <v>-4.5672135338345902E-2</v>
      </c>
      <c r="BW88">
        <v>1.7513265183497301E-2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1.469598</v>
      </c>
      <c r="CD88">
        <v>-0.18866436090225699</v>
      </c>
      <c r="CE88">
        <v>2.2104417567536099E-2</v>
      </c>
      <c r="CF88">
        <v>0</v>
      </c>
      <c r="CG88">
        <v>1</v>
      </c>
      <c r="CH88">
        <v>2</v>
      </c>
      <c r="CI88" t="s">
        <v>302</v>
      </c>
      <c r="CJ88">
        <v>3.5325799999999998</v>
      </c>
      <c r="CK88">
        <v>2.7022400000000002</v>
      </c>
      <c r="CL88">
        <v>9.7960199999999997E-2</v>
      </c>
      <c r="CM88">
        <v>9.6715700000000002E-2</v>
      </c>
      <c r="CN88">
        <v>8.6954199999999995E-2</v>
      </c>
      <c r="CO88">
        <v>8.0022099999999999E-2</v>
      </c>
      <c r="CP88">
        <v>31633.200000000001</v>
      </c>
      <c r="CQ88">
        <v>27837.1</v>
      </c>
      <c r="CR88">
        <v>32457.1</v>
      </c>
      <c r="CS88">
        <v>30744.6</v>
      </c>
      <c r="CT88">
        <v>40134.6</v>
      </c>
      <c r="CU88">
        <v>39784.699999999997</v>
      </c>
      <c r="CV88">
        <v>47408.7</v>
      </c>
      <c r="CW88">
        <v>46895.9</v>
      </c>
      <c r="CX88">
        <v>2.62344</v>
      </c>
      <c r="CY88">
        <v>2.1221000000000001</v>
      </c>
      <c r="CZ88">
        <v>0</v>
      </c>
      <c r="DA88">
        <v>0</v>
      </c>
      <c r="DB88">
        <v>999.9</v>
      </c>
      <c r="DC88">
        <v>999.9</v>
      </c>
      <c r="DD88">
        <v>45.421999999999997</v>
      </c>
      <c r="DE88">
        <v>28.710999999999999</v>
      </c>
      <c r="DF88">
        <v>17.924600000000002</v>
      </c>
      <c r="DG88">
        <v>30.3399</v>
      </c>
      <c r="DH88">
        <v>16.494399999999999</v>
      </c>
      <c r="DI88">
        <v>2</v>
      </c>
      <c r="DJ88">
        <v>-0.11940199999999999</v>
      </c>
      <c r="DK88">
        <v>1.89574</v>
      </c>
      <c r="DL88">
        <v>20.2347</v>
      </c>
      <c r="DM88">
        <v>5.2493999999999996</v>
      </c>
      <c r="DN88">
        <v>12.033899999999999</v>
      </c>
      <c r="DO88">
        <v>4.9668400000000004</v>
      </c>
      <c r="DP88">
        <v>3.2909999999999999</v>
      </c>
      <c r="DQ88">
        <v>538</v>
      </c>
      <c r="DR88">
        <v>9999</v>
      </c>
      <c r="DS88">
        <v>9999</v>
      </c>
      <c r="DT88">
        <v>9999</v>
      </c>
      <c r="DU88">
        <v>1.87107</v>
      </c>
      <c r="DV88">
        <v>1.87608</v>
      </c>
      <c r="DW88">
        <v>1.8763300000000001</v>
      </c>
      <c r="DX88">
        <v>1.88279</v>
      </c>
      <c r="DY88">
        <v>1.87561</v>
      </c>
      <c r="DZ88">
        <v>1.8746700000000001</v>
      </c>
      <c r="EA88">
        <v>1.87083</v>
      </c>
      <c r="EB88">
        <v>1.8746499999999999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-0.77900000000000003</v>
      </c>
      <c r="EQ88">
        <v>0.1217</v>
      </c>
      <c r="ER88">
        <v>-0.77899999999999603</v>
      </c>
      <c r="ES88">
        <v>0</v>
      </c>
      <c r="ET88">
        <v>0</v>
      </c>
      <c r="EU88">
        <v>0</v>
      </c>
      <c r="EV88">
        <v>0.121739999999999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2.5</v>
      </c>
      <c r="FE88">
        <v>2.6</v>
      </c>
      <c r="FF88">
        <v>1.24512</v>
      </c>
      <c r="FG88">
        <v>2.6122999999999998</v>
      </c>
      <c r="FH88">
        <v>2.19604</v>
      </c>
      <c r="FI88">
        <v>2.66113</v>
      </c>
      <c r="FJ88">
        <v>2.4462899999999999</v>
      </c>
      <c r="FK88">
        <v>2.2790499999999998</v>
      </c>
      <c r="FL88">
        <v>32.886899999999997</v>
      </c>
      <c r="FM88">
        <v>24.148800000000001</v>
      </c>
      <c r="FN88">
        <v>19</v>
      </c>
      <c r="FO88">
        <v>865.23400000000004</v>
      </c>
      <c r="FP88">
        <v>569.77599999999995</v>
      </c>
      <c r="FQ88">
        <v>18.495000000000001</v>
      </c>
      <c r="FR88">
        <v>25.477399999999999</v>
      </c>
      <c r="FS88">
        <v>30.0001</v>
      </c>
      <c r="FT88">
        <v>25.4604</v>
      </c>
      <c r="FU88">
        <v>25.462299999999999</v>
      </c>
      <c r="FV88">
        <v>24.982700000000001</v>
      </c>
      <c r="FW88">
        <v>25.496400000000001</v>
      </c>
      <c r="FX88">
        <v>8.8139199999999995</v>
      </c>
      <c r="FY88">
        <v>18.496400000000001</v>
      </c>
      <c r="FZ88">
        <v>410</v>
      </c>
      <c r="GA88">
        <v>13.951000000000001</v>
      </c>
      <c r="GB88">
        <v>99.890199999999993</v>
      </c>
      <c r="GC88">
        <v>99.823499999999996</v>
      </c>
    </row>
    <row r="89" spans="1:185" x14ac:dyDescent="0.2">
      <c r="A89">
        <v>74</v>
      </c>
      <c r="B89">
        <v>1769201796.0999999</v>
      </c>
      <c r="C89">
        <v>1525.0999999046301</v>
      </c>
      <c r="D89" t="s">
        <v>443</v>
      </c>
      <c r="E89" t="s">
        <v>444</v>
      </c>
      <c r="F89">
        <v>15</v>
      </c>
      <c r="G89">
        <v>1769201788.03333</v>
      </c>
      <c r="H89">
        <f t="shared" si="25"/>
        <v>1.18176676658167E-3</v>
      </c>
      <c r="I89">
        <v>0</v>
      </c>
      <c r="J89">
        <f t="shared" si="37"/>
        <v>-2.8892314886129749E-4</v>
      </c>
      <c r="K89">
        <f t="shared" si="26"/>
        <v>-7.4480271412182726E-3</v>
      </c>
      <c r="L89">
        <f t="shared" si="27"/>
        <v>69.844020288031302</v>
      </c>
      <c r="M89">
        <f t="shared" si="28"/>
        <v>1.540275125444283</v>
      </c>
      <c r="N89">
        <f t="shared" si="29"/>
        <v>2.205307081540135</v>
      </c>
      <c r="O89">
        <v>0</v>
      </c>
      <c r="P89">
        <v>0</v>
      </c>
      <c r="Q89">
        <f t="shared" si="30"/>
        <v>1</v>
      </c>
      <c r="R89">
        <f t="shared" si="31"/>
        <v>0</v>
      </c>
      <c r="S89">
        <f t="shared" si="32"/>
        <v>26299.734810417754</v>
      </c>
      <c r="T89">
        <f t="shared" si="33"/>
        <v>99.999846666666699</v>
      </c>
      <c r="U89">
        <f t="shared" si="34"/>
        <v>84.300088939665457</v>
      </c>
      <c r="V89">
        <f t="shared" si="35"/>
        <v>0.84300218199999999</v>
      </c>
      <c r="W89">
        <f t="shared" si="36"/>
        <v>0.15870545499999997</v>
      </c>
      <c r="X89">
        <v>1</v>
      </c>
      <c r="Y89">
        <v>1769201788.03333</v>
      </c>
      <c r="Z89">
        <v>409.40733333333299</v>
      </c>
      <c r="AA89">
        <v>410.00279999999998</v>
      </c>
      <c r="AB89">
        <v>15.3581066666667</v>
      </c>
      <c r="AC89">
        <v>13.903593333333299</v>
      </c>
      <c r="AD89">
        <v>410.18633333333298</v>
      </c>
      <c r="AE89">
        <v>15.236359999999999</v>
      </c>
      <c r="AF89">
        <v>800.00440000000003</v>
      </c>
      <c r="AG89">
        <v>100.22646666666699</v>
      </c>
      <c r="AH89">
        <v>6.4224033333333305E-2</v>
      </c>
      <c r="AI89">
        <v>19.000920000000001</v>
      </c>
      <c r="AJ89">
        <v>999.9</v>
      </c>
      <c r="AK89">
        <v>999.9</v>
      </c>
      <c r="AL89">
        <v>0</v>
      </c>
      <c r="AM89">
        <v>0</v>
      </c>
      <c r="AN89">
        <v>5003</v>
      </c>
      <c r="AO89">
        <v>0</v>
      </c>
      <c r="AP89">
        <v>1.58087</v>
      </c>
      <c r="AQ89">
        <v>-0.59552406666666702</v>
      </c>
      <c r="AR89">
        <v>415.79306666666702</v>
      </c>
      <c r="AS89">
        <v>415.78366666666699</v>
      </c>
      <c r="AT89">
        <v>1.4545113333333299</v>
      </c>
      <c r="AU89">
        <v>410.00279999999998</v>
      </c>
      <c r="AV89">
        <v>13.903593333333299</v>
      </c>
      <c r="AW89">
        <v>1.53928666666667</v>
      </c>
      <c r="AX89">
        <v>1.3935073333333301</v>
      </c>
      <c r="AY89">
        <v>13.36408</v>
      </c>
      <c r="AZ89">
        <v>11.847160000000001</v>
      </c>
      <c r="BA89">
        <v>99.999846666666699</v>
      </c>
      <c r="BB89">
        <v>0.899927266666667</v>
      </c>
      <c r="BC89">
        <v>0</v>
      </c>
      <c r="BD89">
        <v>0.100072733333333</v>
      </c>
      <c r="BE89">
        <v>0</v>
      </c>
      <c r="BF89">
        <v>24</v>
      </c>
      <c r="BG89">
        <v>1648.8406666666699</v>
      </c>
      <c r="BH89">
        <v>1769201629.0999999</v>
      </c>
      <c r="BI89" t="s">
        <v>420</v>
      </c>
      <c r="BJ89">
        <v>1769201629.0999999</v>
      </c>
      <c r="BK89">
        <v>1769201627.0999999</v>
      </c>
      <c r="BL89">
        <v>15</v>
      </c>
      <c r="BM89">
        <v>2.5000000000000001E-2</v>
      </c>
      <c r="BN89">
        <v>3.5999999999999997E-2</v>
      </c>
      <c r="BO89">
        <v>-0.77900000000000003</v>
      </c>
      <c r="BP89">
        <v>0.122</v>
      </c>
      <c r="BQ89">
        <v>410</v>
      </c>
      <c r="BR89">
        <v>15</v>
      </c>
      <c r="BS89">
        <v>0.28999999999999998</v>
      </c>
      <c r="BT89">
        <v>0.1</v>
      </c>
      <c r="BU89">
        <v>-0.59714809999999996</v>
      </c>
      <c r="BV89">
        <v>3.8494285714285502E-2</v>
      </c>
      <c r="BW89">
        <v>1.91979163319877E-2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1.4550704999999999</v>
      </c>
      <c r="CD89">
        <v>-1.31264661654143E-2</v>
      </c>
      <c r="CE89">
        <v>2.1489310714864602E-3</v>
      </c>
      <c r="CF89">
        <v>1</v>
      </c>
      <c r="CG89">
        <v>2</v>
      </c>
      <c r="CH89">
        <v>2</v>
      </c>
      <c r="CI89" t="s">
        <v>297</v>
      </c>
      <c r="CJ89">
        <v>3.53254</v>
      </c>
      <c r="CK89">
        <v>2.7020200000000001</v>
      </c>
      <c r="CL89">
        <v>9.7964899999999994E-2</v>
      </c>
      <c r="CM89">
        <v>9.67089E-2</v>
      </c>
      <c r="CN89">
        <v>8.6915999999999993E-2</v>
      </c>
      <c r="CO89">
        <v>8.0003099999999994E-2</v>
      </c>
      <c r="CP89">
        <v>31632.3</v>
      </c>
      <c r="CQ89">
        <v>27837.7</v>
      </c>
      <c r="CR89">
        <v>32456.5</v>
      </c>
      <c r="CS89">
        <v>30745</v>
      </c>
      <c r="CT89">
        <v>40135.5</v>
      </c>
      <c r="CU89">
        <v>39786.1</v>
      </c>
      <c r="CV89">
        <v>47407.6</v>
      </c>
      <c r="CW89">
        <v>46896.6</v>
      </c>
      <c r="CX89">
        <v>2.62324</v>
      </c>
      <c r="CY89">
        <v>2.1219999999999999</v>
      </c>
      <c r="CZ89">
        <v>0</v>
      </c>
      <c r="DA89">
        <v>0</v>
      </c>
      <c r="DB89">
        <v>999.9</v>
      </c>
      <c r="DC89">
        <v>999.9</v>
      </c>
      <c r="DD89">
        <v>45.396999999999998</v>
      </c>
      <c r="DE89">
        <v>28.710999999999999</v>
      </c>
      <c r="DF89">
        <v>17.913900000000002</v>
      </c>
      <c r="DG89">
        <v>30.069900000000001</v>
      </c>
      <c r="DH89">
        <v>16.506399999999999</v>
      </c>
      <c r="DI89">
        <v>2</v>
      </c>
      <c r="DJ89">
        <v>-0.118203</v>
      </c>
      <c r="DK89">
        <v>2.1696</v>
      </c>
      <c r="DL89">
        <v>20.230899999999998</v>
      </c>
      <c r="DM89">
        <v>5.2502399999999998</v>
      </c>
      <c r="DN89">
        <v>12.033899999999999</v>
      </c>
      <c r="DO89">
        <v>4.96732</v>
      </c>
      <c r="DP89">
        <v>3.2909999999999999</v>
      </c>
      <c r="DQ89">
        <v>538</v>
      </c>
      <c r="DR89">
        <v>9999</v>
      </c>
      <c r="DS89">
        <v>9999</v>
      </c>
      <c r="DT89">
        <v>9999</v>
      </c>
      <c r="DU89">
        <v>1.8710899999999999</v>
      </c>
      <c r="DV89">
        <v>1.8760699999999999</v>
      </c>
      <c r="DW89">
        <v>1.8763000000000001</v>
      </c>
      <c r="DX89">
        <v>1.8827799999999999</v>
      </c>
      <c r="DY89">
        <v>1.8755999999999999</v>
      </c>
      <c r="DZ89">
        <v>1.8746700000000001</v>
      </c>
      <c r="EA89">
        <v>1.8708400000000001</v>
      </c>
      <c r="EB89">
        <v>1.8746400000000001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-0.77900000000000003</v>
      </c>
      <c r="EQ89">
        <v>0.1217</v>
      </c>
      <c r="ER89">
        <v>-0.77899999999999603</v>
      </c>
      <c r="ES89">
        <v>0</v>
      </c>
      <c r="ET89">
        <v>0</v>
      </c>
      <c r="EU89">
        <v>0</v>
      </c>
      <c r="EV89">
        <v>0.121739999999999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2.8</v>
      </c>
      <c r="FE89">
        <v>2.8</v>
      </c>
      <c r="FF89">
        <v>1.24512</v>
      </c>
      <c r="FG89">
        <v>2.6074199999999998</v>
      </c>
      <c r="FH89">
        <v>2.19604</v>
      </c>
      <c r="FI89">
        <v>2.66113</v>
      </c>
      <c r="FJ89">
        <v>2.4462899999999999</v>
      </c>
      <c r="FK89">
        <v>2.2814899999999998</v>
      </c>
      <c r="FL89">
        <v>32.886899999999997</v>
      </c>
      <c r="FM89">
        <v>24.148800000000001</v>
      </c>
      <c r="FN89">
        <v>19</v>
      </c>
      <c r="FO89">
        <v>865.10900000000004</v>
      </c>
      <c r="FP89">
        <v>569.74599999999998</v>
      </c>
      <c r="FQ89">
        <v>18.415600000000001</v>
      </c>
      <c r="FR89">
        <v>25.481300000000001</v>
      </c>
      <c r="FS89">
        <v>30.000599999999999</v>
      </c>
      <c r="FT89">
        <v>25.464300000000001</v>
      </c>
      <c r="FU89">
        <v>25.4665</v>
      </c>
      <c r="FV89">
        <v>24.984400000000001</v>
      </c>
      <c r="FW89">
        <v>25.496400000000001</v>
      </c>
      <c r="FX89">
        <v>8.8139199999999995</v>
      </c>
      <c r="FY89">
        <v>18.4056</v>
      </c>
      <c r="FZ89">
        <v>410</v>
      </c>
      <c r="GA89">
        <v>13.9582</v>
      </c>
      <c r="GB89">
        <v>99.888000000000005</v>
      </c>
      <c r="GC89">
        <v>99.825000000000003</v>
      </c>
    </row>
    <row r="90" spans="1:185" x14ac:dyDescent="0.2">
      <c r="A90">
        <v>75</v>
      </c>
      <c r="B90">
        <v>1769201811.0999999</v>
      </c>
      <c r="C90">
        <v>1540.0999999046301</v>
      </c>
      <c r="D90" t="s">
        <v>445</v>
      </c>
      <c r="E90" t="s">
        <v>446</v>
      </c>
      <c r="F90">
        <v>15</v>
      </c>
      <c r="G90">
        <v>1769201803.03333</v>
      </c>
      <c r="H90">
        <f t="shared" si="25"/>
        <v>1.1800275391829142E-3</v>
      </c>
      <c r="I90">
        <v>0</v>
      </c>
      <c r="J90">
        <f t="shared" si="37"/>
        <v>-4.7714859573565064E-4</v>
      </c>
      <c r="K90">
        <f t="shared" si="26"/>
        <v>-1.2300210991883456E-2</v>
      </c>
      <c r="L90">
        <f t="shared" si="27"/>
        <v>69.810634525594267</v>
      </c>
      <c r="M90">
        <f t="shared" si="28"/>
        <v>1.5396541557023655</v>
      </c>
      <c r="N90">
        <f t="shared" si="29"/>
        <v>2.205472226638896</v>
      </c>
      <c r="O90">
        <v>0</v>
      </c>
      <c r="P90">
        <v>0</v>
      </c>
      <c r="Q90">
        <f t="shared" si="30"/>
        <v>1</v>
      </c>
      <c r="R90">
        <f t="shared" si="31"/>
        <v>0</v>
      </c>
      <c r="S90">
        <f t="shared" si="32"/>
        <v>26243.108622524185</v>
      </c>
      <c r="T90">
        <f t="shared" si="33"/>
        <v>100.00126</v>
      </c>
      <c r="U90">
        <f t="shared" si="34"/>
        <v>84.301316183200399</v>
      </c>
      <c r="V90">
        <f t="shared" si="35"/>
        <v>0.84300253999999997</v>
      </c>
      <c r="W90">
        <f t="shared" si="36"/>
        <v>0.15870635000000002</v>
      </c>
      <c r="X90">
        <v>1</v>
      </c>
      <c r="Y90">
        <v>1769201803.03333</v>
      </c>
      <c r="Z90">
        <v>409.420866666667</v>
      </c>
      <c r="AA90">
        <v>410.00940000000003</v>
      </c>
      <c r="AB90">
        <v>15.35192</v>
      </c>
      <c r="AC90">
        <v>13.8995333333333</v>
      </c>
      <c r="AD90">
        <v>410.19986666666699</v>
      </c>
      <c r="AE90">
        <v>15.2301933333333</v>
      </c>
      <c r="AF90">
        <v>800.00173333333305</v>
      </c>
      <c r="AG90">
        <v>100.22646666666699</v>
      </c>
      <c r="AH90">
        <v>6.4191159999999997E-2</v>
      </c>
      <c r="AI90">
        <v>19.002120000000001</v>
      </c>
      <c r="AJ90">
        <v>999.9</v>
      </c>
      <c r="AK90">
        <v>999.9</v>
      </c>
      <c r="AL90">
        <v>0</v>
      </c>
      <c r="AM90">
        <v>0</v>
      </c>
      <c r="AN90">
        <v>4993.7</v>
      </c>
      <c r="AO90">
        <v>0</v>
      </c>
      <c r="AP90">
        <v>1.58087</v>
      </c>
      <c r="AQ90">
        <v>-0.58857833333333298</v>
      </c>
      <c r="AR90">
        <v>415.80433333333298</v>
      </c>
      <c r="AS90">
        <v>415.78879999999998</v>
      </c>
      <c r="AT90">
        <v>1.45239133333333</v>
      </c>
      <c r="AU90">
        <v>410.00940000000003</v>
      </c>
      <c r="AV90">
        <v>13.8995333333333</v>
      </c>
      <c r="AW90">
        <v>1.53867</v>
      </c>
      <c r="AX90">
        <v>1.3931</v>
      </c>
      <c r="AY90">
        <v>13.3579333333333</v>
      </c>
      <c r="AZ90">
        <v>11.842753333333301</v>
      </c>
      <c r="BA90">
        <v>100.00126</v>
      </c>
      <c r="BB90">
        <v>0.89991533333333296</v>
      </c>
      <c r="BC90">
        <v>0</v>
      </c>
      <c r="BD90">
        <v>0.100084666666667</v>
      </c>
      <c r="BE90">
        <v>0</v>
      </c>
      <c r="BF90">
        <v>24</v>
      </c>
      <c r="BG90">
        <v>1648.85666666667</v>
      </c>
      <c r="BH90">
        <v>1769201629.0999999</v>
      </c>
      <c r="BI90" t="s">
        <v>420</v>
      </c>
      <c r="BJ90">
        <v>1769201629.0999999</v>
      </c>
      <c r="BK90">
        <v>1769201627.0999999</v>
      </c>
      <c r="BL90">
        <v>15</v>
      </c>
      <c r="BM90">
        <v>2.5000000000000001E-2</v>
      </c>
      <c r="BN90">
        <v>3.5999999999999997E-2</v>
      </c>
      <c r="BO90">
        <v>-0.77900000000000003</v>
      </c>
      <c r="BP90">
        <v>0.122</v>
      </c>
      <c r="BQ90">
        <v>410</v>
      </c>
      <c r="BR90">
        <v>15</v>
      </c>
      <c r="BS90">
        <v>0.28999999999999998</v>
      </c>
      <c r="BT90">
        <v>0.1</v>
      </c>
      <c r="BU90">
        <v>-0.59167480952380902</v>
      </c>
      <c r="BV90">
        <v>-1.3569194805195899E-2</v>
      </c>
      <c r="BW90">
        <v>2.2029472521664401E-2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1.4528590476190499</v>
      </c>
      <c r="CD90">
        <v>-1.16516883116897E-2</v>
      </c>
      <c r="CE90">
        <v>1.9347841143551299E-3</v>
      </c>
      <c r="CF90">
        <v>1</v>
      </c>
      <c r="CG90">
        <v>2</v>
      </c>
      <c r="CH90">
        <v>2</v>
      </c>
      <c r="CI90" t="s">
        <v>297</v>
      </c>
      <c r="CJ90">
        <v>3.5324900000000001</v>
      </c>
      <c r="CK90">
        <v>2.70214</v>
      </c>
      <c r="CL90">
        <v>9.7959099999999993E-2</v>
      </c>
      <c r="CM90">
        <v>9.6713199999999999E-2</v>
      </c>
      <c r="CN90">
        <v>8.6902599999999997E-2</v>
      </c>
      <c r="CO90">
        <v>8.0044299999999999E-2</v>
      </c>
      <c r="CP90">
        <v>31632.2</v>
      </c>
      <c r="CQ90">
        <v>27837.5</v>
      </c>
      <c r="CR90">
        <v>32456.1</v>
      </c>
      <c r="CS90">
        <v>30744.9</v>
      </c>
      <c r="CT90">
        <v>40135.800000000003</v>
      </c>
      <c r="CU90">
        <v>39784.300000000003</v>
      </c>
      <c r="CV90">
        <v>47407.3</v>
      </c>
      <c r="CW90">
        <v>46896.7</v>
      </c>
      <c r="CX90">
        <v>2.62338</v>
      </c>
      <c r="CY90">
        <v>2.1220400000000001</v>
      </c>
      <c r="CZ90">
        <v>0</v>
      </c>
      <c r="DA90">
        <v>0</v>
      </c>
      <c r="DB90">
        <v>999.9</v>
      </c>
      <c r="DC90">
        <v>999.9</v>
      </c>
      <c r="DD90">
        <v>45.396999999999998</v>
      </c>
      <c r="DE90">
        <v>28.731999999999999</v>
      </c>
      <c r="DF90">
        <v>17.934899999999999</v>
      </c>
      <c r="DG90">
        <v>30.3399</v>
      </c>
      <c r="DH90">
        <v>16.438300000000002</v>
      </c>
      <c r="DI90">
        <v>2</v>
      </c>
      <c r="DJ90">
        <v>-0.11867900000000001</v>
      </c>
      <c r="DK90">
        <v>2.0322900000000002</v>
      </c>
      <c r="DL90">
        <v>20.2332</v>
      </c>
      <c r="DM90">
        <v>5.2503500000000001</v>
      </c>
      <c r="DN90">
        <v>12.033899999999999</v>
      </c>
      <c r="DO90">
        <v>4.9670399999999999</v>
      </c>
      <c r="DP90">
        <v>3.2909999999999999</v>
      </c>
      <c r="DQ90">
        <v>538</v>
      </c>
      <c r="DR90">
        <v>9999</v>
      </c>
      <c r="DS90">
        <v>9999</v>
      </c>
      <c r="DT90">
        <v>9999</v>
      </c>
      <c r="DU90">
        <v>1.8710599999999999</v>
      </c>
      <c r="DV90">
        <v>1.87608</v>
      </c>
      <c r="DW90">
        <v>1.8763099999999999</v>
      </c>
      <c r="DX90">
        <v>1.8827799999999999</v>
      </c>
      <c r="DY90">
        <v>1.87558</v>
      </c>
      <c r="DZ90">
        <v>1.87462</v>
      </c>
      <c r="EA90">
        <v>1.8708100000000001</v>
      </c>
      <c r="EB90">
        <v>1.8745700000000001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-0.77900000000000003</v>
      </c>
      <c r="EQ90">
        <v>0.12180000000000001</v>
      </c>
      <c r="ER90">
        <v>-0.77899999999999603</v>
      </c>
      <c r="ES90">
        <v>0</v>
      </c>
      <c r="ET90">
        <v>0</v>
      </c>
      <c r="EU90">
        <v>0</v>
      </c>
      <c r="EV90">
        <v>0.121739999999999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3</v>
      </c>
      <c r="FE90">
        <v>3.1</v>
      </c>
      <c r="FF90">
        <v>1.2439</v>
      </c>
      <c r="FG90">
        <v>2.6074199999999998</v>
      </c>
      <c r="FH90">
        <v>2.19604</v>
      </c>
      <c r="FI90">
        <v>2.66113</v>
      </c>
      <c r="FJ90">
        <v>2.4462899999999999</v>
      </c>
      <c r="FK90">
        <v>2.2936999999999999</v>
      </c>
      <c r="FL90">
        <v>32.909199999999998</v>
      </c>
      <c r="FM90">
        <v>24.148800000000001</v>
      </c>
      <c r="FN90">
        <v>19</v>
      </c>
      <c r="FO90">
        <v>865.29499999999996</v>
      </c>
      <c r="FP90">
        <v>569.82299999999998</v>
      </c>
      <c r="FQ90">
        <v>18.3933</v>
      </c>
      <c r="FR90">
        <v>25.483799999999999</v>
      </c>
      <c r="FS90">
        <v>30.0001</v>
      </c>
      <c r="FT90">
        <v>25.467700000000001</v>
      </c>
      <c r="FU90">
        <v>25.470700000000001</v>
      </c>
      <c r="FV90">
        <v>24.982900000000001</v>
      </c>
      <c r="FW90">
        <v>25.2255</v>
      </c>
      <c r="FX90">
        <v>8.8139199999999995</v>
      </c>
      <c r="FY90">
        <v>18.398299999999999</v>
      </c>
      <c r="FZ90">
        <v>410</v>
      </c>
      <c r="GA90">
        <v>13.969200000000001</v>
      </c>
      <c r="GB90">
        <v>99.887299999999996</v>
      </c>
      <c r="GC90">
        <v>99.8249</v>
      </c>
    </row>
    <row r="91" spans="1:185" x14ac:dyDescent="0.2">
      <c r="A91">
        <v>76</v>
      </c>
      <c r="B91">
        <v>1769201826.0999999</v>
      </c>
      <c r="C91">
        <v>1555.0999999046301</v>
      </c>
      <c r="D91" t="s">
        <v>447</v>
      </c>
      <c r="E91" t="s">
        <v>448</v>
      </c>
      <c r="F91">
        <v>15</v>
      </c>
      <c r="G91">
        <v>1769201818.03333</v>
      </c>
      <c r="H91">
        <f t="shared" si="25"/>
        <v>1.1734900830064066E-3</v>
      </c>
      <c r="I91">
        <v>0</v>
      </c>
      <c r="J91">
        <f t="shared" si="37"/>
        <v>-1.0146165186258854E-3</v>
      </c>
      <c r="K91">
        <f t="shared" si="26"/>
        <v>-2.6155368299276723E-2</v>
      </c>
      <c r="L91">
        <f t="shared" si="27"/>
        <v>69.842539435637036</v>
      </c>
      <c r="M91">
        <f t="shared" si="28"/>
        <v>1.5402373419870627</v>
      </c>
      <c r="N91">
        <f t="shared" si="29"/>
        <v>2.205299742009609</v>
      </c>
      <c r="O91">
        <v>0</v>
      </c>
      <c r="P91">
        <v>0</v>
      </c>
      <c r="Q91">
        <f t="shared" si="30"/>
        <v>1</v>
      </c>
      <c r="R91">
        <f t="shared" si="31"/>
        <v>0</v>
      </c>
      <c r="S91">
        <f t="shared" si="32"/>
        <v>26268.46158923105</v>
      </c>
      <c r="T91">
        <f t="shared" si="33"/>
        <v>99.999426666666693</v>
      </c>
      <c r="U91">
        <f t="shared" si="34"/>
        <v>84.299788078443996</v>
      </c>
      <c r="V91">
        <f t="shared" si="35"/>
        <v>0.84300271400000004</v>
      </c>
      <c r="W91">
        <f t="shared" si="36"/>
        <v>0.15870678500000002</v>
      </c>
      <c r="X91">
        <v>1</v>
      </c>
      <c r="Y91">
        <v>1769201818.03333</v>
      </c>
      <c r="Z91">
        <v>409.42453333333299</v>
      </c>
      <c r="AA91">
        <v>409.99239999999998</v>
      </c>
      <c r="AB91">
        <v>15.357433333333301</v>
      </c>
      <c r="AC91">
        <v>13.913119999999999</v>
      </c>
      <c r="AD91">
        <v>410.20353333333298</v>
      </c>
      <c r="AE91">
        <v>15.235713333333299</v>
      </c>
      <c r="AF91">
        <v>800.01220000000001</v>
      </c>
      <c r="AG91">
        <v>100.228466666667</v>
      </c>
      <c r="AH91">
        <v>6.4160919999999996E-2</v>
      </c>
      <c r="AI91">
        <v>19.000866666666699</v>
      </c>
      <c r="AJ91">
        <v>999.9</v>
      </c>
      <c r="AK91">
        <v>999.9</v>
      </c>
      <c r="AL91">
        <v>0</v>
      </c>
      <c r="AM91">
        <v>0</v>
      </c>
      <c r="AN91">
        <v>4997.7666666666701</v>
      </c>
      <c r="AO91">
        <v>0</v>
      </c>
      <c r="AP91">
        <v>1.58087</v>
      </c>
      <c r="AQ91">
        <v>-0.56770826666666696</v>
      </c>
      <c r="AR91">
        <v>415.81033333333301</v>
      </c>
      <c r="AS91">
        <v>415.777066666667</v>
      </c>
      <c r="AT91">
        <v>1.4443173333333299</v>
      </c>
      <c r="AU91">
        <v>409.99239999999998</v>
      </c>
      <c r="AV91">
        <v>13.913119999999999</v>
      </c>
      <c r="AW91">
        <v>1.53925133333333</v>
      </c>
      <c r="AX91">
        <v>1.39449</v>
      </c>
      <c r="AY91">
        <v>13.36374</v>
      </c>
      <c r="AZ91">
        <v>11.8578266666667</v>
      </c>
      <c r="BA91">
        <v>99.999426666666693</v>
      </c>
      <c r="BB91">
        <v>0.89990953333333301</v>
      </c>
      <c r="BC91">
        <v>0</v>
      </c>
      <c r="BD91">
        <v>0.100090466666667</v>
      </c>
      <c r="BE91">
        <v>0</v>
      </c>
      <c r="BF91">
        <v>24</v>
      </c>
      <c r="BG91">
        <v>1648.8233333333301</v>
      </c>
      <c r="BH91">
        <v>1769201629.0999999</v>
      </c>
      <c r="BI91" t="s">
        <v>420</v>
      </c>
      <c r="BJ91">
        <v>1769201629.0999999</v>
      </c>
      <c r="BK91">
        <v>1769201627.0999999</v>
      </c>
      <c r="BL91">
        <v>15</v>
      </c>
      <c r="BM91">
        <v>2.5000000000000001E-2</v>
      </c>
      <c r="BN91">
        <v>3.5999999999999997E-2</v>
      </c>
      <c r="BO91">
        <v>-0.77900000000000003</v>
      </c>
      <c r="BP91">
        <v>0.122</v>
      </c>
      <c r="BQ91">
        <v>410</v>
      </c>
      <c r="BR91">
        <v>15</v>
      </c>
      <c r="BS91">
        <v>0.28999999999999998</v>
      </c>
      <c r="BT91">
        <v>0.1</v>
      </c>
      <c r="BU91">
        <v>-0.57411040000000002</v>
      </c>
      <c r="BV91">
        <v>0.123387157894737</v>
      </c>
      <c r="BW91">
        <v>2.2144252431274401E-2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1.445635</v>
      </c>
      <c r="CD91">
        <v>2.1324812030073002E-2</v>
      </c>
      <c r="CE91">
        <v>8.17244975512239E-3</v>
      </c>
      <c r="CF91">
        <v>1</v>
      </c>
      <c r="CG91">
        <v>2</v>
      </c>
      <c r="CH91">
        <v>2</v>
      </c>
      <c r="CI91" t="s">
        <v>297</v>
      </c>
      <c r="CJ91">
        <v>3.5325700000000002</v>
      </c>
      <c r="CK91">
        <v>2.7017799999999998</v>
      </c>
      <c r="CL91">
        <v>9.7966499999999998E-2</v>
      </c>
      <c r="CM91">
        <v>9.6714099999999997E-2</v>
      </c>
      <c r="CN91">
        <v>8.6923700000000007E-2</v>
      </c>
      <c r="CO91">
        <v>7.9957100000000003E-2</v>
      </c>
      <c r="CP91">
        <v>31632.7</v>
      </c>
      <c r="CQ91">
        <v>27837.4</v>
      </c>
      <c r="CR91">
        <v>32456.9</v>
      </c>
      <c r="CS91">
        <v>30744.799999999999</v>
      </c>
      <c r="CT91">
        <v>40135.599999999999</v>
      </c>
      <c r="CU91">
        <v>39788.300000000003</v>
      </c>
      <c r="CV91">
        <v>47408.2</v>
      </c>
      <c r="CW91">
        <v>46896.800000000003</v>
      </c>
      <c r="CX91">
        <v>2.62344</v>
      </c>
      <c r="CY91">
        <v>2.12202</v>
      </c>
      <c r="CZ91">
        <v>0</v>
      </c>
      <c r="DA91">
        <v>0</v>
      </c>
      <c r="DB91">
        <v>999.9</v>
      </c>
      <c r="DC91">
        <v>999.9</v>
      </c>
      <c r="DD91">
        <v>45.311999999999998</v>
      </c>
      <c r="DE91">
        <v>28.710999999999999</v>
      </c>
      <c r="DF91">
        <v>17.880500000000001</v>
      </c>
      <c r="DG91">
        <v>30.219899999999999</v>
      </c>
      <c r="DH91">
        <v>16.462299999999999</v>
      </c>
      <c r="DI91">
        <v>2</v>
      </c>
      <c r="DJ91">
        <v>-0.118591</v>
      </c>
      <c r="DK91">
        <v>2.0144600000000001</v>
      </c>
      <c r="DL91">
        <v>20.2333</v>
      </c>
      <c r="DM91">
        <v>5.2490399999999999</v>
      </c>
      <c r="DN91">
        <v>12.033899999999999</v>
      </c>
      <c r="DO91">
        <v>4.9667199999999996</v>
      </c>
      <c r="DP91">
        <v>3.2909999999999999</v>
      </c>
      <c r="DQ91">
        <v>538</v>
      </c>
      <c r="DR91">
        <v>9999</v>
      </c>
      <c r="DS91">
        <v>9999</v>
      </c>
      <c r="DT91">
        <v>9999</v>
      </c>
      <c r="DU91">
        <v>1.8710599999999999</v>
      </c>
      <c r="DV91">
        <v>1.8760699999999999</v>
      </c>
      <c r="DW91">
        <v>1.8763000000000001</v>
      </c>
      <c r="DX91">
        <v>1.8827799999999999</v>
      </c>
      <c r="DY91">
        <v>1.8755999999999999</v>
      </c>
      <c r="DZ91">
        <v>1.8746700000000001</v>
      </c>
      <c r="EA91">
        <v>1.8708100000000001</v>
      </c>
      <c r="EB91">
        <v>1.87462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-0.77900000000000003</v>
      </c>
      <c r="EQ91">
        <v>0.1217</v>
      </c>
      <c r="ER91">
        <v>-0.77899999999999603</v>
      </c>
      <c r="ES91">
        <v>0</v>
      </c>
      <c r="ET91">
        <v>0</v>
      </c>
      <c r="EU91">
        <v>0</v>
      </c>
      <c r="EV91">
        <v>0.121739999999999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3.3</v>
      </c>
      <c r="FE91">
        <v>3.3</v>
      </c>
      <c r="FF91">
        <v>1.2439</v>
      </c>
      <c r="FG91">
        <v>2.6110799999999998</v>
      </c>
      <c r="FH91">
        <v>2.19604</v>
      </c>
      <c r="FI91">
        <v>2.66113</v>
      </c>
      <c r="FJ91">
        <v>2.4462899999999999</v>
      </c>
      <c r="FK91">
        <v>2.2619600000000002</v>
      </c>
      <c r="FL91">
        <v>32.886899999999997</v>
      </c>
      <c r="FM91">
        <v>24.14</v>
      </c>
      <c r="FN91">
        <v>19</v>
      </c>
      <c r="FO91">
        <v>865.41899999999998</v>
      </c>
      <c r="FP91">
        <v>569.83600000000001</v>
      </c>
      <c r="FQ91">
        <v>18.395099999999999</v>
      </c>
      <c r="FR91">
        <v>25.4864</v>
      </c>
      <c r="FS91">
        <v>30</v>
      </c>
      <c r="FT91">
        <v>25.472000000000001</v>
      </c>
      <c r="FU91">
        <v>25.473299999999998</v>
      </c>
      <c r="FV91">
        <v>24.982399999999998</v>
      </c>
      <c r="FW91">
        <v>25.2255</v>
      </c>
      <c r="FX91">
        <v>8.4428999999999998</v>
      </c>
      <c r="FY91">
        <v>18.401900000000001</v>
      </c>
      <c r="FZ91">
        <v>410</v>
      </c>
      <c r="GA91">
        <v>13.9696</v>
      </c>
      <c r="GB91">
        <v>99.889300000000006</v>
      </c>
      <c r="GC91">
        <v>99.8249</v>
      </c>
    </row>
    <row r="92" spans="1:185" x14ac:dyDescent="0.2">
      <c r="A92">
        <v>77</v>
      </c>
      <c r="B92">
        <v>1769201841.0999999</v>
      </c>
      <c r="C92">
        <v>1570.0999999046301</v>
      </c>
      <c r="D92" t="s">
        <v>449</v>
      </c>
      <c r="E92" t="s">
        <v>450</v>
      </c>
      <c r="F92">
        <v>15</v>
      </c>
      <c r="G92">
        <v>1769201833.03333</v>
      </c>
      <c r="H92">
        <f t="shared" si="25"/>
        <v>1.163552328775381E-3</v>
      </c>
      <c r="I92">
        <v>0</v>
      </c>
      <c r="J92">
        <f t="shared" si="37"/>
        <v>-6.770586870591533E-4</v>
      </c>
      <c r="K92">
        <f t="shared" si="26"/>
        <v>-1.745360832902677E-2</v>
      </c>
      <c r="L92">
        <f t="shared" si="27"/>
        <v>69.807974592589844</v>
      </c>
      <c r="M92">
        <f t="shared" si="28"/>
        <v>1.5394225677839679</v>
      </c>
      <c r="N92">
        <f t="shared" si="29"/>
        <v>2.2052245130563901</v>
      </c>
      <c r="O92">
        <v>0</v>
      </c>
      <c r="P92">
        <v>0</v>
      </c>
      <c r="Q92">
        <f t="shared" si="30"/>
        <v>1</v>
      </c>
      <c r="R92">
        <f t="shared" si="31"/>
        <v>0</v>
      </c>
      <c r="S92">
        <f t="shared" si="32"/>
        <v>26348.407349953748</v>
      </c>
      <c r="T92">
        <f t="shared" si="33"/>
        <v>100.000246666667</v>
      </c>
      <c r="U92">
        <f t="shared" si="34"/>
        <v>84.300447940592278</v>
      </c>
      <c r="V92">
        <f t="shared" si="35"/>
        <v>0.84300240000000004</v>
      </c>
      <c r="W92">
        <f t="shared" si="36"/>
        <v>0.15870600000000001</v>
      </c>
      <c r="X92">
        <v>1</v>
      </c>
      <c r="Y92">
        <v>1769201833.03333</v>
      </c>
      <c r="Z92">
        <v>409.42899999999997</v>
      </c>
      <c r="AA92">
        <v>410.00266666666698</v>
      </c>
      <c r="AB92">
        <v>15.3491466666667</v>
      </c>
      <c r="AC92">
        <v>13.9170466666667</v>
      </c>
      <c r="AD92">
        <v>410.20800000000003</v>
      </c>
      <c r="AE92">
        <v>15.227399999999999</v>
      </c>
      <c r="AF92">
        <v>800.00893333333295</v>
      </c>
      <c r="AG92">
        <v>100.2296</v>
      </c>
      <c r="AH92">
        <v>6.4090666666666699E-2</v>
      </c>
      <c r="AI92">
        <v>19.000319999999999</v>
      </c>
      <c r="AJ92">
        <v>999.9</v>
      </c>
      <c r="AK92">
        <v>999.9</v>
      </c>
      <c r="AL92">
        <v>0</v>
      </c>
      <c r="AM92">
        <v>0</v>
      </c>
      <c r="AN92">
        <v>5010.8666666666704</v>
      </c>
      <c r="AO92">
        <v>0</v>
      </c>
      <c r="AP92">
        <v>1.58087</v>
      </c>
      <c r="AQ92">
        <v>-0.57377726666666695</v>
      </c>
      <c r="AR92">
        <v>415.811266666667</v>
      </c>
      <c r="AS92">
        <v>415.7894</v>
      </c>
      <c r="AT92">
        <v>1.4320900000000001</v>
      </c>
      <c r="AU92">
        <v>410.00266666666698</v>
      </c>
      <c r="AV92">
        <v>13.9170466666667</v>
      </c>
      <c r="AW92">
        <v>1.5384393333333299</v>
      </c>
      <c r="AX92">
        <v>1.3949020000000001</v>
      </c>
      <c r="AY92">
        <v>13.355639999999999</v>
      </c>
      <c r="AZ92">
        <v>11.862299999999999</v>
      </c>
      <c r="BA92">
        <v>100.000246666667</v>
      </c>
      <c r="BB92">
        <v>0.89992000000000005</v>
      </c>
      <c r="BC92">
        <v>0</v>
      </c>
      <c r="BD92">
        <v>0.10008</v>
      </c>
      <c r="BE92">
        <v>0</v>
      </c>
      <c r="BF92">
        <v>24</v>
      </c>
      <c r="BG92">
        <v>1648.8406666666699</v>
      </c>
      <c r="BH92">
        <v>1769201629.0999999</v>
      </c>
      <c r="BI92" t="s">
        <v>420</v>
      </c>
      <c r="BJ92">
        <v>1769201629.0999999</v>
      </c>
      <c r="BK92">
        <v>1769201627.0999999</v>
      </c>
      <c r="BL92">
        <v>15</v>
      </c>
      <c r="BM92">
        <v>2.5000000000000001E-2</v>
      </c>
      <c r="BN92">
        <v>3.5999999999999997E-2</v>
      </c>
      <c r="BO92">
        <v>-0.77900000000000003</v>
      </c>
      <c r="BP92">
        <v>0.122</v>
      </c>
      <c r="BQ92">
        <v>410</v>
      </c>
      <c r="BR92">
        <v>15</v>
      </c>
      <c r="BS92">
        <v>0.28999999999999998</v>
      </c>
      <c r="BT92">
        <v>0.1</v>
      </c>
      <c r="BU92">
        <v>-0.57177009523809497</v>
      </c>
      <c r="BV92">
        <v>-9.2244857142857906E-2</v>
      </c>
      <c r="BW92">
        <v>2.4344645140945202E-2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1.4382580952381001</v>
      </c>
      <c r="CD92">
        <v>-0.17051142857142501</v>
      </c>
      <c r="CE92">
        <v>2.17024643364906E-2</v>
      </c>
      <c r="CF92">
        <v>0</v>
      </c>
      <c r="CG92">
        <v>1</v>
      </c>
      <c r="CH92">
        <v>2</v>
      </c>
      <c r="CI92" t="s">
        <v>302</v>
      </c>
      <c r="CJ92">
        <v>3.5325099999999998</v>
      </c>
      <c r="CK92">
        <v>2.7019500000000001</v>
      </c>
      <c r="CL92">
        <v>9.7962400000000005E-2</v>
      </c>
      <c r="CM92">
        <v>9.6710699999999997E-2</v>
      </c>
      <c r="CN92">
        <v>8.6901500000000007E-2</v>
      </c>
      <c r="CO92">
        <v>8.0151899999999998E-2</v>
      </c>
      <c r="CP92">
        <v>31632.3</v>
      </c>
      <c r="CQ92">
        <v>27836.7</v>
      </c>
      <c r="CR92">
        <v>32456.400000000001</v>
      </c>
      <c r="CS92">
        <v>30744</v>
      </c>
      <c r="CT92">
        <v>40136.1</v>
      </c>
      <c r="CU92">
        <v>39778.6</v>
      </c>
      <c r="CV92">
        <v>47407.6</v>
      </c>
      <c r="CW92">
        <v>46895.6</v>
      </c>
      <c r="CX92">
        <v>2.6234000000000002</v>
      </c>
      <c r="CY92">
        <v>2.1219199999999998</v>
      </c>
      <c r="CZ92">
        <v>0</v>
      </c>
      <c r="DA92">
        <v>0</v>
      </c>
      <c r="DB92">
        <v>999.9</v>
      </c>
      <c r="DC92">
        <v>999.9</v>
      </c>
      <c r="DD92">
        <v>45.262999999999998</v>
      </c>
      <c r="DE92">
        <v>28.731999999999999</v>
      </c>
      <c r="DF92">
        <v>17.883199999999999</v>
      </c>
      <c r="DG92">
        <v>30.2499</v>
      </c>
      <c r="DH92">
        <v>16.482399999999998</v>
      </c>
      <c r="DI92">
        <v>2</v>
      </c>
      <c r="DJ92">
        <v>-0.118329</v>
      </c>
      <c r="DK92">
        <v>2.0256500000000002</v>
      </c>
      <c r="DL92">
        <v>20.2333</v>
      </c>
      <c r="DM92">
        <v>5.2501199999999999</v>
      </c>
      <c r="DN92">
        <v>12.033899999999999</v>
      </c>
      <c r="DO92">
        <v>4.9669600000000003</v>
      </c>
      <c r="DP92">
        <v>3.2909999999999999</v>
      </c>
      <c r="DQ92">
        <v>538</v>
      </c>
      <c r="DR92">
        <v>9999</v>
      </c>
      <c r="DS92">
        <v>9999</v>
      </c>
      <c r="DT92">
        <v>9999</v>
      </c>
      <c r="DU92">
        <v>1.87104</v>
      </c>
      <c r="DV92">
        <v>1.8760699999999999</v>
      </c>
      <c r="DW92">
        <v>1.8762799999999999</v>
      </c>
      <c r="DX92">
        <v>1.8827799999999999</v>
      </c>
      <c r="DY92">
        <v>1.87558</v>
      </c>
      <c r="DZ92">
        <v>1.8746100000000001</v>
      </c>
      <c r="EA92">
        <v>1.87076</v>
      </c>
      <c r="EB92">
        <v>1.8746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-0.77900000000000003</v>
      </c>
      <c r="EQ92">
        <v>0.12180000000000001</v>
      </c>
      <c r="ER92">
        <v>-0.77899999999999603</v>
      </c>
      <c r="ES92">
        <v>0</v>
      </c>
      <c r="ET92">
        <v>0</v>
      </c>
      <c r="EU92">
        <v>0</v>
      </c>
      <c r="EV92">
        <v>0.121739999999999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3.5</v>
      </c>
      <c r="FE92">
        <v>3.6</v>
      </c>
      <c r="FF92">
        <v>1.24512</v>
      </c>
      <c r="FG92">
        <v>2.6061999999999999</v>
      </c>
      <c r="FH92">
        <v>2.19604</v>
      </c>
      <c r="FI92">
        <v>2.66113</v>
      </c>
      <c r="FJ92">
        <v>2.4462899999999999</v>
      </c>
      <c r="FK92">
        <v>2.3095699999999999</v>
      </c>
      <c r="FL92">
        <v>32.886899999999997</v>
      </c>
      <c r="FM92">
        <v>24.148800000000001</v>
      </c>
      <c r="FN92">
        <v>19</v>
      </c>
      <c r="FO92">
        <v>865.43700000000001</v>
      </c>
      <c r="FP92">
        <v>569.803</v>
      </c>
      <c r="FQ92">
        <v>18.4026</v>
      </c>
      <c r="FR92">
        <v>25.490200000000002</v>
      </c>
      <c r="FS92">
        <v>30</v>
      </c>
      <c r="FT92">
        <v>25.4755</v>
      </c>
      <c r="FU92">
        <v>25.4772</v>
      </c>
      <c r="FV92">
        <v>24.9834</v>
      </c>
      <c r="FW92">
        <v>24.939</v>
      </c>
      <c r="FX92">
        <v>8.4428999999999998</v>
      </c>
      <c r="FY92">
        <v>18.401499999999999</v>
      </c>
      <c r="FZ92">
        <v>410</v>
      </c>
      <c r="GA92">
        <v>13.980700000000001</v>
      </c>
      <c r="GB92">
        <v>99.887900000000002</v>
      </c>
      <c r="GC92">
        <v>99.822400000000002</v>
      </c>
    </row>
    <row r="93" spans="1:185" x14ac:dyDescent="0.2">
      <c r="A93">
        <v>78</v>
      </c>
      <c r="B93">
        <v>1769201856.0999999</v>
      </c>
      <c r="C93">
        <v>1585.0999999046301</v>
      </c>
      <c r="D93" t="s">
        <v>451</v>
      </c>
      <c r="E93" t="s">
        <v>452</v>
      </c>
      <c r="F93">
        <v>15</v>
      </c>
      <c r="G93">
        <v>1769201848.03333</v>
      </c>
      <c r="H93">
        <f t="shared" si="25"/>
        <v>1.1554030457205525E-3</v>
      </c>
      <c r="I93">
        <v>0</v>
      </c>
      <c r="J93">
        <f t="shared" si="37"/>
        <v>-4.7715654513874313E-4</v>
      </c>
      <c r="K93">
        <f t="shared" si="26"/>
        <v>-1.2300415916169457E-2</v>
      </c>
      <c r="L93">
        <f t="shared" si="27"/>
        <v>69.831054284411451</v>
      </c>
      <c r="M93">
        <f t="shared" si="28"/>
        <v>1.5400609406202088</v>
      </c>
      <c r="N93">
        <f t="shared" si="29"/>
        <v>2.2054098372162199</v>
      </c>
      <c r="O93">
        <v>0</v>
      </c>
      <c r="P93">
        <v>0</v>
      </c>
      <c r="Q93">
        <f t="shared" si="30"/>
        <v>1</v>
      </c>
      <c r="R93">
        <f t="shared" si="31"/>
        <v>0</v>
      </c>
      <c r="S93">
        <f t="shared" si="32"/>
        <v>26229.793289792666</v>
      </c>
      <c r="T93">
        <f t="shared" si="33"/>
        <v>99.999799999999993</v>
      </c>
      <c r="U93">
        <f t="shared" si="34"/>
        <v>84.300070399521999</v>
      </c>
      <c r="V93">
        <f t="shared" si="35"/>
        <v>0.84300238999999999</v>
      </c>
      <c r="W93">
        <f t="shared" si="36"/>
        <v>0.15870597500000003</v>
      </c>
      <c r="X93">
        <v>1</v>
      </c>
      <c r="Y93">
        <v>1769201848.03333</v>
      </c>
      <c r="Z93">
        <v>409.422666666667</v>
      </c>
      <c r="AA93">
        <v>409.99860000000001</v>
      </c>
      <c r="AB93">
        <v>15.355359999999999</v>
      </c>
      <c r="AC93">
        <v>13.933286666666699</v>
      </c>
      <c r="AD93">
        <v>410.20166666666699</v>
      </c>
      <c r="AE93">
        <v>15.2336266666667</v>
      </c>
      <c r="AF93">
        <v>800.001933333333</v>
      </c>
      <c r="AG93">
        <v>100.2304</v>
      </c>
      <c r="AH93">
        <v>6.4281506666666696E-2</v>
      </c>
      <c r="AI93">
        <v>19.001666666666701</v>
      </c>
      <c r="AJ93">
        <v>999.9</v>
      </c>
      <c r="AK93">
        <v>999.9</v>
      </c>
      <c r="AL93">
        <v>0</v>
      </c>
      <c r="AM93">
        <v>0</v>
      </c>
      <c r="AN93">
        <v>4991.3333333333303</v>
      </c>
      <c r="AO93">
        <v>0</v>
      </c>
      <c r="AP93">
        <v>1.58087</v>
      </c>
      <c r="AQ93">
        <v>-0.57583626666666698</v>
      </c>
      <c r="AR93">
        <v>415.80759999999998</v>
      </c>
      <c r="AS93">
        <v>415.79206666666698</v>
      </c>
      <c r="AT93">
        <v>1.42205733333333</v>
      </c>
      <c r="AU93">
        <v>409.99860000000001</v>
      </c>
      <c r="AV93">
        <v>13.933286666666699</v>
      </c>
      <c r="AW93">
        <v>1.5390740000000001</v>
      </c>
      <c r="AX93">
        <v>1.39654066666667</v>
      </c>
      <c r="AY93">
        <v>13.3619533333333</v>
      </c>
      <c r="AZ93">
        <v>11.8801133333333</v>
      </c>
      <c r="BA93">
        <v>99.999799999999993</v>
      </c>
      <c r="BB93">
        <v>0.89992033333333299</v>
      </c>
      <c r="BC93">
        <v>0</v>
      </c>
      <c r="BD93">
        <v>0.100079666666667</v>
      </c>
      <c r="BE93">
        <v>0</v>
      </c>
      <c r="BF93">
        <v>24</v>
      </c>
      <c r="BG93">
        <v>1648.836</v>
      </c>
      <c r="BH93">
        <v>1769201629.0999999</v>
      </c>
      <c r="BI93" t="s">
        <v>420</v>
      </c>
      <c r="BJ93">
        <v>1769201629.0999999</v>
      </c>
      <c r="BK93">
        <v>1769201627.0999999</v>
      </c>
      <c r="BL93">
        <v>15</v>
      </c>
      <c r="BM93">
        <v>2.5000000000000001E-2</v>
      </c>
      <c r="BN93">
        <v>3.5999999999999997E-2</v>
      </c>
      <c r="BO93">
        <v>-0.77900000000000003</v>
      </c>
      <c r="BP93">
        <v>0.122</v>
      </c>
      <c r="BQ93">
        <v>410</v>
      </c>
      <c r="BR93">
        <v>15</v>
      </c>
      <c r="BS93">
        <v>0.28999999999999998</v>
      </c>
      <c r="BT93">
        <v>0.1</v>
      </c>
      <c r="BU93">
        <v>-0.58218694999999998</v>
      </c>
      <c r="BV93">
        <v>0.104298541353384</v>
      </c>
      <c r="BW93">
        <v>2.1766624128410399E-2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1.4200435</v>
      </c>
      <c r="CD93">
        <v>4.7247067669171798E-2</v>
      </c>
      <c r="CE93">
        <v>4.6438618358000299E-3</v>
      </c>
      <c r="CF93">
        <v>1</v>
      </c>
      <c r="CG93">
        <v>2</v>
      </c>
      <c r="CH93">
        <v>2</v>
      </c>
      <c r="CI93" t="s">
        <v>297</v>
      </c>
      <c r="CJ93">
        <v>3.5325299999999999</v>
      </c>
      <c r="CK93">
        <v>2.70208</v>
      </c>
      <c r="CL93">
        <v>9.7966899999999996E-2</v>
      </c>
      <c r="CM93">
        <v>9.6709100000000006E-2</v>
      </c>
      <c r="CN93">
        <v>8.6917800000000003E-2</v>
      </c>
      <c r="CO93">
        <v>8.0130800000000002E-2</v>
      </c>
      <c r="CP93">
        <v>31632.400000000001</v>
      </c>
      <c r="CQ93">
        <v>27837.200000000001</v>
      </c>
      <c r="CR93">
        <v>32456.7</v>
      </c>
      <c r="CS93">
        <v>30744.5</v>
      </c>
      <c r="CT93">
        <v>40135.800000000003</v>
      </c>
      <c r="CU93">
        <v>39779.9</v>
      </c>
      <c r="CV93">
        <v>47408.1</v>
      </c>
      <c r="CW93">
        <v>46896.1</v>
      </c>
      <c r="CX93">
        <v>2.6232199999999999</v>
      </c>
      <c r="CY93">
        <v>2.1218599999999999</v>
      </c>
      <c r="CZ93">
        <v>0</v>
      </c>
      <c r="DA93">
        <v>0</v>
      </c>
      <c r="DB93">
        <v>999.9</v>
      </c>
      <c r="DC93">
        <v>999.9</v>
      </c>
      <c r="DD93">
        <v>45.238999999999997</v>
      </c>
      <c r="DE93">
        <v>28.731999999999999</v>
      </c>
      <c r="DF93">
        <v>17.872399999999999</v>
      </c>
      <c r="DG93">
        <v>30.309899999999999</v>
      </c>
      <c r="DH93">
        <v>16.4663</v>
      </c>
      <c r="DI93">
        <v>2</v>
      </c>
      <c r="DJ93">
        <v>-0.118033</v>
      </c>
      <c r="DK93">
        <v>2.0461999999999998</v>
      </c>
      <c r="DL93">
        <v>20.2331</v>
      </c>
      <c r="DM93">
        <v>5.2502399999999998</v>
      </c>
      <c r="DN93">
        <v>12.033899999999999</v>
      </c>
      <c r="DO93">
        <v>4.9670399999999999</v>
      </c>
      <c r="DP93">
        <v>3.2909999999999999</v>
      </c>
      <c r="DQ93">
        <v>538</v>
      </c>
      <c r="DR93">
        <v>9999</v>
      </c>
      <c r="DS93">
        <v>9999</v>
      </c>
      <c r="DT93">
        <v>9999</v>
      </c>
      <c r="DU93">
        <v>1.8710500000000001</v>
      </c>
      <c r="DV93">
        <v>1.8760699999999999</v>
      </c>
      <c r="DW93">
        <v>1.8762700000000001</v>
      </c>
      <c r="DX93">
        <v>1.8827799999999999</v>
      </c>
      <c r="DY93">
        <v>1.8755900000000001</v>
      </c>
      <c r="DZ93">
        <v>1.8746100000000001</v>
      </c>
      <c r="EA93">
        <v>1.87077</v>
      </c>
      <c r="EB93">
        <v>1.8745799999999999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-0.77900000000000003</v>
      </c>
      <c r="EQ93">
        <v>0.12180000000000001</v>
      </c>
      <c r="ER93">
        <v>-0.77899999999999603</v>
      </c>
      <c r="ES93">
        <v>0</v>
      </c>
      <c r="ET93">
        <v>0</v>
      </c>
      <c r="EU93">
        <v>0</v>
      </c>
      <c r="EV93">
        <v>0.121739999999999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3.8</v>
      </c>
      <c r="FE93">
        <v>3.8</v>
      </c>
      <c r="FF93">
        <v>1.2439</v>
      </c>
      <c r="FG93">
        <v>2.6049799999999999</v>
      </c>
      <c r="FH93">
        <v>2.19604</v>
      </c>
      <c r="FI93">
        <v>2.66113</v>
      </c>
      <c r="FJ93">
        <v>2.4462899999999999</v>
      </c>
      <c r="FK93">
        <v>2.32544</v>
      </c>
      <c r="FL93">
        <v>32.909199999999998</v>
      </c>
      <c r="FM93">
        <v>24.148800000000001</v>
      </c>
      <c r="FN93">
        <v>19</v>
      </c>
      <c r="FO93">
        <v>865.32500000000005</v>
      </c>
      <c r="FP93">
        <v>569.80499999999995</v>
      </c>
      <c r="FQ93">
        <v>18.398399999999999</v>
      </c>
      <c r="FR93">
        <v>25.4924</v>
      </c>
      <c r="FS93">
        <v>30.0002</v>
      </c>
      <c r="FT93">
        <v>25.478899999999999</v>
      </c>
      <c r="FU93">
        <v>25.4815</v>
      </c>
      <c r="FV93">
        <v>24.9817</v>
      </c>
      <c r="FW93">
        <v>24.939</v>
      </c>
      <c r="FX93">
        <v>8.4428999999999998</v>
      </c>
      <c r="FY93">
        <v>18.396699999999999</v>
      </c>
      <c r="FZ93">
        <v>410</v>
      </c>
      <c r="GA93">
        <v>13.986599999999999</v>
      </c>
      <c r="GB93">
        <v>99.888800000000003</v>
      </c>
      <c r="GC93">
        <v>99.823499999999996</v>
      </c>
    </row>
    <row r="94" spans="1:185" x14ac:dyDescent="0.2">
      <c r="A94">
        <v>79</v>
      </c>
      <c r="B94">
        <v>1769201871.0999999</v>
      </c>
      <c r="C94">
        <v>1600.0999999046301</v>
      </c>
      <c r="D94" t="s">
        <v>453</v>
      </c>
      <c r="E94" t="s">
        <v>454</v>
      </c>
      <c r="F94">
        <v>15</v>
      </c>
      <c r="G94">
        <v>1769201863.03333</v>
      </c>
      <c r="H94">
        <f t="shared" si="25"/>
        <v>1.1532919848069147E-3</v>
      </c>
      <c r="I94">
        <v>0</v>
      </c>
      <c r="J94">
        <f t="shared" si="37"/>
        <v>-9.6802166947895438E-4</v>
      </c>
      <c r="K94">
        <f t="shared" si="26"/>
        <v>-2.4954219473178624E-2</v>
      </c>
      <c r="L94">
        <f t="shared" si="27"/>
        <v>69.791397100476189</v>
      </c>
      <c r="M94">
        <f t="shared" si="28"/>
        <v>1.5393310559666611</v>
      </c>
      <c r="N94">
        <f t="shared" si="29"/>
        <v>2.2056171962721147</v>
      </c>
      <c r="O94">
        <v>0</v>
      </c>
      <c r="P94">
        <v>0</v>
      </c>
      <c r="Q94">
        <f t="shared" si="30"/>
        <v>1</v>
      </c>
      <c r="R94">
        <f t="shared" si="31"/>
        <v>0</v>
      </c>
      <c r="S94">
        <f t="shared" si="32"/>
        <v>26293.51682207796</v>
      </c>
      <c r="T94">
        <f t="shared" si="33"/>
        <v>100.00024000000001</v>
      </c>
      <c r="U94">
        <f t="shared" si="34"/>
        <v>84.300424320532812</v>
      </c>
      <c r="V94">
        <f t="shared" si="35"/>
        <v>0.84300222000000002</v>
      </c>
      <c r="W94">
        <f t="shared" si="36"/>
        <v>0.15870555</v>
      </c>
      <c r="X94">
        <v>1</v>
      </c>
      <c r="Y94">
        <v>1769201863.03333</v>
      </c>
      <c r="Z94">
        <v>409.44933333333302</v>
      </c>
      <c r="AA94">
        <v>410.00839999999999</v>
      </c>
      <c r="AB94">
        <v>15.347953333333299</v>
      </c>
      <c r="AC94">
        <v>13.9284866666667</v>
      </c>
      <c r="AD94">
        <v>410.22833333333301</v>
      </c>
      <c r="AE94">
        <v>15.2262066666667</v>
      </c>
      <c r="AF94">
        <v>800.01266666666697</v>
      </c>
      <c r="AG94">
        <v>100.231333333333</v>
      </c>
      <c r="AH94">
        <v>6.4192886666666699E-2</v>
      </c>
      <c r="AI94">
        <v>19.003173333333301</v>
      </c>
      <c r="AJ94">
        <v>999.9</v>
      </c>
      <c r="AK94">
        <v>999.9</v>
      </c>
      <c r="AL94">
        <v>0</v>
      </c>
      <c r="AM94">
        <v>0</v>
      </c>
      <c r="AN94">
        <v>5001.8</v>
      </c>
      <c r="AO94">
        <v>0</v>
      </c>
      <c r="AP94">
        <v>1.5771073333333301</v>
      </c>
      <c r="AQ94">
        <v>-0.55910633333333304</v>
      </c>
      <c r="AR94">
        <v>415.83146666666698</v>
      </c>
      <c r="AS94">
        <v>415.79973333333299</v>
      </c>
      <c r="AT94">
        <v>1.4194599999999999</v>
      </c>
      <c r="AU94">
        <v>410.00839999999999</v>
      </c>
      <c r="AV94">
        <v>13.9284866666667</v>
      </c>
      <c r="AW94">
        <v>1.5383466666666701</v>
      </c>
      <c r="AX94">
        <v>1.3960713333333299</v>
      </c>
      <c r="AY94">
        <v>13.35472</v>
      </c>
      <c r="AZ94">
        <v>11.87504</v>
      </c>
      <c r="BA94">
        <v>100.00024000000001</v>
      </c>
      <c r="BB94">
        <v>0.899926</v>
      </c>
      <c r="BC94">
        <v>0</v>
      </c>
      <c r="BD94">
        <v>0.100074</v>
      </c>
      <c r="BE94">
        <v>0</v>
      </c>
      <c r="BF94">
        <v>24</v>
      </c>
      <c r="BG94">
        <v>1648.846</v>
      </c>
      <c r="BH94">
        <v>1769201629.0999999</v>
      </c>
      <c r="BI94" t="s">
        <v>420</v>
      </c>
      <c r="BJ94">
        <v>1769201629.0999999</v>
      </c>
      <c r="BK94">
        <v>1769201627.0999999</v>
      </c>
      <c r="BL94">
        <v>15</v>
      </c>
      <c r="BM94">
        <v>2.5000000000000001E-2</v>
      </c>
      <c r="BN94">
        <v>3.5999999999999997E-2</v>
      </c>
      <c r="BO94">
        <v>-0.77900000000000003</v>
      </c>
      <c r="BP94">
        <v>0.122</v>
      </c>
      <c r="BQ94">
        <v>410</v>
      </c>
      <c r="BR94">
        <v>15</v>
      </c>
      <c r="BS94">
        <v>0.28999999999999998</v>
      </c>
      <c r="BT94">
        <v>0.1</v>
      </c>
      <c r="BU94">
        <v>-0.56512447619047601</v>
      </c>
      <c r="BV94">
        <v>8.6625896103895803E-2</v>
      </c>
      <c r="BW94">
        <v>2.3088806343002501E-2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1.4210480952380999</v>
      </c>
      <c r="CD94">
        <v>-3.22449350649344E-2</v>
      </c>
      <c r="CE94">
        <v>4.0007530470288497E-3</v>
      </c>
      <c r="CF94">
        <v>1</v>
      </c>
      <c r="CG94">
        <v>2</v>
      </c>
      <c r="CH94">
        <v>2</v>
      </c>
      <c r="CI94" t="s">
        <v>297</v>
      </c>
      <c r="CJ94">
        <v>3.5325000000000002</v>
      </c>
      <c r="CK94">
        <v>2.70194</v>
      </c>
      <c r="CL94">
        <v>9.7963900000000007E-2</v>
      </c>
      <c r="CM94">
        <v>9.67113E-2</v>
      </c>
      <c r="CN94">
        <v>8.6877499999999996E-2</v>
      </c>
      <c r="CO94">
        <v>8.0172999999999994E-2</v>
      </c>
      <c r="CP94">
        <v>31631.3</v>
      </c>
      <c r="CQ94">
        <v>27837.3</v>
      </c>
      <c r="CR94">
        <v>32455.5</v>
      </c>
      <c r="CS94">
        <v>30744.7</v>
      </c>
      <c r="CT94">
        <v>40136.1</v>
      </c>
      <c r="CU94">
        <v>39778.400000000001</v>
      </c>
      <c r="CV94">
        <v>47406.3</v>
      </c>
      <c r="CW94">
        <v>46896.4</v>
      </c>
      <c r="CX94">
        <v>2.6231</v>
      </c>
      <c r="CY94">
        <v>2.12188</v>
      </c>
      <c r="CZ94">
        <v>0</v>
      </c>
      <c r="DA94">
        <v>0</v>
      </c>
      <c r="DB94">
        <v>999.9</v>
      </c>
      <c r="DC94">
        <v>999.9</v>
      </c>
      <c r="DD94">
        <v>45.213999999999999</v>
      </c>
      <c r="DE94">
        <v>28.731999999999999</v>
      </c>
      <c r="DF94">
        <v>17.862100000000002</v>
      </c>
      <c r="DG94">
        <v>30.639900000000001</v>
      </c>
      <c r="DH94">
        <v>16.394200000000001</v>
      </c>
      <c r="DI94">
        <v>2</v>
      </c>
      <c r="DJ94">
        <v>-0.11752600000000001</v>
      </c>
      <c r="DK94">
        <v>2.0703299999999998</v>
      </c>
      <c r="DL94">
        <v>20.232600000000001</v>
      </c>
      <c r="DM94">
        <v>5.2495200000000004</v>
      </c>
      <c r="DN94">
        <v>12.033899999999999</v>
      </c>
      <c r="DO94">
        <v>4.9669600000000003</v>
      </c>
      <c r="DP94">
        <v>3.2909999999999999</v>
      </c>
      <c r="DQ94">
        <v>538</v>
      </c>
      <c r="DR94">
        <v>9999</v>
      </c>
      <c r="DS94">
        <v>9999</v>
      </c>
      <c r="DT94">
        <v>9999</v>
      </c>
      <c r="DU94">
        <v>1.87104</v>
      </c>
      <c r="DV94">
        <v>1.87608</v>
      </c>
      <c r="DW94">
        <v>1.87629</v>
      </c>
      <c r="DX94">
        <v>1.8827799999999999</v>
      </c>
      <c r="DY94">
        <v>1.8755900000000001</v>
      </c>
      <c r="DZ94">
        <v>1.8746400000000001</v>
      </c>
      <c r="EA94">
        <v>1.87077</v>
      </c>
      <c r="EB94">
        <v>1.87462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-0.77900000000000003</v>
      </c>
      <c r="EQ94">
        <v>0.1217</v>
      </c>
      <c r="ER94">
        <v>-0.77899999999999603</v>
      </c>
      <c r="ES94">
        <v>0</v>
      </c>
      <c r="ET94">
        <v>0</v>
      </c>
      <c r="EU94">
        <v>0</v>
      </c>
      <c r="EV94">
        <v>0.121739999999999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4</v>
      </c>
      <c r="FE94">
        <v>4.0999999999999996</v>
      </c>
      <c r="FF94">
        <v>1.2439</v>
      </c>
      <c r="FG94">
        <v>2.6061999999999999</v>
      </c>
      <c r="FH94">
        <v>2.19604</v>
      </c>
      <c r="FI94">
        <v>2.66113</v>
      </c>
      <c r="FJ94">
        <v>2.4462899999999999</v>
      </c>
      <c r="FK94">
        <v>2.3059099999999999</v>
      </c>
      <c r="FL94">
        <v>32.909199999999998</v>
      </c>
      <c r="FM94">
        <v>24.148800000000001</v>
      </c>
      <c r="FN94">
        <v>19</v>
      </c>
      <c r="FO94">
        <v>865.27599999999995</v>
      </c>
      <c r="FP94">
        <v>569.86599999999999</v>
      </c>
      <c r="FQ94">
        <v>18.392900000000001</v>
      </c>
      <c r="FR94">
        <v>25.496700000000001</v>
      </c>
      <c r="FS94">
        <v>30.0002</v>
      </c>
      <c r="FT94">
        <v>25.482700000000001</v>
      </c>
      <c r="FU94">
        <v>25.485700000000001</v>
      </c>
      <c r="FV94">
        <v>24.9832</v>
      </c>
      <c r="FW94">
        <v>24.659800000000001</v>
      </c>
      <c r="FX94">
        <v>8.4428999999999998</v>
      </c>
      <c r="FY94">
        <v>18.389099999999999</v>
      </c>
      <c r="FZ94">
        <v>410</v>
      </c>
      <c r="GA94">
        <v>13.998699999999999</v>
      </c>
      <c r="GB94">
        <v>99.885099999999994</v>
      </c>
      <c r="GC94">
        <v>99.824299999999994</v>
      </c>
    </row>
    <row r="95" spans="1:185" x14ac:dyDescent="0.2">
      <c r="A95">
        <v>80</v>
      </c>
      <c r="B95">
        <v>1769201886.0999999</v>
      </c>
      <c r="C95">
        <v>1615.0999999046301</v>
      </c>
      <c r="D95" t="s">
        <v>455</v>
      </c>
      <c r="E95" t="s">
        <v>456</v>
      </c>
      <c r="F95">
        <v>15</v>
      </c>
      <c r="G95">
        <v>1769201878.03333</v>
      </c>
      <c r="H95">
        <f t="shared" si="25"/>
        <v>1.1402470476374921E-3</v>
      </c>
      <c r="I95">
        <v>0</v>
      </c>
      <c r="J95">
        <f t="shared" si="37"/>
        <v>-2.0103593447367611E-4</v>
      </c>
      <c r="K95">
        <f t="shared" si="26"/>
        <v>-5.1824199695363719E-3</v>
      </c>
      <c r="L95">
        <f t="shared" si="27"/>
        <v>69.822197674322524</v>
      </c>
      <c r="M95">
        <f t="shared" si="28"/>
        <v>1.5400494792681416</v>
      </c>
      <c r="N95">
        <f t="shared" si="29"/>
        <v>2.2056731677961818</v>
      </c>
      <c r="O95">
        <v>0</v>
      </c>
      <c r="P95">
        <v>0</v>
      </c>
      <c r="Q95">
        <f t="shared" si="30"/>
        <v>1</v>
      </c>
      <c r="R95">
        <f t="shared" si="31"/>
        <v>0</v>
      </c>
      <c r="S95">
        <f t="shared" si="32"/>
        <v>26245.317109503249</v>
      </c>
      <c r="T95">
        <f t="shared" si="33"/>
        <v>99.999380000000002</v>
      </c>
      <c r="U95">
        <f t="shared" si="34"/>
        <v>84.299711938545471</v>
      </c>
      <c r="V95">
        <f t="shared" si="35"/>
        <v>0.8430023459999999</v>
      </c>
      <c r="W95">
        <f t="shared" si="36"/>
        <v>0.158705865</v>
      </c>
      <c r="X95">
        <v>1</v>
      </c>
      <c r="Y95">
        <v>1769201878.03333</v>
      </c>
      <c r="Z95">
        <v>409.41719999999998</v>
      </c>
      <c r="AA95">
        <v>409.99426666666699</v>
      </c>
      <c r="AB95">
        <v>15.3551066666667</v>
      </c>
      <c r="AC95">
        <v>13.951686666666699</v>
      </c>
      <c r="AD95">
        <v>410.19619999999998</v>
      </c>
      <c r="AE95">
        <v>15.2333866666667</v>
      </c>
      <c r="AF95">
        <v>800.00173333333305</v>
      </c>
      <c r="AG95">
        <v>100.231533333333</v>
      </c>
      <c r="AH95">
        <v>6.4056446666666697E-2</v>
      </c>
      <c r="AI95">
        <v>19.003579999999999</v>
      </c>
      <c r="AJ95">
        <v>999.9</v>
      </c>
      <c r="AK95">
        <v>999.9</v>
      </c>
      <c r="AL95">
        <v>0</v>
      </c>
      <c r="AM95">
        <v>0</v>
      </c>
      <c r="AN95">
        <v>4993.8666666666704</v>
      </c>
      <c r="AO95">
        <v>0</v>
      </c>
      <c r="AP95">
        <v>1.58087</v>
      </c>
      <c r="AQ95">
        <v>-0.57702026666666695</v>
      </c>
      <c r="AR95">
        <v>415.80206666666697</v>
      </c>
      <c r="AS95">
        <v>415.79539999999997</v>
      </c>
      <c r="AT95">
        <v>1.403432</v>
      </c>
      <c r="AU95">
        <v>409.99426666666699</v>
      </c>
      <c r="AV95">
        <v>13.951686666666699</v>
      </c>
      <c r="AW95">
        <v>1.53906533333333</v>
      </c>
      <c r="AX95">
        <v>1.3983966666666701</v>
      </c>
      <c r="AY95">
        <v>13.3618733333333</v>
      </c>
      <c r="AZ95">
        <v>11.900259999999999</v>
      </c>
      <c r="BA95">
        <v>99.999380000000002</v>
      </c>
      <c r="BB95">
        <v>0.89992179999999999</v>
      </c>
      <c r="BC95">
        <v>0</v>
      </c>
      <c r="BD95">
        <v>0.10007820000000001</v>
      </c>
      <c r="BE95">
        <v>0</v>
      </c>
      <c r="BF95">
        <v>24</v>
      </c>
      <c r="BG95">
        <v>1648.82866666667</v>
      </c>
      <c r="BH95">
        <v>1769201629.0999999</v>
      </c>
      <c r="BI95" t="s">
        <v>420</v>
      </c>
      <c r="BJ95">
        <v>1769201629.0999999</v>
      </c>
      <c r="BK95">
        <v>1769201627.0999999</v>
      </c>
      <c r="BL95">
        <v>15</v>
      </c>
      <c r="BM95">
        <v>2.5000000000000001E-2</v>
      </c>
      <c r="BN95">
        <v>3.5999999999999997E-2</v>
      </c>
      <c r="BO95">
        <v>-0.77900000000000003</v>
      </c>
      <c r="BP95">
        <v>0.122</v>
      </c>
      <c r="BQ95">
        <v>410</v>
      </c>
      <c r="BR95">
        <v>15</v>
      </c>
      <c r="BS95">
        <v>0.28999999999999998</v>
      </c>
      <c r="BT95">
        <v>0.1</v>
      </c>
      <c r="BU95">
        <v>-0.57081910000000002</v>
      </c>
      <c r="BV95">
        <v>-0.192411879699247</v>
      </c>
      <c r="BW95">
        <v>2.8792369351791799E-2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1.4065730000000001</v>
      </c>
      <c r="CD95">
        <v>-3.9702857142857401E-2</v>
      </c>
      <c r="CE95">
        <v>6.6377286024663596E-3</v>
      </c>
      <c r="CF95">
        <v>1</v>
      </c>
      <c r="CG95">
        <v>2</v>
      </c>
      <c r="CH95">
        <v>2</v>
      </c>
      <c r="CI95" t="s">
        <v>297</v>
      </c>
      <c r="CJ95">
        <v>3.5325500000000001</v>
      </c>
      <c r="CK95">
        <v>2.7017600000000002</v>
      </c>
      <c r="CL95">
        <v>9.7961800000000002E-2</v>
      </c>
      <c r="CM95">
        <v>9.6710699999999997E-2</v>
      </c>
      <c r="CN95">
        <v>8.6921999999999999E-2</v>
      </c>
      <c r="CO95">
        <v>8.0221299999999995E-2</v>
      </c>
      <c r="CP95">
        <v>31631.200000000001</v>
      </c>
      <c r="CQ95">
        <v>27836</v>
      </c>
      <c r="CR95">
        <v>32455.3</v>
      </c>
      <c r="CS95">
        <v>30743.3</v>
      </c>
      <c r="CT95">
        <v>40134</v>
      </c>
      <c r="CU95">
        <v>39774.6</v>
      </c>
      <c r="CV95">
        <v>47406.1</v>
      </c>
      <c r="CW95">
        <v>46894.5</v>
      </c>
      <c r="CX95">
        <v>2.6231599999999999</v>
      </c>
      <c r="CY95">
        <v>2.1219000000000001</v>
      </c>
      <c r="CZ95">
        <v>0</v>
      </c>
      <c r="DA95">
        <v>0</v>
      </c>
      <c r="DB95">
        <v>999.9</v>
      </c>
      <c r="DC95">
        <v>999.9</v>
      </c>
      <c r="DD95">
        <v>45.19</v>
      </c>
      <c r="DE95">
        <v>28.731999999999999</v>
      </c>
      <c r="DF95">
        <v>17.853200000000001</v>
      </c>
      <c r="DG95">
        <v>30.459900000000001</v>
      </c>
      <c r="DH95">
        <v>16.478400000000001</v>
      </c>
      <c r="DI95">
        <v>2</v>
      </c>
      <c r="DJ95">
        <v>-0.117455</v>
      </c>
      <c r="DK95">
        <v>2.0792700000000002</v>
      </c>
      <c r="DL95">
        <v>20.232600000000001</v>
      </c>
      <c r="DM95">
        <v>5.2497600000000002</v>
      </c>
      <c r="DN95">
        <v>12.033899999999999</v>
      </c>
      <c r="DO95">
        <v>4.9670800000000002</v>
      </c>
      <c r="DP95">
        <v>3.2909999999999999</v>
      </c>
      <c r="DQ95">
        <v>538</v>
      </c>
      <c r="DR95">
        <v>9999</v>
      </c>
      <c r="DS95">
        <v>9999</v>
      </c>
      <c r="DT95">
        <v>9999</v>
      </c>
      <c r="DU95">
        <v>1.8710500000000001</v>
      </c>
      <c r="DV95">
        <v>1.8760699999999999</v>
      </c>
      <c r="DW95">
        <v>1.87629</v>
      </c>
      <c r="DX95">
        <v>1.8827799999999999</v>
      </c>
      <c r="DY95">
        <v>1.87558</v>
      </c>
      <c r="DZ95">
        <v>1.87462</v>
      </c>
      <c r="EA95">
        <v>1.8708100000000001</v>
      </c>
      <c r="EB95">
        <v>1.8746100000000001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-0.77900000000000003</v>
      </c>
      <c r="EQ95">
        <v>0.1217</v>
      </c>
      <c r="ER95">
        <v>-0.77899999999999603</v>
      </c>
      <c r="ES95">
        <v>0</v>
      </c>
      <c r="ET95">
        <v>0</v>
      </c>
      <c r="EU95">
        <v>0</v>
      </c>
      <c r="EV95">
        <v>0.121739999999999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4.3</v>
      </c>
      <c r="FE95">
        <v>4.3</v>
      </c>
      <c r="FF95">
        <v>1.24512</v>
      </c>
      <c r="FG95">
        <v>2.6086399999999998</v>
      </c>
      <c r="FH95">
        <v>2.19604</v>
      </c>
      <c r="FI95">
        <v>2.66113</v>
      </c>
      <c r="FJ95">
        <v>2.4462899999999999</v>
      </c>
      <c r="FK95">
        <v>2.2814899999999998</v>
      </c>
      <c r="FL95">
        <v>32.909199999999998</v>
      </c>
      <c r="FM95">
        <v>24.148800000000001</v>
      </c>
      <c r="FN95">
        <v>19</v>
      </c>
      <c r="FO95">
        <v>865.39300000000003</v>
      </c>
      <c r="FP95">
        <v>569.91499999999996</v>
      </c>
      <c r="FQ95">
        <v>18.377700000000001</v>
      </c>
      <c r="FR95">
        <v>25.499700000000001</v>
      </c>
      <c r="FS95">
        <v>30.0002</v>
      </c>
      <c r="FT95">
        <v>25.486599999999999</v>
      </c>
      <c r="FU95">
        <v>25.488700000000001</v>
      </c>
      <c r="FV95">
        <v>24.982199999999999</v>
      </c>
      <c r="FW95">
        <v>24.659800000000001</v>
      </c>
      <c r="FX95">
        <v>8.4428999999999998</v>
      </c>
      <c r="FY95">
        <v>18.3767</v>
      </c>
      <c r="FZ95">
        <v>410</v>
      </c>
      <c r="GA95">
        <v>13.9976</v>
      </c>
      <c r="GB95">
        <v>99.884699999999995</v>
      </c>
      <c r="GC95">
        <v>99.82</v>
      </c>
    </row>
    <row r="96" spans="1:185" x14ac:dyDescent="0.2">
      <c r="A96">
        <v>81</v>
      </c>
      <c r="B96">
        <v>1769201901.0999999</v>
      </c>
      <c r="C96">
        <v>1630.0999999046301</v>
      </c>
      <c r="D96" t="s">
        <v>457</v>
      </c>
      <c r="E96" t="s">
        <v>458</v>
      </c>
      <c r="F96">
        <v>15</v>
      </c>
      <c r="G96">
        <v>1769201893.03333</v>
      </c>
      <c r="H96">
        <f t="shared" si="25"/>
        <v>1.1503533546309735E-3</v>
      </c>
      <c r="I96">
        <v>0</v>
      </c>
      <c r="J96">
        <f t="shared" si="37"/>
        <v>-2.0416702433654442E-4</v>
      </c>
      <c r="K96">
        <f t="shared" si="26"/>
        <v>-5.263135005254856E-3</v>
      </c>
      <c r="L96">
        <f t="shared" si="27"/>
        <v>69.844761535012466</v>
      </c>
      <c r="M96">
        <f t="shared" si="28"/>
        <v>1.5402985208725659</v>
      </c>
      <c r="N96">
        <f t="shared" si="29"/>
        <v>2.2053171734295778</v>
      </c>
      <c r="O96">
        <v>0</v>
      </c>
      <c r="P96">
        <v>0</v>
      </c>
      <c r="Q96">
        <f t="shared" si="30"/>
        <v>1</v>
      </c>
      <c r="R96">
        <f t="shared" si="31"/>
        <v>0</v>
      </c>
      <c r="S96">
        <f t="shared" si="32"/>
        <v>26309.229748667683</v>
      </c>
      <c r="T96">
        <f t="shared" si="33"/>
        <v>99.999939999999995</v>
      </c>
      <c r="U96">
        <f t="shared" si="34"/>
        <v>84.300168019868835</v>
      </c>
      <c r="V96">
        <f t="shared" si="35"/>
        <v>0.84300218599999999</v>
      </c>
      <c r="W96">
        <f t="shared" si="36"/>
        <v>0.15870546500000002</v>
      </c>
      <c r="X96">
        <v>1</v>
      </c>
      <c r="Y96">
        <v>1769201893.03333</v>
      </c>
      <c r="Z96">
        <v>409.41653333333301</v>
      </c>
      <c r="AA96">
        <v>409.99866666666702</v>
      </c>
      <c r="AB96">
        <v>15.357526666666701</v>
      </c>
      <c r="AC96">
        <v>13.94168</v>
      </c>
      <c r="AD96">
        <v>410.19546666666702</v>
      </c>
      <c r="AE96">
        <v>15.2357933333333</v>
      </c>
      <c r="AF96">
        <v>800.006666666667</v>
      </c>
      <c r="AG96">
        <v>100.23180000000001</v>
      </c>
      <c r="AH96">
        <v>6.4201713333333299E-2</v>
      </c>
      <c r="AI96">
        <v>19.000993333333302</v>
      </c>
      <c r="AJ96">
        <v>999.9</v>
      </c>
      <c r="AK96">
        <v>999.9</v>
      </c>
      <c r="AL96">
        <v>0</v>
      </c>
      <c r="AM96">
        <v>0</v>
      </c>
      <c r="AN96">
        <v>5004.3333333333303</v>
      </c>
      <c r="AO96">
        <v>0</v>
      </c>
      <c r="AP96">
        <v>1.569806</v>
      </c>
      <c r="AQ96">
        <v>-0.58213099999999995</v>
      </c>
      <c r="AR96">
        <v>415.80226666666698</v>
      </c>
      <c r="AS96">
        <v>415.79553333333303</v>
      </c>
      <c r="AT96">
        <v>1.4158426666666699</v>
      </c>
      <c r="AU96">
        <v>409.99866666666702</v>
      </c>
      <c r="AV96">
        <v>13.94168</v>
      </c>
      <c r="AW96">
        <v>1.5393126666666701</v>
      </c>
      <c r="AX96">
        <v>1.3973993333333301</v>
      </c>
      <c r="AY96">
        <v>13.36434</v>
      </c>
      <c r="AZ96">
        <v>11.88944</v>
      </c>
      <c r="BA96">
        <v>99.999939999999995</v>
      </c>
      <c r="BB96">
        <v>0.89992713333333296</v>
      </c>
      <c r="BC96">
        <v>0</v>
      </c>
      <c r="BD96">
        <v>0.100072866666667</v>
      </c>
      <c r="BE96">
        <v>0</v>
      </c>
      <c r="BF96">
        <v>24</v>
      </c>
      <c r="BG96">
        <v>1648.8420000000001</v>
      </c>
      <c r="BH96">
        <v>1769201629.0999999</v>
      </c>
      <c r="BI96" t="s">
        <v>420</v>
      </c>
      <c r="BJ96">
        <v>1769201629.0999999</v>
      </c>
      <c r="BK96">
        <v>1769201627.0999999</v>
      </c>
      <c r="BL96">
        <v>15</v>
      </c>
      <c r="BM96">
        <v>2.5000000000000001E-2</v>
      </c>
      <c r="BN96">
        <v>3.5999999999999997E-2</v>
      </c>
      <c r="BO96">
        <v>-0.77900000000000003</v>
      </c>
      <c r="BP96">
        <v>0.122</v>
      </c>
      <c r="BQ96">
        <v>410</v>
      </c>
      <c r="BR96">
        <v>15</v>
      </c>
      <c r="BS96">
        <v>0.28999999999999998</v>
      </c>
      <c r="BT96">
        <v>0.1</v>
      </c>
      <c r="BU96">
        <v>-0.58848795238095297</v>
      </c>
      <c r="BV96">
        <v>0.123232831168832</v>
      </c>
      <c r="BW96">
        <v>2.1305231283545199E-2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1.4126804761904801</v>
      </c>
      <c r="CD96">
        <v>7.8066233766235005E-2</v>
      </c>
      <c r="CE96">
        <v>8.3714017010241195E-3</v>
      </c>
      <c r="CF96">
        <v>1</v>
      </c>
      <c r="CG96">
        <v>2</v>
      </c>
      <c r="CH96">
        <v>2</v>
      </c>
      <c r="CI96" t="s">
        <v>297</v>
      </c>
      <c r="CJ96">
        <v>3.53254</v>
      </c>
      <c r="CK96">
        <v>2.7018499999999999</v>
      </c>
      <c r="CL96">
        <v>9.7968399999999997E-2</v>
      </c>
      <c r="CM96">
        <v>9.6716999999999997E-2</v>
      </c>
      <c r="CN96">
        <v>8.6890499999999996E-2</v>
      </c>
      <c r="CO96">
        <v>8.0102400000000004E-2</v>
      </c>
      <c r="CP96">
        <v>31631.3</v>
      </c>
      <c r="CQ96">
        <v>27836.2</v>
      </c>
      <c r="CR96">
        <v>32455.599999999999</v>
      </c>
      <c r="CS96">
        <v>30743.8</v>
      </c>
      <c r="CT96">
        <v>40135.800000000003</v>
      </c>
      <c r="CU96">
        <v>39780.199999999997</v>
      </c>
      <c r="CV96">
        <v>47406.5</v>
      </c>
      <c r="CW96">
        <v>46894.9</v>
      </c>
      <c r="CX96">
        <v>2.6231</v>
      </c>
      <c r="CY96">
        <v>2.1219800000000002</v>
      </c>
      <c r="CZ96">
        <v>0</v>
      </c>
      <c r="DA96">
        <v>0</v>
      </c>
      <c r="DB96">
        <v>999.9</v>
      </c>
      <c r="DC96">
        <v>999.9</v>
      </c>
      <c r="DD96">
        <v>45.140999999999998</v>
      </c>
      <c r="DE96">
        <v>28.710999999999999</v>
      </c>
      <c r="DF96">
        <v>17.8123</v>
      </c>
      <c r="DG96">
        <v>30.1599</v>
      </c>
      <c r="DH96">
        <v>16.450299999999999</v>
      </c>
      <c r="DI96">
        <v>2</v>
      </c>
      <c r="DJ96">
        <v>-0.117059</v>
      </c>
      <c r="DK96">
        <v>2.06718</v>
      </c>
      <c r="DL96">
        <v>20.232600000000001</v>
      </c>
      <c r="DM96">
        <v>5.2497600000000002</v>
      </c>
      <c r="DN96">
        <v>12.033899999999999</v>
      </c>
      <c r="DO96">
        <v>4.9668400000000004</v>
      </c>
      <c r="DP96">
        <v>3.2909999999999999</v>
      </c>
      <c r="DQ96">
        <v>538</v>
      </c>
      <c r="DR96">
        <v>9999</v>
      </c>
      <c r="DS96">
        <v>9999</v>
      </c>
      <c r="DT96">
        <v>9999</v>
      </c>
      <c r="DU96">
        <v>1.8710599999999999</v>
      </c>
      <c r="DV96">
        <v>1.8760699999999999</v>
      </c>
      <c r="DW96">
        <v>1.8762700000000001</v>
      </c>
      <c r="DX96">
        <v>1.8827799999999999</v>
      </c>
      <c r="DY96">
        <v>1.87558</v>
      </c>
      <c r="DZ96">
        <v>1.8746400000000001</v>
      </c>
      <c r="EA96">
        <v>1.87079</v>
      </c>
      <c r="EB96">
        <v>1.8745799999999999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-0.77900000000000003</v>
      </c>
      <c r="EQ96">
        <v>0.1217</v>
      </c>
      <c r="ER96">
        <v>-0.77899999999999603</v>
      </c>
      <c r="ES96">
        <v>0</v>
      </c>
      <c r="ET96">
        <v>0</v>
      </c>
      <c r="EU96">
        <v>0</v>
      </c>
      <c r="EV96">
        <v>0.121739999999999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4.5</v>
      </c>
      <c r="FE96">
        <v>4.5999999999999996</v>
      </c>
      <c r="FF96">
        <v>1.24512</v>
      </c>
      <c r="FG96">
        <v>2.6025399999999999</v>
      </c>
      <c r="FH96">
        <v>2.19604</v>
      </c>
      <c r="FI96">
        <v>2.66113</v>
      </c>
      <c r="FJ96">
        <v>2.4462899999999999</v>
      </c>
      <c r="FK96">
        <v>2.3083499999999999</v>
      </c>
      <c r="FL96">
        <v>32.909199999999998</v>
      </c>
      <c r="FM96">
        <v>24.157499999999999</v>
      </c>
      <c r="FN96">
        <v>19</v>
      </c>
      <c r="FO96">
        <v>865.37800000000004</v>
      </c>
      <c r="FP96">
        <v>570.01400000000001</v>
      </c>
      <c r="FQ96">
        <v>18.372199999999999</v>
      </c>
      <c r="FR96">
        <v>25.5031</v>
      </c>
      <c r="FS96">
        <v>30.0001</v>
      </c>
      <c r="FT96">
        <v>25.4892</v>
      </c>
      <c r="FU96">
        <v>25.4922</v>
      </c>
      <c r="FV96">
        <v>24.9816</v>
      </c>
      <c r="FW96">
        <v>24.372199999999999</v>
      </c>
      <c r="FX96">
        <v>8.0708300000000008</v>
      </c>
      <c r="FY96">
        <v>18.373100000000001</v>
      </c>
      <c r="FZ96">
        <v>410</v>
      </c>
      <c r="GA96">
        <v>14.0082</v>
      </c>
      <c r="GB96">
        <v>99.885599999999997</v>
      </c>
      <c r="GC96">
        <v>99.821200000000005</v>
      </c>
    </row>
    <row r="97" spans="1:185" x14ac:dyDescent="0.2">
      <c r="A97">
        <v>82</v>
      </c>
      <c r="B97">
        <v>1769202011.0999999</v>
      </c>
      <c r="C97">
        <v>1740.0999999046301</v>
      </c>
      <c r="D97" t="s">
        <v>459</v>
      </c>
      <c r="E97" t="s">
        <v>460</v>
      </c>
      <c r="F97">
        <v>15</v>
      </c>
      <c r="G97">
        <v>1769202003.0999999</v>
      </c>
      <c r="H97">
        <f t="shared" si="25"/>
        <v>-3.773504656568902E-4</v>
      </c>
      <c r="I97">
        <v>0</v>
      </c>
      <c r="J97">
        <f t="shared" si="37"/>
        <v>-0.18876465173745174</v>
      </c>
      <c r="K97">
        <f t="shared" si="26"/>
        <v>-4.8660837838164834</v>
      </c>
      <c r="L97">
        <f t="shared" si="27"/>
        <v>71.216684646977257</v>
      </c>
      <c r="M97">
        <f t="shared" si="28"/>
        <v>1.5670316334968348</v>
      </c>
      <c r="N97">
        <f t="shared" si="29"/>
        <v>2.2003715017971515</v>
      </c>
      <c r="O97">
        <v>0</v>
      </c>
      <c r="P97">
        <v>0</v>
      </c>
      <c r="Q97">
        <f t="shared" si="30"/>
        <v>1</v>
      </c>
      <c r="R97">
        <f t="shared" si="31"/>
        <v>0</v>
      </c>
      <c r="S97">
        <f t="shared" si="32"/>
        <v>26264.763250018299</v>
      </c>
      <c r="T97">
        <f t="shared" si="33"/>
        <v>299.99779999999998</v>
      </c>
      <c r="U97">
        <f t="shared" si="34"/>
        <v>252.89799072113422</v>
      </c>
      <c r="V97">
        <f t="shared" si="35"/>
        <v>0.84299948439999972</v>
      </c>
      <c r="W97">
        <f t="shared" si="36"/>
        <v>0.15869899682399993</v>
      </c>
      <c r="X97">
        <v>1</v>
      </c>
      <c r="Y97">
        <v>1769202003.0999999</v>
      </c>
      <c r="Z97">
        <v>416.27853333333297</v>
      </c>
      <c r="AA97">
        <v>409.99946666666699</v>
      </c>
      <c r="AB97">
        <v>15.6235133333333</v>
      </c>
      <c r="AC97">
        <v>16.08784</v>
      </c>
      <c r="AD97">
        <v>417.05746666666698</v>
      </c>
      <c r="AE97">
        <v>15.501773333333301</v>
      </c>
      <c r="AF97">
        <v>799.98620000000005</v>
      </c>
      <c r="AG97">
        <v>100.236066666667</v>
      </c>
      <c r="AH97">
        <v>6.35010466666667E-2</v>
      </c>
      <c r="AI97">
        <v>18.965019999999999</v>
      </c>
      <c r="AJ97">
        <v>999.9</v>
      </c>
      <c r="AK97">
        <v>999.9</v>
      </c>
      <c r="AL97">
        <v>0</v>
      </c>
      <c r="AM97">
        <v>0</v>
      </c>
      <c r="AN97">
        <v>4996.3</v>
      </c>
      <c r="AO97">
        <v>0</v>
      </c>
      <c r="AP97">
        <v>1.5519673333333299</v>
      </c>
      <c r="AQ97">
        <v>6.2789693333333298</v>
      </c>
      <c r="AR97">
        <v>422.88466666666699</v>
      </c>
      <c r="AS97">
        <v>416.70339999999999</v>
      </c>
      <c r="AT97">
        <v>-0.46432573333333299</v>
      </c>
      <c r="AU97">
        <v>409.99946666666699</v>
      </c>
      <c r="AV97">
        <v>16.08784</v>
      </c>
      <c r="AW97">
        <v>1.566038</v>
      </c>
      <c r="AX97">
        <v>1.6125799999999999</v>
      </c>
      <c r="AY97">
        <v>13.62566</v>
      </c>
      <c r="AZ97">
        <v>14.079219999999999</v>
      </c>
      <c r="BA97">
        <v>299.99779999999998</v>
      </c>
      <c r="BB97">
        <v>0.90001293333333299</v>
      </c>
      <c r="BC97">
        <v>0</v>
      </c>
      <c r="BD97">
        <v>9.9986920000000007E-2</v>
      </c>
      <c r="BE97">
        <v>0</v>
      </c>
      <c r="BF97">
        <v>24</v>
      </c>
      <c r="BG97">
        <v>4946.62</v>
      </c>
      <c r="BH97">
        <v>1769201629.0999999</v>
      </c>
      <c r="BI97" t="s">
        <v>420</v>
      </c>
      <c r="BJ97">
        <v>1769201629.0999999</v>
      </c>
      <c r="BK97">
        <v>1769201627.0999999</v>
      </c>
      <c r="BL97">
        <v>15</v>
      </c>
      <c r="BM97">
        <v>2.5000000000000001E-2</v>
      </c>
      <c r="BN97">
        <v>3.5999999999999997E-2</v>
      </c>
      <c r="BO97">
        <v>-0.77900000000000003</v>
      </c>
      <c r="BP97">
        <v>0.122</v>
      </c>
      <c r="BQ97">
        <v>410</v>
      </c>
      <c r="BR97">
        <v>15</v>
      </c>
      <c r="BS97">
        <v>0.28999999999999998</v>
      </c>
      <c r="BT97">
        <v>0.1</v>
      </c>
      <c r="BU97">
        <v>8.8559345</v>
      </c>
      <c r="BV97">
        <v>-42.981031127819499</v>
      </c>
      <c r="BW97">
        <v>4.2028076938928303</v>
      </c>
      <c r="BX97">
        <v>0</v>
      </c>
      <c r="BY97">
        <v>0</v>
      </c>
      <c r="BZ97">
        <v>0</v>
      </c>
      <c r="CA97">
        <v>0</v>
      </c>
      <c r="CB97">
        <v>-1</v>
      </c>
      <c r="CC97">
        <v>-0.79194830000000005</v>
      </c>
      <c r="CD97">
        <v>5.7081574015037599</v>
      </c>
      <c r="CE97">
        <v>0.55036836785408905</v>
      </c>
      <c r="CF97">
        <v>0</v>
      </c>
      <c r="CG97">
        <v>0</v>
      </c>
      <c r="CH97">
        <v>2</v>
      </c>
      <c r="CI97" t="s">
        <v>290</v>
      </c>
      <c r="CJ97">
        <v>3.5325000000000002</v>
      </c>
      <c r="CK97">
        <v>2.7010900000000002</v>
      </c>
      <c r="CL97">
        <v>9.8618999999999998E-2</v>
      </c>
      <c r="CM97">
        <v>9.6758899999999995E-2</v>
      </c>
      <c r="CN97">
        <v>8.9996099999999996E-2</v>
      </c>
      <c r="CO97">
        <v>8.7864800000000007E-2</v>
      </c>
      <c r="CP97">
        <v>31607.200000000001</v>
      </c>
      <c r="CQ97">
        <v>27833.9</v>
      </c>
      <c r="CR97">
        <v>32454.3</v>
      </c>
      <c r="CS97">
        <v>30742.7</v>
      </c>
      <c r="CT97">
        <v>39993.800000000003</v>
      </c>
      <c r="CU97">
        <v>39433.5</v>
      </c>
      <c r="CV97">
        <v>47405</v>
      </c>
      <c r="CW97">
        <v>46893.4</v>
      </c>
      <c r="CX97">
        <v>2.6210800000000001</v>
      </c>
      <c r="CY97">
        <v>2.1251000000000002</v>
      </c>
      <c r="CZ97">
        <v>0</v>
      </c>
      <c r="DA97">
        <v>0</v>
      </c>
      <c r="DB97">
        <v>999.9</v>
      </c>
      <c r="DC97">
        <v>999.9</v>
      </c>
      <c r="DD97">
        <v>45.616999999999997</v>
      </c>
      <c r="DE97">
        <v>28.742000000000001</v>
      </c>
      <c r="DF97">
        <v>18.031199999999998</v>
      </c>
      <c r="DG97">
        <v>29.9999</v>
      </c>
      <c r="DH97">
        <v>16.426300000000001</v>
      </c>
      <c r="DI97">
        <v>2</v>
      </c>
      <c r="DJ97">
        <v>-0.113746</v>
      </c>
      <c r="DK97">
        <v>2.3171400000000002</v>
      </c>
      <c r="DL97">
        <v>20.221599999999999</v>
      </c>
      <c r="DM97">
        <v>5.2465200000000003</v>
      </c>
      <c r="DN97">
        <v>12.033899999999999</v>
      </c>
      <c r="DO97">
        <v>4.9661999999999997</v>
      </c>
      <c r="DP97">
        <v>3.2906</v>
      </c>
      <c r="DQ97">
        <v>538.1</v>
      </c>
      <c r="DR97">
        <v>9999</v>
      </c>
      <c r="DS97">
        <v>9999</v>
      </c>
      <c r="DT97">
        <v>9999</v>
      </c>
      <c r="DU97">
        <v>1.8711100000000001</v>
      </c>
      <c r="DV97">
        <v>1.8760699999999999</v>
      </c>
      <c r="DW97">
        <v>1.8762700000000001</v>
      </c>
      <c r="DX97">
        <v>1.8827799999999999</v>
      </c>
      <c r="DY97">
        <v>1.87558</v>
      </c>
      <c r="DZ97">
        <v>1.87466</v>
      </c>
      <c r="EA97">
        <v>1.8708</v>
      </c>
      <c r="EB97">
        <v>1.87462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-0.77900000000000003</v>
      </c>
      <c r="EQ97">
        <v>0.1217</v>
      </c>
      <c r="ER97">
        <v>-0.77899999999999603</v>
      </c>
      <c r="ES97">
        <v>0</v>
      </c>
      <c r="ET97">
        <v>0</v>
      </c>
      <c r="EU97">
        <v>0</v>
      </c>
      <c r="EV97">
        <v>0.121739999999999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6.4</v>
      </c>
      <c r="FE97">
        <v>6.4</v>
      </c>
      <c r="FF97">
        <v>1.24634</v>
      </c>
      <c r="FG97">
        <v>2.6061999999999999</v>
      </c>
      <c r="FH97">
        <v>2.19604</v>
      </c>
      <c r="FI97">
        <v>2.65991</v>
      </c>
      <c r="FJ97">
        <v>2.4462899999999999</v>
      </c>
      <c r="FK97">
        <v>2.3120099999999999</v>
      </c>
      <c r="FL97">
        <v>32.909199999999998</v>
      </c>
      <c r="FM97">
        <v>24.148800000000001</v>
      </c>
      <c r="FN97">
        <v>19</v>
      </c>
      <c r="FO97">
        <v>864.08600000000001</v>
      </c>
      <c r="FP97">
        <v>572.74800000000005</v>
      </c>
      <c r="FQ97">
        <v>17.7135</v>
      </c>
      <c r="FR97">
        <v>25.5397</v>
      </c>
      <c r="FS97">
        <v>29.998899999999999</v>
      </c>
      <c r="FT97">
        <v>25.525600000000001</v>
      </c>
      <c r="FU97">
        <v>25.524699999999999</v>
      </c>
      <c r="FV97">
        <v>25.015000000000001</v>
      </c>
      <c r="FW97">
        <v>17.373000000000001</v>
      </c>
      <c r="FX97">
        <v>12.139900000000001</v>
      </c>
      <c r="FY97">
        <v>17.769600000000001</v>
      </c>
      <c r="FZ97">
        <v>410</v>
      </c>
      <c r="GA97">
        <v>15.2912</v>
      </c>
      <c r="GB97">
        <v>99.882099999999994</v>
      </c>
      <c r="GC97">
        <v>99.817700000000002</v>
      </c>
    </row>
    <row r="98" spans="1:185" x14ac:dyDescent="0.2">
      <c r="A98">
        <v>83</v>
      </c>
      <c r="B98">
        <v>1769202026.0999999</v>
      </c>
      <c r="C98">
        <v>1755.0999999046301</v>
      </c>
      <c r="D98" t="s">
        <v>461</v>
      </c>
      <c r="E98" t="s">
        <v>462</v>
      </c>
      <c r="F98">
        <v>15</v>
      </c>
      <c r="G98">
        <v>1769202018.03333</v>
      </c>
      <c r="H98">
        <f t="shared" si="25"/>
        <v>6.0489947445122841E-4</v>
      </c>
      <c r="I98">
        <v>0</v>
      </c>
      <c r="J98">
        <f t="shared" si="37"/>
        <v>-5.9140604880565363E-2</v>
      </c>
      <c r="K98">
        <f t="shared" si="26"/>
        <v>-1.5245605346423006</v>
      </c>
      <c r="L98">
        <f t="shared" si="27"/>
        <v>73.906020161369511</v>
      </c>
      <c r="M98">
        <f t="shared" si="28"/>
        <v>1.6209563789470576</v>
      </c>
      <c r="N98">
        <f t="shared" si="29"/>
        <v>2.1932670375265686</v>
      </c>
      <c r="O98">
        <v>0</v>
      </c>
      <c r="P98">
        <v>0</v>
      </c>
      <c r="Q98">
        <f t="shared" si="30"/>
        <v>1</v>
      </c>
      <c r="R98">
        <f t="shared" si="31"/>
        <v>0</v>
      </c>
      <c r="S98">
        <f t="shared" si="32"/>
        <v>26323.316077033676</v>
      </c>
      <c r="T98">
        <f t="shared" si="33"/>
        <v>299.99946666666699</v>
      </c>
      <c r="U98">
        <f t="shared" si="34"/>
        <v>252.89938138030064</v>
      </c>
      <c r="V98">
        <f t="shared" si="35"/>
        <v>0.84299943659999965</v>
      </c>
      <c r="W98">
        <f t="shared" si="36"/>
        <v>0.15869850055599993</v>
      </c>
      <c r="X98">
        <v>1</v>
      </c>
      <c r="Y98">
        <v>1769202018.03333</v>
      </c>
      <c r="Z98">
        <v>411.8186</v>
      </c>
      <c r="AA98">
        <v>410.22426666666701</v>
      </c>
      <c r="AB98">
        <v>16.1610333333333</v>
      </c>
      <c r="AC98">
        <v>15.417120000000001</v>
      </c>
      <c r="AD98">
        <v>412.5976</v>
      </c>
      <c r="AE98">
        <v>16.0393133333333</v>
      </c>
      <c r="AF98">
        <v>799.99059999999997</v>
      </c>
      <c r="AG98">
        <v>100.2368</v>
      </c>
      <c r="AH98">
        <v>6.3493026666666702E-2</v>
      </c>
      <c r="AI98">
        <v>18.913219999999999</v>
      </c>
      <c r="AJ98">
        <v>999.9</v>
      </c>
      <c r="AK98">
        <v>999.9</v>
      </c>
      <c r="AL98">
        <v>0</v>
      </c>
      <c r="AM98">
        <v>0</v>
      </c>
      <c r="AN98">
        <v>5005.1333333333296</v>
      </c>
      <c r="AO98">
        <v>0</v>
      </c>
      <c r="AP98">
        <v>1.58087</v>
      </c>
      <c r="AQ98">
        <v>1.59429166666667</v>
      </c>
      <c r="AR98">
        <v>418.58319999999998</v>
      </c>
      <c r="AS98">
        <v>416.64786666666703</v>
      </c>
      <c r="AT98">
        <v>0.74392259999999999</v>
      </c>
      <c r="AU98">
        <v>410.22426666666701</v>
      </c>
      <c r="AV98">
        <v>15.417120000000001</v>
      </c>
      <c r="AW98">
        <v>1.61992933333333</v>
      </c>
      <c r="AX98">
        <v>1.5453619999999999</v>
      </c>
      <c r="AY98">
        <v>14.149660000000001</v>
      </c>
      <c r="AZ98">
        <v>13.4230133333333</v>
      </c>
      <c r="BA98">
        <v>299.99946666666699</v>
      </c>
      <c r="BB98">
        <v>0.90002013333333297</v>
      </c>
      <c r="BC98">
        <v>0</v>
      </c>
      <c r="BD98">
        <v>9.9979913333333295E-2</v>
      </c>
      <c r="BE98">
        <v>0</v>
      </c>
      <c r="BF98">
        <v>24</v>
      </c>
      <c r="BG98">
        <v>4946.6586666666699</v>
      </c>
      <c r="BH98">
        <v>1769201629.0999999</v>
      </c>
      <c r="BI98" t="s">
        <v>420</v>
      </c>
      <c r="BJ98">
        <v>1769201629.0999999</v>
      </c>
      <c r="BK98">
        <v>1769201627.0999999</v>
      </c>
      <c r="BL98">
        <v>15</v>
      </c>
      <c r="BM98">
        <v>2.5000000000000001E-2</v>
      </c>
      <c r="BN98">
        <v>3.5999999999999997E-2</v>
      </c>
      <c r="BO98">
        <v>-0.77900000000000003</v>
      </c>
      <c r="BP98">
        <v>0.122</v>
      </c>
      <c r="BQ98">
        <v>410</v>
      </c>
      <c r="BR98">
        <v>15</v>
      </c>
      <c r="BS98">
        <v>0.28999999999999998</v>
      </c>
      <c r="BT98">
        <v>0.1</v>
      </c>
      <c r="BU98">
        <v>2.1241292500000002</v>
      </c>
      <c r="BV98">
        <v>-11.528495233082699</v>
      </c>
      <c r="BW98">
        <v>1.13471453847322</v>
      </c>
      <c r="BX98">
        <v>0</v>
      </c>
      <c r="BY98">
        <v>0</v>
      </c>
      <c r="BZ98">
        <v>0</v>
      </c>
      <c r="CA98">
        <v>0</v>
      </c>
      <c r="CB98">
        <v>-1</v>
      </c>
      <c r="CC98">
        <v>0.56628480000000003</v>
      </c>
      <c r="CD98">
        <v>4.0558725293233104</v>
      </c>
      <c r="CE98">
        <v>0.39290448447405601</v>
      </c>
      <c r="CF98">
        <v>0</v>
      </c>
      <c r="CG98">
        <v>0</v>
      </c>
      <c r="CH98">
        <v>2</v>
      </c>
      <c r="CI98" t="s">
        <v>290</v>
      </c>
      <c r="CJ98">
        <v>3.5325099999999998</v>
      </c>
      <c r="CK98">
        <v>2.7014200000000002</v>
      </c>
      <c r="CL98">
        <v>9.8216200000000004E-2</v>
      </c>
      <c r="CM98">
        <v>9.6753199999999998E-2</v>
      </c>
      <c r="CN98">
        <v>9.0418200000000004E-2</v>
      </c>
      <c r="CO98">
        <v>8.4725999999999996E-2</v>
      </c>
      <c r="CP98">
        <v>31620.9</v>
      </c>
      <c r="CQ98">
        <v>27833.599999999999</v>
      </c>
      <c r="CR98">
        <v>32454</v>
      </c>
      <c r="CS98">
        <v>30742.2</v>
      </c>
      <c r="CT98">
        <v>39974.1</v>
      </c>
      <c r="CU98">
        <v>39572.9</v>
      </c>
      <c r="CV98">
        <v>47404.4</v>
      </c>
      <c r="CW98">
        <v>46892.9</v>
      </c>
      <c r="CX98">
        <v>2.6219000000000001</v>
      </c>
      <c r="CY98">
        <v>2.1236199999999998</v>
      </c>
      <c r="CZ98">
        <v>0</v>
      </c>
      <c r="DA98">
        <v>0</v>
      </c>
      <c r="DB98">
        <v>999.9</v>
      </c>
      <c r="DC98">
        <v>999.9</v>
      </c>
      <c r="DD98">
        <v>45.642000000000003</v>
      </c>
      <c r="DE98">
        <v>28.742000000000001</v>
      </c>
      <c r="DF98">
        <v>18.041799999999999</v>
      </c>
      <c r="DG98">
        <v>30.239899999999999</v>
      </c>
      <c r="DH98">
        <v>16.406199999999998</v>
      </c>
      <c r="DI98">
        <v>2</v>
      </c>
      <c r="DJ98">
        <v>-0.11329699999999999</v>
      </c>
      <c r="DK98">
        <v>2.2018</v>
      </c>
      <c r="DL98">
        <v>20.2242</v>
      </c>
      <c r="DM98">
        <v>5.2486800000000002</v>
      </c>
      <c r="DN98">
        <v>12.033899999999999</v>
      </c>
      <c r="DO98">
        <v>4.9665999999999997</v>
      </c>
      <c r="DP98">
        <v>3.2909999999999999</v>
      </c>
      <c r="DQ98">
        <v>538.1</v>
      </c>
      <c r="DR98">
        <v>9999</v>
      </c>
      <c r="DS98">
        <v>9999</v>
      </c>
      <c r="DT98">
        <v>9999</v>
      </c>
      <c r="DU98">
        <v>1.87114</v>
      </c>
      <c r="DV98">
        <v>1.87608</v>
      </c>
      <c r="DW98">
        <v>1.8763099999999999</v>
      </c>
      <c r="DX98">
        <v>1.88279</v>
      </c>
      <c r="DY98">
        <v>1.8755999999999999</v>
      </c>
      <c r="DZ98">
        <v>1.8746700000000001</v>
      </c>
      <c r="EA98">
        <v>1.8708400000000001</v>
      </c>
      <c r="EB98">
        <v>1.8746499999999999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-0.77900000000000003</v>
      </c>
      <c r="EQ98">
        <v>0.1217</v>
      </c>
      <c r="ER98">
        <v>-0.77899999999999603</v>
      </c>
      <c r="ES98">
        <v>0</v>
      </c>
      <c r="ET98">
        <v>0</v>
      </c>
      <c r="EU98">
        <v>0</v>
      </c>
      <c r="EV98">
        <v>0.121739999999999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6.6</v>
      </c>
      <c r="FE98">
        <v>6.7</v>
      </c>
      <c r="FF98">
        <v>1.2439</v>
      </c>
      <c r="FG98">
        <v>2.6086399999999998</v>
      </c>
      <c r="FH98">
        <v>2.19604</v>
      </c>
      <c r="FI98">
        <v>2.65991</v>
      </c>
      <c r="FJ98">
        <v>2.4462899999999999</v>
      </c>
      <c r="FK98">
        <v>2.2558600000000002</v>
      </c>
      <c r="FL98">
        <v>32.9315</v>
      </c>
      <c r="FM98">
        <v>24.14</v>
      </c>
      <c r="FN98">
        <v>19</v>
      </c>
      <c r="FO98">
        <v>864.92399999999998</v>
      </c>
      <c r="FP98">
        <v>571.68100000000004</v>
      </c>
      <c r="FQ98">
        <v>17.902999999999999</v>
      </c>
      <c r="FR98">
        <v>25.547899999999998</v>
      </c>
      <c r="FS98">
        <v>30.0002</v>
      </c>
      <c r="FT98">
        <v>25.5304</v>
      </c>
      <c r="FU98">
        <v>25.530200000000001</v>
      </c>
      <c r="FV98">
        <v>24.988</v>
      </c>
      <c r="FW98">
        <v>21.204799999999999</v>
      </c>
      <c r="FX98">
        <v>12.139900000000001</v>
      </c>
      <c r="FY98">
        <v>17.9434</v>
      </c>
      <c r="FZ98">
        <v>410</v>
      </c>
      <c r="GA98">
        <v>14.6942</v>
      </c>
      <c r="GB98">
        <v>99.880899999999997</v>
      </c>
      <c r="GC98">
        <v>99.816500000000005</v>
      </c>
    </row>
    <row r="99" spans="1:185" x14ac:dyDescent="0.2">
      <c r="A99">
        <v>84</v>
      </c>
      <c r="B99">
        <v>1769202041.0999999</v>
      </c>
      <c r="C99">
        <v>1770.0999999046301</v>
      </c>
      <c r="D99" t="s">
        <v>463</v>
      </c>
      <c r="E99" t="s">
        <v>464</v>
      </c>
      <c r="F99">
        <v>15</v>
      </c>
      <c r="G99">
        <v>1769202033.03333</v>
      </c>
      <c r="H99">
        <f t="shared" si="25"/>
        <v>1.0953003567201914E-3</v>
      </c>
      <c r="I99">
        <v>0</v>
      </c>
      <c r="J99">
        <f t="shared" si="37"/>
        <v>-2.6229839864075007E-2</v>
      </c>
      <c r="K99">
        <f t="shared" si="26"/>
        <v>-0.67616790135160076</v>
      </c>
      <c r="L99">
        <f t="shared" si="27"/>
        <v>73.760026238480719</v>
      </c>
      <c r="M99">
        <f t="shared" si="28"/>
        <v>1.6157707059635444</v>
      </c>
      <c r="N99">
        <f t="shared" si="29"/>
        <v>2.1905777266665267</v>
      </c>
      <c r="O99">
        <v>0</v>
      </c>
      <c r="P99">
        <v>0</v>
      </c>
      <c r="Q99">
        <f t="shared" si="30"/>
        <v>1</v>
      </c>
      <c r="R99">
        <f t="shared" si="31"/>
        <v>0</v>
      </c>
      <c r="S99">
        <f t="shared" si="32"/>
        <v>26216.451348511684</v>
      </c>
      <c r="T99">
        <f t="shared" si="33"/>
        <v>299.99973333333298</v>
      </c>
      <c r="U99">
        <f t="shared" si="34"/>
        <v>252.89956952018269</v>
      </c>
      <c r="V99">
        <f t="shared" si="35"/>
        <v>0.84299931440000053</v>
      </c>
      <c r="W99">
        <f t="shared" si="36"/>
        <v>0.15869844190400009</v>
      </c>
      <c r="X99">
        <v>1</v>
      </c>
      <c r="Y99">
        <v>1769202033.03333</v>
      </c>
      <c r="Z99">
        <v>410.34466666666702</v>
      </c>
      <c r="AA99">
        <v>410.061266666667</v>
      </c>
      <c r="AB99">
        <v>16.1089466666667</v>
      </c>
      <c r="AC99">
        <v>14.76186</v>
      </c>
      <c r="AD99">
        <v>411.12366666666702</v>
      </c>
      <c r="AE99">
        <v>15.987206666666699</v>
      </c>
      <c r="AF99">
        <v>799.99026666666703</v>
      </c>
      <c r="AG99">
        <v>100.239133333333</v>
      </c>
      <c r="AH99">
        <v>6.3558046666666701E-2</v>
      </c>
      <c r="AI99">
        <v>18.8935733333333</v>
      </c>
      <c r="AJ99">
        <v>999.9</v>
      </c>
      <c r="AK99">
        <v>999.9</v>
      </c>
      <c r="AL99">
        <v>0</v>
      </c>
      <c r="AM99">
        <v>0</v>
      </c>
      <c r="AN99">
        <v>4987.1666666666697</v>
      </c>
      <c r="AO99">
        <v>0</v>
      </c>
      <c r="AP99">
        <v>1.58087</v>
      </c>
      <c r="AQ99">
        <v>0.283394481933333</v>
      </c>
      <c r="AR99">
        <v>417.06286666666699</v>
      </c>
      <c r="AS99">
        <v>416.20513333333298</v>
      </c>
      <c r="AT99">
        <v>1.347094</v>
      </c>
      <c r="AU99">
        <v>410.061266666667</v>
      </c>
      <c r="AV99">
        <v>14.76186</v>
      </c>
      <c r="AW99">
        <v>1.6147466666666701</v>
      </c>
      <c r="AX99">
        <v>1.479714</v>
      </c>
      <c r="AY99">
        <v>14.1001866666667</v>
      </c>
      <c r="AZ99">
        <v>12.7593333333333</v>
      </c>
      <c r="BA99">
        <v>299.99973333333298</v>
      </c>
      <c r="BB99">
        <v>0.90002053333333398</v>
      </c>
      <c r="BC99">
        <v>0</v>
      </c>
      <c r="BD99">
        <v>9.9979386666666697E-2</v>
      </c>
      <c r="BE99">
        <v>0</v>
      </c>
      <c r="BF99">
        <v>24</v>
      </c>
      <c r="BG99">
        <v>4946.6633333333302</v>
      </c>
      <c r="BH99">
        <v>1769201629.0999999</v>
      </c>
      <c r="BI99" t="s">
        <v>420</v>
      </c>
      <c r="BJ99">
        <v>1769201629.0999999</v>
      </c>
      <c r="BK99">
        <v>1769201627.0999999</v>
      </c>
      <c r="BL99">
        <v>15</v>
      </c>
      <c r="BM99">
        <v>2.5000000000000001E-2</v>
      </c>
      <c r="BN99">
        <v>3.5999999999999997E-2</v>
      </c>
      <c r="BO99">
        <v>-0.77900000000000003</v>
      </c>
      <c r="BP99">
        <v>0.122</v>
      </c>
      <c r="BQ99">
        <v>410</v>
      </c>
      <c r="BR99">
        <v>15</v>
      </c>
      <c r="BS99">
        <v>0.28999999999999998</v>
      </c>
      <c r="BT99">
        <v>0.1</v>
      </c>
      <c r="BU99">
        <v>0.46581472519047601</v>
      </c>
      <c r="BV99">
        <v>-3.4205363562857101</v>
      </c>
      <c r="BW99">
        <v>0.35102018874366597</v>
      </c>
      <c r="BX99">
        <v>0</v>
      </c>
      <c r="BY99">
        <v>0</v>
      </c>
      <c r="BZ99">
        <v>0</v>
      </c>
      <c r="CA99">
        <v>0</v>
      </c>
      <c r="CB99">
        <v>-1</v>
      </c>
      <c r="CC99">
        <v>1.25231185714286</v>
      </c>
      <c r="CD99">
        <v>1.81110257142857</v>
      </c>
      <c r="CE99">
        <v>0.184586173308292</v>
      </c>
      <c r="CF99">
        <v>0</v>
      </c>
      <c r="CG99">
        <v>0</v>
      </c>
      <c r="CH99">
        <v>2</v>
      </c>
      <c r="CI99" t="s">
        <v>290</v>
      </c>
      <c r="CJ99">
        <v>3.53247</v>
      </c>
      <c r="CK99">
        <v>2.7012</v>
      </c>
      <c r="CL99">
        <v>9.8054600000000006E-2</v>
      </c>
      <c r="CM99">
        <v>9.67171E-2</v>
      </c>
      <c r="CN99">
        <v>8.9737899999999995E-2</v>
      </c>
      <c r="CO99">
        <v>8.2452899999999996E-2</v>
      </c>
      <c r="CP99">
        <v>31625.9</v>
      </c>
      <c r="CQ99">
        <v>27833.7</v>
      </c>
      <c r="CR99">
        <v>32453.4</v>
      </c>
      <c r="CS99">
        <v>30741.200000000001</v>
      </c>
      <c r="CT99">
        <v>40004.1</v>
      </c>
      <c r="CU99">
        <v>39673</v>
      </c>
      <c r="CV99">
        <v>47403.3</v>
      </c>
      <c r="CW99">
        <v>46891.7</v>
      </c>
      <c r="CX99">
        <v>2.6223999999999998</v>
      </c>
      <c r="CY99">
        <v>2.1223999999999998</v>
      </c>
      <c r="CZ99">
        <v>0</v>
      </c>
      <c r="DA99">
        <v>0</v>
      </c>
      <c r="DB99">
        <v>999.9</v>
      </c>
      <c r="DC99">
        <v>999.9</v>
      </c>
      <c r="DD99">
        <v>45.642000000000003</v>
      </c>
      <c r="DE99">
        <v>28.731999999999999</v>
      </c>
      <c r="DF99">
        <v>18.029</v>
      </c>
      <c r="DG99">
        <v>30.389900000000001</v>
      </c>
      <c r="DH99">
        <v>16.458300000000001</v>
      </c>
      <c r="DI99">
        <v>2</v>
      </c>
      <c r="DJ99">
        <v>-0.113453</v>
      </c>
      <c r="DK99">
        <v>1.9296</v>
      </c>
      <c r="DL99">
        <v>20.2271</v>
      </c>
      <c r="DM99">
        <v>5.2455600000000002</v>
      </c>
      <c r="DN99">
        <v>12.033899999999999</v>
      </c>
      <c r="DO99">
        <v>4.9661600000000004</v>
      </c>
      <c r="DP99">
        <v>3.2906200000000001</v>
      </c>
      <c r="DQ99">
        <v>538.1</v>
      </c>
      <c r="DR99">
        <v>9999</v>
      </c>
      <c r="DS99">
        <v>9999</v>
      </c>
      <c r="DT99">
        <v>9999</v>
      </c>
      <c r="DU99">
        <v>1.87114</v>
      </c>
      <c r="DV99">
        <v>1.87608</v>
      </c>
      <c r="DW99">
        <v>1.87632</v>
      </c>
      <c r="DX99">
        <v>1.88279</v>
      </c>
      <c r="DY99">
        <v>1.8755999999999999</v>
      </c>
      <c r="DZ99">
        <v>1.87466</v>
      </c>
      <c r="EA99">
        <v>1.87083</v>
      </c>
      <c r="EB99">
        <v>1.87462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-0.77900000000000003</v>
      </c>
      <c r="EQ99">
        <v>0.12180000000000001</v>
      </c>
      <c r="ER99">
        <v>-0.77899999999999603</v>
      </c>
      <c r="ES99">
        <v>0</v>
      </c>
      <c r="ET99">
        <v>0</v>
      </c>
      <c r="EU99">
        <v>0</v>
      </c>
      <c r="EV99">
        <v>0.121739999999999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6.9</v>
      </c>
      <c r="FE99">
        <v>6.9</v>
      </c>
      <c r="FF99">
        <v>1.24512</v>
      </c>
      <c r="FG99">
        <v>2.6000999999999999</v>
      </c>
      <c r="FH99">
        <v>2.19604</v>
      </c>
      <c r="FI99">
        <v>2.66113</v>
      </c>
      <c r="FJ99">
        <v>2.4462899999999999</v>
      </c>
      <c r="FK99">
        <v>2.3156699999999999</v>
      </c>
      <c r="FL99">
        <v>32.9315</v>
      </c>
      <c r="FM99">
        <v>24.148800000000001</v>
      </c>
      <c r="FN99">
        <v>19</v>
      </c>
      <c r="FO99">
        <v>865.46500000000003</v>
      </c>
      <c r="FP99">
        <v>570.80499999999995</v>
      </c>
      <c r="FQ99">
        <v>18.115100000000002</v>
      </c>
      <c r="FR99">
        <v>25.5565</v>
      </c>
      <c r="FS99">
        <v>30</v>
      </c>
      <c r="FT99">
        <v>25.5351</v>
      </c>
      <c r="FU99">
        <v>25.535</v>
      </c>
      <c r="FV99">
        <v>24.983499999999999</v>
      </c>
      <c r="FW99">
        <v>24.0443</v>
      </c>
      <c r="FX99">
        <v>11.7653</v>
      </c>
      <c r="FY99">
        <v>18.164400000000001</v>
      </c>
      <c r="FZ99">
        <v>410</v>
      </c>
      <c r="GA99">
        <v>14.2309</v>
      </c>
      <c r="GB99">
        <v>99.878799999999998</v>
      </c>
      <c r="GC99">
        <v>99.813699999999997</v>
      </c>
    </row>
    <row r="100" spans="1:185" x14ac:dyDescent="0.2">
      <c r="A100">
        <v>85</v>
      </c>
      <c r="B100">
        <v>1769202056.0999999</v>
      </c>
      <c r="C100">
        <v>1785.0999999046301</v>
      </c>
      <c r="D100" t="s">
        <v>465</v>
      </c>
      <c r="E100" t="s">
        <v>466</v>
      </c>
      <c r="F100">
        <v>15</v>
      </c>
      <c r="G100">
        <v>1769202048.03333</v>
      </c>
      <c r="H100">
        <f t="shared" si="25"/>
        <v>1.3125350557426853E-3</v>
      </c>
      <c r="I100">
        <v>0</v>
      </c>
      <c r="J100">
        <f t="shared" si="37"/>
        <v>-1.2046266284196703E-2</v>
      </c>
      <c r="K100">
        <f t="shared" si="26"/>
        <v>-0.31053558217348554</v>
      </c>
      <c r="L100">
        <f t="shared" si="27"/>
        <v>72.875850006855359</v>
      </c>
      <c r="M100">
        <f t="shared" si="28"/>
        <v>1.5969266443375307</v>
      </c>
      <c r="N100">
        <f t="shared" si="29"/>
        <v>2.1912974520191661</v>
      </c>
      <c r="O100">
        <v>0</v>
      </c>
      <c r="P100">
        <v>0</v>
      </c>
      <c r="Q100">
        <f t="shared" si="30"/>
        <v>1</v>
      </c>
      <c r="R100">
        <f t="shared" si="31"/>
        <v>0</v>
      </c>
      <c r="S100">
        <f t="shared" si="32"/>
        <v>26344.624982127661</v>
      </c>
      <c r="T100">
        <f t="shared" si="33"/>
        <v>299.99973333333298</v>
      </c>
      <c r="U100">
        <f t="shared" si="34"/>
        <v>252.89961656014077</v>
      </c>
      <c r="V100">
        <f t="shared" si="35"/>
        <v>0.84299947120000018</v>
      </c>
      <c r="W100">
        <f t="shared" si="36"/>
        <v>0.15869836619200003</v>
      </c>
      <c r="X100">
        <v>1</v>
      </c>
      <c r="Y100">
        <v>1769202048.03333</v>
      </c>
      <c r="Z100">
        <v>409.73379999999997</v>
      </c>
      <c r="AA100">
        <v>410.01786666666698</v>
      </c>
      <c r="AB100">
        <v>15.92112</v>
      </c>
      <c r="AC100">
        <v>14.30658</v>
      </c>
      <c r="AD100">
        <v>410.51280000000003</v>
      </c>
      <c r="AE100">
        <v>15.799379999999999</v>
      </c>
      <c r="AF100">
        <v>800.003733333333</v>
      </c>
      <c r="AG100">
        <v>100.23893333333299</v>
      </c>
      <c r="AH100">
        <v>6.3472799999999996E-2</v>
      </c>
      <c r="AI100">
        <v>18.8988333333333</v>
      </c>
      <c r="AJ100">
        <v>999.9</v>
      </c>
      <c r="AK100">
        <v>999.9</v>
      </c>
      <c r="AL100">
        <v>0</v>
      </c>
      <c r="AM100">
        <v>0</v>
      </c>
      <c r="AN100">
        <v>5008.3333333333303</v>
      </c>
      <c r="AO100">
        <v>0</v>
      </c>
      <c r="AP100">
        <v>1.58087</v>
      </c>
      <c r="AQ100">
        <v>-0.28404132666666698</v>
      </c>
      <c r="AR100">
        <v>416.36273333333298</v>
      </c>
      <c r="AS100">
        <v>415.968866666667</v>
      </c>
      <c r="AT100">
        <v>1.614536</v>
      </c>
      <c r="AU100">
        <v>410.01786666666698</v>
      </c>
      <c r="AV100">
        <v>14.30658</v>
      </c>
      <c r="AW100">
        <v>1.59591533333333</v>
      </c>
      <c r="AX100">
        <v>1.43407666666667</v>
      </c>
      <c r="AY100">
        <v>13.9193266666667</v>
      </c>
      <c r="AZ100">
        <v>12.28246</v>
      </c>
      <c r="BA100">
        <v>299.99973333333298</v>
      </c>
      <c r="BB100">
        <v>0.90002226666666696</v>
      </c>
      <c r="BC100">
        <v>0</v>
      </c>
      <c r="BD100">
        <v>9.9977893333333304E-2</v>
      </c>
      <c r="BE100">
        <v>0</v>
      </c>
      <c r="BF100">
        <v>24</v>
      </c>
      <c r="BG100">
        <v>4946.6626666666698</v>
      </c>
      <c r="BH100">
        <v>1769201629.0999999</v>
      </c>
      <c r="BI100" t="s">
        <v>420</v>
      </c>
      <c r="BJ100">
        <v>1769201629.0999999</v>
      </c>
      <c r="BK100">
        <v>1769201627.0999999</v>
      </c>
      <c r="BL100">
        <v>15</v>
      </c>
      <c r="BM100">
        <v>2.5000000000000001E-2</v>
      </c>
      <c r="BN100">
        <v>3.5999999999999997E-2</v>
      </c>
      <c r="BO100">
        <v>-0.77900000000000003</v>
      </c>
      <c r="BP100">
        <v>0.122</v>
      </c>
      <c r="BQ100">
        <v>410</v>
      </c>
      <c r="BR100">
        <v>15</v>
      </c>
      <c r="BS100">
        <v>0.28999999999999998</v>
      </c>
      <c r="BT100">
        <v>0.1</v>
      </c>
      <c r="BU100">
        <v>-0.154109417666667</v>
      </c>
      <c r="BV100">
        <v>-1.89296333337662</v>
      </c>
      <c r="BW100">
        <v>0.197697098741451</v>
      </c>
      <c r="BX100">
        <v>0</v>
      </c>
      <c r="BY100">
        <v>0</v>
      </c>
      <c r="BZ100">
        <v>0</v>
      </c>
      <c r="CA100">
        <v>0</v>
      </c>
      <c r="CB100">
        <v>-1</v>
      </c>
      <c r="CC100">
        <v>1.5580276190476201</v>
      </c>
      <c r="CD100">
        <v>0.83554519480519496</v>
      </c>
      <c r="CE100">
        <v>8.6423860456680796E-2</v>
      </c>
      <c r="CF100">
        <v>0</v>
      </c>
      <c r="CG100">
        <v>0</v>
      </c>
      <c r="CH100">
        <v>2</v>
      </c>
      <c r="CI100" t="s">
        <v>290</v>
      </c>
      <c r="CJ100">
        <v>3.5326200000000001</v>
      </c>
      <c r="CK100">
        <v>2.7016</v>
      </c>
      <c r="CL100">
        <v>9.7993399999999994E-2</v>
      </c>
      <c r="CM100">
        <v>9.6713999999999994E-2</v>
      </c>
      <c r="CN100">
        <v>8.8885800000000001E-2</v>
      </c>
      <c r="CO100">
        <v>8.1007700000000002E-2</v>
      </c>
      <c r="CP100">
        <v>31628</v>
      </c>
      <c r="CQ100">
        <v>27833.4</v>
      </c>
      <c r="CR100">
        <v>32453.3</v>
      </c>
      <c r="CS100">
        <v>30740.799999999999</v>
      </c>
      <c r="CT100">
        <v>40042.9</v>
      </c>
      <c r="CU100">
        <v>39736.699999999997</v>
      </c>
      <c r="CV100">
        <v>47403.5</v>
      </c>
      <c r="CW100">
        <v>46891.1</v>
      </c>
      <c r="CX100">
        <v>2.6226600000000002</v>
      </c>
      <c r="CY100">
        <v>2.1215799999999998</v>
      </c>
      <c r="CZ100">
        <v>0</v>
      </c>
      <c r="DA100">
        <v>0</v>
      </c>
      <c r="DB100">
        <v>999.9</v>
      </c>
      <c r="DC100">
        <v>999.9</v>
      </c>
      <c r="DD100">
        <v>45.616999999999997</v>
      </c>
      <c r="DE100">
        <v>28.731999999999999</v>
      </c>
      <c r="DF100">
        <v>18.020600000000002</v>
      </c>
      <c r="DG100">
        <v>30.3599</v>
      </c>
      <c r="DH100">
        <v>16.3902</v>
      </c>
      <c r="DI100">
        <v>2</v>
      </c>
      <c r="DJ100">
        <v>-0.11343499999999999</v>
      </c>
      <c r="DK100">
        <v>1.73776</v>
      </c>
      <c r="DL100">
        <v>20.2301</v>
      </c>
      <c r="DM100">
        <v>5.2480799999999999</v>
      </c>
      <c r="DN100">
        <v>12.033899999999999</v>
      </c>
      <c r="DO100">
        <v>4.9667199999999996</v>
      </c>
      <c r="DP100">
        <v>3.2909999999999999</v>
      </c>
      <c r="DQ100">
        <v>538.1</v>
      </c>
      <c r="DR100">
        <v>9999</v>
      </c>
      <c r="DS100">
        <v>9999</v>
      </c>
      <c r="DT100">
        <v>9999</v>
      </c>
      <c r="DU100">
        <v>1.8710500000000001</v>
      </c>
      <c r="DV100">
        <v>1.87608</v>
      </c>
      <c r="DW100">
        <v>1.8762700000000001</v>
      </c>
      <c r="DX100">
        <v>1.8827799999999999</v>
      </c>
      <c r="DY100">
        <v>1.8755900000000001</v>
      </c>
      <c r="DZ100">
        <v>1.87462</v>
      </c>
      <c r="EA100">
        <v>1.87079</v>
      </c>
      <c r="EB100">
        <v>1.8745799999999999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-0.77900000000000003</v>
      </c>
      <c r="EQ100">
        <v>0.1217</v>
      </c>
      <c r="ER100">
        <v>-0.77899999999999603</v>
      </c>
      <c r="ES100">
        <v>0</v>
      </c>
      <c r="ET100">
        <v>0</v>
      </c>
      <c r="EU100">
        <v>0</v>
      </c>
      <c r="EV100">
        <v>0.121739999999999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7.1</v>
      </c>
      <c r="FE100">
        <v>7.2</v>
      </c>
      <c r="FF100">
        <v>1.2439</v>
      </c>
      <c r="FG100">
        <v>2.6098599999999998</v>
      </c>
      <c r="FH100">
        <v>2.19604</v>
      </c>
      <c r="FI100">
        <v>2.65991</v>
      </c>
      <c r="FJ100">
        <v>2.4462899999999999</v>
      </c>
      <c r="FK100">
        <v>2.2460900000000001</v>
      </c>
      <c r="FL100">
        <v>32.9315</v>
      </c>
      <c r="FM100">
        <v>24.148800000000001</v>
      </c>
      <c r="FN100">
        <v>19</v>
      </c>
      <c r="FO100">
        <v>865.78899999999999</v>
      </c>
      <c r="FP100">
        <v>570.23699999999997</v>
      </c>
      <c r="FQ100">
        <v>18.341699999999999</v>
      </c>
      <c r="FR100">
        <v>25.563800000000001</v>
      </c>
      <c r="FS100">
        <v>30.0001</v>
      </c>
      <c r="FT100">
        <v>25.540299999999998</v>
      </c>
      <c r="FU100">
        <v>25.540099999999999</v>
      </c>
      <c r="FV100">
        <v>24.9815</v>
      </c>
      <c r="FW100">
        <v>25.577999999999999</v>
      </c>
      <c r="FX100">
        <v>11.7653</v>
      </c>
      <c r="FY100">
        <v>18.3811</v>
      </c>
      <c r="FZ100">
        <v>410</v>
      </c>
      <c r="GA100">
        <v>13.9648</v>
      </c>
      <c r="GB100">
        <v>99.878900000000002</v>
      </c>
      <c r="GC100">
        <v>99.812299999999993</v>
      </c>
    </row>
    <row r="101" spans="1:185" x14ac:dyDescent="0.2">
      <c r="A101">
        <v>86</v>
      </c>
      <c r="B101">
        <v>1769202071.0999999</v>
      </c>
      <c r="C101">
        <v>1800.0999999046301</v>
      </c>
      <c r="D101" t="s">
        <v>467</v>
      </c>
      <c r="E101" t="s">
        <v>468</v>
      </c>
      <c r="F101">
        <v>15</v>
      </c>
      <c r="G101">
        <v>1769202063.03333</v>
      </c>
      <c r="H101">
        <f t="shared" si="25"/>
        <v>1.3859321992983847E-3</v>
      </c>
      <c r="I101">
        <v>0</v>
      </c>
      <c r="J101">
        <f t="shared" si="37"/>
        <v>-7.8867159550439388E-3</v>
      </c>
      <c r="K101">
        <f t="shared" si="26"/>
        <v>-0.20330830090892379</v>
      </c>
      <c r="L101">
        <f t="shared" si="27"/>
        <v>71.891150411616593</v>
      </c>
      <c r="M101">
        <f t="shared" si="28"/>
        <v>1.5780703054871137</v>
      </c>
      <c r="N101">
        <f t="shared" si="29"/>
        <v>2.1950828390584776</v>
      </c>
      <c r="O101">
        <v>0</v>
      </c>
      <c r="P101">
        <v>0</v>
      </c>
      <c r="Q101">
        <f t="shared" si="30"/>
        <v>1</v>
      </c>
      <c r="R101">
        <f t="shared" si="31"/>
        <v>0</v>
      </c>
      <c r="S101">
        <f t="shared" si="32"/>
        <v>26302.817296136229</v>
      </c>
      <c r="T101">
        <f t="shared" si="33"/>
        <v>300.000133333333</v>
      </c>
      <c r="U101">
        <f t="shared" si="34"/>
        <v>252.89981545986765</v>
      </c>
      <c r="V101">
        <f t="shared" si="35"/>
        <v>0.84299901019999968</v>
      </c>
      <c r="W101">
        <f t="shared" si="36"/>
        <v>0.15869779833199996</v>
      </c>
      <c r="X101">
        <v>1</v>
      </c>
      <c r="Y101">
        <v>1769202063.03333</v>
      </c>
      <c r="Z101">
        <v>409.56406666666697</v>
      </c>
      <c r="AA101">
        <v>410.01946666666697</v>
      </c>
      <c r="AB101">
        <v>15.7332533333333</v>
      </c>
      <c r="AC101">
        <v>14.028093333333301</v>
      </c>
      <c r="AD101">
        <v>410.34306666666703</v>
      </c>
      <c r="AE101">
        <v>15.61154</v>
      </c>
      <c r="AF101">
        <v>799.99940000000004</v>
      </c>
      <c r="AG101">
        <v>100.238133333333</v>
      </c>
      <c r="AH101">
        <v>6.3455413333333294E-2</v>
      </c>
      <c r="AI101">
        <v>18.926473333333298</v>
      </c>
      <c r="AJ101">
        <v>999.9</v>
      </c>
      <c r="AK101">
        <v>999.9</v>
      </c>
      <c r="AL101">
        <v>0</v>
      </c>
      <c r="AM101">
        <v>0</v>
      </c>
      <c r="AN101">
        <v>5001.8999999999996</v>
      </c>
      <c r="AO101">
        <v>0</v>
      </c>
      <c r="AP101">
        <v>1.58087</v>
      </c>
      <c r="AQ101">
        <v>-0.45546486666666702</v>
      </c>
      <c r="AR101">
        <v>416.11073333333297</v>
      </c>
      <c r="AS101">
        <v>415.85313333333301</v>
      </c>
      <c r="AT101">
        <v>1.7051706666666699</v>
      </c>
      <c r="AU101">
        <v>410.01946666666697</v>
      </c>
      <c r="AV101">
        <v>14.028093333333301</v>
      </c>
      <c r="AW101">
        <v>1.577072</v>
      </c>
      <c r="AX101">
        <v>1.4061493333333299</v>
      </c>
      <c r="AY101">
        <v>13.736520000000001</v>
      </c>
      <c r="AZ101">
        <v>11.98396</v>
      </c>
      <c r="BA101">
        <v>300.000133333333</v>
      </c>
      <c r="BB101">
        <v>0.900028933333333</v>
      </c>
      <c r="BC101">
        <v>0</v>
      </c>
      <c r="BD101">
        <v>9.9970926666666696E-2</v>
      </c>
      <c r="BE101">
        <v>0</v>
      </c>
      <c r="BF101">
        <v>24</v>
      </c>
      <c r="BG101">
        <v>4946.6806666666698</v>
      </c>
      <c r="BH101">
        <v>1769201629.0999999</v>
      </c>
      <c r="BI101" t="s">
        <v>420</v>
      </c>
      <c r="BJ101">
        <v>1769201629.0999999</v>
      </c>
      <c r="BK101">
        <v>1769201627.0999999</v>
      </c>
      <c r="BL101">
        <v>15</v>
      </c>
      <c r="BM101">
        <v>2.5000000000000001E-2</v>
      </c>
      <c r="BN101">
        <v>3.5999999999999997E-2</v>
      </c>
      <c r="BO101">
        <v>-0.77900000000000003</v>
      </c>
      <c r="BP101">
        <v>0.122</v>
      </c>
      <c r="BQ101">
        <v>410</v>
      </c>
      <c r="BR101">
        <v>15</v>
      </c>
      <c r="BS101">
        <v>0.28999999999999998</v>
      </c>
      <c r="BT101">
        <v>0.1</v>
      </c>
      <c r="BU101">
        <v>-0.42989519999999998</v>
      </c>
      <c r="BV101">
        <v>-0.375289714285714</v>
      </c>
      <c r="BW101">
        <v>5.9467420048796502E-2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1.6900649999999999</v>
      </c>
      <c r="CD101">
        <v>0.25082887218044903</v>
      </c>
      <c r="CE101">
        <v>2.4715706038873301E-2</v>
      </c>
      <c r="CF101">
        <v>0</v>
      </c>
      <c r="CG101">
        <v>1</v>
      </c>
      <c r="CH101">
        <v>2</v>
      </c>
      <c r="CI101" t="s">
        <v>302</v>
      </c>
      <c r="CJ101">
        <v>3.5325299999999999</v>
      </c>
      <c r="CK101">
        <v>2.7013099999999999</v>
      </c>
      <c r="CL101">
        <v>9.7977999999999996E-2</v>
      </c>
      <c r="CM101">
        <v>9.6706600000000004E-2</v>
      </c>
      <c r="CN101">
        <v>8.81546E-2</v>
      </c>
      <c r="CO101">
        <v>8.0046300000000001E-2</v>
      </c>
      <c r="CP101">
        <v>31628.400000000001</v>
      </c>
      <c r="CQ101">
        <v>27833.7</v>
      </c>
      <c r="CR101">
        <v>32453.200000000001</v>
      </c>
      <c r="CS101">
        <v>30740.9</v>
      </c>
      <c r="CT101">
        <v>40075.800000000003</v>
      </c>
      <c r="CU101">
        <v>39779.4</v>
      </c>
      <c r="CV101">
        <v>47403.199999999997</v>
      </c>
      <c r="CW101">
        <v>46891.1</v>
      </c>
      <c r="CX101">
        <v>2.6224599999999998</v>
      </c>
      <c r="CY101">
        <v>2.1210200000000001</v>
      </c>
      <c r="CZ101">
        <v>0</v>
      </c>
      <c r="DA101">
        <v>0</v>
      </c>
      <c r="DB101">
        <v>999.9</v>
      </c>
      <c r="DC101">
        <v>999.9</v>
      </c>
      <c r="DD101">
        <v>45.616999999999997</v>
      </c>
      <c r="DE101">
        <v>28.742000000000001</v>
      </c>
      <c r="DF101">
        <v>18.031400000000001</v>
      </c>
      <c r="DG101">
        <v>30.209900000000001</v>
      </c>
      <c r="DH101">
        <v>16.502400000000002</v>
      </c>
      <c r="DI101">
        <v>2</v>
      </c>
      <c r="DJ101">
        <v>-0.113191</v>
      </c>
      <c r="DK101">
        <v>1.6685300000000001</v>
      </c>
      <c r="DL101">
        <v>20.230899999999998</v>
      </c>
      <c r="DM101">
        <v>5.2476000000000003</v>
      </c>
      <c r="DN101">
        <v>12.033899999999999</v>
      </c>
      <c r="DO101">
        <v>4.9665600000000003</v>
      </c>
      <c r="DP101">
        <v>3.2909999999999999</v>
      </c>
      <c r="DQ101">
        <v>538.1</v>
      </c>
      <c r="DR101">
        <v>9999</v>
      </c>
      <c r="DS101">
        <v>9999</v>
      </c>
      <c r="DT101">
        <v>9999</v>
      </c>
      <c r="DU101">
        <v>1.8711500000000001</v>
      </c>
      <c r="DV101">
        <v>1.87615</v>
      </c>
      <c r="DW101">
        <v>1.87636</v>
      </c>
      <c r="DX101">
        <v>1.88279</v>
      </c>
      <c r="DY101">
        <v>1.87561</v>
      </c>
      <c r="DZ101">
        <v>1.8746799999999999</v>
      </c>
      <c r="EA101">
        <v>1.87087</v>
      </c>
      <c r="EB101">
        <v>1.8746799999999999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-0.77900000000000003</v>
      </c>
      <c r="EQ101">
        <v>0.12180000000000001</v>
      </c>
      <c r="ER101">
        <v>-0.77899999999999603</v>
      </c>
      <c r="ES101">
        <v>0</v>
      </c>
      <c r="ET101">
        <v>0</v>
      </c>
      <c r="EU101">
        <v>0</v>
      </c>
      <c r="EV101">
        <v>0.121739999999999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7.4</v>
      </c>
      <c r="FE101">
        <v>7.4</v>
      </c>
      <c r="FF101">
        <v>1.2439</v>
      </c>
      <c r="FG101">
        <v>2.6049799999999999</v>
      </c>
      <c r="FH101">
        <v>2.19604</v>
      </c>
      <c r="FI101">
        <v>2.66113</v>
      </c>
      <c r="FJ101">
        <v>2.4462899999999999</v>
      </c>
      <c r="FK101">
        <v>2.3034699999999999</v>
      </c>
      <c r="FL101">
        <v>32.9315</v>
      </c>
      <c r="FM101">
        <v>24.148800000000001</v>
      </c>
      <c r="FN101">
        <v>19</v>
      </c>
      <c r="FO101">
        <v>865.67200000000003</v>
      </c>
      <c r="FP101">
        <v>569.86300000000006</v>
      </c>
      <c r="FQ101">
        <v>18.523599999999998</v>
      </c>
      <c r="FR101">
        <v>25.569800000000001</v>
      </c>
      <c r="FS101">
        <v>30.0002</v>
      </c>
      <c r="FT101">
        <v>25.544499999999999</v>
      </c>
      <c r="FU101">
        <v>25.544799999999999</v>
      </c>
      <c r="FV101">
        <v>24.981100000000001</v>
      </c>
      <c r="FW101">
        <v>26.721900000000002</v>
      </c>
      <c r="FX101">
        <v>11.3927</v>
      </c>
      <c r="FY101">
        <v>18.544799999999999</v>
      </c>
      <c r="FZ101">
        <v>410</v>
      </c>
      <c r="GA101">
        <v>13.801500000000001</v>
      </c>
      <c r="GB101">
        <v>99.878399999999999</v>
      </c>
      <c r="GC101">
        <v>99.8125</v>
      </c>
    </row>
    <row r="102" spans="1:185" x14ac:dyDescent="0.2">
      <c r="A102">
        <v>87</v>
      </c>
      <c r="B102">
        <v>1769202086.0999999</v>
      </c>
      <c r="C102">
        <v>1815.0999999046301</v>
      </c>
      <c r="D102" t="s">
        <v>469</v>
      </c>
      <c r="E102" t="s">
        <v>470</v>
      </c>
      <c r="F102">
        <v>15</v>
      </c>
      <c r="G102">
        <v>1769202078.03333</v>
      </c>
      <c r="H102">
        <f t="shared" si="25"/>
        <v>1.4053189871759998E-3</v>
      </c>
      <c r="I102">
        <v>0</v>
      </c>
      <c r="J102">
        <f t="shared" si="37"/>
        <v>-6.1435779011959433E-3</v>
      </c>
      <c r="K102">
        <f t="shared" si="26"/>
        <v>-0.15837268537545557</v>
      </c>
      <c r="L102">
        <f t="shared" si="27"/>
        <v>71.030569875337733</v>
      </c>
      <c r="M102">
        <f t="shared" si="28"/>
        <v>1.5626671776705894</v>
      </c>
      <c r="N102">
        <f t="shared" si="29"/>
        <v>2.1999924545349274</v>
      </c>
      <c r="O102">
        <v>0</v>
      </c>
      <c r="P102">
        <v>0</v>
      </c>
      <c r="Q102">
        <f t="shared" si="30"/>
        <v>1</v>
      </c>
      <c r="R102">
        <f t="shared" si="31"/>
        <v>0</v>
      </c>
      <c r="S102">
        <f t="shared" si="32"/>
        <v>26307.67971416099</v>
      </c>
      <c r="T102">
        <f t="shared" si="33"/>
        <v>299.99906666666698</v>
      </c>
      <c r="U102">
        <f t="shared" si="34"/>
        <v>252.89889730098315</v>
      </c>
      <c r="V102">
        <f t="shared" si="35"/>
        <v>0.84299894700000033</v>
      </c>
      <c r="W102">
        <f t="shared" si="36"/>
        <v>0.15869769230000005</v>
      </c>
      <c r="X102">
        <v>1</v>
      </c>
      <c r="Y102">
        <v>1769202078.03333</v>
      </c>
      <c r="Z102">
        <v>409.47253333333299</v>
      </c>
      <c r="AA102">
        <v>409.99386666666697</v>
      </c>
      <c r="AB102">
        <v>15.5796733333333</v>
      </c>
      <c r="AC102">
        <v>13.850393333333299</v>
      </c>
      <c r="AD102">
        <v>410.25153333333299</v>
      </c>
      <c r="AE102">
        <v>15.4579466666667</v>
      </c>
      <c r="AF102">
        <v>800.00033333333295</v>
      </c>
      <c r="AG102">
        <v>100.238066666667</v>
      </c>
      <c r="AH102">
        <v>6.3598473333333294E-2</v>
      </c>
      <c r="AI102">
        <v>18.962260000000001</v>
      </c>
      <c r="AJ102">
        <v>999.9</v>
      </c>
      <c r="AK102">
        <v>999.9</v>
      </c>
      <c r="AL102">
        <v>0</v>
      </c>
      <c r="AM102">
        <v>0</v>
      </c>
      <c r="AN102">
        <v>5003.2333333333299</v>
      </c>
      <c r="AO102">
        <v>0</v>
      </c>
      <c r="AP102">
        <v>1.58087</v>
      </c>
      <c r="AQ102">
        <v>-0.52155566666666697</v>
      </c>
      <c r="AR102">
        <v>415.95286666666698</v>
      </c>
      <c r="AS102">
        <v>415.75226666666703</v>
      </c>
      <c r="AT102">
        <v>1.7293053333333299</v>
      </c>
      <c r="AU102">
        <v>409.99386666666697</v>
      </c>
      <c r="AV102">
        <v>13.850393333333299</v>
      </c>
      <c r="AW102">
        <v>1.5616746666666701</v>
      </c>
      <c r="AX102">
        <v>1.3883333333333301</v>
      </c>
      <c r="AY102">
        <v>13.5856866666667</v>
      </c>
      <c r="AZ102">
        <v>11.7907333333333</v>
      </c>
      <c r="BA102">
        <v>299.99906666666698</v>
      </c>
      <c r="BB102">
        <v>0.90003026666666697</v>
      </c>
      <c r="BC102">
        <v>0</v>
      </c>
      <c r="BD102">
        <v>9.9969566666666704E-2</v>
      </c>
      <c r="BE102">
        <v>0</v>
      </c>
      <c r="BF102">
        <v>24</v>
      </c>
      <c r="BG102">
        <v>4946.6679999999997</v>
      </c>
      <c r="BH102">
        <v>1769201629.0999999</v>
      </c>
      <c r="BI102" t="s">
        <v>420</v>
      </c>
      <c r="BJ102">
        <v>1769201629.0999999</v>
      </c>
      <c r="BK102">
        <v>1769201627.0999999</v>
      </c>
      <c r="BL102">
        <v>15</v>
      </c>
      <c r="BM102">
        <v>2.5000000000000001E-2</v>
      </c>
      <c r="BN102">
        <v>3.5999999999999997E-2</v>
      </c>
      <c r="BO102">
        <v>-0.77900000000000003</v>
      </c>
      <c r="BP102">
        <v>0.122</v>
      </c>
      <c r="BQ102">
        <v>410</v>
      </c>
      <c r="BR102">
        <v>15</v>
      </c>
      <c r="BS102">
        <v>0.28999999999999998</v>
      </c>
      <c r="BT102">
        <v>0.1</v>
      </c>
      <c r="BU102">
        <v>-0.49417419047618999</v>
      </c>
      <c r="BV102">
        <v>-0.38462516883116898</v>
      </c>
      <c r="BW102">
        <v>8.5912382761031594E-2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1.7257485714285701</v>
      </c>
      <c r="CD102">
        <v>1.33862337662347E-2</v>
      </c>
      <c r="CE102">
        <v>1.11041619334778E-2</v>
      </c>
      <c r="CF102">
        <v>1</v>
      </c>
      <c r="CG102">
        <v>2</v>
      </c>
      <c r="CH102">
        <v>2</v>
      </c>
      <c r="CI102" t="s">
        <v>297</v>
      </c>
      <c r="CJ102">
        <v>3.53254</v>
      </c>
      <c r="CK102">
        <v>2.7012499999999999</v>
      </c>
      <c r="CL102">
        <v>9.7942500000000002E-2</v>
      </c>
      <c r="CM102">
        <v>9.6707799999999997E-2</v>
      </c>
      <c r="CN102">
        <v>8.7599800000000005E-2</v>
      </c>
      <c r="CO102">
        <v>7.9488699999999995E-2</v>
      </c>
      <c r="CP102">
        <v>31628.3</v>
      </c>
      <c r="CQ102">
        <v>27833</v>
      </c>
      <c r="CR102">
        <v>32451.9</v>
      </c>
      <c r="CS102">
        <v>30740.2</v>
      </c>
      <c r="CT102">
        <v>40099.699999999997</v>
      </c>
      <c r="CU102">
        <v>39803.1</v>
      </c>
      <c r="CV102">
        <v>47401.7</v>
      </c>
      <c r="CW102">
        <v>46889.9</v>
      </c>
      <c r="CX102">
        <v>2.6224799999999999</v>
      </c>
      <c r="CY102">
        <v>2.1205599999999998</v>
      </c>
      <c r="CZ102">
        <v>0</v>
      </c>
      <c r="DA102">
        <v>0</v>
      </c>
      <c r="DB102">
        <v>999.9</v>
      </c>
      <c r="DC102">
        <v>999.9</v>
      </c>
      <c r="DD102">
        <v>45.593000000000004</v>
      </c>
      <c r="DE102">
        <v>28.731999999999999</v>
      </c>
      <c r="DF102">
        <v>18.010400000000001</v>
      </c>
      <c r="DG102">
        <v>29.879899999999999</v>
      </c>
      <c r="DH102">
        <v>16.430299999999999</v>
      </c>
      <c r="DI102">
        <v>2</v>
      </c>
      <c r="DJ102">
        <v>-0.11262800000000001</v>
      </c>
      <c r="DK102">
        <v>1.6872799999999999</v>
      </c>
      <c r="DL102">
        <v>20.230399999999999</v>
      </c>
      <c r="DM102">
        <v>5.24796</v>
      </c>
      <c r="DN102">
        <v>12.033899999999999</v>
      </c>
      <c r="DO102">
        <v>4.9664799999999998</v>
      </c>
      <c r="DP102">
        <v>3.2909999999999999</v>
      </c>
      <c r="DQ102">
        <v>538.1</v>
      </c>
      <c r="DR102">
        <v>9999</v>
      </c>
      <c r="DS102">
        <v>9999</v>
      </c>
      <c r="DT102">
        <v>9999</v>
      </c>
      <c r="DU102">
        <v>1.8711599999999999</v>
      </c>
      <c r="DV102">
        <v>1.8761399999999999</v>
      </c>
      <c r="DW102">
        <v>1.87635</v>
      </c>
      <c r="DX102">
        <v>1.8828100000000001</v>
      </c>
      <c r="DY102">
        <v>1.87561</v>
      </c>
      <c r="DZ102">
        <v>1.87469</v>
      </c>
      <c r="EA102">
        <v>1.87087</v>
      </c>
      <c r="EB102">
        <v>1.8746499999999999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-0.77900000000000003</v>
      </c>
      <c r="EQ102">
        <v>0.1217</v>
      </c>
      <c r="ER102">
        <v>-0.77899999999999603</v>
      </c>
      <c r="ES102">
        <v>0</v>
      </c>
      <c r="ET102">
        <v>0</v>
      </c>
      <c r="EU102">
        <v>0</v>
      </c>
      <c r="EV102">
        <v>0.121739999999999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7.6</v>
      </c>
      <c r="FE102">
        <v>7.7</v>
      </c>
      <c r="FF102">
        <v>1.2439</v>
      </c>
      <c r="FG102">
        <v>2.6061999999999999</v>
      </c>
      <c r="FH102">
        <v>2.19604</v>
      </c>
      <c r="FI102">
        <v>2.66113</v>
      </c>
      <c r="FJ102">
        <v>2.4462899999999999</v>
      </c>
      <c r="FK102">
        <v>2.2802699999999998</v>
      </c>
      <c r="FL102">
        <v>32.9315</v>
      </c>
      <c r="FM102">
        <v>24.148800000000001</v>
      </c>
      <c r="FN102">
        <v>19</v>
      </c>
      <c r="FO102">
        <v>865.76599999999996</v>
      </c>
      <c r="FP102">
        <v>569.57399999999996</v>
      </c>
      <c r="FQ102">
        <v>18.628299999999999</v>
      </c>
      <c r="FR102">
        <v>25.574000000000002</v>
      </c>
      <c r="FS102">
        <v>30.0001</v>
      </c>
      <c r="FT102">
        <v>25.549299999999999</v>
      </c>
      <c r="FU102">
        <v>25.5504</v>
      </c>
      <c r="FV102">
        <v>24.980799999999999</v>
      </c>
      <c r="FW102">
        <v>26.998799999999999</v>
      </c>
      <c r="FX102">
        <v>11.3927</v>
      </c>
      <c r="FY102">
        <v>18.634499999999999</v>
      </c>
      <c r="FZ102">
        <v>410</v>
      </c>
      <c r="GA102">
        <v>13.7113</v>
      </c>
      <c r="GB102">
        <v>99.874799999999993</v>
      </c>
      <c r="GC102">
        <v>99.810100000000006</v>
      </c>
    </row>
    <row r="103" spans="1:185" x14ac:dyDescent="0.2">
      <c r="A103">
        <v>88</v>
      </c>
      <c r="B103">
        <v>1769202101.0999999</v>
      </c>
      <c r="C103">
        <v>1830.0999999046301</v>
      </c>
      <c r="D103" t="s">
        <v>471</v>
      </c>
      <c r="E103" t="s">
        <v>472</v>
      </c>
      <c r="F103">
        <v>15</v>
      </c>
      <c r="G103">
        <v>1769202093.03333</v>
      </c>
      <c r="H103">
        <f t="shared" si="25"/>
        <v>1.3899725229699158E-3</v>
      </c>
      <c r="I103">
        <v>0</v>
      </c>
      <c r="J103">
        <f t="shared" si="37"/>
        <v>-1.9854486581425993E-3</v>
      </c>
      <c r="K103">
        <f t="shared" si="26"/>
        <v>-5.1182037685878048E-2</v>
      </c>
      <c r="L103">
        <f t="shared" si="27"/>
        <v>70.402781385340944</v>
      </c>
      <c r="M103">
        <f t="shared" si="28"/>
        <v>1.5523204518614595</v>
      </c>
      <c r="N103">
        <f t="shared" si="29"/>
        <v>2.2049135294314932</v>
      </c>
      <c r="O103">
        <v>0</v>
      </c>
      <c r="P103">
        <v>0</v>
      </c>
      <c r="Q103">
        <f t="shared" si="30"/>
        <v>1</v>
      </c>
      <c r="R103">
        <f t="shared" si="31"/>
        <v>0</v>
      </c>
      <c r="S103">
        <f t="shared" si="32"/>
        <v>26245.046926509996</v>
      </c>
      <c r="T103">
        <f t="shared" si="33"/>
        <v>299.99939999999998</v>
      </c>
      <c r="U103">
        <f t="shared" si="34"/>
        <v>252.89918142062552</v>
      </c>
      <c r="V103">
        <f t="shared" si="35"/>
        <v>0.84299895739999997</v>
      </c>
      <c r="W103">
        <f t="shared" si="36"/>
        <v>0.15869748444399998</v>
      </c>
      <c r="X103">
        <v>1</v>
      </c>
      <c r="Y103">
        <v>1769202093.03333</v>
      </c>
      <c r="Z103">
        <v>409.359266666667</v>
      </c>
      <c r="AA103">
        <v>410.00653333333298</v>
      </c>
      <c r="AB103">
        <v>15.4764866666667</v>
      </c>
      <c r="AC103">
        <v>13.765919999999999</v>
      </c>
      <c r="AD103">
        <v>410.13819999999998</v>
      </c>
      <c r="AE103">
        <v>15.35474</v>
      </c>
      <c r="AF103">
        <v>800.00426666666704</v>
      </c>
      <c r="AG103">
        <v>100.238666666667</v>
      </c>
      <c r="AH103">
        <v>6.31967533333333E-2</v>
      </c>
      <c r="AI103">
        <v>18.998059999999999</v>
      </c>
      <c r="AJ103">
        <v>999.9</v>
      </c>
      <c r="AK103">
        <v>999.9</v>
      </c>
      <c r="AL103">
        <v>0</v>
      </c>
      <c r="AM103">
        <v>0</v>
      </c>
      <c r="AN103">
        <v>4993.4333333333298</v>
      </c>
      <c r="AO103">
        <v>0</v>
      </c>
      <c r="AP103">
        <v>1.58087</v>
      </c>
      <c r="AQ103">
        <v>-0.64709479999999997</v>
      </c>
      <c r="AR103">
        <v>415.7944</v>
      </c>
      <c r="AS103">
        <v>415.72953333333299</v>
      </c>
      <c r="AT103">
        <v>1.71056733333333</v>
      </c>
      <c r="AU103">
        <v>410.00653333333298</v>
      </c>
      <c r="AV103">
        <v>13.765919999999999</v>
      </c>
      <c r="AW103">
        <v>1.55134066666667</v>
      </c>
      <c r="AX103">
        <v>1.3798779999999999</v>
      </c>
      <c r="AY103">
        <v>13.4837666666667</v>
      </c>
      <c r="AZ103">
        <v>11.698273333333301</v>
      </c>
      <c r="BA103">
        <v>299.99939999999998</v>
      </c>
      <c r="BB103">
        <v>0.90003339999999998</v>
      </c>
      <c r="BC103">
        <v>0</v>
      </c>
      <c r="BD103">
        <v>9.9966553333333305E-2</v>
      </c>
      <c r="BE103">
        <v>0</v>
      </c>
      <c r="BF103">
        <v>24</v>
      </c>
      <c r="BG103">
        <v>4946.6733333333304</v>
      </c>
      <c r="BH103">
        <v>1769201629.0999999</v>
      </c>
      <c r="BI103" t="s">
        <v>420</v>
      </c>
      <c r="BJ103">
        <v>1769201629.0999999</v>
      </c>
      <c r="BK103">
        <v>1769201627.0999999</v>
      </c>
      <c r="BL103">
        <v>15</v>
      </c>
      <c r="BM103">
        <v>2.5000000000000001E-2</v>
      </c>
      <c r="BN103">
        <v>3.5999999999999997E-2</v>
      </c>
      <c r="BO103">
        <v>-0.77900000000000003</v>
      </c>
      <c r="BP103">
        <v>0.122</v>
      </c>
      <c r="BQ103">
        <v>410</v>
      </c>
      <c r="BR103">
        <v>15</v>
      </c>
      <c r="BS103">
        <v>0.28999999999999998</v>
      </c>
      <c r="BT103">
        <v>0.1</v>
      </c>
      <c r="BU103">
        <v>-0.63896838095238095</v>
      </c>
      <c r="BV103">
        <v>-0.15792966233766401</v>
      </c>
      <c r="BW103">
        <v>3.1618013690926802E-2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1.7130633333333301</v>
      </c>
      <c r="CD103">
        <v>-0.109152467532466</v>
      </c>
      <c r="CE103">
        <v>1.5102206818662299E-2</v>
      </c>
      <c r="CF103">
        <v>0</v>
      </c>
      <c r="CG103">
        <v>1</v>
      </c>
      <c r="CH103">
        <v>2</v>
      </c>
      <c r="CI103" t="s">
        <v>302</v>
      </c>
      <c r="CJ103">
        <v>3.5325500000000001</v>
      </c>
      <c r="CK103">
        <v>2.7010800000000001</v>
      </c>
      <c r="CL103">
        <v>9.7939200000000004E-2</v>
      </c>
      <c r="CM103">
        <v>9.6702999999999997E-2</v>
      </c>
      <c r="CN103">
        <v>8.7257000000000001E-2</v>
      </c>
      <c r="CO103">
        <v>7.9378199999999996E-2</v>
      </c>
      <c r="CP103">
        <v>31628.3</v>
      </c>
      <c r="CQ103">
        <v>27833.200000000001</v>
      </c>
      <c r="CR103">
        <v>32451.8</v>
      </c>
      <c r="CS103">
        <v>30740.3</v>
      </c>
      <c r="CT103">
        <v>40115.199999999997</v>
      </c>
      <c r="CU103">
        <v>39808.199999999997</v>
      </c>
      <c r="CV103">
        <v>47401.599999999999</v>
      </c>
      <c r="CW103">
        <v>46890.1</v>
      </c>
      <c r="CX103">
        <v>2.62222</v>
      </c>
      <c r="CY103">
        <v>2.1202200000000002</v>
      </c>
      <c r="CZ103">
        <v>0</v>
      </c>
      <c r="DA103">
        <v>0</v>
      </c>
      <c r="DB103">
        <v>999.9</v>
      </c>
      <c r="DC103">
        <v>999.9</v>
      </c>
      <c r="DD103">
        <v>45.567999999999998</v>
      </c>
      <c r="DE103">
        <v>28.742000000000001</v>
      </c>
      <c r="DF103">
        <v>18.011500000000002</v>
      </c>
      <c r="DG103">
        <v>30.209900000000001</v>
      </c>
      <c r="DH103">
        <v>16.446300000000001</v>
      </c>
      <c r="DI103">
        <v>2</v>
      </c>
      <c r="DJ103">
        <v>-0.11014599999999999</v>
      </c>
      <c r="DK103">
        <v>3.0467300000000002</v>
      </c>
      <c r="DL103">
        <v>20.202300000000001</v>
      </c>
      <c r="DM103">
        <v>5.2474800000000004</v>
      </c>
      <c r="DN103">
        <v>12.033899999999999</v>
      </c>
      <c r="DO103">
        <v>4.9664400000000004</v>
      </c>
      <c r="DP103">
        <v>3.2909999999999999</v>
      </c>
      <c r="DQ103">
        <v>538.1</v>
      </c>
      <c r="DR103">
        <v>9999</v>
      </c>
      <c r="DS103">
        <v>9999</v>
      </c>
      <c r="DT103">
        <v>9999</v>
      </c>
      <c r="DU103">
        <v>1.8710800000000001</v>
      </c>
      <c r="DV103">
        <v>1.8760699999999999</v>
      </c>
      <c r="DW103">
        <v>1.87629</v>
      </c>
      <c r="DX103">
        <v>1.88279</v>
      </c>
      <c r="DY103">
        <v>1.87561</v>
      </c>
      <c r="DZ103">
        <v>1.8746700000000001</v>
      </c>
      <c r="EA103">
        <v>1.8708100000000001</v>
      </c>
      <c r="EB103">
        <v>1.8746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-0.77900000000000003</v>
      </c>
      <c r="EQ103">
        <v>0.1217</v>
      </c>
      <c r="ER103">
        <v>-0.77899999999999603</v>
      </c>
      <c r="ES103">
        <v>0</v>
      </c>
      <c r="ET103">
        <v>0</v>
      </c>
      <c r="EU103">
        <v>0</v>
      </c>
      <c r="EV103">
        <v>0.121739999999999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7.9</v>
      </c>
      <c r="FE103">
        <v>7.9</v>
      </c>
      <c r="FF103">
        <v>1.2439</v>
      </c>
      <c r="FG103">
        <v>2.6098599999999998</v>
      </c>
      <c r="FH103">
        <v>2.19604</v>
      </c>
      <c r="FI103">
        <v>2.66113</v>
      </c>
      <c r="FJ103">
        <v>2.4462899999999999</v>
      </c>
      <c r="FK103">
        <v>2.2534200000000002</v>
      </c>
      <c r="FL103">
        <v>32.9315</v>
      </c>
      <c r="FM103">
        <v>24.1313</v>
      </c>
      <c r="FN103">
        <v>19</v>
      </c>
      <c r="FO103">
        <v>865.59400000000005</v>
      </c>
      <c r="FP103">
        <v>569.36800000000005</v>
      </c>
      <c r="FQ103">
        <v>18.581499999999998</v>
      </c>
      <c r="FR103">
        <v>25.5776</v>
      </c>
      <c r="FS103">
        <v>30.001799999999999</v>
      </c>
      <c r="FT103">
        <v>25.553599999999999</v>
      </c>
      <c r="FU103">
        <v>25.555099999999999</v>
      </c>
      <c r="FV103">
        <v>24.980399999999999</v>
      </c>
      <c r="FW103">
        <v>26.998799999999999</v>
      </c>
      <c r="FX103">
        <v>11.3927</v>
      </c>
      <c r="FY103">
        <v>18.194800000000001</v>
      </c>
      <c r="FZ103">
        <v>410</v>
      </c>
      <c r="GA103">
        <v>13.7851</v>
      </c>
      <c r="GB103">
        <v>99.874700000000004</v>
      </c>
      <c r="GC103">
        <v>99.810500000000005</v>
      </c>
    </row>
    <row r="104" spans="1:185" x14ac:dyDescent="0.2">
      <c r="A104">
        <v>89</v>
      </c>
      <c r="B104">
        <v>1769202116.0999999</v>
      </c>
      <c r="C104">
        <v>1845.0999999046301</v>
      </c>
      <c r="D104" t="s">
        <v>473</v>
      </c>
      <c r="E104" t="s">
        <v>474</v>
      </c>
      <c r="F104">
        <v>15</v>
      </c>
      <c r="G104">
        <v>1769202108.03333</v>
      </c>
      <c r="H104">
        <f t="shared" si="25"/>
        <v>1.3429239947119469E-3</v>
      </c>
      <c r="I104">
        <v>0</v>
      </c>
      <c r="J104">
        <f t="shared" si="37"/>
        <v>-1.2216244723922502E-3</v>
      </c>
      <c r="K104">
        <f t="shared" si="26"/>
        <v>-3.1491738417685308E-2</v>
      </c>
      <c r="L104">
        <f t="shared" si="27"/>
        <v>70.019806616355012</v>
      </c>
      <c r="M104">
        <f t="shared" si="28"/>
        <v>1.5452390157727831</v>
      </c>
      <c r="N104">
        <f t="shared" si="29"/>
        <v>2.2068598735773302</v>
      </c>
      <c r="O104">
        <v>0</v>
      </c>
      <c r="P104">
        <v>0</v>
      </c>
      <c r="Q104">
        <f t="shared" si="30"/>
        <v>1</v>
      </c>
      <c r="R104">
        <f t="shared" si="31"/>
        <v>0</v>
      </c>
      <c r="S104">
        <f t="shared" si="32"/>
        <v>26280.199468097358</v>
      </c>
      <c r="T104">
        <f t="shared" si="33"/>
        <v>300.00099999999998</v>
      </c>
      <c r="U104">
        <f t="shared" si="34"/>
        <v>252.90055691904644</v>
      </c>
      <c r="V104">
        <f t="shared" si="35"/>
        <v>0.84299904640000023</v>
      </c>
      <c r="W104">
        <f t="shared" si="36"/>
        <v>0.15869777190400006</v>
      </c>
      <c r="X104">
        <v>1</v>
      </c>
      <c r="Y104">
        <v>1769202108.03333</v>
      </c>
      <c r="Z104">
        <v>409.35759999999999</v>
      </c>
      <c r="AA104">
        <v>410.00540000000001</v>
      </c>
      <c r="AB104">
        <v>15.405753333333299</v>
      </c>
      <c r="AC104">
        <v>13.7529733333333</v>
      </c>
      <c r="AD104">
        <v>410.13653333333298</v>
      </c>
      <c r="AE104">
        <v>15.2840133333333</v>
      </c>
      <c r="AF104">
        <v>800.0068</v>
      </c>
      <c r="AG104">
        <v>100.23926666666701</v>
      </c>
      <c r="AH104">
        <v>6.3456760000000001E-2</v>
      </c>
      <c r="AI104">
        <v>19.0122</v>
      </c>
      <c r="AJ104">
        <v>999.9</v>
      </c>
      <c r="AK104">
        <v>999.9</v>
      </c>
      <c r="AL104">
        <v>0</v>
      </c>
      <c r="AM104">
        <v>0</v>
      </c>
      <c r="AN104">
        <v>4999.3999999999996</v>
      </c>
      <c r="AO104">
        <v>0</v>
      </c>
      <c r="AP104">
        <v>1.58087</v>
      </c>
      <c r="AQ104">
        <v>-0.64783933333333299</v>
      </c>
      <c r="AR104">
        <v>415.76273333333302</v>
      </c>
      <c r="AS104">
        <v>415.72286666666702</v>
      </c>
      <c r="AT104">
        <v>1.65276466666667</v>
      </c>
      <c r="AU104">
        <v>410.00540000000001</v>
      </c>
      <c r="AV104">
        <v>13.7529733333333</v>
      </c>
      <c r="AW104">
        <v>1.5442626666666699</v>
      </c>
      <c r="AX104">
        <v>1.37858866666667</v>
      </c>
      <c r="AY104">
        <v>13.413593333333299</v>
      </c>
      <c r="AZ104">
        <v>11.684153333333301</v>
      </c>
      <c r="BA104">
        <v>300.00099999999998</v>
      </c>
      <c r="BB104">
        <v>0.90002946666666706</v>
      </c>
      <c r="BC104">
        <v>0</v>
      </c>
      <c r="BD104">
        <v>9.9970453333333306E-2</v>
      </c>
      <c r="BE104">
        <v>0</v>
      </c>
      <c r="BF104">
        <v>24.017779999999998</v>
      </c>
      <c r="BG104">
        <v>4946.6940000000004</v>
      </c>
      <c r="BH104">
        <v>1769201629.0999999</v>
      </c>
      <c r="BI104" t="s">
        <v>420</v>
      </c>
      <c r="BJ104">
        <v>1769201629.0999999</v>
      </c>
      <c r="BK104">
        <v>1769201627.0999999</v>
      </c>
      <c r="BL104">
        <v>15</v>
      </c>
      <c r="BM104">
        <v>2.5000000000000001E-2</v>
      </c>
      <c r="BN104">
        <v>3.5999999999999997E-2</v>
      </c>
      <c r="BO104">
        <v>-0.77900000000000003</v>
      </c>
      <c r="BP104">
        <v>0.122</v>
      </c>
      <c r="BQ104">
        <v>410</v>
      </c>
      <c r="BR104">
        <v>15</v>
      </c>
      <c r="BS104">
        <v>0.28999999999999998</v>
      </c>
      <c r="BT104">
        <v>0.1</v>
      </c>
      <c r="BU104">
        <v>-0.65152745000000001</v>
      </c>
      <c r="BV104">
        <v>3.57033834586475E-2</v>
      </c>
      <c r="BW104">
        <v>1.4567692327458699E-2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1.6621195</v>
      </c>
      <c r="CD104">
        <v>-0.22644947368421101</v>
      </c>
      <c r="CE104">
        <v>2.1827291282932901E-2</v>
      </c>
      <c r="CF104">
        <v>0</v>
      </c>
      <c r="CG104">
        <v>1</v>
      </c>
      <c r="CH104">
        <v>2</v>
      </c>
      <c r="CI104" t="s">
        <v>302</v>
      </c>
      <c r="CJ104">
        <v>3.5324800000000001</v>
      </c>
      <c r="CK104">
        <v>2.7013500000000001</v>
      </c>
      <c r="CL104">
        <v>9.7942100000000004E-2</v>
      </c>
      <c r="CM104">
        <v>9.6698000000000006E-2</v>
      </c>
      <c r="CN104">
        <v>8.7002499999999997E-2</v>
      </c>
      <c r="CO104">
        <v>7.9318700000000006E-2</v>
      </c>
      <c r="CP104">
        <v>31628.1</v>
      </c>
      <c r="CQ104">
        <v>27832.1</v>
      </c>
      <c r="CR104">
        <v>32451.7</v>
      </c>
      <c r="CS104">
        <v>30738.9</v>
      </c>
      <c r="CT104">
        <v>40126.699999999997</v>
      </c>
      <c r="CU104">
        <v>39809</v>
      </c>
      <c r="CV104">
        <v>47401.599999999999</v>
      </c>
      <c r="CW104">
        <v>46888</v>
      </c>
      <c r="CX104">
        <v>2.6219600000000001</v>
      </c>
      <c r="CY104">
        <v>2.1203400000000001</v>
      </c>
      <c r="CZ104">
        <v>0</v>
      </c>
      <c r="DA104">
        <v>0</v>
      </c>
      <c r="DB104">
        <v>999.9</v>
      </c>
      <c r="DC104">
        <v>999.9</v>
      </c>
      <c r="DD104">
        <v>45.543999999999997</v>
      </c>
      <c r="DE104">
        <v>28.742000000000001</v>
      </c>
      <c r="DF104">
        <v>18.0014</v>
      </c>
      <c r="DG104">
        <v>30.4499</v>
      </c>
      <c r="DH104">
        <v>16.534500000000001</v>
      </c>
      <c r="DI104">
        <v>2</v>
      </c>
      <c r="DJ104">
        <v>-0.108963</v>
      </c>
      <c r="DK104">
        <v>2.4200699999999999</v>
      </c>
      <c r="DL104">
        <v>20.2193</v>
      </c>
      <c r="DM104">
        <v>5.2476000000000003</v>
      </c>
      <c r="DN104">
        <v>12.033899999999999</v>
      </c>
      <c r="DO104">
        <v>4.9664400000000004</v>
      </c>
      <c r="DP104">
        <v>3.2909999999999999</v>
      </c>
      <c r="DQ104">
        <v>538.1</v>
      </c>
      <c r="DR104">
        <v>9999</v>
      </c>
      <c r="DS104">
        <v>9999</v>
      </c>
      <c r="DT104">
        <v>9999</v>
      </c>
      <c r="DU104">
        <v>1.8710500000000001</v>
      </c>
      <c r="DV104">
        <v>1.8760699999999999</v>
      </c>
      <c r="DW104">
        <v>1.8762399999999999</v>
      </c>
      <c r="DX104">
        <v>1.8827799999999999</v>
      </c>
      <c r="DY104">
        <v>1.8755999999999999</v>
      </c>
      <c r="DZ104">
        <v>1.8746400000000001</v>
      </c>
      <c r="EA104">
        <v>1.87079</v>
      </c>
      <c r="EB104">
        <v>1.87456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-0.77900000000000003</v>
      </c>
      <c r="EQ104">
        <v>0.12180000000000001</v>
      </c>
      <c r="ER104">
        <v>-0.77899999999999603</v>
      </c>
      <c r="ES104">
        <v>0</v>
      </c>
      <c r="ET104">
        <v>0</v>
      </c>
      <c r="EU104">
        <v>0</v>
      </c>
      <c r="EV104">
        <v>0.121739999999999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8.1</v>
      </c>
      <c r="FE104">
        <v>8.1999999999999993</v>
      </c>
      <c r="FF104">
        <v>1.24512</v>
      </c>
      <c r="FG104">
        <v>2.6049799999999999</v>
      </c>
      <c r="FH104">
        <v>2.19604</v>
      </c>
      <c r="FI104">
        <v>2.66113</v>
      </c>
      <c r="FJ104">
        <v>2.4462899999999999</v>
      </c>
      <c r="FK104">
        <v>2.3120099999999999</v>
      </c>
      <c r="FL104">
        <v>32.9315</v>
      </c>
      <c r="FM104">
        <v>24.148800000000001</v>
      </c>
      <c r="FN104">
        <v>19</v>
      </c>
      <c r="FO104">
        <v>865.42100000000005</v>
      </c>
      <c r="FP104">
        <v>569.49800000000005</v>
      </c>
      <c r="FQ104">
        <v>18.111599999999999</v>
      </c>
      <c r="FR104">
        <v>25.580500000000001</v>
      </c>
      <c r="FS104">
        <v>29.999199999999998</v>
      </c>
      <c r="FT104">
        <v>25.5578</v>
      </c>
      <c r="FU104">
        <v>25.558599999999998</v>
      </c>
      <c r="FV104">
        <v>24.980899999999998</v>
      </c>
      <c r="FW104">
        <v>26.998799999999999</v>
      </c>
      <c r="FX104">
        <v>11.022500000000001</v>
      </c>
      <c r="FY104">
        <v>18.152699999999999</v>
      </c>
      <c r="FZ104">
        <v>410</v>
      </c>
      <c r="GA104">
        <v>13.7971</v>
      </c>
      <c r="GB104">
        <v>99.874499999999998</v>
      </c>
      <c r="GC104">
        <v>99.805999999999997</v>
      </c>
    </row>
    <row r="105" spans="1:185" x14ac:dyDescent="0.2">
      <c r="A105">
        <v>90</v>
      </c>
      <c r="B105">
        <v>1769202131.0999999</v>
      </c>
      <c r="C105">
        <v>1860.0999999046301</v>
      </c>
      <c r="D105" t="s">
        <v>475</v>
      </c>
      <c r="E105" t="s">
        <v>476</v>
      </c>
      <c r="F105">
        <v>15</v>
      </c>
      <c r="G105">
        <v>1769202123.03333</v>
      </c>
      <c r="H105">
        <f t="shared" si="25"/>
        <v>1.3294624559393609E-3</v>
      </c>
      <c r="I105">
        <v>0</v>
      </c>
      <c r="J105">
        <f t="shared" si="37"/>
        <v>-1.2684370581945296E-3</v>
      </c>
      <c r="K105">
        <f t="shared" si="26"/>
        <v>-3.2698500184543129E-2</v>
      </c>
      <c r="L105">
        <f t="shared" si="27"/>
        <v>69.938715914745558</v>
      </c>
      <c r="M105">
        <f t="shared" si="28"/>
        <v>1.5410485688463567</v>
      </c>
      <c r="N105">
        <f t="shared" si="29"/>
        <v>2.2034270270630589</v>
      </c>
      <c r="O105">
        <v>0</v>
      </c>
      <c r="P105">
        <v>0</v>
      </c>
      <c r="Q105">
        <f t="shared" si="30"/>
        <v>1</v>
      </c>
      <c r="R105">
        <f t="shared" si="31"/>
        <v>0</v>
      </c>
      <c r="S105">
        <f t="shared" si="32"/>
        <v>26306.130423871931</v>
      </c>
      <c r="T105">
        <f t="shared" si="33"/>
        <v>299.99919999999997</v>
      </c>
      <c r="U105">
        <f t="shared" si="34"/>
        <v>252.8990383807658</v>
      </c>
      <c r="V105">
        <f t="shared" si="35"/>
        <v>0.84299904259999969</v>
      </c>
      <c r="W105">
        <f t="shared" si="36"/>
        <v>0.15869764547599996</v>
      </c>
      <c r="X105">
        <v>1</v>
      </c>
      <c r="Y105">
        <v>1769202123.03333</v>
      </c>
      <c r="Z105">
        <v>409.35286666666701</v>
      </c>
      <c r="AA105">
        <v>409.99226666666698</v>
      </c>
      <c r="AB105">
        <v>15.3639733333333</v>
      </c>
      <c r="AC105">
        <v>13.727679999999999</v>
      </c>
      <c r="AD105">
        <v>410.13186666666701</v>
      </c>
      <c r="AE105">
        <v>15.242226666666699</v>
      </c>
      <c r="AF105">
        <v>800.00120000000004</v>
      </c>
      <c r="AG105">
        <v>100.2392</v>
      </c>
      <c r="AH105">
        <v>6.3536499999999996E-2</v>
      </c>
      <c r="AI105">
        <v>18.9872533333333</v>
      </c>
      <c r="AJ105">
        <v>999.9</v>
      </c>
      <c r="AK105">
        <v>999.9</v>
      </c>
      <c r="AL105">
        <v>0</v>
      </c>
      <c r="AM105">
        <v>0</v>
      </c>
      <c r="AN105">
        <v>5003.3</v>
      </c>
      <c r="AO105">
        <v>0</v>
      </c>
      <c r="AP105">
        <v>1.58087</v>
      </c>
      <c r="AQ105">
        <v>-0.63943486666666705</v>
      </c>
      <c r="AR105">
        <v>415.74020000000002</v>
      </c>
      <c r="AS105">
        <v>415.69886666666702</v>
      </c>
      <c r="AT105">
        <v>1.6363046666666701</v>
      </c>
      <c r="AU105">
        <v>409.99226666666698</v>
      </c>
      <c r="AV105">
        <v>13.727679999999999</v>
      </c>
      <c r="AW105">
        <v>1.54007466666667</v>
      </c>
      <c r="AX105">
        <v>1.37605133333333</v>
      </c>
      <c r="AY105">
        <v>13.371926666666701</v>
      </c>
      <c r="AZ105">
        <v>11.65626</v>
      </c>
      <c r="BA105">
        <v>299.99919999999997</v>
      </c>
      <c r="BB105">
        <v>0.90003133333333296</v>
      </c>
      <c r="BC105">
        <v>0</v>
      </c>
      <c r="BD105">
        <v>9.9968646666666702E-2</v>
      </c>
      <c r="BE105">
        <v>0</v>
      </c>
      <c r="BF105">
        <v>24.5222266666667</v>
      </c>
      <c r="BG105">
        <v>4946.6666666666697</v>
      </c>
      <c r="BH105">
        <v>1769201629.0999999</v>
      </c>
      <c r="BI105" t="s">
        <v>420</v>
      </c>
      <c r="BJ105">
        <v>1769201629.0999999</v>
      </c>
      <c r="BK105">
        <v>1769201627.0999999</v>
      </c>
      <c r="BL105">
        <v>15</v>
      </c>
      <c r="BM105">
        <v>2.5000000000000001E-2</v>
      </c>
      <c r="BN105">
        <v>3.5999999999999997E-2</v>
      </c>
      <c r="BO105">
        <v>-0.77900000000000003</v>
      </c>
      <c r="BP105">
        <v>0.122</v>
      </c>
      <c r="BQ105">
        <v>410</v>
      </c>
      <c r="BR105">
        <v>15</v>
      </c>
      <c r="BS105">
        <v>0.28999999999999998</v>
      </c>
      <c r="BT105">
        <v>0.1</v>
      </c>
      <c r="BU105">
        <v>-0.64196490476190504</v>
      </c>
      <c r="BV105">
        <v>8.8503974025974597E-2</v>
      </c>
      <c r="BW105">
        <v>2.30505751770087E-2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1.63630761904762</v>
      </c>
      <c r="CD105">
        <v>-3.3282857142855601E-2</v>
      </c>
      <c r="CE105">
        <v>8.6777843917738295E-3</v>
      </c>
      <c r="CF105">
        <v>1</v>
      </c>
      <c r="CG105">
        <v>2</v>
      </c>
      <c r="CH105">
        <v>2</v>
      </c>
      <c r="CI105" t="s">
        <v>297</v>
      </c>
      <c r="CJ105">
        <v>3.5325299999999999</v>
      </c>
      <c r="CK105">
        <v>2.70133</v>
      </c>
      <c r="CL105">
        <v>9.7931199999999996E-2</v>
      </c>
      <c r="CM105">
        <v>9.6698500000000007E-2</v>
      </c>
      <c r="CN105">
        <v>8.6893100000000001E-2</v>
      </c>
      <c r="CO105">
        <v>7.9305299999999995E-2</v>
      </c>
      <c r="CP105">
        <v>31629</v>
      </c>
      <c r="CQ105">
        <v>27832.799999999999</v>
      </c>
      <c r="CR105">
        <v>32452.2</v>
      </c>
      <c r="CS105">
        <v>30739.8</v>
      </c>
      <c r="CT105">
        <v>40132.300000000003</v>
      </c>
      <c r="CU105">
        <v>39810.699999999997</v>
      </c>
      <c r="CV105">
        <v>47402.3</v>
      </c>
      <c r="CW105">
        <v>46889.3</v>
      </c>
      <c r="CX105">
        <v>2.6221000000000001</v>
      </c>
      <c r="CY105">
        <v>2.11992</v>
      </c>
      <c r="CZ105">
        <v>0</v>
      </c>
      <c r="DA105">
        <v>0</v>
      </c>
      <c r="DB105">
        <v>999.9</v>
      </c>
      <c r="DC105">
        <v>999.9</v>
      </c>
      <c r="DD105">
        <v>45.488999999999997</v>
      </c>
      <c r="DE105">
        <v>28.751999999999999</v>
      </c>
      <c r="DF105">
        <v>17.9907</v>
      </c>
      <c r="DG105">
        <v>30.2699</v>
      </c>
      <c r="DH105">
        <v>16.446300000000001</v>
      </c>
      <c r="DI105">
        <v>2</v>
      </c>
      <c r="DJ105">
        <v>-0.110413</v>
      </c>
      <c r="DK105">
        <v>2.1948599999999998</v>
      </c>
      <c r="DL105">
        <v>20.223099999999999</v>
      </c>
      <c r="DM105">
        <v>5.24796</v>
      </c>
      <c r="DN105">
        <v>12.033899999999999</v>
      </c>
      <c r="DO105">
        <v>4.9663199999999996</v>
      </c>
      <c r="DP105">
        <v>3.2909999999999999</v>
      </c>
      <c r="DQ105">
        <v>538.1</v>
      </c>
      <c r="DR105">
        <v>9999</v>
      </c>
      <c r="DS105">
        <v>9999</v>
      </c>
      <c r="DT105">
        <v>9999</v>
      </c>
      <c r="DU105">
        <v>1.8710500000000001</v>
      </c>
      <c r="DV105">
        <v>1.87608</v>
      </c>
      <c r="DW105">
        <v>1.8762399999999999</v>
      </c>
      <c r="DX105">
        <v>1.8827799999999999</v>
      </c>
      <c r="DY105">
        <v>1.8755999999999999</v>
      </c>
      <c r="DZ105">
        <v>1.8746400000000001</v>
      </c>
      <c r="EA105">
        <v>1.87083</v>
      </c>
      <c r="EB105">
        <v>1.8745799999999999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-0.77900000000000003</v>
      </c>
      <c r="EQ105">
        <v>0.12180000000000001</v>
      </c>
      <c r="ER105">
        <v>-0.77899999999999603</v>
      </c>
      <c r="ES105">
        <v>0</v>
      </c>
      <c r="ET105">
        <v>0</v>
      </c>
      <c r="EU105">
        <v>0</v>
      </c>
      <c r="EV105">
        <v>0.121739999999999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8.4</v>
      </c>
      <c r="FE105">
        <v>8.4</v>
      </c>
      <c r="FF105">
        <v>1.2439</v>
      </c>
      <c r="FG105">
        <v>2.6061999999999999</v>
      </c>
      <c r="FH105">
        <v>2.19604</v>
      </c>
      <c r="FI105">
        <v>2.66113</v>
      </c>
      <c r="FJ105">
        <v>2.4462899999999999</v>
      </c>
      <c r="FK105">
        <v>2.3132299999999999</v>
      </c>
      <c r="FL105">
        <v>32.9315</v>
      </c>
      <c r="FM105">
        <v>24.148800000000001</v>
      </c>
      <c r="FN105">
        <v>19</v>
      </c>
      <c r="FO105">
        <v>865.61300000000006</v>
      </c>
      <c r="FP105">
        <v>569.226</v>
      </c>
      <c r="FQ105">
        <v>18.157399999999999</v>
      </c>
      <c r="FR105">
        <v>25.582699999999999</v>
      </c>
      <c r="FS105">
        <v>29.999700000000001</v>
      </c>
      <c r="FT105">
        <v>25.561800000000002</v>
      </c>
      <c r="FU105">
        <v>25.562799999999999</v>
      </c>
      <c r="FV105">
        <v>24.981200000000001</v>
      </c>
      <c r="FW105">
        <v>26.720099999999999</v>
      </c>
      <c r="FX105">
        <v>11.022500000000001</v>
      </c>
      <c r="FY105">
        <v>18.173999999999999</v>
      </c>
      <c r="FZ105">
        <v>410</v>
      </c>
      <c r="GA105">
        <v>13.7971</v>
      </c>
      <c r="GB105">
        <v>99.876099999999994</v>
      </c>
      <c r="GC105">
        <v>99.808700000000002</v>
      </c>
    </row>
    <row r="106" spans="1:185" x14ac:dyDescent="0.2">
      <c r="A106">
        <v>91</v>
      </c>
      <c r="B106">
        <v>1769202146.0999999</v>
      </c>
      <c r="C106">
        <v>1875.0999999046301</v>
      </c>
      <c r="D106" t="s">
        <v>477</v>
      </c>
      <c r="E106" t="s">
        <v>478</v>
      </c>
      <c r="F106">
        <v>15</v>
      </c>
      <c r="G106">
        <v>1769202138.03333</v>
      </c>
      <c r="H106">
        <f t="shared" si="25"/>
        <v>1.3079461648414688E-3</v>
      </c>
      <c r="I106">
        <v>0</v>
      </c>
      <c r="J106">
        <f t="shared" si="37"/>
        <v>-6.5050000902035928E-5</v>
      </c>
      <c r="K106">
        <f t="shared" si="26"/>
        <v>-1.6768963448035327E-3</v>
      </c>
      <c r="L106">
        <f t="shared" si="27"/>
        <v>69.912235531747569</v>
      </c>
      <c r="M106">
        <f t="shared" si="28"/>
        <v>1.5394014790782315</v>
      </c>
      <c r="N106">
        <f t="shared" si="29"/>
        <v>2.2019056712600471</v>
      </c>
      <c r="O106">
        <v>0</v>
      </c>
      <c r="P106">
        <v>0</v>
      </c>
      <c r="Q106">
        <f t="shared" si="30"/>
        <v>1</v>
      </c>
      <c r="R106">
        <f t="shared" si="31"/>
        <v>0</v>
      </c>
      <c r="S106">
        <f t="shared" si="32"/>
        <v>26251.303545662999</v>
      </c>
      <c r="T106">
        <f t="shared" si="33"/>
        <v>299.99959999999999</v>
      </c>
      <c r="U106">
        <f t="shared" si="34"/>
        <v>252.8993107204696</v>
      </c>
      <c r="V106">
        <f t="shared" si="35"/>
        <v>0.84299882640000057</v>
      </c>
      <c r="W106">
        <f t="shared" si="36"/>
        <v>0.15869709198400009</v>
      </c>
      <c r="X106">
        <v>1</v>
      </c>
      <c r="Y106">
        <v>1769202138.03333</v>
      </c>
      <c r="Z106">
        <v>409.33666666666699</v>
      </c>
      <c r="AA106">
        <v>410.00380000000001</v>
      </c>
      <c r="AB106">
        <v>15.3476133333333</v>
      </c>
      <c r="AC106">
        <v>13.7377933333333</v>
      </c>
      <c r="AD106">
        <v>410.11559999999997</v>
      </c>
      <c r="AE106">
        <v>15.225873333333301</v>
      </c>
      <c r="AF106">
        <v>800.01013333333299</v>
      </c>
      <c r="AG106">
        <v>100.2388</v>
      </c>
      <c r="AH106">
        <v>6.3536633333333301E-2</v>
      </c>
      <c r="AI106">
        <v>18.976186666666699</v>
      </c>
      <c r="AJ106">
        <v>999.9</v>
      </c>
      <c r="AK106">
        <v>999.9</v>
      </c>
      <c r="AL106">
        <v>0</v>
      </c>
      <c r="AM106">
        <v>0</v>
      </c>
      <c r="AN106">
        <v>4994.1333333333296</v>
      </c>
      <c r="AO106">
        <v>0</v>
      </c>
      <c r="AP106">
        <v>1.58087</v>
      </c>
      <c r="AQ106">
        <v>-0.6673076</v>
      </c>
      <c r="AR106">
        <v>415.71699999999998</v>
      </c>
      <c r="AS106">
        <v>415.71493333333302</v>
      </c>
      <c r="AT106">
        <v>1.6098273333333299</v>
      </c>
      <c r="AU106">
        <v>410.00380000000001</v>
      </c>
      <c r="AV106">
        <v>13.7377933333333</v>
      </c>
      <c r="AW106">
        <v>1.5384260000000001</v>
      </c>
      <c r="AX106">
        <v>1.3770613333333299</v>
      </c>
      <c r="AY106">
        <v>13.3555333333333</v>
      </c>
      <c r="AZ106">
        <v>11.6673666666667</v>
      </c>
      <c r="BA106">
        <v>299.99959999999999</v>
      </c>
      <c r="BB106">
        <v>0.90003873333333395</v>
      </c>
      <c r="BC106">
        <v>0</v>
      </c>
      <c r="BD106">
        <v>9.9961253333333305E-2</v>
      </c>
      <c r="BE106">
        <v>0</v>
      </c>
      <c r="BF106">
        <v>24.666699999999999</v>
      </c>
      <c r="BG106">
        <v>4946.6840000000002</v>
      </c>
      <c r="BH106">
        <v>1769201629.0999999</v>
      </c>
      <c r="BI106" t="s">
        <v>420</v>
      </c>
      <c r="BJ106">
        <v>1769201629.0999999</v>
      </c>
      <c r="BK106">
        <v>1769201627.0999999</v>
      </c>
      <c r="BL106">
        <v>15</v>
      </c>
      <c r="BM106">
        <v>2.5000000000000001E-2</v>
      </c>
      <c r="BN106">
        <v>3.5999999999999997E-2</v>
      </c>
      <c r="BO106">
        <v>-0.77900000000000003</v>
      </c>
      <c r="BP106">
        <v>0.122</v>
      </c>
      <c r="BQ106">
        <v>410</v>
      </c>
      <c r="BR106">
        <v>15</v>
      </c>
      <c r="BS106">
        <v>0.28999999999999998</v>
      </c>
      <c r="BT106">
        <v>0.1</v>
      </c>
      <c r="BU106">
        <v>-0.65079028571428599</v>
      </c>
      <c r="BV106">
        <v>-0.18166044155844299</v>
      </c>
      <c r="BW106">
        <v>3.7619855622546203E-2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1.61660714285714</v>
      </c>
      <c r="CD106">
        <v>-9.3580519480520402E-2</v>
      </c>
      <c r="CE106">
        <v>1.16620341045541E-2</v>
      </c>
      <c r="CF106">
        <v>1</v>
      </c>
      <c r="CG106">
        <v>2</v>
      </c>
      <c r="CH106">
        <v>2</v>
      </c>
      <c r="CI106" t="s">
        <v>297</v>
      </c>
      <c r="CJ106">
        <v>3.53254</v>
      </c>
      <c r="CK106">
        <v>2.7013600000000002</v>
      </c>
      <c r="CL106">
        <v>9.7934300000000002E-2</v>
      </c>
      <c r="CM106">
        <v>9.6704200000000004E-2</v>
      </c>
      <c r="CN106">
        <v>8.6852899999999997E-2</v>
      </c>
      <c r="CO106">
        <v>7.9279699999999995E-2</v>
      </c>
      <c r="CP106">
        <v>31628.2</v>
      </c>
      <c r="CQ106">
        <v>27833.1</v>
      </c>
      <c r="CR106">
        <v>32451.5</v>
      </c>
      <c r="CS106">
        <v>30740.2</v>
      </c>
      <c r="CT106">
        <v>40133.300000000003</v>
      </c>
      <c r="CU106">
        <v>39812.5</v>
      </c>
      <c r="CV106">
        <v>47401.3</v>
      </c>
      <c r="CW106">
        <v>46890</v>
      </c>
      <c r="CX106">
        <v>2.62208</v>
      </c>
      <c r="CY106">
        <v>2.12</v>
      </c>
      <c r="CZ106">
        <v>0</v>
      </c>
      <c r="DA106">
        <v>0</v>
      </c>
      <c r="DB106">
        <v>999.9</v>
      </c>
      <c r="DC106">
        <v>999.9</v>
      </c>
      <c r="DD106">
        <v>45.465000000000003</v>
      </c>
      <c r="DE106">
        <v>28.751999999999999</v>
      </c>
      <c r="DF106">
        <v>17.9819</v>
      </c>
      <c r="DG106">
        <v>30.389900000000001</v>
      </c>
      <c r="DH106">
        <v>16.406199999999998</v>
      </c>
      <c r="DI106">
        <v>2</v>
      </c>
      <c r="DJ106">
        <v>-0.11031299999999999</v>
      </c>
      <c r="DK106">
        <v>2.1291099999999998</v>
      </c>
      <c r="DL106">
        <v>20.224799999999998</v>
      </c>
      <c r="DM106">
        <v>5.2478400000000001</v>
      </c>
      <c r="DN106">
        <v>12.033899999999999</v>
      </c>
      <c r="DO106">
        <v>4.9661600000000004</v>
      </c>
      <c r="DP106">
        <v>3.2909999999999999</v>
      </c>
      <c r="DQ106">
        <v>538.1</v>
      </c>
      <c r="DR106">
        <v>9999</v>
      </c>
      <c r="DS106">
        <v>9999</v>
      </c>
      <c r="DT106">
        <v>9999</v>
      </c>
      <c r="DU106">
        <v>1.8710800000000001</v>
      </c>
      <c r="DV106">
        <v>1.8760699999999999</v>
      </c>
      <c r="DW106">
        <v>1.87626</v>
      </c>
      <c r="DX106">
        <v>1.8827799999999999</v>
      </c>
      <c r="DY106">
        <v>1.8755900000000001</v>
      </c>
      <c r="DZ106">
        <v>1.8746499999999999</v>
      </c>
      <c r="EA106">
        <v>1.8708</v>
      </c>
      <c r="EB106">
        <v>1.87459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-0.77900000000000003</v>
      </c>
      <c r="EQ106">
        <v>0.12180000000000001</v>
      </c>
      <c r="ER106">
        <v>-0.77899999999999603</v>
      </c>
      <c r="ES106">
        <v>0</v>
      </c>
      <c r="ET106">
        <v>0</v>
      </c>
      <c r="EU106">
        <v>0</v>
      </c>
      <c r="EV106">
        <v>0.121739999999999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8.6</v>
      </c>
      <c r="FE106">
        <v>8.6999999999999993</v>
      </c>
      <c r="FF106">
        <v>1.2439</v>
      </c>
      <c r="FG106">
        <v>2.6013199999999999</v>
      </c>
      <c r="FH106">
        <v>2.19604</v>
      </c>
      <c r="FI106">
        <v>2.66113</v>
      </c>
      <c r="FJ106">
        <v>2.4462899999999999</v>
      </c>
      <c r="FK106">
        <v>2.3120099999999999</v>
      </c>
      <c r="FL106">
        <v>32.9315</v>
      </c>
      <c r="FM106">
        <v>24.14</v>
      </c>
      <c r="FN106">
        <v>19</v>
      </c>
      <c r="FO106">
        <v>865.63599999999997</v>
      </c>
      <c r="FP106">
        <v>569.33299999999997</v>
      </c>
      <c r="FQ106">
        <v>18.2105</v>
      </c>
      <c r="FR106">
        <v>25.584900000000001</v>
      </c>
      <c r="FS106">
        <v>30.0002</v>
      </c>
      <c r="FT106">
        <v>25.564399999999999</v>
      </c>
      <c r="FU106">
        <v>25.5671</v>
      </c>
      <c r="FV106">
        <v>24.98</v>
      </c>
      <c r="FW106">
        <v>26.720099999999999</v>
      </c>
      <c r="FX106">
        <v>11.022500000000001</v>
      </c>
      <c r="FY106">
        <v>18.222300000000001</v>
      </c>
      <c r="FZ106">
        <v>410</v>
      </c>
      <c r="GA106">
        <v>13.797800000000001</v>
      </c>
      <c r="GB106">
        <v>99.873900000000006</v>
      </c>
      <c r="GC106">
        <v>99.810299999999998</v>
      </c>
    </row>
    <row r="107" spans="1:185" x14ac:dyDescent="0.2">
      <c r="A107">
        <v>92</v>
      </c>
      <c r="B107">
        <v>1769202161.0999999</v>
      </c>
      <c r="C107">
        <v>1890.0999999046301</v>
      </c>
      <c r="D107" t="s">
        <v>479</v>
      </c>
      <c r="E107" t="s">
        <v>480</v>
      </c>
      <c r="F107">
        <v>15</v>
      </c>
      <c r="G107">
        <v>1769202153.03333</v>
      </c>
      <c r="H107">
        <f t="shared" si="25"/>
        <v>1.2830903095657465E-3</v>
      </c>
      <c r="I107">
        <v>0</v>
      </c>
      <c r="J107">
        <f t="shared" si="37"/>
        <v>-7.4507793598278923E-4</v>
      </c>
      <c r="K107">
        <f t="shared" si="26"/>
        <v>-1.9207047657461226E-2</v>
      </c>
      <c r="L107">
        <f t="shared" si="27"/>
        <v>69.917395358337643</v>
      </c>
      <c r="M107">
        <f t="shared" si="28"/>
        <v>1.5393652032098217</v>
      </c>
      <c r="N107">
        <f t="shared" si="29"/>
        <v>2.201691289156773</v>
      </c>
      <c r="O107">
        <v>0</v>
      </c>
      <c r="P107">
        <v>0</v>
      </c>
      <c r="Q107">
        <f t="shared" si="30"/>
        <v>1</v>
      </c>
      <c r="R107">
        <f t="shared" si="31"/>
        <v>0</v>
      </c>
      <c r="S107">
        <f t="shared" si="32"/>
        <v>26353.884724695898</v>
      </c>
      <c r="T107">
        <f t="shared" si="33"/>
        <v>299.999866666667</v>
      </c>
      <c r="U107">
        <f t="shared" si="34"/>
        <v>252.8995326401581</v>
      </c>
      <c r="V107">
        <f t="shared" si="35"/>
        <v>0.84299881680000022</v>
      </c>
      <c r="W107">
        <f t="shared" si="36"/>
        <v>0.15869709396800005</v>
      </c>
      <c r="X107">
        <v>1</v>
      </c>
      <c r="Y107">
        <v>1769202153.03333</v>
      </c>
      <c r="Z107">
        <v>409.355866666667</v>
      </c>
      <c r="AA107">
        <v>409.98840000000001</v>
      </c>
      <c r="AB107">
        <v>15.34726</v>
      </c>
      <c r="AC107">
        <v>13.7680333333333</v>
      </c>
      <c r="AD107">
        <v>410.13479999999998</v>
      </c>
      <c r="AE107">
        <v>15.225526666666701</v>
      </c>
      <c r="AF107">
        <v>800.01080000000002</v>
      </c>
      <c r="AG107">
        <v>100.238533333333</v>
      </c>
      <c r="AH107">
        <v>6.3748846666666706E-2</v>
      </c>
      <c r="AI107">
        <v>18.974626666666701</v>
      </c>
      <c r="AJ107">
        <v>999.9</v>
      </c>
      <c r="AK107">
        <v>999.9</v>
      </c>
      <c r="AL107">
        <v>0</v>
      </c>
      <c r="AM107">
        <v>0</v>
      </c>
      <c r="AN107">
        <v>5011</v>
      </c>
      <c r="AO107">
        <v>0</v>
      </c>
      <c r="AP107">
        <v>1.58087</v>
      </c>
      <c r="AQ107">
        <v>-0.632548</v>
      </c>
      <c r="AR107">
        <v>415.73633333333299</v>
      </c>
      <c r="AS107">
        <v>415.71213333333299</v>
      </c>
      <c r="AT107">
        <v>1.5792266666666701</v>
      </c>
      <c r="AU107">
        <v>409.98840000000001</v>
      </c>
      <c r="AV107">
        <v>13.7680333333333</v>
      </c>
      <c r="AW107">
        <v>1.53838733333333</v>
      </c>
      <c r="AX107">
        <v>1.3800886666666701</v>
      </c>
      <c r="AY107">
        <v>13.355119999999999</v>
      </c>
      <c r="AZ107">
        <v>11.7005933333333</v>
      </c>
      <c r="BA107">
        <v>299.999866666667</v>
      </c>
      <c r="BB107">
        <v>0.90003866666666699</v>
      </c>
      <c r="BC107">
        <v>0</v>
      </c>
      <c r="BD107">
        <v>9.9961306666666694E-2</v>
      </c>
      <c r="BE107">
        <v>0</v>
      </c>
      <c r="BF107">
        <v>24.713353333333298</v>
      </c>
      <c r="BG107">
        <v>4946.6913333333296</v>
      </c>
      <c r="BH107">
        <v>1769201629.0999999</v>
      </c>
      <c r="BI107" t="s">
        <v>420</v>
      </c>
      <c r="BJ107">
        <v>1769201629.0999999</v>
      </c>
      <c r="BK107">
        <v>1769201627.0999999</v>
      </c>
      <c r="BL107">
        <v>15</v>
      </c>
      <c r="BM107">
        <v>2.5000000000000001E-2</v>
      </c>
      <c r="BN107">
        <v>3.5999999999999997E-2</v>
      </c>
      <c r="BO107">
        <v>-0.77900000000000003</v>
      </c>
      <c r="BP107">
        <v>0.122</v>
      </c>
      <c r="BQ107">
        <v>410</v>
      </c>
      <c r="BR107">
        <v>15</v>
      </c>
      <c r="BS107">
        <v>0.28999999999999998</v>
      </c>
      <c r="BT107">
        <v>0.1</v>
      </c>
      <c r="BU107">
        <v>-0.64660795238095203</v>
      </c>
      <c r="BV107">
        <v>0.30504023376623401</v>
      </c>
      <c r="BW107">
        <v>4.1478892175907799E-2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1.58794428571429</v>
      </c>
      <c r="CD107">
        <v>-0.19549402597402499</v>
      </c>
      <c r="CE107">
        <v>2.1214552411342701E-2</v>
      </c>
      <c r="CF107">
        <v>0</v>
      </c>
      <c r="CG107">
        <v>1</v>
      </c>
      <c r="CH107">
        <v>2</v>
      </c>
      <c r="CI107" t="s">
        <v>302</v>
      </c>
      <c r="CJ107">
        <v>3.5325600000000001</v>
      </c>
      <c r="CK107">
        <v>2.7015099999999999</v>
      </c>
      <c r="CL107">
        <v>9.7934499999999994E-2</v>
      </c>
      <c r="CM107">
        <v>9.66915E-2</v>
      </c>
      <c r="CN107">
        <v>8.6883199999999994E-2</v>
      </c>
      <c r="CO107">
        <v>7.9504099999999994E-2</v>
      </c>
      <c r="CP107">
        <v>31627.9</v>
      </c>
      <c r="CQ107">
        <v>27833.200000000001</v>
      </c>
      <c r="CR107">
        <v>32451.200000000001</v>
      </c>
      <c r="CS107">
        <v>30740</v>
      </c>
      <c r="CT107">
        <v>40131.4</v>
      </c>
      <c r="CU107">
        <v>39802.400000000001</v>
      </c>
      <c r="CV107">
        <v>47400.7</v>
      </c>
      <c r="CW107">
        <v>46889.8</v>
      </c>
      <c r="CX107">
        <v>2.6219000000000001</v>
      </c>
      <c r="CY107">
        <v>2.1202800000000002</v>
      </c>
      <c r="CZ107">
        <v>0</v>
      </c>
      <c r="DA107">
        <v>0</v>
      </c>
      <c r="DB107">
        <v>999.9</v>
      </c>
      <c r="DC107">
        <v>999.9</v>
      </c>
      <c r="DD107">
        <v>45.44</v>
      </c>
      <c r="DE107">
        <v>28.751999999999999</v>
      </c>
      <c r="DF107">
        <v>17.969899999999999</v>
      </c>
      <c r="DG107">
        <v>29.9999</v>
      </c>
      <c r="DH107">
        <v>16.482399999999998</v>
      </c>
      <c r="DI107">
        <v>2</v>
      </c>
      <c r="DJ107">
        <v>-0.11028499999999999</v>
      </c>
      <c r="DK107">
        <v>2.0829399999999998</v>
      </c>
      <c r="DL107">
        <v>20.2255</v>
      </c>
      <c r="DM107">
        <v>5.2480799999999999</v>
      </c>
      <c r="DN107">
        <v>12.033899999999999</v>
      </c>
      <c r="DO107">
        <v>4.96624</v>
      </c>
      <c r="DP107">
        <v>3.2909999999999999</v>
      </c>
      <c r="DQ107">
        <v>538.1</v>
      </c>
      <c r="DR107">
        <v>9999</v>
      </c>
      <c r="DS107">
        <v>9999</v>
      </c>
      <c r="DT107">
        <v>9999</v>
      </c>
      <c r="DU107">
        <v>1.87107</v>
      </c>
      <c r="DV107">
        <v>1.8760699999999999</v>
      </c>
      <c r="DW107">
        <v>1.87629</v>
      </c>
      <c r="DX107">
        <v>1.8827799999999999</v>
      </c>
      <c r="DY107">
        <v>1.87558</v>
      </c>
      <c r="DZ107">
        <v>1.87466</v>
      </c>
      <c r="EA107">
        <v>1.8708100000000001</v>
      </c>
      <c r="EB107">
        <v>1.8745799999999999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-0.77900000000000003</v>
      </c>
      <c r="EQ107">
        <v>0.1217</v>
      </c>
      <c r="ER107">
        <v>-0.77899999999999603</v>
      </c>
      <c r="ES107">
        <v>0</v>
      </c>
      <c r="ET107">
        <v>0</v>
      </c>
      <c r="EU107">
        <v>0</v>
      </c>
      <c r="EV107">
        <v>0.121739999999999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8.9</v>
      </c>
      <c r="FE107">
        <v>8.9</v>
      </c>
      <c r="FF107">
        <v>1.24512</v>
      </c>
      <c r="FG107">
        <v>2.6025399999999999</v>
      </c>
      <c r="FH107">
        <v>2.19604</v>
      </c>
      <c r="FI107">
        <v>2.66113</v>
      </c>
      <c r="FJ107">
        <v>2.4462899999999999</v>
      </c>
      <c r="FK107">
        <v>2.3022499999999999</v>
      </c>
      <c r="FL107">
        <v>32.9315</v>
      </c>
      <c r="FM107">
        <v>24.148800000000001</v>
      </c>
      <c r="FN107">
        <v>19</v>
      </c>
      <c r="FO107">
        <v>865.53800000000001</v>
      </c>
      <c r="FP107">
        <v>569.58799999999997</v>
      </c>
      <c r="FQ107">
        <v>18.267199999999999</v>
      </c>
      <c r="FR107">
        <v>25.589099999999998</v>
      </c>
      <c r="FS107">
        <v>30</v>
      </c>
      <c r="FT107">
        <v>25.5686</v>
      </c>
      <c r="FU107">
        <v>25.571000000000002</v>
      </c>
      <c r="FV107">
        <v>24.982600000000001</v>
      </c>
      <c r="FW107">
        <v>26.441400000000002</v>
      </c>
      <c r="FX107">
        <v>10.6517</v>
      </c>
      <c r="FY107">
        <v>18.277000000000001</v>
      </c>
      <c r="FZ107">
        <v>410</v>
      </c>
      <c r="GA107">
        <v>13.798299999999999</v>
      </c>
      <c r="GB107">
        <v>99.872799999999998</v>
      </c>
      <c r="GC107">
        <v>99.809700000000007</v>
      </c>
    </row>
    <row r="108" spans="1:185" x14ac:dyDescent="0.2">
      <c r="A108">
        <v>93</v>
      </c>
      <c r="B108">
        <v>1769202176.0999999</v>
      </c>
      <c r="C108">
        <v>1905.0999999046301</v>
      </c>
      <c r="D108" t="s">
        <v>481</v>
      </c>
      <c r="E108" t="s">
        <v>482</v>
      </c>
      <c r="F108">
        <v>15</v>
      </c>
      <c r="G108">
        <v>1769202168.03333</v>
      </c>
      <c r="H108">
        <f t="shared" si="25"/>
        <v>1.288523648398629E-3</v>
      </c>
      <c r="I108">
        <v>0</v>
      </c>
      <c r="J108">
        <f t="shared" si="37"/>
        <v>3.3981436484220161E-4</v>
      </c>
      <c r="K108">
        <f t="shared" si="26"/>
        <v>8.75993018314912E-3</v>
      </c>
      <c r="L108">
        <f t="shared" si="27"/>
        <v>69.915618125607253</v>
      </c>
      <c r="M108">
        <f t="shared" si="28"/>
        <v>1.5398411224697435</v>
      </c>
      <c r="N108">
        <f t="shared" si="29"/>
        <v>2.2024279606644317</v>
      </c>
      <c r="O108">
        <v>0</v>
      </c>
      <c r="P108">
        <v>0</v>
      </c>
      <c r="Q108">
        <f t="shared" si="30"/>
        <v>1</v>
      </c>
      <c r="R108">
        <f t="shared" si="31"/>
        <v>0</v>
      </c>
      <c r="S108">
        <f t="shared" si="32"/>
        <v>26287.248719711395</v>
      </c>
      <c r="T108">
        <f t="shared" si="33"/>
        <v>300.00106666666699</v>
      </c>
      <c r="U108">
        <f t="shared" si="34"/>
        <v>252.90051099861992</v>
      </c>
      <c r="V108">
        <f t="shared" si="35"/>
        <v>0.84299870599999971</v>
      </c>
      <c r="W108">
        <f t="shared" si="36"/>
        <v>0.15869715475999996</v>
      </c>
      <c r="X108">
        <v>1</v>
      </c>
      <c r="Y108">
        <v>1769202168.03333</v>
      </c>
      <c r="Z108">
        <v>409.34739999999999</v>
      </c>
      <c r="AA108">
        <v>410.01766666666703</v>
      </c>
      <c r="AB108">
        <v>15.35196</v>
      </c>
      <c r="AC108">
        <v>13.766033333333301</v>
      </c>
      <c r="AD108">
        <v>410.12639999999999</v>
      </c>
      <c r="AE108">
        <v>15.2302133333333</v>
      </c>
      <c r="AF108">
        <v>800.00059999999996</v>
      </c>
      <c r="AG108">
        <v>100.23886666666699</v>
      </c>
      <c r="AH108">
        <v>6.3708539999999994E-2</v>
      </c>
      <c r="AI108">
        <v>18.979986666666701</v>
      </c>
      <c r="AJ108">
        <v>999.9</v>
      </c>
      <c r="AK108">
        <v>999.9</v>
      </c>
      <c r="AL108">
        <v>0</v>
      </c>
      <c r="AM108">
        <v>0</v>
      </c>
      <c r="AN108">
        <v>5000.1000000000004</v>
      </c>
      <c r="AO108">
        <v>0</v>
      </c>
      <c r="AP108">
        <v>1.58087</v>
      </c>
      <c r="AQ108">
        <v>-0.67018239999999996</v>
      </c>
      <c r="AR108">
        <v>415.729733333333</v>
      </c>
      <c r="AS108">
        <v>415.74059999999997</v>
      </c>
      <c r="AT108">
        <v>1.58592666666667</v>
      </c>
      <c r="AU108">
        <v>410.01766666666703</v>
      </c>
      <c r="AV108">
        <v>13.766033333333301</v>
      </c>
      <c r="AW108">
        <v>1.538864</v>
      </c>
      <c r="AX108">
        <v>1.3798919999999999</v>
      </c>
      <c r="AY108">
        <v>13.359859999999999</v>
      </c>
      <c r="AZ108">
        <v>11.69844</v>
      </c>
      <c r="BA108">
        <v>300.00106666666699</v>
      </c>
      <c r="BB108">
        <v>0.90003733333333302</v>
      </c>
      <c r="BC108">
        <v>0</v>
      </c>
      <c r="BD108">
        <v>9.9962466666666694E-2</v>
      </c>
      <c r="BE108">
        <v>0</v>
      </c>
      <c r="BF108">
        <v>24.975560000000002</v>
      </c>
      <c r="BG108">
        <v>4946.7046666666702</v>
      </c>
      <c r="BH108">
        <v>1769201629.0999999</v>
      </c>
      <c r="BI108" t="s">
        <v>420</v>
      </c>
      <c r="BJ108">
        <v>1769201629.0999999</v>
      </c>
      <c r="BK108">
        <v>1769201627.0999999</v>
      </c>
      <c r="BL108">
        <v>15</v>
      </c>
      <c r="BM108">
        <v>2.5000000000000001E-2</v>
      </c>
      <c r="BN108">
        <v>3.5999999999999997E-2</v>
      </c>
      <c r="BO108">
        <v>-0.77900000000000003</v>
      </c>
      <c r="BP108">
        <v>0.122</v>
      </c>
      <c r="BQ108">
        <v>410</v>
      </c>
      <c r="BR108">
        <v>15</v>
      </c>
      <c r="BS108">
        <v>0.28999999999999998</v>
      </c>
      <c r="BT108">
        <v>0.1</v>
      </c>
      <c r="BU108">
        <v>-0.65230414999999997</v>
      </c>
      <c r="BV108">
        <v>-0.35338542857142802</v>
      </c>
      <c r="BW108">
        <v>3.80428388534228E-2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1.580317</v>
      </c>
      <c r="CD108">
        <v>0.13117984962406001</v>
      </c>
      <c r="CE108">
        <v>1.40515038696931E-2</v>
      </c>
      <c r="CF108">
        <v>0</v>
      </c>
      <c r="CG108">
        <v>1</v>
      </c>
      <c r="CH108">
        <v>2</v>
      </c>
      <c r="CI108" t="s">
        <v>302</v>
      </c>
      <c r="CJ108">
        <v>3.53247</v>
      </c>
      <c r="CK108">
        <v>2.7015199999999999</v>
      </c>
      <c r="CL108">
        <v>9.7931599999999994E-2</v>
      </c>
      <c r="CM108">
        <v>9.6695400000000001E-2</v>
      </c>
      <c r="CN108">
        <v>8.6860699999999999E-2</v>
      </c>
      <c r="CO108">
        <v>7.9359299999999994E-2</v>
      </c>
      <c r="CP108">
        <v>31627.4</v>
      </c>
      <c r="CQ108">
        <v>27832.799999999999</v>
      </c>
      <c r="CR108">
        <v>32450.6</v>
      </c>
      <c r="CS108">
        <v>30739.599999999999</v>
      </c>
      <c r="CT108">
        <v>40131.9</v>
      </c>
      <c r="CU108">
        <v>39808.1</v>
      </c>
      <c r="CV108">
        <v>47400</v>
      </c>
      <c r="CW108">
        <v>46889.1</v>
      </c>
      <c r="CX108">
        <v>2.6217999999999999</v>
      </c>
      <c r="CY108">
        <v>2.1199599999999998</v>
      </c>
      <c r="CZ108">
        <v>0</v>
      </c>
      <c r="DA108">
        <v>0</v>
      </c>
      <c r="DB108">
        <v>999.9</v>
      </c>
      <c r="DC108">
        <v>999.9</v>
      </c>
      <c r="DD108">
        <v>45.396999999999998</v>
      </c>
      <c r="DE108">
        <v>28.742000000000001</v>
      </c>
      <c r="DF108">
        <v>17.9438</v>
      </c>
      <c r="DG108">
        <v>30.329899999999999</v>
      </c>
      <c r="DH108">
        <v>16.438300000000002</v>
      </c>
      <c r="DI108">
        <v>2</v>
      </c>
      <c r="DJ108">
        <v>-0.10999</v>
      </c>
      <c r="DK108">
        <v>2.0615899999999998</v>
      </c>
      <c r="DL108">
        <v>20.225899999999999</v>
      </c>
      <c r="DM108">
        <v>5.2480799999999999</v>
      </c>
      <c r="DN108">
        <v>12.033899999999999</v>
      </c>
      <c r="DO108">
        <v>4.9664000000000001</v>
      </c>
      <c r="DP108">
        <v>3.2909999999999999</v>
      </c>
      <c r="DQ108">
        <v>538.1</v>
      </c>
      <c r="DR108">
        <v>9999</v>
      </c>
      <c r="DS108">
        <v>9999</v>
      </c>
      <c r="DT108">
        <v>9999</v>
      </c>
      <c r="DU108">
        <v>1.8710899999999999</v>
      </c>
      <c r="DV108">
        <v>1.8760699999999999</v>
      </c>
      <c r="DW108">
        <v>1.8763000000000001</v>
      </c>
      <c r="DX108">
        <v>1.8827799999999999</v>
      </c>
      <c r="DY108">
        <v>1.8755900000000001</v>
      </c>
      <c r="DZ108">
        <v>1.8746400000000001</v>
      </c>
      <c r="EA108">
        <v>1.87077</v>
      </c>
      <c r="EB108">
        <v>1.87459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-0.77900000000000003</v>
      </c>
      <c r="EQ108">
        <v>0.1217</v>
      </c>
      <c r="ER108">
        <v>-0.77899999999999603</v>
      </c>
      <c r="ES108">
        <v>0</v>
      </c>
      <c r="ET108">
        <v>0</v>
      </c>
      <c r="EU108">
        <v>0</v>
      </c>
      <c r="EV108">
        <v>0.121739999999999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9.1</v>
      </c>
      <c r="FE108">
        <v>9.1999999999999993</v>
      </c>
      <c r="FF108">
        <v>1.2439</v>
      </c>
      <c r="FG108">
        <v>2.6025399999999999</v>
      </c>
      <c r="FH108">
        <v>2.19604</v>
      </c>
      <c r="FI108">
        <v>2.66113</v>
      </c>
      <c r="FJ108">
        <v>2.4462899999999999</v>
      </c>
      <c r="FK108">
        <v>2.3095699999999999</v>
      </c>
      <c r="FL108">
        <v>32.9315</v>
      </c>
      <c r="FM108">
        <v>24.148800000000001</v>
      </c>
      <c r="FN108">
        <v>19</v>
      </c>
      <c r="FO108">
        <v>865.51300000000003</v>
      </c>
      <c r="FP108">
        <v>569.38300000000004</v>
      </c>
      <c r="FQ108">
        <v>18.313500000000001</v>
      </c>
      <c r="FR108">
        <v>25.591799999999999</v>
      </c>
      <c r="FS108">
        <v>30.000299999999999</v>
      </c>
      <c r="FT108">
        <v>25.572900000000001</v>
      </c>
      <c r="FU108">
        <v>25.574400000000001</v>
      </c>
      <c r="FV108">
        <v>24.9803</v>
      </c>
      <c r="FW108">
        <v>26.441400000000002</v>
      </c>
      <c r="FX108">
        <v>10.6517</v>
      </c>
      <c r="FY108">
        <v>18.320599999999999</v>
      </c>
      <c r="FZ108">
        <v>410</v>
      </c>
      <c r="GA108">
        <v>13.798500000000001</v>
      </c>
      <c r="GB108">
        <v>99.871200000000002</v>
      </c>
      <c r="GC108">
        <v>99.808300000000003</v>
      </c>
    </row>
    <row r="109" spans="1:185" x14ac:dyDescent="0.2">
      <c r="A109">
        <v>94</v>
      </c>
      <c r="B109">
        <v>1769202191.0999999</v>
      </c>
      <c r="C109">
        <v>1920.0999999046301</v>
      </c>
      <c r="D109" t="s">
        <v>483</v>
      </c>
      <c r="E109" t="s">
        <v>484</v>
      </c>
      <c r="F109">
        <v>15</v>
      </c>
      <c r="G109">
        <v>1769202183.03333</v>
      </c>
      <c r="H109">
        <f t="shared" si="25"/>
        <v>1.2994360444764559E-3</v>
      </c>
      <c r="I109">
        <v>0</v>
      </c>
      <c r="J109">
        <f t="shared" si="37"/>
        <v>-4.4547121501444832E-4</v>
      </c>
      <c r="K109">
        <f t="shared" si="26"/>
        <v>-1.1483613248490166E-2</v>
      </c>
      <c r="L109">
        <f t="shared" si="27"/>
        <v>69.863315583549465</v>
      </c>
      <c r="M109">
        <f t="shared" si="28"/>
        <v>1.5395492256707652</v>
      </c>
      <c r="N109">
        <f t="shared" si="29"/>
        <v>2.2036589772634252</v>
      </c>
      <c r="O109">
        <v>0</v>
      </c>
      <c r="P109">
        <v>0</v>
      </c>
      <c r="Q109">
        <f t="shared" si="30"/>
        <v>1</v>
      </c>
      <c r="R109">
        <f t="shared" si="31"/>
        <v>0</v>
      </c>
      <c r="S109">
        <f t="shared" si="32"/>
        <v>26245.618485202776</v>
      </c>
      <c r="T109">
        <f t="shared" si="33"/>
        <v>300.00020000000001</v>
      </c>
      <c r="U109">
        <f t="shared" si="34"/>
        <v>252.89983421977709</v>
      </c>
      <c r="V109">
        <f t="shared" si="35"/>
        <v>0.84299888540000001</v>
      </c>
      <c r="W109">
        <f t="shared" si="36"/>
        <v>0.15869730444400001</v>
      </c>
      <c r="X109">
        <v>1</v>
      </c>
      <c r="Y109">
        <v>1769202183.03333</v>
      </c>
      <c r="Z109">
        <v>409.34193333333297</v>
      </c>
      <c r="AA109">
        <v>409.99246666666699</v>
      </c>
      <c r="AB109">
        <v>15.3490133333333</v>
      </c>
      <c r="AC109">
        <v>13.74966</v>
      </c>
      <c r="AD109">
        <v>410.12093333333303</v>
      </c>
      <c r="AE109">
        <v>15.22728</v>
      </c>
      <c r="AF109">
        <v>800.00519999999995</v>
      </c>
      <c r="AG109">
        <v>100.23926666666701</v>
      </c>
      <c r="AH109">
        <v>6.3547086666666697E-2</v>
      </c>
      <c r="AI109">
        <v>18.988939999999999</v>
      </c>
      <c r="AJ109">
        <v>999.9</v>
      </c>
      <c r="AK109">
        <v>999.9</v>
      </c>
      <c r="AL109">
        <v>0</v>
      </c>
      <c r="AM109">
        <v>0</v>
      </c>
      <c r="AN109">
        <v>4993.3666666666704</v>
      </c>
      <c r="AO109">
        <v>0</v>
      </c>
      <c r="AP109">
        <v>1.57055866666667</v>
      </c>
      <c r="AQ109">
        <v>-0.65058593333333303</v>
      </c>
      <c r="AR109">
        <v>415.72280000000001</v>
      </c>
      <c r="AS109">
        <v>415.70833333333297</v>
      </c>
      <c r="AT109">
        <v>1.5993666666666699</v>
      </c>
      <c r="AU109">
        <v>409.99246666666699</v>
      </c>
      <c r="AV109">
        <v>13.74966</v>
      </c>
      <c r="AW109">
        <v>1.5385740000000001</v>
      </c>
      <c r="AX109">
        <v>1.37825466666667</v>
      </c>
      <c r="AY109">
        <v>13.3569866666667</v>
      </c>
      <c r="AZ109">
        <v>11.680479999999999</v>
      </c>
      <c r="BA109">
        <v>300.00020000000001</v>
      </c>
      <c r="BB109">
        <v>0.90003580000000005</v>
      </c>
      <c r="BC109">
        <v>0</v>
      </c>
      <c r="BD109">
        <v>9.9964153333333305E-2</v>
      </c>
      <c r="BE109">
        <v>0</v>
      </c>
      <c r="BF109">
        <v>25</v>
      </c>
      <c r="BG109">
        <v>4946.6940000000004</v>
      </c>
      <c r="BH109">
        <v>1769201629.0999999</v>
      </c>
      <c r="BI109" t="s">
        <v>420</v>
      </c>
      <c r="BJ109">
        <v>1769201629.0999999</v>
      </c>
      <c r="BK109">
        <v>1769201627.0999999</v>
      </c>
      <c r="BL109">
        <v>15</v>
      </c>
      <c r="BM109">
        <v>2.5000000000000001E-2</v>
      </c>
      <c r="BN109">
        <v>3.5999999999999997E-2</v>
      </c>
      <c r="BO109">
        <v>-0.77900000000000003</v>
      </c>
      <c r="BP109">
        <v>0.122</v>
      </c>
      <c r="BQ109">
        <v>410</v>
      </c>
      <c r="BR109">
        <v>15</v>
      </c>
      <c r="BS109">
        <v>0.28999999999999998</v>
      </c>
      <c r="BT109">
        <v>0.1</v>
      </c>
      <c r="BU109">
        <v>-0.65851700000000002</v>
      </c>
      <c r="BV109">
        <v>0.10113436363636399</v>
      </c>
      <c r="BW109">
        <v>2.45800845362566E-2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1.5977819047619</v>
      </c>
      <c r="CD109">
        <v>3.2428051948053302E-2</v>
      </c>
      <c r="CE109">
        <v>3.8895875886753601E-3</v>
      </c>
      <c r="CF109">
        <v>1</v>
      </c>
      <c r="CG109">
        <v>2</v>
      </c>
      <c r="CH109">
        <v>2</v>
      </c>
      <c r="CI109" t="s">
        <v>297</v>
      </c>
      <c r="CJ109">
        <v>3.5325500000000001</v>
      </c>
      <c r="CK109">
        <v>2.7015199999999999</v>
      </c>
      <c r="CL109">
        <v>9.7937499999999997E-2</v>
      </c>
      <c r="CM109">
        <v>9.6696599999999994E-2</v>
      </c>
      <c r="CN109">
        <v>8.6871900000000002E-2</v>
      </c>
      <c r="CO109">
        <v>7.9333699999999993E-2</v>
      </c>
      <c r="CP109">
        <v>31627.4</v>
      </c>
      <c r="CQ109">
        <v>27832.2</v>
      </c>
      <c r="CR109">
        <v>32450.9</v>
      </c>
      <c r="CS109">
        <v>30739.1</v>
      </c>
      <c r="CT109">
        <v>40131.599999999999</v>
      </c>
      <c r="CU109">
        <v>39808.699999999997</v>
      </c>
      <c r="CV109">
        <v>47400.3</v>
      </c>
      <c r="CW109">
        <v>46888.4</v>
      </c>
      <c r="CX109">
        <v>2.6219600000000001</v>
      </c>
      <c r="CY109">
        <v>2.1198999999999999</v>
      </c>
      <c r="CZ109">
        <v>0</v>
      </c>
      <c r="DA109">
        <v>0</v>
      </c>
      <c r="DB109">
        <v>999.9</v>
      </c>
      <c r="DC109">
        <v>999.9</v>
      </c>
      <c r="DD109">
        <v>45.360999999999997</v>
      </c>
      <c r="DE109">
        <v>28.751999999999999</v>
      </c>
      <c r="DF109">
        <v>17.940999999999999</v>
      </c>
      <c r="DG109">
        <v>30.209900000000001</v>
      </c>
      <c r="DH109">
        <v>16.382200000000001</v>
      </c>
      <c r="DI109">
        <v>2</v>
      </c>
      <c r="DJ109">
        <v>-0.10967300000000001</v>
      </c>
      <c r="DK109">
        <v>2.06853</v>
      </c>
      <c r="DL109">
        <v>20.2255</v>
      </c>
      <c r="DM109">
        <v>5.2485600000000003</v>
      </c>
      <c r="DN109">
        <v>12.033899999999999</v>
      </c>
      <c r="DO109">
        <v>4.9663199999999996</v>
      </c>
      <c r="DP109">
        <v>3.2909999999999999</v>
      </c>
      <c r="DQ109">
        <v>538.1</v>
      </c>
      <c r="DR109">
        <v>9999</v>
      </c>
      <c r="DS109">
        <v>9999</v>
      </c>
      <c r="DT109">
        <v>9999</v>
      </c>
      <c r="DU109">
        <v>1.8710899999999999</v>
      </c>
      <c r="DV109">
        <v>1.87608</v>
      </c>
      <c r="DW109">
        <v>1.87629</v>
      </c>
      <c r="DX109">
        <v>1.88279</v>
      </c>
      <c r="DY109">
        <v>1.8755999999999999</v>
      </c>
      <c r="DZ109">
        <v>1.8746499999999999</v>
      </c>
      <c r="EA109">
        <v>1.87083</v>
      </c>
      <c r="EB109">
        <v>1.8746499999999999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-0.77900000000000003</v>
      </c>
      <c r="EQ109">
        <v>0.1217</v>
      </c>
      <c r="ER109">
        <v>-0.77899999999999603</v>
      </c>
      <c r="ES109">
        <v>0</v>
      </c>
      <c r="ET109">
        <v>0</v>
      </c>
      <c r="EU109">
        <v>0</v>
      </c>
      <c r="EV109">
        <v>0.121739999999999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9.4</v>
      </c>
      <c r="FE109">
        <v>9.4</v>
      </c>
      <c r="FF109">
        <v>1.2439</v>
      </c>
      <c r="FG109">
        <v>2.6000999999999999</v>
      </c>
      <c r="FH109">
        <v>2.19604</v>
      </c>
      <c r="FI109">
        <v>2.66113</v>
      </c>
      <c r="FJ109">
        <v>2.4462899999999999</v>
      </c>
      <c r="FK109">
        <v>2.2363300000000002</v>
      </c>
      <c r="FL109">
        <v>32.9315</v>
      </c>
      <c r="FM109">
        <v>24.14</v>
      </c>
      <c r="FN109">
        <v>19</v>
      </c>
      <c r="FO109">
        <v>865.71699999999998</v>
      </c>
      <c r="FP109">
        <v>569.375</v>
      </c>
      <c r="FQ109">
        <v>18.344000000000001</v>
      </c>
      <c r="FR109">
        <v>25.595600000000001</v>
      </c>
      <c r="FS109">
        <v>30.0001</v>
      </c>
      <c r="FT109">
        <v>25.5764</v>
      </c>
      <c r="FU109">
        <v>25.5779</v>
      </c>
      <c r="FV109">
        <v>24.979500000000002</v>
      </c>
      <c r="FW109">
        <v>26.441400000000002</v>
      </c>
      <c r="FX109">
        <v>10.6517</v>
      </c>
      <c r="FY109">
        <v>18.3461</v>
      </c>
      <c r="FZ109">
        <v>410</v>
      </c>
      <c r="GA109">
        <v>13.798500000000001</v>
      </c>
      <c r="GB109">
        <v>99.871899999999997</v>
      </c>
      <c r="GC109">
        <v>99.806700000000006</v>
      </c>
    </row>
    <row r="110" spans="1:185" x14ac:dyDescent="0.2">
      <c r="A110">
        <v>95</v>
      </c>
      <c r="B110">
        <v>1769202206.0999999</v>
      </c>
      <c r="C110">
        <v>1935.0999999046301</v>
      </c>
      <c r="D110" t="s">
        <v>485</v>
      </c>
      <c r="E110" t="s">
        <v>486</v>
      </c>
      <c r="F110">
        <v>15</v>
      </c>
      <c r="G110">
        <v>1769202198.03333</v>
      </c>
      <c r="H110">
        <f t="shared" si="25"/>
        <v>1.2955695566346536E-3</v>
      </c>
      <c r="I110">
        <v>0</v>
      </c>
      <c r="J110">
        <f t="shared" si="37"/>
        <v>-4.553056073195122E-4</v>
      </c>
      <c r="K110">
        <f t="shared" si="26"/>
        <v>-1.1737129870796769E-2</v>
      </c>
      <c r="L110">
        <f t="shared" si="27"/>
        <v>69.777410594865628</v>
      </c>
      <c r="M110">
        <f t="shared" si="28"/>
        <v>1.538486762535294</v>
      </c>
      <c r="N110">
        <f t="shared" si="29"/>
        <v>2.2048493193132321</v>
      </c>
      <c r="O110">
        <v>0</v>
      </c>
      <c r="P110">
        <v>0</v>
      </c>
      <c r="Q110">
        <f t="shared" si="30"/>
        <v>1</v>
      </c>
      <c r="R110">
        <f t="shared" si="31"/>
        <v>0</v>
      </c>
      <c r="S110">
        <f t="shared" si="32"/>
        <v>26282.52390708571</v>
      </c>
      <c r="T110">
        <f t="shared" si="33"/>
        <v>300.0018</v>
      </c>
      <c r="U110">
        <f t="shared" si="34"/>
        <v>252.90128693861729</v>
      </c>
      <c r="V110">
        <f t="shared" si="35"/>
        <v>0.84299923180000014</v>
      </c>
      <c r="W110">
        <f t="shared" si="36"/>
        <v>0.15869780666800004</v>
      </c>
      <c r="X110">
        <v>1</v>
      </c>
      <c r="Y110">
        <v>1769202198.03333</v>
      </c>
      <c r="Z110">
        <v>409.36093333333298</v>
      </c>
      <c r="AA110">
        <v>410.00920000000002</v>
      </c>
      <c r="AB110">
        <v>15.338179999999999</v>
      </c>
      <c r="AC110">
        <v>13.7435733333333</v>
      </c>
      <c r="AD110">
        <v>410.13993333333298</v>
      </c>
      <c r="AE110">
        <v>15.216433333333301</v>
      </c>
      <c r="AF110">
        <v>800.00786666666704</v>
      </c>
      <c r="AG110">
        <v>100.24079999999999</v>
      </c>
      <c r="AH110">
        <v>6.35883E-2</v>
      </c>
      <c r="AI110">
        <v>18.997593333333299</v>
      </c>
      <c r="AJ110">
        <v>999.9</v>
      </c>
      <c r="AK110">
        <v>999.9</v>
      </c>
      <c r="AL110">
        <v>0</v>
      </c>
      <c r="AM110">
        <v>0</v>
      </c>
      <c r="AN110">
        <v>4999.5</v>
      </c>
      <c r="AO110">
        <v>0</v>
      </c>
      <c r="AP110">
        <v>1.5536239999999999</v>
      </c>
      <c r="AQ110">
        <v>-0.648289</v>
      </c>
      <c r="AR110">
        <v>415.73753333333298</v>
      </c>
      <c r="AS110">
        <v>415.722733333333</v>
      </c>
      <c r="AT110">
        <v>1.59460133333333</v>
      </c>
      <c r="AU110">
        <v>410.00920000000002</v>
      </c>
      <c r="AV110">
        <v>13.7435733333333</v>
      </c>
      <c r="AW110">
        <v>1.53751066666667</v>
      </c>
      <c r="AX110">
        <v>1.37766866666667</v>
      </c>
      <c r="AY110">
        <v>13.346399999999999</v>
      </c>
      <c r="AZ110">
        <v>11.6740333333333</v>
      </c>
      <c r="BA110">
        <v>300.0018</v>
      </c>
      <c r="BB110">
        <v>0.90002966666666695</v>
      </c>
      <c r="BC110">
        <v>0</v>
      </c>
      <c r="BD110">
        <v>9.9970473333333296E-2</v>
      </c>
      <c r="BE110">
        <v>0</v>
      </c>
      <c r="BF110">
        <v>25</v>
      </c>
      <c r="BG110">
        <v>4946.7093333333296</v>
      </c>
      <c r="BH110">
        <v>1769201629.0999999</v>
      </c>
      <c r="BI110" t="s">
        <v>420</v>
      </c>
      <c r="BJ110">
        <v>1769201629.0999999</v>
      </c>
      <c r="BK110">
        <v>1769201627.0999999</v>
      </c>
      <c r="BL110">
        <v>15</v>
      </c>
      <c r="BM110">
        <v>2.5000000000000001E-2</v>
      </c>
      <c r="BN110">
        <v>3.5999999999999997E-2</v>
      </c>
      <c r="BO110">
        <v>-0.77900000000000003</v>
      </c>
      <c r="BP110">
        <v>0.122</v>
      </c>
      <c r="BQ110">
        <v>410</v>
      </c>
      <c r="BR110">
        <v>15</v>
      </c>
      <c r="BS110">
        <v>0.28999999999999998</v>
      </c>
      <c r="BT110">
        <v>0.1</v>
      </c>
      <c r="BU110">
        <v>-0.65214079999999996</v>
      </c>
      <c r="BV110">
        <v>-2.2274436090225901E-2</v>
      </c>
      <c r="BW110">
        <v>2.09977484426307E-2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1.5964765000000001</v>
      </c>
      <c r="CD110">
        <v>-3.2188421052633101E-2</v>
      </c>
      <c r="CE110">
        <v>3.88797669103094E-3</v>
      </c>
      <c r="CF110">
        <v>1</v>
      </c>
      <c r="CG110">
        <v>2</v>
      </c>
      <c r="CH110">
        <v>2</v>
      </c>
      <c r="CI110" t="s">
        <v>297</v>
      </c>
      <c r="CJ110">
        <v>3.5325199999999999</v>
      </c>
      <c r="CK110">
        <v>2.7013600000000002</v>
      </c>
      <c r="CL110">
        <v>9.7940299999999994E-2</v>
      </c>
      <c r="CM110">
        <v>9.66997E-2</v>
      </c>
      <c r="CN110">
        <v>8.6813399999999999E-2</v>
      </c>
      <c r="CO110">
        <v>7.9305700000000007E-2</v>
      </c>
      <c r="CP110">
        <v>31627.5</v>
      </c>
      <c r="CQ110">
        <v>27832</v>
      </c>
      <c r="CR110">
        <v>32451.1</v>
      </c>
      <c r="CS110">
        <v>30738.9</v>
      </c>
      <c r="CT110">
        <v>40134.400000000001</v>
      </c>
      <c r="CU110">
        <v>39810</v>
      </c>
      <c r="CV110">
        <v>47400.4</v>
      </c>
      <c r="CW110">
        <v>46888.5</v>
      </c>
      <c r="CX110">
        <v>2.62168</v>
      </c>
      <c r="CY110">
        <v>2.1200800000000002</v>
      </c>
      <c r="CZ110">
        <v>0</v>
      </c>
      <c r="DA110">
        <v>0</v>
      </c>
      <c r="DB110">
        <v>999.9</v>
      </c>
      <c r="DC110">
        <v>999.9</v>
      </c>
      <c r="DD110">
        <v>45.335999999999999</v>
      </c>
      <c r="DE110">
        <v>28.751999999999999</v>
      </c>
      <c r="DF110">
        <v>17.931000000000001</v>
      </c>
      <c r="DG110">
        <v>30.299900000000001</v>
      </c>
      <c r="DH110">
        <v>16.482399999999998</v>
      </c>
      <c r="DI110">
        <v>2</v>
      </c>
      <c r="DJ110">
        <v>-0.109598</v>
      </c>
      <c r="DK110">
        <v>2.0717400000000001</v>
      </c>
      <c r="DL110">
        <v>20.225300000000001</v>
      </c>
      <c r="DM110">
        <v>5.2484400000000004</v>
      </c>
      <c r="DN110">
        <v>12.033899999999999</v>
      </c>
      <c r="DO110">
        <v>4.9662800000000002</v>
      </c>
      <c r="DP110">
        <v>3.2909999999999999</v>
      </c>
      <c r="DQ110">
        <v>538.1</v>
      </c>
      <c r="DR110">
        <v>9999</v>
      </c>
      <c r="DS110">
        <v>9999</v>
      </c>
      <c r="DT110">
        <v>9999</v>
      </c>
      <c r="DU110">
        <v>1.8710899999999999</v>
      </c>
      <c r="DV110">
        <v>1.8760699999999999</v>
      </c>
      <c r="DW110">
        <v>1.87629</v>
      </c>
      <c r="DX110">
        <v>1.8827799999999999</v>
      </c>
      <c r="DY110">
        <v>1.8755999999999999</v>
      </c>
      <c r="DZ110">
        <v>1.8746499999999999</v>
      </c>
      <c r="EA110">
        <v>1.87079</v>
      </c>
      <c r="EB110">
        <v>1.87462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-0.77900000000000003</v>
      </c>
      <c r="EQ110">
        <v>0.1217</v>
      </c>
      <c r="ER110">
        <v>-0.77899999999999603</v>
      </c>
      <c r="ES110">
        <v>0</v>
      </c>
      <c r="ET110">
        <v>0</v>
      </c>
      <c r="EU110">
        <v>0</v>
      </c>
      <c r="EV110">
        <v>0.121739999999999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9.6</v>
      </c>
      <c r="FE110">
        <v>9.6999999999999993</v>
      </c>
      <c r="FF110">
        <v>1.24512</v>
      </c>
      <c r="FG110">
        <v>2.6086399999999998</v>
      </c>
      <c r="FH110">
        <v>2.19604</v>
      </c>
      <c r="FI110">
        <v>2.65991</v>
      </c>
      <c r="FJ110">
        <v>2.4462899999999999</v>
      </c>
      <c r="FK110">
        <v>2.3022499999999999</v>
      </c>
      <c r="FL110">
        <v>32.9315</v>
      </c>
      <c r="FM110">
        <v>24.148800000000001</v>
      </c>
      <c r="FN110">
        <v>19</v>
      </c>
      <c r="FO110">
        <v>865.505</v>
      </c>
      <c r="FP110">
        <v>569.53599999999994</v>
      </c>
      <c r="FQ110">
        <v>18.353200000000001</v>
      </c>
      <c r="FR110">
        <v>25.5974</v>
      </c>
      <c r="FS110">
        <v>30.0001</v>
      </c>
      <c r="FT110">
        <v>25.5794</v>
      </c>
      <c r="FU110">
        <v>25.58</v>
      </c>
      <c r="FV110">
        <v>24.979700000000001</v>
      </c>
      <c r="FW110">
        <v>26.156199999999998</v>
      </c>
      <c r="FX110">
        <v>10.6517</v>
      </c>
      <c r="FY110">
        <v>18.353000000000002</v>
      </c>
      <c r="FZ110">
        <v>410</v>
      </c>
      <c r="GA110">
        <v>13.8157</v>
      </c>
      <c r="GB110">
        <v>99.872399999999999</v>
      </c>
      <c r="GC110">
        <v>99.806600000000003</v>
      </c>
    </row>
    <row r="111" spans="1:185" x14ac:dyDescent="0.2">
      <c r="A111">
        <v>96</v>
      </c>
      <c r="B111">
        <v>1769202221.0999999</v>
      </c>
      <c r="C111">
        <v>1950.0999999046301</v>
      </c>
      <c r="D111" t="s">
        <v>487</v>
      </c>
      <c r="E111" t="s">
        <v>488</v>
      </c>
      <c r="F111">
        <v>15</v>
      </c>
      <c r="G111">
        <v>1769202213.03333</v>
      </c>
      <c r="H111">
        <f t="shared" si="25"/>
        <v>1.2824406365823013E-3</v>
      </c>
      <c r="I111">
        <v>0</v>
      </c>
      <c r="J111">
        <f t="shared" si="37"/>
        <v>-6.4412890272124942E-4</v>
      </c>
      <c r="K111">
        <f t="shared" si="26"/>
        <v>-1.6604725404727357E-2</v>
      </c>
      <c r="L111">
        <f t="shared" si="27"/>
        <v>69.725189185491772</v>
      </c>
      <c r="M111">
        <f t="shared" si="28"/>
        <v>1.537809346204595</v>
      </c>
      <c r="N111">
        <f t="shared" si="29"/>
        <v>2.2055291124610932</v>
      </c>
      <c r="O111">
        <v>0</v>
      </c>
      <c r="P111">
        <v>0</v>
      </c>
      <c r="Q111">
        <f t="shared" si="30"/>
        <v>1</v>
      </c>
      <c r="R111">
        <f t="shared" si="31"/>
        <v>0</v>
      </c>
      <c r="S111">
        <f t="shared" si="32"/>
        <v>26337.590029510164</v>
      </c>
      <c r="T111">
        <f t="shared" si="33"/>
        <v>299.99900000000002</v>
      </c>
      <c r="U111">
        <f t="shared" si="34"/>
        <v>252.89896410064321</v>
      </c>
      <c r="V111">
        <f t="shared" si="35"/>
        <v>0.84299935700000062</v>
      </c>
      <c r="W111">
        <f t="shared" si="36"/>
        <v>0.15869819762000012</v>
      </c>
      <c r="X111">
        <v>1</v>
      </c>
      <c r="Y111">
        <v>1769202213.03333</v>
      </c>
      <c r="Z111">
        <v>409.36206666666698</v>
      </c>
      <c r="AA111">
        <v>409.99753333333302</v>
      </c>
      <c r="AB111">
        <v>15.331300000000001</v>
      </c>
      <c r="AC111">
        <v>13.752840000000001</v>
      </c>
      <c r="AD111">
        <v>410.14106666666697</v>
      </c>
      <c r="AE111">
        <v>15.209566666666699</v>
      </c>
      <c r="AF111">
        <v>800.00706666666701</v>
      </c>
      <c r="AG111">
        <v>100.24160000000001</v>
      </c>
      <c r="AH111">
        <v>6.3615226666666705E-2</v>
      </c>
      <c r="AI111">
        <v>19.0025333333333</v>
      </c>
      <c r="AJ111">
        <v>999.9</v>
      </c>
      <c r="AK111">
        <v>999.9</v>
      </c>
      <c r="AL111">
        <v>0</v>
      </c>
      <c r="AM111">
        <v>0</v>
      </c>
      <c r="AN111">
        <v>5008.6000000000004</v>
      </c>
      <c r="AO111">
        <v>0</v>
      </c>
      <c r="AP111">
        <v>1.58079533333333</v>
      </c>
      <c r="AQ111">
        <v>-0.63576866666666698</v>
      </c>
      <c r="AR111">
        <v>415.73559999999998</v>
      </c>
      <c r="AS111">
        <v>415.71499999999997</v>
      </c>
      <c r="AT111">
        <v>1.5784640000000001</v>
      </c>
      <c r="AU111">
        <v>409.99753333333302</v>
      </c>
      <c r="AV111">
        <v>13.752840000000001</v>
      </c>
      <c r="AW111">
        <v>1.53683533333333</v>
      </c>
      <c r="AX111">
        <v>1.378606</v>
      </c>
      <c r="AY111">
        <v>13.339646666666701</v>
      </c>
      <c r="AZ111">
        <v>11.6843533333333</v>
      </c>
      <c r="BA111">
        <v>299.99900000000002</v>
      </c>
      <c r="BB111">
        <v>0.90002433333333398</v>
      </c>
      <c r="BC111">
        <v>0</v>
      </c>
      <c r="BD111">
        <v>9.9975766666666702E-2</v>
      </c>
      <c r="BE111">
        <v>0</v>
      </c>
      <c r="BF111">
        <v>25</v>
      </c>
      <c r="BG111">
        <v>4946.6499999999996</v>
      </c>
      <c r="BH111">
        <v>1769201629.0999999</v>
      </c>
      <c r="BI111" t="s">
        <v>420</v>
      </c>
      <c r="BJ111">
        <v>1769201629.0999999</v>
      </c>
      <c r="BK111">
        <v>1769201627.0999999</v>
      </c>
      <c r="BL111">
        <v>15</v>
      </c>
      <c r="BM111">
        <v>2.5000000000000001E-2</v>
      </c>
      <c r="BN111">
        <v>3.5999999999999997E-2</v>
      </c>
      <c r="BO111">
        <v>-0.77900000000000003</v>
      </c>
      <c r="BP111">
        <v>0.122</v>
      </c>
      <c r="BQ111">
        <v>410</v>
      </c>
      <c r="BR111">
        <v>15</v>
      </c>
      <c r="BS111">
        <v>0.28999999999999998</v>
      </c>
      <c r="BT111">
        <v>0.1</v>
      </c>
      <c r="BU111">
        <v>-0.64293709523809495</v>
      </c>
      <c r="BV111">
        <v>5.7949870129869102E-2</v>
      </c>
      <c r="BW111">
        <v>2.11233486768614E-2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1.58294523809524</v>
      </c>
      <c r="CD111">
        <v>-6.0828311688310703E-2</v>
      </c>
      <c r="CE111">
        <v>1.0726443345679499E-2</v>
      </c>
      <c r="CF111">
        <v>1</v>
      </c>
      <c r="CG111">
        <v>2</v>
      </c>
      <c r="CH111">
        <v>2</v>
      </c>
      <c r="CI111" t="s">
        <v>297</v>
      </c>
      <c r="CJ111">
        <v>3.5325799999999998</v>
      </c>
      <c r="CK111">
        <v>2.7013600000000002</v>
      </c>
      <c r="CL111">
        <v>9.7938800000000006E-2</v>
      </c>
      <c r="CM111">
        <v>9.6692799999999995E-2</v>
      </c>
      <c r="CN111">
        <v>8.67864E-2</v>
      </c>
      <c r="CO111">
        <v>7.9311400000000004E-2</v>
      </c>
      <c r="CP111">
        <v>31627.4</v>
      </c>
      <c r="CQ111">
        <v>27832</v>
      </c>
      <c r="CR111">
        <v>32450.9</v>
      </c>
      <c r="CS111">
        <v>30738.799999999999</v>
      </c>
      <c r="CT111">
        <v>40135.699999999997</v>
      </c>
      <c r="CU111">
        <v>39809.300000000003</v>
      </c>
      <c r="CV111">
        <v>47400.6</v>
      </c>
      <c r="CW111">
        <v>46888</v>
      </c>
      <c r="CX111">
        <v>2.6217600000000001</v>
      </c>
      <c r="CY111">
        <v>2.1202800000000002</v>
      </c>
      <c r="CZ111">
        <v>0</v>
      </c>
      <c r="DA111">
        <v>0</v>
      </c>
      <c r="DB111">
        <v>999.9</v>
      </c>
      <c r="DC111">
        <v>999.9</v>
      </c>
      <c r="DD111">
        <v>45.287999999999997</v>
      </c>
      <c r="DE111">
        <v>28.751999999999999</v>
      </c>
      <c r="DF111">
        <v>17.911100000000001</v>
      </c>
      <c r="DG111">
        <v>30.119900000000001</v>
      </c>
      <c r="DH111">
        <v>16.410299999999999</v>
      </c>
      <c r="DI111">
        <v>2</v>
      </c>
      <c r="DJ111">
        <v>-0.10855099999999999</v>
      </c>
      <c r="DK111">
        <v>2.2606299999999999</v>
      </c>
      <c r="DL111">
        <v>20.2224</v>
      </c>
      <c r="DM111">
        <v>5.2488000000000001</v>
      </c>
      <c r="DN111">
        <v>12.033899999999999</v>
      </c>
      <c r="DO111">
        <v>4.9664400000000004</v>
      </c>
      <c r="DP111">
        <v>3.2909999999999999</v>
      </c>
      <c r="DQ111">
        <v>538.1</v>
      </c>
      <c r="DR111">
        <v>9999</v>
      </c>
      <c r="DS111">
        <v>9999</v>
      </c>
      <c r="DT111">
        <v>9999</v>
      </c>
      <c r="DU111">
        <v>1.8711</v>
      </c>
      <c r="DV111">
        <v>1.8760699999999999</v>
      </c>
      <c r="DW111">
        <v>1.8763099999999999</v>
      </c>
      <c r="DX111">
        <v>1.8828</v>
      </c>
      <c r="DY111">
        <v>1.87561</v>
      </c>
      <c r="DZ111">
        <v>1.87466</v>
      </c>
      <c r="EA111">
        <v>1.8708100000000001</v>
      </c>
      <c r="EB111">
        <v>1.8746700000000001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-0.77900000000000003</v>
      </c>
      <c r="EQ111">
        <v>0.12180000000000001</v>
      </c>
      <c r="ER111">
        <v>-0.77899999999999603</v>
      </c>
      <c r="ES111">
        <v>0</v>
      </c>
      <c r="ET111">
        <v>0</v>
      </c>
      <c r="EU111">
        <v>0</v>
      </c>
      <c r="EV111">
        <v>0.121739999999999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9.9</v>
      </c>
      <c r="FE111">
        <v>9.9</v>
      </c>
      <c r="FF111">
        <v>1.2439</v>
      </c>
      <c r="FG111">
        <v>2.6061999999999999</v>
      </c>
      <c r="FH111">
        <v>2.19604</v>
      </c>
      <c r="FI111">
        <v>2.66113</v>
      </c>
      <c r="FJ111">
        <v>2.4462899999999999</v>
      </c>
      <c r="FK111">
        <v>2.3107899999999999</v>
      </c>
      <c r="FL111">
        <v>32.9315</v>
      </c>
      <c r="FM111">
        <v>24.148800000000001</v>
      </c>
      <c r="FN111">
        <v>19</v>
      </c>
      <c r="FO111">
        <v>865.61500000000001</v>
      </c>
      <c r="FP111">
        <v>569.72500000000002</v>
      </c>
      <c r="FQ111">
        <v>18.240200000000002</v>
      </c>
      <c r="FR111">
        <v>25.597799999999999</v>
      </c>
      <c r="FS111">
        <v>30.0001</v>
      </c>
      <c r="FT111">
        <v>25.581600000000002</v>
      </c>
      <c r="FU111">
        <v>25.583400000000001</v>
      </c>
      <c r="FV111">
        <v>24.9816</v>
      </c>
      <c r="FW111">
        <v>25.886199999999999</v>
      </c>
      <c r="FX111">
        <v>10.280099999999999</v>
      </c>
      <c r="FY111">
        <v>18.247299999999999</v>
      </c>
      <c r="FZ111">
        <v>410</v>
      </c>
      <c r="GA111">
        <v>13.823</v>
      </c>
      <c r="GB111">
        <v>99.872299999999996</v>
      </c>
      <c r="GC111">
        <v>99.805800000000005</v>
      </c>
    </row>
    <row r="112" spans="1:185" x14ac:dyDescent="0.2">
      <c r="A112">
        <v>97</v>
      </c>
      <c r="B112">
        <v>1769202236.0999999</v>
      </c>
      <c r="C112">
        <v>1965.0999999046301</v>
      </c>
      <c r="D112" t="s">
        <v>489</v>
      </c>
      <c r="E112" t="s">
        <v>490</v>
      </c>
      <c r="F112">
        <v>15</v>
      </c>
      <c r="G112">
        <v>1769202228.03333</v>
      </c>
      <c r="H112">
        <f t="shared" ref="H112:H143" si="38">AF112*Q112*(AB112-AC112)/(1000*X112*(1000-Q112*AB112))</f>
        <v>1.2167592976083995E-3</v>
      </c>
      <c r="I112">
        <v>0</v>
      </c>
      <c r="J112">
        <f t="shared" si="37"/>
        <v>-3.8416778247158176E-4</v>
      </c>
      <c r="K112">
        <f t="shared" ref="K112:K143" si="39">AF112*Q112*(AA112-Z112*(1000-Q112*AC112)/(1000-Q112*AB112))/(1000*X112)</f>
        <v>-9.9032980981513218E-3</v>
      </c>
      <c r="L112">
        <f t="shared" ref="L112:L143" si="40">(M112/N112*100)</f>
        <v>69.521803068906635</v>
      </c>
      <c r="M112">
        <f t="shared" ref="M112:M143" si="41">AB112*(AG112+AH112)/1000</f>
        <v>1.5329026567368271</v>
      </c>
      <c r="N112">
        <f t="shared" ref="N112:N143" si="42">0.61365*EXP(17.502*AI112/(240.97+AI112))</f>
        <v>2.2049236197419804</v>
      </c>
      <c r="O112">
        <v>0</v>
      </c>
      <c r="P112">
        <v>0</v>
      </c>
      <c r="Q112">
        <f t="shared" ref="Q112:Q143" si="43">IF(O112*$H$13&gt;=S112,1,(S112/(S112-O112*$H$13)))</f>
        <v>1</v>
      </c>
      <c r="R112">
        <f t="shared" ref="R112:R143" si="44">(Q112-1)*100</f>
        <v>0</v>
      </c>
      <c r="S112">
        <f t="shared" ref="S112:S143" si="45">MAX(0,($B$13+$C$13*AN112)/(1+$D$13*AN112)*AG112/(AI112+273)*$E$13)</f>
        <v>26252.463568178864</v>
      </c>
      <c r="T112">
        <f t="shared" ref="T112:T143" si="46">$B$11*AO112+$C$11*AP112+$D$11*BA112</f>
        <v>299.99873333333301</v>
      </c>
      <c r="U112">
        <f t="shared" ref="U112:U143" si="47">T112*V112</f>
        <v>252.89860010140202</v>
      </c>
      <c r="V112">
        <f t="shared" ref="V112:V143" si="48">($B$11*$D$9+$C$11*$D$9+$D$11*(BB112*$E$9+BC112*$F$9+BD112*$G$9+BE112*$H$9))/($B$11+$C$11+$D$11)</f>
        <v>0.8429988930000003</v>
      </c>
      <c r="W112">
        <f t="shared" ref="W112:W143" si="49">($B$11*$L$9+$C$11*$L$9+$D$11*(BB112*$M$9+BC112*$N$9+BD112*$O$9+BE112*$P$9))/($B$11+$C$11+$D$11)</f>
        <v>0.15869716754000007</v>
      </c>
      <c r="X112">
        <v>1</v>
      </c>
      <c r="Y112">
        <v>1769202228.03333</v>
      </c>
      <c r="Z112">
        <v>409.38133333333298</v>
      </c>
      <c r="AA112">
        <v>409.99160000000001</v>
      </c>
      <c r="AB112">
        <v>15.282073333333299</v>
      </c>
      <c r="AC112">
        <v>13.784373333333299</v>
      </c>
      <c r="AD112">
        <v>410.12433333333303</v>
      </c>
      <c r="AE112">
        <v>15.211073333333299</v>
      </c>
      <c r="AF112">
        <v>800.00313333333304</v>
      </c>
      <c r="AG112">
        <v>100.24379999999999</v>
      </c>
      <c r="AH112">
        <v>6.3443873333333303E-2</v>
      </c>
      <c r="AI112">
        <v>18.9981333333333</v>
      </c>
      <c r="AJ112">
        <v>999.9</v>
      </c>
      <c r="AK112">
        <v>999.9</v>
      </c>
      <c r="AL112">
        <v>0</v>
      </c>
      <c r="AM112">
        <v>0</v>
      </c>
      <c r="AN112">
        <v>4994.4333333333298</v>
      </c>
      <c r="AO112">
        <v>0</v>
      </c>
      <c r="AP112">
        <v>1.58087</v>
      </c>
      <c r="AQ112">
        <v>-0.64631546666666695</v>
      </c>
      <c r="AR112">
        <v>415.71940000000001</v>
      </c>
      <c r="AS112">
        <v>415.72193333333303</v>
      </c>
      <c r="AT112">
        <v>1.5484406666666699</v>
      </c>
      <c r="AU112">
        <v>409.99160000000001</v>
      </c>
      <c r="AV112">
        <v>13.784373333333299</v>
      </c>
      <c r="AW112">
        <v>1.5370186666666701</v>
      </c>
      <c r="AX112">
        <v>1.3817980000000001</v>
      </c>
      <c r="AY112">
        <v>13.341473333333299</v>
      </c>
      <c r="AZ112">
        <v>11.719333333333299</v>
      </c>
      <c r="BA112">
        <v>299.99873333333301</v>
      </c>
      <c r="BB112">
        <v>0.90003786666666696</v>
      </c>
      <c r="BC112">
        <v>0</v>
      </c>
      <c r="BD112">
        <v>9.9962166666666699E-2</v>
      </c>
      <c r="BE112">
        <v>0</v>
      </c>
      <c r="BF112">
        <v>25</v>
      </c>
      <c r="BG112">
        <v>4946.6686666666701</v>
      </c>
      <c r="BH112">
        <v>1769202258.0999999</v>
      </c>
      <c r="BI112" t="s">
        <v>491</v>
      </c>
      <c r="BJ112">
        <v>1769202254.0999999</v>
      </c>
      <c r="BK112">
        <v>1769202258.0999999</v>
      </c>
      <c r="BL112">
        <v>16</v>
      </c>
      <c r="BM112">
        <v>3.5000000000000003E-2</v>
      </c>
      <c r="BN112">
        <v>-5.0999999999999997E-2</v>
      </c>
      <c r="BO112">
        <v>-0.74299999999999999</v>
      </c>
      <c r="BP112">
        <v>7.0999999999999994E-2</v>
      </c>
      <c r="BQ112">
        <v>410</v>
      </c>
      <c r="BR112">
        <v>14</v>
      </c>
      <c r="BS112">
        <v>0.16</v>
      </c>
      <c r="BT112">
        <v>0.06</v>
      </c>
      <c r="BU112">
        <v>-0.64528799999999997</v>
      </c>
      <c r="BV112">
        <v>-1.8082917293233299E-2</v>
      </c>
      <c r="BW112">
        <v>1.88358338652686E-2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1.5568955</v>
      </c>
      <c r="CD112">
        <v>-0.16380857142857499</v>
      </c>
      <c r="CE112">
        <v>1.99780948728852E-2</v>
      </c>
      <c r="CF112">
        <v>0</v>
      </c>
      <c r="CG112">
        <v>1</v>
      </c>
      <c r="CH112">
        <v>2</v>
      </c>
      <c r="CI112" t="s">
        <v>302</v>
      </c>
      <c r="CJ112">
        <v>3.5325899999999999</v>
      </c>
      <c r="CK112">
        <v>2.7013199999999999</v>
      </c>
      <c r="CL112">
        <v>9.7936800000000004E-2</v>
      </c>
      <c r="CM112">
        <v>9.6698300000000001E-2</v>
      </c>
      <c r="CN112">
        <v>8.6834300000000003E-2</v>
      </c>
      <c r="CO112">
        <v>7.9544699999999996E-2</v>
      </c>
      <c r="CP112">
        <v>31627.7</v>
      </c>
      <c r="CQ112">
        <v>27831.8</v>
      </c>
      <c r="CR112">
        <v>32451.200000000001</v>
      </c>
      <c r="CS112">
        <v>30738.6</v>
      </c>
      <c r="CT112">
        <v>40133.800000000003</v>
      </c>
      <c r="CU112">
        <v>39799.1</v>
      </c>
      <c r="CV112">
        <v>47400.800000000003</v>
      </c>
      <c r="CW112">
        <v>46888.1</v>
      </c>
      <c r="CX112">
        <v>2.6216200000000001</v>
      </c>
      <c r="CY112">
        <v>2.1200800000000002</v>
      </c>
      <c r="CZ112">
        <v>0</v>
      </c>
      <c r="DA112">
        <v>0</v>
      </c>
      <c r="DB112">
        <v>999.9</v>
      </c>
      <c r="DC112">
        <v>999.9</v>
      </c>
      <c r="DD112">
        <v>45.238999999999997</v>
      </c>
      <c r="DE112">
        <v>28.751999999999999</v>
      </c>
      <c r="DF112">
        <v>17.891400000000001</v>
      </c>
      <c r="DG112">
        <v>30.3599</v>
      </c>
      <c r="DH112">
        <v>16.402200000000001</v>
      </c>
      <c r="DI112">
        <v>2</v>
      </c>
      <c r="DJ112">
        <v>-0.108998</v>
      </c>
      <c r="DK112">
        <v>2.1895500000000001</v>
      </c>
      <c r="DL112">
        <v>20.223600000000001</v>
      </c>
      <c r="DM112">
        <v>5.2481999999999998</v>
      </c>
      <c r="DN112">
        <v>12.033899999999999</v>
      </c>
      <c r="DO112">
        <v>4.9662800000000002</v>
      </c>
      <c r="DP112">
        <v>3.2909999999999999</v>
      </c>
      <c r="DQ112">
        <v>538.1</v>
      </c>
      <c r="DR112">
        <v>9999</v>
      </c>
      <c r="DS112">
        <v>9999</v>
      </c>
      <c r="DT112">
        <v>9999</v>
      </c>
      <c r="DU112">
        <v>1.8710899999999999</v>
      </c>
      <c r="DV112">
        <v>1.8760699999999999</v>
      </c>
      <c r="DW112">
        <v>1.8763099999999999</v>
      </c>
      <c r="DX112">
        <v>1.8827799999999999</v>
      </c>
      <c r="DY112">
        <v>1.87558</v>
      </c>
      <c r="DZ112">
        <v>1.8746499999999999</v>
      </c>
      <c r="EA112">
        <v>1.8708100000000001</v>
      </c>
      <c r="EB112">
        <v>1.87466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-0.74299999999999999</v>
      </c>
      <c r="EQ112">
        <v>7.0999999999999994E-2</v>
      </c>
      <c r="ER112">
        <v>-0.77899999999999603</v>
      </c>
      <c r="ES112">
        <v>0</v>
      </c>
      <c r="ET112">
        <v>0</v>
      </c>
      <c r="EU112">
        <v>0</v>
      </c>
      <c r="EV112">
        <v>0.121739999999999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10.1</v>
      </c>
      <c r="FE112">
        <v>10.199999999999999</v>
      </c>
      <c r="FF112">
        <v>1.2439</v>
      </c>
      <c r="FG112">
        <v>2.6098599999999998</v>
      </c>
      <c r="FH112">
        <v>2.19604</v>
      </c>
      <c r="FI112">
        <v>2.66113</v>
      </c>
      <c r="FJ112">
        <v>2.4462899999999999</v>
      </c>
      <c r="FK112">
        <v>2.2570800000000002</v>
      </c>
      <c r="FL112">
        <v>32.953699999999998</v>
      </c>
      <c r="FM112">
        <v>24.14</v>
      </c>
      <c r="FN112">
        <v>19</v>
      </c>
      <c r="FO112">
        <v>865.51800000000003</v>
      </c>
      <c r="FP112">
        <v>569.60599999999999</v>
      </c>
      <c r="FQ112">
        <v>18.244900000000001</v>
      </c>
      <c r="FR112">
        <v>25.599900000000002</v>
      </c>
      <c r="FS112">
        <v>30</v>
      </c>
      <c r="FT112">
        <v>25.5837</v>
      </c>
      <c r="FU112">
        <v>25.586400000000001</v>
      </c>
      <c r="FV112">
        <v>24.9815</v>
      </c>
      <c r="FW112">
        <v>25.886199999999999</v>
      </c>
      <c r="FX112">
        <v>10.280099999999999</v>
      </c>
      <c r="FY112">
        <v>18.248100000000001</v>
      </c>
      <c r="FZ112">
        <v>410</v>
      </c>
      <c r="GA112">
        <v>13.83</v>
      </c>
      <c r="GB112">
        <v>99.873000000000005</v>
      </c>
      <c r="GC112">
        <v>99.805800000000005</v>
      </c>
    </row>
    <row r="113" spans="1:185" x14ac:dyDescent="0.2">
      <c r="A113">
        <v>98</v>
      </c>
      <c r="B113">
        <v>1769202260.0999999</v>
      </c>
      <c r="C113">
        <v>1989.0999999046301</v>
      </c>
      <c r="D113" t="s">
        <v>492</v>
      </c>
      <c r="E113" t="s">
        <v>493</v>
      </c>
      <c r="F113">
        <v>15</v>
      </c>
      <c r="G113">
        <v>1769202259.0999999</v>
      </c>
      <c r="H113">
        <f t="shared" si="38"/>
        <v>-1.0545657194000751E-6</v>
      </c>
      <c r="I113">
        <v>0</v>
      </c>
      <c r="J113">
        <f t="shared" si="37"/>
        <v>-1.0073554744679982E-3</v>
      </c>
      <c r="K113">
        <f t="shared" si="39"/>
        <v>-2.5968188925887398E-2</v>
      </c>
      <c r="L113">
        <f t="shared" si="40"/>
        <v>62.739089905447557</v>
      </c>
      <c r="M113">
        <f t="shared" si="41"/>
        <v>1.3831475973942</v>
      </c>
      <c r="N113">
        <f t="shared" si="42"/>
        <v>2.2046025842560129</v>
      </c>
      <c r="O113">
        <v>484</v>
      </c>
      <c r="P113">
        <v>60</v>
      </c>
      <c r="Q113">
        <f t="shared" si="43"/>
        <v>1</v>
      </c>
      <c r="R113">
        <f t="shared" si="44"/>
        <v>0</v>
      </c>
      <c r="S113">
        <f t="shared" si="45"/>
        <v>26310.87426953523</v>
      </c>
      <c r="T113">
        <f t="shared" si="46"/>
        <v>299.99900000000002</v>
      </c>
      <c r="U113">
        <f t="shared" si="47"/>
        <v>252.89888430090903</v>
      </c>
      <c r="V113">
        <f t="shared" si="48"/>
        <v>0.84299909100000003</v>
      </c>
      <c r="W113">
        <f t="shared" si="49"/>
        <v>0.15869714286</v>
      </c>
      <c r="X113">
        <v>1</v>
      </c>
      <c r="Y113">
        <v>1769202259.0999999</v>
      </c>
      <c r="Z113">
        <v>410.09399999999999</v>
      </c>
      <c r="AA113">
        <v>410.06099999999998</v>
      </c>
      <c r="AB113">
        <v>13.7874</v>
      </c>
      <c r="AC113">
        <v>13.7887</v>
      </c>
      <c r="AD113">
        <v>410.83800000000002</v>
      </c>
      <c r="AE113">
        <v>13.7166</v>
      </c>
      <c r="AF113">
        <v>800.02</v>
      </c>
      <c r="AG113">
        <v>100.244</v>
      </c>
      <c r="AH113">
        <v>7.5683E-2</v>
      </c>
      <c r="AI113">
        <v>18.995799999999999</v>
      </c>
      <c r="AJ113">
        <v>999.9</v>
      </c>
      <c r="AK113">
        <v>999.9</v>
      </c>
      <c r="AL113">
        <v>0</v>
      </c>
      <c r="AM113">
        <v>0</v>
      </c>
      <c r="AN113">
        <v>5004</v>
      </c>
      <c r="AO113">
        <v>0</v>
      </c>
      <c r="AP113">
        <v>1.58087</v>
      </c>
      <c r="AQ113">
        <v>3.3050499999999997E-2</v>
      </c>
      <c r="AR113">
        <v>415.827</v>
      </c>
      <c r="AS113">
        <v>415.79399999999998</v>
      </c>
      <c r="AT113">
        <v>-1.30272E-3</v>
      </c>
      <c r="AU113">
        <v>410.06099999999998</v>
      </c>
      <c r="AV113">
        <v>13.7887</v>
      </c>
      <c r="AW113">
        <v>1.3821000000000001</v>
      </c>
      <c r="AX113">
        <v>1.3822300000000001</v>
      </c>
      <c r="AY113">
        <v>11.7227</v>
      </c>
      <c r="AZ113">
        <v>11.7241</v>
      </c>
      <c r="BA113">
        <v>299.99900000000002</v>
      </c>
      <c r="BB113">
        <v>0.90003900000000003</v>
      </c>
      <c r="BC113">
        <v>0</v>
      </c>
      <c r="BD113">
        <v>9.9961300000000003E-2</v>
      </c>
      <c r="BE113">
        <v>0</v>
      </c>
      <c r="BF113">
        <v>25</v>
      </c>
      <c r="BG113">
        <v>4946.67</v>
      </c>
      <c r="BH113">
        <v>1769202258.0999999</v>
      </c>
      <c r="BI113" t="s">
        <v>491</v>
      </c>
      <c r="BJ113">
        <v>1769202254.0999999</v>
      </c>
      <c r="BK113">
        <v>1769202258.0999999</v>
      </c>
      <c r="BL113">
        <v>16</v>
      </c>
      <c r="BM113">
        <v>3.5000000000000003E-2</v>
      </c>
      <c r="BN113">
        <v>-5.0999999999999997E-2</v>
      </c>
      <c r="BO113">
        <v>-0.74299999999999999</v>
      </c>
      <c r="BP113">
        <v>7.0999999999999994E-2</v>
      </c>
      <c r="BQ113">
        <v>410</v>
      </c>
      <c r="BR113">
        <v>14</v>
      </c>
      <c r="BS113">
        <v>0.16</v>
      </c>
      <c r="BT113">
        <v>0.06</v>
      </c>
      <c r="BU113">
        <v>-6.8045048499999997E-2</v>
      </c>
      <c r="BV113">
        <v>0.91134497999999997</v>
      </c>
      <c r="BW113">
        <v>0.117168497226438</v>
      </c>
      <c r="BX113">
        <v>0</v>
      </c>
      <c r="BY113">
        <v>0</v>
      </c>
      <c r="BZ113">
        <v>0</v>
      </c>
      <c r="CA113">
        <v>0</v>
      </c>
      <c r="CB113">
        <v>-1</v>
      </c>
      <c r="CC113">
        <v>0.144519274</v>
      </c>
      <c r="CD113">
        <v>-1.55448662616541</v>
      </c>
      <c r="CE113">
        <v>0.23744383958380699</v>
      </c>
      <c r="CF113">
        <v>0</v>
      </c>
      <c r="CG113">
        <v>0</v>
      </c>
      <c r="CH113">
        <v>2</v>
      </c>
      <c r="CI113" t="s">
        <v>290</v>
      </c>
      <c r="CJ113">
        <v>3.53416</v>
      </c>
      <c r="CK113">
        <v>2.71238</v>
      </c>
      <c r="CL113">
        <v>9.8039699999999994E-2</v>
      </c>
      <c r="CM113">
        <v>9.6704700000000005E-2</v>
      </c>
      <c r="CN113">
        <v>8.0603300000000003E-2</v>
      </c>
      <c r="CO113">
        <v>7.9508099999999998E-2</v>
      </c>
      <c r="CP113">
        <v>31624</v>
      </c>
      <c r="CQ113">
        <v>27830.7</v>
      </c>
      <c r="CR113">
        <v>32451.200000000001</v>
      </c>
      <c r="CS113">
        <v>30737.7</v>
      </c>
      <c r="CT113">
        <v>40416</v>
      </c>
      <c r="CU113">
        <v>39799.199999999997</v>
      </c>
      <c r="CV113">
        <v>47401.1</v>
      </c>
      <c r="CW113">
        <v>46886.400000000001</v>
      </c>
      <c r="CX113">
        <v>1.6811799999999999</v>
      </c>
      <c r="CY113">
        <v>1.60598</v>
      </c>
      <c r="CZ113">
        <v>0</v>
      </c>
      <c r="DA113">
        <v>0</v>
      </c>
      <c r="DB113">
        <v>999.9</v>
      </c>
      <c r="DC113">
        <v>999.9</v>
      </c>
      <c r="DD113">
        <v>45.19</v>
      </c>
      <c r="DE113">
        <v>28.751999999999999</v>
      </c>
      <c r="DF113">
        <v>17.871400000000001</v>
      </c>
      <c r="DG113">
        <v>30.629899999999999</v>
      </c>
      <c r="DH113">
        <v>16.694700000000001</v>
      </c>
      <c r="DI113">
        <v>2</v>
      </c>
      <c r="DJ113">
        <v>-0.108366</v>
      </c>
      <c r="DK113">
        <v>2.18492</v>
      </c>
      <c r="DL113">
        <v>20.222200000000001</v>
      </c>
      <c r="DM113">
        <v>5.2444800000000003</v>
      </c>
      <c r="DN113">
        <v>12.033899999999999</v>
      </c>
      <c r="DO113">
        <v>4.9655199999999997</v>
      </c>
      <c r="DP113">
        <v>3.2901400000000001</v>
      </c>
      <c r="DQ113">
        <v>538.1</v>
      </c>
      <c r="DR113">
        <v>9999</v>
      </c>
      <c r="DS113">
        <v>9999</v>
      </c>
      <c r="DT113">
        <v>9999</v>
      </c>
      <c r="DU113">
        <v>1.8710599999999999</v>
      </c>
      <c r="DV113">
        <v>1.8760699999999999</v>
      </c>
      <c r="DW113">
        <v>1.87625</v>
      </c>
      <c r="DX113">
        <v>1.8827799999999999</v>
      </c>
      <c r="DY113">
        <v>1.87557</v>
      </c>
      <c r="DZ113">
        <v>1.8746499999999999</v>
      </c>
      <c r="EA113">
        <v>1.8708</v>
      </c>
      <c r="EB113">
        <v>1.87459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-0.74299999999999999</v>
      </c>
      <c r="EQ113">
        <v>7.0699999999999999E-2</v>
      </c>
      <c r="ER113">
        <v>-0.74350000000000005</v>
      </c>
      <c r="ES113">
        <v>0</v>
      </c>
      <c r="ET113">
        <v>0</v>
      </c>
      <c r="EU113">
        <v>0</v>
      </c>
      <c r="EV113">
        <v>7.0740000000000705E-2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0.1</v>
      </c>
      <c r="FE113">
        <v>0</v>
      </c>
      <c r="FF113">
        <v>1.24512</v>
      </c>
      <c r="FG113">
        <v>2.6086399999999998</v>
      </c>
      <c r="FH113">
        <v>2.19604</v>
      </c>
      <c r="FI113">
        <v>2.66113</v>
      </c>
      <c r="FJ113">
        <v>2.4462899999999999</v>
      </c>
      <c r="FK113">
        <v>2.2827099999999998</v>
      </c>
      <c r="FL113">
        <v>32.953699999999998</v>
      </c>
      <c r="FM113">
        <v>24.14</v>
      </c>
      <c r="FN113">
        <v>19</v>
      </c>
      <c r="FO113">
        <v>298.65199999999999</v>
      </c>
      <c r="FP113">
        <v>279.77800000000002</v>
      </c>
      <c r="FQ113">
        <v>18.2575</v>
      </c>
      <c r="FR113">
        <v>25.604199999999999</v>
      </c>
      <c r="FS113">
        <v>30.0001</v>
      </c>
      <c r="FT113">
        <v>25.6065</v>
      </c>
      <c r="FU113">
        <v>25.605799999999999</v>
      </c>
      <c r="FV113">
        <v>24.979600000000001</v>
      </c>
      <c r="FW113">
        <v>22.408200000000001</v>
      </c>
      <c r="FX113">
        <v>10.280099999999999</v>
      </c>
      <c r="FY113">
        <v>18.260200000000001</v>
      </c>
      <c r="FZ113">
        <v>410</v>
      </c>
      <c r="GA113">
        <v>14.7898</v>
      </c>
      <c r="GB113">
        <v>99.8733</v>
      </c>
      <c r="GC113">
        <v>99.802400000000006</v>
      </c>
    </row>
    <row r="114" spans="1:185" x14ac:dyDescent="0.2">
      <c r="A114">
        <v>99</v>
      </c>
      <c r="B114">
        <v>1769202275.0999999</v>
      </c>
      <c r="C114">
        <v>2004.0999999046301</v>
      </c>
      <c r="D114" t="s">
        <v>494</v>
      </c>
      <c r="E114" t="s">
        <v>495</v>
      </c>
      <c r="F114">
        <v>15</v>
      </c>
      <c r="G114">
        <v>1769202267.03333</v>
      </c>
      <c r="H114">
        <f t="shared" si="38"/>
        <v>8.8180571440929956E-4</v>
      </c>
      <c r="I114">
        <v>0</v>
      </c>
      <c r="J114">
        <f t="shared" si="37"/>
        <v>-1.1336430767932861E-4</v>
      </c>
      <c r="K114">
        <f t="shared" si="39"/>
        <v>-2.9223703388557443E-3</v>
      </c>
      <c r="L114">
        <f t="shared" si="40"/>
        <v>68.480051405867513</v>
      </c>
      <c r="M114">
        <f t="shared" si="41"/>
        <v>1.5097060740258414</v>
      </c>
      <c r="N114">
        <f t="shared" si="42"/>
        <v>2.2045924952335634</v>
      </c>
      <c r="O114">
        <v>0</v>
      </c>
      <c r="P114">
        <v>0</v>
      </c>
      <c r="Q114">
        <f t="shared" si="43"/>
        <v>1</v>
      </c>
      <c r="R114">
        <f t="shared" si="44"/>
        <v>0</v>
      </c>
      <c r="S114">
        <f t="shared" si="45"/>
        <v>26328.186759787357</v>
      </c>
      <c r="T114">
        <f t="shared" si="46"/>
        <v>299.99959999999999</v>
      </c>
      <c r="U114">
        <f t="shared" si="47"/>
        <v>252.89925276054677</v>
      </c>
      <c r="V114">
        <f t="shared" si="48"/>
        <v>0.84299863320000024</v>
      </c>
      <c r="W114">
        <f t="shared" si="49"/>
        <v>0.15869679087200006</v>
      </c>
      <c r="X114">
        <v>1</v>
      </c>
      <c r="Y114">
        <v>1769202267.03333</v>
      </c>
      <c r="Z114">
        <v>409.52940000000001</v>
      </c>
      <c r="AA114">
        <v>409.97693333333302</v>
      </c>
      <c r="AB114">
        <v>15.050373333333299</v>
      </c>
      <c r="AC114">
        <v>13.96524</v>
      </c>
      <c r="AD114">
        <v>410.27306666666698</v>
      </c>
      <c r="AE114">
        <v>14.9796333333333</v>
      </c>
      <c r="AF114">
        <v>800.39400000000001</v>
      </c>
      <c r="AG114">
        <v>100.244333333333</v>
      </c>
      <c r="AH114">
        <v>6.5874299999999997E-2</v>
      </c>
      <c r="AI114">
        <v>18.995726666666702</v>
      </c>
      <c r="AJ114">
        <v>999.9</v>
      </c>
      <c r="AK114">
        <v>999.9</v>
      </c>
      <c r="AL114">
        <v>0</v>
      </c>
      <c r="AM114">
        <v>0</v>
      </c>
      <c r="AN114">
        <v>5006.8333333333303</v>
      </c>
      <c r="AO114">
        <v>0</v>
      </c>
      <c r="AP114">
        <v>1.58087</v>
      </c>
      <c r="AQ114">
        <v>-0.44741217999999999</v>
      </c>
      <c r="AR114">
        <v>415.78719999999998</v>
      </c>
      <c r="AS114">
        <v>415.78359999999998</v>
      </c>
      <c r="AT114">
        <v>1.0851322853333301</v>
      </c>
      <c r="AU114">
        <v>409.97693333333302</v>
      </c>
      <c r="AV114">
        <v>13.96524</v>
      </c>
      <c r="AW114">
        <v>1.50871466666667</v>
      </c>
      <c r="AX114">
        <v>1.3999360000000001</v>
      </c>
      <c r="AY114">
        <v>13.049246666666701</v>
      </c>
      <c r="AZ114">
        <v>11.916700000000001</v>
      </c>
      <c r="BA114">
        <v>299.99959999999999</v>
      </c>
      <c r="BB114">
        <v>0.90004246666666698</v>
      </c>
      <c r="BC114">
        <v>0</v>
      </c>
      <c r="BD114">
        <v>9.9957426666666696E-2</v>
      </c>
      <c r="BE114">
        <v>0</v>
      </c>
      <c r="BF114">
        <v>25</v>
      </c>
      <c r="BG114">
        <v>4946.692</v>
      </c>
      <c r="BH114">
        <v>1769202258.0999999</v>
      </c>
      <c r="BI114" t="s">
        <v>491</v>
      </c>
      <c r="BJ114">
        <v>1769202254.0999999</v>
      </c>
      <c r="BK114">
        <v>1769202258.0999999</v>
      </c>
      <c r="BL114">
        <v>16</v>
      </c>
      <c r="BM114">
        <v>3.5000000000000003E-2</v>
      </c>
      <c r="BN114">
        <v>-5.0999999999999997E-2</v>
      </c>
      <c r="BO114">
        <v>-0.74299999999999999</v>
      </c>
      <c r="BP114">
        <v>7.0999999999999994E-2</v>
      </c>
      <c r="BQ114">
        <v>410</v>
      </c>
      <c r="BR114">
        <v>14</v>
      </c>
      <c r="BS114">
        <v>0.16</v>
      </c>
      <c r="BT114">
        <v>0.06</v>
      </c>
      <c r="BU114">
        <v>-0.31792055190476198</v>
      </c>
      <c r="BV114">
        <v>-2.5554459709090902</v>
      </c>
      <c r="BW114">
        <v>0.27483688576548398</v>
      </c>
      <c r="BX114">
        <v>0</v>
      </c>
      <c r="BY114">
        <v>0</v>
      </c>
      <c r="BZ114">
        <v>0</v>
      </c>
      <c r="CA114">
        <v>0</v>
      </c>
      <c r="CB114">
        <v>-1</v>
      </c>
      <c r="CC114">
        <v>0.79091463238095205</v>
      </c>
      <c r="CD114">
        <v>5.3503065974026001</v>
      </c>
      <c r="CE114">
        <v>0.58210788698857197</v>
      </c>
      <c r="CF114">
        <v>0</v>
      </c>
      <c r="CG114">
        <v>0</v>
      </c>
      <c r="CH114">
        <v>2</v>
      </c>
      <c r="CI114" t="s">
        <v>290</v>
      </c>
      <c r="CJ114">
        <v>3.5324499999999999</v>
      </c>
      <c r="CK114">
        <v>2.7018</v>
      </c>
      <c r="CL114">
        <v>9.7942000000000001E-2</v>
      </c>
      <c r="CM114">
        <v>9.6702399999999994E-2</v>
      </c>
      <c r="CN114">
        <v>8.7246299999999999E-2</v>
      </c>
      <c r="CO114">
        <v>8.0418699999999996E-2</v>
      </c>
      <c r="CP114">
        <v>31626.2</v>
      </c>
      <c r="CQ114">
        <v>27830.3</v>
      </c>
      <c r="CR114">
        <v>32449.8</v>
      </c>
      <c r="CS114">
        <v>30737.200000000001</v>
      </c>
      <c r="CT114">
        <v>40113.699999999997</v>
      </c>
      <c r="CU114">
        <v>39758.6</v>
      </c>
      <c r="CV114">
        <v>47399.199999999997</v>
      </c>
      <c r="CW114">
        <v>46886.1</v>
      </c>
      <c r="CX114">
        <v>2.6187</v>
      </c>
      <c r="CY114">
        <v>2.1191200000000001</v>
      </c>
      <c r="CZ114">
        <v>0</v>
      </c>
      <c r="DA114">
        <v>0</v>
      </c>
      <c r="DB114">
        <v>999.9</v>
      </c>
      <c r="DC114">
        <v>999.9</v>
      </c>
      <c r="DD114">
        <v>45.164999999999999</v>
      </c>
      <c r="DE114">
        <v>28.751999999999999</v>
      </c>
      <c r="DF114">
        <v>17.860600000000002</v>
      </c>
      <c r="DG114">
        <v>30.4499</v>
      </c>
      <c r="DH114">
        <v>16.458300000000001</v>
      </c>
      <c r="DI114">
        <v>2</v>
      </c>
      <c r="DJ114">
        <v>-0.108075</v>
      </c>
      <c r="DK114">
        <v>2.1724199999999998</v>
      </c>
      <c r="DL114">
        <v>20.223600000000001</v>
      </c>
      <c r="DM114">
        <v>5.2488000000000001</v>
      </c>
      <c r="DN114">
        <v>12.033899999999999</v>
      </c>
      <c r="DO114">
        <v>4.96624</v>
      </c>
      <c r="DP114">
        <v>3.2909999999999999</v>
      </c>
      <c r="DQ114">
        <v>538.1</v>
      </c>
      <c r="DR114">
        <v>9999</v>
      </c>
      <c r="DS114">
        <v>9999</v>
      </c>
      <c r="DT114">
        <v>9999</v>
      </c>
      <c r="DU114">
        <v>1.8710599999999999</v>
      </c>
      <c r="DV114">
        <v>1.87608</v>
      </c>
      <c r="DW114">
        <v>1.87629</v>
      </c>
      <c r="DX114">
        <v>1.8827799999999999</v>
      </c>
      <c r="DY114">
        <v>1.8755900000000001</v>
      </c>
      <c r="DZ114">
        <v>1.8746400000000001</v>
      </c>
      <c r="EA114">
        <v>1.8708100000000001</v>
      </c>
      <c r="EB114">
        <v>1.87459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-0.74399999999999999</v>
      </c>
      <c r="EQ114">
        <v>7.0800000000000002E-2</v>
      </c>
      <c r="ER114">
        <v>-0.74350000000000005</v>
      </c>
      <c r="ES114">
        <v>0</v>
      </c>
      <c r="ET114">
        <v>0</v>
      </c>
      <c r="EU114">
        <v>0</v>
      </c>
      <c r="EV114">
        <v>7.0740000000000705E-2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0.3</v>
      </c>
      <c r="FE114">
        <v>0.3</v>
      </c>
      <c r="FF114">
        <v>1.24512</v>
      </c>
      <c r="FG114">
        <v>2.6049799999999999</v>
      </c>
      <c r="FH114">
        <v>2.19604</v>
      </c>
      <c r="FI114">
        <v>2.66113</v>
      </c>
      <c r="FJ114">
        <v>2.4462899999999999</v>
      </c>
      <c r="FK114">
        <v>2.32544</v>
      </c>
      <c r="FL114">
        <v>32.953699999999998</v>
      </c>
      <c r="FM114">
        <v>24.148800000000001</v>
      </c>
      <c r="FN114">
        <v>19</v>
      </c>
      <c r="FO114">
        <v>862.97699999999998</v>
      </c>
      <c r="FP114">
        <v>568.97199999999998</v>
      </c>
      <c r="FQ114">
        <v>18.266500000000001</v>
      </c>
      <c r="FR114">
        <v>25.606400000000001</v>
      </c>
      <c r="FS114">
        <v>30.000299999999999</v>
      </c>
      <c r="FT114">
        <v>25.5945</v>
      </c>
      <c r="FU114">
        <v>25.595099999999999</v>
      </c>
      <c r="FV114">
        <v>24.9831</v>
      </c>
      <c r="FW114">
        <v>24.878599999999999</v>
      </c>
      <c r="FX114">
        <v>10.280099999999999</v>
      </c>
      <c r="FY114">
        <v>18.269300000000001</v>
      </c>
      <c r="FZ114">
        <v>410</v>
      </c>
      <c r="GA114">
        <v>13.924799999999999</v>
      </c>
      <c r="GB114">
        <v>99.869100000000003</v>
      </c>
      <c r="GC114">
        <v>99.801400000000001</v>
      </c>
    </row>
    <row r="115" spans="1:185" x14ac:dyDescent="0.2">
      <c r="A115">
        <v>100</v>
      </c>
      <c r="B115">
        <v>1769202290.0999999</v>
      </c>
      <c r="C115">
        <v>2019.0999999046301</v>
      </c>
      <c r="D115" t="s">
        <v>496</v>
      </c>
      <c r="E115" t="s">
        <v>497</v>
      </c>
      <c r="F115">
        <v>15</v>
      </c>
      <c r="G115">
        <v>1769202282.03333</v>
      </c>
      <c r="H115">
        <f t="shared" si="38"/>
        <v>1.1689038560912348E-3</v>
      </c>
      <c r="I115">
        <v>0</v>
      </c>
      <c r="J115">
        <f t="shared" si="37"/>
        <v>1.3630168971022976E-4</v>
      </c>
      <c r="K115">
        <f t="shared" si="39"/>
        <v>3.5136633681195849E-3</v>
      </c>
      <c r="L115">
        <f t="shared" si="40"/>
        <v>70.035306499071439</v>
      </c>
      <c r="M115">
        <f t="shared" si="41"/>
        <v>1.5440913935741827</v>
      </c>
      <c r="N115">
        <f t="shared" si="42"/>
        <v>2.204732827998197</v>
      </c>
      <c r="O115">
        <v>0</v>
      </c>
      <c r="P115">
        <v>0</v>
      </c>
      <c r="Q115">
        <f t="shared" si="43"/>
        <v>1</v>
      </c>
      <c r="R115">
        <f t="shared" si="44"/>
        <v>0</v>
      </c>
      <c r="S115">
        <f t="shared" si="45"/>
        <v>26302.09545366872</v>
      </c>
      <c r="T115">
        <f t="shared" si="46"/>
        <v>300.00099999999998</v>
      </c>
      <c r="U115">
        <f t="shared" si="47"/>
        <v>252.90051485890606</v>
      </c>
      <c r="V115">
        <f t="shared" si="48"/>
        <v>0.84299890619999962</v>
      </c>
      <c r="W115">
        <f t="shared" si="49"/>
        <v>0.15869701865199995</v>
      </c>
      <c r="X115">
        <v>1</v>
      </c>
      <c r="Y115">
        <v>1769202282.03333</v>
      </c>
      <c r="Z115">
        <v>409.41593333333299</v>
      </c>
      <c r="AA115">
        <v>410.01853333333298</v>
      </c>
      <c r="AB115">
        <v>15.393520000000001</v>
      </c>
      <c r="AC115">
        <v>13.954886666666701</v>
      </c>
      <c r="AD115">
        <v>410.15966666666702</v>
      </c>
      <c r="AE115">
        <v>15.3227733333333</v>
      </c>
      <c r="AF115">
        <v>800.00253333333296</v>
      </c>
      <c r="AG115">
        <v>100.244066666667</v>
      </c>
      <c r="AH115">
        <v>6.3815713333333302E-2</v>
      </c>
      <c r="AI115">
        <v>18.996746666666699</v>
      </c>
      <c r="AJ115">
        <v>999.9</v>
      </c>
      <c r="AK115">
        <v>999.9</v>
      </c>
      <c r="AL115">
        <v>0</v>
      </c>
      <c r="AM115">
        <v>0</v>
      </c>
      <c r="AN115">
        <v>5002.5666666666702</v>
      </c>
      <c r="AO115">
        <v>0</v>
      </c>
      <c r="AP115">
        <v>1.572892</v>
      </c>
      <c r="AQ115">
        <v>-0.60250853333333299</v>
      </c>
      <c r="AR115">
        <v>415.816933333333</v>
      </c>
      <c r="AS115">
        <v>415.82126666666699</v>
      </c>
      <c r="AT115">
        <v>1.43863866666667</v>
      </c>
      <c r="AU115">
        <v>410.01853333333298</v>
      </c>
      <c r="AV115">
        <v>13.954886666666701</v>
      </c>
      <c r="AW115">
        <v>1.5431073333333301</v>
      </c>
      <c r="AX115">
        <v>1.39889333333333</v>
      </c>
      <c r="AY115">
        <v>13.4021333333333</v>
      </c>
      <c r="AZ115">
        <v>11.9056266666667</v>
      </c>
      <c r="BA115">
        <v>300.00099999999998</v>
      </c>
      <c r="BB115">
        <v>0.90004013333333299</v>
      </c>
      <c r="BC115">
        <v>0</v>
      </c>
      <c r="BD115">
        <v>9.9959993333333302E-2</v>
      </c>
      <c r="BE115">
        <v>0</v>
      </c>
      <c r="BF115">
        <v>25</v>
      </c>
      <c r="BG115">
        <v>4946.71266666667</v>
      </c>
      <c r="BH115">
        <v>1769202258.0999999</v>
      </c>
      <c r="BI115" t="s">
        <v>491</v>
      </c>
      <c r="BJ115">
        <v>1769202254.0999999</v>
      </c>
      <c r="BK115">
        <v>1769202258.0999999</v>
      </c>
      <c r="BL115">
        <v>16</v>
      </c>
      <c r="BM115">
        <v>3.5000000000000003E-2</v>
      </c>
      <c r="BN115">
        <v>-5.0999999999999997E-2</v>
      </c>
      <c r="BO115">
        <v>-0.74299999999999999</v>
      </c>
      <c r="BP115">
        <v>7.0999999999999994E-2</v>
      </c>
      <c r="BQ115">
        <v>410</v>
      </c>
      <c r="BR115">
        <v>14</v>
      </c>
      <c r="BS115">
        <v>0.16</v>
      </c>
      <c r="BT115">
        <v>0.06</v>
      </c>
      <c r="BU115">
        <v>-0.60517120000000002</v>
      </c>
      <c r="BV115">
        <v>9.6223759398496297E-2</v>
      </c>
      <c r="BW115">
        <v>2.5153247519157401E-2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1.4201239999999999</v>
      </c>
      <c r="CD115">
        <v>0.37226436090225701</v>
      </c>
      <c r="CE115">
        <v>3.8501856500693599E-2</v>
      </c>
      <c r="CF115">
        <v>0</v>
      </c>
      <c r="CG115">
        <v>1</v>
      </c>
      <c r="CH115">
        <v>2</v>
      </c>
      <c r="CI115" t="s">
        <v>302</v>
      </c>
      <c r="CJ115">
        <v>3.5324800000000001</v>
      </c>
      <c r="CK115">
        <v>2.7015799999999999</v>
      </c>
      <c r="CL115">
        <v>9.7938800000000006E-2</v>
      </c>
      <c r="CM115">
        <v>9.6707399999999999E-2</v>
      </c>
      <c r="CN115">
        <v>8.7293499999999996E-2</v>
      </c>
      <c r="CO115">
        <v>8.0152600000000004E-2</v>
      </c>
      <c r="CP115">
        <v>31625.7</v>
      </c>
      <c r="CQ115">
        <v>27829.9</v>
      </c>
      <c r="CR115">
        <v>32449.200000000001</v>
      </c>
      <c r="CS115">
        <v>30736.9</v>
      </c>
      <c r="CT115">
        <v>40110.9</v>
      </c>
      <c r="CU115">
        <v>39769.9</v>
      </c>
      <c r="CV115">
        <v>47398.400000000001</v>
      </c>
      <c r="CW115">
        <v>46885.5</v>
      </c>
      <c r="CX115">
        <v>2.62052</v>
      </c>
      <c r="CY115">
        <v>2.1199400000000002</v>
      </c>
      <c r="CZ115">
        <v>0</v>
      </c>
      <c r="DA115">
        <v>0</v>
      </c>
      <c r="DB115">
        <v>999.9</v>
      </c>
      <c r="DC115">
        <v>999.9</v>
      </c>
      <c r="DD115">
        <v>45.140999999999998</v>
      </c>
      <c r="DE115">
        <v>28.751999999999999</v>
      </c>
      <c r="DF115">
        <v>17.851299999999998</v>
      </c>
      <c r="DG115">
        <v>30.419899999999998</v>
      </c>
      <c r="DH115">
        <v>16.382200000000001</v>
      </c>
      <c r="DI115">
        <v>2</v>
      </c>
      <c r="DJ115">
        <v>-0.107679</v>
      </c>
      <c r="DK115">
        <v>2.1692</v>
      </c>
      <c r="DL115">
        <v>20.223500000000001</v>
      </c>
      <c r="DM115">
        <v>5.2472399999999997</v>
      </c>
      <c r="DN115">
        <v>12.033899999999999</v>
      </c>
      <c r="DO115">
        <v>4.9661600000000004</v>
      </c>
      <c r="DP115">
        <v>3.2907199999999999</v>
      </c>
      <c r="DQ115">
        <v>538.20000000000005</v>
      </c>
      <c r="DR115">
        <v>9999</v>
      </c>
      <c r="DS115">
        <v>9999</v>
      </c>
      <c r="DT115">
        <v>9999</v>
      </c>
      <c r="DU115">
        <v>1.8711100000000001</v>
      </c>
      <c r="DV115">
        <v>1.8760699999999999</v>
      </c>
      <c r="DW115">
        <v>1.8762700000000001</v>
      </c>
      <c r="DX115">
        <v>1.8827799999999999</v>
      </c>
      <c r="DY115">
        <v>1.8755599999999999</v>
      </c>
      <c r="DZ115">
        <v>1.8746499999999999</v>
      </c>
      <c r="EA115">
        <v>1.8708100000000001</v>
      </c>
      <c r="EB115">
        <v>1.8745799999999999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-0.74299999999999999</v>
      </c>
      <c r="EQ115">
        <v>7.0800000000000002E-2</v>
      </c>
      <c r="ER115">
        <v>-0.74350000000000005</v>
      </c>
      <c r="ES115">
        <v>0</v>
      </c>
      <c r="ET115">
        <v>0</v>
      </c>
      <c r="EU115">
        <v>0</v>
      </c>
      <c r="EV115">
        <v>7.0740000000000705E-2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0.6</v>
      </c>
      <c r="FE115">
        <v>0.5</v>
      </c>
      <c r="FF115">
        <v>1.2439</v>
      </c>
      <c r="FG115">
        <v>2.6049799999999999</v>
      </c>
      <c r="FH115">
        <v>2.19604</v>
      </c>
      <c r="FI115">
        <v>2.66113</v>
      </c>
      <c r="FJ115">
        <v>2.4462899999999999</v>
      </c>
      <c r="FK115">
        <v>2.3120099999999999</v>
      </c>
      <c r="FL115">
        <v>32.953699999999998</v>
      </c>
      <c r="FM115">
        <v>24.14</v>
      </c>
      <c r="FN115">
        <v>19</v>
      </c>
      <c r="FO115">
        <v>864.70100000000002</v>
      </c>
      <c r="FP115">
        <v>569.61800000000005</v>
      </c>
      <c r="FQ115">
        <v>18.2744</v>
      </c>
      <c r="FR115">
        <v>25.610700000000001</v>
      </c>
      <c r="FS115">
        <v>30.0002</v>
      </c>
      <c r="FT115">
        <v>25.596599999999999</v>
      </c>
      <c r="FU115">
        <v>25.597200000000001</v>
      </c>
      <c r="FV115">
        <v>24.981100000000001</v>
      </c>
      <c r="FW115">
        <v>24.878599999999999</v>
      </c>
      <c r="FX115">
        <v>10.280099999999999</v>
      </c>
      <c r="FY115">
        <v>18.276199999999999</v>
      </c>
      <c r="FZ115">
        <v>410</v>
      </c>
      <c r="GA115">
        <v>13.924799999999999</v>
      </c>
      <c r="GB115">
        <v>99.867500000000007</v>
      </c>
      <c r="GC115">
        <v>99.800200000000004</v>
      </c>
    </row>
    <row r="116" spans="1:185" x14ac:dyDescent="0.2">
      <c r="A116">
        <v>101</v>
      </c>
      <c r="B116">
        <v>1769202413.0999999</v>
      </c>
      <c r="C116">
        <v>2142.0999999046298</v>
      </c>
      <c r="D116" t="s">
        <v>498</v>
      </c>
      <c r="E116" t="s">
        <v>499</v>
      </c>
      <c r="F116">
        <v>15</v>
      </c>
      <c r="G116">
        <v>1769202404.5999999</v>
      </c>
      <c r="H116">
        <f t="shared" si="38"/>
        <v>-7.2494460812215218E-4</v>
      </c>
      <c r="I116">
        <v>0</v>
      </c>
      <c r="J116">
        <f t="shared" si="37"/>
        <v>-0.37674190373708416</v>
      </c>
      <c r="K116">
        <f t="shared" si="39"/>
        <v>-9.7118695242211466</v>
      </c>
      <c r="L116">
        <f t="shared" si="40"/>
        <v>68.902094243973139</v>
      </c>
      <c r="M116">
        <f t="shared" si="41"/>
        <v>1.5200847041525758</v>
      </c>
      <c r="N116">
        <f t="shared" si="42"/>
        <v>2.2061516719218406</v>
      </c>
      <c r="O116">
        <v>0</v>
      </c>
      <c r="P116">
        <v>0</v>
      </c>
      <c r="Q116">
        <f t="shared" si="43"/>
        <v>1</v>
      </c>
      <c r="R116">
        <f t="shared" si="44"/>
        <v>0</v>
      </c>
      <c r="S116">
        <f t="shared" si="45"/>
        <v>26263.912852773159</v>
      </c>
      <c r="T116">
        <f t="shared" si="46"/>
        <v>499.99881249999999</v>
      </c>
      <c r="U116">
        <f t="shared" si="47"/>
        <v>421.4992060307581</v>
      </c>
      <c r="V116">
        <f t="shared" si="48"/>
        <v>0.84300041418749994</v>
      </c>
      <c r="W116">
        <f t="shared" si="49"/>
        <v>0.15870090148874999</v>
      </c>
      <c r="X116">
        <v>1</v>
      </c>
      <c r="Y116">
        <v>1769202404.5999999</v>
      </c>
      <c r="Z116">
        <v>422.41531250000003</v>
      </c>
      <c r="AA116">
        <v>409.89293750000002</v>
      </c>
      <c r="AB116">
        <v>15.153643750000001</v>
      </c>
      <c r="AC116">
        <v>16.046074999999998</v>
      </c>
      <c r="AD116">
        <v>423.15899999999999</v>
      </c>
      <c r="AE116">
        <v>15.082918749999999</v>
      </c>
      <c r="AF116">
        <v>800.01575000000003</v>
      </c>
      <c r="AG116">
        <v>100.2476875</v>
      </c>
      <c r="AH116">
        <v>6.3810462499999998E-2</v>
      </c>
      <c r="AI116">
        <v>19.007056250000002</v>
      </c>
      <c r="AJ116">
        <v>999.9</v>
      </c>
      <c r="AK116">
        <v>999.9</v>
      </c>
      <c r="AL116">
        <v>0</v>
      </c>
      <c r="AM116">
        <v>0</v>
      </c>
      <c r="AN116">
        <v>4996.28125</v>
      </c>
      <c r="AO116">
        <v>0</v>
      </c>
      <c r="AP116">
        <v>1.5244200000000001</v>
      </c>
      <c r="AQ116">
        <v>12.522349999999999</v>
      </c>
      <c r="AR116">
        <v>428.91243750000001</v>
      </c>
      <c r="AS116">
        <v>416.57743749999997</v>
      </c>
      <c r="AT116">
        <v>-0.89242437500000005</v>
      </c>
      <c r="AU116">
        <v>409.89293750000002</v>
      </c>
      <c r="AV116">
        <v>16.046074999999998</v>
      </c>
      <c r="AW116">
        <v>1.5191187500000001</v>
      </c>
      <c r="AX116">
        <v>1.6085825</v>
      </c>
      <c r="AY116">
        <v>13.153806250000001</v>
      </c>
      <c r="AZ116">
        <v>14.040637500000001</v>
      </c>
      <c r="BA116">
        <v>499.99881249999999</v>
      </c>
      <c r="BB116">
        <v>0.89998818749999998</v>
      </c>
      <c r="BC116">
        <v>0</v>
      </c>
      <c r="BD116">
        <v>0.10001188125</v>
      </c>
      <c r="BE116">
        <v>0</v>
      </c>
      <c r="BF116">
        <v>25</v>
      </c>
      <c r="BG116">
        <v>8244.3425000000007</v>
      </c>
      <c r="BH116">
        <v>1769202258.0999999</v>
      </c>
      <c r="BI116" t="s">
        <v>491</v>
      </c>
      <c r="BJ116">
        <v>1769202254.0999999</v>
      </c>
      <c r="BK116">
        <v>1769202258.0999999</v>
      </c>
      <c r="BL116">
        <v>16</v>
      </c>
      <c r="BM116">
        <v>3.5000000000000003E-2</v>
      </c>
      <c r="BN116">
        <v>-5.0999999999999997E-2</v>
      </c>
      <c r="BO116">
        <v>-0.74299999999999999</v>
      </c>
      <c r="BP116">
        <v>7.0999999999999994E-2</v>
      </c>
      <c r="BQ116">
        <v>410</v>
      </c>
      <c r="BR116">
        <v>14</v>
      </c>
      <c r="BS116">
        <v>0.16</v>
      </c>
      <c r="BT116">
        <v>0.06</v>
      </c>
      <c r="BU116">
        <v>16.6463775</v>
      </c>
      <c r="BV116">
        <v>-78.6717739849624</v>
      </c>
      <c r="BW116">
        <v>7.70454023799401</v>
      </c>
      <c r="BX116">
        <v>0</v>
      </c>
      <c r="BY116">
        <v>0</v>
      </c>
      <c r="BZ116">
        <v>0</v>
      </c>
      <c r="CA116">
        <v>0</v>
      </c>
      <c r="CB116">
        <v>-1</v>
      </c>
      <c r="CC116">
        <v>-1.29379325</v>
      </c>
      <c r="CD116">
        <v>7.22660819548872</v>
      </c>
      <c r="CE116">
        <v>0.72062688880792403</v>
      </c>
      <c r="CF116">
        <v>0</v>
      </c>
      <c r="CG116">
        <v>0</v>
      </c>
      <c r="CH116">
        <v>2</v>
      </c>
      <c r="CI116" t="s">
        <v>290</v>
      </c>
      <c r="CJ116">
        <v>3.5324499999999999</v>
      </c>
      <c r="CK116">
        <v>2.7017799999999998</v>
      </c>
      <c r="CL116">
        <v>9.9077700000000005E-2</v>
      </c>
      <c r="CM116">
        <v>9.6733799999999995E-2</v>
      </c>
      <c r="CN116">
        <v>8.95006E-2</v>
      </c>
      <c r="CO116">
        <v>8.8616399999999998E-2</v>
      </c>
      <c r="CP116">
        <v>31583.7</v>
      </c>
      <c r="CQ116">
        <v>27827</v>
      </c>
      <c r="CR116">
        <v>32447.200000000001</v>
      </c>
      <c r="CS116">
        <v>30734.6</v>
      </c>
      <c r="CT116">
        <v>40008.699999999997</v>
      </c>
      <c r="CU116">
        <v>39390.6</v>
      </c>
      <c r="CV116">
        <v>47395.5</v>
      </c>
      <c r="CW116">
        <v>46882.1</v>
      </c>
      <c r="CX116">
        <v>2.6192000000000002</v>
      </c>
      <c r="CY116">
        <v>2.1237599999999999</v>
      </c>
      <c r="CZ116">
        <v>0</v>
      </c>
      <c r="DA116">
        <v>0</v>
      </c>
      <c r="DB116">
        <v>999.9</v>
      </c>
      <c r="DC116">
        <v>999.9</v>
      </c>
      <c r="DD116">
        <v>45.738999999999997</v>
      </c>
      <c r="DE116">
        <v>28.771999999999998</v>
      </c>
      <c r="DF116">
        <v>18.108599999999999</v>
      </c>
      <c r="DG116">
        <v>30.51</v>
      </c>
      <c r="DH116">
        <v>16.406199999999998</v>
      </c>
      <c r="DI116">
        <v>2</v>
      </c>
      <c r="DJ116">
        <v>-0.10365000000000001</v>
      </c>
      <c r="DK116">
        <v>2.1799900000000001</v>
      </c>
      <c r="DL116">
        <v>20.208400000000001</v>
      </c>
      <c r="DM116">
        <v>5.2481999999999998</v>
      </c>
      <c r="DN116">
        <v>12.033899999999999</v>
      </c>
      <c r="DO116">
        <v>4.9666399999999999</v>
      </c>
      <c r="DP116">
        <v>3.2906399999999998</v>
      </c>
      <c r="DQ116">
        <v>538.20000000000005</v>
      </c>
      <c r="DR116">
        <v>9999</v>
      </c>
      <c r="DS116">
        <v>9999</v>
      </c>
      <c r="DT116">
        <v>9999</v>
      </c>
      <c r="DU116">
        <v>1.8710599999999999</v>
      </c>
      <c r="DV116">
        <v>1.8760699999999999</v>
      </c>
      <c r="DW116">
        <v>1.8762300000000001</v>
      </c>
      <c r="DX116">
        <v>1.8827700000000001</v>
      </c>
      <c r="DY116">
        <v>1.8755299999999999</v>
      </c>
      <c r="DZ116">
        <v>1.87459</v>
      </c>
      <c r="EA116">
        <v>1.8707400000000001</v>
      </c>
      <c r="EB116">
        <v>1.8745499999999999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-0.74299999999999999</v>
      </c>
      <c r="EQ116">
        <v>7.0699999999999999E-2</v>
      </c>
      <c r="ER116">
        <v>-0.74350000000000005</v>
      </c>
      <c r="ES116">
        <v>0</v>
      </c>
      <c r="ET116">
        <v>0</v>
      </c>
      <c r="EU116">
        <v>0</v>
      </c>
      <c r="EV116">
        <v>7.0740000000000705E-2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2.6</v>
      </c>
      <c r="FE116">
        <v>2.6</v>
      </c>
      <c r="FF116">
        <v>1.24634</v>
      </c>
      <c r="FG116">
        <v>2.6037599999999999</v>
      </c>
      <c r="FH116">
        <v>2.19604</v>
      </c>
      <c r="FI116">
        <v>2.65991</v>
      </c>
      <c r="FJ116">
        <v>2.4462899999999999</v>
      </c>
      <c r="FK116">
        <v>2.31812</v>
      </c>
      <c r="FL116">
        <v>32.9983</v>
      </c>
      <c r="FM116">
        <v>24.148800000000001</v>
      </c>
      <c r="FN116">
        <v>19</v>
      </c>
      <c r="FO116">
        <v>864.01900000000001</v>
      </c>
      <c r="FP116">
        <v>572.88400000000001</v>
      </c>
      <c r="FQ116">
        <v>17.617000000000001</v>
      </c>
      <c r="FR116">
        <v>25.646999999999998</v>
      </c>
      <c r="FS116">
        <v>29.9986</v>
      </c>
      <c r="FT116">
        <v>25.630700000000001</v>
      </c>
      <c r="FU116">
        <v>25.6295</v>
      </c>
      <c r="FV116">
        <v>25.022200000000002</v>
      </c>
      <c r="FW116">
        <v>16.493300000000001</v>
      </c>
      <c r="FX116">
        <v>14.756600000000001</v>
      </c>
      <c r="FY116">
        <v>17.758700000000001</v>
      </c>
      <c r="FZ116">
        <v>410</v>
      </c>
      <c r="GA116">
        <v>15.5014</v>
      </c>
      <c r="GB116">
        <v>99.861400000000003</v>
      </c>
      <c r="GC116">
        <v>99.792900000000003</v>
      </c>
    </row>
    <row r="117" spans="1:185" x14ac:dyDescent="0.2">
      <c r="A117">
        <v>102</v>
      </c>
      <c r="B117">
        <v>1769202428.0999999</v>
      </c>
      <c r="C117">
        <v>2157.0999999046298</v>
      </c>
      <c r="D117" t="s">
        <v>500</v>
      </c>
      <c r="E117" t="s">
        <v>501</v>
      </c>
      <c r="F117">
        <v>15</v>
      </c>
      <c r="G117">
        <v>1769202420.03333</v>
      </c>
      <c r="H117">
        <f t="shared" si="38"/>
        <v>4.0315192296492511E-4</v>
      </c>
      <c r="I117">
        <v>0</v>
      </c>
      <c r="J117">
        <f t="shared" si="37"/>
        <v>-0.10603207692273477</v>
      </c>
      <c r="K117">
        <f t="shared" si="39"/>
        <v>-2.733355876373186</v>
      </c>
      <c r="L117">
        <f t="shared" si="40"/>
        <v>73.514240274444546</v>
      </c>
      <c r="M117">
        <f t="shared" si="41"/>
        <v>1.6149630626384814</v>
      </c>
      <c r="N117">
        <f t="shared" si="42"/>
        <v>2.196803036540234</v>
      </c>
      <c r="O117">
        <v>0</v>
      </c>
      <c r="P117">
        <v>0</v>
      </c>
      <c r="Q117">
        <f t="shared" si="43"/>
        <v>1</v>
      </c>
      <c r="R117">
        <f t="shared" si="44"/>
        <v>0</v>
      </c>
      <c r="S117">
        <f t="shared" si="45"/>
        <v>26317.394364384323</v>
      </c>
      <c r="T117">
        <f t="shared" si="46"/>
        <v>499.99973333333298</v>
      </c>
      <c r="U117">
        <f t="shared" si="47"/>
        <v>421.50016919978953</v>
      </c>
      <c r="V117">
        <f t="shared" si="48"/>
        <v>0.84300078799999989</v>
      </c>
      <c r="W117">
        <f t="shared" si="49"/>
        <v>0.15870197000000003</v>
      </c>
      <c r="X117">
        <v>1</v>
      </c>
      <c r="Y117">
        <v>1769202420.03333</v>
      </c>
      <c r="Z117">
        <v>413.41706666666698</v>
      </c>
      <c r="AA117">
        <v>410.208666666667</v>
      </c>
      <c r="AB117">
        <v>16.099419999999999</v>
      </c>
      <c r="AC117">
        <v>15.6035866666667</v>
      </c>
      <c r="AD117">
        <v>414.16026666666698</v>
      </c>
      <c r="AE117">
        <v>16.028659999999999</v>
      </c>
      <c r="AF117">
        <v>799.98940000000005</v>
      </c>
      <c r="AG117">
        <v>100.2478</v>
      </c>
      <c r="AH117">
        <v>6.4078479999999993E-2</v>
      </c>
      <c r="AI117">
        <v>18.939019999999999</v>
      </c>
      <c r="AJ117">
        <v>999.9</v>
      </c>
      <c r="AK117">
        <v>999.9</v>
      </c>
      <c r="AL117">
        <v>0</v>
      </c>
      <c r="AM117">
        <v>0</v>
      </c>
      <c r="AN117">
        <v>5004.0666666666702</v>
      </c>
      <c r="AO117">
        <v>0</v>
      </c>
      <c r="AP117">
        <v>1.5244200000000001</v>
      </c>
      <c r="AQ117">
        <v>3.20818133333333</v>
      </c>
      <c r="AR117">
        <v>420.1814</v>
      </c>
      <c r="AS117">
        <v>416.71080000000001</v>
      </c>
      <c r="AT117">
        <v>0.49583333333333302</v>
      </c>
      <c r="AU117">
        <v>410.208666666667</v>
      </c>
      <c r="AV117">
        <v>15.6035866666667</v>
      </c>
      <c r="AW117">
        <v>1.6139333333333299</v>
      </c>
      <c r="AX117">
        <v>1.5642259999999999</v>
      </c>
      <c r="AY117">
        <v>14.092226666666701</v>
      </c>
      <c r="AZ117">
        <v>13.60932</v>
      </c>
      <c r="BA117">
        <v>499.99973333333298</v>
      </c>
      <c r="BB117">
        <v>0.89997373333333297</v>
      </c>
      <c r="BC117">
        <v>0</v>
      </c>
      <c r="BD117">
        <v>0.100026266666667</v>
      </c>
      <c r="BE117">
        <v>0</v>
      </c>
      <c r="BF117">
        <v>25</v>
      </c>
      <c r="BG117">
        <v>8244.3186666666697</v>
      </c>
      <c r="BH117">
        <v>1769202258.0999999</v>
      </c>
      <c r="BI117" t="s">
        <v>491</v>
      </c>
      <c r="BJ117">
        <v>1769202254.0999999</v>
      </c>
      <c r="BK117">
        <v>1769202258.0999999</v>
      </c>
      <c r="BL117">
        <v>16</v>
      </c>
      <c r="BM117">
        <v>3.5000000000000003E-2</v>
      </c>
      <c r="BN117">
        <v>-5.0999999999999997E-2</v>
      </c>
      <c r="BO117">
        <v>-0.74299999999999999</v>
      </c>
      <c r="BP117">
        <v>7.0999999999999994E-2</v>
      </c>
      <c r="BQ117">
        <v>410</v>
      </c>
      <c r="BR117">
        <v>14</v>
      </c>
      <c r="BS117">
        <v>0.16</v>
      </c>
      <c r="BT117">
        <v>0.06</v>
      </c>
      <c r="BU117">
        <v>4.8804471428571397</v>
      </c>
      <c r="BV117">
        <v>-24.9630576623377</v>
      </c>
      <c r="BW117">
        <v>2.58304008658336</v>
      </c>
      <c r="BX117">
        <v>0</v>
      </c>
      <c r="BY117">
        <v>0</v>
      </c>
      <c r="BZ117">
        <v>0</v>
      </c>
      <c r="CA117">
        <v>0</v>
      </c>
      <c r="CB117">
        <v>-1</v>
      </c>
      <c r="CC117">
        <v>0.150641295238095</v>
      </c>
      <c r="CD117">
        <v>5.2015279012987001</v>
      </c>
      <c r="CE117">
        <v>0.52849031908607902</v>
      </c>
      <c r="CF117">
        <v>0</v>
      </c>
      <c r="CG117">
        <v>0</v>
      </c>
      <c r="CH117">
        <v>2</v>
      </c>
      <c r="CI117" t="s">
        <v>290</v>
      </c>
      <c r="CJ117">
        <v>3.5325600000000001</v>
      </c>
      <c r="CK117">
        <v>2.7018900000000001</v>
      </c>
      <c r="CL117">
        <v>9.83372E-2</v>
      </c>
      <c r="CM117">
        <v>9.6745600000000001E-2</v>
      </c>
      <c r="CN117">
        <v>9.0682899999999997E-2</v>
      </c>
      <c r="CO117">
        <v>8.5441100000000006E-2</v>
      </c>
      <c r="CP117">
        <v>31610.1</v>
      </c>
      <c r="CQ117">
        <v>27827</v>
      </c>
      <c r="CR117">
        <v>32447.7</v>
      </c>
      <c r="CS117">
        <v>30735.1</v>
      </c>
      <c r="CT117">
        <v>39955.800000000003</v>
      </c>
      <c r="CU117">
        <v>39532.6</v>
      </c>
      <c r="CV117">
        <v>47396.4</v>
      </c>
      <c r="CW117">
        <v>46882.8</v>
      </c>
      <c r="CX117">
        <v>2.6202999999999999</v>
      </c>
      <c r="CY117">
        <v>2.1224799999999999</v>
      </c>
      <c r="CZ117">
        <v>0</v>
      </c>
      <c r="DA117">
        <v>0</v>
      </c>
      <c r="DB117">
        <v>999.9</v>
      </c>
      <c r="DC117">
        <v>999.9</v>
      </c>
      <c r="DD117">
        <v>45.715000000000003</v>
      </c>
      <c r="DE117">
        <v>28.771999999999998</v>
      </c>
      <c r="DF117">
        <v>18.099599999999999</v>
      </c>
      <c r="DG117">
        <v>30.21</v>
      </c>
      <c r="DH117">
        <v>16.277999999999999</v>
      </c>
      <c r="DI117">
        <v>2</v>
      </c>
      <c r="DJ117">
        <v>-0.104809</v>
      </c>
      <c r="DK117">
        <v>2.34185</v>
      </c>
      <c r="DL117">
        <v>20.206600000000002</v>
      </c>
      <c r="DM117">
        <v>5.25047</v>
      </c>
      <c r="DN117">
        <v>12.033899999999999</v>
      </c>
      <c r="DO117">
        <v>4.9672400000000003</v>
      </c>
      <c r="DP117">
        <v>3.2909999999999999</v>
      </c>
      <c r="DQ117">
        <v>538.20000000000005</v>
      </c>
      <c r="DR117">
        <v>9999</v>
      </c>
      <c r="DS117">
        <v>9999</v>
      </c>
      <c r="DT117">
        <v>9999</v>
      </c>
      <c r="DU117">
        <v>1.87107</v>
      </c>
      <c r="DV117">
        <v>1.8760699999999999</v>
      </c>
      <c r="DW117">
        <v>1.87625</v>
      </c>
      <c r="DX117">
        <v>1.8827799999999999</v>
      </c>
      <c r="DY117">
        <v>1.87557</v>
      </c>
      <c r="DZ117">
        <v>1.87462</v>
      </c>
      <c r="EA117">
        <v>1.87076</v>
      </c>
      <c r="EB117">
        <v>1.87456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-0.74299999999999999</v>
      </c>
      <c r="EQ117">
        <v>7.0699999999999999E-2</v>
      </c>
      <c r="ER117">
        <v>-0.74350000000000005</v>
      </c>
      <c r="ES117">
        <v>0</v>
      </c>
      <c r="ET117">
        <v>0</v>
      </c>
      <c r="EU117">
        <v>0</v>
      </c>
      <c r="EV117">
        <v>7.0740000000000705E-2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2.9</v>
      </c>
      <c r="FE117">
        <v>2.8</v>
      </c>
      <c r="FF117">
        <v>1.24512</v>
      </c>
      <c r="FG117">
        <v>2.6110799999999998</v>
      </c>
      <c r="FH117">
        <v>2.19604</v>
      </c>
      <c r="FI117">
        <v>2.65991</v>
      </c>
      <c r="FJ117">
        <v>2.4462899999999999</v>
      </c>
      <c r="FK117">
        <v>2.2705099999999998</v>
      </c>
      <c r="FL117">
        <v>32.975999999999999</v>
      </c>
      <c r="FM117">
        <v>24.1313</v>
      </c>
      <c r="FN117">
        <v>19</v>
      </c>
      <c r="FO117">
        <v>865.08399999999995</v>
      </c>
      <c r="FP117">
        <v>571.92499999999995</v>
      </c>
      <c r="FQ117">
        <v>17.833600000000001</v>
      </c>
      <c r="FR117">
        <v>25.651700000000002</v>
      </c>
      <c r="FS117">
        <v>29.9999</v>
      </c>
      <c r="FT117">
        <v>25.633299999999998</v>
      </c>
      <c r="FU117">
        <v>25.6312</v>
      </c>
      <c r="FV117">
        <v>24.995000000000001</v>
      </c>
      <c r="FW117">
        <v>20.9634</v>
      </c>
      <c r="FX117">
        <v>14.3645</v>
      </c>
      <c r="FY117">
        <v>17.892700000000001</v>
      </c>
      <c r="FZ117">
        <v>410</v>
      </c>
      <c r="GA117">
        <v>14.840999999999999</v>
      </c>
      <c r="GB117">
        <v>99.863</v>
      </c>
      <c r="GC117">
        <v>99.794399999999996</v>
      </c>
    </row>
    <row r="118" spans="1:185" x14ac:dyDescent="0.2">
      <c r="A118">
        <v>103</v>
      </c>
      <c r="B118">
        <v>1769202443.0999999</v>
      </c>
      <c r="C118">
        <v>2172.0999999046298</v>
      </c>
      <c r="D118" t="s">
        <v>502</v>
      </c>
      <c r="E118" t="s">
        <v>503</v>
      </c>
      <c r="F118">
        <v>15</v>
      </c>
      <c r="G118">
        <v>1769202435.03333</v>
      </c>
      <c r="H118">
        <f t="shared" si="38"/>
        <v>1.0068812552963028E-3</v>
      </c>
      <c r="I118">
        <v>0</v>
      </c>
      <c r="J118">
        <f t="shared" si="37"/>
        <v>-3.8900438728380692E-2</v>
      </c>
      <c r="K118">
        <f t="shared" si="39"/>
        <v>-1.0027978879372121</v>
      </c>
      <c r="L118">
        <f t="shared" si="40"/>
        <v>73.815179796350535</v>
      </c>
      <c r="M118">
        <f t="shared" si="41"/>
        <v>1.6193670847916501</v>
      </c>
      <c r="N118">
        <f t="shared" si="42"/>
        <v>2.193813100854511</v>
      </c>
      <c r="O118">
        <v>0</v>
      </c>
      <c r="P118">
        <v>0</v>
      </c>
      <c r="Q118">
        <f t="shared" si="43"/>
        <v>1</v>
      </c>
      <c r="R118">
        <f t="shared" si="44"/>
        <v>0</v>
      </c>
      <c r="S118">
        <f t="shared" si="45"/>
        <v>26282.18694591691</v>
      </c>
      <c r="T118">
        <f t="shared" si="46"/>
        <v>499.99799999999999</v>
      </c>
      <c r="U118">
        <f t="shared" si="47"/>
        <v>421.49872499835629</v>
      </c>
      <c r="V118">
        <f t="shared" si="48"/>
        <v>0.84300082200000059</v>
      </c>
      <c r="W118">
        <f t="shared" si="49"/>
        <v>0.15870218492000013</v>
      </c>
      <c r="X118">
        <v>1</v>
      </c>
      <c r="Y118">
        <v>1769202435.03333</v>
      </c>
      <c r="Z118">
        <v>410.85539999999997</v>
      </c>
      <c r="AA118">
        <v>410.11900000000003</v>
      </c>
      <c r="AB118">
        <v>16.143426666666699</v>
      </c>
      <c r="AC118">
        <v>14.9051333333333</v>
      </c>
      <c r="AD118">
        <v>411.59879999999998</v>
      </c>
      <c r="AE118">
        <v>16.072693333333302</v>
      </c>
      <c r="AF118">
        <v>799.99360000000001</v>
      </c>
      <c r="AG118">
        <v>100.24746666666699</v>
      </c>
      <c r="AH118">
        <v>6.3769493333333302E-2</v>
      </c>
      <c r="AI118">
        <v>18.917206666666701</v>
      </c>
      <c r="AJ118">
        <v>999.9</v>
      </c>
      <c r="AK118">
        <v>999.9</v>
      </c>
      <c r="AL118">
        <v>0</v>
      </c>
      <c r="AM118">
        <v>0</v>
      </c>
      <c r="AN118">
        <v>4997.9666666666699</v>
      </c>
      <c r="AO118">
        <v>0</v>
      </c>
      <c r="AP118">
        <v>1.5244200000000001</v>
      </c>
      <c r="AQ118">
        <v>0.73625079999999998</v>
      </c>
      <c r="AR118">
        <v>417.59679999999997</v>
      </c>
      <c r="AS118">
        <v>416.32446666666698</v>
      </c>
      <c r="AT118">
        <v>1.23828846666667</v>
      </c>
      <c r="AU118">
        <v>410.11900000000003</v>
      </c>
      <c r="AV118">
        <v>14.9051333333333</v>
      </c>
      <c r="AW118">
        <v>1.6183366666666701</v>
      </c>
      <c r="AX118">
        <v>1.4942026666666699</v>
      </c>
      <c r="AY118">
        <v>14.13448</v>
      </c>
      <c r="AZ118">
        <v>12.907959999999999</v>
      </c>
      <c r="BA118">
        <v>499.99799999999999</v>
      </c>
      <c r="BB118">
        <v>0.89997066666666703</v>
      </c>
      <c r="BC118">
        <v>0</v>
      </c>
      <c r="BD118">
        <v>0.100029266666667</v>
      </c>
      <c r="BE118">
        <v>0</v>
      </c>
      <c r="BF118">
        <v>25</v>
      </c>
      <c r="BG118">
        <v>8244.2860000000001</v>
      </c>
      <c r="BH118">
        <v>1769202258.0999999</v>
      </c>
      <c r="BI118" t="s">
        <v>491</v>
      </c>
      <c r="BJ118">
        <v>1769202254.0999999</v>
      </c>
      <c r="BK118">
        <v>1769202258.0999999</v>
      </c>
      <c r="BL118">
        <v>16</v>
      </c>
      <c r="BM118">
        <v>3.5000000000000003E-2</v>
      </c>
      <c r="BN118">
        <v>-5.0999999999999997E-2</v>
      </c>
      <c r="BO118">
        <v>-0.74299999999999999</v>
      </c>
      <c r="BP118">
        <v>7.0999999999999994E-2</v>
      </c>
      <c r="BQ118">
        <v>410</v>
      </c>
      <c r="BR118">
        <v>14</v>
      </c>
      <c r="BS118">
        <v>0.16</v>
      </c>
      <c r="BT118">
        <v>0.06</v>
      </c>
      <c r="BU118">
        <v>1.1183535</v>
      </c>
      <c r="BV118">
        <v>-6.5358865263157897</v>
      </c>
      <c r="BW118">
        <v>0.64100717445201005</v>
      </c>
      <c r="BX118">
        <v>0</v>
      </c>
      <c r="BY118">
        <v>0</v>
      </c>
      <c r="BZ118">
        <v>0</v>
      </c>
      <c r="CA118">
        <v>0</v>
      </c>
      <c r="CB118">
        <v>-1</v>
      </c>
      <c r="CC118">
        <v>1.1025408999999999</v>
      </c>
      <c r="CD118">
        <v>2.3366983759398501</v>
      </c>
      <c r="CE118">
        <v>0.226265291128777</v>
      </c>
      <c r="CF118">
        <v>0</v>
      </c>
      <c r="CG118">
        <v>0</v>
      </c>
      <c r="CH118">
        <v>2</v>
      </c>
      <c r="CI118" t="s">
        <v>290</v>
      </c>
      <c r="CJ118">
        <v>3.5325600000000001</v>
      </c>
      <c r="CK118">
        <v>2.70181</v>
      </c>
      <c r="CL118">
        <v>9.8086099999999996E-2</v>
      </c>
      <c r="CM118">
        <v>9.66997E-2</v>
      </c>
      <c r="CN118">
        <v>9.0130699999999994E-2</v>
      </c>
      <c r="CO118">
        <v>8.2934499999999994E-2</v>
      </c>
      <c r="CP118">
        <v>31618.799999999999</v>
      </c>
      <c r="CQ118">
        <v>27828.3</v>
      </c>
      <c r="CR118">
        <v>32447.599999999999</v>
      </c>
      <c r="CS118">
        <v>30735.1</v>
      </c>
      <c r="CT118">
        <v>39980.699999999997</v>
      </c>
      <c r="CU118">
        <v>39644.1</v>
      </c>
      <c r="CV118">
        <v>47396.3</v>
      </c>
      <c r="CW118">
        <v>46883</v>
      </c>
      <c r="CX118">
        <v>2.6209799999999999</v>
      </c>
      <c r="CY118">
        <v>2.1211799999999998</v>
      </c>
      <c r="CZ118">
        <v>0</v>
      </c>
      <c r="DA118">
        <v>0</v>
      </c>
      <c r="DB118">
        <v>999.9</v>
      </c>
      <c r="DC118">
        <v>999.9</v>
      </c>
      <c r="DD118">
        <v>45.715000000000003</v>
      </c>
      <c r="DE118">
        <v>28.782</v>
      </c>
      <c r="DF118">
        <v>18.1096</v>
      </c>
      <c r="DG118">
        <v>30.029900000000001</v>
      </c>
      <c r="DH118">
        <v>16.490400000000001</v>
      </c>
      <c r="DI118">
        <v>2</v>
      </c>
      <c r="DJ118">
        <v>-0.104683</v>
      </c>
      <c r="DK118">
        <v>2.1351399999999998</v>
      </c>
      <c r="DL118">
        <v>20.2102</v>
      </c>
      <c r="DM118">
        <v>5.2510700000000003</v>
      </c>
      <c r="DN118">
        <v>12.033899999999999</v>
      </c>
      <c r="DO118">
        <v>4.9672799999999997</v>
      </c>
      <c r="DP118">
        <v>3.2909999999999999</v>
      </c>
      <c r="DQ118">
        <v>538.20000000000005</v>
      </c>
      <c r="DR118">
        <v>9999</v>
      </c>
      <c r="DS118">
        <v>9999</v>
      </c>
      <c r="DT118">
        <v>9999</v>
      </c>
      <c r="DU118">
        <v>1.8710800000000001</v>
      </c>
      <c r="DV118">
        <v>1.8760699999999999</v>
      </c>
      <c r="DW118">
        <v>1.87629</v>
      </c>
      <c r="DX118">
        <v>1.8827799999999999</v>
      </c>
      <c r="DY118">
        <v>1.8755900000000001</v>
      </c>
      <c r="DZ118">
        <v>1.87466</v>
      </c>
      <c r="EA118">
        <v>1.8707800000000001</v>
      </c>
      <c r="EB118">
        <v>1.87462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-0.74299999999999999</v>
      </c>
      <c r="EQ118">
        <v>7.0699999999999999E-2</v>
      </c>
      <c r="ER118">
        <v>-0.74350000000000005</v>
      </c>
      <c r="ES118">
        <v>0</v>
      </c>
      <c r="ET118">
        <v>0</v>
      </c>
      <c r="EU118">
        <v>0</v>
      </c>
      <c r="EV118">
        <v>7.0740000000000705E-2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3.1</v>
      </c>
      <c r="FE118">
        <v>3.1</v>
      </c>
      <c r="FF118">
        <v>1.24512</v>
      </c>
      <c r="FG118">
        <v>2.6037599999999999</v>
      </c>
      <c r="FH118">
        <v>2.19604</v>
      </c>
      <c r="FI118">
        <v>2.65991</v>
      </c>
      <c r="FJ118">
        <v>2.4462899999999999</v>
      </c>
      <c r="FK118">
        <v>2.31934</v>
      </c>
      <c r="FL118">
        <v>32.975999999999999</v>
      </c>
      <c r="FM118">
        <v>24.148800000000001</v>
      </c>
      <c r="FN118">
        <v>19</v>
      </c>
      <c r="FO118">
        <v>865.75099999999998</v>
      </c>
      <c r="FP118">
        <v>570.96699999999998</v>
      </c>
      <c r="FQ118">
        <v>17.994800000000001</v>
      </c>
      <c r="FR118">
        <v>25.655999999999999</v>
      </c>
      <c r="FS118">
        <v>30</v>
      </c>
      <c r="FT118">
        <v>25.635400000000001</v>
      </c>
      <c r="FU118">
        <v>25.6342</v>
      </c>
      <c r="FV118">
        <v>24.987300000000001</v>
      </c>
      <c r="FW118">
        <v>23.877700000000001</v>
      </c>
      <c r="FX118">
        <v>13.994300000000001</v>
      </c>
      <c r="FY118">
        <v>18.067599999999999</v>
      </c>
      <c r="FZ118">
        <v>410</v>
      </c>
      <c r="GA118">
        <v>14.3393</v>
      </c>
      <c r="GB118">
        <v>99.862799999999993</v>
      </c>
      <c r="GC118">
        <v>99.794600000000003</v>
      </c>
    </row>
    <row r="119" spans="1:185" x14ac:dyDescent="0.2">
      <c r="A119">
        <v>104</v>
      </c>
      <c r="B119">
        <v>1769202458.0999999</v>
      </c>
      <c r="C119">
        <v>2187.0999999046298</v>
      </c>
      <c r="D119" t="s">
        <v>504</v>
      </c>
      <c r="E119" t="s">
        <v>505</v>
      </c>
      <c r="F119">
        <v>15</v>
      </c>
      <c r="G119">
        <v>1769202450.03333</v>
      </c>
      <c r="H119">
        <f t="shared" si="38"/>
        <v>1.2667490383758478E-3</v>
      </c>
      <c r="I119">
        <v>0</v>
      </c>
      <c r="J119">
        <f t="shared" si="37"/>
        <v>-1.731835962510371E-2</v>
      </c>
      <c r="K119">
        <f t="shared" si="39"/>
        <v>-0.44644263721171706</v>
      </c>
      <c r="L119">
        <f t="shared" si="40"/>
        <v>73.007209237589393</v>
      </c>
      <c r="M119">
        <f t="shared" si="41"/>
        <v>1.6018050788461184</v>
      </c>
      <c r="N119">
        <f t="shared" si="42"/>
        <v>2.1940368568716546</v>
      </c>
      <c r="O119">
        <v>0</v>
      </c>
      <c r="P119">
        <v>0</v>
      </c>
      <c r="Q119">
        <f t="shared" si="43"/>
        <v>1</v>
      </c>
      <c r="R119">
        <f t="shared" si="44"/>
        <v>0</v>
      </c>
      <c r="S119">
        <f t="shared" si="45"/>
        <v>26325.422702591753</v>
      </c>
      <c r="T119">
        <f t="shared" si="46"/>
        <v>500.00073333333302</v>
      </c>
      <c r="U119">
        <f t="shared" si="47"/>
        <v>421.50104620062746</v>
      </c>
      <c r="V119">
        <f t="shared" si="48"/>
        <v>0.84300085599999997</v>
      </c>
      <c r="W119">
        <f t="shared" si="49"/>
        <v>0.15870213999999999</v>
      </c>
      <c r="X119">
        <v>1</v>
      </c>
      <c r="Y119">
        <v>1769202450.03333</v>
      </c>
      <c r="Z119">
        <v>409.90193333333298</v>
      </c>
      <c r="AA119">
        <v>409.99293333333299</v>
      </c>
      <c r="AB119">
        <v>15.96808</v>
      </c>
      <c r="AC119">
        <v>14.409933333333299</v>
      </c>
      <c r="AD119">
        <v>410.64546666666701</v>
      </c>
      <c r="AE119">
        <v>15.8973266666667</v>
      </c>
      <c r="AF119">
        <v>800.00266666666698</v>
      </c>
      <c r="AG119">
        <v>100.24906666666701</v>
      </c>
      <c r="AH119">
        <v>6.3875080000000001E-2</v>
      </c>
      <c r="AI119">
        <v>18.918839999999999</v>
      </c>
      <c r="AJ119">
        <v>999.9</v>
      </c>
      <c r="AK119">
        <v>999.9</v>
      </c>
      <c r="AL119">
        <v>0</v>
      </c>
      <c r="AM119">
        <v>0</v>
      </c>
      <c r="AN119">
        <v>5005.0333333333301</v>
      </c>
      <c r="AO119">
        <v>0</v>
      </c>
      <c r="AP119">
        <v>1.5244200000000001</v>
      </c>
      <c r="AQ119">
        <v>-9.0901707333333304E-2</v>
      </c>
      <c r="AR119">
        <v>416.55340000000001</v>
      </c>
      <c r="AS119">
        <v>415.98719999999997</v>
      </c>
      <c r="AT119">
        <v>1.55813333333333</v>
      </c>
      <c r="AU119">
        <v>409.99293333333299</v>
      </c>
      <c r="AV119">
        <v>14.409933333333299</v>
      </c>
      <c r="AW119">
        <v>1.6007819999999999</v>
      </c>
      <c r="AX119">
        <v>1.4445806666666701</v>
      </c>
      <c r="AY119">
        <v>13.9662466666667</v>
      </c>
      <c r="AZ119">
        <v>12.393473333333301</v>
      </c>
      <c r="BA119">
        <v>500.00073333333302</v>
      </c>
      <c r="BB119">
        <v>0.89997146666666705</v>
      </c>
      <c r="BC119">
        <v>0</v>
      </c>
      <c r="BD119">
        <v>0.100028533333333</v>
      </c>
      <c r="BE119">
        <v>0</v>
      </c>
      <c r="BF119">
        <v>25</v>
      </c>
      <c r="BG119">
        <v>8244.3306666666704</v>
      </c>
      <c r="BH119">
        <v>1769202258.0999999</v>
      </c>
      <c r="BI119" t="s">
        <v>491</v>
      </c>
      <c r="BJ119">
        <v>1769202254.0999999</v>
      </c>
      <c r="BK119">
        <v>1769202258.0999999</v>
      </c>
      <c r="BL119">
        <v>16</v>
      </c>
      <c r="BM119">
        <v>3.5000000000000003E-2</v>
      </c>
      <c r="BN119">
        <v>-5.0999999999999997E-2</v>
      </c>
      <c r="BO119">
        <v>-0.74299999999999999</v>
      </c>
      <c r="BP119">
        <v>7.0999999999999994E-2</v>
      </c>
      <c r="BQ119">
        <v>410</v>
      </c>
      <c r="BR119">
        <v>14</v>
      </c>
      <c r="BS119">
        <v>0.16</v>
      </c>
      <c r="BT119">
        <v>0.06</v>
      </c>
      <c r="BU119">
        <v>8.2180970952380999E-2</v>
      </c>
      <c r="BV119">
        <v>-2.6424693202597398</v>
      </c>
      <c r="BW119">
        <v>0.26874009680696598</v>
      </c>
      <c r="BX119">
        <v>0</v>
      </c>
      <c r="BY119">
        <v>0</v>
      </c>
      <c r="BZ119">
        <v>0</v>
      </c>
      <c r="CA119">
        <v>0</v>
      </c>
      <c r="CB119">
        <v>-1</v>
      </c>
      <c r="CC119">
        <v>1.49339904761905</v>
      </c>
      <c r="CD119">
        <v>0.96041142857142903</v>
      </c>
      <c r="CE119">
        <v>9.9699678029033595E-2</v>
      </c>
      <c r="CF119">
        <v>0</v>
      </c>
      <c r="CG119">
        <v>0</v>
      </c>
      <c r="CH119">
        <v>2</v>
      </c>
      <c r="CI119" t="s">
        <v>290</v>
      </c>
      <c r="CJ119">
        <v>3.5325099999999998</v>
      </c>
      <c r="CK119">
        <v>2.7015600000000002</v>
      </c>
      <c r="CL119">
        <v>9.79883E-2</v>
      </c>
      <c r="CM119">
        <v>9.6697400000000003E-2</v>
      </c>
      <c r="CN119">
        <v>8.9299900000000001E-2</v>
      </c>
      <c r="CO119">
        <v>8.1389299999999998E-2</v>
      </c>
      <c r="CP119">
        <v>31622.7</v>
      </c>
      <c r="CQ119">
        <v>27828.7</v>
      </c>
      <c r="CR119">
        <v>32448.1</v>
      </c>
      <c r="CS119">
        <v>30735.5</v>
      </c>
      <c r="CT119">
        <v>40019</v>
      </c>
      <c r="CU119">
        <v>39713.4</v>
      </c>
      <c r="CV119">
        <v>47397</v>
      </c>
      <c r="CW119">
        <v>46883.7</v>
      </c>
      <c r="CX119">
        <v>2.6210599999999999</v>
      </c>
      <c r="CY119">
        <v>2.1202999999999999</v>
      </c>
      <c r="CZ119">
        <v>0</v>
      </c>
      <c r="DA119">
        <v>0</v>
      </c>
      <c r="DB119">
        <v>999.9</v>
      </c>
      <c r="DC119">
        <v>999.9</v>
      </c>
      <c r="DD119">
        <v>45.69</v>
      </c>
      <c r="DE119">
        <v>28.771999999999998</v>
      </c>
      <c r="DF119">
        <v>18.089500000000001</v>
      </c>
      <c r="DG119">
        <v>30.1799</v>
      </c>
      <c r="DH119">
        <v>16.394200000000001</v>
      </c>
      <c r="DI119">
        <v>2</v>
      </c>
      <c r="DJ119">
        <v>-0.10477400000000001</v>
      </c>
      <c r="DK119">
        <v>1.97052</v>
      </c>
      <c r="DL119">
        <v>20.212199999999999</v>
      </c>
      <c r="DM119">
        <v>5.2505899999999999</v>
      </c>
      <c r="DN119">
        <v>12.033899999999999</v>
      </c>
      <c r="DO119">
        <v>4.96732</v>
      </c>
      <c r="DP119">
        <v>3.2909999999999999</v>
      </c>
      <c r="DQ119">
        <v>538.20000000000005</v>
      </c>
      <c r="DR119">
        <v>9999</v>
      </c>
      <c r="DS119">
        <v>9999</v>
      </c>
      <c r="DT119">
        <v>9999</v>
      </c>
      <c r="DU119">
        <v>1.87104</v>
      </c>
      <c r="DV119">
        <v>1.8760699999999999</v>
      </c>
      <c r="DW119">
        <v>1.87626</v>
      </c>
      <c r="DX119">
        <v>1.8827799999999999</v>
      </c>
      <c r="DY119">
        <v>1.8755299999999999</v>
      </c>
      <c r="DZ119">
        <v>1.87459</v>
      </c>
      <c r="EA119">
        <v>1.8707499999999999</v>
      </c>
      <c r="EB119">
        <v>1.87456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-0.74299999999999999</v>
      </c>
      <c r="EQ119">
        <v>7.0699999999999999E-2</v>
      </c>
      <c r="ER119">
        <v>-0.74350000000000005</v>
      </c>
      <c r="ES119">
        <v>0</v>
      </c>
      <c r="ET119">
        <v>0</v>
      </c>
      <c r="EU119">
        <v>0</v>
      </c>
      <c r="EV119">
        <v>7.0740000000000705E-2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3.4</v>
      </c>
      <c r="FE119">
        <v>3.3</v>
      </c>
      <c r="FF119">
        <v>1.24512</v>
      </c>
      <c r="FG119">
        <v>2.6074199999999998</v>
      </c>
      <c r="FH119">
        <v>2.19604</v>
      </c>
      <c r="FI119">
        <v>2.65991</v>
      </c>
      <c r="FJ119">
        <v>2.4462899999999999</v>
      </c>
      <c r="FK119">
        <v>2.2583000000000002</v>
      </c>
      <c r="FL119">
        <v>32.9983</v>
      </c>
      <c r="FM119">
        <v>24.14</v>
      </c>
      <c r="FN119">
        <v>19</v>
      </c>
      <c r="FO119">
        <v>865.89499999999998</v>
      </c>
      <c r="FP119">
        <v>570.35400000000004</v>
      </c>
      <c r="FQ119">
        <v>18.172899999999998</v>
      </c>
      <c r="FR119">
        <v>25.660799999999998</v>
      </c>
      <c r="FS119">
        <v>30.0001</v>
      </c>
      <c r="FT119">
        <v>25.639700000000001</v>
      </c>
      <c r="FU119">
        <v>25.639299999999999</v>
      </c>
      <c r="FV119">
        <v>24.986699999999999</v>
      </c>
      <c r="FW119">
        <v>25.593699999999998</v>
      </c>
      <c r="FX119">
        <v>13.994300000000001</v>
      </c>
      <c r="FY119">
        <v>18.236499999999999</v>
      </c>
      <c r="FZ119">
        <v>410</v>
      </c>
      <c r="GA119">
        <v>14.047700000000001</v>
      </c>
      <c r="GB119">
        <v>99.864199999999997</v>
      </c>
      <c r="GC119">
        <v>99.796099999999996</v>
      </c>
    </row>
    <row r="120" spans="1:185" x14ac:dyDescent="0.2">
      <c r="A120">
        <v>105</v>
      </c>
      <c r="B120">
        <v>1769202473.0999999</v>
      </c>
      <c r="C120">
        <v>2202.0999999046298</v>
      </c>
      <c r="D120" t="s">
        <v>506</v>
      </c>
      <c r="E120" t="s">
        <v>507</v>
      </c>
      <c r="F120">
        <v>15</v>
      </c>
      <c r="G120">
        <v>1769202465.03333</v>
      </c>
      <c r="H120">
        <f t="shared" si="38"/>
        <v>1.3687611115419129E-3</v>
      </c>
      <c r="I120">
        <v>0</v>
      </c>
      <c r="J120">
        <f t="shared" si="37"/>
        <v>-7.9916934053749708E-3</v>
      </c>
      <c r="K120">
        <f t="shared" si="39"/>
        <v>-0.20601447001431716</v>
      </c>
      <c r="L120">
        <f t="shared" si="40"/>
        <v>72.104324651140956</v>
      </c>
      <c r="M120">
        <f t="shared" si="41"/>
        <v>1.5838739640655999</v>
      </c>
      <c r="N120">
        <f t="shared" si="42"/>
        <v>2.1966421178324387</v>
      </c>
      <c r="O120">
        <v>0</v>
      </c>
      <c r="P120">
        <v>0</v>
      </c>
      <c r="Q120">
        <f t="shared" si="43"/>
        <v>1</v>
      </c>
      <c r="R120">
        <f t="shared" si="44"/>
        <v>0</v>
      </c>
      <c r="S120">
        <f t="shared" si="45"/>
        <v>26273.169061823493</v>
      </c>
      <c r="T120">
        <f t="shared" si="46"/>
        <v>499.99946666666699</v>
      </c>
      <c r="U120">
        <f t="shared" si="47"/>
        <v>421.49996239956062</v>
      </c>
      <c r="V120">
        <f t="shared" si="48"/>
        <v>0.84300082399999965</v>
      </c>
      <c r="W120">
        <f t="shared" si="49"/>
        <v>0.1587021899199999</v>
      </c>
      <c r="X120">
        <v>1</v>
      </c>
      <c r="Y120">
        <v>1769202465.03333</v>
      </c>
      <c r="Z120">
        <v>409.59033333333298</v>
      </c>
      <c r="AA120">
        <v>410.03359999999998</v>
      </c>
      <c r="AB120">
        <v>15.78928</v>
      </c>
      <c r="AC120">
        <v>14.105359999999999</v>
      </c>
      <c r="AD120">
        <v>410.33393333333299</v>
      </c>
      <c r="AE120">
        <v>15.7185466666667</v>
      </c>
      <c r="AF120">
        <v>800.00793333333297</v>
      </c>
      <c r="AG120">
        <v>100.24953333333301</v>
      </c>
      <c r="AH120">
        <v>6.3714900000000005E-2</v>
      </c>
      <c r="AI120">
        <v>18.937846666666701</v>
      </c>
      <c r="AJ120">
        <v>999.9</v>
      </c>
      <c r="AK120">
        <v>999.9</v>
      </c>
      <c r="AL120">
        <v>0</v>
      </c>
      <c r="AM120">
        <v>0</v>
      </c>
      <c r="AN120">
        <v>4996.7</v>
      </c>
      <c r="AO120">
        <v>0</v>
      </c>
      <c r="AP120">
        <v>1.5244200000000001</v>
      </c>
      <c r="AQ120">
        <v>-0.44326786666666701</v>
      </c>
      <c r="AR120">
        <v>416.16120000000001</v>
      </c>
      <c r="AS120">
        <v>415.90006666666699</v>
      </c>
      <c r="AT120">
        <v>1.6839246666666701</v>
      </c>
      <c r="AU120">
        <v>410.03359999999998</v>
      </c>
      <c r="AV120">
        <v>14.105359999999999</v>
      </c>
      <c r="AW120">
        <v>1.58286533333333</v>
      </c>
      <c r="AX120">
        <v>1.41405266666667</v>
      </c>
      <c r="AY120">
        <v>13.7929266666667</v>
      </c>
      <c r="AZ120">
        <v>12.06898</v>
      </c>
      <c r="BA120">
        <v>499.99946666666699</v>
      </c>
      <c r="BB120">
        <v>0.89997059999999995</v>
      </c>
      <c r="BC120">
        <v>0</v>
      </c>
      <c r="BD120">
        <v>0.100029333333333</v>
      </c>
      <c r="BE120">
        <v>0</v>
      </c>
      <c r="BF120">
        <v>25</v>
      </c>
      <c r="BG120">
        <v>8244.3093333333309</v>
      </c>
      <c r="BH120">
        <v>1769202258.0999999</v>
      </c>
      <c r="BI120" t="s">
        <v>491</v>
      </c>
      <c r="BJ120">
        <v>1769202254.0999999</v>
      </c>
      <c r="BK120">
        <v>1769202258.0999999</v>
      </c>
      <c r="BL120">
        <v>16</v>
      </c>
      <c r="BM120">
        <v>3.5000000000000003E-2</v>
      </c>
      <c r="BN120">
        <v>-5.0999999999999997E-2</v>
      </c>
      <c r="BO120">
        <v>-0.74299999999999999</v>
      </c>
      <c r="BP120">
        <v>7.0999999999999994E-2</v>
      </c>
      <c r="BQ120">
        <v>410</v>
      </c>
      <c r="BR120">
        <v>14</v>
      </c>
      <c r="BS120">
        <v>0.16</v>
      </c>
      <c r="BT120">
        <v>0.06</v>
      </c>
      <c r="BU120">
        <v>-0.39005828571428602</v>
      </c>
      <c r="BV120">
        <v>-1.0170632727272699</v>
      </c>
      <c r="BW120">
        <v>0.10491648219423701</v>
      </c>
      <c r="BX120">
        <v>0</v>
      </c>
      <c r="BY120">
        <v>0</v>
      </c>
      <c r="BZ120">
        <v>0</v>
      </c>
      <c r="CA120">
        <v>0</v>
      </c>
      <c r="CB120">
        <v>-1</v>
      </c>
      <c r="CC120">
        <v>1.66207666666667</v>
      </c>
      <c r="CD120">
        <v>0.42106051948052098</v>
      </c>
      <c r="CE120">
        <v>4.2864819778032102E-2</v>
      </c>
      <c r="CF120">
        <v>0</v>
      </c>
      <c r="CG120">
        <v>0</v>
      </c>
      <c r="CH120">
        <v>2</v>
      </c>
      <c r="CI120" t="s">
        <v>290</v>
      </c>
      <c r="CJ120">
        <v>3.5325099999999998</v>
      </c>
      <c r="CK120">
        <v>2.7017600000000002</v>
      </c>
      <c r="CL120">
        <v>9.7950999999999996E-2</v>
      </c>
      <c r="CM120">
        <v>9.6691700000000005E-2</v>
      </c>
      <c r="CN120">
        <v>8.8573200000000005E-2</v>
      </c>
      <c r="CO120">
        <v>8.0344600000000002E-2</v>
      </c>
      <c r="CP120">
        <v>31623.3</v>
      </c>
      <c r="CQ120">
        <v>27828.6</v>
      </c>
      <c r="CR120">
        <v>32447.4</v>
      </c>
      <c r="CS120">
        <v>30735.200000000001</v>
      </c>
      <c r="CT120">
        <v>40051</v>
      </c>
      <c r="CU120">
        <v>39759.5</v>
      </c>
      <c r="CV120">
        <v>47395.9</v>
      </c>
      <c r="CW120">
        <v>46883.4</v>
      </c>
      <c r="CX120">
        <v>2.6211000000000002</v>
      </c>
      <c r="CY120">
        <v>2.1196000000000002</v>
      </c>
      <c r="CZ120">
        <v>0</v>
      </c>
      <c r="DA120">
        <v>0</v>
      </c>
      <c r="DB120">
        <v>999.9</v>
      </c>
      <c r="DC120">
        <v>999.9</v>
      </c>
      <c r="DD120">
        <v>45.665999999999997</v>
      </c>
      <c r="DE120">
        <v>28.782</v>
      </c>
      <c r="DF120">
        <v>18.090299999999999</v>
      </c>
      <c r="DG120">
        <v>30.45</v>
      </c>
      <c r="DH120">
        <v>16.442299999999999</v>
      </c>
      <c r="DI120">
        <v>2</v>
      </c>
      <c r="DJ120">
        <v>-0.104518</v>
      </c>
      <c r="DK120">
        <v>1.90855</v>
      </c>
      <c r="DL120">
        <v>20.212800000000001</v>
      </c>
      <c r="DM120">
        <v>5.25143</v>
      </c>
      <c r="DN120">
        <v>12.033899999999999</v>
      </c>
      <c r="DO120">
        <v>4.9674399999999999</v>
      </c>
      <c r="DP120">
        <v>3.2909999999999999</v>
      </c>
      <c r="DQ120">
        <v>538.20000000000005</v>
      </c>
      <c r="DR120">
        <v>9999</v>
      </c>
      <c r="DS120">
        <v>9999</v>
      </c>
      <c r="DT120">
        <v>9999</v>
      </c>
      <c r="DU120">
        <v>1.8711100000000001</v>
      </c>
      <c r="DV120">
        <v>1.87608</v>
      </c>
      <c r="DW120">
        <v>1.8763000000000001</v>
      </c>
      <c r="DX120">
        <v>1.88279</v>
      </c>
      <c r="DY120">
        <v>1.87558</v>
      </c>
      <c r="DZ120">
        <v>1.8746400000000001</v>
      </c>
      <c r="EA120">
        <v>1.8708400000000001</v>
      </c>
      <c r="EB120">
        <v>1.87459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-0.74399999999999999</v>
      </c>
      <c r="EQ120">
        <v>7.0699999999999999E-2</v>
      </c>
      <c r="ER120">
        <v>-0.74350000000000005</v>
      </c>
      <c r="ES120">
        <v>0</v>
      </c>
      <c r="ET120">
        <v>0</v>
      </c>
      <c r="EU120">
        <v>0</v>
      </c>
      <c r="EV120">
        <v>7.0740000000000705E-2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3.6</v>
      </c>
      <c r="FE120">
        <v>3.6</v>
      </c>
      <c r="FF120">
        <v>1.24512</v>
      </c>
      <c r="FG120">
        <v>2.6110799999999998</v>
      </c>
      <c r="FH120">
        <v>2.19604</v>
      </c>
      <c r="FI120">
        <v>2.66113</v>
      </c>
      <c r="FJ120">
        <v>2.4462899999999999</v>
      </c>
      <c r="FK120">
        <v>2.2961399999999998</v>
      </c>
      <c r="FL120">
        <v>32.9983</v>
      </c>
      <c r="FM120">
        <v>24.148800000000001</v>
      </c>
      <c r="FN120">
        <v>19</v>
      </c>
      <c r="FO120">
        <v>865.98800000000006</v>
      </c>
      <c r="FP120">
        <v>569.86400000000003</v>
      </c>
      <c r="FQ120">
        <v>18.324000000000002</v>
      </c>
      <c r="FR120">
        <v>25.665600000000001</v>
      </c>
      <c r="FS120">
        <v>30.0002</v>
      </c>
      <c r="FT120">
        <v>25.6432</v>
      </c>
      <c r="FU120">
        <v>25.6432</v>
      </c>
      <c r="FV120">
        <v>24.9846</v>
      </c>
      <c r="FW120">
        <v>26.487100000000002</v>
      </c>
      <c r="FX120">
        <v>13.994300000000001</v>
      </c>
      <c r="FY120">
        <v>18.363199999999999</v>
      </c>
      <c r="FZ120">
        <v>410</v>
      </c>
      <c r="GA120">
        <v>13.8683</v>
      </c>
      <c r="GB120">
        <v>99.862099999999998</v>
      </c>
      <c r="GC120">
        <v>99.795299999999997</v>
      </c>
    </row>
    <row r="121" spans="1:185" x14ac:dyDescent="0.2">
      <c r="A121">
        <v>106</v>
      </c>
      <c r="B121">
        <v>1769202489</v>
      </c>
      <c r="C121">
        <v>2218</v>
      </c>
      <c r="D121" t="s">
        <v>508</v>
      </c>
      <c r="E121" t="s">
        <v>509</v>
      </c>
      <c r="F121">
        <v>15</v>
      </c>
      <c r="G121">
        <v>1769202481.03333</v>
      </c>
      <c r="H121">
        <f t="shared" si="38"/>
        <v>1.3949957983410504E-3</v>
      </c>
      <c r="I121">
        <v>0</v>
      </c>
      <c r="J121">
        <f t="shared" si="37"/>
        <v>-4.558488910212273E-3</v>
      </c>
      <c r="K121">
        <f t="shared" si="39"/>
        <v>-0.11751134950596373</v>
      </c>
      <c r="L121">
        <f t="shared" si="40"/>
        <v>71.194330572187539</v>
      </c>
      <c r="M121">
        <f t="shared" si="41"/>
        <v>1.5668657332192852</v>
      </c>
      <c r="N121">
        <f t="shared" si="42"/>
        <v>2.2008293646789201</v>
      </c>
      <c r="O121">
        <v>0</v>
      </c>
      <c r="P121">
        <v>0</v>
      </c>
      <c r="Q121">
        <f t="shared" si="43"/>
        <v>1</v>
      </c>
      <c r="R121">
        <f t="shared" si="44"/>
        <v>0</v>
      </c>
      <c r="S121">
        <f t="shared" si="45"/>
        <v>26280.650793066172</v>
      </c>
      <c r="T121">
        <f t="shared" si="46"/>
        <v>499.998533333333</v>
      </c>
      <c r="U121">
        <f t="shared" si="47"/>
        <v>421.49904259918117</v>
      </c>
      <c r="V121">
        <f t="shared" si="48"/>
        <v>0.84300055799999973</v>
      </c>
      <c r="W121">
        <f t="shared" si="49"/>
        <v>0.15870152491999998</v>
      </c>
      <c r="X121">
        <v>1</v>
      </c>
      <c r="Y121">
        <v>1769202481.03333</v>
      </c>
      <c r="Z121">
        <v>409.43733333333302</v>
      </c>
      <c r="AA121">
        <v>410.00439999999998</v>
      </c>
      <c r="AB121">
        <v>15.6195</v>
      </c>
      <c r="AC121">
        <v>13.902986666666701</v>
      </c>
      <c r="AD121">
        <v>410.18099999999998</v>
      </c>
      <c r="AE121">
        <v>15.548773333333299</v>
      </c>
      <c r="AF121">
        <v>799.99766666666699</v>
      </c>
      <c r="AG121">
        <v>100.250666666667</v>
      </c>
      <c r="AH121">
        <v>6.4051040000000004E-2</v>
      </c>
      <c r="AI121">
        <v>18.968353333333301</v>
      </c>
      <c r="AJ121">
        <v>999.9</v>
      </c>
      <c r="AK121">
        <v>999.9</v>
      </c>
      <c r="AL121">
        <v>0</v>
      </c>
      <c r="AM121">
        <v>0</v>
      </c>
      <c r="AN121">
        <v>4998.3333333333303</v>
      </c>
      <c r="AO121">
        <v>0</v>
      </c>
      <c r="AP121">
        <v>1.5244200000000001</v>
      </c>
      <c r="AQ121">
        <v>-0.56704699999999997</v>
      </c>
      <c r="AR121">
        <v>415.93413333333302</v>
      </c>
      <c r="AS121">
        <v>415.78506666666698</v>
      </c>
      <c r="AT121">
        <v>1.7165313333333301</v>
      </c>
      <c r="AU121">
        <v>410.00439999999998</v>
      </c>
      <c r="AV121">
        <v>13.902986666666701</v>
      </c>
      <c r="AW121">
        <v>1.5658653333333299</v>
      </c>
      <c r="AX121">
        <v>1.3937820000000001</v>
      </c>
      <c r="AY121">
        <v>13.626899999999999</v>
      </c>
      <c r="AZ121">
        <v>11.850073333333301</v>
      </c>
      <c r="BA121">
        <v>499.998533333333</v>
      </c>
      <c r="BB121">
        <v>0.89997946666666595</v>
      </c>
      <c r="BC121">
        <v>0</v>
      </c>
      <c r="BD121">
        <v>0.100020466666667</v>
      </c>
      <c r="BE121">
        <v>0</v>
      </c>
      <c r="BF121">
        <v>25</v>
      </c>
      <c r="BG121">
        <v>8244.3206666666592</v>
      </c>
      <c r="BH121">
        <v>1769202258.0999999</v>
      </c>
      <c r="BI121" t="s">
        <v>491</v>
      </c>
      <c r="BJ121">
        <v>1769202254.0999999</v>
      </c>
      <c r="BK121">
        <v>1769202258.0999999</v>
      </c>
      <c r="BL121">
        <v>16</v>
      </c>
      <c r="BM121">
        <v>3.5000000000000003E-2</v>
      </c>
      <c r="BN121">
        <v>-5.0999999999999997E-2</v>
      </c>
      <c r="BO121">
        <v>-0.74299999999999999</v>
      </c>
      <c r="BP121">
        <v>7.0999999999999994E-2</v>
      </c>
      <c r="BQ121">
        <v>410</v>
      </c>
      <c r="BR121">
        <v>14</v>
      </c>
      <c r="BS121">
        <v>0.16</v>
      </c>
      <c r="BT121">
        <v>0.06</v>
      </c>
      <c r="BU121">
        <v>-0.54269400000000001</v>
      </c>
      <c r="BV121">
        <v>-0.44694325402572599</v>
      </c>
      <c r="BW121">
        <v>4.9041376310990599E-2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1.71466380952381</v>
      </c>
      <c r="CD121">
        <v>5.5852203831136801E-2</v>
      </c>
      <c r="CE121">
        <v>8.3738899626503403E-3</v>
      </c>
      <c r="CF121">
        <v>1</v>
      </c>
      <c r="CG121">
        <v>2</v>
      </c>
      <c r="CH121">
        <v>2</v>
      </c>
      <c r="CI121" t="s">
        <v>297</v>
      </c>
      <c r="CJ121">
        <v>3.53254</v>
      </c>
      <c r="CK121">
        <v>2.7017600000000002</v>
      </c>
      <c r="CL121">
        <v>9.7931000000000004E-2</v>
      </c>
      <c r="CM121">
        <v>9.6694500000000003E-2</v>
      </c>
      <c r="CN121">
        <v>8.7977600000000003E-2</v>
      </c>
      <c r="CO121">
        <v>7.9690499999999997E-2</v>
      </c>
      <c r="CP121">
        <v>31623.7</v>
      </c>
      <c r="CQ121">
        <v>27829</v>
      </c>
      <c r="CR121">
        <v>32447.1</v>
      </c>
      <c r="CS121">
        <v>30735.7</v>
      </c>
      <c r="CT121">
        <v>40077.599999999999</v>
      </c>
      <c r="CU121">
        <v>39789.1</v>
      </c>
      <c r="CV121">
        <v>47395.4</v>
      </c>
      <c r="CW121">
        <v>46884.1</v>
      </c>
      <c r="CX121">
        <v>2.6210399999999998</v>
      </c>
      <c r="CY121">
        <v>2.1191200000000001</v>
      </c>
      <c r="CZ121">
        <v>0</v>
      </c>
      <c r="DA121">
        <v>0</v>
      </c>
      <c r="DB121">
        <v>999.9</v>
      </c>
      <c r="DC121">
        <v>999.9</v>
      </c>
      <c r="DD121">
        <v>45.616999999999997</v>
      </c>
      <c r="DE121">
        <v>28.782</v>
      </c>
      <c r="DF121">
        <v>18.070699999999999</v>
      </c>
      <c r="DG121">
        <v>30.52</v>
      </c>
      <c r="DH121">
        <v>16.482399999999998</v>
      </c>
      <c r="DI121">
        <v>2</v>
      </c>
      <c r="DJ121">
        <v>-0.104089</v>
      </c>
      <c r="DK121">
        <v>1.92713</v>
      </c>
      <c r="DL121">
        <v>20.212499999999999</v>
      </c>
      <c r="DM121">
        <v>5.2510700000000003</v>
      </c>
      <c r="DN121">
        <v>12.033899999999999</v>
      </c>
      <c r="DO121">
        <v>4.9672799999999997</v>
      </c>
      <c r="DP121">
        <v>3.2910200000000001</v>
      </c>
      <c r="DQ121">
        <v>538.20000000000005</v>
      </c>
      <c r="DR121">
        <v>9999</v>
      </c>
      <c r="DS121">
        <v>9999</v>
      </c>
      <c r="DT121">
        <v>9999</v>
      </c>
      <c r="DU121">
        <v>1.8711500000000001</v>
      </c>
      <c r="DV121">
        <v>1.87612</v>
      </c>
      <c r="DW121">
        <v>1.8763399999999999</v>
      </c>
      <c r="DX121">
        <v>1.88279</v>
      </c>
      <c r="DY121">
        <v>1.87561</v>
      </c>
      <c r="DZ121">
        <v>1.8746799999999999</v>
      </c>
      <c r="EA121">
        <v>1.87083</v>
      </c>
      <c r="EB121">
        <v>1.8746400000000001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-0.74299999999999999</v>
      </c>
      <c r="EQ121">
        <v>7.0699999999999999E-2</v>
      </c>
      <c r="ER121">
        <v>-0.74350000000000005</v>
      </c>
      <c r="ES121">
        <v>0</v>
      </c>
      <c r="ET121">
        <v>0</v>
      </c>
      <c r="EU121">
        <v>0</v>
      </c>
      <c r="EV121">
        <v>7.0740000000000705E-2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3.9</v>
      </c>
      <c r="FE121">
        <v>3.8</v>
      </c>
      <c r="FF121">
        <v>1.24512</v>
      </c>
      <c r="FG121">
        <v>2.6049799999999999</v>
      </c>
      <c r="FH121">
        <v>2.19604</v>
      </c>
      <c r="FI121">
        <v>2.66113</v>
      </c>
      <c r="FJ121">
        <v>2.4462899999999999</v>
      </c>
      <c r="FK121">
        <v>2.3083499999999999</v>
      </c>
      <c r="FL121">
        <v>32.9983</v>
      </c>
      <c r="FM121">
        <v>24.148800000000001</v>
      </c>
      <c r="FN121">
        <v>19</v>
      </c>
      <c r="FO121">
        <v>865.98</v>
      </c>
      <c r="FP121">
        <v>569.53800000000001</v>
      </c>
      <c r="FQ121">
        <v>18.420100000000001</v>
      </c>
      <c r="FR121">
        <v>25.669499999999999</v>
      </c>
      <c r="FS121">
        <v>30.0001</v>
      </c>
      <c r="FT121">
        <v>25.6462</v>
      </c>
      <c r="FU121">
        <v>25.646699999999999</v>
      </c>
      <c r="FV121">
        <v>24.9819</v>
      </c>
      <c r="FW121">
        <v>27.0778</v>
      </c>
      <c r="FX121">
        <v>13.621</v>
      </c>
      <c r="FY121">
        <v>18.429600000000001</v>
      </c>
      <c r="FZ121">
        <v>410</v>
      </c>
      <c r="GA121">
        <v>13.750999999999999</v>
      </c>
      <c r="GB121">
        <v>99.861000000000004</v>
      </c>
      <c r="GC121">
        <v>99.796899999999994</v>
      </c>
    </row>
    <row r="122" spans="1:185" x14ac:dyDescent="0.2">
      <c r="A122">
        <v>107</v>
      </c>
      <c r="B122">
        <v>1769202504</v>
      </c>
      <c r="C122">
        <v>2233</v>
      </c>
      <c r="D122" t="s">
        <v>510</v>
      </c>
      <c r="E122" t="s">
        <v>511</v>
      </c>
      <c r="F122">
        <v>15</v>
      </c>
      <c r="G122">
        <v>1769202495.9333301</v>
      </c>
      <c r="H122">
        <f t="shared" si="38"/>
        <v>1.3937728419387795E-3</v>
      </c>
      <c r="I122">
        <v>0</v>
      </c>
      <c r="J122">
        <f t="shared" si="37"/>
        <v>-2.3549070100426645E-3</v>
      </c>
      <c r="K122">
        <f t="shared" si="39"/>
        <v>-6.0706147620809128E-2</v>
      </c>
      <c r="L122">
        <f t="shared" si="40"/>
        <v>70.584240026680462</v>
      </c>
      <c r="M122">
        <f t="shared" si="41"/>
        <v>1.5561570085859229</v>
      </c>
      <c r="N122">
        <f t="shared" si="42"/>
        <v>2.2046805462489982</v>
      </c>
      <c r="O122">
        <v>0</v>
      </c>
      <c r="P122">
        <v>0</v>
      </c>
      <c r="Q122">
        <f t="shared" si="43"/>
        <v>1</v>
      </c>
      <c r="R122">
        <f t="shared" si="44"/>
        <v>0</v>
      </c>
      <c r="S122">
        <f t="shared" si="45"/>
        <v>26281.406456197386</v>
      </c>
      <c r="T122">
        <f t="shared" si="46"/>
        <v>499.99860000000001</v>
      </c>
      <c r="U122">
        <f t="shared" si="47"/>
        <v>421.49909379923275</v>
      </c>
      <c r="V122">
        <f t="shared" si="48"/>
        <v>0.84300054799999991</v>
      </c>
      <c r="W122">
        <f t="shared" si="49"/>
        <v>0.15870137000000001</v>
      </c>
      <c r="X122">
        <v>1</v>
      </c>
      <c r="Y122">
        <v>1769202495.9333301</v>
      </c>
      <c r="Z122">
        <v>409.37633333333298</v>
      </c>
      <c r="AA122">
        <v>410.01366666666701</v>
      </c>
      <c r="AB122">
        <v>15.512753333333301</v>
      </c>
      <c r="AC122">
        <v>13.79758</v>
      </c>
      <c r="AD122">
        <v>410.12006666666701</v>
      </c>
      <c r="AE122">
        <v>15.442026666666701</v>
      </c>
      <c r="AF122">
        <v>800.00753333333296</v>
      </c>
      <c r="AG122">
        <v>100.2508</v>
      </c>
      <c r="AH122">
        <v>6.3887866666666696E-2</v>
      </c>
      <c r="AI122">
        <v>18.996366666666699</v>
      </c>
      <c r="AJ122">
        <v>999.9</v>
      </c>
      <c r="AK122">
        <v>999.9</v>
      </c>
      <c r="AL122">
        <v>0</v>
      </c>
      <c r="AM122">
        <v>0</v>
      </c>
      <c r="AN122">
        <v>4998.8666666666704</v>
      </c>
      <c r="AO122">
        <v>0</v>
      </c>
      <c r="AP122">
        <v>1.5244200000000001</v>
      </c>
      <c r="AQ122">
        <v>-0.63727420000000001</v>
      </c>
      <c r="AR122">
        <v>415.82706666666701</v>
      </c>
      <c r="AS122">
        <v>415.75</v>
      </c>
      <c r="AT122">
        <v>1.7151813333333299</v>
      </c>
      <c r="AU122">
        <v>410.01366666666701</v>
      </c>
      <c r="AV122">
        <v>13.79758</v>
      </c>
      <c r="AW122">
        <v>1.55516733333333</v>
      </c>
      <c r="AX122">
        <v>1.38322066666667</v>
      </c>
      <c r="AY122">
        <v>13.521599999999999</v>
      </c>
      <c r="AZ122">
        <v>11.73488</v>
      </c>
      <c r="BA122">
        <v>499.99860000000001</v>
      </c>
      <c r="BB122">
        <v>0.89998173333333298</v>
      </c>
      <c r="BC122">
        <v>0</v>
      </c>
      <c r="BD122">
        <v>0.10001826666666699</v>
      </c>
      <c r="BE122">
        <v>0</v>
      </c>
      <c r="BF122">
        <v>25</v>
      </c>
      <c r="BG122">
        <v>8244.3259999999991</v>
      </c>
      <c r="BH122">
        <v>1769202258.0999999</v>
      </c>
      <c r="BI122" t="s">
        <v>491</v>
      </c>
      <c r="BJ122">
        <v>1769202254.0999999</v>
      </c>
      <c r="BK122">
        <v>1769202258.0999999</v>
      </c>
      <c r="BL122">
        <v>16</v>
      </c>
      <c r="BM122">
        <v>3.5000000000000003E-2</v>
      </c>
      <c r="BN122">
        <v>-5.0999999999999997E-2</v>
      </c>
      <c r="BO122">
        <v>-0.74299999999999999</v>
      </c>
      <c r="BP122">
        <v>7.0999999999999994E-2</v>
      </c>
      <c r="BQ122">
        <v>410</v>
      </c>
      <c r="BR122">
        <v>14</v>
      </c>
      <c r="BS122">
        <v>0.16</v>
      </c>
      <c r="BT122">
        <v>0.06</v>
      </c>
      <c r="BU122">
        <v>-0.63205560000000005</v>
      </c>
      <c r="BV122">
        <v>-0.19129010526315801</v>
      </c>
      <c r="BW122">
        <v>2.5922846063655899E-2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1.7172875000000001</v>
      </c>
      <c r="CD122">
        <v>-3.8793834586468103E-2</v>
      </c>
      <c r="CE122">
        <v>9.93788955211314E-3</v>
      </c>
      <c r="CF122">
        <v>1</v>
      </c>
      <c r="CG122">
        <v>2</v>
      </c>
      <c r="CH122">
        <v>2</v>
      </c>
      <c r="CI122" t="s">
        <v>297</v>
      </c>
      <c r="CJ122">
        <v>3.5325700000000002</v>
      </c>
      <c r="CK122">
        <v>2.70166</v>
      </c>
      <c r="CL122">
        <v>9.7926100000000002E-2</v>
      </c>
      <c r="CM122">
        <v>9.6695299999999998E-2</v>
      </c>
      <c r="CN122">
        <v>8.7593000000000004E-2</v>
      </c>
      <c r="CO122">
        <v>7.9292299999999996E-2</v>
      </c>
      <c r="CP122">
        <v>31623.7</v>
      </c>
      <c r="CQ122">
        <v>27828.9</v>
      </c>
      <c r="CR122">
        <v>32447</v>
      </c>
      <c r="CS122">
        <v>30735.7</v>
      </c>
      <c r="CT122">
        <v>40095.199999999997</v>
      </c>
      <c r="CU122">
        <v>39806.6</v>
      </c>
      <c r="CV122">
        <v>47395.6</v>
      </c>
      <c r="CW122">
        <v>46883.9</v>
      </c>
      <c r="CX122">
        <v>2.62086</v>
      </c>
      <c r="CY122">
        <v>2.1189399999999998</v>
      </c>
      <c r="CZ122">
        <v>0</v>
      </c>
      <c r="DA122">
        <v>0</v>
      </c>
      <c r="DB122">
        <v>999.9</v>
      </c>
      <c r="DC122">
        <v>999.9</v>
      </c>
      <c r="DD122">
        <v>45.593000000000004</v>
      </c>
      <c r="DE122">
        <v>28.782</v>
      </c>
      <c r="DF122">
        <v>18.060199999999998</v>
      </c>
      <c r="DG122">
        <v>30.28</v>
      </c>
      <c r="DH122">
        <v>16.418299999999999</v>
      </c>
      <c r="DI122">
        <v>2</v>
      </c>
      <c r="DJ122">
        <v>-0.103742</v>
      </c>
      <c r="DK122">
        <v>2.3512400000000002</v>
      </c>
      <c r="DL122">
        <v>20.2028</v>
      </c>
      <c r="DM122">
        <v>5.2473599999999996</v>
      </c>
      <c r="DN122">
        <v>12.033899999999999</v>
      </c>
      <c r="DO122">
        <v>4.9666800000000002</v>
      </c>
      <c r="DP122">
        <v>3.2905600000000002</v>
      </c>
      <c r="DQ122">
        <v>538.20000000000005</v>
      </c>
      <c r="DR122">
        <v>9999</v>
      </c>
      <c r="DS122">
        <v>9999</v>
      </c>
      <c r="DT122">
        <v>9999</v>
      </c>
      <c r="DU122">
        <v>1.8710899999999999</v>
      </c>
      <c r="DV122">
        <v>1.87609</v>
      </c>
      <c r="DW122">
        <v>1.87632</v>
      </c>
      <c r="DX122">
        <v>1.8827799999999999</v>
      </c>
      <c r="DY122">
        <v>1.8755900000000001</v>
      </c>
      <c r="DZ122">
        <v>1.8746700000000001</v>
      </c>
      <c r="EA122">
        <v>1.8708</v>
      </c>
      <c r="EB122">
        <v>1.87462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-0.74299999999999999</v>
      </c>
      <c r="EQ122">
        <v>7.0699999999999999E-2</v>
      </c>
      <c r="ER122">
        <v>-0.74350000000000005</v>
      </c>
      <c r="ES122">
        <v>0</v>
      </c>
      <c r="ET122">
        <v>0</v>
      </c>
      <c r="EU122">
        <v>0</v>
      </c>
      <c r="EV122">
        <v>7.0740000000000705E-2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4.2</v>
      </c>
      <c r="FE122">
        <v>4.0999999999999996</v>
      </c>
      <c r="FF122">
        <v>1.2439</v>
      </c>
      <c r="FG122">
        <v>2.6025399999999999</v>
      </c>
      <c r="FH122">
        <v>2.19604</v>
      </c>
      <c r="FI122">
        <v>2.66113</v>
      </c>
      <c r="FJ122">
        <v>2.4462899999999999</v>
      </c>
      <c r="FK122">
        <v>2.3120099999999999</v>
      </c>
      <c r="FL122">
        <v>32.975999999999999</v>
      </c>
      <c r="FM122">
        <v>24.1313</v>
      </c>
      <c r="FN122">
        <v>19</v>
      </c>
      <c r="FO122">
        <v>865.875</v>
      </c>
      <c r="FP122">
        <v>569.44799999999998</v>
      </c>
      <c r="FQ122">
        <v>18.4437</v>
      </c>
      <c r="FR122">
        <v>25.672000000000001</v>
      </c>
      <c r="FS122">
        <v>30.000399999999999</v>
      </c>
      <c r="FT122">
        <v>25.650099999999998</v>
      </c>
      <c r="FU122">
        <v>25.651</v>
      </c>
      <c r="FV122">
        <v>24.980499999999999</v>
      </c>
      <c r="FW122">
        <v>27.358799999999999</v>
      </c>
      <c r="FX122">
        <v>13.621</v>
      </c>
      <c r="FY122">
        <v>18.091100000000001</v>
      </c>
      <c r="FZ122">
        <v>410</v>
      </c>
      <c r="GA122">
        <v>13.7681</v>
      </c>
      <c r="GB122">
        <v>99.861099999999993</v>
      </c>
      <c r="GC122">
        <v>99.796599999999998</v>
      </c>
    </row>
    <row r="123" spans="1:185" x14ac:dyDescent="0.2">
      <c r="A123">
        <v>108</v>
      </c>
      <c r="B123">
        <v>1769202519</v>
      </c>
      <c r="C123">
        <v>2248</v>
      </c>
      <c r="D123" t="s">
        <v>512</v>
      </c>
      <c r="E123" t="s">
        <v>513</v>
      </c>
      <c r="F123">
        <v>15</v>
      </c>
      <c r="G123">
        <v>1769202510.9333301</v>
      </c>
      <c r="H123">
        <f t="shared" si="38"/>
        <v>1.3755596084974076E-3</v>
      </c>
      <c r="I123">
        <v>0</v>
      </c>
      <c r="J123">
        <f t="shared" si="37"/>
        <v>-1.3400625470124576E-3</v>
      </c>
      <c r="K123">
        <f t="shared" si="39"/>
        <v>-3.4544903239547405E-2</v>
      </c>
      <c r="L123">
        <f t="shared" si="40"/>
        <v>70.114218075056627</v>
      </c>
      <c r="M123">
        <f t="shared" si="41"/>
        <v>1.5474641541109742</v>
      </c>
      <c r="N123">
        <f t="shared" si="42"/>
        <v>2.2070618436540617</v>
      </c>
      <c r="O123">
        <v>0</v>
      </c>
      <c r="P123">
        <v>0</v>
      </c>
      <c r="Q123">
        <f t="shared" si="43"/>
        <v>1</v>
      </c>
      <c r="R123">
        <f t="shared" si="44"/>
        <v>0</v>
      </c>
      <c r="S123">
        <f t="shared" si="45"/>
        <v>26276.719543552903</v>
      </c>
      <c r="T123">
        <f t="shared" si="46"/>
        <v>499.99906666666698</v>
      </c>
      <c r="U123">
        <f t="shared" si="47"/>
        <v>421.49934519975415</v>
      </c>
      <c r="V123">
        <f t="shared" si="48"/>
        <v>0.84300026400000061</v>
      </c>
      <c r="W123">
        <f t="shared" si="49"/>
        <v>0.15870078992000014</v>
      </c>
      <c r="X123">
        <v>1</v>
      </c>
      <c r="Y123">
        <v>1769202510.9333301</v>
      </c>
      <c r="Z123">
        <v>409.3476</v>
      </c>
      <c r="AA123">
        <v>410.008266666667</v>
      </c>
      <c r="AB123">
        <v>15.425893333333301</v>
      </c>
      <c r="AC123">
        <v>13.73298</v>
      </c>
      <c r="AD123">
        <v>410.09126666666702</v>
      </c>
      <c r="AE123">
        <v>15.35516</v>
      </c>
      <c r="AF123">
        <v>800.00573333333296</v>
      </c>
      <c r="AG123">
        <v>100.252</v>
      </c>
      <c r="AH123">
        <v>6.4015459999999996E-2</v>
      </c>
      <c r="AI123">
        <v>19.013666666666701</v>
      </c>
      <c r="AJ123">
        <v>999.9</v>
      </c>
      <c r="AK123">
        <v>999.9</v>
      </c>
      <c r="AL123">
        <v>0</v>
      </c>
      <c r="AM123">
        <v>0</v>
      </c>
      <c r="AN123">
        <v>4998.3</v>
      </c>
      <c r="AO123">
        <v>0</v>
      </c>
      <c r="AP123">
        <v>1.5244200000000001</v>
      </c>
      <c r="AQ123">
        <v>-0.66042466666666699</v>
      </c>
      <c r="AR123">
        <v>415.76126666666698</v>
      </c>
      <c r="AS123">
        <v>415.71713333333298</v>
      </c>
      <c r="AT123">
        <v>1.69290733333333</v>
      </c>
      <c r="AU123">
        <v>410.008266666667</v>
      </c>
      <c r="AV123">
        <v>13.73298</v>
      </c>
      <c r="AW123">
        <v>1.546476</v>
      </c>
      <c r="AX123">
        <v>1.3767579999999999</v>
      </c>
      <c r="AY123">
        <v>13.435553333333299</v>
      </c>
      <c r="AZ123">
        <v>11.66404</v>
      </c>
      <c r="BA123">
        <v>499.99906666666698</v>
      </c>
      <c r="BB123">
        <v>0.89998926666666701</v>
      </c>
      <c r="BC123">
        <v>0</v>
      </c>
      <c r="BD123">
        <v>0.100010666666667</v>
      </c>
      <c r="BE123">
        <v>0</v>
      </c>
      <c r="BF123">
        <v>25</v>
      </c>
      <c r="BG123">
        <v>8244.3493333333299</v>
      </c>
      <c r="BH123">
        <v>1769202258.0999999</v>
      </c>
      <c r="BI123" t="s">
        <v>491</v>
      </c>
      <c r="BJ123">
        <v>1769202254.0999999</v>
      </c>
      <c r="BK123">
        <v>1769202258.0999999</v>
      </c>
      <c r="BL123">
        <v>16</v>
      </c>
      <c r="BM123">
        <v>3.5000000000000003E-2</v>
      </c>
      <c r="BN123">
        <v>-5.0999999999999997E-2</v>
      </c>
      <c r="BO123">
        <v>-0.74299999999999999</v>
      </c>
      <c r="BP123">
        <v>7.0999999999999994E-2</v>
      </c>
      <c r="BQ123">
        <v>410</v>
      </c>
      <c r="BR123">
        <v>14</v>
      </c>
      <c r="BS123">
        <v>0.16</v>
      </c>
      <c r="BT123">
        <v>0.06</v>
      </c>
      <c r="BU123">
        <v>-0.66154690476190503</v>
      </c>
      <c r="BV123">
        <v>1.27843636363627E-2</v>
      </c>
      <c r="BW123">
        <v>1.5010934775958201E-2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1.6992261904761901</v>
      </c>
      <c r="CD123">
        <v>-0.18911844155844201</v>
      </c>
      <c r="CE123">
        <v>2.3117636531896201E-2</v>
      </c>
      <c r="CF123">
        <v>0</v>
      </c>
      <c r="CG123">
        <v>1</v>
      </c>
      <c r="CH123">
        <v>2</v>
      </c>
      <c r="CI123" t="s">
        <v>302</v>
      </c>
      <c r="CJ123">
        <v>3.5325600000000001</v>
      </c>
      <c r="CK123">
        <v>2.7021000000000002</v>
      </c>
      <c r="CL123">
        <v>9.7923300000000005E-2</v>
      </c>
      <c r="CM123">
        <v>9.6689600000000001E-2</v>
      </c>
      <c r="CN123">
        <v>8.7217500000000003E-2</v>
      </c>
      <c r="CO123">
        <v>7.9243400000000006E-2</v>
      </c>
      <c r="CP123">
        <v>31623.5</v>
      </c>
      <c r="CQ123">
        <v>27828</v>
      </c>
      <c r="CR123">
        <v>32446.7</v>
      </c>
      <c r="CS123">
        <v>30734.5</v>
      </c>
      <c r="CT123">
        <v>40111.699999999997</v>
      </c>
      <c r="CU123">
        <v>39807.4</v>
      </c>
      <c r="CV123">
        <v>47395</v>
      </c>
      <c r="CW123">
        <v>46882.2</v>
      </c>
      <c r="CX123">
        <v>2.6208399999999998</v>
      </c>
      <c r="CY123">
        <v>2.1188400000000001</v>
      </c>
      <c r="CZ123">
        <v>0</v>
      </c>
      <c r="DA123">
        <v>0</v>
      </c>
      <c r="DB123">
        <v>999.9</v>
      </c>
      <c r="DC123">
        <v>999.9</v>
      </c>
      <c r="DD123">
        <v>45.593000000000004</v>
      </c>
      <c r="DE123">
        <v>28.771999999999998</v>
      </c>
      <c r="DF123">
        <v>18.052099999999999</v>
      </c>
      <c r="DG123">
        <v>30.43</v>
      </c>
      <c r="DH123">
        <v>16.410299999999999</v>
      </c>
      <c r="DI123">
        <v>2</v>
      </c>
      <c r="DJ123">
        <v>-0.100967</v>
      </c>
      <c r="DK123">
        <v>2.5817000000000001</v>
      </c>
      <c r="DL123">
        <v>20.2014</v>
      </c>
      <c r="DM123">
        <v>5.2508299999999997</v>
      </c>
      <c r="DN123">
        <v>12.033899999999999</v>
      </c>
      <c r="DO123">
        <v>4.9672799999999997</v>
      </c>
      <c r="DP123">
        <v>3.2909999999999999</v>
      </c>
      <c r="DQ123">
        <v>538.20000000000005</v>
      </c>
      <c r="DR123">
        <v>9999</v>
      </c>
      <c r="DS123">
        <v>9999</v>
      </c>
      <c r="DT123">
        <v>9999</v>
      </c>
      <c r="DU123">
        <v>1.87107</v>
      </c>
      <c r="DV123">
        <v>1.87608</v>
      </c>
      <c r="DW123">
        <v>1.8762700000000001</v>
      </c>
      <c r="DX123">
        <v>1.8827799999999999</v>
      </c>
      <c r="DY123">
        <v>1.87557</v>
      </c>
      <c r="DZ123">
        <v>1.8746400000000001</v>
      </c>
      <c r="EA123">
        <v>1.8707499999999999</v>
      </c>
      <c r="EB123">
        <v>1.8746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-0.74299999999999999</v>
      </c>
      <c r="EQ123">
        <v>7.0699999999999999E-2</v>
      </c>
      <c r="ER123">
        <v>-0.74350000000000005</v>
      </c>
      <c r="ES123">
        <v>0</v>
      </c>
      <c r="ET123">
        <v>0</v>
      </c>
      <c r="EU123">
        <v>0</v>
      </c>
      <c r="EV123">
        <v>7.0740000000000705E-2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4.4000000000000004</v>
      </c>
      <c r="FE123">
        <v>4.3</v>
      </c>
      <c r="FF123">
        <v>1.24512</v>
      </c>
      <c r="FG123">
        <v>2.6074199999999998</v>
      </c>
      <c r="FH123">
        <v>2.19604</v>
      </c>
      <c r="FI123">
        <v>2.66113</v>
      </c>
      <c r="FJ123">
        <v>2.4462899999999999</v>
      </c>
      <c r="FK123">
        <v>2.2741699999999998</v>
      </c>
      <c r="FL123">
        <v>32.9983</v>
      </c>
      <c r="FM123">
        <v>24.14</v>
      </c>
      <c r="FN123">
        <v>19</v>
      </c>
      <c r="FO123">
        <v>865.89700000000005</v>
      </c>
      <c r="FP123">
        <v>569.40899999999999</v>
      </c>
      <c r="FQ123">
        <v>18.024100000000001</v>
      </c>
      <c r="FR123">
        <v>25.673300000000001</v>
      </c>
      <c r="FS123">
        <v>29.999700000000001</v>
      </c>
      <c r="FT123">
        <v>25.6526</v>
      </c>
      <c r="FU123">
        <v>25.654399999999999</v>
      </c>
      <c r="FV123">
        <v>24.980499999999999</v>
      </c>
      <c r="FW123">
        <v>27.358799999999999</v>
      </c>
      <c r="FX123">
        <v>13.621</v>
      </c>
      <c r="FY123">
        <v>18.049700000000001</v>
      </c>
      <c r="FZ123">
        <v>410</v>
      </c>
      <c r="GA123">
        <v>13.7883</v>
      </c>
      <c r="GB123">
        <v>99.86</v>
      </c>
      <c r="GC123">
        <v>99.793000000000006</v>
      </c>
    </row>
    <row r="124" spans="1:185" x14ac:dyDescent="0.2">
      <c r="A124">
        <v>109</v>
      </c>
      <c r="B124">
        <v>1769202534</v>
      </c>
      <c r="C124">
        <v>2263</v>
      </c>
      <c r="D124" t="s">
        <v>514</v>
      </c>
      <c r="E124" t="s">
        <v>515</v>
      </c>
      <c r="F124">
        <v>15</v>
      </c>
      <c r="G124">
        <v>1769202525.9333301</v>
      </c>
      <c r="H124">
        <f t="shared" si="38"/>
        <v>1.3367928746541452E-3</v>
      </c>
      <c r="I124">
        <v>0</v>
      </c>
      <c r="J124">
        <f t="shared" si="37"/>
        <v>-2.0778966402968955E-4</v>
      </c>
      <c r="K124">
        <f t="shared" si="39"/>
        <v>-5.356521495273877E-3</v>
      </c>
      <c r="L124">
        <f t="shared" si="40"/>
        <v>69.912095982438458</v>
      </c>
      <c r="M124">
        <f t="shared" si="41"/>
        <v>1.5413518457674835</v>
      </c>
      <c r="N124">
        <f t="shared" si="42"/>
        <v>2.2046998078196123</v>
      </c>
      <c r="O124">
        <v>0</v>
      </c>
      <c r="P124">
        <v>0</v>
      </c>
      <c r="Q124">
        <f t="shared" si="43"/>
        <v>1</v>
      </c>
      <c r="R124">
        <f t="shared" si="44"/>
        <v>0</v>
      </c>
      <c r="S124">
        <f t="shared" si="45"/>
        <v>26269.452670583934</v>
      </c>
      <c r="T124">
        <f t="shared" si="46"/>
        <v>500.00040000000001</v>
      </c>
      <c r="U124">
        <f t="shared" si="47"/>
        <v>421.50049020012239</v>
      </c>
      <c r="V124">
        <f t="shared" si="48"/>
        <v>0.84300030599999998</v>
      </c>
      <c r="W124">
        <f t="shared" si="49"/>
        <v>0.15870076499999999</v>
      </c>
      <c r="X124">
        <v>1</v>
      </c>
      <c r="Y124">
        <v>1769202525.9333301</v>
      </c>
      <c r="Z124">
        <v>409.32106666666698</v>
      </c>
      <c r="AA124">
        <v>409.99833333333299</v>
      </c>
      <c r="AB124">
        <v>15.364886666666701</v>
      </c>
      <c r="AC124">
        <v>13.7195933333333</v>
      </c>
      <c r="AD124">
        <v>410.06479999999999</v>
      </c>
      <c r="AE124">
        <v>15.294133333333299</v>
      </c>
      <c r="AF124">
        <v>800.01126666666698</v>
      </c>
      <c r="AG124">
        <v>100.25239999999999</v>
      </c>
      <c r="AH124">
        <v>6.4112526666666697E-2</v>
      </c>
      <c r="AI124">
        <v>18.996506666666701</v>
      </c>
      <c r="AJ124">
        <v>999.9</v>
      </c>
      <c r="AK124">
        <v>999.9</v>
      </c>
      <c r="AL124">
        <v>0</v>
      </c>
      <c r="AM124">
        <v>0</v>
      </c>
      <c r="AN124">
        <v>4996.8333333333303</v>
      </c>
      <c r="AO124">
        <v>0</v>
      </c>
      <c r="AP124">
        <v>1.5244200000000001</v>
      </c>
      <c r="AQ124">
        <v>-0.67715040000000004</v>
      </c>
      <c r="AR124">
        <v>415.70853333333298</v>
      </c>
      <c r="AS124">
        <v>415.70159999999998</v>
      </c>
      <c r="AT124">
        <v>1.64528866666667</v>
      </c>
      <c r="AU124">
        <v>409.99833333333299</v>
      </c>
      <c r="AV124">
        <v>13.7195933333333</v>
      </c>
      <c r="AW124">
        <v>1.54037</v>
      </c>
      <c r="AX124">
        <v>1.3754246666666701</v>
      </c>
      <c r="AY124">
        <v>13.3748666666667</v>
      </c>
      <c r="AZ124">
        <v>11.649366666666699</v>
      </c>
      <c r="BA124">
        <v>500.00040000000001</v>
      </c>
      <c r="BB124">
        <v>0.89998979999999995</v>
      </c>
      <c r="BC124">
        <v>0</v>
      </c>
      <c r="BD124">
        <v>0.10001019999999999</v>
      </c>
      <c r="BE124">
        <v>0</v>
      </c>
      <c r="BF124">
        <v>25</v>
      </c>
      <c r="BG124">
        <v>8244.3733333333294</v>
      </c>
      <c r="BH124">
        <v>1769202258.0999999</v>
      </c>
      <c r="BI124" t="s">
        <v>491</v>
      </c>
      <c r="BJ124">
        <v>1769202254.0999999</v>
      </c>
      <c r="BK124">
        <v>1769202258.0999999</v>
      </c>
      <c r="BL124">
        <v>16</v>
      </c>
      <c r="BM124">
        <v>3.5000000000000003E-2</v>
      </c>
      <c r="BN124">
        <v>-5.0999999999999997E-2</v>
      </c>
      <c r="BO124">
        <v>-0.74299999999999999</v>
      </c>
      <c r="BP124">
        <v>7.0999999999999994E-2</v>
      </c>
      <c r="BQ124">
        <v>410</v>
      </c>
      <c r="BR124">
        <v>14</v>
      </c>
      <c r="BS124">
        <v>0.16</v>
      </c>
      <c r="BT124">
        <v>0.06</v>
      </c>
      <c r="BU124">
        <v>-0.67440180000000005</v>
      </c>
      <c r="BV124">
        <v>-0.11969007518796999</v>
      </c>
      <c r="BW124">
        <v>1.6953853369072201E-2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1.6500055</v>
      </c>
      <c r="CD124">
        <v>-0.10255984962406201</v>
      </c>
      <c r="CE124">
        <v>1.1390095467115301E-2</v>
      </c>
      <c r="CF124">
        <v>0</v>
      </c>
      <c r="CG124">
        <v>1</v>
      </c>
      <c r="CH124">
        <v>2</v>
      </c>
      <c r="CI124" t="s">
        <v>302</v>
      </c>
      <c r="CJ124">
        <v>3.5325299999999999</v>
      </c>
      <c r="CK124">
        <v>2.7019199999999999</v>
      </c>
      <c r="CL124">
        <v>9.7911700000000004E-2</v>
      </c>
      <c r="CM124">
        <v>9.6686099999999997E-2</v>
      </c>
      <c r="CN124">
        <v>8.7091799999999997E-2</v>
      </c>
      <c r="CO124">
        <v>7.9214999999999994E-2</v>
      </c>
      <c r="CP124">
        <v>31624.1</v>
      </c>
      <c r="CQ124">
        <v>27829</v>
      </c>
      <c r="CR124">
        <v>32446.9</v>
      </c>
      <c r="CS124">
        <v>30735.5</v>
      </c>
      <c r="CT124">
        <v>40117.599999999999</v>
      </c>
      <c r="CU124">
        <v>39809.9</v>
      </c>
      <c r="CV124">
        <v>47395.3</v>
      </c>
      <c r="CW124">
        <v>46883.8</v>
      </c>
      <c r="CX124">
        <v>2.6204000000000001</v>
      </c>
      <c r="CY124">
        <v>2.1189</v>
      </c>
      <c r="CZ124">
        <v>0</v>
      </c>
      <c r="DA124">
        <v>0</v>
      </c>
      <c r="DB124">
        <v>999.9</v>
      </c>
      <c r="DC124">
        <v>999.9</v>
      </c>
      <c r="DD124">
        <v>45.543999999999997</v>
      </c>
      <c r="DE124">
        <v>28.782</v>
      </c>
      <c r="DF124">
        <v>18.0412</v>
      </c>
      <c r="DG124">
        <v>30.64</v>
      </c>
      <c r="DH124">
        <v>16.462299999999999</v>
      </c>
      <c r="DI124">
        <v>2</v>
      </c>
      <c r="DJ124">
        <v>-0.10248</v>
      </c>
      <c r="DK124">
        <v>2.3345099999999999</v>
      </c>
      <c r="DL124">
        <v>20.206099999999999</v>
      </c>
      <c r="DM124">
        <v>5.2476000000000003</v>
      </c>
      <c r="DN124">
        <v>12.033899999999999</v>
      </c>
      <c r="DO124">
        <v>4.9668000000000001</v>
      </c>
      <c r="DP124">
        <v>3.2905799999999998</v>
      </c>
      <c r="DQ124">
        <v>538.20000000000005</v>
      </c>
      <c r="DR124">
        <v>9999</v>
      </c>
      <c r="DS124">
        <v>9999</v>
      </c>
      <c r="DT124">
        <v>9999</v>
      </c>
      <c r="DU124">
        <v>1.87113</v>
      </c>
      <c r="DV124">
        <v>1.8760699999999999</v>
      </c>
      <c r="DW124">
        <v>1.8763099999999999</v>
      </c>
      <c r="DX124">
        <v>1.8828</v>
      </c>
      <c r="DY124">
        <v>1.8755900000000001</v>
      </c>
      <c r="DZ124">
        <v>1.8746799999999999</v>
      </c>
      <c r="EA124">
        <v>1.8708</v>
      </c>
      <c r="EB124">
        <v>1.8746499999999999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-0.74399999999999999</v>
      </c>
      <c r="EQ124">
        <v>7.0800000000000002E-2</v>
      </c>
      <c r="ER124">
        <v>-0.74350000000000005</v>
      </c>
      <c r="ES124">
        <v>0</v>
      </c>
      <c r="ET124">
        <v>0</v>
      </c>
      <c r="EU124">
        <v>0</v>
      </c>
      <c r="EV124">
        <v>7.0740000000000705E-2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4.7</v>
      </c>
      <c r="FE124">
        <v>4.5999999999999996</v>
      </c>
      <c r="FF124">
        <v>1.24512</v>
      </c>
      <c r="FG124">
        <v>2.6086399999999998</v>
      </c>
      <c r="FH124">
        <v>2.19604</v>
      </c>
      <c r="FI124">
        <v>2.65991</v>
      </c>
      <c r="FJ124">
        <v>2.4462899999999999</v>
      </c>
      <c r="FK124">
        <v>2.3120099999999999</v>
      </c>
      <c r="FL124">
        <v>32.975999999999999</v>
      </c>
      <c r="FM124">
        <v>24.148800000000001</v>
      </c>
      <c r="FN124">
        <v>19</v>
      </c>
      <c r="FO124">
        <v>865.55</v>
      </c>
      <c r="FP124">
        <v>569.48900000000003</v>
      </c>
      <c r="FQ124">
        <v>18.046900000000001</v>
      </c>
      <c r="FR124">
        <v>25.6755</v>
      </c>
      <c r="FS124">
        <v>29.999700000000001</v>
      </c>
      <c r="FT124">
        <v>25.656600000000001</v>
      </c>
      <c r="FU124">
        <v>25.657399999999999</v>
      </c>
      <c r="FV124">
        <v>24.982099999999999</v>
      </c>
      <c r="FW124">
        <v>26.807600000000001</v>
      </c>
      <c r="FX124">
        <v>13.2456</v>
      </c>
      <c r="FY124">
        <v>18.066299999999998</v>
      </c>
      <c r="FZ124">
        <v>410</v>
      </c>
      <c r="GA124">
        <v>13.804399999999999</v>
      </c>
      <c r="GB124">
        <v>99.860600000000005</v>
      </c>
      <c r="GC124">
        <v>99.796199999999999</v>
      </c>
    </row>
    <row r="125" spans="1:185" x14ac:dyDescent="0.2">
      <c r="A125">
        <v>110</v>
      </c>
      <c r="B125">
        <v>1769202549</v>
      </c>
      <c r="C125">
        <v>2278</v>
      </c>
      <c r="D125" t="s">
        <v>516</v>
      </c>
      <c r="E125" t="s">
        <v>517</v>
      </c>
      <c r="F125">
        <v>15</v>
      </c>
      <c r="G125">
        <v>1769202540.9333301</v>
      </c>
      <c r="H125">
        <f t="shared" si="38"/>
        <v>1.2874329813635731E-3</v>
      </c>
      <c r="I125">
        <v>0</v>
      </c>
      <c r="J125">
        <f t="shared" si="37"/>
        <v>9.1191228349144047E-4</v>
      </c>
      <c r="K125">
        <f t="shared" si="39"/>
        <v>2.3507799442941735E-2</v>
      </c>
      <c r="L125">
        <f t="shared" si="40"/>
        <v>69.884598506055369</v>
      </c>
      <c r="M125">
        <f t="shared" si="41"/>
        <v>1.5397260796595624</v>
      </c>
      <c r="N125">
        <f t="shared" si="42"/>
        <v>2.2032409323009108</v>
      </c>
      <c r="O125">
        <v>0</v>
      </c>
      <c r="P125">
        <v>0</v>
      </c>
      <c r="Q125">
        <f t="shared" si="43"/>
        <v>1</v>
      </c>
      <c r="R125">
        <f t="shared" si="44"/>
        <v>0</v>
      </c>
      <c r="S125">
        <f t="shared" si="45"/>
        <v>26300.903585433065</v>
      </c>
      <c r="T125">
        <f t="shared" si="46"/>
        <v>499.99860000000001</v>
      </c>
      <c r="U125">
        <f t="shared" si="47"/>
        <v>421.4989397996643</v>
      </c>
      <c r="V125">
        <f t="shared" si="48"/>
        <v>0.84300024000000062</v>
      </c>
      <c r="W125">
        <f t="shared" si="49"/>
        <v>0.15870072992000012</v>
      </c>
      <c r="X125">
        <v>1</v>
      </c>
      <c r="Y125">
        <v>1769202540.9333301</v>
      </c>
      <c r="Z125">
        <v>409.30419999999998</v>
      </c>
      <c r="AA125">
        <v>409.99226666666698</v>
      </c>
      <c r="AB125">
        <v>15.348413333333299</v>
      </c>
      <c r="AC125">
        <v>13.76384</v>
      </c>
      <c r="AD125">
        <v>410.0478</v>
      </c>
      <c r="AE125">
        <v>15.2776666666667</v>
      </c>
      <c r="AF125">
        <v>800.00900000000001</v>
      </c>
      <c r="AG125">
        <v>100.25433333333299</v>
      </c>
      <c r="AH125">
        <v>6.3924079999999994E-2</v>
      </c>
      <c r="AI125">
        <v>18.985900000000001</v>
      </c>
      <c r="AJ125">
        <v>999.9</v>
      </c>
      <c r="AK125">
        <v>999.9</v>
      </c>
      <c r="AL125">
        <v>0</v>
      </c>
      <c r="AM125">
        <v>0</v>
      </c>
      <c r="AN125">
        <v>5001.7666666666701</v>
      </c>
      <c r="AO125">
        <v>0</v>
      </c>
      <c r="AP125">
        <v>1.5244200000000001</v>
      </c>
      <c r="AQ125">
        <v>-0.68794960000000005</v>
      </c>
      <c r="AR125">
        <v>415.68446666666699</v>
      </c>
      <c r="AS125">
        <v>415.714</v>
      </c>
      <c r="AT125">
        <v>1.5845659999999999</v>
      </c>
      <c r="AU125">
        <v>409.99226666666698</v>
      </c>
      <c r="AV125">
        <v>13.76384</v>
      </c>
      <c r="AW125">
        <v>1.5387439999999999</v>
      </c>
      <c r="AX125">
        <v>1.3798859999999999</v>
      </c>
      <c r="AY125">
        <v>13.358686666666699</v>
      </c>
      <c r="AZ125">
        <v>11.698366666666701</v>
      </c>
      <c r="BA125">
        <v>499.99860000000001</v>
      </c>
      <c r="BB125">
        <v>0.89999006666666703</v>
      </c>
      <c r="BC125">
        <v>0</v>
      </c>
      <c r="BD125">
        <v>0.100009866666667</v>
      </c>
      <c r="BE125">
        <v>0</v>
      </c>
      <c r="BF125">
        <v>25</v>
      </c>
      <c r="BG125">
        <v>8244.34666666667</v>
      </c>
      <c r="BH125">
        <v>1769202258.0999999</v>
      </c>
      <c r="BI125" t="s">
        <v>491</v>
      </c>
      <c r="BJ125">
        <v>1769202254.0999999</v>
      </c>
      <c r="BK125">
        <v>1769202258.0999999</v>
      </c>
      <c r="BL125">
        <v>16</v>
      </c>
      <c r="BM125">
        <v>3.5000000000000003E-2</v>
      </c>
      <c r="BN125">
        <v>-5.0999999999999997E-2</v>
      </c>
      <c r="BO125">
        <v>-0.74299999999999999</v>
      </c>
      <c r="BP125">
        <v>7.0999999999999994E-2</v>
      </c>
      <c r="BQ125">
        <v>410</v>
      </c>
      <c r="BR125">
        <v>14</v>
      </c>
      <c r="BS125">
        <v>0.16</v>
      </c>
      <c r="BT125">
        <v>0.06</v>
      </c>
      <c r="BU125">
        <v>-0.68754647619047604</v>
      </c>
      <c r="BV125">
        <v>-2.2460103896103902E-2</v>
      </c>
      <c r="BW125">
        <v>1.52669301670514E-2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1.5998961904761899</v>
      </c>
      <c r="CD125">
        <v>-0.27649480519480302</v>
      </c>
      <c r="CE125">
        <v>2.97400915033963E-2</v>
      </c>
      <c r="CF125">
        <v>0</v>
      </c>
      <c r="CG125">
        <v>1</v>
      </c>
      <c r="CH125">
        <v>2</v>
      </c>
      <c r="CI125" t="s">
        <v>302</v>
      </c>
      <c r="CJ125">
        <v>3.5325500000000001</v>
      </c>
      <c r="CK125">
        <v>2.7016399999999998</v>
      </c>
      <c r="CL125">
        <v>9.7913799999999995E-2</v>
      </c>
      <c r="CM125">
        <v>9.6697699999999998E-2</v>
      </c>
      <c r="CN125">
        <v>8.70842E-2</v>
      </c>
      <c r="CO125">
        <v>7.9452700000000001E-2</v>
      </c>
      <c r="CP125">
        <v>31625</v>
      </c>
      <c r="CQ125">
        <v>27828.799999999999</v>
      </c>
      <c r="CR125">
        <v>32447.9</v>
      </c>
      <c r="CS125">
        <v>30735.7</v>
      </c>
      <c r="CT125">
        <v>40119</v>
      </c>
      <c r="CU125">
        <v>39799.300000000003</v>
      </c>
      <c r="CV125">
        <v>47396.5</v>
      </c>
      <c r="CW125">
        <v>46883.7</v>
      </c>
      <c r="CX125">
        <v>2.6204399999999999</v>
      </c>
      <c r="CY125">
        <v>2.1188199999999999</v>
      </c>
      <c r="CZ125">
        <v>0</v>
      </c>
      <c r="DA125">
        <v>0</v>
      </c>
      <c r="DB125">
        <v>999.9</v>
      </c>
      <c r="DC125">
        <v>999.9</v>
      </c>
      <c r="DD125">
        <v>45.488999999999997</v>
      </c>
      <c r="DE125">
        <v>28.782</v>
      </c>
      <c r="DF125">
        <v>18.018999999999998</v>
      </c>
      <c r="DG125">
        <v>30.58</v>
      </c>
      <c r="DH125">
        <v>16.398199999999999</v>
      </c>
      <c r="DI125">
        <v>2</v>
      </c>
      <c r="DJ125">
        <v>-0.102675</v>
      </c>
      <c r="DK125">
        <v>2.3088299999999999</v>
      </c>
      <c r="DL125">
        <v>20.206499999999998</v>
      </c>
      <c r="DM125">
        <v>5.2503500000000001</v>
      </c>
      <c r="DN125">
        <v>12.033899999999999</v>
      </c>
      <c r="DO125">
        <v>4.9673999999999996</v>
      </c>
      <c r="DP125">
        <v>3.2909999999999999</v>
      </c>
      <c r="DQ125">
        <v>538.20000000000005</v>
      </c>
      <c r="DR125">
        <v>9999</v>
      </c>
      <c r="DS125">
        <v>9999</v>
      </c>
      <c r="DT125">
        <v>9999</v>
      </c>
      <c r="DU125">
        <v>1.87113</v>
      </c>
      <c r="DV125">
        <v>1.8761099999999999</v>
      </c>
      <c r="DW125">
        <v>1.87629</v>
      </c>
      <c r="DX125">
        <v>1.8828</v>
      </c>
      <c r="DY125">
        <v>1.87561</v>
      </c>
      <c r="DZ125">
        <v>1.8746700000000001</v>
      </c>
      <c r="EA125">
        <v>1.87083</v>
      </c>
      <c r="EB125">
        <v>1.87462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-0.74399999999999999</v>
      </c>
      <c r="EQ125">
        <v>7.0699999999999999E-2</v>
      </c>
      <c r="ER125">
        <v>-0.74350000000000005</v>
      </c>
      <c r="ES125">
        <v>0</v>
      </c>
      <c r="ET125">
        <v>0</v>
      </c>
      <c r="EU125">
        <v>0</v>
      </c>
      <c r="EV125">
        <v>7.0740000000000705E-2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4.9000000000000004</v>
      </c>
      <c r="FE125">
        <v>4.8</v>
      </c>
      <c r="FF125">
        <v>1.2439</v>
      </c>
      <c r="FG125">
        <v>2.6049799999999999</v>
      </c>
      <c r="FH125">
        <v>2.19604</v>
      </c>
      <c r="FI125">
        <v>2.66113</v>
      </c>
      <c r="FJ125">
        <v>2.4462899999999999</v>
      </c>
      <c r="FK125">
        <v>2.3120099999999999</v>
      </c>
      <c r="FL125">
        <v>32.9983</v>
      </c>
      <c r="FM125">
        <v>24.14</v>
      </c>
      <c r="FN125">
        <v>19</v>
      </c>
      <c r="FO125">
        <v>865.62900000000002</v>
      </c>
      <c r="FP125">
        <v>569.45100000000002</v>
      </c>
      <c r="FQ125">
        <v>18.084299999999999</v>
      </c>
      <c r="FR125">
        <v>25.677700000000002</v>
      </c>
      <c r="FS125">
        <v>30.0002</v>
      </c>
      <c r="FT125">
        <v>25.659099999999999</v>
      </c>
      <c r="FU125">
        <v>25.659600000000001</v>
      </c>
      <c r="FV125">
        <v>24.979900000000001</v>
      </c>
      <c r="FW125">
        <v>26.807600000000001</v>
      </c>
      <c r="FX125">
        <v>13.2456</v>
      </c>
      <c r="FY125">
        <v>18.0959</v>
      </c>
      <c r="FZ125">
        <v>410</v>
      </c>
      <c r="GA125">
        <v>13.815300000000001</v>
      </c>
      <c r="GB125">
        <v>99.863299999999995</v>
      </c>
      <c r="GC125">
        <v>99.796400000000006</v>
      </c>
    </row>
    <row r="126" spans="1:185" x14ac:dyDescent="0.2">
      <c r="A126">
        <v>111</v>
      </c>
      <c r="B126">
        <v>1769202564</v>
      </c>
      <c r="C126">
        <v>2293</v>
      </c>
      <c r="D126" t="s">
        <v>518</v>
      </c>
      <c r="E126" t="s">
        <v>519</v>
      </c>
      <c r="F126">
        <v>15</v>
      </c>
      <c r="G126">
        <v>1769202555.9333301</v>
      </c>
      <c r="H126">
        <f t="shared" si="38"/>
        <v>1.2865841090464395E-3</v>
      </c>
      <c r="I126">
        <v>0</v>
      </c>
      <c r="J126">
        <f t="shared" si="37"/>
        <v>5.6299434520497228E-4</v>
      </c>
      <c r="K126">
        <f t="shared" si="39"/>
        <v>1.4513192106500471E-2</v>
      </c>
      <c r="L126">
        <f t="shared" si="40"/>
        <v>69.932275349361319</v>
      </c>
      <c r="M126">
        <f t="shared" si="41"/>
        <v>1.5405669007799572</v>
      </c>
      <c r="N126">
        <f t="shared" si="42"/>
        <v>2.2029411928665739</v>
      </c>
      <c r="O126">
        <v>0</v>
      </c>
      <c r="P126">
        <v>0</v>
      </c>
      <c r="Q126">
        <f t="shared" si="43"/>
        <v>1</v>
      </c>
      <c r="R126">
        <f t="shared" si="44"/>
        <v>0</v>
      </c>
      <c r="S126">
        <f t="shared" si="45"/>
        <v>26289.23234244368</v>
      </c>
      <c r="T126">
        <f t="shared" si="46"/>
        <v>499.99926666666698</v>
      </c>
      <c r="U126">
        <f t="shared" si="47"/>
        <v>421.49951079981071</v>
      </c>
      <c r="V126">
        <f t="shared" si="48"/>
        <v>0.84300025799999934</v>
      </c>
      <c r="W126">
        <f t="shared" si="49"/>
        <v>0.15870051507999988</v>
      </c>
      <c r="X126">
        <v>1</v>
      </c>
      <c r="Y126">
        <v>1769202555.9333301</v>
      </c>
      <c r="Z126">
        <v>409.30959999999999</v>
      </c>
      <c r="AA126">
        <v>409.98599999999999</v>
      </c>
      <c r="AB126">
        <v>15.35676</v>
      </c>
      <c r="AC126">
        <v>13.773239999999999</v>
      </c>
      <c r="AD126">
        <v>410.05279999999999</v>
      </c>
      <c r="AE126">
        <v>15.286</v>
      </c>
      <c r="AF126">
        <v>800.00653333333298</v>
      </c>
      <c r="AG126">
        <v>100.25466666666701</v>
      </c>
      <c r="AH126">
        <v>6.3818533333333302E-2</v>
      </c>
      <c r="AI126">
        <v>18.983720000000002</v>
      </c>
      <c r="AJ126">
        <v>999.9</v>
      </c>
      <c r="AK126">
        <v>999.9</v>
      </c>
      <c r="AL126">
        <v>0</v>
      </c>
      <c r="AM126">
        <v>0</v>
      </c>
      <c r="AN126">
        <v>4999.8</v>
      </c>
      <c r="AO126">
        <v>0</v>
      </c>
      <c r="AP126">
        <v>1.5244200000000001</v>
      </c>
      <c r="AQ126">
        <v>-0.67651173333333303</v>
      </c>
      <c r="AR126">
        <v>415.693266666667</v>
      </c>
      <c r="AS126">
        <v>415.71166666666699</v>
      </c>
      <c r="AT126">
        <v>1.5835033333333299</v>
      </c>
      <c r="AU126">
        <v>409.98599999999999</v>
      </c>
      <c r="AV126">
        <v>13.773239999999999</v>
      </c>
      <c r="AW126">
        <v>1.5395859999999999</v>
      </c>
      <c r="AX126">
        <v>1.3808339999999999</v>
      </c>
      <c r="AY126">
        <v>13.3670666666667</v>
      </c>
      <c r="AZ126">
        <v>11.7087733333333</v>
      </c>
      <c r="BA126">
        <v>499.99926666666698</v>
      </c>
      <c r="BB126">
        <v>0.89999333333333298</v>
      </c>
      <c r="BC126">
        <v>0</v>
      </c>
      <c r="BD126">
        <v>0.100006733333333</v>
      </c>
      <c r="BE126">
        <v>0</v>
      </c>
      <c r="BF126">
        <v>25</v>
      </c>
      <c r="BG126">
        <v>8244.3653333333295</v>
      </c>
      <c r="BH126">
        <v>1769202258.0999999</v>
      </c>
      <c r="BI126" t="s">
        <v>491</v>
      </c>
      <c r="BJ126">
        <v>1769202254.0999999</v>
      </c>
      <c r="BK126">
        <v>1769202258.0999999</v>
      </c>
      <c r="BL126">
        <v>16</v>
      </c>
      <c r="BM126">
        <v>3.5000000000000003E-2</v>
      </c>
      <c r="BN126">
        <v>-5.0999999999999997E-2</v>
      </c>
      <c r="BO126">
        <v>-0.74299999999999999</v>
      </c>
      <c r="BP126">
        <v>7.0999999999999994E-2</v>
      </c>
      <c r="BQ126">
        <v>410</v>
      </c>
      <c r="BR126">
        <v>14</v>
      </c>
      <c r="BS126">
        <v>0.16</v>
      </c>
      <c r="BT126">
        <v>0.06</v>
      </c>
      <c r="BU126">
        <v>-0.68305669999999996</v>
      </c>
      <c r="BV126">
        <v>0.124633082706767</v>
      </c>
      <c r="BW126">
        <v>2.2160020895973902E-2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1.5806169999999999</v>
      </c>
      <c r="CD126">
        <v>6.9607218045114605E-2</v>
      </c>
      <c r="CE126">
        <v>7.1535376562928896E-3</v>
      </c>
      <c r="CF126">
        <v>1</v>
      </c>
      <c r="CG126">
        <v>2</v>
      </c>
      <c r="CH126">
        <v>2</v>
      </c>
      <c r="CI126" t="s">
        <v>297</v>
      </c>
      <c r="CJ126">
        <v>3.5325700000000002</v>
      </c>
      <c r="CK126">
        <v>2.7017799999999998</v>
      </c>
      <c r="CL126">
        <v>9.7915100000000005E-2</v>
      </c>
      <c r="CM126">
        <v>9.6690399999999996E-2</v>
      </c>
      <c r="CN126">
        <v>8.7142499999999998E-2</v>
      </c>
      <c r="CO126">
        <v>7.9431000000000002E-2</v>
      </c>
      <c r="CP126">
        <v>31624.1</v>
      </c>
      <c r="CQ126">
        <v>27828.799999999999</v>
      </c>
      <c r="CR126">
        <v>32447</v>
      </c>
      <c r="CS126">
        <v>30735.5</v>
      </c>
      <c r="CT126">
        <v>40115.5</v>
      </c>
      <c r="CU126">
        <v>39800.400000000001</v>
      </c>
      <c r="CV126">
        <v>47395.4</v>
      </c>
      <c r="CW126">
        <v>46883.9</v>
      </c>
      <c r="CX126">
        <v>2.6203400000000001</v>
      </c>
      <c r="CY126">
        <v>2.1188799999999999</v>
      </c>
      <c r="CZ126">
        <v>0</v>
      </c>
      <c r="DA126">
        <v>0</v>
      </c>
      <c r="DB126">
        <v>999.9</v>
      </c>
      <c r="DC126">
        <v>999.9</v>
      </c>
      <c r="DD126">
        <v>45.488999999999997</v>
      </c>
      <c r="DE126">
        <v>28.802</v>
      </c>
      <c r="DF126">
        <v>18.040600000000001</v>
      </c>
      <c r="DG126">
        <v>30.43</v>
      </c>
      <c r="DH126">
        <v>16.3261</v>
      </c>
      <c r="DI126">
        <v>2</v>
      </c>
      <c r="DJ126">
        <v>-0.102585</v>
      </c>
      <c r="DK126">
        <v>2.2748599999999999</v>
      </c>
      <c r="DL126">
        <v>20.2072</v>
      </c>
      <c r="DM126">
        <v>5.2509499999999996</v>
      </c>
      <c r="DN126">
        <v>12.033899999999999</v>
      </c>
      <c r="DO126">
        <v>4.9671200000000004</v>
      </c>
      <c r="DP126">
        <v>3.2909999999999999</v>
      </c>
      <c r="DQ126">
        <v>538.20000000000005</v>
      </c>
      <c r="DR126">
        <v>9999</v>
      </c>
      <c r="DS126">
        <v>9999</v>
      </c>
      <c r="DT126">
        <v>9999</v>
      </c>
      <c r="DU126">
        <v>1.87117</v>
      </c>
      <c r="DV126">
        <v>1.8761099999999999</v>
      </c>
      <c r="DW126">
        <v>1.8763000000000001</v>
      </c>
      <c r="DX126">
        <v>1.8828</v>
      </c>
      <c r="DY126">
        <v>1.8755999999999999</v>
      </c>
      <c r="DZ126">
        <v>1.8746700000000001</v>
      </c>
      <c r="EA126">
        <v>1.87083</v>
      </c>
      <c r="EB126">
        <v>1.8746100000000001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-0.74299999999999999</v>
      </c>
      <c r="EQ126">
        <v>7.0800000000000002E-2</v>
      </c>
      <c r="ER126">
        <v>-0.74350000000000005</v>
      </c>
      <c r="ES126">
        <v>0</v>
      </c>
      <c r="ET126">
        <v>0</v>
      </c>
      <c r="EU126">
        <v>0</v>
      </c>
      <c r="EV126">
        <v>7.0740000000000705E-2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5.2</v>
      </c>
      <c r="FE126">
        <v>5.0999999999999996</v>
      </c>
      <c r="FF126">
        <v>1.24512</v>
      </c>
      <c r="FG126">
        <v>2.6086399999999998</v>
      </c>
      <c r="FH126">
        <v>2.19604</v>
      </c>
      <c r="FI126">
        <v>2.66113</v>
      </c>
      <c r="FJ126">
        <v>2.4462899999999999</v>
      </c>
      <c r="FK126">
        <v>2.2534200000000002</v>
      </c>
      <c r="FL126">
        <v>32.9983</v>
      </c>
      <c r="FM126">
        <v>24.14</v>
      </c>
      <c r="FN126">
        <v>19</v>
      </c>
      <c r="FO126">
        <v>865.57</v>
      </c>
      <c r="FP126">
        <v>569.53399999999999</v>
      </c>
      <c r="FQ126">
        <v>18.119700000000002</v>
      </c>
      <c r="FR126">
        <v>25.680299999999999</v>
      </c>
      <c r="FS126">
        <v>30.0001</v>
      </c>
      <c r="FT126">
        <v>25.661300000000001</v>
      </c>
      <c r="FU126">
        <v>25.663</v>
      </c>
      <c r="FV126">
        <v>24.983499999999999</v>
      </c>
      <c r="FW126">
        <v>26.807600000000001</v>
      </c>
      <c r="FX126">
        <v>13.2456</v>
      </c>
      <c r="FY126">
        <v>18.130099999999999</v>
      </c>
      <c r="FZ126">
        <v>410</v>
      </c>
      <c r="GA126">
        <v>13.808400000000001</v>
      </c>
      <c r="GB126">
        <v>99.860900000000001</v>
      </c>
      <c r="GC126">
        <v>99.796300000000002</v>
      </c>
    </row>
    <row r="127" spans="1:185" x14ac:dyDescent="0.2">
      <c r="A127">
        <v>112</v>
      </c>
      <c r="B127">
        <v>1769202579</v>
      </c>
      <c r="C127">
        <v>2308</v>
      </c>
      <c r="D127" t="s">
        <v>520</v>
      </c>
      <c r="E127" t="s">
        <v>521</v>
      </c>
      <c r="F127">
        <v>15</v>
      </c>
      <c r="G127">
        <v>1769202570.9333301</v>
      </c>
      <c r="H127">
        <f t="shared" si="38"/>
        <v>1.2993855435415467E-3</v>
      </c>
      <c r="I127">
        <v>0</v>
      </c>
      <c r="J127">
        <f t="shared" si="37"/>
        <v>-7.6648803554259687E-5</v>
      </c>
      <c r="K127">
        <f t="shared" si="39"/>
        <v>-1.9758969520579871E-3</v>
      </c>
      <c r="L127">
        <f t="shared" si="40"/>
        <v>69.914930126923153</v>
      </c>
      <c r="M127">
        <f t="shared" si="41"/>
        <v>1.5407193259578187</v>
      </c>
      <c r="N127">
        <f t="shared" si="42"/>
        <v>2.2037057366156354</v>
      </c>
      <c r="O127">
        <v>0</v>
      </c>
      <c r="P127">
        <v>0</v>
      </c>
      <c r="Q127">
        <f t="shared" si="43"/>
        <v>1</v>
      </c>
      <c r="R127">
        <f t="shared" si="44"/>
        <v>0</v>
      </c>
      <c r="S127">
        <f t="shared" si="45"/>
        <v>26342.361184982601</v>
      </c>
      <c r="T127">
        <f t="shared" si="46"/>
        <v>499.99866666666702</v>
      </c>
      <c r="U127">
        <f t="shared" si="47"/>
        <v>421.49883620010667</v>
      </c>
      <c r="V127">
        <f t="shared" si="48"/>
        <v>0.84299992040000049</v>
      </c>
      <c r="W127">
        <f t="shared" si="49"/>
        <v>0.1586999569040001</v>
      </c>
      <c r="X127">
        <v>1</v>
      </c>
      <c r="Y127">
        <v>1769202570.9333301</v>
      </c>
      <c r="Z127">
        <v>409.347466666667</v>
      </c>
      <c r="AA127">
        <v>410.00986666666699</v>
      </c>
      <c r="AB127">
        <v>15.35844</v>
      </c>
      <c r="AC127">
        <v>13.759166666666699</v>
      </c>
      <c r="AD127">
        <v>410.090933333333</v>
      </c>
      <c r="AE127">
        <v>15.28772</v>
      </c>
      <c r="AF127">
        <v>800.00646666666705</v>
      </c>
      <c r="AG127">
        <v>100.253666666667</v>
      </c>
      <c r="AH127">
        <v>6.3769606666666701E-2</v>
      </c>
      <c r="AI127">
        <v>18.989280000000001</v>
      </c>
      <c r="AJ127">
        <v>999.9</v>
      </c>
      <c r="AK127">
        <v>999.9</v>
      </c>
      <c r="AL127">
        <v>0</v>
      </c>
      <c r="AM127">
        <v>0</v>
      </c>
      <c r="AN127">
        <v>5008.6666666666697</v>
      </c>
      <c r="AO127">
        <v>0</v>
      </c>
      <c r="AP127">
        <v>1.5244200000000001</v>
      </c>
      <c r="AQ127">
        <v>-0.662487733333333</v>
      </c>
      <c r="AR127">
        <v>415.73246666666699</v>
      </c>
      <c r="AS127">
        <v>415.72993333333301</v>
      </c>
      <c r="AT127">
        <v>1.5992833333333301</v>
      </c>
      <c r="AU127">
        <v>410.00986666666699</v>
      </c>
      <c r="AV127">
        <v>13.759166666666699</v>
      </c>
      <c r="AW127">
        <v>1.539744</v>
      </c>
      <c r="AX127">
        <v>1.37941</v>
      </c>
      <c r="AY127">
        <v>13.368646666666701</v>
      </c>
      <c r="AZ127">
        <v>11.693146666666699</v>
      </c>
      <c r="BA127">
        <v>499.99866666666702</v>
      </c>
      <c r="BB127">
        <v>0.90000033333333396</v>
      </c>
      <c r="BC127">
        <v>0</v>
      </c>
      <c r="BD127">
        <v>9.9999586666666695E-2</v>
      </c>
      <c r="BE127">
        <v>0</v>
      </c>
      <c r="BF127">
        <v>25</v>
      </c>
      <c r="BG127">
        <v>8244.3713333333308</v>
      </c>
      <c r="BH127">
        <v>1769202258.0999999</v>
      </c>
      <c r="BI127" t="s">
        <v>491</v>
      </c>
      <c r="BJ127">
        <v>1769202254.0999999</v>
      </c>
      <c r="BK127">
        <v>1769202258.0999999</v>
      </c>
      <c r="BL127">
        <v>16</v>
      </c>
      <c r="BM127">
        <v>3.5000000000000003E-2</v>
      </c>
      <c r="BN127">
        <v>-5.0999999999999997E-2</v>
      </c>
      <c r="BO127">
        <v>-0.74299999999999999</v>
      </c>
      <c r="BP127">
        <v>7.0999999999999994E-2</v>
      </c>
      <c r="BQ127">
        <v>410</v>
      </c>
      <c r="BR127">
        <v>14</v>
      </c>
      <c r="BS127">
        <v>0.16</v>
      </c>
      <c r="BT127">
        <v>0.06</v>
      </c>
      <c r="BU127">
        <v>-0.66376747619047605</v>
      </c>
      <c r="BV127">
        <v>3.2557090909089703E-2</v>
      </c>
      <c r="BW127">
        <v>1.6458807081169299E-2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1.5960538095238099</v>
      </c>
      <c r="CD127">
        <v>8.2485194805195297E-2</v>
      </c>
      <c r="CE127">
        <v>9.2582979389098895E-3</v>
      </c>
      <c r="CF127">
        <v>1</v>
      </c>
      <c r="CG127">
        <v>2</v>
      </c>
      <c r="CH127">
        <v>2</v>
      </c>
      <c r="CI127" t="s">
        <v>297</v>
      </c>
      <c r="CJ127">
        <v>3.5326</v>
      </c>
      <c r="CK127">
        <v>2.7013799999999999</v>
      </c>
      <c r="CL127">
        <v>9.7922300000000004E-2</v>
      </c>
      <c r="CM127">
        <v>9.6691799999999994E-2</v>
      </c>
      <c r="CN127">
        <v>8.7084099999999998E-2</v>
      </c>
      <c r="CO127">
        <v>7.9293699999999995E-2</v>
      </c>
      <c r="CP127">
        <v>31623.9</v>
      </c>
      <c r="CQ127">
        <v>27828.9</v>
      </c>
      <c r="CR127">
        <v>32447.1</v>
      </c>
      <c r="CS127">
        <v>30735.599999999999</v>
      </c>
      <c r="CT127">
        <v>40118.1</v>
      </c>
      <c r="CU127">
        <v>39806.6</v>
      </c>
      <c r="CV127">
        <v>47395.4</v>
      </c>
      <c r="CW127">
        <v>46883.9</v>
      </c>
      <c r="CX127">
        <v>2.6203599999999998</v>
      </c>
      <c r="CY127">
        <v>2.11876</v>
      </c>
      <c r="CZ127">
        <v>0</v>
      </c>
      <c r="DA127">
        <v>0</v>
      </c>
      <c r="DB127">
        <v>999.9</v>
      </c>
      <c r="DC127">
        <v>999.9</v>
      </c>
      <c r="DD127">
        <v>45.44</v>
      </c>
      <c r="DE127">
        <v>28.782</v>
      </c>
      <c r="DF127">
        <v>17.999700000000001</v>
      </c>
      <c r="DG127">
        <v>30.19</v>
      </c>
      <c r="DH127">
        <v>16.398199999999999</v>
      </c>
      <c r="DI127">
        <v>2</v>
      </c>
      <c r="DJ127">
        <v>-0.102307</v>
      </c>
      <c r="DK127">
        <v>2.2769699999999999</v>
      </c>
      <c r="DL127">
        <v>20.207100000000001</v>
      </c>
      <c r="DM127">
        <v>5.2478400000000001</v>
      </c>
      <c r="DN127">
        <v>12.033899999999999</v>
      </c>
      <c r="DO127">
        <v>4.9669999999999996</v>
      </c>
      <c r="DP127">
        <v>3.2906399999999998</v>
      </c>
      <c r="DQ127">
        <v>538.20000000000005</v>
      </c>
      <c r="DR127">
        <v>9999</v>
      </c>
      <c r="DS127">
        <v>9999</v>
      </c>
      <c r="DT127">
        <v>9999</v>
      </c>
      <c r="DU127">
        <v>1.8711800000000001</v>
      </c>
      <c r="DV127">
        <v>1.87615</v>
      </c>
      <c r="DW127">
        <v>1.87635</v>
      </c>
      <c r="DX127">
        <v>1.8828199999999999</v>
      </c>
      <c r="DY127">
        <v>1.8755999999999999</v>
      </c>
      <c r="DZ127">
        <v>1.87466</v>
      </c>
      <c r="EA127">
        <v>1.87087</v>
      </c>
      <c r="EB127">
        <v>1.87466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-0.74299999999999999</v>
      </c>
      <c r="EQ127">
        <v>7.0699999999999999E-2</v>
      </c>
      <c r="ER127">
        <v>-0.74350000000000005</v>
      </c>
      <c r="ES127">
        <v>0</v>
      </c>
      <c r="ET127">
        <v>0</v>
      </c>
      <c r="EU127">
        <v>0</v>
      </c>
      <c r="EV127">
        <v>7.0740000000000705E-2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5.4</v>
      </c>
      <c r="FE127">
        <v>5.3</v>
      </c>
      <c r="FF127">
        <v>1.24512</v>
      </c>
      <c r="FG127">
        <v>2.6049799999999999</v>
      </c>
      <c r="FH127">
        <v>2.19604</v>
      </c>
      <c r="FI127">
        <v>2.66113</v>
      </c>
      <c r="FJ127">
        <v>2.4462899999999999</v>
      </c>
      <c r="FK127">
        <v>2.3144499999999999</v>
      </c>
      <c r="FL127">
        <v>32.9983</v>
      </c>
      <c r="FM127">
        <v>24.14</v>
      </c>
      <c r="FN127">
        <v>19</v>
      </c>
      <c r="FO127">
        <v>865.65800000000002</v>
      </c>
      <c r="FP127">
        <v>569.48500000000001</v>
      </c>
      <c r="FQ127">
        <v>18.148299999999999</v>
      </c>
      <c r="FR127">
        <v>25.683700000000002</v>
      </c>
      <c r="FS127">
        <v>30.0001</v>
      </c>
      <c r="FT127">
        <v>25.665600000000001</v>
      </c>
      <c r="FU127">
        <v>25.666899999999998</v>
      </c>
      <c r="FV127">
        <v>24.9819</v>
      </c>
      <c r="FW127">
        <v>26.524899999999999</v>
      </c>
      <c r="FX127">
        <v>12.872400000000001</v>
      </c>
      <c r="FY127">
        <v>18.1526</v>
      </c>
      <c r="FZ127">
        <v>410</v>
      </c>
      <c r="GA127">
        <v>13.8239</v>
      </c>
      <c r="GB127">
        <v>99.861099999999993</v>
      </c>
      <c r="GC127">
        <v>99.796499999999995</v>
      </c>
    </row>
    <row r="128" spans="1:185" x14ac:dyDescent="0.2">
      <c r="A128">
        <v>113</v>
      </c>
      <c r="B128">
        <v>1769202594</v>
      </c>
      <c r="C128">
        <v>2323</v>
      </c>
      <c r="D128" t="s">
        <v>522</v>
      </c>
      <c r="E128" t="s">
        <v>523</v>
      </c>
      <c r="F128">
        <v>15</v>
      </c>
      <c r="G128">
        <v>1769202585.9333301</v>
      </c>
      <c r="H128">
        <f t="shared" si="38"/>
        <v>1.2879919693128724E-3</v>
      </c>
      <c r="I128">
        <v>0</v>
      </c>
      <c r="J128">
        <f t="shared" si="37"/>
        <v>2.4824270864292399E-4</v>
      </c>
      <c r="K128">
        <f t="shared" si="39"/>
        <v>6.3993433508840892E-3</v>
      </c>
      <c r="L128">
        <f t="shared" si="40"/>
        <v>69.810552792895677</v>
      </c>
      <c r="M128">
        <f t="shared" si="41"/>
        <v>1.5391355345065258</v>
      </c>
      <c r="N128">
        <f t="shared" si="42"/>
        <v>2.2047319107651546</v>
      </c>
      <c r="O128">
        <v>0</v>
      </c>
      <c r="P128">
        <v>0</v>
      </c>
      <c r="Q128">
        <f t="shared" si="43"/>
        <v>1</v>
      </c>
      <c r="R128">
        <f t="shared" si="44"/>
        <v>0</v>
      </c>
      <c r="S128">
        <f t="shared" si="45"/>
        <v>26259.033822258716</v>
      </c>
      <c r="T128">
        <f t="shared" si="46"/>
        <v>499.999866666667</v>
      </c>
      <c r="U128">
        <f t="shared" si="47"/>
        <v>421.4998803000023</v>
      </c>
      <c r="V128">
        <f t="shared" si="48"/>
        <v>0.8429999854000001</v>
      </c>
      <c r="W128">
        <f t="shared" si="49"/>
        <v>0.15869979460400002</v>
      </c>
      <c r="X128">
        <v>1</v>
      </c>
      <c r="Y128">
        <v>1769202585.9333301</v>
      </c>
      <c r="Z128">
        <v>409.323733333333</v>
      </c>
      <c r="AA128">
        <v>409.99073333333303</v>
      </c>
      <c r="AB128">
        <v>15.3427666666667</v>
      </c>
      <c r="AC128">
        <v>13.757493333333301</v>
      </c>
      <c r="AD128">
        <v>410.06720000000001</v>
      </c>
      <c r="AE128">
        <v>15.272033333333299</v>
      </c>
      <c r="AF128">
        <v>800.00753333333398</v>
      </c>
      <c r="AG128">
        <v>100.252933333333</v>
      </c>
      <c r="AH128">
        <v>6.3754519999999995E-2</v>
      </c>
      <c r="AI128">
        <v>18.996739999999999</v>
      </c>
      <c r="AJ128">
        <v>999.9</v>
      </c>
      <c r="AK128">
        <v>999.9</v>
      </c>
      <c r="AL128">
        <v>0</v>
      </c>
      <c r="AM128">
        <v>0</v>
      </c>
      <c r="AN128">
        <v>4995.1000000000004</v>
      </c>
      <c r="AO128">
        <v>0</v>
      </c>
      <c r="AP128">
        <v>1.5244200000000001</v>
      </c>
      <c r="AQ128">
        <v>-0.66685393333333298</v>
      </c>
      <c r="AR128">
        <v>415.70179999999999</v>
      </c>
      <c r="AS128">
        <v>415.70960000000002</v>
      </c>
      <c r="AT128">
        <v>1.5852726666666701</v>
      </c>
      <c r="AU128">
        <v>409.99073333333303</v>
      </c>
      <c r="AV128">
        <v>13.757493333333301</v>
      </c>
      <c r="AW128">
        <v>1.53816</v>
      </c>
      <c r="AX128">
        <v>1.37923</v>
      </c>
      <c r="AY128">
        <v>13.3528466666667</v>
      </c>
      <c r="AZ128">
        <v>11.691193333333301</v>
      </c>
      <c r="BA128">
        <v>499.999866666667</v>
      </c>
      <c r="BB128">
        <v>0.900003</v>
      </c>
      <c r="BC128">
        <v>0</v>
      </c>
      <c r="BD128">
        <v>9.9997086666666707E-2</v>
      </c>
      <c r="BE128">
        <v>0</v>
      </c>
      <c r="BF128">
        <v>25</v>
      </c>
      <c r="BG128">
        <v>8244.3973333333306</v>
      </c>
      <c r="BH128">
        <v>1769202258.0999999</v>
      </c>
      <c r="BI128" t="s">
        <v>491</v>
      </c>
      <c r="BJ128">
        <v>1769202254.0999999</v>
      </c>
      <c r="BK128">
        <v>1769202258.0999999</v>
      </c>
      <c r="BL128">
        <v>16</v>
      </c>
      <c r="BM128">
        <v>3.5000000000000003E-2</v>
      </c>
      <c r="BN128">
        <v>-5.0999999999999997E-2</v>
      </c>
      <c r="BO128">
        <v>-0.74299999999999999</v>
      </c>
      <c r="BP128">
        <v>7.0999999999999994E-2</v>
      </c>
      <c r="BQ128">
        <v>410</v>
      </c>
      <c r="BR128">
        <v>14</v>
      </c>
      <c r="BS128">
        <v>0.16</v>
      </c>
      <c r="BT128">
        <v>0.06</v>
      </c>
      <c r="BU128">
        <v>-0.66571049999999998</v>
      </c>
      <c r="BV128">
        <v>1.3109142857141201E-2</v>
      </c>
      <c r="BW128">
        <v>1.6236620505819501E-2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1.591639</v>
      </c>
      <c r="CD128">
        <v>-0.15150496240601599</v>
      </c>
      <c r="CE128">
        <v>1.54518179836548E-2</v>
      </c>
      <c r="CF128">
        <v>0</v>
      </c>
      <c r="CG128">
        <v>1</v>
      </c>
      <c r="CH128">
        <v>2</v>
      </c>
      <c r="CI128" t="s">
        <v>302</v>
      </c>
      <c r="CJ128">
        <v>3.5325500000000001</v>
      </c>
      <c r="CK128">
        <v>2.7017000000000002</v>
      </c>
      <c r="CL128">
        <v>9.7911399999999996E-2</v>
      </c>
      <c r="CM128">
        <v>9.66775E-2</v>
      </c>
      <c r="CN128">
        <v>8.7076000000000001E-2</v>
      </c>
      <c r="CO128">
        <v>7.9497399999999996E-2</v>
      </c>
      <c r="CP128">
        <v>31623.7</v>
      </c>
      <c r="CQ128">
        <v>27828.400000000001</v>
      </c>
      <c r="CR128">
        <v>32446.5</v>
      </c>
      <c r="CS128">
        <v>30734.7</v>
      </c>
      <c r="CT128">
        <v>40118</v>
      </c>
      <c r="CU128">
        <v>39796.300000000003</v>
      </c>
      <c r="CV128">
        <v>47394.9</v>
      </c>
      <c r="CW128">
        <v>46882.5</v>
      </c>
      <c r="CX128">
        <v>2.6204399999999999</v>
      </c>
      <c r="CY128">
        <v>2.1186600000000002</v>
      </c>
      <c r="CZ128">
        <v>0</v>
      </c>
      <c r="DA128">
        <v>0</v>
      </c>
      <c r="DB128">
        <v>999.9</v>
      </c>
      <c r="DC128">
        <v>999.9</v>
      </c>
      <c r="DD128">
        <v>45.396999999999998</v>
      </c>
      <c r="DE128">
        <v>28.802</v>
      </c>
      <c r="DF128">
        <v>18.0032</v>
      </c>
      <c r="DG128">
        <v>30.34</v>
      </c>
      <c r="DH128">
        <v>16.442299999999999</v>
      </c>
      <c r="DI128">
        <v>2</v>
      </c>
      <c r="DJ128">
        <v>-0.101898</v>
      </c>
      <c r="DK128">
        <v>2.3045800000000001</v>
      </c>
      <c r="DL128">
        <v>20.2072</v>
      </c>
      <c r="DM128">
        <v>5.2509499999999996</v>
      </c>
      <c r="DN128">
        <v>12.033899999999999</v>
      </c>
      <c r="DO128">
        <v>4.9672799999999997</v>
      </c>
      <c r="DP128">
        <v>3.2909999999999999</v>
      </c>
      <c r="DQ128">
        <v>538.20000000000005</v>
      </c>
      <c r="DR128">
        <v>9999</v>
      </c>
      <c r="DS128">
        <v>9999</v>
      </c>
      <c r="DT128">
        <v>9999</v>
      </c>
      <c r="DU128">
        <v>1.8711500000000001</v>
      </c>
      <c r="DV128">
        <v>1.87608</v>
      </c>
      <c r="DW128">
        <v>1.87629</v>
      </c>
      <c r="DX128">
        <v>1.88279</v>
      </c>
      <c r="DY128">
        <v>1.8755999999999999</v>
      </c>
      <c r="DZ128">
        <v>1.87463</v>
      </c>
      <c r="EA128">
        <v>1.8708100000000001</v>
      </c>
      <c r="EB128">
        <v>1.8746400000000001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-0.74299999999999999</v>
      </c>
      <c r="EQ128">
        <v>7.0699999999999999E-2</v>
      </c>
      <c r="ER128">
        <v>-0.74350000000000005</v>
      </c>
      <c r="ES128">
        <v>0</v>
      </c>
      <c r="ET128">
        <v>0</v>
      </c>
      <c r="EU128">
        <v>0</v>
      </c>
      <c r="EV128">
        <v>7.0740000000000705E-2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5.7</v>
      </c>
      <c r="FE128">
        <v>5.6</v>
      </c>
      <c r="FF128">
        <v>1.24512</v>
      </c>
      <c r="FG128">
        <v>2.6061999999999999</v>
      </c>
      <c r="FH128">
        <v>2.19604</v>
      </c>
      <c r="FI128">
        <v>2.66113</v>
      </c>
      <c r="FJ128">
        <v>2.4462899999999999</v>
      </c>
      <c r="FK128">
        <v>2.3120099999999999</v>
      </c>
      <c r="FL128">
        <v>33.020600000000002</v>
      </c>
      <c r="FM128">
        <v>24.148800000000001</v>
      </c>
      <c r="FN128">
        <v>19</v>
      </c>
      <c r="FO128">
        <v>865.80100000000004</v>
      </c>
      <c r="FP128">
        <v>569.47</v>
      </c>
      <c r="FQ128">
        <v>18.161300000000001</v>
      </c>
      <c r="FR128">
        <v>25.686699999999998</v>
      </c>
      <c r="FS128">
        <v>30.000299999999999</v>
      </c>
      <c r="FT128">
        <v>25.669899999999998</v>
      </c>
      <c r="FU128">
        <v>25.672499999999999</v>
      </c>
      <c r="FV128">
        <v>24.986599999999999</v>
      </c>
      <c r="FW128">
        <v>26.2395</v>
      </c>
      <c r="FX128">
        <v>12.872400000000001</v>
      </c>
      <c r="FY128">
        <v>18.159400000000002</v>
      </c>
      <c r="FZ128">
        <v>410</v>
      </c>
      <c r="GA128">
        <v>13.8346</v>
      </c>
      <c r="GB128">
        <v>99.8596</v>
      </c>
      <c r="GC128">
        <v>99.793499999999995</v>
      </c>
    </row>
    <row r="129" spans="1:185" x14ac:dyDescent="0.2">
      <c r="A129">
        <v>114</v>
      </c>
      <c r="B129">
        <v>1769202609</v>
      </c>
      <c r="C129">
        <v>2338</v>
      </c>
      <c r="D129" t="s">
        <v>524</v>
      </c>
      <c r="E129" t="s">
        <v>525</v>
      </c>
      <c r="F129">
        <v>15</v>
      </c>
      <c r="G129">
        <v>1769202600.9333301</v>
      </c>
      <c r="H129">
        <f t="shared" si="38"/>
        <v>1.2578817994301989E-3</v>
      </c>
      <c r="I129">
        <v>0</v>
      </c>
      <c r="J129">
        <f t="shared" si="37"/>
        <v>1.1589192813561036E-3</v>
      </c>
      <c r="K129">
        <f t="shared" si="39"/>
        <v>2.9875287930511977E-2</v>
      </c>
      <c r="L129">
        <f t="shared" si="40"/>
        <v>69.869031368487356</v>
      </c>
      <c r="M129">
        <f t="shared" si="41"/>
        <v>1.541345989995166</v>
      </c>
      <c r="N129">
        <f t="shared" si="42"/>
        <v>2.2060503198708301</v>
      </c>
      <c r="O129">
        <v>0</v>
      </c>
      <c r="P129">
        <v>0</v>
      </c>
      <c r="Q129">
        <f t="shared" si="43"/>
        <v>1</v>
      </c>
      <c r="R129">
        <f t="shared" si="44"/>
        <v>0</v>
      </c>
      <c r="S129">
        <f t="shared" si="45"/>
        <v>26346.160548596232</v>
      </c>
      <c r="T129">
        <f t="shared" si="46"/>
        <v>499.99773333333297</v>
      </c>
      <c r="U129">
        <f t="shared" si="47"/>
        <v>421.49789210089341</v>
      </c>
      <c r="V129">
        <f t="shared" si="48"/>
        <v>0.84299960580000033</v>
      </c>
      <c r="W129">
        <f t="shared" si="49"/>
        <v>0.15869926134800005</v>
      </c>
      <c r="X129">
        <v>1</v>
      </c>
      <c r="Y129">
        <v>1769202600.9333301</v>
      </c>
      <c r="Z129">
        <v>409.31813333333298</v>
      </c>
      <c r="AA129">
        <v>409.99906666666698</v>
      </c>
      <c r="AB129">
        <v>15.3646333333333</v>
      </c>
      <c r="AC129">
        <v>13.8164466666667</v>
      </c>
      <c r="AD129">
        <v>410.06166666666701</v>
      </c>
      <c r="AE129">
        <v>15.293900000000001</v>
      </c>
      <c r="AF129">
        <v>800.00360000000001</v>
      </c>
      <c r="AG129">
        <v>100.25393333333299</v>
      </c>
      <c r="AH129">
        <v>6.3852099999999995E-2</v>
      </c>
      <c r="AI129">
        <v>19.006319999999999</v>
      </c>
      <c r="AJ129">
        <v>999.9</v>
      </c>
      <c r="AK129">
        <v>999.9</v>
      </c>
      <c r="AL129">
        <v>0</v>
      </c>
      <c r="AM129">
        <v>0</v>
      </c>
      <c r="AN129">
        <v>5009.5333333333301</v>
      </c>
      <c r="AO129">
        <v>0</v>
      </c>
      <c r="AP129">
        <v>1.5244200000000001</v>
      </c>
      <c r="AQ129">
        <v>-0.68100793333333298</v>
      </c>
      <c r="AR129">
        <v>415.705266666667</v>
      </c>
      <c r="AS129">
        <v>415.7432</v>
      </c>
      <c r="AT129">
        <v>1.54818733333333</v>
      </c>
      <c r="AU129">
        <v>409.99906666666698</v>
      </c>
      <c r="AV129">
        <v>13.8164466666667</v>
      </c>
      <c r="AW129">
        <v>1.5403640000000001</v>
      </c>
      <c r="AX129">
        <v>1.38515266666667</v>
      </c>
      <c r="AY129">
        <v>13.37482</v>
      </c>
      <c r="AZ129">
        <v>11.7560466666667</v>
      </c>
      <c r="BA129">
        <v>499.99773333333297</v>
      </c>
      <c r="BB129">
        <v>0.90000946666666704</v>
      </c>
      <c r="BC129">
        <v>0</v>
      </c>
      <c r="BD129">
        <v>9.9990406666666698E-2</v>
      </c>
      <c r="BE129">
        <v>0</v>
      </c>
      <c r="BF129">
        <v>25</v>
      </c>
      <c r="BG129">
        <v>8244.3760000000002</v>
      </c>
      <c r="BH129">
        <v>1769202258.0999999</v>
      </c>
      <c r="BI129" t="s">
        <v>491</v>
      </c>
      <c r="BJ129">
        <v>1769202254.0999999</v>
      </c>
      <c r="BK129">
        <v>1769202258.0999999</v>
      </c>
      <c r="BL129">
        <v>16</v>
      </c>
      <c r="BM129">
        <v>3.5000000000000003E-2</v>
      </c>
      <c r="BN129">
        <v>-5.0999999999999997E-2</v>
      </c>
      <c r="BO129">
        <v>-0.74299999999999999</v>
      </c>
      <c r="BP129">
        <v>7.0999999999999994E-2</v>
      </c>
      <c r="BQ129">
        <v>410</v>
      </c>
      <c r="BR129">
        <v>14</v>
      </c>
      <c r="BS129">
        <v>0.16</v>
      </c>
      <c r="BT129">
        <v>0.06</v>
      </c>
      <c r="BU129">
        <v>-0.67511714285714297</v>
      </c>
      <c r="BV129">
        <v>-0.15284805194805401</v>
      </c>
      <c r="BW129">
        <v>2.6582326065918899E-2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1.55580380952381</v>
      </c>
      <c r="CD129">
        <v>-9.0935844155848503E-2</v>
      </c>
      <c r="CE129">
        <v>1.4095756361128401E-2</v>
      </c>
      <c r="CF129">
        <v>1</v>
      </c>
      <c r="CG129">
        <v>2</v>
      </c>
      <c r="CH129">
        <v>2</v>
      </c>
      <c r="CI129" t="s">
        <v>297</v>
      </c>
      <c r="CJ129">
        <v>3.5324599999999999</v>
      </c>
      <c r="CK129">
        <v>2.7015400000000001</v>
      </c>
      <c r="CL129">
        <v>9.7917100000000007E-2</v>
      </c>
      <c r="CM129">
        <v>9.6693500000000002E-2</v>
      </c>
      <c r="CN129">
        <v>8.7204699999999996E-2</v>
      </c>
      <c r="CO129">
        <v>7.9645099999999996E-2</v>
      </c>
      <c r="CP129">
        <v>31623</v>
      </c>
      <c r="CQ129">
        <v>27827.4</v>
      </c>
      <c r="CR129">
        <v>32446</v>
      </c>
      <c r="CS129">
        <v>30734.1</v>
      </c>
      <c r="CT129">
        <v>40111.9</v>
      </c>
      <c r="CU129">
        <v>39789.1</v>
      </c>
      <c r="CV129">
        <v>47394.5</v>
      </c>
      <c r="CW129">
        <v>46881.7</v>
      </c>
      <c r="CX129">
        <v>2.62052</v>
      </c>
      <c r="CY129">
        <v>2.1185999999999998</v>
      </c>
      <c r="CZ129">
        <v>0</v>
      </c>
      <c r="DA129">
        <v>0</v>
      </c>
      <c r="DB129">
        <v>999.9</v>
      </c>
      <c r="DC129">
        <v>999.9</v>
      </c>
      <c r="DD129">
        <v>45.372999999999998</v>
      </c>
      <c r="DE129">
        <v>28.802</v>
      </c>
      <c r="DF129">
        <v>17.996700000000001</v>
      </c>
      <c r="DG129">
        <v>29.979900000000001</v>
      </c>
      <c r="DH129">
        <v>16.430299999999999</v>
      </c>
      <c r="DI129">
        <v>2</v>
      </c>
      <c r="DJ129">
        <v>-0.10068299999999999</v>
      </c>
      <c r="DK129">
        <v>2.45852</v>
      </c>
      <c r="DL129">
        <v>20.203900000000001</v>
      </c>
      <c r="DM129">
        <v>5.2481999999999998</v>
      </c>
      <c r="DN129">
        <v>12.033899999999999</v>
      </c>
      <c r="DO129">
        <v>4.9668000000000001</v>
      </c>
      <c r="DP129">
        <v>3.2906399999999998</v>
      </c>
      <c r="DQ129">
        <v>538.20000000000005</v>
      </c>
      <c r="DR129">
        <v>9999</v>
      </c>
      <c r="DS129">
        <v>9999</v>
      </c>
      <c r="DT129">
        <v>9999</v>
      </c>
      <c r="DU129">
        <v>1.8711800000000001</v>
      </c>
      <c r="DV129">
        <v>1.8761000000000001</v>
      </c>
      <c r="DW129">
        <v>1.87629</v>
      </c>
      <c r="DX129">
        <v>1.88279</v>
      </c>
      <c r="DY129">
        <v>1.87561</v>
      </c>
      <c r="DZ129">
        <v>1.8746799999999999</v>
      </c>
      <c r="EA129">
        <v>1.8708100000000001</v>
      </c>
      <c r="EB129">
        <v>1.8746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-0.74399999999999999</v>
      </c>
      <c r="EQ129">
        <v>7.0699999999999999E-2</v>
      </c>
      <c r="ER129">
        <v>-0.74350000000000005</v>
      </c>
      <c r="ES129">
        <v>0</v>
      </c>
      <c r="ET129">
        <v>0</v>
      </c>
      <c r="EU129">
        <v>0</v>
      </c>
      <c r="EV129">
        <v>7.0740000000000705E-2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5.9</v>
      </c>
      <c r="FE129">
        <v>5.8</v>
      </c>
      <c r="FF129">
        <v>1.2439</v>
      </c>
      <c r="FG129">
        <v>2.5988799999999999</v>
      </c>
      <c r="FH129">
        <v>2.19604</v>
      </c>
      <c r="FI129">
        <v>2.65991</v>
      </c>
      <c r="FJ129">
        <v>2.4462899999999999</v>
      </c>
      <c r="FK129">
        <v>2.3071299999999999</v>
      </c>
      <c r="FL129">
        <v>33.020600000000002</v>
      </c>
      <c r="FM129">
        <v>24.14</v>
      </c>
      <c r="FN129">
        <v>19</v>
      </c>
      <c r="FO129">
        <v>865.952</v>
      </c>
      <c r="FP129">
        <v>569.48199999999997</v>
      </c>
      <c r="FQ129">
        <v>18.104500000000002</v>
      </c>
      <c r="FR129">
        <v>25.691500000000001</v>
      </c>
      <c r="FS129">
        <v>30.000399999999999</v>
      </c>
      <c r="FT129">
        <v>25.674700000000001</v>
      </c>
      <c r="FU129">
        <v>25.677700000000002</v>
      </c>
      <c r="FV129">
        <v>24.9833</v>
      </c>
      <c r="FW129">
        <v>26.2395</v>
      </c>
      <c r="FX129">
        <v>12.872400000000001</v>
      </c>
      <c r="FY129">
        <v>18.095400000000001</v>
      </c>
      <c r="FZ129">
        <v>410</v>
      </c>
      <c r="GA129">
        <v>13.8269</v>
      </c>
      <c r="GB129">
        <v>99.858500000000006</v>
      </c>
      <c r="GC129">
        <v>99.791700000000006</v>
      </c>
    </row>
    <row r="130" spans="1:185" x14ac:dyDescent="0.2">
      <c r="A130">
        <v>115</v>
      </c>
      <c r="B130">
        <v>1769202624</v>
      </c>
      <c r="C130">
        <v>2353</v>
      </c>
      <c r="D130" t="s">
        <v>526</v>
      </c>
      <c r="E130" t="s">
        <v>527</v>
      </c>
      <c r="F130">
        <v>15</v>
      </c>
      <c r="G130">
        <v>1769202615.9333301</v>
      </c>
      <c r="H130">
        <f t="shared" si="38"/>
        <v>1.2643232658570795E-3</v>
      </c>
      <c r="I130">
        <v>0</v>
      </c>
      <c r="J130">
        <f t="shared" si="37"/>
        <v>-3.4773863198943344E-4</v>
      </c>
      <c r="K130">
        <f t="shared" si="39"/>
        <v>-8.9642065002924747E-3</v>
      </c>
      <c r="L130">
        <f t="shared" si="40"/>
        <v>69.907618134831012</v>
      </c>
      <c r="M130">
        <f t="shared" si="41"/>
        <v>1.5423043758924266</v>
      </c>
      <c r="N130">
        <f t="shared" si="42"/>
        <v>2.2062035827308262</v>
      </c>
      <c r="O130">
        <v>0</v>
      </c>
      <c r="P130">
        <v>0</v>
      </c>
      <c r="Q130">
        <f t="shared" si="43"/>
        <v>1</v>
      </c>
      <c r="R130">
        <f t="shared" si="44"/>
        <v>0</v>
      </c>
      <c r="S130">
        <f t="shared" si="45"/>
        <v>26277.497213456121</v>
      </c>
      <c r="T130">
        <f t="shared" si="46"/>
        <v>500.00046666666702</v>
      </c>
      <c r="U130">
        <f t="shared" si="47"/>
        <v>421.50020319982292</v>
      </c>
      <c r="V130">
        <f t="shared" si="48"/>
        <v>0.84299961960000025</v>
      </c>
      <c r="W130">
        <f t="shared" si="49"/>
        <v>0.15869902301600006</v>
      </c>
      <c r="X130">
        <v>1</v>
      </c>
      <c r="Y130">
        <v>1769202615.9333301</v>
      </c>
      <c r="Z130">
        <v>409.35353333333302</v>
      </c>
      <c r="AA130">
        <v>409.98926666666699</v>
      </c>
      <c r="AB130">
        <v>15.3742466666667</v>
      </c>
      <c r="AC130">
        <v>13.818153333333299</v>
      </c>
      <c r="AD130">
        <v>410.09713333333298</v>
      </c>
      <c r="AE130">
        <v>15.303513333333299</v>
      </c>
      <c r="AF130">
        <v>800.0068</v>
      </c>
      <c r="AG130">
        <v>100.25360000000001</v>
      </c>
      <c r="AH130">
        <v>6.3795013333333303E-2</v>
      </c>
      <c r="AI130">
        <v>19.007433333333299</v>
      </c>
      <c r="AJ130">
        <v>999.9</v>
      </c>
      <c r="AK130">
        <v>999.9</v>
      </c>
      <c r="AL130">
        <v>0</v>
      </c>
      <c r="AM130">
        <v>0</v>
      </c>
      <c r="AN130">
        <v>4998.2666666666701</v>
      </c>
      <c r="AO130">
        <v>0</v>
      </c>
      <c r="AP130">
        <v>1.5244200000000001</v>
      </c>
      <c r="AQ130">
        <v>-0.63554699999999997</v>
      </c>
      <c r="AR130">
        <v>415.74533333333301</v>
      </c>
      <c r="AS130">
        <v>415.73386666666698</v>
      </c>
      <c r="AT130">
        <v>1.5560959999999999</v>
      </c>
      <c r="AU130">
        <v>409.98926666666699</v>
      </c>
      <c r="AV130">
        <v>13.818153333333299</v>
      </c>
      <c r="AW130">
        <v>1.5413253333333301</v>
      </c>
      <c r="AX130">
        <v>1.38532066666667</v>
      </c>
      <c r="AY130">
        <v>13.384373333333301</v>
      </c>
      <c r="AZ130">
        <v>11.757913333333301</v>
      </c>
      <c r="BA130">
        <v>500.00046666666702</v>
      </c>
      <c r="BB130">
        <v>0.90001306666666703</v>
      </c>
      <c r="BC130">
        <v>0</v>
      </c>
      <c r="BD130">
        <v>9.9986946666666701E-2</v>
      </c>
      <c r="BE130">
        <v>0</v>
      </c>
      <c r="BF130">
        <v>25</v>
      </c>
      <c r="BG130">
        <v>8244.4266666666608</v>
      </c>
      <c r="BH130">
        <v>1769202258.0999999</v>
      </c>
      <c r="BI130" t="s">
        <v>491</v>
      </c>
      <c r="BJ130">
        <v>1769202254.0999999</v>
      </c>
      <c r="BK130">
        <v>1769202258.0999999</v>
      </c>
      <c r="BL130">
        <v>16</v>
      </c>
      <c r="BM130">
        <v>3.5000000000000003E-2</v>
      </c>
      <c r="BN130">
        <v>-5.0999999999999997E-2</v>
      </c>
      <c r="BO130">
        <v>-0.74299999999999999</v>
      </c>
      <c r="BP130">
        <v>7.0999999999999994E-2</v>
      </c>
      <c r="BQ130">
        <v>410</v>
      </c>
      <c r="BR130">
        <v>14</v>
      </c>
      <c r="BS130">
        <v>0.16</v>
      </c>
      <c r="BT130">
        <v>0.06</v>
      </c>
      <c r="BU130">
        <v>-0.64889229999999998</v>
      </c>
      <c r="BV130">
        <v>0.24087266165413501</v>
      </c>
      <c r="BW130">
        <v>3.4751375656367899E-2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1.5551675</v>
      </c>
      <c r="CD130">
        <v>2.6035939849627099E-2</v>
      </c>
      <c r="CE130">
        <v>4.4059038516517596E-3</v>
      </c>
      <c r="CF130">
        <v>1</v>
      </c>
      <c r="CG130">
        <v>2</v>
      </c>
      <c r="CH130">
        <v>2</v>
      </c>
      <c r="CI130" t="s">
        <v>297</v>
      </c>
      <c r="CJ130">
        <v>3.5326</v>
      </c>
      <c r="CK130">
        <v>2.7017500000000001</v>
      </c>
      <c r="CL130">
        <v>9.7912600000000002E-2</v>
      </c>
      <c r="CM130">
        <v>9.6681900000000001E-2</v>
      </c>
      <c r="CN130">
        <v>8.7195599999999998E-2</v>
      </c>
      <c r="CO130">
        <v>7.9545400000000002E-2</v>
      </c>
      <c r="CP130">
        <v>31623.200000000001</v>
      </c>
      <c r="CQ130">
        <v>27827.5</v>
      </c>
      <c r="CR130">
        <v>32446.1</v>
      </c>
      <c r="CS130">
        <v>30733.8</v>
      </c>
      <c r="CT130">
        <v>40112.5</v>
      </c>
      <c r="CU130">
        <v>39793.1</v>
      </c>
      <c r="CV130">
        <v>47394.7</v>
      </c>
      <c r="CW130">
        <v>46881.3</v>
      </c>
      <c r="CX130">
        <v>2.6202399999999999</v>
      </c>
      <c r="CY130">
        <v>2.1183399999999999</v>
      </c>
      <c r="CZ130">
        <v>0</v>
      </c>
      <c r="DA130">
        <v>0</v>
      </c>
      <c r="DB130">
        <v>999.9</v>
      </c>
      <c r="DC130">
        <v>999.9</v>
      </c>
      <c r="DD130">
        <v>45.335999999999999</v>
      </c>
      <c r="DE130">
        <v>28.802</v>
      </c>
      <c r="DF130">
        <v>17.9803</v>
      </c>
      <c r="DG130">
        <v>30.459900000000001</v>
      </c>
      <c r="DH130">
        <v>16.322099999999999</v>
      </c>
      <c r="DI130">
        <v>2</v>
      </c>
      <c r="DJ130">
        <v>-0.100161</v>
      </c>
      <c r="DK130">
        <v>2.4514499999999999</v>
      </c>
      <c r="DL130">
        <v>20.204499999999999</v>
      </c>
      <c r="DM130">
        <v>5.2503500000000001</v>
      </c>
      <c r="DN130">
        <v>12.033899999999999</v>
      </c>
      <c r="DO130">
        <v>4.9673999999999996</v>
      </c>
      <c r="DP130">
        <v>3.2909999999999999</v>
      </c>
      <c r="DQ130">
        <v>538.20000000000005</v>
      </c>
      <c r="DR130">
        <v>9999</v>
      </c>
      <c r="DS130">
        <v>9999</v>
      </c>
      <c r="DT130">
        <v>9999</v>
      </c>
      <c r="DU130">
        <v>1.8711500000000001</v>
      </c>
      <c r="DV130">
        <v>1.87609</v>
      </c>
      <c r="DW130">
        <v>1.8763099999999999</v>
      </c>
      <c r="DX130">
        <v>1.8828</v>
      </c>
      <c r="DY130">
        <v>1.8755999999999999</v>
      </c>
      <c r="DZ130">
        <v>1.8746799999999999</v>
      </c>
      <c r="EA130">
        <v>1.8708100000000001</v>
      </c>
      <c r="EB130">
        <v>1.8746400000000001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-0.74399999999999999</v>
      </c>
      <c r="EQ130">
        <v>7.0699999999999999E-2</v>
      </c>
      <c r="ER130">
        <v>-0.74350000000000005</v>
      </c>
      <c r="ES130">
        <v>0</v>
      </c>
      <c r="ET130">
        <v>0</v>
      </c>
      <c r="EU130">
        <v>0</v>
      </c>
      <c r="EV130">
        <v>7.0740000000000705E-2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6.2</v>
      </c>
      <c r="FE130">
        <v>6.1</v>
      </c>
      <c r="FF130">
        <v>1.24512</v>
      </c>
      <c r="FG130">
        <v>2.6074199999999998</v>
      </c>
      <c r="FH130">
        <v>2.19604</v>
      </c>
      <c r="FI130">
        <v>2.66113</v>
      </c>
      <c r="FJ130">
        <v>2.4462899999999999</v>
      </c>
      <c r="FK130">
        <v>2.2668499999999998</v>
      </c>
      <c r="FL130">
        <v>33.020600000000002</v>
      </c>
      <c r="FM130">
        <v>24.14</v>
      </c>
      <c r="FN130">
        <v>19</v>
      </c>
      <c r="FO130">
        <v>865.78099999999995</v>
      </c>
      <c r="FP130">
        <v>569.346</v>
      </c>
      <c r="FQ130">
        <v>18.078399999999998</v>
      </c>
      <c r="FR130">
        <v>25.697600000000001</v>
      </c>
      <c r="FS130">
        <v>30.000299999999999</v>
      </c>
      <c r="FT130">
        <v>25.680299999999999</v>
      </c>
      <c r="FU130">
        <v>25.683299999999999</v>
      </c>
      <c r="FV130">
        <v>24.9848</v>
      </c>
      <c r="FW130">
        <v>26.2395</v>
      </c>
      <c r="FX130">
        <v>12.4992</v>
      </c>
      <c r="FY130">
        <v>18.0731</v>
      </c>
      <c r="FZ130">
        <v>410</v>
      </c>
      <c r="GA130">
        <v>13.8269</v>
      </c>
      <c r="GB130">
        <v>99.858900000000006</v>
      </c>
      <c r="GC130">
        <v>99.790800000000004</v>
      </c>
    </row>
    <row r="131" spans="1:185" x14ac:dyDescent="0.2">
      <c r="A131">
        <v>116</v>
      </c>
      <c r="B131">
        <v>1769202639</v>
      </c>
      <c r="C131">
        <v>2368</v>
      </c>
      <c r="D131" t="s">
        <v>528</v>
      </c>
      <c r="E131" t="s">
        <v>529</v>
      </c>
      <c r="F131">
        <v>15</v>
      </c>
      <c r="G131">
        <v>1769202630.9333301</v>
      </c>
      <c r="H131">
        <f t="shared" si="38"/>
        <v>1.2810042059824688E-3</v>
      </c>
      <c r="I131">
        <v>0</v>
      </c>
      <c r="J131">
        <f t="shared" si="37"/>
        <v>-2.5876338982602792E-4</v>
      </c>
      <c r="K131">
        <f t="shared" si="39"/>
        <v>-6.6705515226927088E-3</v>
      </c>
      <c r="L131">
        <f t="shared" si="40"/>
        <v>69.876289328768209</v>
      </c>
      <c r="M131">
        <f t="shared" si="41"/>
        <v>1.5414349253546136</v>
      </c>
      <c r="N131">
        <f t="shared" si="42"/>
        <v>2.2059484557088544</v>
      </c>
      <c r="O131">
        <v>0</v>
      </c>
      <c r="P131">
        <v>0</v>
      </c>
      <c r="Q131">
        <f t="shared" si="43"/>
        <v>1</v>
      </c>
      <c r="R131">
        <f t="shared" si="44"/>
        <v>0</v>
      </c>
      <c r="S131">
        <f t="shared" si="45"/>
        <v>26222.478440762632</v>
      </c>
      <c r="T131">
        <f t="shared" si="46"/>
        <v>499.999666666667</v>
      </c>
      <c r="U131">
        <f t="shared" si="47"/>
        <v>421.49954860011377</v>
      </c>
      <c r="V131">
        <f t="shared" si="48"/>
        <v>0.84299965919999975</v>
      </c>
      <c r="W131">
        <f t="shared" si="49"/>
        <v>0.15869909603199997</v>
      </c>
      <c r="X131">
        <v>1</v>
      </c>
      <c r="Y131">
        <v>1769202630.9333301</v>
      </c>
      <c r="Z131">
        <v>409.35313333333301</v>
      </c>
      <c r="AA131">
        <v>410.00026666666702</v>
      </c>
      <c r="AB131">
        <v>15.36548</v>
      </c>
      <c r="AC131">
        <v>13.7888466666667</v>
      </c>
      <c r="AD131">
        <v>410.09660000000002</v>
      </c>
      <c r="AE131">
        <v>15.29476</v>
      </c>
      <c r="AF131">
        <v>800.00906666666697</v>
      </c>
      <c r="AG131">
        <v>100.254133333333</v>
      </c>
      <c r="AH131">
        <v>6.3912399999999994E-2</v>
      </c>
      <c r="AI131">
        <v>19.005579999999998</v>
      </c>
      <c r="AJ131">
        <v>999.9</v>
      </c>
      <c r="AK131">
        <v>999.9</v>
      </c>
      <c r="AL131">
        <v>0</v>
      </c>
      <c r="AM131">
        <v>0</v>
      </c>
      <c r="AN131">
        <v>4989.1666666666697</v>
      </c>
      <c r="AO131">
        <v>0</v>
      </c>
      <c r="AP131">
        <v>1.5244200000000001</v>
      </c>
      <c r="AQ131">
        <v>-0.64724933333333301</v>
      </c>
      <c r="AR131">
        <v>415.74113333333298</v>
      </c>
      <c r="AS131">
        <v>415.73286666666701</v>
      </c>
      <c r="AT131">
        <v>1.57663933333333</v>
      </c>
      <c r="AU131">
        <v>410.00026666666702</v>
      </c>
      <c r="AV131">
        <v>13.7888466666667</v>
      </c>
      <c r="AW131">
        <v>1.5404533333333299</v>
      </c>
      <c r="AX131">
        <v>1.382388</v>
      </c>
      <c r="AY131">
        <v>13.3757</v>
      </c>
      <c r="AZ131">
        <v>11.725806666666699</v>
      </c>
      <c r="BA131">
        <v>499.999666666667</v>
      </c>
      <c r="BB131">
        <v>0.90001213333333296</v>
      </c>
      <c r="BC131">
        <v>0</v>
      </c>
      <c r="BD131">
        <v>9.9987893333333397E-2</v>
      </c>
      <c r="BE131">
        <v>0</v>
      </c>
      <c r="BF131">
        <v>25</v>
      </c>
      <c r="BG131">
        <v>8244.4113333333298</v>
      </c>
      <c r="BH131">
        <v>1769202258.0999999</v>
      </c>
      <c r="BI131" t="s">
        <v>491</v>
      </c>
      <c r="BJ131">
        <v>1769202254.0999999</v>
      </c>
      <c r="BK131">
        <v>1769202258.0999999</v>
      </c>
      <c r="BL131">
        <v>16</v>
      </c>
      <c r="BM131">
        <v>3.5000000000000003E-2</v>
      </c>
      <c r="BN131">
        <v>-5.0999999999999997E-2</v>
      </c>
      <c r="BO131">
        <v>-0.74299999999999999</v>
      </c>
      <c r="BP131">
        <v>7.0999999999999994E-2</v>
      </c>
      <c r="BQ131">
        <v>410</v>
      </c>
      <c r="BR131">
        <v>14</v>
      </c>
      <c r="BS131">
        <v>0.16</v>
      </c>
      <c r="BT131">
        <v>0.06</v>
      </c>
      <c r="BU131">
        <v>-0.64109009523809501</v>
      </c>
      <c r="BV131">
        <v>7.6032467532474298E-3</v>
      </c>
      <c r="BW131">
        <v>2.5833007934487801E-2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1.5717314285714299</v>
      </c>
      <c r="CD131">
        <v>6.3172987012986501E-2</v>
      </c>
      <c r="CE131">
        <v>9.2179753410255496E-3</v>
      </c>
      <c r="CF131">
        <v>1</v>
      </c>
      <c r="CG131">
        <v>2</v>
      </c>
      <c r="CH131">
        <v>2</v>
      </c>
      <c r="CI131" t="s">
        <v>297</v>
      </c>
      <c r="CJ131">
        <v>3.5325199999999999</v>
      </c>
      <c r="CK131">
        <v>2.7019600000000001</v>
      </c>
      <c r="CL131">
        <v>9.7913799999999995E-2</v>
      </c>
      <c r="CM131">
        <v>9.6681000000000003E-2</v>
      </c>
      <c r="CN131">
        <v>8.71199E-2</v>
      </c>
      <c r="CO131">
        <v>7.9483600000000001E-2</v>
      </c>
      <c r="CP131">
        <v>31622.7</v>
      </c>
      <c r="CQ131">
        <v>27827.1</v>
      </c>
      <c r="CR131">
        <v>32445.599999999999</v>
      </c>
      <c r="CS131">
        <v>30733.4</v>
      </c>
      <c r="CT131">
        <v>40115.199999999997</v>
      </c>
      <c r="CU131">
        <v>39795.5</v>
      </c>
      <c r="CV131">
        <v>47393.9</v>
      </c>
      <c r="CW131">
        <v>46880.9</v>
      </c>
      <c r="CX131">
        <v>2.61992</v>
      </c>
      <c r="CY131">
        <v>2.1183999999999998</v>
      </c>
      <c r="CZ131">
        <v>0</v>
      </c>
      <c r="DA131">
        <v>0</v>
      </c>
      <c r="DB131">
        <v>999.9</v>
      </c>
      <c r="DC131">
        <v>999.9</v>
      </c>
      <c r="DD131">
        <v>45.262999999999998</v>
      </c>
      <c r="DE131">
        <v>28.802</v>
      </c>
      <c r="DF131">
        <v>17.950600000000001</v>
      </c>
      <c r="DG131">
        <v>30.49</v>
      </c>
      <c r="DH131">
        <v>16.426300000000001</v>
      </c>
      <c r="DI131">
        <v>2</v>
      </c>
      <c r="DJ131">
        <v>-9.9520300000000006E-2</v>
      </c>
      <c r="DK131">
        <v>2.4682900000000001</v>
      </c>
      <c r="DL131">
        <v>20.2044</v>
      </c>
      <c r="DM131">
        <v>5.2498800000000001</v>
      </c>
      <c r="DN131">
        <v>12.033899999999999</v>
      </c>
      <c r="DO131">
        <v>4.9672799999999997</v>
      </c>
      <c r="DP131">
        <v>3.2909999999999999</v>
      </c>
      <c r="DQ131">
        <v>538.20000000000005</v>
      </c>
      <c r="DR131">
        <v>9999</v>
      </c>
      <c r="DS131">
        <v>9999</v>
      </c>
      <c r="DT131">
        <v>9999</v>
      </c>
      <c r="DU131">
        <v>1.8711599999999999</v>
      </c>
      <c r="DV131">
        <v>1.8761099999999999</v>
      </c>
      <c r="DW131">
        <v>1.87635</v>
      </c>
      <c r="DX131">
        <v>1.8828</v>
      </c>
      <c r="DY131">
        <v>1.87561</v>
      </c>
      <c r="DZ131">
        <v>1.8746799999999999</v>
      </c>
      <c r="EA131">
        <v>1.8708499999999999</v>
      </c>
      <c r="EB131">
        <v>1.8746499999999999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-0.74399999999999999</v>
      </c>
      <c r="EQ131">
        <v>7.0699999999999999E-2</v>
      </c>
      <c r="ER131">
        <v>-0.74350000000000005</v>
      </c>
      <c r="ES131">
        <v>0</v>
      </c>
      <c r="ET131">
        <v>0</v>
      </c>
      <c r="EU131">
        <v>0</v>
      </c>
      <c r="EV131">
        <v>7.0740000000000705E-2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6.4</v>
      </c>
      <c r="FE131">
        <v>6.3</v>
      </c>
      <c r="FF131">
        <v>1.24512</v>
      </c>
      <c r="FG131">
        <v>2.6037599999999999</v>
      </c>
      <c r="FH131">
        <v>2.19604</v>
      </c>
      <c r="FI131">
        <v>2.66113</v>
      </c>
      <c r="FJ131">
        <v>2.4462899999999999</v>
      </c>
      <c r="FK131">
        <v>2.31812</v>
      </c>
      <c r="FL131">
        <v>33.020600000000002</v>
      </c>
      <c r="FM131">
        <v>24.148800000000001</v>
      </c>
      <c r="FN131">
        <v>19</v>
      </c>
      <c r="FO131">
        <v>865.57299999999998</v>
      </c>
      <c r="FP131">
        <v>569.45699999999999</v>
      </c>
      <c r="FQ131">
        <v>18.0609</v>
      </c>
      <c r="FR131">
        <v>25.7041</v>
      </c>
      <c r="FS131">
        <v>30.000299999999999</v>
      </c>
      <c r="FT131">
        <v>25.686</v>
      </c>
      <c r="FU131">
        <v>25.689299999999999</v>
      </c>
      <c r="FV131">
        <v>24.985499999999998</v>
      </c>
      <c r="FW131">
        <v>26.2395</v>
      </c>
      <c r="FX131">
        <v>12.4992</v>
      </c>
      <c r="FY131">
        <v>18.0564</v>
      </c>
      <c r="FZ131">
        <v>410</v>
      </c>
      <c r="GA131">
        <v>13.833</v>
      </c>
      <c r="GB131">
        <v>99.857299999999995</v>
      </c>
      <c r="GC131">
        <v>99.789699999999996</v>
      </c>
    </row>
    <row r="132" spans="1:185" x14ac:dyDescent="0.2">
      <c r="A132">
        <v>117</v>
      </c>
      <c r="B132">
        <v>1769202654</v>
      </c>
      <c r="C132">
        <v>2383</v>
      </c>
      <c r="D132" t="s">
        <v>530</v>
      </c>
      <c r="E132" t="s">
        <v>531</v>
      </c>
      <c r="F132">
        <v>15</v>
      </c>
      <c r="G132">
        <v>1769202645.9333301</v>
      </c>
      <c r="H132">
        <f t="shared" si="38"/>
        <v>1.2781340903617964E-3</v>
      </c>
      <c r="I132">
        <v>0</v>
      </c>
      <c r="J132">
        <f t="shared" si="37"/>
        <v>6.5805118968320314E-5</v>
      </c>
      <c r="K132">
        <f t="shared" si="39"/>
        <v>1.6963622127157308E-3</v>
      </c>
      <c r="L132">
        <f t="shared" si="40"/>
        <v>69.844738601138644</v>
      </c>
      <c r="M132">
        <f t="shared" si="41"/>
        <v>1.5403729889029802</v>
      </c>
      <c r="N132">
        <f t="shared" si="42"/>
        <v>2.2054245169411635</v>
      </c>
      <c r="O132">
        <v>0</v>
      </c>
      <c r="P132">
        <v>0</v>
      </c>
      <c r="Q132">
        <f t="shared" si="43"/>
        <v>1</v>
      </c>
      <c r="R132">
        <f t="shared" si="44"/>
        <v>0</v>
      </c>
      <c r="S132">
        <f t="shared" si="45"/>
        <v>26364.552867215618</v>
      </c>
      <c r="T132">
        <f t="shared" si="46"/>
        <v>500.0018</v>
      </c>
      <c r="U132">
        <f t="shared" si="47"/>
        <v>421.50133019932588</v>
      </c>
      <c r="V132">
        <f t="shared" si="48"/>
        <v>0.84299962559999964</v>
      </c>
      <c r="W132">
        <f t="shared" si="49"/>
        <v>0.15869916793599995</v>
      </c>
      <c r="X132">
        <v>1</v>
      </c>
      <c r="Y132">
        <v>1769202645.9333301</v>
      </c>
      <c r="Z132">
        <v>409.35539999999997</v>
      </c>
      <c r="AA132">
        <v>410.01153333333298</v>
      </c>
      <c r="AB132">
        <v>15.3548333333333</v>
      </c>
      <c r="AC132">
        <v>13.781700000000001</v>
      </c>
      <c r="AD132">
        <v>410.099066666667</v>
      </c>
      <c r="AE132">
        <v>15.2841066666667</v>
      </c>
      <c r="AF132">
        <v>800.00120000000004</v>
      </c>
      <c r="AG132">
        <v>100.254533333333</v>
      </c>
      <c r="AH132">
        <v>6.3910733333333303E-2</v>
      </c>
      <c r="AI132">
        <v>19.001773333333301</v>
      </c>
      <c r="AJ132">
        <v>999.9</v>
      </c>
      <c r="AK132">
        <v>999.9</v>
      </c>
      <c r="AL132">
        <v>0</v>
      </c>
      <c r="AM132">
        <v>0</v>
      </c>
      <c r="AN132">
        <v>5012.4666666666699</v>
      </c>
      <c r="AO132">
        <v>0</v>
      </c>
      <c r="AP132">
        <v>1.5244200000000001</v>
      </c>
      <c r="AQ132">
        <v>-0.65612586666666695</v>
      </c>
      <c r="AR132">
        <v>415.73899999999998</v>
      </c>
      <c r="AS132">
        <v>415.74119999999999</v>
      </c>
      <c r="AT132">
        <v>1.57314333333333</v>
      </c>
      <c r="AU132">
        <v>410.01153333333298</v>
      </c>
      <c r="AV132">
        <v>13.781700000000001</v>
      </c>
      <c r="AW132">
        <v>1.5393906666666699</v>
      </c>
      <c r="AX132">
        <v>1.381678</v>
      </c>
      <c r="AY132">
        <v>13.36514</v>
      </c>
      <c r="AZ132">
        <v>11.718019999999999</v>
      </c>
      <c r="BA132">
        <v>500.0018</v>
      </c>
      <c r="BB132">
        <v>0.90001093333333304</v>
      </c>
      <c r="BC132">
        <v>0</v>
      </c>
      <c r="BD132">
        <v>9.9989013333333293E-2</v>
      </c>
      <c r="BE132">
        <v>0</v>
      </c>
      <c r="BF132">
        <v>25</v>
      </c>
      <c r="BG132">
        <v>8244.4446666666699</v>
      </c>
      <c r="BH132">
        <v>1769202258.0999999</v>
      </c>
      <c r="BI132" t="s">
        <v>491</v>
      </c>
      <c r="BJ132">
        <v>1769202254.0999999</v>
      </c>
      <c r="BK132">
        <v>1769202258.0999999</v>
      </c>
      <c r="BL132">
        <v>16</v>
      </c>
      <c r="BM132">
        <v>3.5000000000000003E-2</v>
      </c>
      <c r="BN132">
        <v>-5.0999999999999997E-2</v>
      </c>
      <c r="BO132">
        <v>-0.74299999999999999</v>
      </c>
      <c r="BP132">
        <v>7.0999999999999994E-2</v>
      </c>
      <c r="BQ132">
        <v>410</v>
      </c>
      <c r="BR132">
        <v>14</v>
      </c>
      <c r="BS132">
        <v>0.16</v>
      </c>
      <c r="BT132">
        <v>0.06</v>
      </c>
      <c r="BU132">
        <v>-0.64993285000000001</v>
      </c>
      <c r="BV132">
        <v>-0.13316630075187999</v>
      </c>
      <c r="BW132">
        <v>1.9212225785356099E-2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1.5736220000000001</v>
      </c>
      <c r="CD132">
        <v>-8.0842105263155793E-3</v>
      </c>
      <c r="CE132">
        <v>1.44962960786539E-3</v>
      </c>
      <c r="CF132">
        <v>1</v>
      </c>
      <c r="CG132">
        <v>2</v>
      </c>
      <c r="CH132">
        <v>2</v>
      </c>
      <c r="CI132" t="s">
        <v>297</v>
      </c>
      <c r="CJ132">
        <v>3.5325500000000001</v>
      </c>
      <c r="CK132">
        <v>2.7015600000000002</v>
      </c>
      <c r="CL132">
        <v>9.7909700000000002E-2</v>
      </c>
      <c r="CM132">
        <v>9.6678E-2</v>
      </c>
      <c r="CN132">
        <v>8.7096999999999994E-2</v>
      </c>
      <c r="CO132">
        <v>7.9455799999999993E-2</v>
      </c>
      <c r="CP132">
        <v>31622.2</v>
      </c>
      <c r="CQ132">
        <v>27827.599999999999</v>
      </c>
      <c r="CR132">
        <v>32445</v>
      </c>
      <c r="CS132">
        <v>30733.8</v>
      </c>
      <c r="CT132">
        <v>40115.4</v>
      </c>
      <c r="CU132">
        <v>39797.199999999997</v>
      </c>
      <c r="CV132">
        <v>47392.800000000003</v>
      </c>
      <c r="CW132">
        <v>46881.4</v>
      </c>
      <c r="CX132">
        <v>2.6198399999999999</v>
      </c>
      <c r="CY132">
        <v>2.1180400000000001</v>
      </c>
      <c r="CZ132">
        <v>0</v>
      </c>
      <c r="DA132">
        <v>0</v>
      </c>
      <c r="DB132">
        <v>999.9</v>
      </c>
      <c r="DC132">
        <v>999.9</v>
      </c>
      <c r="DD132">
        <v>45.238999999999997</v>
      </c>
      <c r="DE132">
        <v>28.802</v>
      </c>
      <c r="DF132">
        <v>17.939399999999999</v>
      </c>
      <c r="DG132">
        <v>30.549900000000001</v>
      </c>
      <c r="DH132">
        <v>16.430299999999999</v>
      </c>
      <c r="DI132">
        <v>2</v>
      </c>
      <c r="DJ132">
        <v>-9.8908499999999996E-2</v>
      </c>
      <c r="DK132">
        <v>2.4589699999999999</v>
      </c>
      <c r="DL132">
        <v>20.2044</v>
      </c>
      <c r="DM132">
        <v>5.2505899999999999</v>
      </c>
      <c r="DN132">
        <v>12.033899999999999</v>
      </c>
      <c r="DO132">
        <v>4.9670399999999999</v>
      </c>
      <c r="DP132">
        <v>3.2909999999999999</v>
      </c>
      <c r="DQ132">
        <v>538.29999999999995</v>
      </c>
      <c r="DR132">
        <v>9999</v>
      </c>
      <c r="DS132">
        <v>9999</v>
      </c>
      <c r="DT132">
        <v>9999</v>
      </c>
      <c r="DU132">
        <v>1.8711899999999999</v>
      </c>
      <c r="DV132">
        <v>1.87612</v>
      </c>
      <c r="DW132">
        <v>1.87636</v>
      </c>
      <c r="DX132">
        <v>1.88287</v>
      </c>
      <c r="DY132">
        <v>1.87561</v>
      </c>
      <c r="DZ132">
        <v>1.87469</v>
      </c>
      <c r="EA132">
        <v>1.87087</v>
      </c>
      <c r="EB132">
        <v>1.8746700000000001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-0.74299999999999999</v>
      </c>
      <c r="EQ132">
        <v>7.0800000000000002E-2</v>
      </c>
      <c r="ER132">
        <v>-0.74350000000000005</v>
      </c>
      <c r="ES132">
        <v>0</v>
      </c>
      <c r="ET132">
        <v>0</v>
      </c>
      <c r="EU132">
        <v>0</v>
      </c>
      <c r="EV132">
        <v>7.0740000000000705E-2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6.7</v>
      </c>
      <c r="FE132">
        <v>6.6</v>
      </c>
      <c r="FF132">
        <v>1.24512</v>
      </c>
      <c r="FG132">
        <v>2.6000999999999999</v>
      </c>
      <c r="FH132">
        <v>2.19604</v>
      </c>
      <c r="FI132">
        <v>2.66113</v>
      </c>
      <c r="FJ132">
        <v>2.4462899999999999</v>
      </c>
      <c r="FK132">
        <v>2.3034699999999999</v>
      </c>
      <c r="FL132">
        <v>32.9983</v>
      </c>
      <c r="FM132">
        <v>24.14</v>
      </c>
      <c r="FN132">
        <v>19</v>
      </c>
      <c r="FO132">
        <v>865.596</v>
      </c>
      <c r="FP132">
        <v>569.25</v>
      </c>
      <c r="FQ132">
        <v>18.0505</v>
      </c>
      <c r="FR132">
        <v>25.710599999999999</v>
      </c>
      <c r="FS132">
        <v>30.000299999999999</v>
      </c>
      <c r="FT132">
        <v>25.692</v>
      </c>
      <c r="FU132">
        <v>25.695399999999999</v>
      </c>
      <c r="FV132">
        <v>24.9846</v>
      </c>
      <c r="FW132">
        <v>26.2395</v>
      </c>
      <c r="FX132">
        <v>12.4992</v>
      </c>
      <c r="FY132">
        <v>18.051100000000002</v>
      </c>
      <c r="FZ132">
        <v>410</v>
      </c>
      <c r="GA132">
        <v>13.8443</v>
      </c>
      <c r="GB132">
        <v>99.855199999999996</v>
      </c>
      <c r="GC132">
        <v>99.790999999999997</v>
      </c>
    </row>
    <row r="133" spans="1:185" x14ac:dyDescent="0.2">
      <c r="A133">
        <v>118</v>
      </c>
      <c r="B133">
        <v>1769202669</v>
      </c>
      <c r="C133">
        <v>2398</v>
      </c>
      <c r="D133" t="s">
        <v>532</v>
      </c>
      <c r="E133" t="s">
        <v>533</v>
      </c>
      <c r="F133">
        <v>15</v>
      </c>
      <c r="G133">
        <v>1769202660.9333301</v>
      </c>
      <c r="H133">
        <f t="shared" si="38"/>
        <v>1.2681494597833055E-3</v>
      </c>
      <c r="I133">
        <v>0</v>
      </c>
      <c r="J133">
        <f t="shared" si="37"/>
        <v>-6.2552244322494014E-4</v>
      </c>
      <c r="K133">
        <f t="shared" si="39"/>
        <v>-1.6125077388025801E-2</v>
      </c>
      <c r="L133">
        <f t="shared" si="40"/>
        <v>69.818215098044007</v>
      </c>
      <c r="M133">
        <f t="shared" si="41"/>
        <v>1.539707963389398</v>
      </c>
      <c r="N133">
        <f t="shared" si="42"/>
        <v>2.2053098338696056</v>
      </c>
      <c r="O133">
        <v>0</v>
      </c>
      <c r="P133">
        <v>0</v>
      </c>
      <c r="Q133">
        <f t="shared" si="43"/>
        <v>1</v>
      </c>
      <c r="R133">
        <f t="shared" si="44"/>
        <v>0</v>
      </c>
      <c r="S133">
        <f t="shared" si="45"/>
        <v>26270.863609104908</v>
      </c>
      <c r="T133">
        <f t="shared" si="46"/>
        <v>499.999666666667</v>
      </c>
      <c r="U133">
        <f t="shared" si="47"/>
        <v>421.49950200014496</v>
      </c>
      <c r="V133">
        <f t="shared" si="48"/>
        <v>0.84299956600000003</v>
      </c>
      <c r="W133">
        <f t="shared" si="49"/>
        <v>0.15869917484000001</v>
      </c>
      <c r="X133">
        <v>1</v>
      </c>
      <c r="Y133">
        <v>1769202660.9333301</v>
      </c>
      <c r="Z133">
        <v>409.35019999999997</v>
      </c>
      <c r="AA133">
        <v>409.97893333333298</v>
      </c>
      <c r="AB133">
        <v>15.3482133333333</v>
      </c>
      <c r="AC133">
        <v>13.787373333333299</v>
      </c>
      <c r="AD133">
        <v>410.09393333333298</v>
      </c>
      <c r="AE133">
        <v>15.277466666666699</v>
      </c>
      <c r="AF133">
        <v>800.008733333333</v>
      </c>
      <c r="AG133">
        <v>100.25466666666701</v>
      </c>
      <c r="AH133">
        <v>6.3717626666666694E-2</v>
      </c>
      <c r="AI133">
        <v>19.00094</v>
      </c>
      <c r="AJ133">
        <v>999.9</v>
      </c>
      <c r="AK133">
        <v>999.9</v>
      </c>
      <c r="AL133">
        <v>0</v>
      </c>
      <c r="AM133">
        <v>0</v>
      </c>
      <c r="AN133">
        <v>4997.0333333333301</v>
      </c>
      <c r="AO133">
        <v>0</v>
      </c>
      <c r="AP133">
        <v>1.5244200000000001</v>
      </c>
      <c r="AQ133">
        <v>-0.62860720000000003</v>
      </c>
      <c r="AR133">
        <v>415.73099999999999</v>
      </c>
      <c r="AS133">
        <v>415.710466666667</v>
      </c>
      <c r="AT133">
        <v>1.5608213333333301</v>
      </c>
      <c r="AU133">
        <v>409.97893333333298</v>
      </c>
      <c r="AV133">
        <v>13.787373333333299</v>
      </c>
      <c r="AW133">
        <v>1.53872866666667</v>
      </c>
      <c r="AX133">
        <v>1.3822506666666701</v>
      </c>
      <c r="AY133">
        <v>13.358546666666699</v>
      </c>
      <c r="AZ133">
        <v>11.724299999999999</v>
      </c>
      <c r="BA133">
        <v>499.999666666667</v>
      </c>
      <c r="BB133">
        <v>0.90001059999999999</v>
      </c>
      <c r="BC133">
        <v>0</v>
      </c>
      <c r="BD133">
        <v>9.9989266666666701E-2</v>
      </c>
      <c r="BE133">
        <v>0</v>
      </c>
      <c r="BF133">
        <v>25</v>
      </c>
      <c r="BG133">
        <v>8244.4106666666703</v>
      </c>
      <c r="BH133">
        <v>1769202258.0999999</v>
      </c>
      <c r="BI133" t="s">
        <v>491</v>
      </c>
      <c r="BJ133">
        <v>1769202254.0999999</v>
      </c>
      <c r="BK133">
        <v>1769202258.0999999</v>
      </c>
      <c r="BL133">
        <v>16</v>
      </c>
      <c r="BM133">
        <v>3.5000000000000003E-2</v>
      </c>
      <c r="BN133">
        <v>-5.0999999999999997E-2</v>
      </c>
      <c r="BO133">
        <v>-0.74299999999999999</v>
      </c>
      <c r="BP133">
        <v>7.0999999999999994E-2</v>
      </c>
      <c r="BQ133">
        <v>410</v>
      </c>
      <c r="BR133">
        <v>14</v>
      </c>
      <c r="BS133">
        <v>0.16</v>
      </c>
      <c r="BT133">
        <v>0.06</v>
      </c>
      <c r="BU133">
        <v>-0.63854695238095205</v>
      </c>
      <c r="BV133">
        <v>0.17007148051948101</v>
      </c>
      <c r="BW133">
        <v>3.1866077068877403E-2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1.5642328571428601</v>
      </c>
      <c r="CD133">
        <v>-0.105074025974028</v>
      </c>
      <c r="CE133">
        <v>1.2399475466193501E-2</v>
      </c>
      <c r="CF133">
        <v>0</v>
      </c>
      <c r="CG133">
        <v>1</v>
      </c>
      <c r="CH133">
        <v>2</v>
      </c>
      <c r="CI133" t="s">
        <v>302</v>
      </c>
      <c r="CJ133">
        <v>3.53254</v>
      </c>
      <c r="CK133">
        <v>2.7016300000000002</v>
      </c>
      <c r="CL133">
        <v>9.7914799999999996E-2</v>
      </c>
      <c r="CM133">
        <v>9.6687099999999998E-2</v>
      </c>
      <c r="CN133">
        <v>8.7078799999999998E-2</v>
      </c>
      <c r="CO133">
        <v>7.9575300000000002E-2</v>
      </c>
      <c r="CP133">
        <v>31621.5</v>
      </c>
      <c r="CQ133">
        <v>27826.7</v>
      </c>
      <c r="CR133">
        <v>32444.400000000001</v>
      </c>
      <c r="CS133">
        <v>30733.1</v>
      </c>
      <c r="CT133">
        <v>40115.800000000003</v>
      </c>
      <c r="CU133">
        <v>39791</v>
      </c>
      <c r="CV133">
        <v>47392.3</v>
      </c>
      <c r="CW133">
        <v>46880.3</v>
      </c>
      <c r="CX133">
        <v>2.6198600000000001</v>
      </c>
      <c r="CY133">
        <v>2.1180599999999998</v>
      </c>
      <c r="CZ133">
        <v>0</v>
      </c>
      <c r="DA133">
        <v>0</v>
      </c>
      <c r="DB133">
        <v>999.9</v>
      </c>
      <c r="DC133">
        <v>999.9</v>
      </c>
      <c r="DD133">
        <v>45.213999999999999</v>
      </c>
      <c r="DE133">
        <v>28.802</v>
      </c>
      <c r="DF133">
        <v>17.932200000000002</v>
      </c>
      <c r="DG133">
        <v>30.3399</v>
      </c>
      <c r="DH133">
        <v>16.322099999999999</v>
      </c>
      <c r="DI133">
        <v>2</v>
      </c>
      <c r="DJ133">
        <v>-9.8416699999999996E-2</v>
      </c>
      <c r="DK133">
        <v>2.4617399999999998</v>
      </c>
      <c r="DL133">
        <v>20.2044</v>
      </c>
      <c r="DM133">
        <v>5.25047</v>
      </c>
      <c r="DN133">
        <v>12.033899999999999</v>
      </c>
      <c r="DO133">
        <v>4.9669600000000003</v>
      </c>
      <c r="DP133">
        <v>3.2909999999999999</v>
      </c>
      <c r="DQ133">
        <v>538.29999999999995</v>
      </c>
      <c r="DR133">
        <v>9999</v>
      </c>
      <c r="DS133">
        <v>9999</v>
      </c>
      <c r="DT133">
        <v>9999</v>
      </c>
      <c r="DU133">
        <v>1.8711899999999999</v>
      </c>
      <c r="DV133">
        <v>1.8761099999999999</v>
      </c>
      <c r="DW133">
        <v>1.87636</v>
      </c>
      <c r="DX133">
        <v>1.8828400000000001</v>
      </c>
      <c r="DY133">
        <v>1.87561</v>
      </c>
      <c r="DZ133">
        <v>1.87469</v>
      </c>
      <c r="EA133">
        <v>1.87087</v>
      </c>
      <c r="EB133">
        <v>1.8746799999999999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-0.74399999999999999</v>
      </c>
      <c r="EQ133">
        <v>7.0699999999999999E-2</v>
      </c>
      <c r="ER133">
        <v>-0.74350000000000005</v>
      </c>
      <c r="ES133">
        <v>0</v>
      </c>
      <c r="ET133">
        <v>0</v>
      </c>
      <c r="EU133">
        <v>0</v>
      </c>
      <c r="EV133">
        <v>7.0740000000000705E-2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6.9</v>
      </c>
      <c r="FE133">
        <v>6.8</v>
      </c>
      <c r="FF133">
        <v>1.2439</v>
      </c>
      <c r="FG133">
        <v>2.6086399999999998</v>
      </c>
      <c r="FH133">
        <v>2.19604</v>
      </c>
      <c r="FI133">
        <v>2.66113</v>
      </c>
      <c r="FJ133">
        <v>2.4462899999999999</v>
      </c>
      <c r="FK133">
        <v>2.2473100000000001</v>
      </c>
      <c r="FL133">
        <v>33.020600000000002</v>
      </c>
      <c r="FM133">
        <v>24.1313</v>
      </c>
      <c r="FN133">
        <v>19</v>
      </c>
      <c r="FO133">
        <v>865.71100000000001</v>
      </c>
      <c r="FP133">
        <v>569.33100000000002</v>
      </c>
      <c r="FQ133">
        <v>18.049099999999999</v>
      </c>
      <c r="FR133">
        <v>25.717500000000001</v>
      </c>
      <c r="FS133">
        <v>30.000299999999999</v>
      </c>
      <c r="FT133">
        <v>25.698</v>
      </c>
      <c r="FU133">
        <v>25.7014</v>
      </c>
      <c r="FV133">
        <v>24.983899999999998</v>
      </c>
      <c r="FW133">
        <v>25.962199999999999</v>
      </c>
      <c r="FX133">
        <v>12.4992</v>
      </c>
      <c r="FY133">
        <v>18.048200000000001</v>
      </c>
      <c r="FZ133">
        <v>410</v>
      </c>
      <c r="GA133">
        <v>13.8568</v>
      </c>
      <c r="GB133">
        <v>99.853899999999996</v>
      </c>
      <c r="GC133">
        <v>99.788700000000006</v>
      </c>
    </row>
    <row r="134" spans="1:185" x14ac:dyDescent="0.2">
      <c r="A134">
        <v>119</v>
      </c>
      <c r="B134">
        <v>1769202684</v>
      </c>
      <c r="C134">
        <v>2413</v>
      </c>
      <c r="D134" t="s">
        <v>534</v>
      </c>
      <c r="E134" t="s">
        <v>535</v>
      </c>
      <c r="F134">
        <v>15</v>
      </c>
      <c r="G134">
        <v>1769202675.9333301</v>
      </c>
      <c r="H134">
        <f t="shared" si="38"/>
        <v>1.2656765306863723E-3</v>
      </c>
      <c r="I134">
        <v>0</v>
      </c>
      <c r="J134">
        <f t="shared" si="37"/>
        <v>-1.5484758382409503E-4</v>
      </c>
      <c r="K134">
        <f t="shared" si="39"/>
        <v>-3.9917500955508316E-3</v>
      </c>
      <c r="L134">
        <f t="shared" si="40"/>
        <v>69.8418602018005</v>
      </c>
      <c r="M134">
        <f t="shared" si="41"/>
        <v>1.5401538031681203</v>
      </c>
      <c r="N134">
        <f t="shared" si="42"/>
        <v>2.2052015778474581</v>
      </c>
      <c r="O134">
        <v>0</v>
      </c>
      <c r="P134">
        <v>0</v>
      </c>
      <c r="Q134">
        <f t="shared" si="43"/>
        <v>1</v>
      </c>
      <c r="R134">
        <f t="shared" si="44"/>
        <v>0</v>
      </c>
      <c r="S134">
        <f t="shared" si="45"/>
        <v>26253.866285041597</v>
      </c>
      <c r="T134">
        <f t="shared" si="46"/>
        <v>499.99860000000001</v>
      </c>
      <c r="U134">
        <f t="shared" si="47"/>
        <v>421.49865950044892</v>
      </c>
      <c r="V134">
        <f t="shared" si="48"/>
        <v>0.8429996794000002</v>
      </c>
      <c r="W134">
        <f t="shared" si="49"/>
        <v>0.15869915952400004</v>
      </c>
      <c r="X134">
        <v>1</v>
      </c>
      <c r="Y134">
        <v>1769202675.9333301</v>
      </c>
      <c r="Z134">
        <v>409.36953333333298</v>
      </c>
      <c r="AA134">
        <v>410.01220000000001</v>
      </c>
      <c r="AB134">
        <v>15.35256</v>
      </c>
      <c r="AC134">
        <v>13.7947666666667</v>
      </c>
      <c r="AD134">
        <v>410.11293333333299</v>
      </c>
      <c r="AE134">
        <v>15.2818133333333</v>
      </c>
      <c r="AF134">
        <v>800.00673333333305</v>
      </c>
      <c r="AG134">
        <v>100.255266666667</v>
      </c>
      <c r="AH134">
        <v>6.3755253333333303E-2</v>
      </c>
      <c r="AI134">
        <v>19.000153333333301</v>
      </c>
      <c r="AJ134">
        <v>999.9</v>
      </c>
      <c r="AK134">
        <v>999.9</v>
      </c>
      <c r="AL134">
        <v>0</v>
      </c>
      <c r="AM134">
        <v>0</v>
      </c>
      <c r="AN134">
        <v>4994.2</v>
      </c>
      <c r="AO134">
        <v>0</v>
      </c>
      <c r="AP134">
        <v>1.5244200000000001</v>
      </c>
      <c r="AQ134">
        <v>-0.64279593333333296</v>
      </c>
      <c r="AR134">
        <v>415.75233333333301</v>
      </c>
      <c r="AS134">
        <v>415.74720000000002</v>
      </c>
      <c r="AT134">
        <v>1.5577846666666699</v>
      </c>
      <c r="AU134">
        <v>410.01220000000001</v>
      </c>
      <c r="AV134">
        <v>13.7947666666667</v>
      </c>
      <c r="AW134">
        <v>1.5391746666666699</v>
      </c>
      <c r="AX134">
        <v>1.38299866666667</v>
      </c>
      <c r="AY134">
        <v>13.362959999999999</v>
      </c>
      <c r="AZ134">
        <v>11.7324866666667</v>
      </c>
      <c r="BA134">
        <v>499.99860000000001</v>
      </c>
      <c r="BB134">
        <v>0.90001126666666698</v>
      </c>
      <c r="BC134">
        <v>0</v>
      </c>
      <c r="BD134">
        <v>9.9988753333333305E-2</v>
      </c>
      <c r="BE134">
        <v>0</v>
      </c>
      <c r="BF134">
        <v>25</v>
      </c>
      <c r="BG134">
        <v>8244.3979999999992</v>
      </c>
      <c r="BH134">
        <v>1769202258.0999999</v>
      </c>
      <c r="BI134" t="s">
        <v>491</v>
      </c>
      <c r="BJ134">
        <v>1769202254.0999999</v>
      </c>
      <c r="BK134">
        <v>1769202258.0999999</v>
      </c>
      <c r="BL134">
        <v>16</v>
      </c>
      <c r="BM134">
        <v>3.5000000000000003E-2</v>
      </c>
      <c r="BN134">
        <v>-5.0999999999999997E-2</v>
      </c>
      <c r="BO134">
        <v>-0.74299999999999999</v>
      </c>
      <c r="BP134">
        <v>7.0999999999999994E-2</v>
      </c>
      <c r="BQ134">
        <v>410</v>
      </c>
      <c r="BR134">
        <v>14</v>
      </c>
      <c r="BS134">
        <v>0.16</v>
      </c>
      <c r="BT134">
        <v>0.06</v>
      </c>
      <c r="BU134">
        <v>-0.64104629999999996</v>
      </c>
      <c r="BV134">
        <v>3.08165413533954E-3</v>
      </c>
      <c r="BW134">
        <v>2.52057519489104E-2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1.5542495000000001</v>
      </c>
      <c r="CD134">
        <v>0.11501097744361199</v>
      </c>
      <c r="CE134">
        <v>1.2303912578932E-2</v>
      </c>
      <c r="CF134">
        <v>0</v>
      </c>
      <c r="CG134">
        <v>1</v>
      </c>
      <c r="CH134">
        <v>2</v>
      </c>
      <c r="CI134" t="s">
        <v>302</v>
      </c>
      <c r="CJ134">
        <v>3.5325600000000001</v>
      </c>
      <c r="CK134">
        <v>2.7014900000000002</v>
      </c>
      <c r="CL134">
        <v>9.7916799999999998E-2</v>
      </c>
      <c r="CM134">
        <v>9.6681900000000001E-2</v>
      </c>
      <c r="CN134">
        <v>8.7103100000000003E-2</v>
      </c>
      <c r="CO134">
        <v>7.9497899999999996E-2</v>
      </c>
      <c r="CP134">
        <v>31621.3</v>
      </c>
      <c r="CQ134">
        <v>27827.1</v>
      </c>
      <c r="CR134">
        <v>32444.400000000001</v>
      </c>
      <c r="CS134">
        <v>30733.4</v>
      </c>
      <c r="CT134">
        <v>40114.400000000001</v>
      </c>
      <c r="CU134">
        <v>39795</v>
      </c>
      <c r="CV134">
        <v>47391.9</v>
      </c>
      <c r="CW134">
        <v>46881.1</v>
      </c>
      <c r="CX134">
        <v>2.6198399999999999</v>
      </c>
      <c r="CY134">
        <v>2.1180599999999998</v>
      </c>
      <c r="CZ134">
        <v>0</v>
      </c>
      <c r="DA134">
        <v>0</v>
      </c>
      <c r="DB134">
        <v>999.9</v>
      </c>
      <c r="DC134">
        <v>999.9</v>
      </c>
      <c r="DD134">
        <v>45.164999999999999</v>
      </c>
      <c r="DE134">
        <v>28.802</v>
      </c>
      <c r="DF134">
        <v>17.9102</v>
      </c>
      <c r="DG134">
        <v>30.43</v>
      </c>
      <c r="DH134">
        <v>16.362200000000001</v>
      </c>
      <c r="DI134">
        <v>2</v>
      </c>
      <c r="DJ134">
        <v>-9.7680900000000001E-2</v>
      </c>
      <c r="DK134">
        <v>2.4324300000000001</v>
      </c>
      <c r="DL134">
        <v>20.205100000000002</v>
      </c>
      <c r="DM134">
        <v>5.2505899999999999</v>
      </c>
      <c r="DN134">
        <v>12.033899999999999</v>
      </c>
      <c r="DO134">
        <v>4.9668799999999997</v>
      </c>
      <c r="DP134">
        <v>3.2909999999999999</v>
      </c>
      <c r="DQ134">
        <v>538.29999999999995</v>
      </c>
      <c r="DR134">
        <v>9999</v>
      </c>
      <c r="DS134">
        <v>9999</v>
      </c>
      <c r="DT134">
        <v>9999</v>
      </c>
      <c r="DU134">
        <v>1.8711800000000001</v>
      </c>
      <c r="DV134">
        <v>1.8761399999999999</v>
      </c>
      <c r="DW134">
        <v>1.8763399999999999</v>
      </c>
      <c r="DX134">
        <v>1.8828400000000001</v>
      </c>
      <c r="DY134">
        <v>1.87561</v>
      </c>
      <c r="DZ134">
        <v>1.8746799999999999</v>
      </c>
      <c r="EA134">
        <v>1.87086</v>
      </c>
      <c r="EB134">
        <v>1.8746499999999999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-0.74299999999999999</v>
      </c>
      <c r="EQ134">
        <v>7.0699999999999999E-2</v>
      </c>
      <c r="ER134">
        <v>-0.74350000000000005</v>
      </c>
      <c r="ES134">
        <v>0</v>
      </c>
      <c r="ET134">
        <v>0</v>
      </c>
      <c r="EU134">
        <v>0</v>
      </c>
      <c r="EV134">
        <v>7.0740000000000705E-2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7.2</v>
      </c>
      <c r="FE134">
        <v>7.1</v>
      </c>
      <c r="FF134">
        <v>1.24512</v>
      </c>
      <c r="FG134">
        <v>2.6074199999999998</v>
      </c>
      <c r="FH134">
        <v>2.19604</v>
      </c>
      <c r="FI134">
        <v>2.65991</v>
      </c>
      <c r="FJ134">
        <v>2.4462899999999999</v>
      </c>
      <c r="FK134">
        <v>2.2912599999999999</v>
      </c>
      <c r="FL134">
        <v>33.020600000000002</v>
      </c>
      <c r="FM134">
        <v>24.14</v>
      </c>
      <c r="FN134">
        <v>19</v>
      </c>
      <c r="FO134">
        <v>865.79</v>
      </c>
      <c r="FP134">
        <v>569.39800000000002</v>
      </c>
      <c r="FQ134">
        <v>18.046700000000001</v>
      </c>
      <c r="FR134">
        <v>25.724399999999999</v>
      </c>
      <c r="FS134">
        <v>30.000299999999999</v>
      </c>
      <c r="FT134">
        <v>25.7041</v>
      </c>
      <c r="FU134">
        <v>25.7074</v>
      </c>
      <c r="FV134">
        <v>24.9848</v>
      </c>
      <c r="FW134">
        <v>25.6873</v>
      </c>
      <c r="FX134">
        <v>12.1271</v>
      </c>
      <c r="FY134">
        <v>18.078700000000001</v>
      </c>
      <c r="FZ134">
        <v>410</v>
      </c>
      <c r="GA134">
        <v>13.8613</v>
      </c>
      <c r="GB134">
        <v>99.853200000000001</v>
      </c>
      <c r="GC134">
        <v>99.79</v>
      </c>
    </row>
    <row r="135" spans="1:185" x14ac:dyDescent="0.2">
      <c r="A135">
        <v>120</v>
      </c>
      <c r="B135">
        <v>1769202699</v>
      </c>
      <c r="C135">
        <v>2428</v>
      </c>
      <c r="D135" t="s">
        <v>536</v>
      </c>
      <c r="E135" t="s">
        <v>537</v>
      </c>
      <c r="F135">
        <v>15</v>
      </c>
      <c r="G135">
        <v>1769202690.9333301</v>
      </c>
      <c r="H135">
        <f t="shared" si="38"/>
        <v>1.2475616172824297E-3</v>
      </c>
      <c r="I135">
        <v>0</v>
      </c>
      <c r="J135">
        <f t="shared" si="37"/>
        <v>5.044284188144328E-4</v>
      </c>
      <c r="K135">
        <f t="shared" si="39"/>
        <v>1.3003445964571444E-2</v>
      </c>
      <c r="L135">
        <f t="shared" si="40"/>
        <v>69.890851960214135</v>
      </c>
      <c r="M135">
        <f t="shared" si="41"/>
        <v>1.5410995272195058</v>
      </c>
      <c r="N135">
        <f t="shared" si="42"/>
        <v>2.2050089303486922</v>
      </c>
      <c r="O135">
        <v>0</v>
      </c>
      <c r="P135">
        <v>0</v>
      </c>
      <c r="Q135">
        <f t="shared" si="43"/>
        <v>1</v>
      </c>
      <c r="R135">
        <f t="shared" si="44"/>
        <v>0</v>
      </c>
      <c r="S135">
        <f t="shared" si="45"/>
        <v>26286.88713065736</v>
      </c>
      <c r="T135">
        <f t="shared" si="46"/>
        <v>500.00006666666701</v>
      </c>
      <c r="U135">
        <f t="shared" si="47"/>
        <v>421.49978839996459</v>
      </c>
      <c r="V135">
        <f t="shared" si="48"/>
        <v>0.84299946439999995</v>
      </c>
      <c r="W135">
        <f t="shared" si="49"/>
        <v>0.15869894682399999</v>
      </c>
      <c r="X135">
        <v>1</v>
      </c>
      <c r="Y135">
        <v>1769202690.9333301</v>
      </c>
      <c r="Z135">
        <v>409.34233333333299</v>
      </c>
      <c r="AA135">
        <v>409.996933333333</v>
      </c>
      <c r="AB135">
        <v>15.3617333333333</v>
      </c>
      <c r="AC135">
        <v>13.8262466666667</v>
      </c>
      <c r="AD135">
        <v>410.08580000000001</v>
      </c>
      <c r="AE135">
        <v>15.290979999999999</v>
      </c>
      <c r="AF135">
        <v>800.00493333333304</v>
      </c>
      <c r="AG135">
        <v>100.257066666667</v>
      </c>
      <c r="AH135">
        <v>6.3612893333333295E-2</v>
      </c>
      <c r="AI135">
        <v>18.998753333333301</v>
      </c>
      <c r="AJ135">
        <v>999.9</v>
      </c>
      <c r="AK135">
        <v>999.9</v>
      </c>
      <c r="AL135">
        <v>0</v>
      </c>
      <c r="AM135">
        <v>0</v>
      </c>
      <c r="AN135">
        <v>4999.5333333333301</v>
      </c>
      <c r="AO135">
        <v>0</v>
      </c>
      <c r="AP135">
        <v>1.5244200000000001</v>
      </c>
      <c r="AQ135">
        <v>-0.65481560000000005</v>
      </c>
      <c r="AR135">
        <v>415.72859999999997</v>
      </c>
      <c r="AS135">
        <v>415.74526666666702</v>
      </c>
      <c r="AT135">
        <v>1.5354813333333299</v>
      </c>
      <c r="AU135">
        <v>409.996933333333</v>
      </c>
      <c r="AV135">
        <v>13.8262466666667</v>
      </c>
      <c r="AW135">
        <v>1.5401213333333299</v>
      </c>
      <c r="AX135">
        <v>1.38617733333333</v>
      </c>
      <c r="AY135">
        <v>13.372393333333299</v>
      </c>
      <c r="AZ135">
        <v>11.7672666666667</v>
      </c>
      <c r="BA135">
        <v>500.00006666666701</v>
      </c>
      <c r="BB135">
        <v>0.90001359999999997</v>
      </c>
      <c r="BC135">
        <v>0</v>
      </c>
      <c r="BD135">
        <v>9.9986253333333303E-2</v>
      </c>
      <c r="BE135">
        <v>0</v>
      </c>
      <c r="BF135">
        <v>25</v>
      </c>
      <c r="BG135">
        <v>8244.4259999999995</v>
      </c>
      <c r="BH135">
        <v>1769202258.0999999</v>
      </c>
      <c r="BI135" t="s">
        <v>491</v>
      </c>
      <c r="BJ135">
        <v>1769202254.0999999</v>
      </c>
      <c r="BK135">
        <v>1769202258.0999999</v>
      </c>
      <c r="BL135">
        <v>16</v>
      </c>
      <c r="BM135">
        <v>3.5000000000000003E-2</v>
      </c>
      <c r="BN135">
        <v>-5.0999999999999997E-2</v>
      </c>
      <c r="BO135">
        <v>-0.74299999999999999</v>
      </c>
      <c r="BP135">
        <v>7.0999999999999994E-2</v>
      </c>
      <c r="BQ135">
        <v>410</v>
      </c>
      <c r="BR135">
        <v>14</v>
      </c>
      <c r="BS135">
        <v>0.16</v>
      </c>
      <c r="BT135">
        <v>0.06</v>
      </c>
      <c r="BU135">
        <v>-0.65088614285714297</v>
      </c>
      <c r="BV135">
        <v>-0.12740696103896201</v>
      </c>
      <c r="BW135">
        <v>2.42694494164905E-2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1.5452404761904801</v>
      </c>
      <c r="CD135">
        <v>-0.13570441558441301</v>
      </c>
      <c r="CE135">
        <v>1.95126214284841E-2</v>
      </c>
      <c r="CF135">
        <v>0</v>
      </c>
      <c r="CG135">
        <v>1</v>
      </c>
      <c r="CH135">
        <v>2</v>
      </c>
      <c r="CI135" t="s">
        <v>302</v>
      </c>
      <c r="CJ135">
        <v>3.5324800000000001</v>
      </c>
      <c r="CK135">
        <v>2.7015600000000002</v>
      </c>
      <c r="CL135">
        <v>9.7909499999999997E-2</v>
      </c>
      <c r="CM135">
        <v>9.6685900000000005E-2</v>
      </c>
      <c r="CN135">
        <v>8.7187600000000004E-2</v>
      </c>
      <c r="CO135">
        <v>7.96954E-2</v>
      </c>
      <c r="CP135">
        <v>31621.5</v>
      </c>
      <c r="CQ135">
        <v>27826.2</v>
      </c>
      <c r="CR135">
        <v>32444.400000000001</v>
      </c>
      <c r="CS135">
        <v>30732.6</v>
      </c>
      <c r="CT135">
        <v>40111</v>
      </c>
      <c r="CU135">
        <v>39785.1</v>
      </c>
      <c r="CV135">
        <v>47392.3</v>
      </c>
      <c r="CW135">
        <v>46879.7</v>
      </c>
      <c r="CX135">
        <v>2.6198199999999998</v>
      </c>
      <c r="CY135">
        <v>2.1179000000000001</v>
      </c>
      <c r="CZ135">
        <v>0</v>
      </c>
      <c r="DA135">
        <v>0</v>
      </c>
      <c r="DB135">
        <v>999.9</v>
      </c>
      <c r="DC135">
        <v>999.9</v>
      </c>
      <c r="DD135">
        <v>45.140999999999998</v>
      </c>
      <c r="DE135">
        <v>28.802</v>
      </c>
      <c r="DF135">
        <v>17.900400000000001</v>
      </c>
      <c r="DG135">
        <v>30.49</v>
      </c>
      <c r="DH135">
        <v>16.494399999999999</v>
      </c>
      <c r="DI135">
        <v>2</v>
      </c>
      <c r="DJ135">
        <v>-9.7331299999999996E-2</v>
      </c>
      <c r="DK135">
        <v>2.41642</v>
      </c>
      <c r="DL135">
        <v>20.205200000000001</v>
      </c>
      <c r="DM135">
        <v>5.2498800000000001</v>
      </c>
      <c r="DN135">
        <v>12.033899999999999</v>
      </c>
      <c r="DO135">
        <v>4.9669999999999996</v>
      </c>
      <c r="DP135">
        <v>3.2909999999999999</v>
      </c>
      <c r="DQ135">
        <v>538.29999999999995</v>
      </c>
      <c r="DR135">
        <v>9999</v>
      </c>
      <c r="DS135">
        <v>9999</v>
      </c>
      <c r="DT135">
        <v>9999</v>
      </c>
      <c r="DU135">
        <v>1.8711899999999999</v>
      </c>
      <c r="DV135">
        <v>1.87616</v>
      </c>
      <c r="DW135">
        <v>1.8763700000000001</v>
      </c>
      <c r="DX135">
        <v>1.8828800000000001</v>
      </c>
      <c r="DY135">
        <v>1.87561</v>
      </c>
      <c r="DZ135">
        <v>1.87469</v>
      </c>
      <c r="EA135">
        <v>1.8708800000000001</v>
      </c>
      <c r="EB135">
        <v>1.87469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-0.74399999999999999</v>
      </c>
      <c r="EQ135">
        <v>7.0800000000000002E-2</v>
      </c>
      <c r="ER135">
        <v>-0.74350000000000005</v>
      </c>
      <c r="ES135">
        <v>0</v>
      </c>
      <c r="ET135">
        <v>0</v>
      </c>
      <c r="EU135">
        <v>0</v>
      </c>
      <c r="EV135">
        <v>7.0740000000000705E-2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7.4</v>
      </c>
      <c r="FE135">
        <v>7.3</v>
      </c>
      <c r="FF135">
        <v>1.24512</v>
      </c>
      <c r="FG135">
        <v>2.6061999999999999</v>
      </c>
      <c r="FH135">
        <v>2.19604</v>
      </c>
      <c r="FI135">
        <v>2.65991</v>
      </c>
      <c r="FJ135">
        <v>2.4462899999999999</v>
      </c>
      <c r="FK135">
        <v>2.32178</v>
      </c>
      <c r="FL135">
        <v>33.020600000000002</v>
      </c>
      <c r="FM135">
        <v>24.14</v>
      </c>
      <c r="FN135">
        <v>19</v>
      </c>
      <c r="FO135">
        <v>865.875</v>
      </c>
      <c r="FP135">
        <v>569.34199999999998</v>
      </c>
      <c r="FQ135">
        <v>18.084700000000002</v>
      </c>
      <c r="FR135">
        <v>25.731400000000001</v>
      </c>
      <c r="FS135">
        <v>30.0002</v>
      </c>
      <c r="FT135">
        <v>25.710599999999999</v>
      </c>
      <c r="FU135">
        <v>25.7135</v>
      </c>
      <c r="FV135">
        <v>24.984300000000001</v>
      </c>
      <c r="FW135">
        <v>25.6873</v>
      </c>
      <c r="FX135">
        <v>12.1271</v>
      </c>
      <c r="FY135">
        <v>18.081700000000001</v>
      </c>
      <c r="FZ135">
        <v>410</v>
      </c>
      <c r="GA135">
        <v>13.8567</v>
      </c>
      <c r="GB135">
        <v>99.853800000000007</v>
      </c>
      <c r="GC135">
        <v>99.787300000000002</v>
      </c>
    </row>
    <row r="136" spans="1:185" x14ac:dyDescent="0.2">
      <c r="A136">
        <v>121</v>
      </c>
      <c r="B136">
        <v>1769202714</v>
      </c>
      <c r="C136">
        <v>2443</v>
      </c>
      <c r="D136" t="s">
        <v>538</v>
      </c>
      <c r="E136" t="s">
        <v>539</v>
      </c>
      <c r="F136">
        <v>15</v>
      </c>
      <c r="G136">
        <v>1769202705.9333301</v>
      </c>
      <c r="H136">
        <f t="shared" si="38"/>
        <v>1.2534841056770381E-3</v>
      </c>
      <c r="I136">
        <v>0</v>
      </c>
      <c r="J136">
        <f t="shared" si="37"/>
        <v>8.0534064757000921E-4</v>
      </c>
      <c r="K136">
        <f t="shared" si="39"/>
        <v>2.076053450430608E-2</v>
      </c>
      <c r="L136">
        <f t="shared" si="40"/>
        <v>69.942801587221197</v>
      </c>
      <c r="M136">
        <f t="shared" si="41"/>
        <v>1.5424554814868958</v>
      </c>
      <c r="N136">
        <f t="shared" si="42"/>
        <v>2.2053098338696056</v>
      </c>
      <c r="O136">
        <v>0</v>
      </c>
      <c r="P136">
        <v>0</v>
      </c>
      <c r="Q136">
        <f t="shared" si="43"/>
        <v>1</v>
      </c>
      <c r="R136">
        <f t="shared" si="44"/>
        <v>0</v>
      </c>
      <c r="S136">
        <f t="shared" si="45"/>
        <v>26316.10424376644</v>
      </c>
      <c r="T136">
        <f t="shared" si="46"/>
        <v>499.99900000000002</v>
      </c>
      <c r="U136">
        <f t="shared" si="47"/>
        <v>421.49891120049176</v>
      </c>
      <c r="V136">
        <f t="shared" si="48"/>
        <v>0.84299950840000026</v>
      </c>
      <c r="W136">
        <f t="shared" si="49"/>
        <v>0.15869853714400006</v>
      </c>
      <c r="X136">
        <v>1</v>
      </c>
      <c r="Y136">
        <v>1769202705.9333301</v>
      </c>
      <c r="Z136">
        <v>409.34699999999998</v>
      </c>
      <c r="AA136">
        <v>410.01433333333301</v>
      </c>
      <c r="AB136">
        <v>15.375220000000001</v>
      </c>
      <c r="AC136">
        <v>13.832466666666701</v>
      </c>
      <c r="AD136">
        <v>410.090466666667</v>
      </c>
      <c r="AE136">
        <v>15.30448</v>
      </c>
      <c r="AF136">
        <v>800.00573333333296</v>
      </c>
      <c r="AG136">
        <v>100.2572</v>
      </c>
      <c r="AH136">
        <v>6.3672253333333304E-2</v>
      </c>
      <c r="AI136">
        <v>19.00094</v>
      </c>
      <c r="AJ136">
        <v>999.9</v>
      </c>
      <c r="AK136">
        <v>999.9</v>
      </c>
      <c r="AL136">
        <v>0</v>
      </c>
      <c r="AM136">
        <v>0</v>
      </c>
      <c r="AN136">
        <v>5004.3666666666704</v>
      </c>
      <c r="AO136">
        <v>0</v>
      </c>
      <c r="AP136">
        <v>1.5244200000000001</v>
      </c>
      <c r="AQ136">
        <v>-0.66751706666666699</v>
      </c>
      <c r="AR136">
        <v>415.73899999999998</v>
      </c>
      <c r="AS136">
        <v>415.7654</v>
      </c>
      <c r="AT136">
        <v>1.5427566666666701</v>
      </c>
      <c r="AU136">
        <v>410.01433333333301</v>
      </c>
      <c r="AV136">
        <v>13.832466666666701</v>
      </c>
      <c r="AW136">
        <v>1.5414779999999999</v>
      </c>
      <c r="AX136">
        <v>1.38680266666667</v>
      </c>
      <c r="AY136">
        <v>13.38588</v>
      </c>
      <c r="AZ136">
        <v>11.7741066666667</v>
      </c>
      <c r="BA136">
        <v>499.99900000000002</v>
      </c>
      <c r="BB136">
        <v>0.900019866666667</v>
      </c>
      <c r="BC136">
        <v>0</v>
      </c>
      <c r="BD136">
        <v>9.9980253333333394E-2</v>
      </c>
      <c r="BE136">
        <v>0</v>
      </c>
      <c r="BF136">
        <v>25</v>
      </c>
      <c r="BG136">
        <v>8244.4226666666691</v>
      </c>
      <c r="BH136">
        <v>1769202258.0999999</v>
      </c>
      <c r="BI136" t="s">
        <v>491</v>
      </c>
      <c r="BJ136">
        <v>1769202254.0999999</v>
      </c>
      <c r="BK136">
        <v>1769202258.0999999</v>
      </c>
      <c r="BL136">
        <v>16</v>
      </c>
      <c r="BM136">
        <v>3.5000000000000003E-2</v>
      </c>
      <c r="BN136">
        <v>-5.0999999999999997E-2</v>
      </c>
      <c r="BO136">
        <v>-0.74299999999999999</v>
      </c>
      <c r="BP136">
        <v>7.0999999999999994E-2</v>
      </c>
      <c r="BQ136">
        <v>410</v>
      </c>
      <c r="BR136">
        <v>14</v>
      </c>
      <c r="BS136">
        <v>0.16</v>
      </c>
      <c r="BT136">
        <v>0.06</v>
      </c>
      <c r="BU136">
        <v>-0.67222285000000004</v>
      </c>
      <c r="BV136">
        <v>6.6322511278194399E-2</v>
      </c>
      <c r="BW136">
        <v>1.7789758461752701E-2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1.5418285</v>
      </c>
      <c r="CD136">
        <v>3.06717293233096E-2</v>
      </c>
      <c r="CE136">
        <v>3.3019574118998102E-3</v>
      </c>
      <c r="CF136">
        <v>1</v>
      </c>
      <c r="CG136">
        <v>2</v>
      </c>
      <c r="CH136">
        <v>2</v>
      </c>
      <c r="CI136" t="s">
        <v>297</v>
      </c>
      <c r="CJ136">
        <v>3.5325799999999998</v>
      </c>
      <c r="CK136">
        <v>2.7014399999999998</v>
      </c>
      <c r="CL136">
        <v>9.79072E-2</v>
      </c>
      <c r="CM136">
        <v>9.6676799999999993E-2</v>
      </c>
      <c r="CN136">
        <v>8.72198E-2</v>
      </c>
      <c r="CO136">
        <v>7.9675999999999997E-2</v>
      </c>
      <c r="CP136">
        <v>31620.6</v>
      </c>
      <c r="CQ136">
        <v>27826.1</v>
      </c>
      <c r="CR136">
        <v>32443.4</v>
      </c>
      <c r="CS136">
        <v>30732.2</v>
      </c>
      <c r="CT136">
        <v>40108.300000000003</v>
      </c>
      <c r="CU136">
        <v>39785.5</v>
      </c>
      <c r="CV136">
        <v>47390.9</v>
      </c>
      <c r="CW136">
        <v>46879.199999999997</v>
      </c>
      <c r="CX136">
        <v>2.61978</v>
      </c>
      <c r="CY136">
        <v>2.1178599999999999</v>
      </c>
      <c r="CZ136">
        <v>0</v>
      </c>
      <c r="DA136">
        <v>0</v>
      </c>
      <c r="DB136">
        <v>999.9</v>
      </c>
      <c r="DC136">
        <v>999.9</v>
      </c>
      <c r="DD136">
        <v>45.116999999999997</v>
      </c>
      <c r="DE136">
        <v>28.802</v>
      </c>
      <c r="DF136">
        <v>17.891500000000001</v>
      </c>
      <c r="DG136">
        <v>30.28</v>
      </c>
      <c r="DH136">
        <v>16.362200000000001</v>
      </c>
      <c r="DI136">
        <v>2</v>
      </c>
      <c r="DJ136">
        <v>-9.6682900000000002E-2</v>
      </c>
      <c r="DK136">
        <v>2.4243399999999999</v>
      </c>
      <c r="DL136">
        <v>20.205200000000001</v>
      </c>
      <c r="DM136">
        <v>5.2498800000000001</v>
      </c>
      <c r="DN136">
        <v>12.033899999999999</v>
      </c>
      <c r="DO136">
        <v>4.9670399999999999</v>
      </c>
      <c r="DP136">
        <v>3.2909999999999999</v>
      </c>
      <c r="DQ136">
        <v>538.29999999999995</v>
      </c>
      <c r="DR136">
        <v>9999</v>
      </c>
      <c r="DS136">
        <v>9999</v>
      </c>
      <c r="DT136">
        <v>9999</v>
      </c>
      <c r="DU136">
        <v>1.8711800000000001</v>
      </c>
      <c r="DV136">
        <v>1.87612</v>
      </c>
      <c r="DW136">
        <v>1.87636</v>
      </c>
      <c r="DX136">
        <v>1.8828100000000001</v>
      </c>
      <c r="DY136">
        <v>1.87561</v>
      </c>
      <c r="DZ136">
        <v>1.87469</v>
      </c>
      <c r="EA136">
        <v>1.87086</v>
      </c>
      <c r="EB136">
        <v>1.8746400000000001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-0.74299999999999999</v>
      </c>
      <c r="EQ136">
        <v>7.0800000000000002E-2</v>
      </c>
      <c r="ER136">
        <v>-0.74350000000000005</v>
      </c>
      <c r="ES136">
        <v>0</v>
      </c>
      <c r="ET136">
        <v>0</v>
      </c>
      <c r="EU136">
        <v>0</v>
      </c>
      <c r="EV136">
        <v>7.0740000000000705E-2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7.7</v>
      </c>
      <c r="FE136">
        <v>7.6</v>
      </c>
      <c r="FF136">
        <v>1.24512</v>
      </c>
      <c r="FG136">
        <v>2.6086399999999998</v>
      </c>
      <c r="FH136">
        <v>2.19604</v>
      </c>
      <c r="FI136">
        <v>2.66113</v>
      </c>
      <c r="FJ136">
        <v>2.4462899999999999</v>
      </c>
      <c r="FK136">
        <v>2.2717299999999998</v>
      </c>
      <c r="FL136">
        <v>33.020600000000002</v>
      </c>
      <c r="FM136">
        <v>24.1313</v>
      </c>
      <c r="FN136">
        <v>19</v>
      </c>
      <c r="FO136">
        <v>865.92100000000005</v>
      </c>
      <c r="FP136">
        <v>569.36800000000005</v>
      </c>
      <c r="FQ136">
        <v>18.083400000000001</v>
      </c>
      <c r="FR136">
        <v>25.738299999999999</v>
      </c>
      <c r="FS136">
        <v>30.0002</v>
      </c>
      <c r="FT136">
        <v>25.715800000000002</v>
      </c>
      <c r="FU136">
        <v>25.718699999999998</v>
      </c>
      <c r="FV136">
        <v>24.9833</v>
      </c>
      <c r="FW136">
        <v>25.6873</v>
      </c>
      <c r="FX136">
        <v>12.1271</v>
      </c>
      <c r="FY136">
        <v>18.081600000000002</v>
      </c>
      <c r="FZ136">
        <v>410</v>
      </c>
      <c r="GA136">
        <v>13.8567</v>
      </c>
      <c r="GB136">
        <v>99.850800000000007</v>
      </c>
      <c r="GC136">
        <v>99.786100000000005</v>
      </c>
    </row>
    <row r="137" spans="1:185" x14ac:dyDescent="0.2">
      <c r="A137">
        <v>122</v>
      </c>
      <c r="B137">
        <v>1769202830</v>
      </c>
      <c r="C137">
        <v>2559</v>
      </c>
      <c r="D137" t="s">
        <v>540</v>
      </c>
      <c r="E137" t="s">
        <v>541</v>
      </c>
      <c r="F137">
        <v>15</v>
      </c>
      <c r="G137">
        <v>1769202822</v>
      </c>
      <c r="H137">
        <f t="shared" si="38"/>
        <v>-1.4348662454527949E-3</v>
      </c>
      <c r="I137">
        <v>0</v>
      </c>
      <c r="J137">
        <f t="shared" si="37"/>
        <v>-0.50541707070538722</v>
      </c>
      <c r="K137">
        <f t="shared" si="39"/>
        <v>-13.028932001761842</v>
      </c>
      <c r="L137">
        <f t="shared" si="40"/>
        <v>63.88857837230676</v>
      </c>
      <c r="M137">
        <f t="shared" si="41"/>
        <v>1.41893173820556</v>
      </c>
      <c r="N137">
        <f t="shared" si="42"/>
        <v>2.2209474280939898</v>
      </c>
      <c r="O137">
        <v>0</v>
      </c>
      <c r="P137">
        <v>0</v>
      </c>
      <c r="Q137">
        <f t="shared" si="43"/>
        <v>1</v>
      </c>
      <c r="R137">
        <f t="shared" si="44"/>
        <v>0</v>
      </c>
      <c r="S137">
        <f t="shared" si="45"/>
        <v>26282.973322316495</v>
      </c>
      <c r="T137">
        <f t="shared" si="46"/>
        <v>799.99433333333297</v>
      </c>
      <c r="U137">
        <f t="shared" si="47"/>
        <v>674.39535739904761</v>
      </c>
      <c r="V137">
        <f t="shared" si="48"/>
        <v>0.84300016799999988</v>
      </c>
      <c r="W137">
        <f t="shared" si="49"/>
        <v>0.15870042000000001</v>
      </c>
      <c r="X137">
        <v>1</v>
      </c>
      <c r="Y137">
        <v>1769202822</v>
      </c>
      <c r="Z137">
        <v>426.99313333333299</v>
      </c>
      <c r="AA137">
        <v>409.9418</v>
      </c>
      <c r="AB137">
        <v>14.142480000000001</v>
      </c>
      <c r="AC137">
        <v>15.910626666666699</v>
      </c>
      <c r="AD137">
        <v>427.73666666666702</v>
      </c>
      <c r="AE137">
        <v>14.071733333333301</v>
      </c>
      <c r="AF137">
        <v>800.03186666666704</v>
      </c>
      <c r="AG137">
        <v>100.267866666667</v>
      </c>
      <c r="AH137">
        <v>6.3315573333333305E-2</v>
      </c>
      <c r="AI137">
        <v>19.11422</v>
      </c>
      <c r="AJ137">
        <v>999.9</v>
      </c>
      <c r="AK137">
        <v>999.9</v>
      </c>
      <c r="AL137">
        <v>0</v>
      </c>
      <c r="AM137">
        <v>0</v>
      </c>
      <c r="AN137">
        <v>5000.1333333333296</v>
      </c>
      <c r="AO137">
        <v>0</v>
      </c>
      <c r="AP137">
        <v>1.5244200000000001</v>
      </c>
      <c r="AQ137">
        <v>17.051345333333298</v>
      </c>
      <c r="AR137">
        <v>433.11353333333301</v>
      </c>
      <c r="AS137">
        <v>416.56966666666699</v>
      </c>
      <c r="AT137">
        <v>-1.7681528666666699</v>
      </c>
      <c r="AU137">
        <v>409.9418</v>
      </c>
      <c r="AV137">
        <v>15.910626666666699</v>
      </c>
      <c r="AW137">
        <v>1.4180299999999999</v>
      </c>
      <c r="AX137">
        <v>1.5953246666666701</v>
      </c>
      <c r="AY137">
        <v>12.085660000000001</v>
      </c>
      <c r="AZ137">
        <v>13.9131933333333</v>
      </c>
      <c r="BA137">
        <v>799.99433333333297</v>
      </c>
      <c r="BB137">
        <v>0.89999439999999997</v>
      </c>
      <c r="BC137">
        <v>0</v>
      </c>
      <c r="BD137">
        <v>0.1000056</v>
      </c>
      <c r="BE137">
        <v>0</v>
      </c>
      <c r="BF137">
        <v>25</v>
      </c>
      <c r="BG137">
        <v>13190.913333333299</v>
      </c>
      <c r="BH137">
        <v>1769202258.0999999</v>
      </c>
      <c r="BI137" t="s">
        <v>491</v>
      </c>
      <c r="BJ137">
        <v>1769202254.0999999</v>
      </c>
      <c r="BK137">
        <v>1769202258.0999999</v>
      </c>
      <c r="BL137">
        <v>16</v>
      </c>
      <c r="BM137">
        <v>3.5000000000000003E-2</v>
      </c>
      <c r="BN137">
        <v>-5.0999999999999997E-2</v>
      </c>
      <c r="BO137">
        <v>-0.74299999999999999</v>
      </c>
      <c r="BP137">
        <v>7.0999999999999994E-2</v>
      </c>
      <c r="BQ137">
        <v>410</v>
      </c>
      <c r="BR137">
        <v>14</v>
      </c>
      <c r="BS137">
        <v>0.16</v>
      </c>
      <c r="BT137">
        <v>0.06</v>
      </c>
      <c r="BU137">
        <v>22.2968680952381</v>
      </c>
      <c r="BV137">
        <v>-74.782254545454506</v>
      </c>
      <c r="BW137">
        <v>8.7804610230722897</v>
      </c>
      <c r="BX137">
        <v>0</v>
      </c>
      <c r="BY137">
        <v>0</v>
      </c>
      <c r="BZ137">
        <v>0</v>
      </c>
      <c r="CA137">
        <v>0</v>
      </c>
      <c r="CB137">
        <v>-1</v>
      </c>
      <c r="CC137">
        <v>-2.6376353809523798</v>
      </c>
      <c r="CD137">
        <v>12.207878961039</v>
      </c>
      <c r="CE137">
        <v>1.3814308679402501</v>
      </c>
      <c r="CF137">
        <v>0</v>
      </c>
      <c r="CG137">
        <v>0</v>
      </c>
      <c r="CH137">
        <v>2</v>
      </c>
      <c r="CI137" t="s">
        <v>290</v>
      </c>
      <c r="CJ137">
        <v>3.5325299999999999</v>
      </c>
      <c r="CK137">
        <v>2.7010399999999999</v>
      </c>
      <c r="CL137">
        <v>9.9504099999999998E-2</v>
      </c>
      <c r="CM137">
        <v>9.6663100000000002E-2</v>
      </c>
      <c r="CN137">
        <v>8.7329299999999999E-2</v>
      </c>
      <c r="CO137">
        <v>8.9627999999999999E-2</v>
      </c>
      <c r="CP137">
        <v>31561.7</v>
      </c>
      <c r="CQ137">
        <v>27822.1</v>
      </c>
      <c r="CR137">
        <v>32440.6</v>
      </c>
      <c r="CS137">
        <v>30727.4</v>
      </c>
      <c r="CT137">
        <v>40100.300000000003</v>
      </c>
      <c r="CU137">
        <v>39337</v>
      </c>
      <c r="CV137">
        <v>47386.9</v>
      </c>
      <c r="CW137">
        <v>46872</v>
      </c>
      <c r="CX137">
        <v>2.6164000000000001</v>
      </c>
      <c r="CY137">
        <v>2.1221999999999999</v>
      </c>
      <c r="CZ137">
        <v>0</v>
      </c>
      <c r="DA137">
        <v>0</v>
      </c>
      <c r="DB137">
        <v>999.9</v>
      </c>
      <c r="DC137">
        <v>999.9</v>
      </c>
      <c r="DD137">
        <v>45.715000000000003</v>
      </c>
      <c r="DE137">
        <v>28.812000000000001</v>
      </c>
      <c r="DF137">
        <v>18.139500000000002</v>
      </c>
      <c r="DG137">
        <v>30.66</v>
      </c>
      <c r="DH137">
        <v>16.366199999999999</v>
      </c>
      <c r="DI137">
        <v>2</v>
      </c>
      <c r="DJ137">
        <v>-8.5693099999999994E-2</v>
      </c>
      <c r="DK137">
        <v>3.9942799999999998</v>
      </c>
      <c r="DL137">
        <v>20.1554</v>
      </c>
      <c r="DM137">
        <v>5.2471199999999998</v>
      </c>
      <c r="DN137">
        <v>12.033899999999999</v>
      </c>
      <c r="DO137">
        <v>4.9667599999999998</v>
      </c>
      <c r="DP137">
        <v>3.2905799999999998</v>
      </c>
      <c r="DQ137">
        <v>538.29999999999995</v>
      </c>
      <c r="DR137">
        <v>9999</v>
      </c>
      <c r="DS137">
        <v>9999</v>
      </c>
      <c r="DT137">
        <v>9999</v>
      </c>
      <c r="DU137">
        <v>1.8710899999999999</v>
      </c>
      <c r="DV137">
        <v>1.87609</v>
      </c>
      <c r="DW137">
        <v>1.8763000000000001</v>
      </c>
      <c r="DX137">
        <v>1.8827799999999999</v>
      </c>
      <c r="DY137">
        <v>1.87558</v>
      </c>
      <c r="DZ137">
        <v>1.8746799999999999</v>
      </c>
      <c r="EA137">
        <v>1.87079</v>
      </c>
      <c r="EB137">
        <v>1.87459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-0.74299999999999999</v>
      </c>
      <c r="EQ137">
        <v>7.0699999999999999E-2</v>
      </c>
      <c r="ER137">
        <v>-0.74350000000000005</v>
      </c>
      <c r="ES137">
        <v>0</v>
      </c>
      <c r="ET137">
        <v>0</v>
      </c>
      <c r="EU137">
        <v>0</v>
      </c>
      <c r="EV137">
        <v>7.0740000000000705E-2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9.6</v>
      </c>
      <c r="FE137">
        <v>9.5</v>
      </c>
      <c r="FF137">
        <v>1.24634</v>
      </c>
      <c r="FG137">
        <v>2.6049799999999999</v>
      </c>
      <c r="FH137">
        <v>2.19604</v>
      </c>
      <c r="FI137">
        <v>2.65991</v>
      </c>
      <c r="FJ137">
        <v>2.4462899999999999</v>
      </c>
      <c r="FK137">
        <v>2.2973599999999998</v>
      </c>
      <c r="FL137">
        <v>33.042900000000003</v>
      </c>
      <c r="FM137">
        <v>24.122499999999999</v>
      </c>
      <c r="FN137">
        <v>19</v>
      </c>
      <c r="FO137">
        <v>863.55</v>
      </c>
      <c r="FP137">
        <v>573.18899999999996</v>
      </c>
      <c r="FQ137">
        <v>17.118600000000001</v>
      </c>
      <c r="FR137">
        <v>25.791699999999999</v>
      </c>
      <c r="FS137">
        <v>30.000900000000001</v>
      </c>
      <c r="FT137">
        <v>25.764399999999998</v>
      </c>
      <c r="FU137">
        <v>25.7653</v>
      </c>
      <c r="FV137">
        <v>25.03</v>
      </c>
      <c r="FW137">
        <v>14.340199999999999</v>
      </c>
      <c r="FX137">
        <v>16.840499999999999</v>
      </c>
      <c r="FY137">
        <v>17.066800000000001</v>
      </c>
      <c r="FZ137">
        <v>410</v>
      </c>
      <c r="GA137">
        <v>15.9901</v>
      </c>
      <c r="GB137">
        <v>99.842200000000005</v>
      </c>
      <c r="GC137">
        <v>99.770700000000005</v>
      </c>
    </row>
    <row r="138" spans="1:185" x14ac:dyDescent="0.2">
      <c r="A138">
        <v>123</v>
      </c>
      <c r="B138">
        <v>1769202845</v>
      </c>
      <c r="C138">
        <v>2574</v>
      </c>
      <c r="D138" t="s">
        <v>542</v>
      </c>
      <c r="E138" t="s">
        <v>543</v>
      </c>
      <c r="F138">
        <v>15</v>
      </c>
      <c r="G138">
        <v>1769202836.9333301</v>
      </c>
      <c r="H138">
        <f t="shared" si="38"/>
        <v>-7.9848683637198512E-5</v>
      </c>
      <c r="I138">
        <v>0</v>
      </c>
      <c r="J138">
        <f t="shared" si="37"/>
        <v>-0.14857399374939825</v>
      </c>
      <c r="K138">
        <f t="shared" si="39"/>
        <v>-3.8300258815742954</v>
      </c>
      <c r="L138">
        <f t="shared" si="40"/>
        <v>72.268259652386803</v>
      </c>
      <c r="M138">
        <f t="shared" si="41"/>
        <v>1.5935467710848616</v>
      </c>
      <c r="N138">
        <f t="shared" si="42"/>
        <v>2.2050437892788408</v>
      </c>
      <c r="O138">
        <v>0</v>
      </c>
      <c r="P138">
        <v>0</v>
      </c>
      <c r="Q138">
        <f t="shared" si="43"/>
        <v>1</v>
      </c>
      <c r="R138">
        <f t="shared" si="44"/>
        <v>0</v>
      </c>
      <c r="S138">
        <f t="shared" si="45"/>
        <v>26305.056415313393</v>
      </c>
      <c r="T138">
        <f t="shared" si="46"/>
        <v>799.99946666666699</v>
      </c>
      <c r="U138">
        <f t="shared" si="47"/>
        <v>674.39955087999965</v>
      </c>
      <c r="V138">
        <f t="shared" si="48"/>
        <v>0.84300000059999958</v>
      </c>
      <c r="W138">
        <f t="shared" si="49"/>
        <v>0.15869991055599994</v>
      </c>
      <c r="X138">
        <v>1</v>
      </c>
      <c r="Y138">
        <v>1769202836.9333301</v>
      </c>
      <c r="Z138">
        <v>414.87366666666702</v>
      </c>
      <c r="AA138">
        <v>410.04466666666701</v>
      </c>
      <c r="AB138">
        <v>15.8838733333333</v>
      </c>
      <c r="AC138">
        <v>15.982100000000001</v>
      </c>
      <c r="AD138">
        <v>415.61706666666697</v>
      </c>
      <c r="AE138">
        <v>15.813140000000001</v>
      </c>
      <c r="AF138">
        <v>799.99026666666703</v>
      </c>
      <c r="AG138">
        <v>100.26153333333301</v>
      </c>
      <c r="AH138">
        <v>6.3289059999999994E-2</v>
      </c>
      <c r="AI138">
        <v>18.999006666666698</v>
      </c>
      <c r="AJ138">
        <v>999.9</v>
      </c>
      <c r="AK138">
        <v>999.9</v>
      </c>
      <c r="AL138">
        <v>0</v>
      </c>
      <c r="AM138">
        <v>0</v>
      </c>
      <c r="AN138">
        <v>5002.3333333333303</v>
      </c>
      <c r="AO138">
        <v>0</v>
      </c>
      <c r="AP138">
        <v>1.5244200000000001</v>
      </c>
      <c r="AQ138">
        <v>4.8289619999999998</v>
      </c>
      <c r="AR138">
        <v>421.56939999999997</v>
      </c>
      <c r="AS138">
        <v>416.70446666666697</v>
      </c>
      <c r="AT138">
        <v>-9.8244893333333305E-2</v>
      </c>
      <c r="AU138">
        <v>410.04466666666701</v>
      </c>
      <c r="AV138">
        <v>15.982100000000001</v>
      </c>
      <c r="AW138">
        <v>1.5925400000000001</v>
      </c>
      <c r="AX138">
        <v>1.60239</v>
      </c>
      <c r="AY138">
        <v>13.8850466666667</v>
      </c>
      <c r="AZ138">
        <v>13.980840000000001</v>
      </c>
      <c r="BA138">
        <v>799.99946666666699</v>
      </c>
      <c r="BB138">
        <v>0.90000133333333299</v>
      </c>
      <c r="BC138">
        <v>0</v>
      </c>
      <c r="BD138">
        <v>9.9998713333333294E-2</v>
      </c>
      <c r="BE138">
        <v>0</v>
      </c>
      <c r="BF138">
        <v>25</v>
      </c>
      <c r="BG138">
        <v>13191.026666666699</v>
      </c>
      <c r="BH138">
        <v>1769202258.0999999</v>
      </c>
      <c r="BI138" t="s">
        <v>491</v>
      </c>
      <c r="BJ138">
        <v>1769202254.0999999</v>
      </c>
      <c r="BK138">
        <v>1769202258.0999999</v>
      </c>
      <c r="BL138">
        <v>16</v>
      </c>
      <c r="BM138">
        <v>3.5000000000000003E-2</v>
      </c>
      <c r="BN138">
        <v>-5.0999999999999997E-2</v>
      </c>
      <c r="BO138">
        <v>-0.74299999999999999</v>
      </c>
      <c r="BP138">
        <v>7.0999999999999994E-2</v>
      </c>
      <c r="BQ138">
        <v>410</v>
      </c>
      <c r="BR138">
        <v>14</v>
      </c>
      <c r="BS138">
        <v>0.16</v>
      </c>
      <c r="BT138">
        <v>0.06</v>
      </c>
      <c r="BU138">
        <v>6.8577025000000003</v>
      </c>
      <c r="BV138">
        <v>-34.479161954887203</v>
      </c>
      <c r="BW138">
        <v>3.3738964400524698</v>
      </c>
      <c r="BX138">
        <v>0</v>
      </c>
      <c r="BY138">
        <v>0</v>
      </c>
      <c r="BZ138">
        <v>0</v>
      </c>
      <c r="CA138">
        <v>0</v>
      </c>
      <c r="CB138">
        <v>-1</v>
      </c>
      <c r="CC138">
        <v>-0.41529371999999998</v>
      </c>
      <c r="CD138">
        <v>5.6430519338345801</v>
      </c>
      <c r="CE138">
        <v>0.54434805887634896</v>
      </c>
      <c r="CF138">
        <v>0</v>
      </c>
      <c r="CG138">
        <v>0</v>
      </c>
      <c r="CH138">
        <v>2</v>
      </c>
      <c r="CI138" t="s">
        <v>290</v>
      </c>
      <c r="CJ138">
        <v>3.5324399999999998</v>
      </c>
      <c r="CK138">
        <v>2.7012299999999998</v>
      </c>
      <c r="CL138">
        <v>9.8443100000000006E-2</v>
      </c>
      <c r="CM138">
        <v>9.6730399999999994E-2</v>
      </c>
      <c r="CN138">
        <v>9.0731999999999993E-2</v>
      </c>
      <c r="CO138">
        <v>8.6978100000000003E-2</v>
      </c>
      <c r="CP138">
        <v>31599.4</v>
      </c>
      <c r="CQ138">
        <v>27820.9</v>
      </c>
      <c r="CR138">
        <v>32441.1</v>
      </c>
      <c r="CS138">
        <v>30728.400000000001</v>
      </c>
      <c r="CT138">
        <v>39946.800000000003</v>
      </c>
      <c r="CU138">
        <v>39456.5</v>
      </c>
      <c r="CV138">
        <v>47387.8</v>
      </c>
      <c r="CW138">
        <v>46873.7</v>
      </c>
      <c r="CX138">
        <v>2.6174200000000001</v>
      </c>
      <c r="CY138">
        <v>2.1206</v>
      </c>
      <c r="CZ138">
        <v>0</v>
      </c>
      <c r="DA138">
        <v>0</v>
      </c>
      <c r="DB138">
        <v>999.9</v>
      </c>
      <c r="DC138">
        <v>999.9</v>
      </c>
      <c r="DD138">
        <v>45.764000000000003</v>
      </c>
      <c r="DE138">
        <v>28.812000000000001</v>
      </c>
      <c r="DF138">
        <v>18.157599999999999</v>
      </c>
      <c r="DG138">
        <v>30.69</v>
      </c>
      <c r="DH138">
        <v>16.290099999999999</v>
      </c>
      <c r="DI138">
        <v>2</v>
      </c>
      <c r="DJ138">
        <v>-8.8630100000000003E-2</v>
      </c>
      <c r="DK138">
        <v>2.7994500000000002</v>
      </c>
      <c r="DL138">
        <v>20.1831</v>
      </c>
      <c r="DM138">
        <v>5.2469999999999999</v>
      </c>
      <c r="DN138">
        <v>12.033899999999999</v>
      </c>
      <c r="DO138">
        <v>4.96692</v>
      </c>
      <c r="DP138">
        <v>3.29054</v>
      </c>
      <c r="DQ138">
        <v>538.29999999999995</v>
      </c>
      <c r="DR138">
        <v>9999</v>
      </c>
      <c r="DS138">
        <v>9999</v>
      </c>
      <c r="DT138">
        <v>9999</v>
      </c>
      <c r="DU138">
        <v>1.8710599999999999</v>
      </c>
      <c r="DV138">
        <v>1.8761099999999999</v>
      </c>
      <c r="DW138">
        <v>1.87629</v>
      </c>
      <c r="DX138">
        <v>1.88279</v>
      </c>
      <c r="DY138">
        <v>1.8755900000000001</v>
      </c>
      <c r="DZ138">
        <v>1.8746799999999999</v>
      </c>
      <c r="EA138">
        <v>1.8708</v>
      </c>
      <c r="EB138">
        <v>1.8746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-0.74299999999999999</v>
      </c>
      <c r="EQ138">
        <v>7.0800000000000002E-2</v>
      </c>
      <c r="ER138">
        <v>-0.74350000000000005</v>
      </c>
      <c r="ES138">
        <v>0</v>
      </c>
      <c r="ET138">
        <v>0</v>
      </c>
      <c r="EU138">
        <v>0</v>
      </c>
      <c r="EV138">
        <v>7.0740000000000705E-2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9.8000000000000007</v>
      </c>
      <c r="FE138">
        <v>9.8000000000000007</v>
      </c>
      <c r="FF138">
        <v>1.24634</v>
      </c>
      <c r="FG138">
        <v>2.6049799999999999</v>
      </c>
      <c r="FH138">
        <v>2.19604</v>
      </c>
      <c r="FI138">
        <v>2.65991</v>
      </c>
      <c r="FJ138">
        <v>2.4462899999999999</v>
      </c>
      <c r="FK138">
        <v>2.3156699999999999</v>
      </c>
      <c r="FL138">
        <v>33.042900000000003</v>
      </c>
      <c r="FM138">
        <v>24.14</v>
      </c>
      <c r="FN138">
        <v>19</v>
      </c>
      <c r="FO138">
        <v>864.58199999999999</v>
      </c>
      <c r="FP138">
        <v>571.98599999999999</v>
      </c>
      <c r="FQ138">
        <v>17.0092</v>
      </c>
      <c r="FR138">
        <v>25.7973</v>
      </c>
      <c r="FS138">
        <v>29.998999999999999</v>
      </c>
      <c r="FT138">
        <v>25.769500000000001</v>
      </c>
      <c r="FU138">
        <v>25.767099999999999</v>
      </c>
      <c r="FV138">
        <v>25.0121</v>
      </c>
      <c r="FW138">
        <v>19.6493</v>
      </c>
      <c r="FX138">
        <v>16.0685</v>
      </c>
      <c r="FY138">
        <v>17.352799999999998</v>
      </c>
      <c r="FZ138">
        <v>410</v>
      </c>
      <c r="GA138">
        <v>15.067</v>
      </c>
      <c r="GB138">
        <v>99.843999999999994</v>
      </c>
      <c r="GC138">
        <v>99.774100000000004</v>
      </c>
    </row>
    <row r="139" spans="1:185" x14ac:dyDescent="0.2">
      <c r="A139">
        <v>124</v>
      </c>
      <c r="B139">
        <v>1769202860</v>
      </c>
      <c r="C139">
        <v>2589</v>
      </c>
      <c r="D139" t="s">
        <v>544</v>
      </c>
      <c r="E139" t="s">
        <v>545</v>
      </c>
      <c r="F139">
        <v>15</v>
      </c>
      <c r="G139">
        <v>1769202851.9333301</v>
      </c>
      <c r="H139">
        <f t="shared" si="38"/>
        <v>8.8832885681388609E-4</v>
      </c>
      <c r="I139">
        <v>0</v>
      </c>
      <c r="J139">
        <f t="shared" si="37"/>
        <v>-4.8345514793831118E-2</v>
      </c>
      <c r="K139">
        <f t="shared" si="39"/>
        <v>-1.2462784922556887</v>
      </c>
      <c r="L139">
        <f t="shared" si="40"/>
        <v>74.407376411068924</v>
      </c>
      <c r="M139">
        <f t="shared" si="41"/>
        <v>1.6321603610844957</v>
      </c>
      <c r="N139">
        <f t="shared" si="42"/>
        <v>2.1935464463462706</v>
      </c>
      <c r="O139">
        <v>0</v>
      </c>
      <c r="P139">
        <v>0</v>
      </c>
      <c r="Q139">
        <f t="shared" si="43"/>
        <v>1</v>
      </c>
      <c r="R139">
        <f t="shared" si="44"/>
        <v>0</v>
      </c>
      <c r="S139">
        <f t="shared" si="45"/>
        <v>26303.78982315991</v>
      </c>
      <c r="T139">
        <f t="shared" si="46"/>
        <v>799.99940000000004</v>
      </c>
      <c r="U139">
        <f t="shared" si="47"/>
        <v>674.39948620000632</v>
      </c>
      <c r="V139">
        <f t="shared" si="48"/>
        <v>0.84299999000000037</v>
      </c>
      <c r="W139">
        <f t="shared" si="49"/>
        <v>0.15869984508000007</v>
      </c>
      <c r="X139">
        <v>1</v>
      </c>
      <c r="Y139">
        <v>1769202851.9333301</v>
      </c>
      <c r="Z139">
        <v>411.315</v>
      </c>
      <c r="AA139">
        <v>410.213866666667</v>
      </c>
      <c r="AB139">
        <v>16.2686666666667</v>
      </c>
      <c r="AC139">
        <v>15.176306666666701</v>
      </c>
      <c r="AD139">
        <v>412.07100000000003</v>
      </c>
      <c r="AE139">
        <v>16.1786666666667</v>
      </c>
      <c r="AF139">
        <v>799.98986666666701</v>
      </c>
      <c r="AG139">
        <v>100.261933333333</v>
      </c>
      <c r="AH139">
        <v>6.3458693333333302E-2</v>
      </c>
      <c r="AI139">
        <v>18.91526</v>
      </c>
      <c r="AJ139">
        <v>999.9</v>
      </c>
      <c r="AK139">
        <v>999.9</v>
      </c>
      <c r="AL139">
        <v>0</v>
      </c>
      <c r="AM139">
        <v>0</v>
      </c>
      <c r="AN139">
        <v>5000.8666666666704</v>
      </c>
      <c r="AO139">
        <v>0</v>
      </c>
      <c r="AP139">
        <v>1.5244200000000001</v>
      </c>
      <c r="AQ139">
        <v>1.11371873333333</v>
      </c>
      <c r="AR139">
        <v>418.121733333333</v>
      </c>
      <c r="AS139">
        <v>416.53539999999998</v>
      </c>
      <c r="AT139">
        <v>1.0731042666666699</v>
      </c>
      <c r="AU139">
        <v>410.213866666667</v>
      </c>
      <c r="AV139">
        <v>15.176306666666701</v>
      </c>
      <c r="AW139">
        <v>1.62919866666667</v>
      </c>
      <c r="AX139">
        <v>1.521606</v>
      </c>
      <c r="AY139">
        <v>14.23776</v>
      </c>
      <c r="AZ139">
        <v>13.1853266666667</v>
      </c>
      <c r="BA139">
        <v>799.99940000000004</v>
      </c>
      <c r="BB139">
        <v>0.90000226666666705</v>
      </c>
      <c r="BC139">
        <v>0</v>
      </c>
      <c r="BD139">
        <v>9.9997799999999998E-2</v>
      </c>
      <c r="BE139">
        <v>0</v>
      </c>
      <c r="BF139">
        <v>25</v>
      </c>
      <c r="BG139">
        <v>13191.02</v>
      </c>
      <c r="BH139">
        <v>1769202886</v>
      </c>
      <c r="BI139" t="s">
        <v>546</v>
      </c>
      <c r="BJ139">
        <v>1769202878</v>
      </c>
      <c r="BK139">
        <v>1769202886</v>
      </c>
      <c r="BL139">
        <v>17</v>
      </c>
      <c r="BM139">
        <v>-1.2999999999999999E-2</v>
      </c>
      <c r="BN139">
        <v>1.9E-2</v>
      </c>
      <c r="BO139">
        <v>-0.75600000000000001</v>
      </c>
      <c r="BP139">
        <v>0.09</v>
      </c>
      <c r="BQ139">
        <v>410</v>
      </c>
      <c r="BR139">
        <v>15</v>
      </c>
      <c r="BS139">
        <v>0.39</v>
      </c>
      <c r="BT139">
        <v>0.03</v>
      </c>
      <c r="BU139">
        <v>1.7986900476190499</v>
      </c>
      <c r="BV139">
        <v>-10.1446778961039</v>
      </c>
      <c r="BW139">
        <v>1.05500185298305</v>
      </c>
      <c r="BX139">
        <v>0</v>
      </c>
      <c r="BY139">
        <v>0</v>
      </c>
      <c r="BZ139">
        <v>0</v>
      </c>
      <c r="CA139">
        <v>0</v>
      </c>
      <c r="CB139">
        <v>-1</v>
      </c>
      <c r="CC139">
        <v>0.80289480952380898</v>
      </c>
      <c r="CD139">
        <v>4.0995456623376603</v>
      </c>
      <c r="CE139">
        <v>0.41659992246605798</v>
      </c>
      <c r="CF139">
        <v>0</v>
      </c>
      <c r="CG139">
        <v>0</v>
      </c>
      <c r="CH139">
        <v>2</v>
      </c>
      <c r="CI139" t="s">
        <v>290</v>
      </c>
      <c r="CJ139">
        <v>3.5325099999999998</v>
      </c>
      <c r="CK139">
        <v>2.7015899999999999</v>
      </c>
      <c r="CL139">
        <v>9.8115499999999994E-2</v>
      </c>
      <c r="CM139">
        <v>9.6693699999999994E-2</v>
      </c>
      <c r="CN139">
        <v>9.08273E-2</v>
      </c>
      <c r="CO139">
        <v>8.3725300000000002E-2</v>
      </c>
      <c r="CP139">
        <v>31611.8</v>
      </c>
      <c r="CQ139">
        <v>27822.7</v>
      </c>
      <c r="CR139">
        <v>32442</v>
      </c>
      <c r="CS139">
        <v>30729.3</v>
      </c>
      <c r="CT139">
        <v>39943.4</v>
      </c>
      <c r="CU139">
        <v>39602.1</v>
      </c>
      <c r="CV139">
        <v>47388.9</v>
      </c>
      <c r="CW139">
        <v>46874.9</v>
      </c>
      <c r="CX139">
        <v>2.6185999999999998</v>
      </c>
      <c r="CY139">
        <v>2.1192199999999999</v>
      </c>
      <c r="CZ139">
        <v>0</v>
      </c>
      <c r="DA139">
        <v>0</v>
      </c>
      <c r="DB139">
        <v>999.9</v>
      </c>
      <c r="DC139">
        <v>999.9</v>
      </c>
      <c r="DD139">
        <v>45.764000000000003</v>
      </c>
      <c r="DE139">
        <v>28.812000000000001</v>
      </c>
      <c r="DF139">
        <v>18.159199999999998</v>
      </c>
      <c r="DG139">
        <v>30.54</v>
      </c>
      <c r="DH139">
        <v>16.394200000000001</v>
      </c>
      <c r="DI139">
        <v>2</v>
      </c>
      <c r="DJ139">
        <v>-9.2510200000000001E-2</v>
      </c>
      <c r="DK139">
        <v>2.54331</v>
      </c>
      <c r="DL139">
        <v>20.191800000000001</v>
      </c>
      <c r="DM139">
        <v>5.2503500000000001</v>
      </c>
      <c r="DN139">
        <v>12.033899999999999</v>
      </c>
      <c r="DO139">
        <v>4.9674399999999999</v>
      </c>
      <c r="DP139">
        <v>3.2909999999999999</v>
      </c>
      <c r="DQ139">
        <v>538.29999999999995</v>
      </c>
      <c r="DR139">
        <v>9999</v>
      </c>
      <c r="DS139">
        <v>9999</v>
      </c>
      <c r="DT139">
        <v>9999</v>
      </c>
      <c r="DU139">
        <v>1.8710899999999999</v>
      </c>
      <c r="DV139">
        <v>1.87608</v>
      </c>
      <c r="DW139">
        <v>1.87629</v>
      </c>
      <c r="DX139">
        <v>1.8827799999999999</v>
      </c>
      <c r="DY139">
        <v>1.8755900000000001</v>
      </c>
      <c r="DZ139">
        <v>1.8746700000000001</v>
      </c>
      <c r="EA139">
        <v>1.8708100000000001</v>
      </c>
      <c r="EB139">
        <v>1.8745799999999999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-0.75600000000000001</v>
      </c>
      <c r="EQ139">
        <v>0.09</v>
      </c>
      <c r="ER139">
        <v>-0.74350000000000005</v>
      </c>
      <c r="ES139">
        <v>0</v>
      </c>
      <c r="ET139">
        <v>0</v>
      </c>
      <c r="EU139">
        <v>0</v>
      </c>
      <c r="EV139">
        <v>7.0740000000000705E-2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10.1</v>
      </c>
      <c r="FE139">
        <v>10</v>
      </c>
      <c r="FF139">
        <v>1.24512</v>
      </c>
      <c r="FG139">
        <v>2.6025399999999999</v>
      </c>
      <c r="FH139">
        <v>2.19604</v>
      </c>
      <c r="FI139">
        <v>2.65991</v>
      </c>
      <c r="FJ139">
        <v>2.4462899999999999</v>
      </c>
      <c r="FK139">
        <v>2.3095699999999999</v>
      </c>
      <c r="FL139">
        <v>33.042900000000003</v>
      </c>
      <c r="FM139">
        <v>24.14</v>
      </c>
      <c r="FN139">
        <v>19</v>
      </c>
      <c r="FO139">
        <v>865.71500000000003</v>
      </c>
      <c r="FP139">
        <v>570.96299999999997</v>
      </c>
      <c r="FQ139">
        <v>17.4848</v>
      </c>
      <c r="FR139">
        <v>25.803799999999999</v>
      </c>
      <c r="FS139">
        <v>30</v>
      </c>
      <c r="FT139">
        <v>25.771699999999999</v>
      </c>
      <c r="FU139">
        <v>25.7697</v>
      </c>
      <c r="FV139">
        <v>24.992599999999999</v>
      </c>
      <c r="FW139">
        <v>23.458100000000002</v>
      </c>
      <c r="FX139">
        <v>15.6953</v>
      </c>
      <c r="FY139">
        <v>17.5244</v>
      </c>
      <c r="FZ139">
        <v>410</v>
      </c>
      <c r="GA139">
        <v>14.4635</v>
      </c>
      <c r="GB139">
        <v>99.846599999999995</v>
      </c>
      <c r="GC139">
        <v>99.776799999999994</v>
      </c>
    </row>
    <row r="140" spans="1:185" x14ac:dyDescent="0.2">
      <c r="A140">
        <v>125</v>
      </c>
      <c r="B140">
        <v>1769202888</v>
      </c>
      <c r="C140">
        <v>2617</v>
      </c>
      <c r="D140" t="s">
        <v>547</v>
      </c>
      <c r="E140" t="s">
        <v>548</v>
      </c>
      <c r="F140">
        <v>15</v>
      </c>
      <c r="G140">
        <v>1769202887</v>
      </c>
      <c r="H140">
        <f t="shared" si="38"/>
        <v>1.6236505205178832E-7</v>
      </c>
      <c r="I140">
        <v>0</v>
      </c>
      <c r="J140">
        <f t="shared" si="37"/>
        <v>-1.0267181764376466E-3</v>
      </c>
      <c r="K140">
        <f t="shared" si="39"/>
        <v>-2.6467331796113051E-2</v>
      </c>
      <c r="L140">
        <f t="shared" si="40"/>
        <v>66.53540644312119</v>
      </c>
      <c r="M140">
        <f t="shared" si="41"/>
        <v>1.4585775826516498</v>
      </c>
      <c r="N140">
        <f t="shared" si="42"/>
        <v>2.192182569589527</v>
      </c>
      <c r="O140">
        <v>483</v>
      </c>
      <c r="P140">
        <v>60</v>
      </c>
      <c r="Q140">
        <f t="shared" si="43"/>
        <v>1</v>
      </c>
      <c r="R140">
        <f t="shared" si="44"/>
        <v>0</v>
      </c>
      <c r="S140">
        <f t="shared" si="45"/>
        <v>26275.108811450653</v>
      </c>
      <c r="T140">
        <f t="shared" si="46"/>
        <v>799.99900000000002</v>
      </c>
      <c r="U140">
        <f t="shared" si="47"/>
        <v>674.39925299987999</v>
      </c>
      <c r="V140">
        <f t="shared" si="48"/>
        <v>0.84300012000000002</v>
      </c>
      <c r="W140">
        <f t="shared" si="49"/>
        <v>0.15870030000000002</v>
      </c>
      <c r="X140">
        <v>1</v>
      </c>
      <c r="Y140">
        <v>1769202887</v>
      </c>
      <c r="Z140">
        <v>409.81599999999997</v>
      </c>
      <c r="AA140">
        <v>409.78300000000002</v>
      </c>
      <c r="AB140">
        <v>14.5367</v>
      </c>
      <c r="AC140">
        <v>14.5365</v>
      </c>
      <c r="AD140">
        <v>410.57299999999998</v>
      </c>
      <c r="AE140">
        <v>14.446899999999999</v>
      </c>
      <c r="AF140">
        <v>800.024</v>
      </c>
      <c r="AG140">
        <v>100.262</v>
      </c>
      <c r="AH140">
        <v>7.55995E-2</v>
      </c>
      <c r="AI140">
        <v>18.9053</v>
      </c>
      <c r="AJ140">
        <v>999.9</v>
      </c>
      <c r="AK140">
        <v>999.9</v>
      </c>
      <c r="AL140">
        <v>0</v>
      </c>
      <c r="AM140">
        <v>0</v>
      </c>
      <c r="AN140">
        <v>4996</v>
      </c>
      <c r="AO140">
        <v>0</v>
      </c>
      <c r="AP140">
        <v>1.5244200000000001</v>
      </c>
      <c r="AQ140">
        <v>3.3325199999999999E-2</v>
      </c>
      <c r="AR140">
        <v>415.86200000000002</v>
      </c>
      <c r="AS140">
        <v>415.82799999999997</v>
      </c>
      <c r="AT140">
        <v>1.4209699999999999E-4</v>
      </c>
      <c r="AU140">
        <v>409.78300000000002</v>
      </c>
      <c r="AV140">
        <v>14.5365</v>
      </c>
      <c r="AW140">
        <v>1.4574800000000001</v>
      </c>
      <c r="AX140">
        <v>1.45746</v>
      </c>
      <c r="AY140">
        <v>12.529199999999999</v>
      </c>
      <c r="AZ140">
        <v>12.5291</v>
      </c>
      <c r="BA140">
        <v>799.99900000000002</v>
      </c>
      <c r="BB140">
        <v>0.89999600000000002</v>
      </c>
      <c r="BC140">
        <v>0</v>
      </c>
      <c r="BD140">
        <v>0.100004</v>
      </c>
      <c r="BE140">
        <v>0</v>
      </c>
      <c r="BF140">
        <v>25</v>
      </c>
      <c r="BG140">
        <v>13191</v>
      </c>
      <c r="BH140">
        <v>1769202886</v>
      </c>
      <c r="BI140" t="s">
        <v>546</v>
      </c>
      <c r="BJ140">
        <v>1769202878</v>
      </c>
      <c r="BK140">
        <v>1769202886</v>
      </c>
      <c r="BL140">
        <v>17</v>
      </c>
      <c r="BM140">
        <v>-1.2999999999999999E-2</v>
      </c>
      <c r="BN140">
        <v>1.9E-2</v>
      </c>
      <c r="BO140">
        <v>-0.75600000000000001</v>
      </c>
      <c r="BP140">
        <v>0.09</v>
      </c>
      <c r="BQ140">
        <v>410</v>
      </c>
      <c r="BR140">
        <v>15</v>
      </c>
      <c r="BS140">
        <v>0.39</v>
      </c>
      <c r="BT140">
        <v>0.03</v>
      </c>
      <c r="BU140">
        <v>8.5952730000000005E-3</v>
      </c>
      <c r="BV140">
        <v>2.6115249022556401E-2</v>
      </c>
      <c r="BW140">
        <v>1.68623285033201E-2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-1.594472965E-2</v>
      </c>
      <c r="CD140">
        <v>-1.16861885864662E-2</v>
      </c>
      <c r="CE140">
        <v>4.9751679769115698E-3</v>
      </c>
      <c r="CF140">
        <v>1</v>
      </c>
      <c r="CG140">
        <v>2</v>
      </c>
      <c r="CH140">
        <v>2</v>
      </c>
      <c r="CI140" t="s">
        <v>297</v>
      </c>
      <c r="CJ140">
        <v>3.5341300000000002</v>
      </c>
      <c r="CK140">
        <v>2.7120199999999999</v>
      </c>
      <c r="CL140">
        <v>9.7970699999999994E-2</v>
      </c>
      <c r="CM140">
        <v>9.6632399999999993E-2</v>
      </c>
      <c r="CN140">
        <v>8.3795800000000004E-2</v>
      </c>
      <c r="CO140">
        <v>8.2658800000000004E-2</v>
      </c>
      <c r="CP140">
        <v>31615.7</v>
      </c>
      <c r="CQ140">
        <v>27823</v>
      </c>
      <c r="CR140">
        <v>32441</v>
      </c>
      <c r="CS140">
        <v>30727.599999999999</v>
      </c>
      <c r="CT140">
        <v>40260.6</v>
      </c>
      <c r="CU140">
        <v>39647.5</v>
      </c>
      <c r="CV140">
        <v>47387.6</v>
      </c>
      <c r="CW140">
        <v>46872.6</v>
      </c>
      <c r="CX140">
        <v>1.6833199999999999</v>
      </c>
      <c r="CY140">
        <v>1.5995200000000001</v>
      </c>
      <c r="CZ140">
        <v>0</v>
      </c>
      <c r="DA140">
        <v>0</v>
      </c>
      <c r="DB140">
        <v>999.9</v>
      </c>
      <c r="DC140">
        <v>999.9</v>
      </c>
      <c r="DD140">
        <v>45.715000000000003</v>
      </c>
      <c r="DE140">
        <v>28.821999999999999</v>
      </c>
      <c r="DF140">
        <v>18.148199999999999</v>
      </c>
      <c r="DG140">
        <v>30.4</v>
      </c>
      <c r="DH140">
        <v>16.5825</v>
      </c>
      <c r="DI140">
        <v>2</v>
      </c>
      <c r="DJ140">
        <v>-9.2217499999999994E-2</v>
      </c>
      <c r="DK140">
        <v>2.1632199999999999</v>
      </c>
      <c r="DL140">
        <v>20.195699999999999</v>
      </c>
      <c r="DM140">
        <v>5.2414899999999998</v>
      </c>
      <c r="DN140">
        <v>12.033899999999999</v>
      </c>
      <c r="DO140">
        <v>4.9656799999999999</v>
      </c>
      <c r="DP140">
        <v>3.2897400000000001</v>
      </c>
      <c r="DQ140">
        <v>538.29999999999995</v>
      </c>
      <c r="DR140">
        <v>9999</v>
      </c>
      <c r="DS140">
        <v>9999</v>
      </c>
      <c r="DT140">
        <v>9999</v>
      </c>
      <c r="DU140">
        <v>1.8710800000000001</v>
      </c>
      <c r="DV140">
        <v>1.87608</v>
      </c>
      <c r="DW140">
        <v>1.8763099999999999</v>
      </c>
      <c r="DX140">
        <v>1.88279</v>
      </c>
      <c r="DY140">
        <v>1.8755599999999999</v>
      </c>
      <c r="DZ140">
        <v>1.87466</v>
      </c>
      <c r="EA140">
        <v>1.87079</v>
      </c>
      <c r="EB140">
        <v>1.8745799999999999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-0.75700000000000001</v>
      </c>
      <c r="EQ140">
        <v>8.9800000000000005E-2</v>
      </c>
      <c r="ER140">
        <v>-0.75629999999995301</v>
      </c>
      <c r="ES140">
        <v>0</v>
      </c>
      <c r="ET140">
        <v>0</v>
      </c>
      <c r="EU140">
        <v>0</v>
      </c>
      <c r="EV140">
        <v>8.98000000000021E-2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0.2</v>
      </c>
      <c r="FE140">
        <v>0</v>
      </c>
      <c r="FF140">
        <v>1.24512</v>
      </c>
      <c r="FG140">
        <v>2.6110799999999998</v>
      </c>
      <c r="FH140">
        <v>2.19604</v>
      </c>
      <c r="FI140">
        <v>2.65991</v>
      </c>
      <c r="FJ140">
        <v>2.4462899999999999</v>
      </c>
      <c r="FK140">
        <v>2.3059099999999999</v>
      </c>
      <c r="FL140">
        <v>33.065199999999997</v>
      </c>
      <c r="FM140">
        <v>24.14</v>
      </c>
      <c r="FN140">
        <v>19</v>
      </c>
      <c r="FO140">
        <v>299.47899999999998</v>
      </c>
      <c r="FP140">
        <v>277.92899999999997</v>
      </c>
      <c r="FQ140">
        <v>17.8748</v>
      </c>
      <c r="FR140">
        <v>25.8142</v>
      </c>
      <c r="FS140">
        <v>30</v>
      </c>
      <c r="FT140">
        <v>25.801300000000001</v>
      </c>
      <c r="FU140">
        <v>25.7957</v>
      </c>
      <c r="FV140">
        <v>24.997</v>
      </c>
      <c r="FW140">
        <v>20.558900000000001</v>
      </c>
      <c r="FX140">
        <v>16.0703</v>
      </c>
      <c r="FY140">
        <v>17.9575</v>
      </c>
      <c r="FZ140">
        <v>410</v>
      </c>
      <c r="GA140">
        <v>15.3348</v>
      </c>
      <c r="GB140">
        <v>99.843599999999995</v>
      </c>
      <c r="GC140">
        <v>99.771699999999996</v>
      </c>
    </row>
    <row r="141" spans="1:185" x14ac:dyDescent="0.2">
      <c r="A141">
        <v>126</v>
      </c>
      <c r="B141">
        <v>1769202903</v>
      </c>
      <c r="C141">
        <v>2632</v>
      </c>
      <c r="D141" t="s">
        <v>549</v>
      </c>
      <c r="E141" t="s">
        <v>550</v>
      </c>
      <c r="F141">
        <v>15</v>
      </c>
      <c r="G141">
        <v>1769202894.9333301</v>
      </c>
      <c r="H141">
        <f t="shared" si="38"/>
        <v>1.0434913284517024E-3</v>
      </c>
      <c r="I141">
        <v>0</v>
      </c>
      <c r="J141">
        <f t="shared" si="37"/>
        <v>-2.8667432068889566E-5</v>
      </c>
      <c r="K141">
        <f t="shared" si="39"/>
        <v>-7.3900555548985284E-4</v>
      </c>
      <c r="L141">
        <f t="shared" si="40"/>
        <v>72.277783341875889</v>
      </c>
      <c r="M141">
        <f t="shared" si="41"/>
        <v>1.5856975675960219</v>
      </c>
      <c r="N141">
        <f t="shared" si="42"/>
        <v>2.1938934680600664</v>
      </c>
      <c r="O141">
        <v>0</v>
      </c>
      <c r="P141">
        <v>0</v>
      </c>
      <c r="Q141">
        <f t="shared" si="43"/>
        <v>1</v>
      </c>
      <c r="R141">
        <f t="shared" si="44"/>
        <v>0</v>
      </c>
      <c r="S141">
        <f t="shared" si="45"/>
        <v>26330.224331006058</v>
      </c>
      <c r="T141">
        <f t="shared" si="46"/>
        <v>799.99800000000005</v>
      </c>
      <c r="U141">
        <f t="shared" si="47"/>
        <v>674.3983346399483</v>
      </c>
      <c r="V141">
        <f t="shared" si="48"/>
        <v>0.84300002579999989</v>
      </c>
      <c r="W141">
        <f t="shared" si="49"/>
        <v>0.158699791668</v>
      </c>
      <c r="X141">
        <v>1</v>
      </c>
      <c r="Y141">
        <v>1769202894.9333301</v>
      </c>
      <c r="Z141">
        <v>409.42586666666699</v>
      </c>
      <c r="AA141">
        <v>409.95873333333299</v>
      </c>
      <c r="AB141">
        <v>15.805006666666699</v>
      </c>
      <c r="AC141">
        <v>14.52186</v>
      </c>
      <c r="AD141">
        <v>410.18239999999997</v>
      </c>
      <c r="AE141">
        <v>15.715206666666701</v>
      </c>
      <c r="AF141">
        <v>800.37533333333295</v>
      </c>
      <c r="AG141">
        <v>100.263133333333</v>
      </c>
      <c r="AH141">
        <v>6.5680253333333299E-2</v>
      </c>
      <c r="AI141">
        <v>18.9177933333333</v>
      </c>
      <c r="AJ141">
        <v>999.9</v>
      </c>
      <c r="AK141">
        <v>999.9</v>
      </c>
      <c r="AL141">
        <v>0</v>
      </c>
      <c r="AM141">
        <v>0</v>
      </c>
      <c r="AN141">
        <v>5005.2</v>
      </c>
      <c r="AO141">
        <v>0</v>
      </c>
      <c r="AP141">
        <v>1.5244200000000001</v>
      </c>
      <c r="AQ141">
        <v>-0.53271482000000003</v>
      </c>
      <c r="AR141">
        <v>416.00086666666698</v>
      </c>
      <c r="AS141">
        <v>415.99979999999999</v>
      </c>
      <c r="AT141">
        <v>1.2831340731333301</v>
      </c>
      <c r="AU141">
        <v>409.95873333333299</v>
      </c>
      <c r="AV141">
        <v>14.52186</v>
      </c>
      <c r="AW141">
        <v>1.58466066666667</v>
      </c>
      <c r="AX141">
        <v>1.456008</v>
      </c>
      <c r="AY141">
        <v>13.80364</v>
      </c>
      <c r="AZ141">
        <v>12.5134266666667</v>
      </c>
      <c r="BA141">
        <v>799.99800000000005</v>
      </c>
      <c r="BB141">
        <v>0.9000032</v>
      </c>
      <c r="BC141">
        <v>0</v>
      </c>
      <c r="BD141">
        <v>9.9996940000000006E-2</v>
      </c>
      <c r="BE141">
        <v>0</v>
      </c>
      <c r="BF141">
        <v>25</v>
      </c>
      <c r="BG141">
        <v>13191.006666666701</v>
      </c>
      <c r="BH141">
        <v>1769202886</v>
      </c>
      <c r="BI141" t="s">
        <v>546</v>
      </c>
      <c r="BJ141">
        <v>1769202878</v>
      </c>
      <c r="BK141">
        <v>1769202886</v>
      </c>
      <c r="BL141">
        <v>17</v>
      </c>
      <c r="BM141">
        <v>-1.2999999999999999E-2</v>
      </c>
      <c r="BN141">
        <v>1.9E-2</v>
      </c>
      <c r="BO141">
        <v>-0.75600000000000001</v>
      </c>
      <c r="BP141">
        <v>0.09</v>
      </c>
      <c r="BQ141">
        <v>410</v>
      </c>
      <c r="BR141">
        <v>15</v>
      </c>
      <c r="BS141">
        <v>0.39</v>
      </c>
      <c r="BT141">
        <v>0.03</v>
      </c>
      <c r="BU141">
        <v>-0.35850066400000002</v>
      </c>
      <c r="BV141">
        <v>-3.3019903966917301</v>
      </c>
      <c r="BW141">
        <v>0.33953536058004902</v>
      </c>
      <c r="BX141">
        <v>0</v>
      </c>
      <c r="BY141">
        <v>0</v>
      </c>
      <c r="BZ141">
        <v>0</v>
      </c>
      <c r="CA141">
        <v>0</v>
      </c>
      <c r="CB141">
        <v>-1</v>
      </c>
      <c r="CC141">
        <v>0.87290414984999998</v>
      </c>
      <c r="CD141">
        <v>7.2206789155037603</v>
      </c>
      <c r="CE141">
        <v>0.72628672529278404</v>
      </c>
      <c r="CF141">
        <v>0</v>
      </c>
      <c r="CG141">
        <v>0</v>
      </c>
      <c r="CH141">
        <v>2</v>
      </c>
      <c r="CI141" t="s">
        <v>290</v>
      </c>
      <c r="CJ141">
        <v>3.5325500000000001</v>
      </c>
      <c r="CK141">
        <v>2.7013099999999999</v>
      </c>
      <c r="CL141">
        <v>9.7913700000000006E-2</v>
      </c>
      <c r="CM141">
        <v>9.6697199999999997E-2</v>
      </c>
      <c r="CN141">
        <v>9.0018299999999996E-2</v>
      </c>
      <c r="CO141">
        <v>8.1498799999999996E-2</v>
      </c>
      <c r="CP141">
        <v>31616.3</v>
      </c>
      <c r="CQ141">
        <v>27821</v>
      </c>
      <c r="CR141">
        <v>32439.4</v>
      </c>
      <c r="CS141">
        <v>30727.7</v>
      </c>
      <c r="CT141">
        <v>39977.1</v>
      </c>
      <c r="CU141">
        <v>39699.199999999997</v>
      </c>
      <c r="CV141">
        <v>47385.4</v>
      </c>
      <c r="CW141">
        <v>46872.9</v>
      </c>
      <c r="CX141">
        <v>2.6158600000000001</v>
      </c>
      <c r="CY141">
        <v>2.11632</v>
      </c>
      <c r="CZ141">
        <v>0</v>
      </c>
      <c r="DA141">
        <v>0</v>
      </c>
      <c r="DB141">
        <v>999.9</v>
      </c>
      <c r="DC141">
        <v>999.9</v>
      </c>
      <c r="DD141">
        <v>45.715000000000003</v>
      </c>
      <c r="DE141">
        <v>28.812000000000001</v>
      </c>
      <c r="DF141">
        <v>18.139199999999999</v>
      </c>
      <c r="DG141">
        <v>30.34</v>
      </c>
      <c r="DH141">
        <v>16.418299999999999</v>
      </c>
      <c r="DI141">
        <v>2</v>
      </c>
      <c r="DJ141">
        <v>-9.21463E-2</v>
      </c>
      <c r="DK141">
        <v>2.0478700000000001</v>
      </c>
      <c r="DL141">
        <v>20.199200000000001</v>
      </c>
      <c r="DM141">
        <v>5.2495200000000004</v>
      </c>
      <c r="DN141">
        <v>12.033899999999999</v>
      </c>
      <c r="DO141">
        <v>4.9672400000000003</v>
      </c>
      <c r="DP141">
        <v>3.2910200000000001</v>
      </c>
      <c r="DQ141">
        <v>538.29999999999995</v>
      </c>
      <c r="DR141">
        <v>9999</v>
      </c>
      <c r="DS141">
        <v>9999</v>
      </c>
      <c r="DT141">
        <v>9999</v>
      </c>
      <c r="DU141">
        <v>1.8711100000000001</v>
      </c>
      <c r="DV141">
        <v>1.87608</v>
      </c>
      <c r="DW141">
        <v>1.8763099999999999</v>
      </c>
      <c r="DX141">
        <v>1.88279</v>
      </c>
      <c r="DY141">
        <v>1.8755999999999999</v>
      </c>
      <c r="DZ141">
        <v>1.8746700000000001</v>
      </c>
      <c r="EA141">
        <v>1.8708100000000001</v>
      </c>
      <c r="EB141">
        <v>1.87459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-0.75600000000000001</v>
      </c>
      <c r="EQ141">
        <v>8.9800000000000005E-2</v>
      </c>
      <c r="ER141">
        <v>-0.75629999999995301</v>
      </c>
      <c r="ES141">
        <v>0</v>
      </c>
      <c r="ET141">
        <v>0</v>
      </c>
      <c r="EU141">
        <v>0</v>
      </c>
      <c r="EV141">
        <v>8.98000000000021E-2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0.4</v>
      </c>
      <c r="FE141">
        <v>0.3</v>
      </c>
      <c r="FF141">
        <v>1.24512</v>
      </c>
      <c r="FG141">
        <v>2.6049799999999999</v>
      </c>
      <c r="FH141">
        <v>2.19604</v>
      </c>
      <c r="FI141">
        <v>2.66113</v>
      </c>
      <c r="FJ141">
        <v>2.4462899999999999</v>
      </c>
      <c r="FK141">
        <v>2.31812</v>
      </c>
      <c r="FL141">
        <v>33.065199999999997</v>
      </c>
      <c r="FM141">
        <v>24.14</v>
      </c>
      <c r="FN141">
        <v>19</v>
      </c>
      <c r="FO141">
        <v>863.37300000000005</v>
      </c>
      <c r="FP141">
        <v>568.875</v>
      </c>
      <c r="FQ141">
        <v>18.069099999999999</v>
      </c>
      <c r="FR141">
        <v>25.8186</v>
      </c>
      <c r="FS141">
        <v>30</v>
      </c>
      <c r="FT141">
        <v>25.784700000000001</v>
      </c>
      <c r="FU141">
        <v>25.7805</v>
      </c>
      <c r="FV141">
        <v>24.991800000000001</v>
      </c>
      <c r="FW141">
        <v>26.119700000000002</v>
      </c>
      <c r="FX141">
        <v>15.687099999999999</v>
      </c>
      <c r="FY141">
        <v>18.1264</v>
      </c>
      <c r="FZ141">
        <v>410</v>
      </c>
      <c r="GA141">
        <v>13.980499999999999</v>
      </c>
      <c r="GB141">
        <v>99.838899999999995</v>
      </c>
      <c r="GC141">
        <v>99.772099999999995</v>
      </c>
    </row>
    <row r="142" spans="1:185" x14ac:dyDescent="0.2">
      <c r="A142">
        <v>127</v>
      </c>
      <c r="B142">
        <v>1769202918</v>
      </c>
      <c r="C142">
        <v>2647</v>
      </c>
      <c r="D142" t="s">
        <v>551</v>
      </c>
      <c r="E142" t="s">
        <v>552</v>
      </c>
      <c r="F142">
        <v>15</v>
      </c>
      <c r="G142">
        <v>1769202909.9333301</v>
      </c>
      <c r="H142">
        <f t="shared" si="38"/>
        <v>1.5505295269874564E-3</v>
      </c>
      <c r="I142">
        <v>0</v>
      </c>
      <c r="J142">
        <f t="shared" si="37"/>
        <v>-2.4418774867532222E-3</v>
      </c>
      <c r="K142">
        <f t="shared" si="39"/>
        <v>-6.2948122601276663E-2</v>
      </c>
      <c r="L142">
        <f t="shared" si="40"/>
        <v>72.877238721588185</v>
      </c>
      <c r="M142">
        <f t="shared" si="41"/>
        <v>1.6019798530177536</v>
      </c>
      <c r="N142">
        <f t="shared" si="42"/>
        <v>2.1981895597578456</v>
      </c>
      <c r="O142">
        <v>0</v>
      </c>
      <c r="P142">
        <v>0</v>
      </c>
      <c r="Q142">
        <f t="shared" si="43"/>
        <v>1</v>
      </c>
      <c r="R142">
        <f t="shared" si="44"/>
        <v>0</v>
      </c>
      <c r="S142">
        <f t="shared" si="45"/>
        <v>26261.077897313276</v>
      </c>
      <c r="T142">
        <f t="shared" si="46"/>
        <v>799.99773333333303</v>
      </c>
      <c r="U142">
        <f t="shared" si="47"/>
        <v>674.39808280001796</v>
      </c>
      <c r="V142">
        <f t="shared" si="48"/>
        <v>0.84299999200000009</v>
      </c>
      <c r="W142">
        <f t="shared" si="49"/>
        <v>0.15869946032000001</v>
      </c>
      <c r="X142">
        <v>1</v>
      </c>
      <c r="Y142">
        <v>1769202909.9333301</v>
      </c>
      <c r="Z142">
        <v>409.36406666666699</v>
      </c>
      <c r="AA142">
        <v>410.0788</v>
      </c>
      <c r="AB142">
        <v>15.96752</v>
      </c>
      <c r="AC142">
        <v>14.0602933333333</v>
      </c>
      <c r="AD142">
        <v>410.12026666666702</v>
      </c>
      <c r="AE142">
        <v>15.87772</v>
      </c>
      <c r="AF142">
        <v>799.99480000000005</v>
      </c>
      <c r="AG142">
        <v>100.26373333333299</v>
      </c>
      <c r="AH142">
        <v>6.3672113333333294E-2</v>
      </c>
      <c r="AI142">
        <v>18.9491266666667</v>
      </c>
      <c r="AJ142">
        <v>999.9</v>
      </c>
      <c r="AK142">
        <v>999.9</v>
      </c>
      <c r="AL142">
        <v>0</v>
      </c>
      <c r="AM142">
        <v>0</v>
      </c>
      <c r="AN142">
        <v>4994.2666666666701</v>
      </c>
      <c r="AO142">
        <v>0</v>
      </c>
      <c r="AP142">
        <v>1.5244200000000001</v>
      </c>
      <c r="AQ142">
        <v>-0.71483973333333295</v>
      </c>
      <c r="AR142">
        <v>416.006666666667</v>
      </c>
      <c r="AS142">
        <v>415.926733333333</v>
      </c>
      <c r="AT142">
        <v>1.9072306666666701</v>
      </c>
      <c r="AU142">
        <v>410.0788</v>
      </c>
      <c r="AV142">
        <v>14.0602933333333</v>
      </c>
      <c r="AW142">
        <v>1.6009646666666699</v>
      </c>
      <c r="AX142">
        <v>1.40973866666667</v>
      </c>
      <c r="AY142">
        <v>13.9680066666667</v>
      </c>
      <c r="AZ142">
        <v>12.02228</v>
      </c>
      <c r="BA142">
        <v>799.99773333333303</v>
      </c>
      <c r="BB142">
        <v>0.90000800000000003</v>
      </c>
      <c r="BC142">
        <v>0</v>
      </c>
      <c r="BD142">
        <v>9.9992266666666704E-2</v>
      </c>
      <c r="BE142">
        <v>0</v>
      </c>
      <c r="BF142">
        <v>25</v>
      </c>
      <c r="BG142">
        <v>13191.02</v>
      </c>
      <c r="BH142">
        <v>1769202886</v>
      </c>
      <c r="BI142" t="s">
        <v>546</v>
      </c>
      <c r="BJ142">
        <v>1769202878</v>
      </c>
      <c r="BK142">
        <v>1769202886</v>
      </c>
      <c r="BL142">
        <v>17</v>
      </c>
      <c r="BM142">
        <v>-1.2999999999999999E-2</v>
      </c>
      <c r="BN142">
        <v>1.9E-2</v>
      </c>
      <c r="BO142">
        <v>-0.75600000000000001</v>
      </c>
      <c r="BP142">
        <v>0.09</v>
      </c>
      <c r="BQ142">
        <v>410</v>
      </c>
      <c r="BR142">
        <v>15</v>
      </c>
      <c r="BS142">
        <v>0.39</v>
      </c>
      <c r="BT142">
        <v>0.03</v>
      </c>
      <c r="BU142">
        <v>-0.72508895238095294</v>
      </c>
      <c r="BV142">
        <v>0.17507664935064801</v>
      </c>
      <c r="BW142">
        <v>2.7051499751534199E-2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1.8273561904761899</v>
      </c>
      <c r="CD142">
        <v>1.1860090909090899</v>
      </c>
      <c r="CE142">
        <v>0.122322109844934</v>
      </c>
      <c r="CF142">
        <v>0</v>
      </c>
      <c r="CG142">
        <v>1</v>
      </c>
      <c r="CH142">
        <v>2</v>
      </c>
      <c r="CI142" t="s">
        <v>302</v>
      </c>
      <c r="CJ142">
        <v>3.5325199999999999</v>
      </c>
      <c r="CK142">
        <v>2.70126</v>
      </c>
      <c r="CL142">
        <v>9.7906999999999994E-2</v>
      </c>
      <c r="CM142">
        <v>9.6676399999999996E-2</v>
      </c>
      <c r="CN142">
        <v>8.9173100000000005E-2</v>
      </c>
      <c r="CO142">
        <v>7.9751799999999998E-2</v>
      </c>
      <c r="CP142">
        <v>31616.799999999999</v>
      </c>
      <c r="CQ142">
        <v>27821.599999999999</v>
      </c>
      <c r="CR142">
        <v>32439.8</v>
      </c>
      <c r="CS142">
        <v>30727.599999999999</v>
      </c>
      <c r="CT142">
        <v>40016.1</v>
      </c>
      <c r="CU142">
        <v>39776.6</v>
      </c>
      <c r="CV142">
        <v>47386.1</v>
      </c>
      <c r="CW142">
        <v>46872.7</v>
      </c>
      <c r="CX142">
        <v>2.6180400000000001</v>
      </c>
      <c r="CY142">
        <v>2.11666</v>
      </c>
      <c r="CZ142">
        <v>0</v>
      </c>
      <c r="DA142">
        <v>0</v>
      </c>
      <c r="DB142">
        <v>999.9</v>
      </c>
      <c r="DC142">
        <v>999.9</v>
      </c>
      <c r="DD142">
        <v>45.715000000000003</v>
      </c>
      <c r="DE142">
        <v>28.821999999999999</v>
      </c>
      <c r="DF142">
        <v>18.150700000000001</v>
      </c>
      <c r="DG142">
        <v>30.37</v>
      </c>
      <c r="DH142">
        <v>16.442299999999999</v>
      </c>
      <c r="DI142">
        <v>2</v>
      </c>
      <c r="DJ142">
        <v>-9.20488E-2</v>
      </c>
      <c r="DK142">
        <v>2.0266000000000002</v>
      </c>
      <c r="DL142">
        <v>20.199000000000002</v>
      </c>
      <c r="DM142">
        <v>5.2480799999999999</v>
      </c>
      <c r="DN142">
        <v>12.033899999999999</v>
      </c>
      <c r="DO142">
        <v>4.9668000000000001</v>
      </c>
      <c r="DP142">
        <v>3.29068</v>
      </c>
      <c r="DQ142">
        <v>538.29999999999995</v>
      </c>
      <c r="DR142">
        <v>9999</v>
      </c>
      <c r="DS142">
        <v>9999</v>
      </c>
      <c r="DT142">
        <v>9999</v>
      </c>
      <c r="DU142">
        <v>1.8710599999999999</v>
      </c>
      <c r="DV142">
        <v>1.8760699999999999</v>
      </c>
      <c r="DW142">
        <v>1.8762799999999999</v>
      </c>
      <c r="DX142">
        <v>1.8827799999999999</v>
      </c>
      <c r="DY142">
        <v>1.87557</v>
      </c>
      <c r="DZ142">
        <v>1.87463</v>
      </c>
      <c r="EA142">
        <v>1.87076</v>
      </c>
      <c r="EB142">
        <v>1.87456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-0.75600000000000001</v>
      </c>
      <c r="EQ142">
        <v>8.9800000000000005E-2</v>
      </c>
      <c r="ER142">
        <v>-0.75629999999995301</v>
      </c>
      <c r="ES142">
        <v>0</v>
      </c>
      <c r="ET142">
        <v>0</v>
      </c>
      <c r="EU142">
        <v>0</v>
      </c>
      <c r="EV142">
        <v>8.98000000000021E-2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0.7</v>
      </c>
      <c r="FE142">
        <v>0.5</v>
      </c>
      <c r="FF142">
        <v>1.24512</v>
      </c>
      <c r="FG142">
        <v>2.6013199999999999</v>
      </c>
      <c r="FH142">
        <v>2.19604</v>
      </c>
      <c r="FI142">
        <v>2.66113</v>
      </c>
      <c r="FJ142">
        <v>2.4462899999999999</v>
      </c>
      <c r="FK142">
        <v>2.2839399999999999</v>
      </c>
      <c r="FL142">
        <v>33.087499999999999</v>
      </c>
      <c r="FM142">
        <v>24.14</v>
      </c>
      <c r="FN142">
        <v>19</v>
      </c>
      <c r="FO142">
        <v>865.40200000000004</v>
      </c>
      <c r="FP142">
        <v>569.15700000000004</v>
      </c>
      <c r="FQ142">
        <v>18.201799999999999</v>
      </c>
      <c r="FR142">
        <v>25.818999999999999</v>
      </c>
      <c r="FS142">
        <v>30.0002</v>
      </c>
      <c r="FT142">
        <v>25.784700000000001</v>
      </c>
      <c r="FU142">
        <v>25.782699999999998</v>
      </c>
      <c r="FV142">
        <v>24.9861</v>
      </c>
      <c r="FW142">
        <v>27.672899999999998</v>
      </c>
      <c r="FX142">
        <v>15.3089</v>
      </c>
      <c r="FY142">
        <v>18.227599999999999</v>
      </c>
      <c r="FZ142">
        <v>410</v>
      </c>
      <c r="GA142">
        <v>13.6775</v>
      </c>
      <c r="GB142">
        <v>99.840299999999999</v>
      </c>
      <c r="GC142">
        <v>99.771900000000002</v>
      </c>
    </row>
    <row r="143" spans="1:185" x14ac:dyDescent="0.2">
      <c r="A143">
        <v>128</v>
      </c>
      <c r="B143">
        <v>1769202933</v>
      </c>
      <c r="C143">
        <v>2662</v>
      </c>
      <c r="D143" t="s">
        <v>553</v>
      </c>
      <c r="E143" t="s">
        <v>554</v>
      </c>
      <c r="F143">
        <v>15</v>
      </c>
      <c r="G143">
        <v>1769202924.9333301</v>
      </c>
      <c r="H143">
        <f t="shared" si="38"/>
        <v>1.6622133867333539E-3</v>
      </c>
      <c r="I143">
        <v>0</v>
      </c>
      <c r="J143">
        <f t="shared" si="37"/>
        <v>-4.7255237683429116E-3</v>
      </c>
      <c r="K143">
        <f t="shared" si="39"/>
        <v>-0.12181727016960631</v>
      </c>
      <c r="L143">
        <f t="shared" si="40"/>
        <v>71.82263138112944</v>
      </c>
      <c r="M143">
        <f t="shared" si="41"/>
        <v>1.5823466081522202</v>
      </c>
      <c r="N143">
        <f t="shared" si="42"/>
        <v>2.203130932025366</v>
      </c>
      <c r="O143">
        <v>0</v>
      </c>
      <c r="P143">
        <v>0</v>
      </c>
      <c r="Q143">
        <f t="shared" si="43"/>
        <v>1</v>
      </c>
      <c r="R143">
        <f t="shared" si="44"/>
        <v>0</v>
      </c>
      <c r="S143">
        <f t="shared" si="45"/>
        <v>26276.170793391335</v>
      </c>
      <c r="T143">
        <f t="shared" si="46"/>
        <v>799.99933333333297</v>
      </c>
      <c r="U143">
        <f t="shared" si="47"/>
        <v>674.39924280016237</v>
      </c>
      <c r="V143">
        <f t="shared" si="48"/>
        <v>0.84299975599999999</v>
      </c>
      <c r="W143">
        <f t="shared" si="49"/>
        <v>0.15869913015999998</v>
      </c>
      <c r="X143">
        <v>1</v>
      </c>
      <c r="Y143">
        <v>1769202924.9333301</v>
      </c>
      <c r="Z143">
        <v>409.3184</v>
      </c>
      <c r="AA143">
        <v>410.01659999999998</v>
      </c>
      <c r="AB143">
        <v>15.771800000000001</v>
      </c>
      <c r="AC143">
        <v>13.726793333333299</v>
      </c>
      <c r="AD143">
        <v>410.07473333333297</v>
      </c>
      <c r="AE143">
        <v>15.682</v>
      </c>
      <c r="AF143">
        <v>799.99606666666705</v>
      </c>
      <c r="AG143">
        <v>100.26406666666701</v>
      </c>
      <c r="AH143">
        <v>6.35185266666667E-2</v>
      </c>
      <c r="AI143">
        <v>18.985099999999999</v>
      </c>
      <c r="AJ143">
        <v>999.9</v>
      </c>
      <c r="AK143">
        <v>999.9</v>
      </c>
      <c r="AL143">
        <v>0</v>
      </c>
      <c r="AM143">
        <v>0</v>
      </c>
      <c r="AN143">
        <v>4997.2666666666701</v>
      </c>
      <c r="AO143">
        <v>0</v>
      </c>
      <c r="AP143">
        <v>1.5244200000000001</v>
      </c>
      <c r="AQ143">
        <v>-0.69816480000000003</v>
      </c>
      <c r="AR143">
        <v>415.87746666666698</v>
      </c>
      <c r="AS143">
        <v>415.72306666666702</v>
      </c>
      <c r="AT143">
        <v>2.0450026666666701</v>
      </c>
      <c r="AU143">
        <v>410.01659999999998</v>
      </c>
      <c r="AV143">
        <v>13.726793333333299</v>
      </c>
      <c r="AW143">
        <v>1.5813459999999999</v>
      </c>
      <c r="AX143">
        <v>1.3763053333333299</v>
      </c>
      <c r="AY143">
        <v>13.77814</v>
      </c>
      <c r="AZ143">
        <v>11.658886666666699</v>
      </c>
      <c r="BA143">
        <v>799.99933333333297</v>
      </c>
      <c r="BB143">
        <v>0.90001200000000003</v>
      </c>
      <c r="BC143">
        <v>0</v>
      </c>
      <c r="BD143">
        <v>9.9988133333333298E-2</v>
      </c>
      <c r="BE143">
        <v>0</v>
      </c>
      <c r="BF143">
        <v>25</v>
      </c>
      <c r="BG143">
        <v>13191.06</v>
      </c>
      <c r="BH143">
        <v>1769202886</v>
      </c>
      <c r="BI143" t="s">
        <v>546</v>
      </c>
      <c r="BJ143">
        <v>1769202878</v>
      </c>
      <c r="BK143">
        <v>1769202886</v>
      </c>
      <c r="BL143">
        <v>17</v>
      </c>
      <c r="BM143">
        <v>-1.2999999999999999E-2</v>
      </c>
      <c r="BN143">
        <v>1.9E-2</v>
      </c>
      <c r="BO143">
        <v>-0.75600000000000001</v>
      </c>
      <c r="BP143">
        <v>0.09</v>
      </c>
      <c r="BQ143">
        <v>410</v>
      </c>
      <c r="BR143">
        <v>15</v>
      </c>
      <c r="BS143">
        <v>0.39</v>
      </c>
      <c r="BT143">
        <v>0.03</v>
      </c>
      <c r="BU143">
        <v>-0.70104104761904795</v>
      </c>
      <c r="BV143">
        <v>-8.9913506493507406E-2</v>
      </c>
      <c r="BW143">
        <v>3.0918138846955798E-2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2.02419142857143</v>
      </c>
      <c r="CD143">
        <v>0.36630857142856998</v>
      </c>
      <c r="CE143">
        <v>3.9239932198100999E-2</v>
      </c>
      <c r="CF143">
        <v>0</v>
      </c>
      <c r="CG143">
        <v>1</v>
      </c>
      <c r="CH143">
        <v>2</v>
      </c>
      <c r="CI143" t="s">
        <v>302</v>
      </c>
      <c r="CJ143">
        <v>3.5324900000000001</v>
      </c>
      <c r="CK143">
        <v>2.7015199999999999</v>
      </c>
      <c r="CL143">
        <v>9.7892800000000002E-2</v>
      </c>
      <c r="CM143">
        <v>9.6667500000000003E-2</v>
      </c>
      <c r="CN143">
        <v>8.8390899999999994E-2</v>
      </c>
      <c r="CO143">
        <v>7.8833799999999996E-2</v>
      </c>
      <c r="CP143">
        <v>31617.3</v>
      </c>
      <c r="CQ143">
        <v>27821.8</v>
      </c>
      <c r="CR143">
        <v>32439.8</v>
      </c>
      <c r="CS143">
        <v>30727.5</v>
      </c>
      <c r="CT143">
        <v>40051.5</v>
      </c>
      <c r="CU143">
        <v>39817</v>
      </c>
      <c r="CV143">
        <v>47386.2</v>
      </c>
      <c r="CW143">
        <v>46872.4</v>
      </c>
      <c r="CX143">
        <v>2.6186799999999999</v>
      </c>
      <c r="CY143">
        <v>2.1160399999999999</v>
      </c>
      <c r="CZ143">
        <v>0</v>
      </c>
      <c r="DA143">
        <v>0</v>
      </c>
      <c r="DB143">
        <v>999.9</v>
      </c>
      <c r="DC143">
        <v>999.9</v>
      </c>
      <c r="DD143">
        <v>45.665999999999997</v>
      </c>
      <c r="DE143">
        <v>28.821999999999999</v>
      </c>
      <c r="DF143">
        <v>18.129799999999999</v>
      </c>
      <c r="DG143">
        <v>30.58</v>
      </c>
      <c r="DH143">
        <v>16.418299999999999</v>
      </c>
      <c r="DI143">
        <v>2</v>
      </c>
      <c r="DJ143">
        <v>-9.1867900000000002E-2</v>
      </c>
      <c r="DK143">
        <v>2.0920000000000001</v>
      </c>
      <c r="DL143">
        <v>20.197900000000001</v>
      </c>
      <c r="DM143">
        <v>5.2473599999999996</v>
      </c>
      <c r="DN143">
        <v>12.033899999999999</v>
      </c>
      <c r="DO143">
        <v>4.9670399999999999</v>
      </c>
      <c r="DP143">
        <v>3.2906399999999998</v>
      </c>
      <c r="DQ143">
        <v>538.29999999999995</v>
      </c>
      <c r="DR143">
        <v>9999</v>
      </c>
      <c r="DS143">
        <v>9999</v>
      </c>
      <c r="DT143">
        <v>9999</v>
      </c>
      <c r="DU143">
        <v>1.8711100000000001</v>
      </c>
      <c r="DV143">
        <v>1.87608</v>
      </c>
      <c r="DW143">
        <v>1.8762799999999999</v>
      </c>
      <c r="DX143">
        <v>1.8827799999999999</v>
      </c>
      <c r="DY143">
        <v>1.87558</v>
      </c>
      <c r="DZ143">
        <v>1.8746499999999999</v>
      </c>
      <c r="EA143">
        <v>1.8707800000000001</v>
      </c>
      <c r="EB143">
        <v>1.8746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-0.75700000000000001</v>
      </c>
      <c r="EQ143">
        <v>8.9800000000000005E-2</v>
      </c>
      <c r="ER143">
        <v>-0.75629999999995301</v>
      </c>
      <c r="ES143">
        <v>0</v>
      </c>
      <c r="ET143">
        <v>0</v>
      </c>
      <c r="EU143">
        <v>0</v>
      </c>
      <c r="EV143">
        <v>8.98000000000021E-2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0.9</v>
      </c>
      <c r="FE143">
        <v>0.8</v>
      </c>
      <c r="FF143">
        <v>1.24512</v>
      </c>
      <c r="FG143">
        <v>2.6086399999999998</v>
      </c>
      <c r="FH143">
        <v>2.19604</v>
      </c>
      <c r="FI143">
        <v>2.66113</v>
      </c>
      <c r="FJ143">
        <v>2.4462899999999999</v>
      </c>
      <c r="FK143">
        <v>2.2485400000000002</v>
      </c>
      <c r="FL143">
        <v>33.065199999999997</v>
      </c>
      <c r="FM143">
        <v>24.1313</v>
      </c>
      <c r="FN143">
        <v>19</v>
      </c>
      <c r="FO143">
        <v>866.03300000000002</v>
      </c>
      <c r="FP143">
        <v>568.69000000000005</v>
      </c>
      <c r="FQ143">
        <v>18.257899999999999</v>
      </c>
      <c r="FR143">
        <v>25.8186</v>
      </c>
      <c r="FS143">
        <v>30.0002</v>
      </c>
      <c r="FT143">
        <v>25.786899999999999</v>
      </c>
      <c r="FU143">
        <v>25.783100000000001</v>
      </c>
      <c r="FV143">
        <v>24.983699999999999</v>
      </c>
      <c r="FW143">
        <v>28.2362</v>
      </c>
      <c r="FX143">
        <v>15.3089</v>
      </c>
      <c r="FY143">
        <v>18.253599999999999</v>
      </c>
      <c r="FZ143">
        <v>410</v>
      </c>
      <c r="GA143">
        <v>13.5875</v>
      </c>
      <c r="GB143">
        <v>99.840400000000002</v>
      </c>
      <c r="GC143">
        <v>99.7714</v>
      </c>
    </row>
    <row r="144" spans="1:185" x14ac:dyDescent="0.2">
      <c r="A144">
        <v>129</v>
      </c>
      <c r="B144">
        <v>1769202948</v>
      </c>
      <c r="C144">
        <v>2677</v>
      </c>
      <c r="D144" t="s">
        <v>555</v>
      </c>
      <c r="E144" t="s">
        <v>556</v>
      </c>
      <c r="F144">
        <v>15</v>
      </c>
      <c r="G144">
        <v>1769202939.9333301</v>
      </c>
      <c r="H144">
        <f t="shared" ref="H144:H168" si="50">AF144*Q144*(AB144-AC144)/(1000*X144*(1000-Q144*AB144))</f>
        <v>1.6129177488244479E-3</v>
      </c>
      <c r="I144">
        <v>0</v>
      </c>
      <c r="J144">
        <f t="shared" si="37"/>
        <v>-2.855592615014529E-3</v>
      </c>
      <c r="K144">
        <f t="shared" ref="K144:K168" si="51">AF144*Q144*(AA144-Z144*(1000-Q144*AC144)/(1000-Q144*AB144))/(1000*X144)</f>
        <v>-7.3613109177004712E-2</v>
      </c>
      <c r="L144">
        <f t="shared" ref="L144:L168" si="52">(M144/N144*100)</f>
        <v>70.965766150530769</v>
      </c>
      <c r="M144">
        <f t="shared" ref="M144:M168" si="53">AB144*(AG144+AH144)/1000</f>
        <v>1.5663899595363395</v>
      </c>
      <c r="N144">
        <f t="shared" ref="N144:N168" si="54">0.61365*EXP(17.502*AI144/(240.97+AI144))</f>
        <v>2.2072473031767927</v>
      </c>
      <c r="O144">
        <v>0</v>
      </c>
      <c r="P144">
        <v>0</v>
      </c>
      <c r="Q144">
        <f t="shared" ref="Q144:Q168" si="55">IF(O144*$H$13&gt;=S144,1,(S144/(S144-O144*$H$13)))</f>
        <v>1</v>
      </c>
      <c r="R144">
        <f t="shared" ref="R144:R168" si="56">(Q144-1)*100</f>
        <v>0</v>
      </c>
      <c r="S144">
        <f t="shared" ref="S144:S168" si="57">MAX(0,($B$13+$C$13*AN144)/(1+$D$13*AN144)*AG144/(AI144+273)*$E$13)</f>
        <v>26293.505250390866</v>
      </c>
      <c r="T144">
        <f t="shared" ref="T144:T168" si="58">$B$11*AO144+$C$11*AP144+$D$11*BA144</f>
        <v>800.00126666666699</v>
      </c>
      <c r="U144">
        <f t="shared" ref="U144:U168" si="59">T144*V144</f>
        <v>674.40075451950429</v>
      </c>
      <c r="V144">
        <f t="shared" ref="V144:V168" si="60">($B$11*$D$9+$C$11*$D$9+$D$11*(BB144*$E$9+BC144*$F$9+BD144*$G$9+BE144*$H$9))/($B$11+$C$11+$D$11)</f>
        <v>0.84299960839999999</v>
      </c>
      <c r="W144">
        <f t="shared" ref="W144:W168" si="61">($B$11*$L$9+$C$11*$L$9+$D$11*(BB144*$M$9+BC144*$N$9+BD144*$O$9+BE144*$P$9))/($B$11+$C$11+$D$11)</f>
        <v>0.15869930682400002</v>
      </c>
      <c r="X144">
        <v>1</v>
      </c>
      <c r="Y144">
        <v>1769202939.9333301</v>
      </c>
      <c r="Z144">
        <v>409.27600000000001</v>
      </c>
      <c r="AA144">
        <v>410.00913333333301</v>
      </c>
      <c r="AB144">
        <v>15.612740000000001</v>
      </c>
      <c r="AC144">
        <v>13.6281</v>
      </c>
      <c r="AD144">
        <v>410.03233333333299</v>
      </c>
      <c r="AE144">
        <v>15.52294</v>
      </c>
      <c r="AF144">
        <v>800.01193333333299</v>
      </c>
      <c r="AG144">
        <v>100.263933333333</v>
      </c>
      <c r="AH144">
        <v>6.3745186666666703E-2</v>
      </c>
      <c r="AI144">
        <v>19.0150133333333</v>
      </c>
      <c r="AJ144">
        <v>999.9</v>
      </c>
      <c r="AK144">
        <v>999.9</v>
      </c>
      <c r="AL144">
        <v>0</v>
      </c>
      <c r="AM144">
        <v>0</v>
      </c>
      <c r="AN144">
        <v>5000.5666666666702</v>
      </c>
      <c r="AO144">
        <v>0</v>
      </c>
      <c r="AP144">
        <v>1.5244200000000001</v>
      </c>
      <c r="AQ144">
        <v>-0.733268266666667</v>
      </c>
      <c r="AR144">
        <v>415.76713333333299</v>
      </c>
      <c r="AS144">
        <v>415.67413333333297</v>
      </c>
      <c r="AT144">
        <v>1.984648</v>
      </c>
      <c r="AU144">
        <v>410.00913333333301</v>
      </c>
      <c r="AV144">
        <v>13.6281</v>
      </c>
      <c r="AW144">
        <v>1.565396</v>
      </c>
      <c r="AX144">
        <v>1.36640733333333</v>
      </c>
      <c r="AY144">
        <v>13.62228</v>
      </c>
      <c r="AZ144">
        <v>11.549886666666699</v>
      </c>
      <c r="BA144">
        <v>800.00126666666699</v>
      </c>
      <c r="BB144">
        <v>0.90000880000000005</v>
      </c>
      <c r="BC144">
        <v>0</v>
      </c>
      <c r="BD144">
        <v>9.9991053333333302E-2</v>
      </c>
      <c r="BE144">
        <v>0</v>
      </c>
      <c r="BF144">
        <v>25</v>
      </c>
      <c r="BG144">
        <v>13191.0666666667</v>
      </c>
      <c r="BH144">
        <v>1769202886</v>
      </c>
      <c r="BI144" t="s">
        <v>546</v>
      </c>
      <c r="BJ144">
        <v>1769202878</v>
      </c>
      <c r="BK144">
        <v>1769202886</v>
      </c>
      <c r="BL144">
        <v>17</v>
      </c>
      <c r="BM144">
        <v>-1.2999999999999999E-2</v>
      </c>
      <c r="BN144">
        <v>1.9E-2</v>
      </c>
      <c r="BO144">
        <v>-0.75600000000000001</v>
      </c>
      <c r="BP144">
        <v>0.09</v>
      </c>
      <c r="BQ144">
        <v>410</v>
      </c>
      <c r="BR144">
        <v>15</v>
      </c>
      <c r="BS144">
        <v>0.39</v>
      </c>
      <c r="BT144">
        <v>0.03</v>
      </c>
      <c r="BU144">
        <v>-0.73121719047619105</v>
      </c>
      <c r="BV144">
        <v>-6.7214727272726801E-2</v>
      </c>
      <c r="BW144">
        <v>1.31773653650386E-2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2.0115728571428599</v>
      </c>
      <c r="CD144">
        <v>-0.41522493506493302</v>
      </c>
      <c r="CE144">
        <v>4.2936569399950102E-2</v>
      </c>
      <c r="CF144">
        <v>0</v>
      </c>
      <c r="CG144">
        <v>1</v>
      </c>
      <c r="CH144">
        <v>2</v>
      </c>
      <c r="CI144" t="s">
        <v>302</v>
      </c>
      <c r="CJ144">
        <v>3.5325700000000002</v>
      </c>
      <c r="CK144">
        <v>2.70174</v>
      </c>
      <c r="CL144">
        <v>9.7889900000000002E-2</v>
      </c>
      <c r="CM144">
        <v>9.6670500000000006E-2</v>
      </c>
      <c r="CN144">
        <v>8.7860199999999999E-2</v>
      </c>
      <c r="CO144">
        <v>7.8687599999999996E-2</v>
      </c>
      <c r="CP144">
        <v>31616.7</v>
      </c>
      <c r="CQ144">
        <v>27820.6</v>
      </c>
      <c r="CR144">
        <v>32439</v>
      </c>
      <c r="CS144">
        <v>30726.400000000001</v>
      </c>
      <c r="CT144">
        <v>40074.6</v>
      </c>
      <c r="CU144">
        <v>39822</v>
      </c>
      <c r="CV144">
        <v>47385</v>
      </c>
      <c r="CW144">
        <v>46870.7</v>
      </c>
      <c r="CX144">
        <v>2.6185200000000002</v>
      </c>
      <c r="CY144">
        <v>2.1160999999999999</v>
      </c>
      <c r="CZ144">
        <v>0</v>
      </c>
      <c r="DA144">
        <v>0</v>
      </c>
      <c r="DB144">
        <v>999.9</v>
      </c>
      <c r="DC144">
        <v>999.9</v>
      </c>
      <c r="DD144">
        <v>45.665999999999997</v>
      </c>
      <c r="DE144">
        <v>28.841999999999999</v>
      </c>
      <c r="DF144">
        <v>18.151299999999999</v>
      </c>
      <c r="DG144">
        <v>30.64</v>
      </c>
      <c r="DH144">
        <v>16.362200000000001</v>
      </c>
      <c r="DI144">
        <v>2</v>
      </c>
      <c r="DJ144">
        <v>-8.6270299999999994E-2</v>
      </c>
      <c r="DK144">
        <v>3.2430599999999998</v>
      </c>
      <c r="DL144">
        <v>20.175599999999999</v>
      </c>
      <c r="DM144">
        <v>5.2502399999999998</v>
      </c>
      <c r="DN144">
        <v>12.033899999999999</v>
      </c>
      <c r="DO144">
        <v>4.9672799999999997</v>
      </c>
      <c r="DP144">
        <v>3.2909999999999999</v>
      </c>
      <c r="DQ144">
        <v>538.29999999999995</v>
      </c>
      <c r="DR144">
        <v>9999</v>
      </c>
      <c r="DS144">
        <v>9999</v>
      </c>
      <c r="DT144">
        <v>9999</v>
      </c>
      <c r="DU144">
        <v>1.8711</v>
      </c>
      <c r="DV144">
        <v>1.8760699999999999</v>
      </c>
      <c r="DW144">
        <v>1.8763000000000001</v>
      </c>
      <c r="DX144">
        <v>1.8827799999999999</v>
      </c>
      <c r="DY144">
        <v>1.8755599999999999</v>
      </c>
      <c r="DZ144">
        <v>1.87462</v>
      </c>
      <c r="EA144">
        <v>1.8707800000000001</v>
      </c>
      <c r="EB144">
        <v>1.87459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-0.75700000000000001</v>
      </c>
      <c r="EQ144">
        <v>8.9800000000000005E-2</v>
      </c>
      <c r="ER144">
        <v>-0.75629999999995301</v>
      </c>
      <c r="ES144">
        <v>0</v>
      </c>
      <c r="ET144">
        <v>0</v>
      </c>
      <c r="EU144">
        <v>0</v>
      </c>
      <c r="EV144">
        <v>8.98000000000021E-2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1.2</v>
      </c>
      <c r="FE144">
        <v>1</v>
      </c>
      <c r="FF144">
        <v>1.24512</v>
      </c>
      <c r="FG144">
        <v>2.6086399999999998</v>
      </c>
      <c r="FH144">
        <v>2.19604</v>
      </c>
      <c r="FI144">
        <v>2.66113</v>
      </c>
      <c r="FJ144">
        <v>2.4462899999999999</v>
      </c>
      <c r="FK144">
        <v>2.2924799999999999</v>
      </c>
      <c r="FL144">
        <v>33.065199999999997</v>
      </c>
      <c r="FM144">
        <v>24.1313</v>
      </c>
      <c r="FN144">
        <v>19</v>
      </c>
      <c r="FO144">
        <v>865.88400000000001</v>
      </c>
      <c r="FP144">
        <v>568.755</v>
      </c>
      <c r="FQ144">
        <v>17.784300000000002</v>
      </c>
      <c r="FR144">
        <v>25.816400000000002</v>
      </c>
      <c r="FS144">
        <v>30.001200000000001</v>
      </c>
      <c r="FT144">
        <v>25.786899999999999</v>
      </c>
      <c r="FU144">
        <v>25.784800000000001</v>
      </c>
      <c r="FV144">
        <v>24.983799999999999</v>
      </c>
      <c r="FW144">
        <v>28.5365</v>
      </c>
      <c r="FX144">
        <v>15.3089</v>
      </c>
      <c r="FY144">
        <v>17.768899999999999</v>
      </c>
      <c r="FZ144">
        <v>410</v>
      </c>
      <c r="GA144">
        <v>13.5349</v>
      </c>
      <c r="GB144">
        <v>99.837900000000005</v>
      </c>
      <c r="GC144">
        <v>99.767700000000005</v>
      </c>
    </row>
    <row r="145" spans="1:185" x14ac:dyDescent="0.2">
      <c r="A145">
        <v>130</v>
      </c>
      <c r="B145">
        <v>1769202963</v>
      </c>
      <c r="C145">
        <v>2692</v>
      </c>
      <c r="D145" t="s">
        <v>557</v>
      </c>
      <c r="E145" t="s">
        <v>558</v>
      </c>
      <c r="F145">
        <v>15</v>
      </c>
      <c r="G145">
        <v>1769202954.9333301</v>
      </c>
      <c r="H145">
        <f t="shared" si="50"/>
        <v>1.5724560648024137E-3</v>
      </c>
      <c r="I145">
        <v>0</v>
      </c>
      <c r="J145">
        <f t="shared" ref="J145:J168" si="62">K145*(0.0005573/0.0143664)</f>
        <v>-2.1257038725670464E-3</v>
      </c>
      <c r="K145">
        <f t="shared" si="51"/>
        <v>-5.4797617288439286E-2</v>
      </c>
      <c r="L145">
        <f t="shared" si="52"/>
        <v>70.519708321701117</v>
      </c>
      <c r="M145">
        <f t="shared" si="53"/>
        <v>1.5551670638326722</v>
      </c>
      <c r="N145">
        <f t="shared" si="54"/>
        <v>2.2052942373757647</v>
      </c>
      <c r="O145">
        <v>0</v>
      </c>
      <c r="P145">
        <v>0</v>
      </c>
      <c r="Q145">
        <f t="shared" si="55"/>
        <v>1</v>
      </c>
      <c r="R145">
        <f t="shared" si="56"/>
        <v>0</v>
      </c>
      <c r="S145">
        <f t="shared" si="57"/>
        <v>26302.650380504358</v>
      </c>
      <c r="T145">
        <f t="shared" si="58"/>
        <v>799.99919999999997</v>
      </c>
      <c r="U145">
        <f t="shared" si="59"/>
        <v>674.39919040013501</v>
      </c>
      <c r="V145">
        <f t="shared" si="60"/>
        <v>0.84299983099999976</v>
      </c>
      <c r="W145">
        <f t="shared" si="61"/>
        <v>0.15869938261999997</v>
      </c>
      <c r="X145">
        <v>1</v>
      </c>
      <c r="Y145">
        <v>1769202954.9333301</v>
      </c>
      <c r="Z145">
        <v>409.26226666666702</v>
      </c>
      <c r="AA145">
        <v>409.9982</v>
      </c>
      <c r="AB145">
        <v>15.500866666666701</v>
      </c>
      <c r="AC145">
        <v>13.565773333333301</v>
      </c>
      <c r="AD145">
        <v>410.01839999999999</v>
      </c>
      <c r="AE145">
        <v>15.4110666666667</v>
      </c>
      <c r="AF145">
        <v>800.00360000000001</v>
      </c>
      <c r="AG145">
        <v>100.2638</v>
      </c>
      <c r="AH145">
        <v>6.39492333333333E-2</v>
      </c>
      <c r="AI145">
        <v>19.000826666666701</v>
      </c>
      <c r="AJ145">
        <v>999.9</v>
      </c>
      <c r="AK145">
        <v>999.9</v>
      </c>
      <c r="AL145">
        <v>0</v>
      </c>
      <c r="AM145">
        <v>0</v>
      </c>
      <c r="AN145">
        <v>5001.8666666666704</v>
      </c>
      <c r="AO145">
        <v>0</v>
      </c>
      <c r="AP145">
        <v>1.5244200000000001</v>
      </c>
      <c r="AQ145">
        <v>-0.73597999999999997</v>
      </c>
      <c r="AR145">
        <v>415.70593333333301</v>
      </c>
      <c r="AS145">
        <v>415.63659999999999</v>
      </c>
      <c r="AT145">
        <v>1.93509933333333</v>
      </c>
      <c r="AU145">
        <v>409.9982</v>
      </c>
      <c r="AV145">
        <v>13.565773333333301</v>
      </c>
      <c r="AW145">
        <v>1.5541766666666701</v>
      </c>
      <c r="AX145">
        <v>1.3601559999999999</v>
      </c>
      <c r="AY145">
        <v>13.511799999999999</v>
      </c>
      <c r="AZ145">
        <v>11.480546666666701</v>
      </c>
      <c r="BA145">
        <v>799.99919999999997</v>
      </c>
      <c r="BB145">
        <v>0.90000853333333297</v>
      </c>
      <c r="BC145">
        <v>0</v>
      </c>
      <c r="BD145">
        <v>9.9991566666666698E-2</v>
      </c>
      <c r="BE145">
        <v>0</v>
      </c>
      <c r="BF145">
        <v>25</v>
      </c>
      <c r="BG145">
        <v>13191.04</v>
      </c>
      <c r="BH145">
        <v>1769202886</v>
      </c>
      <c r="BI145" t="s">
        <v>546</v>
      </c>
      <c r="BJ145">
        <v>1769202878</v>
      </c>
      <c r="BK145">
        <v>1769202886</v>
      </c>
      <c r="BL145">
        <v>17</v>
      </c>
      <c r="BM145">
        <v>-1.2999999999999999E-2</v>
      </c>
      <c r="BN145">
        <v>1.9E-2</v>
      </c>
      <c r="BO145">
        <v>-0.75600000000000001</v>
      </c>
      <c r="BP145">
        <v>0.09</v>
      </c>
      <c r="BQ145">
        <v>410</v>
      </c>
      <c r="BR145">
        <v>15</v>
      </c>
      <c r="BS145">
        <v>0.39</v>
      </c>
      <c r="BT145">
        <v>0.03</v>
      </c>
      <c r="BU145">
        <v>-0.7383788</v>
      </c>
      <c r="BV145">
        <v>-5.6945233082705299E-2</v>
      </c>
      <c r="BW145">
        <v>2.2461766047219001E-2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1.942161</v>
      </c>
      <c r="CD145">
        <v>-0.129838195488724</v>
      </c>
      <c r="CE145">
        <v>1.2899404598662701E-2</v>
      </c>
      <c r="CF145">
        <v>0</v>
      </c>
      <c r="CG145">
        <v>1</v>
      </c>
      <c r="CH145">
        <v>2</v>
      </c>
      <c r="CI145" t="s">
        <v>302</v>
      </c>
      <c r="CJ145">
        <v>3.5326</v>
      </c>
      <c r="CK145">
        <v>2.7016900000000001</v>
      </c>
      <c r="CL145">
        <v>9.7883999999999999E-2</v>
      </c>
      <c r="CM145">
        <v>9.6663100000000002E-2</v>
      </c>
      <c r="CN145">
        <v>8.7457300000000002E-2</v>
      </c>
      <c r="CO145">
        <v>7.8435000000000005E-2</v>
      </c>
      <c r="CP145">
        <v>31617.9</v>
      </c>
      <c r="CQ145">
        <v>27822.3</v>
      </c>
      <c r="CR145">
        <v>32440.1</v>
      </c>
      <c r="CS145">
        <v>30727.9</v>
      </c>
      <c r="CT145">
        <v>40094.400000000001</v>
      </c>
      <c r="CU145">
        <v>39835.4</v>
      </c>
      <c r="CV145">
        <v>47386.9</v>
      </c>
      <c r="CW145">
        <v>46873.2</v>
      </c>
      <c r="CX145">
        <v>2.6187800000000001</v>
      </c>
      <c r="CY145">
        <v>2.1160600000000001</v>
      </c>
      <c r="CZ145">
        <v>0</v>
      </c>
      <c r="DA145">
        <v>0</v>
      </c>
      <c r="DB145">
        <v>999.9</v>
      </c>
      <c r="DC145">
        <v>999.9</v>
      </c>
      <c r="DD145">
        <v>45.593000000000004</v>
      </c>
      <c r="DE145">
        <v>28.821999999999999</v>
      </c>
      <c r="DF145">
        <v>18.1005</v>
      </c>
      <c r="DG145">
        <v>30.52</v>
      </c>
      <c r="DH145">
        <v>16.338100000000001</v>
      </c>
      <c r="DI145">
        <v>2</v>
      </c>
      <c r="DJ145">
        <v>-9.0469499999999994E-2</v>
      </c>
      <c r="DK145">
        <v>2.5950500000000001</v>
      </c>
      <c r="DL145">
        <v>20.190100000000001</v>
      </c>
      <c r="DM145">
        <v>5.25047</v>
      </c>
      <c r="DN145">
        <v>12.033899999999999</v>
      </c>
      <c r="DO145">
        <v>4.9674399999999999</v>
      </c>
      <c r="DP145">
        <v>3.2909999999999999</v>
      </c>
      <c r="DQ145">
        <v>538.29999999999995</v>
      </c>
      <c r="DR145">
        <v>9999</v>
      </c>
      <c r="DS145">
        <v>9999</v>
      </c>
      <c r="DT145">
        <v>9999</v>
      </c>
      <c r="DU145">
        <v>1.8711800000000001</v>
      </c>
      <c r="DV145">
        <v>1.87609</v>
      </c>
      <c r="DW145">
        <v>1.8763399999999999</v>
      </c>
      <c r="DX145">
        <v>1.88279</v>
      </c>
      <c r="DY145">
        <v>1.8755999999999999</v>
      </c>
      <c r="DZ145">
        <v>1.87466</v>
      </c>
      <c r="EA145">
        <v>1.8708199999999999</v>
      </c>
      <c r="EB145">
        <v>1.8746400000000001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-0.75600000000000001</v>
      </c>
      <c r="EQ145">
        <v>8.9800000000000005E-2</v>
      </c>
      <c r="ER145">
        <v>-0.75629999999995301</v>
      </c>
      <c r="ES145">
        <v>0</v>
      </c>
      <c r="ET145">
        <v>0</v>
      </c>
      <c r="EU145">
        <v>0</v>
      </c>
      <c r="EV145">
        <v>8.98000000000021E-2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1.4</v>
      </c>
      <c r="FE145">
        <v>1.3</v>
      </c>
      <c r="FF145">
        <v>1.24512</v>
      </c>
      <c r="FG145">
        <v>2.6098599999999998</v>
      </c>
      <c r="FH145">
        <v>2.19604</v>
      </c>
      <c r="FI145">
        <v>2.66113</v>
      </c>
      <c r="FJ145">
        <v>2.4462899999999999</v>
      </c>
      <c r="FK145">
        <v>2.2936999999999999</v>
      </c>
      <c r="FL145">
        <v>33.065199999999997</v>
      </c>
      <c r="FM145">
        <v>24.1313</v>
      </c>
      <c r="FN145">
        <v>19</v>
      </c>
      <c r="FO145">
        <v>866.09100000000001</v>
      </c>
      <c r="FP145">
        <v>568.70100000000002</v>
      </c>
      <c r="FQ145">
        <v>17.733799999999999</v>
      </c>
      <c r="FR145">
        <v>25.812000000000001</v>
      </c>
      <c r="FS145">
        <v>29.999199999999998</v>
      </c>
      <c r="FT145">
        <v>25.784700000000001</v>
      </c>
      <c r="FU145">
        <v>25.782699999999998</v>
      </c>
      <c r="FV145">
        <v>24.984000000000002</v>
      </c>
      <c r="FW145">
        <v>28.5365</v>
      </c>
      <c r="FX145">
        <v>14.934799999999999</v>
      </c>
      <c r="FY145">
        <v>17.770499999999998</v>
      </c>
      <c r="FZ145">
        <v>410</v>
      </c>
      <c r="GA145">
        <v>13.529199999999999</v>
      </c>
      <c r="GB145">
        <v>99.841700000000003</v>
      </c>
      <c r="GC145">
        <v>99.772900000000007</v>
      </c>
    </row>
    <row r="146" spans="1:185" x14ac:dyDescent="0.2">
      <c r="A146">
        <v>131</v>
      </c>
      <c r="B146">
        <v>1769202978</v>
      </c>
      <c r="C146">
        <v>2707</v>
      </c>
      <c r="D146" t="s">
        <v>559</v>
      </c>
      <c r="E146" t="s">
        <v>560</v>
      </c>
      <c r="F146">
        <v>15</v>
      </c>
      <c r="G146">
        <v>1769202969.9333301</v>
      </c>
      <c r="H146">
        <f t="shared" si="50"/>
        <v>1.5463585219874225E-3</v>
      </c>
      <c r="I146">
        <v>0</v>
      </c>
      <c r="J146">
        <f t="shared" si="62"/>
        <v>-4.4504549615932367E-4</v>
      </c>
      <c r="K146">
        <f t="shared" si="51"/>
        <v>-1.1472638822937926E-2</v>
      </c>
      <c r="L146">
        <f t="shared" si="52"/>
        <v>70.356529378710192</v>
      </c>
      <c r="M146">
        <f t="shared" si="53"/>
        <v>1.5493262299173907</v>
      </c>
      <c r="N146">
        <f t="shared" si="54"/>
        <v>2.2021072437751812</v>
      </c>
      <c r="O146">
        <v>0</v>
      </c>
      <c r="P146">
        <v>0</v>
      </c>
      <c r="Q146">
        <f t="shared" si="55"/>
        <v>1</v>
      </c>
      <c r="R146">
        <f t="shared" si="56"/>
        <v>0</v>
      </c>
      <c r="S146">
        <f t="shared" si="57"/>
        <v>26286.932330907272</v>
      </c>
      <c r="T146">
        <f t="shared" si="58"/>
        <v>799.99959999999999</v>
      </c>
      <c r="U146">
        <f t="shared" si="59"/>
        <v>674.3995423200605</v>
      </c>
      <c r="V146">
        <f t="shared" si="60"/>
        <v>0.84299984940000028</v>
      </c>
      <c r="W146">
        <f t="shared" si="61"/>
        <v>0.15869932468400008</v>
      </c>
      <c r="X146">
        <v>1</v>
      </c>
      <c r="Y146">
        <v>1769202969.9333301</v>
      </c>
      <c r="Z146">
        <v>409.22573333333298</v>
      </c>
      <c r="AA146">
        <v>410.00240000000002</v>
      </c>
      <c r="AB146">
        <v>15.442766666666699</v>
      </c>
      <c r="AC146">
        <v>13.539680000000001</v>
      </c>
      <c r="AD146">
        <v>409.98200000000003</v>
      </c>
      <c r="AE146">
        <v>15.352966666666701</v>
      </c>
      <c r="AF146">
        <v>800.00480000000005</v>
      </c>
      <c r="AG146">
        <v>100.263133333333</v>
      </c>
      <c r="AH146">
        <v>6.3852326666666695E-2</v>
      </c>
      <c r="AI146">
        <v>18.977653333333301</v>
      </c>
      <c r="AJ146">
        <v>999.9</v>
      </c>
      <c r="AK146">
        <v>999.9</v>
      </c>
      <c r="AL146">
        <v>0</v>
      </c>
      <c r="AM146">
        <v>0</v>
      </c>
      <c r="AN146">
        <v>4998.9666666666699</v>
      </c>
      <c r="AO146">
        <v>0</v>
      </c>
      <c r="AP146">
        <v>1.5244200000000001</v>
      </c>
      <c r="AQ146">
        <v>-0.77663973333333303</v>
      </c>
      <c r="AR146">
        <v>415.64440000000002</v>
      </c>
      <c r="AS146">
        <v>415.63</v>
      </c>
      <c r="AT146">
        <v>1.9030753333333299</v>
      </c>
      <c r="AU146">
        <v>410.00240000000002</v>
      </c>
      <c r="AV146">
        <v>13.539680000000001</v>
      </c>
      <c r="AW146">
        <v>1.54834</v>
      </c>
      <c r="AX146">
        <v>1.357532</v>
      </c>
      <c r="AY146">
        <v>13.4540733333333</v>
      </c>
      <c r="AZ146">
        <v>11.4513866666667</v>
      </c>
      <c r="BA146">
        <v>799.99959999999999</v>
      </c>
      <c r="BB146">
        <v>0.90000946666666704</v>
      </c>
      <c r="BC146">
        <v>0</v>
      </c>
      <c r="BD146">
        <v>9.9990686666666703E-2</v>
      </c>
      <c r="BE146">
        <v>0</v>
      </c>
      <c r="BF146">
        <v>25</v>
      </c>
      <c r="BG146">
        <v>13191.06</v>
      </c>
      <c r="BH146">
        <v>1769202886</v>
      </c>
      <c r="BI146" t="s">
        <v>546</v>
      </c>
      <c r="BJ146">
        <v>1769202878</v>
      </c>
      <c r="BK146">
        <v>1769202886</v>
      </c>
      <c r="BL146">
        <v>17</v>
      </c>
      <c r="BM146">
        <v>-1.2999999999999999E-2</v>
      </c>
      <c r="BN146">
        <v>1.9E-2</v>
      </c>
      <c r="BO146">
        <v>-0.75600000000000001</v>
      </c>
      <c r="BP146">
        <v>0.09</v>
      </c>
      <c r="BQ146">
        <v>410</v>
      </c>
      <c r="BR146">
        <v>15</v>
      </c>
      <c r="BS146">
        <v>0.39</v>
      </c>
      <c r="BT146">
        <v>0.03</v>
      </c>
      <c r="BU146">
        <v>-0.77139575000000005</v>
      </c>
      <c r="BV146">
        <v>-0.17717282706766899</v>
      </c>
      <c r="BW146">
        <v>2.93919519713731E-2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1.9074979999999999</v>
      </c>
      <c r="CD146">
        <v>-9.7913684210526999E-2</v>
      </c>
      <c r="CE146">
        <v>9.6818870061574306E-3</v>
      </c>
      <c r="CF146">
        <v>1</v>
      </c>
      <c r="CG146">
        <v>2</v>
      </c>
      <c r="CH146">
        <v>2</v>
      </c>
      <c r="CI146" t="s">
        <v>297</v>
      </c>
      <c r="CJ146">
        <v>3.5325099999999998</v>
      </c>
      <c r="CK146">
        <v>2.7019199999999999</v>
      </c>
      <c r="CL146">
        <v>9.7877599999999995E-2</v>
      </c>
      <c r="CM146">
        <v>9.6664100000000003E-2</v>
      </c>
      <c r="CN146">
        <v>8.7327100000000005E-2</v>
      </c>
      <c r="CO146">
        <v>7.8404299999999996E-2</v>
      </c>
      <c r="CP146">
        <v>31618.6</v>
      </c>
      <c r="CQ146">
        <v>27823.200000000001</v>
      </c>
      <c r="CR146">
        <v>32440.5</v>
      </c>
      <c r="CS146">
        <v>30728.9</v>
      </c>
      <c r="CT146">
        <v>40100.699999999997</v>
      </c>
      <c r="CU146">
        <v>39837.9</v>
      </c>
      <c r="CV146">
        <v>47387.4</v>
      </c>
      <c r="CW146">
        <v>46874.7</v>
      </c>
      <c r="CX146">
        <v>2.6189200000000001</v>
      </c>
      <c r="CY146">
        <v>2.1160399999999999</v>
      </c>
      <c r="CZ146">
        <v>0</v>
      </c>
      <c r="DA146">
        <v>0</v>
      </c>
      <c r="DB146">
        <v>999.9</v>
      </c>
      <c r="DC146">
        <v>999.9</v>
      </c>
      <c r="DD146">
        <v>45.567999999999998</v>
      </c>
      <c r="DE146">
        <v>28.821999999999999</v>
      </c>
      <c r="DF146">
        <v>18.090299999999999</v>
      </c>
      <c r="DG146">
        <v>30.4</v>
      </c>
      <c r="DH146">
        <v>16.398199999999999</v>
      </c>
      <c r="DI146">
        <v>2</v>
      </c>
      <c r="DJ146">
        <v>-9.1682899999999998E-2</v>
      </c>
      <c r="DK146">
        <v>2.4608400000000001</v>
      </c>
      <c r="DL146">
        <v>20.192699999999999</v>
      </c>
      <c r="DM146">
        <v>5.2509499999999996</v>
      </c>
      <c r="DN146">
        <v>12.033899999999999</v>
      </c>
      <c r="DO146">
        <v>4.96732</v>
      </c>
      <c r="DP146">
        <v>3.2909999999999999</v>
      </c>
      <c r="DQ146">
        <v>538.29999999999995</v>
      </c>
      <c r="DR146">
        <v>9999</v>
      </c>
      <c r="DS146">
        <v>9999</v>
      </c>
      <c r="DT146">
        <v>9999</v>
      </c>
      <c r="DU146">
        <v>1.8711500000000001</v>
      </c>
      <c r="DV146">
        <v>1.87609</v>
      </c>
      <c r="DW146">
        <v>1.8763000000000001</v>
      </c>
      <c r="DX146">
        <v>1.88279</v>
      </c>
      <c r="DY146">
        <v>1.87561</v>
      </c>
      <c r="DZ146">
        <v>1.87466</v>
      </c>
      <c r="EA146">
        <v>1.87083</v>
      </c>
      <c r="EB146">
        <v>1.8745799999999999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-0.75600000000000001</v>
      </c>
      <c r="EQ146">
        <v>8.9800000000000005E-2</v>
      </c>
      <c r="ER146">
        <v>-0.75629999999995301</v>
      </c>
      <c r="ES146">
        <v>0</v>
      </c>
      <c r="ET146">
        <v>0</v>
      </c>
      <c r="EU146">
        <v>0</v>
      </c>
      <c r="EV146">
        <v>8.98000000000021E-2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1.7</v>
      </c>
      <c r="FE146">
        <v>1.5</v>
      </c>
      <c r="FF146">
        <v>1.24512</v>
      </c>
      <c r="FG146">
        <v>2.6074199999999998</v>
      </c>
      <c r="FH146">
        <v>2.19604</v>
      </c>
      <c r="FI146">
        <v>2.66113</v>
      </c>
      <c r="FJ146">
        <v>2.4462899999999999</v>
      </c>
      <c r="FK146">
        <v>2.3059099999999999</v>
      </c>
      <c r="FL146">
        <v>33.065199999999997</v>
      </c>
      <c r="FM146">
        <v>24.14</v>
      </c>
      <c r="FN146">
        <v>19</v>
      </c>
      <c r="FO146">
        <v>866.18799999999999</v>
      </c>
      <c r="FP146">
        <v>568.66200000000003</v>
      </c>
      <c r="FQ146">
        <v>17.790600000000001</v>
      </c>
      <c r="FR146">
        <v>25.8063</v>
      </c>
      <c r="FS146">
        <v>29.999700000000001</v>
      </c>
      <c r="FT146">
        <v>25.782599999999999</v>
      </c>
      <c r="FU146">
        <v>25.7805</v>
      </c>
      <c r="FV146">
        <v>24.984100000000002</v>
      </c>
      <c r="FW146">
        <v>28.5365</v>
      </c>
      <c r="FX146">
        <v>14.934799999999999</v>
      </c>
      <c r="FY146">
        <v>17.82</v>
      </c>
      <c r="FZ146">
        <v>410</v>
      </c>
      <c r="GA146">
        <v>13.5321</v>
      </c>
      <c r="GB146">
        <v>99.842799999999997</v>
      </c>
      <c r="GC146">
        <v>99.775999999999996</v>
      </c>
    </row>
    <row r="147" spans="1:185" x14ac:dyDescent="0.2">
      <c r="A147">
        <v>132</v>
      </c>
      <c r="B147">
        <v>1769202993</v>
      </c>
      <c r="C147">
        <v>2722</v>
      </c>
      <c r="D147" t="s">
        <v>561</v>
      </c>
      <c r="E147" t="s">
        <v>562</v>
      </c>
      <c r="F147">
        <v>15</v>
      </c>
      <c r="G147">
        <v>1769202984.9333301</v>
      </c>
      <c r="H147">
        <f t="shared" si="50"/>
        <v>1.5320722361029831E-3</v>
      </c>
      <c r="I147">
        <v>0</v>
      </c>
      <c r="J147">
        <f t="shared" si="62"/>
        <v>-3.6710452417281164E-4</v>
      </c>
      <c r="K147">
        <f t="shared" si="51"/>
        <v>-9.463431609682901E-3</v>
      </c>
      <c r="L147">
        <f t="shared" si="52"/>
        <v>70.269479772088843</v>
      </c>
      <c r="M147">
        <f t="shared" si="53"/>
        <v>1.5463691298573288</v>
      </c>
      <c r="N147">
        <f t="shared" si="54"/>
        <v>2.2006269789854755</v>
      </c>
      <c r="O147">
        <v>0</v>
      </c>
      <c r="P147">
        <v>0</v>
      </c>
      <c r="Q147">
        <f t="shared" si="55"/>
        <v>1</v>
      </c>
      <c r="R147">
        <f t="shared" si="56"/>
        <v>0</v>
      </c>
      <c r="S147">
        <f t="shared" si="57"/>
        <v>26290.509112221709</v>
      </c>
      <c r="T147">
        <f t="shared" si="58"/>
        <v>800</v>
      </c>
      <c r="U147">
        <f t="shared" si="59"/>
        <v>674.39993711999989</v>
      </c>
      <c r="V147">
        <f t="shared" si="60"/>
        <v>0.84299992139999991</v>
      </c>
      <c r="W147">
        <f t="shared" si="61"/>
        <v>0.15869937476400001</v>
      </c>
      <c r="X147">
        <v>1</v>
      </c>
      <c r="Y147">
        <v>1769202984.9333301</v>
      </c>
      <c r="Z147">
        <v>409.22413333333299</v>
      </c>
      <c r="AA147">
        <v>409.99599999999998</v>
      </c>
      <c r="AB147">
        <v>15.4131466666667</v>
      </c>
      <c r="AC147">
        <v>13.5275866666667</v>
      </c>
      <c r="AD147">
        <v>409.98046666666698</v>
      </c>
      <c r="AE147">
        <v>15.3233466666667</v>
      </c>
      <c r="AF147">
        <v>800.00540000000001</v>
      </c>
      <c r="AG147">
        <v>100.2638</v>
      </c>
      <c r="AH147">
        <v>6.4131946666666703E-2</v>
      </c>
      <c r="AI147">
        <v>18.96688</v>
      </c>
      <c r="AJ147">
        <v>999.9</v>
      </c>
      <c r="AK147">
        <v>999.9</v>
      </c>
      <c r="AL147">
        <v>0</v>
      </c>
      <c r="AM147">
        <v>0</v>
      </c>
      <c r="AN147">
        <v>4999.3666666666704</v>
      </c>
      <c r="AO147">
        <v>0</v>
      </c>
      <c r="AP147">
        <v>1.5244200000000001</v>
      </c>
      <c r="AQ147">
        <v>-0.77194419999999997</v>
      </c>
      <c r="AR147">
        <v>415.63040000000001</v>
      </c>
      <c r="AS147">
        <v>415.61846666666702</v>
      </c>
      <c r="AT147">
        <v>1.8855693333333301</v>
      </c>
      <c r="AU147">
        <v>409.99599999999998</v>
      </c>
      <c r="AV147">
        <v>13.5275866666667</v>
      </c>
      <c r="AW147">
        <v>1.54538333333333</v>
      </c>
      <c r="AX147">
        <v>1.3563293333333299</v>
      </c>
      <c r="AY147">
        <v>13.424720000000001</v>
      </c>
      <c r="AZ147">
        <v>11.43798</v>
      </c>
      <c r="BA147">
        <v>800</v>
      </c>
      <c r="BB147">
        <v>0.90000899999999995</v>
      </c>
      <c r="BC147">
        <v>0</v>
      </c>
      <c r="BD147">
        <v>9.9991220000000006E-2</v>
      </c>
      <c r="BE147">
        <v>0</v>
      </c>
      <c r="BF147">
        <v>25</v>
      </c>
      <c r="BG147">
        <v>13191.06</v>
      </c>
      <c r="BH147">
        <v>1769202886</v>
      </c>
      <c r="BI147" t="s">
        <v>546</v>
      </c>
      <c r="BJ147">
        <v>1769202878</v>
      </c>
      <c r="BK147">
        <v>1769202886</v>
      </c>
      <c r="BL147">
        <v>17</v>
      </c>
      <c r="BM147">
        <v>-1.2999999999999999E-2</v>
      </c>
      <c r="BN147">
        <v>1.9E-2</v>
      </c>
      <c r="BO147">
        <v>-0.75600000000000001</v>
      </c>
      <c r="BP147">
        <v>0.09</v>
      </c>
      <c r="BQ147">
        <v>410</v>
      </c>
      <c r="BR147">
        <v>15</v>
      </c>
      <c r="BS147">
        <v>0.39</v>
      </c>
      <c r="BT147">
        <v>0.03</v>
      </c>
      <c r="BU147">
        <v>-0.77555338095238102</v>
      </c>
      <c r="BV147">
        <v>3.4910961038959999E-2</v>
      </c>
      <c r="BW147">
        <v>1.9669945453421801E-2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1.8887590476190499</v>
      </c>
      <c r="CD147">
        <v>-2.4335844155844201E-2</v>
      </c>
      <c r="CE147">
        <v>8.4943924947505894E-3</v>
      </c>
      <c r="CF147">
        <v>1</v>
      </c>
      <c r="CG147">
        <v>2</v>
      </c>
      <c r="CH147">
        <v>2</v>
      </c>
      <c r="CI147" t="s">
        <v>297</v>
      </c>
      <c r="CJ147">
        <v>3.5325500000000001</v>
      </c>
      <c r="CK147">
        <v>2.7018800000000001</v>
      </c>
      <c r="CL147">
        <v>9.7878300000000001E-2</v>
      </c>
      <c r="CM147">
        <v>9.6675999999999998E-2</v>
      </c>
      <c r="CN147">
        <v>8.7225200000000003E-2</v>
      </c>
      <c r="CO147">
        <v>7.8247999999999998E-2</v>
      </c>
      <c r="CP147">
        <v>31618.6</v>
      </c>
      <c r="CQ147">
        <v>27823.599999999999</v>
      </c>
      <c r="CR147">
        <v>32440.5</v>
      </c>
      <c r="CS147">
        <v>30729.8</v>
      </c>
      <c r="CT147">
        <v>40105.300000000003</v>
      </c>
      <c r="CU147">
        <v>39845.699999999997</v>
      </c>
      <c r="CV147">
        <v>47387.4</v>
      </c>
      <c r="CW147">
        <v>46875.6</v>
      </c>
      <c r="CX147">
        <v>2.6190799999999999</v>
      </c>
      <c r="CY147">
        <v>2.1160999999999999</v>
      </c>
      <c r="CZ147">
        <v>0</v>
      </c>
      <c r="DA147">
        <v>0</v>
      </c>
      <c r="DB147">
        <v>999.9</v>
      </c>
      <c r="DC147">
        <v>999.9</v>
      </c>
      <c r="DD147">
        <v>45.518999999999998</v>
      </c>
      <c r="DE147">
        <v>28.812000000000001</v>
      </c>
      <c r="DF147">
        <v>18.060400000000001</v>
      </c>
      <c r="DG147">
        <v>30.43</v>
      </c>
      <c r="DH147">
        <v>16.426300000000001</v>
      </c>
      <c r="DI147">
        <v>2</v>
      </c>
      <c r="DJ147">
        <v>-9.2825199999999997E-2</v>
      </c>
      <c r="DK147">
        <v>2.3499300000000001</v>
      </c>
      <c r="DL147">
        <v>20.194500000000001</v>
      </c>
      <c r="DM147">
        <v>5.2503500000000001</v>
      </c>
      <c r="DN147">
        <v>12.033899999999999</v>
      </c>
      <c r="DO147">
        <v>4.9669600000000003</v>
      </c>
      <c r="DP147">
        <v>3.2909999999999999</v>
      </c>
      <c r="DQ147">
        <v>538.29999999999995</v>
      </c>
      <c r="DR147">
        <v>9999</v>
      </c>
      <c r="DS147">
        <v>9999</v>
      </c>
      <c r="DT147">
        <v>9999</v>
      </c>
      <c r="DU147">
        <v>1.8711500000000001</v>
      </c>
      <c r="DV147">
        <v>1.87612</v>
      </c>
      <c r="DW147">
        <v>1.87635</v>
      </c>
      <c r="DX147">
        <v>1.88279</v>
      </c>
      <c r="DY147">
        <v>1.8755999999999999</v>
      </c>
      <c r="DZ147">
        <v>1.8746700000000001</v>
      </c>
      <c r="EA147">
        <v>1.87083</v>
      </c>
      <c r="EB147">
        <v>1.8746100000000001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-0.75600000000000001</v>
      </c>
      <c r="EQ147">
        <v>8.9800000000000005E-2</v>
      </c>
      <c r="ER147">
        <v>-0.75629999999995301</v>
      </c>
      <c r="ES147">
        <v>0</v>
      </c>
      <c r="ET147">
        <v>0</v>
      </c>
      <c r="EU147">
        <v>0</v>
      </c>
      <c r="EV147">
        <v>8.98000000000021E-2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1.9</v>
      </c>
      <c r="FE147">
        <v>1.8</v>
      </c>
      <c r="FF147">
        <v>1.24512</v>
      </c>
      <c r="FG147">
        <v>2.6061999999999999</v>
      </c>
      <c r="FH147">
        <v>2.19604</v>
      </c>
      <c r="FI147">
        <v>2.65991</v>
      </c>
      <c r="FJ147">
        <v>2.4462899999999999</v>
      </c>
      <c r="FK147">
        <v>2.32544</v>
      </c>
      <c r="FL147">
        <v>33.065199999999997</v>
      </c>
      <c r="FM147">
        <v>24.14</v>
      </c>
      <c r="FN147">
        <v>19</v>
      </c>
      <c r="FO147">
        <v>866.274</v>
      </c>
      <c r="FP147">
        <v>568.66700000000003</v>
      </c>
      <c r="FQ147">
        <v>17.858499999999999</v>
      </c>
      <c r="FR147">
        <v>25.799800000000001</v>
      </c>
      <c r="FS147">
        <v>29.9998</v>
      </c>
      <c r="FT147">
        <v>25.778600000000001</v>
      </c>
      <c r="FU147">
        <v>25.776700000000002</v>
      </c>
      <c r="FV147">
        <v>24.982500000000002</v>
      </c>
      <c r="FW147">
        <v>28.5365</v>
      </c>
      <c r="FX147">
        <v>14.561999999999999</v>
      </c>
      <c r="FY147">
        <v>17.8903</v>
      </c>
      <c r="FZ147">
        <v>410</v>
      </c>
      <c r="GA147">
        <v>13.539199999999999</v>
      </c>
      <c r="GB147">
        <v>99.842799999999997</v>
      </c>
      <c r="GC147">
        <v>99.778400000000005</v>
      </c>
    </row>
    <row r="148" spans="1:185" x14ac:dyDescent="0.2">
      <c r="A148">
        <v>133</v>
      </c>
      <c r="B148">
        <v>1769203008</v>
      </c>
      <c r="C148">
        <v>2737</v>
      </c>
      <c r="D148" t="s">
        <v>563</v>
      </c>
      <c r="E148" t="s">
        <v>564</v>
      </c>
      <c r="F148">
        <v>15</v>
      </c>
      <c r="G148">
        <v>1769202999.9333301</v>
      </c>
      <c r="H148">
        <f t="shared" si="50"/>
        <v>1.5418796180481954E-3</v>
      </c>
      <c r="I148">
        <v>0</v>
      </c>
      <c r="J148">
        <f t="shared" si="62"/>
        <v>-5.853843571235138E-4</v>
      </c>
      <c r="K148">
        <f t="shared" si="51"/>
        <v>-1.5090374714120308E-2</v>
      </c>
      <c r="L148">
        <f t="shared" si="52"/>
        <v>70.184921928474779</v>
      </c>
      <c r="M148">
        <f t="shared" si="53"/>
        <v>1.5443553692243697</v>
      </c>
      <c r="N148">
        <f t="shared" si="54"/>
        <v>2.2004090434099468</v>
      </c>
      <c r="O148">
        <v>0</v>
      </c>
      <c r="P148">
        <v>0</v>
      </c>
      <c r="Q148">
        <f t="shared" si="55"/>
        <v>1</v>
      </c>
      <c r="R148">
        <f t="shared" si="56"/>
        <v>0</v>
      </c>
      <c r="S148">
        <f t="shared" si="57"/>
        <v>26312.629297735271</v>
      </c>
      <c r="T148">
        <f t="shared" si="58"/>
        <v>799.99966666666705</v>
      </c>
      <c r="U148">
        <f t="shared" si="59"/>
        <v>674.3995434800737</v>
      </c>
      <c r="V148">
        <f t="shared" si="60"/>
        <v>0.84299978060000025</v>
      </c>
      <c r="W148">
        <f t="shared" si="61"/>
        <v>0.15869936055600004</v>
      </c>
      <c r="X148">
        <v>1</v>
      </c>
      <c r="Y148">
        <v>1769202999.9333301</v>
      </c>
      <c r="Z148">
        <v>409.23186666666697</v>
      </c>
      <c r="AA148">
        <v>410.00173333333299</v>
      </c>
      <c r="AB148">
        <v>15.3933066666667</v>
      </c>
      <c r="AC148">
        <v>13.4956333333333</v>
      </c>
      <c r="AD148">
        <v>409.988133333333</v>
      </c>
      <c r="AE148">
        <v>15.303506666666699</v>
      </c>
      <c r="AF148">
        <v>800.00333333333299</v>
      </c>
      <c r="AG148">
        <v>100.26260000000001</v>
      </c>
      <c r="AH148">
        <v>6.3821260000000005E-2</v>
      </c>
      <c r="AI148">
        <v>18.9652933333333</v>
      </c>
      <c r="AJ148">
        <v>999.9</v>
      </c>
      <c r="AK148">
        <v>999.9</v>
      </c>
      <c r="AL148">
        <v>0</v>
      </c>
      <c r="AM148">
        <v>0</v>
      </c>
      <c r="AN148">
        <v>5003.0333333333301</v>
      </c>
      <c r="AO148">
        <v>0</v>
      </c>
      <c r="AP148">
        <v>1.5244200000000001</v>
      </c>
      <c r="AQ148">
        <v>-0.76996453333333303</v>
      </c>
      <c r="AR148">
        <v>415.62979999999999</v>
      </c>
      <c r="AS148">
        <v>415.61066666666699</v>
      </c>
      <c r="AT148">
        <v>1.8976786666666701</v>
      </c>
      <c r="AU148">
        <v>410.00173333333299</v>
      </c>
      <c r="AV148">
        <v>13.4956333333333</v>
      </c>
      <c r="AW148">
        <v>1.543374</v>
      </c>
      <c r="AX148">
        <v>1.3531086666666701</v>
      </c>
      <c r="AY148">
        <v>13.404766666666699</v>
      </c>
      <c r="AZ148">
        <v>11.402086666666699</v>
      </c>
      <c r="BA148">
        <v>799.99966666666705</v>
      </c>
      <c r="BB148">
        <v>0.90000866666666701</v>
      </c>
      <c r="BC148">
        <v>0</v>
      </c>
      <c r="BD148">
        <v>9.9991380000000005E-2</v>
      </c>
      <c r="BE148">
        <v>0</v>
      </c>
      <c r="BF148">
        <v>24.7444666666667</v>
      </c>
      <c r="BG148">
        <v>13191.053333333301</v>
      </c>
      <c r="BH148">
        <v>1769202886</v>
      </c>
      <c r="BI148" t="s">
        <v>546</v>
      </c>
      <c r="BJ148">
        <v>1769202878</v>
      </c>
      <c r="BK148">
        <v>1769202886</v>
      </c>
      <c r="BL148">
        <v>17</v>
      </c>
      <c r="BM148">
        <v>-1.2999999999999999E-2</v>
      </c>
      <c r="BN148">
        <v>1.9E-2</v>
      </c>
      <c r="BO148">
        <v>-0.75600000000000001</v>
      </c>
      <c r="BP148">
        <v>0.09</v>
      </c>
      <c r="BQ148">
        <v>410</v>
      </c>
      <c r="BR148">
        <v>15</v>
      </c>
      <c r="BS148">
        <v>0.39</v>
      </c>
      <c r="BT148">
        <v>0.03</v>
      </c>
      <c r="BU148">
        <v>-0.77284014285714298</v>
      </c>
      <c r="BV148">
        <v>4.61734285714272E-2</v>
      </c>
      <c r="BW148">
        <v>2.9654031509882699E-2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1.89536666666667</v>
      </c>
      <c r="CD148">
        <v>2.6767792207796001E-2</v>
      </c>
      <c r="CE148">
        <v>7.6802178375190797E-3</v>
      </c>
      <c r="CF148">
        <v>1</v>
      </c>
      <c r="CG148">
        <v>2</v>
      </c>
      <c r="CH148">
        <v>2</v>
      </c>
      <c r="CI148" t="s">
        <v>297</v>
      </c>
      <c r="CJ148">
        <v>3.5325099999999998</v>
      </c>
      <c r="CK148">
        <v>2.7016300000000002</v>
      </c>
      <c r="CL148">
        <v>9.7883700000000004E-2</v>
      </c>
      <c r="CM148">
        <v>9.6660499999999996E-2</v>
      </c>
      <c r="CN148">
        <v>8.7118500000000001E-2</v>
      </c>
      <c r="CO148">
        <v>7.8216400000000005E-2</v>
      </c>
      <c r="CP148">
        <v>31619.1</v>
      </c>
      <c r="CQ148">
        <v>27824</v>
      </c>
      <c r="CR148">
        <v>32441.200000000001</v>
      </c>
      <c r="CS148">
        <v>30729.7</v>
      </c>
      <c r="CT148">
        <v>40110.9</v>
      </c>
      <c r="CU148">
        <v>39847.199999999997</v>
      </c>
      <c r="CV148">
        <v>47388.3</v>
      </c>
      <c r="CW148">
        <v>46875.7</v>
      </c>
      <c r="CX148">
        <v>2.6192000000000002</v>
      </c>
      <c r="CY148">
        <v>2.1162000000000001</v>
      </c>
      <c r="CZ148">
        <v>0</v>
      </c>
      <c r="DA148">
        <v>0</v>
      </c>
      <c r="DB148">
        <v>999.9</v>
      </c>
      <c r="DC148">
        <v>999.9</v>
      </c>
      <c r="DD148">
        <v>45.488999999999997</v>
      </c>
      <c r="DE148">
        <v>28.841999999999999</v>
      </c>
      <c r="DF148">
        <v>18.079999999999998</v>
      </c>
      <c r="DG148">
        <v>30.28</v>
      </c>
      <c r="DH148">
        <v>16.442299999999999</v>
      </c>
      <c r="DI148">
        <v>2</v>
      </c>
      <c r="DJ148">
        <v>-9.3951199999999999E-2</v>
      </c>
      <c r="DK148">
        <v>2.25393</v>
      </c>
      <c r="DL148">
        <v>20.196400000000001</v>
      </c>
      <c r="DM148">
        <v>5.2495200000000004</v>
      </c>
      <c r="DN148">
        <v>12.033899999999999</v>
      </c>
      <c r="DO148">
        <v>4.96692</v>
      </c>
      <c r="DP148">
        <v>3.2909999999999999</v>
      </c>
      <c r="DQ148">
        <v>538.29999999999995</v>
      </c>
      <c r="DR148">
        <v>9999</v>
      </c>
      <c r="DS148">
        <v>9999</v>
      </c>
      <c r="DT148">
        <v>9999</v>
      </c>
      <c r="DU148">
        <v>1.8711599999999999</v>
      </c>
      <c r="DV148">
        <v>1.8761300000000001</v>
      </c>
      <c r="DW148">
        <v>1.87635</v>
      </c>
      <c r="DX148">
        <v>1.88279</v>
      </c>
      <c r="DY148">
        <v>1.87561</v>
      </c>
      <c r="DZ148">
        <v>1.8746499999999999</v>
      </c>
      <c r="EA148">
        <v>1.8708100000000001</v>
      </c>
      <c r="EB148">
        <v>1.87459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-0.75600000000000001</v>
      </c>
      <c r="EQ148">
        <v>8.9800000000000005E-2</v>
      </c>
      <c r="ER148">
        <v>-0.75629999999995301</v>
      </c>
      <c r="ES148">
        <v>0</v>
      </c>
      <c r="ET148">
        <v>0</v>
      </c>
      <c r="EU148">
        <v>0</v>
      </c>
      <c r="EV148">
        <v>8.98000000000021E-2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2.2000000000000002</v>
      </c>
      <c r="FE148">
        <v>2</v>
      </c>
      <c r="FF148">
        <v>1.24512</v>
      </c>
      <c r="FG148">
        <v>2.6074199999999998</v>
      </c>
      <c r="FH148">
        <v>2.19604</v>
      </c>
      <c r="FI148">
        <v>2.66113</v>
      </c>
      <c r="FJ148">
        <v>2.4462899999999999</v>
      </c>
      <c r="FK148">
        <v>2.3156699999999999</v>
      </c>
      <c r="FL148">
        <v>33.065199999999997</v>
      </c>
      <c r="FM148">
        <v>24.14</v>
      </c>
      <c r="FN148">
        <v>19</v>
      </c>
      <c r="FO148">
        <v>866.31600000000003</v>
      </c>
      <c r="FP148">
        <v>568.69000000000005</v>
      </c>
      <c r="FQ148">
        <v>17.931799999999999</v>
      </c>
      <c r="FR148">
        <v>25.791599999999999</v>
      </c>
      <c r="FS148">
        <v>29.9998</v>
      </c>
      <c r="FT148">
        <v>25.7742</v>
      </c>
      <c r="FU148">
        <v>25.771899999999999</v>
      </c>
      <c r="FV148">
        <v>24.984000000000002</v>
      </c>
      <c r="FW148">
        <v>28.5365</v>
      </c>
      <c r="FX148">
        <v>14.561999999999999</v>
      </c>
      <c r="FY148">
        <v>17.963000000000001</v>
      </c>
      <c r="FZ148">
        <v>410</v>
      </c>
      <c r="GA148">
        <v>13.5397</v>
      </c>
      <c r="GB148">
        <v>99.844800000000006</v>
      </c>
      <c r="GC148">
        <v>99.778300000000002</v>
      </c>
    </row>
    <row r="149" spans="1:185" x14ac:dyDescent="0.2">
      <c r="A149">
        <v>134</v>
      </c>
      <c r="B149">
        <v>1769203023</v>
      </c>
      <c r="C149">
        <v>2752</v>
      </c>
      <c r="D149" t="s">
        <v>565</v>
      </c>
      <c r="E149" t="s">
        <v>566</v>
      </c>
      <c r="F149">
        <v>15</v>
      </c>
      <c r="G149">
        <v>1769203014.9333301</v>
      </c>
      <c r="H149">
        <f t="shared" si="50"/>
        <v>1.5260770259578707E-3</v>
      </c>
      <c r="I149">
        <v>0</v>
      </c>
      <c r="J149">
        <f t="shared" si="62"/>
        <v>-7.0000226303321383E-4</v>
      </c>
      <c r="K149">
        <f t="shared" si="51"/>
        <v>-1.8045061029320585E-2</v>
      </c>
      <c r="L149">
        <f t="shared" si="52"/>
        <v>70.063172223668914</v>
      </c>
      <c r="M149">
        <f t="shared" si="53"/>
        <v>1.5419034966854841</v>
      </c>
      <c r="N149">
        <f t="shared" si="54"/>
        <v>2.2007332065455558</v>
      </c>
      <c r="O149">
        <v>0</v>
      </c>
      <c r="P149">
        <v>0</v>
      </c>
      <c r="Q149">
        <f t="shared" si="55"/>
        <v>1</v>
      </c>
      <c r="R149">
        <f t="shared" si="56"/>
        <v>0</v>
      </c>
      <c r="S149">
        <f t="shared" si="57"/>
        <v>26299.730052887986</v>
      </c>
      <c r="T149">
        <f t="shared" si="58"/>
        <v>800.00126666666597</v>
      </c>
      <c r="U149">
        <f t="shared" si="59"/>
        <v>674.40091883976334</v>
      </c>
      <c r="V149">
        <f t="shared" si="60"/>
        <v>0.84299981379999966</v>
      </c>
      <c r="W149">
        <f t="shared" si="61"/>
        <v>0.15869939158799995</v>
      </c>
      <c r="X149">
        <v>1</v>
      </c>
      <c r="Y149">
        <v>1769203014.9333301</v>
      </c>
      <c r="Z149">
        <v>409.25560000000002</v>
      </c>
      <c r="AA149">
        <v>410.01373333333299</v>
      </c>
      <c r="AB149">
        <v>15.368933333333301</v>
      </c>
      <c r="AC149">
        <v>13.4906666666667</v>
      </c>
      <c r="AD149">
        <v>410.01193333333299</v>
      </c>
      <c r="AE149">
        <v>15.2791333333333</v>
      </c>
      <c r="AF149">
        <v>800.00506666666695</v>
      </c>
      <c r="AG149">
        <v>100.262133333333</v>
      </c>
      <c r="AH149">
        <v>6.3859579999999999E-2</v>
      </c>
      <c r="AI149">
        <v>18.967653333333299</v>
      </c>
      <c r="AJ149">
        <v>999.9</v>
      </c>
      <c r="AK149">
        <v>999.9</v>
      </c>
      <c r="AL149">
        <v>0</v>
      </c>
      <c r="AM149">
        <v>0</v>
      </c>
      <c r="AN149">
        <v>5000.9666666666699</v>
      </c>
      <c r="AO149">
        <v>0</v>
      </c>
      <c r="AP149">
        <v>1.5244200000000001</v>
      </c>
      <c r="AQ149">
        <v>-0.75801200000000002</v>
      </c>
      <c r="AR149">
        <v>415.643666666667</v>
      </c>
      <c r="AS149">
        <v>415.62066666666698</v>
      </c>
      <c r="AT149">
        <v>1.87824866666667</v>
      </c>
      <c r="AU149">
        <v>410.01373333333299</v>
      </c>
      <c r="AV149">
        <v>13.4906666666667</v>
      </c>
      <c r="AW149">
        <v>1.54092266666667</v>
      </c>
      <c r="AX149">
        <v>1.3526039999999999</v>
      </c>
      <c r="AY149">
        <v>13.380366666666699</v>
      </c>
      <c r="AZ149">
        <v>11.396473333333301</v>
      </c>
      <c r="BA149">
        <v>800.00126666666597</v>
      </c>
      <c r="BB149">
        <v>0.90000833333333297</v>
      </c>
      <c r="BC149">
        <v>0</v>
      </c>
      <c r="BD149">
        <v>9.9991739999999996E-2</v>
      </c>
      <c r="BE149">
        <v>0</v>
      </c>
      <c r="BF149">
        <v>24.497793333333298</v>
      </c>
      <c r="BG149">
        <v>13191.0666666667</v>
      </c>
      <c r="BH149">
        <v>1769202886</v>
      </c>
      <c r="BI149" t="s">
        <v>546</v>
      </c>
      <c r="BJ149">
        <v>1769202878</v>
      </c>
      <c r="BK149">
        <v>1769202886</v>
      </c>
      <c r="BL149">
        <v>17</v>
      </c>
      <c r="BM149">
        <v>-1.2999999999999999E-2</v>
      </c>
      <c r="BN149">
        <v>1.9E-2</v>
      </c>
      <c r="BO149">
        <v>-0.75600000000000001</v>
      </c>
      <c r="BP149">
        <v>0.09</v>
      </c>
      <c r="BQ149">
        <v>410</v>
      </c>
      <c r="BR149">
        <v>15</v>
      </c>
      <c r="BS149">
        <v>0.39</v>
      </c>
      <c r="BT149">
        <v>0.03</v>
      </c>
      <c r="BU149">
        <v>-0.75628376190476199</v>
      </c>
      <c r="BV149">
        <v>-4.5171428571431802E-3</v>
      </c>
      <c r="BW149">
        <v>2.0760657879989701E-2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1.88230761904762</v>
      </c>
      <c r="CD149">
        <v>-7.6640259740259897E-2</v>
      </c>
      <c r="CE149">
        <v>7.8540835025099707E-3</v>
      </c>
      <c r="CF149">
        <v>1</v>
      </c>
      <c r="CG149">
        <v>2</v>
      </c>
      <c r="CH149">
        <v>2</v>
      </c>
      <c r="CI149" t="s">
        <v>297</v>
      </c>
      <c r="CJ149">
        <v>3.5324499999999999</v>
      </c>
      <c r="CK149">
        <v>2.7017899999999999</v>
      </c>
      <c r="CL149">
        <v>9.78879E-2</v>
      </c>
      <c r="CM149">
        <v>9.66669E-2</v>
      </c>
      <c r="CN149">
        <v>8.7021899999999999E-2</v>
      </c>
      <c r="CO149">
        <v>7.8184900000000002E-2</v>
      </c>
      <c r="CP149">
        <v>31619.1</v>
      </c>
      <c r="CQ149">
        <v>27825.5</v>
      </c>
      <c r="CR149">
        <v>32441.3</v>
      </c>
      <c r="CS149">
        <v>30731.5</v>
      </c>
      <c r="CT149">
        <v>40115.4</v>
      </c>
      <c r="CU149">
        <v>39850.9</v>
      </c>
      <c r="CV149">
        <v>47388.5</v>
      </c>
      <c r="CW149">
        <v>46878.400000000001</v>
      </c>
      <c r="CX149">
        <v>2.6191200000000001</v>
      </c>
      <c r="CY149">
        <v>2.1163799999999999</v>
      </c>
      <c r="CZ149">
        <v>0</v>
      </c>
      <c r="DA149">
        <v>0</v>
      </c>
      <c r="DB149">
        <v>999.9</v>
      </c>
      <c r="DC149">
        <v>999.9</v>
      </c>
      <c r="DD149">
        <v>45.465000000000003</v>
      </c>
      <c r="DE149">
        <v>28.841999999999999</v>
      </c>
      <c r="DF149">
        <v>18.071300000000001</v>
      </c>
      <c r="DG149">
        <v>30.52</v>
      </c>
      <c r="DH149">
        <v>16.482399999999998</v>
      </c>
      <c r="DI149">
        <v>2</v>
      </c>
      <c r="DJ149">
        <v>-9.4837400000000002E-2</v>
      </c>
      <c r="DK149">
        <v>2.1797</v>
      </c>
      <c r="DL149">
        <v>20.197099999999999</v>
      </c>
      <c r="DM149">
        <v>5.25</v>
      </c>
      <c r="DN149">
        <v>12.033899999999999</v>
      </c>
      <c r="DO149">
        <v>4.9670800000000002</v>
      </c>
      <c r="DP149">
        <v>3.2909999999999999</v>
      </c>
      <c r="DQ149">
        <v>538.4</v>
      </c>
      <c r="DR149">
        <v>9999</v>
      </c>
      <c r="DS149">
        <v>9999</v>
      </c>
      <c r="DT149">
        <v>9999</v>
      </c>
      <c r="DU149">
        <v>1.8711100000000001</v>
      </c>
      <c r="DV149">
        <v>1.87609</v>
      </c>
      <c r="DW149">
        <v>1.87632</v>
      </c>
      <c r="DX149">
        <v>1.8827799999999999</v>
      </c>
      <c r="DY149">
        <v>1.87561</v>
      </c>
      <c r="DZ149">
        <v>1.8746499999999999</v>
      </c>
      <c r="EA149">
        <v>1.87079</v>
      </c>
      <c r="EB149">
        <v>1.8745799999999999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-0.75600000000000001</v>
      </c>
      <c r="EQ149">
        <v>8.9800000000000005E-2</v>
      </c>
      <c r="ER149">
        <v>-0.75629999999995301</v>
      </c>
      <c r="ES149">
        <v>0</v>
      </c>
      <c r="ET149">
        <v>0</v>
      </c>
      <c r="EU149">
        <v>0</v>
      </c>
      <c r="EV149">
        <v>8.98000000000021E-2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2.4</v>
      </c>
      <c r="FE149">
        <v>2.2999999999999998</v>
      </c>
      <c r="FF149">
        <v>1.2439</v>
      </c>
      <c r="FG149">
        <v>2.6025399999999999</v>
      </c>
      <c r="FH149">
        <v>2.19604</v>
      </c>
      <c r="FI149">
        <v>2.66113</v>
      </c>
      <c r="FJ149">
        <v>2.4462899999999999</v>
      </c>
      <c r="FK149">
        <v>2.3144499999999999</v>
      </c>
      <c r="FL149">
        <v>33.065199999999997</v>
      </c>
      <c r="FM149">
        <v>24.14</v>
      </c>
      <c r="FN149">
        <v>19</v>
      </c>
      <c r="FO149">
        <v>866.15099999999995</v>
      </c>
      <c r="FP149">
        <v>568.77</v>
      </c>
      <c r="FQ149">
        <v>18.003799999999998</v>
      </c>
      <c r="FR149">
        <v>25.782399999999999</v>
      </c>
      <c r="FS149">
        <v>29.9998</v>
      </c>
      <c r="FT149">
        <v>25.768599999999999</v>
      </c>
      <c r="FU149">
        <v>25.7667</v>
      </c>
      <c r="FV149">
        <v>24.982199999999999</v>
      </c>
      <c r="FW149">
        <v>28.5365</v>
      </c>
      <c r="FX149">
        <v>14.190099999999999</v>
      </c>
      <c r="FY149">
        <v>18.029699999999998</v>
      </c>
      <c r="FZ149">
        <v>410</v>
      </c>
      <c r="GA149">
        <v>13.5397</v>
      </c>
      <c r="GB149">
        <v>99.845200000000006</v>
      </c>
      <c r="GC149">
        <v>99.784099999999995</v>
      </c>
    </row>
    <row r="150" spans="1:185" x14ac:dyDescent="0.2">
      <c r="A150">
        <v>135</v>
      </c>
      <c r="B150">
        <v>1769203038</v>
      </c>
      <c r="C150">
        <v>2767</v>
      </c>
      <c r="D150" t="s">
        <v>567</v>
      </c>
      <c r="E150" t="s">
        <v>568</v>
      </c>
      <c r="F150">
        <v>15</v>
      </c>
      <c r="G150">
        <v>1769203029.9333301</v>
      </c>
      <c r="H150">
        <f t="shared" si="50"/>
        <v>1.5241778816974633E-3</v>
      </c>
      <c r="I150">
        <v>0</v>
      </c>
      <c r="J150">
        <f t="shared" si="62"/>
        <v>-1.0685740538999827E-3</v>
      </c>
      <c r="K150">
        <f t="shared" si="51"/>
        <v>-2.7546316683920165E-2</v>
      </c>
      <c r="L150">
        <f t="shared" si="52"/>
        <v>69.911102143004555</v>
      </c>
      <c r="M150">
        <f t="shared" si="53"/>
        <v>1.5397256447773719</v>
      </c>
      <c r="N150">
        <f t="shared" si="54"/>
        <v>2.2024050509571889</v>
      </c>
      <c r="O150">
        <v>0</v>
      </c>
      <c r="P150">
        <v>0</v>
      </c>
      <c r="Q150">
        <f t="shared" si="55"/>
        <v>1</v>
      </c>
      <c r="R150">
        <f t="shared" si="56"/>
        <v>0</v>
      </c>
      <c r="S150">
        <f t="shared" si="57"/>
        <v>26320.713771548348</v>
      </c>
      <c r="T150">
        <f t="shared" si="58"/>
        <v>800.00086666666698</v>
      </c>
      <c r="U150">
        <f t="shared" si="59"/>
        <v>674.40069427996093</v>
      </c>
      <c r="V150">
        <f t="shared" si="60"/>
        <v>0.84299995459999999</v>
      </c>
      <c r="W150">
        <f t="shared" si="61"/>
        <v>0.15869966563600002</v>
      </c>
      <c r="X150">
        <v>1</v>
      </c>
      <c r="Y150">
        <v>1769203029.9333301</v>
      </c>
      <c r="Z150">
        <v>409.24520000000001</v>
      </c>
      <c r="AA150">
        <v>409.99046666666698</v>
      </c>
      <c r="AB150">
        <v>15.3473466666667</v>
      </c>
      <c r="AC150">
        <v>13.4713733333333</v>
      </c>
      <c r="AD150">
        <v>410.001466666667</v>
      </c>
      <c r="AE150">
        <v>15.2575466666667</v>
      </c>
      <c r="AF150">
        <v>800.00379999999996</v>
      </c>
      <c r="AG150">
        <v>100.261333333333</v>
      </c>
      <c r="AH150">
        <v>6.3868033333333296E-2</v>
      </c>
      <c r="AI150">
        <v>18.97982</v>
      </c>
      <c r="AJ150">
        <v>999.9</v>
      </c>
      <c r="AK150">
        <v>999.9</v>
      </c>
      <c r="AL150">
        <v>0</v>
      </c>
      <c r="AM150">
        <v>0</v>
      </c>
      <c r="AN150">
        <v>5004.6333333333296</v>
      </c>
      <c r="AO150">
        <v>0</v>
      </c>
      <c r="AP150">
        <v>1.5244200000000001</v>
      </c>
      <c r="AQ150">
        <v>-0.74535726666666702</v>
      </c>
      <c r="AR150">
        <v>415.62386666666703</v>
      </c>
      <c r="AS150">
        <v>415.589133333333</v>
      </c>
      <c r="AT150">
        <v>1.8759726666666701</v>
      </c>
      <c r="AU150">
        <v>409.99046666666698</v>
      </c>
      <c r="AV150">
        <v>13.4713733333333</v>
      </c>
      <c r="AW150">
        <v>1.5387473333333299</v>
      </c>
      <c r="AX150">
        <v>1.35065866666667</v>
      </c>
      <c r="AY150">
        <v>13.3587066666667</v>
      </c>
      <c r="AZ150">
        <v>11.3747333333333</v>
      </c>
      <c r="BA150">
        <v>800.00086666666698</v>
      </c>
      <c r="BB150">
        <v>0.90000480000000005</v>
      </c>
      <c r="BC150">
        <v>0</v>
      </c>
      <c r="BD150">
        <v>9.9995313333333294E-2</v>
      </c>
      <c r="BE150">
        <v>0</v>
      </c>
      <c r="BF150">
        <v>24.004446666666698</v>
      </c>
      <c r="BG150">
        <v>13191.053333333301</v>
      </c>
      <c r="BH150">
        <v>1769202886</v>
      </c>
      <c r="BI150" t="s">
        <v>546</v>
      </c>
      <c r="BJ150">
        <v>1769202878</v>
      </c>
      <c r="BK150">
        <v>1769202886</v>
      </c>
      <c r="BL150">
        <v>17</v>
      </c>
      <c r="BM150">
        <v>-1.2999999999999999E-2</v>
      </c>
      <c r="BN150">
        <v>1.9E-2</v>
      </c>
      <c r="BO150">
        <v>-0.75600000000000001</v>
      </c>
      <c r="BP150">
        <v>0.09</v>
      </c>
      <c r="BQ150">
        <v>410</v>
      </c>
      <c r="BR150">
        <v>15</v>
      </c>
      <c r="BS150">
        <v>0.39</v>
      </c>
      <c r="BT150">
        <v>0.03</v>
      </c>
      <c r="BU150">
        <v>-0.74559533333333305</v>
      </c>
      <c r="BV150">
        <v>5.3096493506492801E-2</v>
      </c>
      <c r="BW150">
        <v>1.57206085679286E-2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1.8759490476190499</v>
      </c>
      <c r="CD150">
        <v>6.0077922077550103E-4</v>
      </c>
      <c r="CE150">
        <v>6.6744394483816503E-3</v>
      </c>
      <c r="CF150">
        <v>1</v>
      </c>
      <c r="CG150">
        <v>2</v>
      </c>
      <c r="CH150">
        <v>2</v>
      </c>
      <c r="CI150" t="s">
        <v>297</v>
      </c>
      <c r="CJ150">
        <v>3.5325099999999998</v>
      </c>
      <c r="CK150">
        <v>2.7016399999999998</v>
      </c>
      <c r="CL150">
        <v>9.7882899999999995E-2</v>
      </c>
      <c r="CM150">
        <v>9.6677200000000005E-2</v>
      </c>
      <c r="CN150">
        <v>8.6975800000000006E-2</v>
      </c>
      <c r="CO150">
        <v>7.8181700000000007E-2</v>
      </c>
      <c r="CP150">
        <v>31619.8</v>
      </c>
      <c r="CQ150">
        <v>27826.1</v>
      </c>
      <c r="CR150">
        <v>32441.8</v>
      </c>
      <c r="CS150">
        <v>30732.400000000001</v>
      </c>
      <c r="CT150">
        <v>40117.800000000003</v>
      </c>
      <c r="CU150">
        <v>39852.199999999997</v>
      </c>
      <c r="CV150">
        <v>47389</v>
      </c>
      <c r="CW150">
        <v>46879.8</v>
      </c>
      <c r="CX150">
        <v>2.6194600000000001</v>
      </c>
      <c r="CY150">
        <v>2.1167199999999999</v>
      </c>
      <c r="CZ150">
        <v>0</v>
      </c>
      <c r="DA150">
        <v>0</v>
      </c>
      <c r="DB150">
        <v>999.9</v>
      </c>
      <c r="DC150">
        <v>999.9</v>
      </c>
      <c r="DD150">
        <v>45.396999999999998</v>
      </c>
      <c r="DE150">
        <v>28.841999999999999</v>
      </c>
      <c r="DF150">
        <v>18.044</v>
      </c>
      <c r="DG150">
        <v>30.4</v>
      </c>
      <c r="DH150">
        <v>16.406199999999998</v>
      </c>
      <c r="DI150">
        <v>2</v>
      </c>
      <c r="DJ150">
        <v>-9.5867900000000006E-2</v>
      </c>
      <c r="DK150">
        <v>2.1587100000000001</v>
      </c>
      <c r="DL150">
        <v>20.197500000000002</v>
      </c>
      <c r="DM150">
        <v>5.2502399999999998</v>
      </c>
      <c r="DN150">
        <v>12.033899999999999</v>
      </c>
      <c r="DO150">
        <v>4.9669999999999996</v>
      </c>
      <c r="DP150">
        <v>3.2909999999999999</v>
      </c>
      <c r="DQ150">
        <v>538.4</v>
      </c>
      <c r="DR150">
        <v>9999</v>
      </c>
      <c r="DS150">
        <v>9999</v>
      </c>
      <c r="DT150">
        <v>9999</v>
      </c>
      <c r="DU150">
        <v>1.8711</v>
      </c>
      <c r="DV150">
        <v>1.8760699999999999</v>
      </c>
      <c r="DW150">
        <v>1.87629</v>
      </c>
      <c r="DX150">
        <v>1.8827799999999999</v>
      </c>
      <c r="DY150">
        <v>1.87557</v>
      </c>
      <c r="DZ150">
        <v>1.8746400000000001</v>
      </c>
      <c r="EA150">
        <v>1.87076</v>
      </c>
      <c r="EB150">
        <v>1.87456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-0.75600000000000001</v>
      </c>
      <c r="EQ150">
        <v>8.9800000000000005E-2</v>
      </c>
      <c r="ER150">
        <v>-0.75629999999995301</v>
      </c>
      <c r="ES150">
        <v>0</v>
      </c>
      <c r="ET150">
        <v>0</v>
      </c>
      <c r="EU150">
        <v>0</v>
      </c>
      <c r="EV150">
        <v>8.98000000000021E-2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2.7</v>
      </c>
      <c r="FE150">
        <v>2.5</v>
      </c>
      <c r="FF150">
        <v>1.2439</v>
      </c>
      <c r="FG150">
        <v>2.6049799999999999</v>
      </c>
      <c r="FH150">
        <v>2.19604</v>
      </c>
      <c r="FI150">
        <v>2.66113</v>
      </c>
      <c r="FJ150">
        <v>2.4462899999999999</v>
      </c>
      <c r="FK150">
        <v>2.2631800000000002</v>
      </c>
      <c r="FL150">
        <v>33.065199999999997</v>
      </c>
      <c r="FM150">
        <v>24.1313</v>
      </c>
      <c r="FN150">
        <v>19</v>
      </c>
      <c r="FO150">
        <v>866.36400000000003</v>
      </c>
      <c r="FP150">
        <v>568.95299999999997</v>
      </c>
      <c r="FQ150">
        <v>18.058199999999999</v>
      </c>
      <c r="FR150">
        <v>25.771999999999998</v>
      </c>
      <c r="FS150">
        <v>29.9998</v>
      </c>
      <c r="FT150">
        <v>25.7621</v>
      </c>
      <c r="FU150">
        <v>25.759799999999998</v>
      </c>
      <c r="FV150">
        <v>24.9818</v>
      </c>
      <c r="FW150">
        <v>28.244900000000001</v>
      </c>
      <c r="FX150">
        <v>14.190099999999999</v>
      </c>
      <c r="FY150">
        <v>18.0702</v>
      </c>
      <c r="FZ150">
        <v>410</v>
      </c>
      <c r="GA150">
        <v>13.540100000000001</v>
      </c>
      <c r="GB150">
        <v>99.846400000000003</v>
      </c>
      <c r="GC150">
        <v>99.787099999999995</v>
      </c>
    </row>
    <row r="151" spans="1:185" x14ac:dyDescent="0.2">
      <c r="A151">
        <v>136</v>
      </c>
      <c r="B151">
        <v>1769203053</v>
      </c>
      <c r="C151">
        <v>2782</v>
      </c>
      <c r="D151" t="s">
        <v>569</v>
      </c>
      <c r="E151" t="s">
        <v>570</v>
      </c>
      <c r="F151">
        <v>15</v>
      </c>
      <c r="G151">
        <v>1769203044.9333301</v>
      </c>
      <c r="H151">
        <f t="shared" si="50"/>
        <v>1.5128534825038919E-3</v>
      </c>
      <c r="I151">
        <v>0</v>
      </c>
      <c r="J151">
        <f t="shared" si="62"/>
        <v>-7.2399046971024378E-4</v>
      </c>
      <c r="K151">
        <f t="shared" si="51"/>
        <v>-1.8663442820824053E-2</v>
      </c>
      <c r="L151">
        <f t="shared" si="52"/>
        <v>69.852726397936934</v>
      </c>
      <c r="M151">
        <f t="shared" si="53"/>
        <v>1.5395253121076338</v>
      </c>
      <c r="N151">
        <f t="shared" si="54"/>
        <v>2.2039588023197085</v>
      </c>
      <c r="O151">
        <v>0</v>
      </c>
      <c r="P151">
        <v>0</v>
      </c>
      <c r="Q151">
        <f t="shared" si="55"/>
        <v>1</v>
      </c>
      <c r="R151">
        <f t="shared" si="56"/>
        <v>0</v>
      </c>
      <c r="S151">
        <f t="shared" si="57"/>
        <v>26279.353716830341</v>
      </c>
      <c r="T151">
        <f t="shared" si="58"/>
        <v>800.00113333333297</v>
      </c>
      <c r="U151">
        <f t="shared" si="59"/>
        <v>674.40102708010124</v>
      </c>
      <c r="V151">
        <f t="shared" si="60"/>
        <v>0.84300008960000006</v>
      </c>
      <c r="W151">
        <f t="shared" si="61"/>
        <v>0.15870006809600004</v>
      </c>
      <c r="X151">
        <v>1</v>
      </c>
      <c r="Y151">
        <v>1769203044.9333301</v>
      </c>
      <c r="Z151">
        <v>409.258466666667</v>
      </c>
      <c r="AA151">
        <v>410.00906666666702</v>
      </c>
      <c r="AB151">
        <v>15.3453533333333</v>
      </c>
      <c r="AC151">
        <v>13.483320000000001</v>
      </c>
      <c r="AD151">
        <v>410.01453333333302</v>
      </c>
      <c r="AE151">
        <v>15.2555533333333</v>
      </c>
      <c r="AF151">
        <v>800.00620000000004</v>
      </c>
      <c r="AG151">
        <v>100.261266666667</v>
      </c>
      <c r="AH151">
        <v>6.3911819999999994E-2</v>
      </c>
      <c r="AI151">
        <v>18.991119999999999</v>
      </c>
      <c r="AJ151">
        <v>999.9</v>
      </c>
      <c r="AK151">
        <v>999.9</v>
      </c>
      <c r="AL151">
        <v>0</v>
      </c>
      <c r="AM151">
        <v>0</v>
      </c>
      <c r="AN151">
        <v>4998</v>
      </c>
      <c r="AO151">
        <v>0</v>
      </c>
      <c r="AP151">
        <v>1.5244200000000001</v>
      </c>
      <c r="AQ151">
        <v>-0.75066733333333302</v>
      </c>
      <c r="AR151">
        <v>415.63646666666699</v>
      </c>
      <c r="AS151">
        <v>415.61293333333299</v>
      </c>
      <c r="AT151">
        <v>1.86204666666667</v>
      </c>
      <c r="AU151">
        <v>410.00906666666702</v>
      </c>
      <c r="AV151">
        <v>13.483320000000001</v>
      </c>
      <c r="AW151">
        <v>1.5385473333333299</v>
      </c>
      <c r="AX151">
        <v>1.351858</v>
      </c>
      <c r="AY151">
        <v>13.356726666666701</v>
      </c>
      <c r="AZ151">
        <v>11.388120000000001</v>
      </c>
      <c r="BA151">
        <v>800.00113333333297</v>
      </c>
      <c r="BB151">
        <v>0.89999933333333304</v>
      </c>
      <c r="BC151">
        <v>0</v>
      </c>
      <c r="BD151">
        <v>0.100000746666667</v>
      </c>
      <c r="BE151">
        <v>0</v>
      </c>
      <c r="BF151">
        <v>24</v>
      </c>
      <c r="BG151">
        <v>13191.0466666667</v>
      </c>
      <c r="BH151">
        <v>1769202886</v>
      </c>
      <c r="BI151" t="s">
        <v>546</v>
      </c>
      <c r="BJ151">
        <v>1769202878</v>
      </c>
      <c r="BK151">
        <v>1769202886</v>
      </c>
      <c r="BL151">
        <v>17</v>
      </c>
      <c r="BM151">
        <v>-1.2999999999999999E-2</v>
      </c>
      <c r="BN151">
        <v>1.9E-2</v>
      </c>
      <c r="BO151">
        <v>-0.75600000000000001</v>
      </c>
      <c r="BP151">
        <v>0.09</v>
      </c>
      <c r="BQ151">
        <v>410</v>
      </c>
      <c r="BR151">
        <v>15</v>
      </c>
      <c r="BS151">
        <v>0.39</v>
      </c>
      <c r="BT151">
        <v>0.03</v>
      </c>
      <c r="BU151">
        <v>-0.75112623809523804</v>
      </c>
      <c r="BV151">
        <v>4.98120000000003E-2</v>
      </c>
      <c r="BW151">
        <v>3.6130311628491098E-2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1.8641361904761899</v>
      </c>
      <c r="CD151">
        <v>-3.8712467532467099E-2</v>
      </c>
      <c r="CE151">
        <v>5.5725188595382403E-3</v>
      </c>
      <c r="CF151">
        <v>1</v>
      </c>
      <c r="CG151">
        <v>2</v>
      </c>
      <c r="CH151">
        <v>2</v>
      </c>
      <c r="CI151" t="s">
        <v>297</v>
      </c>
      <c r="CJ151">
        <v>3.5325799999999998</v>
      </c>
      <c r="CK151">
        <v>2.70174</v>
      </c>
      <c r="CL151">
        <v>9.7891199999999998E-2</v>
      </c>
      <c r="CM151">
        <v>9.6673999999999996E-2</v>
      </c>
      <c r="CN151">
        <v>8.6957400000000004E-2</v>
      </c>
      <c r="CO151">
        <v>7.8170799999999999E-2</v>
      </c>
      <c r="CP151">
        <v>31621</v>
      </c>
      <c r="CQ151">
        <v>27826.9</v>
      </c>
      <c r="CR151">
        <v>32443.3</v>
      </c>
      <c r="CS151">
        <v>30733.200000000001</v>
      </c>
      <c r="CT151">
        <v>40120.400000000001</v>
      </c>
      <c r="CU151">
        <v>39853.4</v>
      </c>
      <c r="CV151">
        <v>47391.1</v>
      </c>
      <c r="CW151">
        <v>46880.6</v>
      </c>
      <c r="CX151">
        <v>2.6194999999999999</v>
      </c>
      <c r="CY151">
        <v>2.1169600000000002</v>
      </c>
      <c r="CZ151">
        <v>0</v>
      </c>
      <c r="DA151">
        <v>0</v>
      </c>
      <c r="DB151">
        <v>999.9</v>
      </c>
      <c r="DC151">
        <v>999.9</v>
      </c>
      <c r="DD151">
        <v>45.372999999999998</v>
      </c>
      <c r="DE151">
        <v>28.841999999999999</v>
      </c>
      <c r="DF151">
        <v>18.033000000000001</v>
      </c>
      <c r="DG151">
        <v>30.19</v>
      </c>
      <c r="DH151">
        <v>16.354199999999999</v>
      </c>
      <c r="DI151">
        <v>2</v>
      </c>
      <c r="DJ151">
        <v>-9.7083299999999997E-2</v>
      </c>
      <c r="DK151">
        <v>2.1639699999999999</v>
      </c>
      <c r="DL151">
        <v>20.197399999999998</v>
      </c>
      <c r="DM151">
        <v>5.2497600000000002</v>
      </c>
      <c r="DN151">
        <v>12.033899999999999</v>
      </c>
      <c r="DO151">
        <v>4.9667199999999996</v>
      </c>
      <c r="DP151">
        <v>3.2909999999999999</v>
      </c>
      <c r="DQ151">
        <v>538.4</v>
      </c>
      <c r="DR151">
        <v>9999</v>
      </c>
      <c r="DS151">
        <v>9999</v>
      </c>
      <c r="DT151">
        <v>9999</v>
      </c>
      <c r="DU151">
        <v>1.8711599999999999</v>
      </c>
      <c r="DV151">
        <v>1.8761000000000001</v>
      </c>
      <c r="DW151">
        <v>1.8763300000000001</v>
      </c>
      <c r="DX151">
        <v>1.88279</v>
      </c>
      <c r="DY151">
        <v>1.87561</v>
      </c>
      <c r="DZ151">
        <v>1.8746499999999999</v>
      </c>
      <c r="EA151">
        <v>1.87083</v>
      </c>
      <c r="EB151">
        <v>1.87459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-0.75600000000000001</v>
      </c>
      <c r="EQ151">
        <v>8.9800000000000005E-2</v>
      </c>
      <c r="ER151">
        <v>-0.75629999999995301</v>
      </c>
      <c r="ES151">
        <v>0</v>
      </c>
      <c r="ET151">
        <v>0</v>
      </c>
      <c r="EU151">
        <v>0</v>
      </c>
      <c r="EV151">
        <v>8.98000000000021E-2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2.9</v>
      </c>
      <c r="FE151">
        <v>2.8</v>
      </c>
      <c r="FF151">
        <v>1.24512</v>
      </c>
      <c r="FG151">
        <v>2.6086399999999998</v>
      </c>
      <c r="FH151">
        <v>2.19604</v>
      </c>
      <c r="FI151">
        <v>2.66113</v>
      </c>
      <c r="FJ151">
        <v>2.4462899999999999</v>
      </c>
      <c r="FK151">
        <v>2.2741699999999998</v>
      </c>
      <c r="FL151">
        <v>33.087499999999999</v>
      </c>
      <c r="FM151">
        <v>24.1313</v>
      </c>
      <c r="FN151">
        <v>19</v>
      </c>
      <c r="FO151">
        <v>866.27</v>
      </c>
      <c r="FP151">
        <v>569.04600000000005</v>
      </c>
      <c r="FQ151">
        <v>18.084399999999999</v>
      </c>
      <c r="FR151">
        <v>25.759399999999999</v>
      </c>
      <c r="FS151">
        <v>29.9998</v>
      </c>
      <c r="FT151">
        <v>25.753900000000002</v>
      </c>
      <c r="FU151">
        <v>25.7516</v>
      </c>
      <c r="FV151">
        <v>24.982800000000001</v>
      </c>
      <c r="FW151">
        <v>28.244900000000001</v>
      </c>
      <c r="FX151">
        <v>14.190099999999999</v>
      </c>
      <c r="FY151">
        <v>18.087199999999999</v>
      </c>
      <c r="FZ151">
        <v>410</v>
      </c>
      <c r="GA151">
        <v>13.540699999999999</v>
      </c>
      <c r="GB151">
        <v>99.850899999999996</v>
      </c>
      <c r="GC151">
        <v>99.789199999999994</v>
      </c>
    </row>
    <row r="152" spans="1:185" x14ac:dyDescent="0.2">
      <c r="A152">
        <v>137</v>
      </c>
      <c r="B152">
        <v>1769203068</v>
      </c>
      <c r="C152">
        <v>2797</v>
      </c>
      <c r="D152" t="s">
        <v>571</v>
      </c>
      <c r="E152" t="s">
        <v>572</v>
      </c>
      <c r="F152">
        <v>15</v>
      </c>
      <c r="G152">
        <v>1769203059.9333301</v>
      </c>
      <c r="H152">
        <f t="shared" si="50"/>
        <v>1.5050825258433413E-3</v>
      </c>
      <c r="I152">
        <v>0</v>
      </c>
      <c r="J152">
        <f t="shared" si="62"/>
        <v>-6.3087276578700172E-4</v>
      </c>
      <c r="K152">
        <f t="shared" si="51"/>
        <v>-1.6263001080930164E-2</v>
      </c>
      <c r="L152">
        <f t="shared" si="52"/>
        <v>69.752896349844434</v>
      </c>
      <c r="M152">
        <f t="shared" si="53"/>
        <v>1.5381932507335108</v>
      </c>
      <c r="N152">
        <f t="shared" si="54"/>
        <v>2.2052034126564855</v>
      </c>
      <c r="O152">
        <v>0</v>
      </c>
      <c r="P152">
        <v>0</v>
      </c>
      <c r="Q152">
        <f t="shared" si="55"/>
        <v>1</v>
      </c>
      <c r="R152">
        <f t="shared" si="56"/>
        <v>0</v>
      </c>
      <c r="S152">
        <f t="shared" si="57"/>
        <v>26286.54366477751</v>
      </c>
      <c r="T152">
        <f t="shared" si="58"/>
        <v>800.00086666666698</v>
      </c>
      <c r="U152">
        <f t="shared" si="59"/>
        <v>674.40073508000535</v>
      </c>
      <c r="V152">
        <f t="shared" si="60"/>
        <v>0.84300000560000032</v>
      </c>
      <c r="W152">
        <f t="shared" si="61"/>
        <v>0.15870011793600006</v>
      </c>
      <c r="X152">
        <v>1</v>
      </c>
      <c r="Y152">
        <v>1769203059.9333301</v>
      </c>
      <c r="Z152">
        <v>409.24506666666701</v>
      </c>
      <c r="AA152">
        <v>409.994666666667</v>
      </c>
      <c r="AB152">
        <v>15.332380000000001</v>
      </c>
      <c r="AC152">
        <v>13.479886666666699</v>
      </c>
      <c r="AD152">
        <v>410.00126666666699</v>
      </c>
      <c r="AE152">
        <v>15.2425866666667</v>
      </c>
      <c r="AF152">
        <v>800.00613333333297</v>
      </c>
      <c r="AG152">
        <v>100.259333333333</v>
      </c>
      <c r="AH152">
        <v>6.3855286666666705E-2</v>
      </c>
      <c r="AI152">
        <v>19.000166666666701</v>
      </c>
      <c r="AJ152">
        <v>999.9</v>
      </c>
      <c r="AK152">
        <v>999.9</v>
      </c>
      <c r="AL152">
        <v>0</v>
      </c>
      <c r="AM152">
        <v>0</v>
      </c>
      <c r="AN152">
        <v>4999.3999999999996</v>
      </c>
      <c r="AO152">
        <v>0</v>
      </c>
      <c r="AP152">
        <v>1.5244200000000001</v>
      </c>
      <c r="AQ152">
        <v>-0.74975993333333302</v>
      </c>
      <c r="AR152">
        <v>415.61733333333302</v>
      </c>
      <c r="AS152">
        <v>415.59699999999998</v>
      </c>
      <c r="AT152">
        <v>1.8525039999999999</v>
      </c>
      <c r="AU152">
        <v>409.994666666667</v>
      </c>
      <c r="AV152">
        <v>13.479886666666699</v>
      </c>
      <c r="AW152">
        <v>1.5372173333333301</v>
      </c>
      <c r="AX152">
        <v>1.351486</v>
      </c>
      <c r="AY152">
        <v>13.343453333333301</v>
      </c>
      <c r="AZ152">
        <v>11.383986666666701</v>
      </c>
      <c r="BA152">
        <v>800.00086666666698</v>
      </c>
      <c r="BB152">
        <v>0.89999826666666705</v>
      </c>
      <c r="BC152">
        <v>0</v>
      </c>
      <c r="BD152">
        <v>0.10000168</v>
      </c>
      <c r="BE152">
        <v>0</v>
      </c>
      <c r="BF152">
        <v>24</v>
      </c>
      <c r="BG152">
        <v>13191.04</v>
      </c>
      <c r="BH152">
        <v>1769202886</v>
      </c>
      <c r="BI152" t="s">
        <v>546</v>
      </c>
      <c r="BJ152">
        <v>1769202878</v>
      </c>
      <c r="BK152">
        <v>1769202886</v>
      </c>
      <c r="BL152">
        <v>17</v>
      </c>
      <c r="BM152">
        <v>-1.2999999999999999E-2</v>
      </c>
      <c r="BN152">
        <v>1.9E-2</v>
      </c>
      <c r="BO152">
        <v>-0.75600000000000001</v>
      </c>
      <c r="BP152">
        <v>0.09</v>
      </c>
      <c r="BQ152">
        <v>410</v>
      </c>
      <c r="BR152">
        <v>15</v>
      </c>
      <c r="BS152">
        <v>0.39</v>
      </c>
      <c r="BT152">
        <v>0.03</v>
      </c>
      <c r="BU152">
        <v>-0.74967590476190504</v>
      </c>
      <c r="BV152">
        <v>-0.103919688311689</v>
      </c>
      <c r="BW152">
        <v>2.0493760220880099E-2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1.8559890476190499</v>
      </c>
      <c r="CD152">
        <v>-5.0202077922077697E-2</v>
      </c>
      <c r="CE152">
        <v>5.8679151037143501E-3</v>
      </c>
      <c r="CF152">
        <v>1</v>
      </c>
      <c r="CG152">
        <v>2</v>
      </c>
      <c r="CH152">
        <v>2</v>
      </c>
      <c r="CI152" t="s">
        <v>297</v>
      </c>
      <c r="CJ152">
        <v>3.5325500000000001</v>
      </c>
      <c r="CK152">
        <v>2.7016399999999998</v>
      </c>
      <c r="CL152">
        <v>9.7889799999999999E-2</v>
      </c>
      <c r="CM152">
        <v>9.6665699999999993E-2</v>
      </c>
      <c r="CN152">
        <v>8.6855500000000002E-2</v>
      </c>
      <c r="CO152">
        <v>7.82447E-2</v>
      </c>
      <c r="CP152">
        <v>31622.1</v>
      </c>
      <c r="CQ152">
        <v>27827.7</v>
      </c>
      <c r="CR152">
        <v>32444.3</v>
      </c>
      <c r="CS152">
        <v>30733.7</v>
      </c>
      <c r="CT152">
        <v>40126.300000000003</v>
      </c>
      <c r="CU152">
        <v>39851</v>
      </c>
      <c r="CV152">
        <v>47392.7</v>
      </c>
      <c r="CW152">
        <v>46881.5</v>
      </c>
      <c r="CX152">
        <v>2.61964</v>
      </c>
      <c r="CY152">
        <v>2.1173199999999999</v>
      </c>
      <c r="CZ152">
        <v>0</v>
      </c>
      <c r="DA152">
        <v>0</v>
      </c>
      <c r="DB152">
        <v>999.9</v>
      </c>
      <c r="DC152">
        <v>999.9</v>
      </c>
      <c r="DD152">
        <v>45.287999999999997</v>
      </c>
      <c r="DE152">
        <v>28.841999999999999</v>
      </c>
      <c r="DF152">
        <v>18.0001</v>
      </c>
      <c r="DG152">
        <v>30.46</v>
      </c>
      <c r="DH152">
        <v>16.342099999999999</v>
      </c>
      <c r="DI152">
        <v>2</v>
      </c>
      <c r="DJ152">
        <v>-9.6729700000000002E-2</v>
      </c>
      <c r="DK152">
        <v>2.8267099999999998</v>
      </c>
      <c r="DL152">
        <v>20.185099999999998</v>
      </c>
      <c r="DM152">
        <v>5.2502399999999998</v>
      </c>
      <c r="DN152">
        <v>12.033899999999999</v>
      </c>
      <c r="DO152">
        <v>4.9669999999999996</v>
      </c>
      <c r="DP152">
        <v>3.2909999999999999</v>
      </c>
      <c r="DQ152">
        <v>538.4</v>
      </c>
      <c r="DR152">
        <v>9999</v>
      </c>
      <c r="DS152">
        <v>9999</v>
      </c>
      <c r="DT152">
        <v>9999</v>
      </c>
      <c r="DU152">
        <v>1.8711500000000001</v>
      </c>
      <c r="DV152">
        <v>1.87612</v>
      </c>
      <c r="DW152">
        <v>1.87635</v>
      </c>
      <c r="DX152">
        <v>1.8828</v>
      </c>
      <c r="DY152">
        <v>1.8755999999999999</v>
      </c>
      <c r="DZ152">
        <v>1.8746799999999999</v>
      </c>
      <c r="EA152">
        <v>1.87083</v>
      </c>
      <c r="EB152">
        <v>1.87463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-0.75600000000000001</v>
      </c>
      <c r="EQ152">
        <v>8.9800000000000005E-2</v>
      </c>
      <c r="ER152">
        <v>-0.75629999999995301</v>
      </c>
      <c r="ES152">
        <v>0</v>
      </c>
      <c r="ET152">
        <v>0</v>
      </c>
      <c r="EU152">
        <v>0</v>
      </c>
      <c r="EV152">
        <v>8.98000000000021E-2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3.2</v>
      </c>
      <c r="FE152">
        <v>3</v>
      </c>
      <c r="FF152">
        <v>1.24512</v>
      </c>
      <c r="FG152">
        <v>2.6074199999999998</v>
      </c>
      <c r="FH152">
        <v>2.19604</v>
      </c>
      <c r="FI152">
        <v>2.65991</v>
      </c>
      <c r="FJ152">
        <v>2.4462899999999999</v>
      </c>
      <c r="FK152">
        <v>2.2790499999999998</v>
      </c>
      <c r="FL152">
        <v>33.065199999999997</v>
      </c>
      <c r="FM152">
        <v>24.1313</v>
      </c>
      <c r="FN152">
        <v>19</v>
      </c>
      <c r="FO152">
        <v>866.26199999999994</v>
      </c>
      <c r="FP152">
        <v>569.22500000000002</v>
      </c>
      <c r="FQ152">
        <v>18.0076</v>
      </c>
      <c r="FR152">
        <v>25.7455</v>
      </c>
      <c r="FS152">
        <v>30.000499999999999</v>
      </c>
      <c r="FT152">
        <v>25.745200000000001</v>
      </c>
      <c r="FU152">
        <v>25.742899999999999</v>
      </c>
      <c r="FV152">
        <v>24.983499999999999</v>
      </c>
      <c r="FW152">
        <v>27.6951</v>
      </c>
      <c r="FX152">
        <v>13.819599999999999</v>
      </c>
      <c r="FY152">
        <v>17.9222</v>
      </c>
      <c r="FZ152">
        <v>410</v>
      </c>
      <c r="GA152">
        <v>13.571</v>
      </c>
      <c r="GB152">
        <v>99.854200000000006</v>
      </c>
      <c r="GC152">
        <v>99.790999999999997</v>
      </c>
    </row>
    <row r="153" spans="1:185" x14ac:dyDescent="0.2">
      <c r="A153">
        <v>138</v>
      </c>
      <c r="B153">
        <v>1769203083</v>
      </c>
      <c r="C153">
        <v>2812</v>
      </c>
      <c r="D153" t="s">
        <v>573</v>
      </c>
      <c r="E153" t="s">
        <v>574</v>
      </c>
      <c r="F153">
        <v>15</v>
      </c>
      <c r="G153">
        <v>1769203074.9333301</v>
      </c>
      <c r="H153">
        <f t="shared" si="50"/>
        <v>1.4558237256609215E-3</v>
      </c>
      <c r="I153">
        <v>0</v>
      </c>
      <c r="J153">
        <f t="shared" si="62"/>
        <v>-4.5472737323928826E-4</v>
      </c>
      <c r="K153">
        <f t="shared" si="51"/>
        <v>-1.1722223820033932E-2</v>
      </c>
      <c r="L153">
        <f t="shared" si="52"/>
        <v>69.715065762119423</v>
      </c>
      <c r="M153">
        <f t="shared" si="53"/>
        <v>1.5375214674720874</v>
      </c>
      <c r="N153">
        <f t="shared" si="54"/>
        <v>2.2054364442807706</v>
      </c>
      <c r="O153">
        <v>0</v>
      </c>
      <c r="P153">
        <v>0</v>
      </c>
      <c r="Q153">
        <f t="shared" si="55"/>
        <v>1</v>
      </c>
      <c r="R153">
        <f t="shared" si="56"/>
        <v>0</v>
      </c>
      <c r="S153">
        <f t="shared" si="57"/>
        <v>26331.038016241029</v>
      </c>
      <c r="T153">
        <f t="shared" si="58"/>
        <v>799.99959999999999</v>
      </c>
      <c r="U153">
        <f t="shared" si="59"/>
        <v>674.39976039995111</v>
      </c>
      <c r="V153">
        <f t="shared" si="60"/>
        <v>0.84300012199999996</v>
      </c>
      <c r="W153">
        <f t="shared" si="61"/>
        <v>0.15870030500000004</v>
      </c>
      <c r="X153">
        <v>1</v>
      </c>
      <c r="Y153">
        <v>1769203074.9333301</v>
      </c>
      <c r="Z153">
        <v>409.27640000000002</v>
      </c>
      <c r="AA153">
        <v>410.00653333333298</v>
      </c>
      <c r="AB153">
        <v>15.325893333333299</v>
      </c>
      <c r="AC153">
        <v>13.53402</v>
      </c>
      <c r="AD153">
        <v>410.03266666666701</v>
      </c>
      <c r="AE153">
        <v>15.236093333333301</v>
      </c>
      <c r="AF153">
        <v>800.00739999999996</v>
      </c>
      <c r="AG153">
        <v>100.25806666666701</v>
      </c>
      <c r="AH153">
        <v>6.3750406666666704E-2</v>
      </c>
      <c r="AI153">
        <v>19.001860000000001</v>
      </c>
      <c r="AJ153">
        <v>999.9</v>
      </c>
      <c r="AK153">
        <v>999.9</v>
      </c>
      <c r="AL153">
        <v>0</v>
      </c>
      <c r="AM153">
        <v>0</v>
      </c>
      <c r="AN153">
        <v>5006.8</v>
      </c>
      <c r="AO153">
        <v>0</v>
      </c>
      <c r="AP153">
        <v>1.5244200000000001</v>
      </c>
      <c r="AQ153">
        <v>-0.73029793333333304</v>
      </c>
      <c r="AR153">
        <v>415.64646666666698</v>
      </c>
      <c r="AS153">
        <v>415.6318</v>
      </c>
      <c r="AT153">
        <v>1.7918706666666699</v>
      </c>
      <c r="AU153">
        <v>410.00653333333298</v>
      </c>
      <c r="AV153">
        <v>13.53402</v>
      </c>
      <c r="AW153">
        <v>1.5365426666666699</v>
      </c>
      <c r="AX153">
        <v>1.3568926666666701</v>
      </c>
      <c r="AY153">
        <v>13.3367066666667</v>
      </c>
      <c r="AZ153">
        <v>11.444266666666699</v>
      </c>
      <c r="BA153">
        <v>799.99959999999999</v>
      </c>
      <c r="BB153">
        <v>0.89999593333333305</v>
      </c>
      <c r="BC153">
        <v>0</v>
      </c>
      <c r="BD153">
        <v>0.100004066666667</v>
      </c>
      <c r="BE153">
        <v>0</v>
      </c>
      <c r="BF153">
        <v>24</v>
      </c>
      <c r="BG153">
        <v>13191.006666666701</v>
      </c>
      <c r="BH153">
        <v>1769202886</v>
      </c>
      <c r="BI153" t="s">
        <v>546</v>
      </c>
      <c r="BJ153">
        <v>1769202878</v>
      </c>
      <c r="BK153">
        <v>1769202886</v>
      </c>
      <c r="BL153">
        <v>17</v>
      </c>
      <c r="BM153">
        <v>-1.2999999999999999E-2</v>
      </c>
      <c r="BN153">
        <v>1.9E-2</v>
      </c>
      <c r="BO153">
        <v>-0.75600000000000001</v>
      </c>
      <c r="BP153">
        <v>0.09</v>
      </c>
      <c r="BQ153">
        <v>410</v>
      </c>
      <c r="BR153">
        <v>15</v>
      </c>
      <c r="BS153">
        <v>0.39</v>
      </c>
      <c r="BT153">
        <v>0.03</v>
      </c>
      <c r="BU153">
        <v>-0.739638523809524</v>
      </c>
      <c r="BV153">
        <v>0.113762415584414</v>
      </c>
      <c r="BW153">
        <v>2.3380033261247799E-2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1.8061485714285701</v>
      </c>
      <c r="CD153">
        <v>-0.20749870129870199</v>
      </c>
      <c r="CE153">
        <v>2.5522906291765301E-2</v>
      </c>
      <c r="CF153">
        <v>0</v>
      </c>
      <c r="CG153">
        <v>1</v>
      </c>
      <c r="CH153">
        <v>2</v>
      </c>
      <c r="CI153" t="s">
        <v>302</v>
      </c>
      <c r="CJ153">
        <v>3.5325199999999999</v>
      </c>
      <c r="CK153">
        <v>2.7015099999999999</v>
      </c>
      <c r="CL153">
        <v>9.7897799999999993E-2</v>
      </c>
      <c r="CM153">
        <v>9.6675899999999995E-2</v>
      </c>
      <c r="CN153">
        <v>8.6934600000000001E-2</v>
      </c>
      <c r="CO153">
        <v>7.8433500000000003E-2</v>
      </c>
      <c r="CP153">
        <v>31622.9</v>
      </c>
      <c r="CQ153">
        <v>27828.7</v>
      </c>
      <c r="CR153">
        <v>32445.4</v>
      </c>
      <c r="CS153">
        <v>30735.1</v>
      </c>
      <c r="CT153">
        <v>40124</v>
      </c>
      <c r="CU153">
        <v>39844.199999999997</v>
      </c>
      <c r="CV153">
        <v>47394.2</v>
      </c>
      <c r="CW153">
        <v>46883.4</v>
      </c>
      <c r="CX153">
        <v>2.61978</v>
      </c>
      <c r="CY153">
        <v>2.1175000000000002</v>
      </c>
      <c r="CZ153">
        <v>0</v>
      </c>
      <c r="DA153">
        <v>0</v>
      </c>
      <c r="DB153">
        <v>999.9</v>
      </c>
      <c r="DC153">
        <v>999.9</v>
      </c>
      <c r="DD153">
        <v>45.238999999999997</v>
      </c>
      <c r="DE153">
        <v>28.841999999999999</v>
      </c>
      <c r="DF153">
        <v>17.981200000000001</v>
      </c>
      <c r="DG153">
        <v>30.16</v>
      </c>
      <c r="DH153">
        <v>16.374199999999998</v>
      </c>
      <c r="DI153">
        <v>2</v>
      </c>
      <c r="DJ153">
        <v>-9.87093E-2</v>
      </c>
      <c r="DK153">
        <v>2.3497400000000002</v>
      </c>
      <c r="DL153">
        <v>20.194500000000001</v>
      </c>
      <c r="DM153">
        <v>5.2498800000000001</v>
      </c>
      <c r="DN153">
        <v>12.033899999999999</v>
      </c>
      <c r="DO153">
        <v>4.9672799999999997</v>
      </c>
      <c r="DP153">
        <v>3.2909999999999999</v>
      </c>
      <c r="DQ153">
        <v>538.4</v>
      </c>
      <c r="DR153">
        <v>9999</v>
      </c>
      <c r="DS153">
        <v>9999</v>
      </c>
      <c r="DT153">
        <v>9999</v>
      </c>
      <c r="DU153">
        <v>1.87113</v>
      </c>
      <c r="DV153">
        <v>1.87609</v>
      </c>
      <c r="DW153">
        <v>1.8763300000000001</v>
      </c>
      <c r="DX153">
        <v>1.8827799999999999</v>
      </c>
      <c r="DY153">
        <v>1.87561</v>
      </c>
      <c r="DZ153">
        <v>1.87466</v>
      </c>
      <c r="EA153">
        <v>1.8708100000000001</v>
      </c>
      <c r="EB153">
        <v>1.8746499999999999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-0.75700000000000001</v>
      </c>
      <c r="EQ153">
        <v>8.9800000000000005E-2</v>
      </c>
      <c r="ER153">
        <v>-0.75629999999995301</v>
      </c>
      <c r="ES153">
        <v>0</v>
      </c>
      <c r="ET153">
        <v>0</v>
      </c>
      <c r="EU153">
        <v>0</v>
      </c>
      <c r="EV153">
        <v>8.98000000000021E-2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3.4</v>
      </c>
      <c r="FE153">
        <v>3.3</v>
      </c>
      <c r="FF153">
        <v>1.24512</v>
      </c>
      <c r="FG153">
        <v>2.6098599999999998</v>
      </c>
      <c r="FH153">
        <v>2.19604</v>
      </c>
      <c r="FI153">
        <v>2.66113</v>
      </c>
      <c r="FJ153">
        <v>2.4462899999999999</v>
      </c>
      <c r="FK153">
        <v>2.32422</v>
      </c>
      <c r="FL153">
        <v>33.087499999999999</v>
      </c>
      <c r="FM153">
        <v>24.14</v>
      </c>
      <c r="FN153">
        <v>19</v>
      </c>
      <c r="FO153">
        <v>866.24</v>
      </c>
      <c r="FP153">
        <v>569.25400000000002</v>
      </c>
      <c r="FQ153">
        <v>17.9009</v>
      </c>
      <c r="FR153">
        <v>25.730399999999999</v>
      </c>
      <c r="FS153">
        <v>29.999400000000001</v>
      </c>
      <c r="FT153">
        <v>25.735600000000002</v>
      </c>
      <c r="FU153">
        <v>25.733000000000001</v>
      </c>
      <c r="FV153">
        <v>24.982099999999999</v>
      </c>
      <c r="FW153">
        <v>27.6951</v>
      </c>
      <c r="FX153">
        <v>13.819599999999999</v>
      </c>
      <c r="FY153">
        <v>17.913399999999999</v>
      </c>
      <c r="FZ153">
        <v>410</v>
      </c>
      <c r="GA153">
        <v>13.5626</v>
      </c>
      <c r="GB153">
        <v>99.857299999999995</v>
      </c>
      <c r="GC153">
        <v>99.795100000000005</v>
      </c>
    </row>
    <row r="154" spans="1:185" x14ac:dyDescent="0.2">
      <c r="A154">
        <v>139</v>
      </c>
      <c r="B154">
        <v>1769203098</v>
      </c>
      <c r="C154">
        <v>2827</v>
      </c>
      <c r="D154" t="s">
        <v>575</v>
      </c>
      <c r="E154" t="s">
        <v>576</v>
      </c>
      <c r="F154">
        <v>15</v>
      </c>
      <c r="G154">
        <v>1769203089.9333301</v>
      </c>
      <c r="H154">
        <f t="shared" si="50"/>
        <v>1.4622963317370353E-3</v>
      </c>
      <c r="I154">
        <v>0</v>
      </c>
      <c r="J154">
        <f t="shared" si="62"/>
        <v>-1.1265974666491796E-3</v>
      </c>
      <c r="K154">
        <f t="shared" si="51"/>
        <v>-2.9042077597108865E-2</v>
      </c>
      <c r="L154">
        <f t="shared" si="52"/>
        <v>69.834886900929845</v>
      </c>
      <c r="M154">
        <f t="shared" si="53"/>
        <v>1.5389438836640321</v>
      </c>
      <c r="N154">
        <f t="shared" si="54"/>
        <v>2.203689233215528</v>
      </c>
      <c r="O154">
        <v>0</v>
      </c>
      <c r="P154">
        <v>0</v>
      </c>
      <c r="Q154">
        <f t="shared" si="55"/>
        <v>1</v>
      </c>
      <c r="R154">
        <f t="shared" si="56"/>
        <v>0</v>
      </c>
      <c r="S154">
        <f t="shared" si="57"/>
        <v>26270.969547124758</v>
      </c>
      <c r="T154">
        <f t="shared" si="58"/>
        <v>799.99940000000004</v>
      </c>
      <c r="U154">
        <f t="shared" si="59"/>
        <v>674.39959179992684</v>
      </c>
      <c r="V154">
        <f t="shared" si="60"/>
        <v>0.84300012199999996</v>
      </c>
      <c r="W154">
        <f t="shared" si="61"/>
        <v>0.15870030500000004</v>
      </c>
      <c r="X154">
        <v>1</v>
      </c>
      <c r="Y154">
        <v>1769203089.9333301</v>
      </c>
      <c r="Z154">
        <v>409.2808</v>
      </c>
      <c r="AA154">
        <v>409.99259999999998</v>
      </c>
      <c r="AB154">
        <v>15.339873333333299</v>
      </c>
      <c r="AC154">
        <v>13.5400666666667</v>
      </c>
      <c r="AD154">
        <v>410.03699999999998</v>
      </c>
      <c r="AE154">
        <v>15.250073333333299</v>
      </c>
      <c r="AF154">
        <v>800.01086666666697</v>
      </c>
      <c r="AG154">
        <v>100.259533333333</v>
      </c>
      <c r="AH154">
        <v>6.3582133333333304E-2</v>
      </c>
      <c r="AI154">
        <v>18.989159999999998</v>
      </c>
      <c r="AJ154">
        <v>999.9</v>
      </c>
      <c r="AK154">
        <v>999.9</v>
      </c>
      <c r="AL154">
        <v>0</v>
      </c>
      <c r="AM154">
        <v>0</v>
      </c>
      <c r="AN154">
        <v>4996.6666666666697</v>
      </c>
      <c r="AO154">
        <v>0</v>
      </c>
      <c r="AP154">
        <v>1.5244200000000001</v>
      </c>
      <c r="AQ154">
        <v>-0.71183280000000004</v>
      </c>
      <c r="AR154">
        <v>415.65686666666699</v>
      </c>
      <c r="AS154">
        <v>415.62</v>
      </c>
      <c r="AT154">
        <v>1.7998080000000001</v>
      </c>
      <c r="AU154">
        <v>409.99259999999998</v>
      </c>
      <c r="AV154">
        <v>13.5400666666667</v>
      </c>
      <c r="AW154">
        <v>1.53796666666667</v>
      </c>
      <c r="AX154">
        <v>1.35751933333333</v>
      </c>
      <c r="AY154">
        <v>13.3509266666667</v>
      </c>
      <c r="AZ154">
        <v>11.4512533333333</v>
      </c>
      <c r="BA154">
        <v>799.99940000000004</v>
      </c>
      <c r="BB154">
        <v>0.89999593333333305</v>
      </c>
      <c r="BC154">
        <v>0</v>
      </c>
      <c r="BD154">
        <v>0.100004066666667</v>
      </c>
      <c r="BE154">
        <v>0</v>
      </c>
      <c r="BF154">
        <v>24</v>
      </c>
      <c r="BG154">
        <v>13191.0133333333</v>
      </c>
      <c r="BH154">
        <v>1769202886</v>
      </c>
      <c r="BI154" t="s">
        <v>546</v>
      </c>
      <c r="BJ154">
        <v>1769202878</v>
      </c>
      <c r="BK154">
        <v>1769202886</v>
      </c>
      <c r="BL154">
        <v>17</v>
      </c>
      <c r="BM154">
        <v>-1.2999999999999999E-2</v>
      </c>
      <c r="BN154">
        <v>1.9E-2</v>
      </c>
      <c r="BO154">
        <v>-0.75600000000000001</v>
      </c>
      <c r="BP154">
        <v>0.09</v>
      </c>
      <c r="BQ154">
        <v>410</v>
      </c>
      <c r="BR154">
        <v>15</v>
      </c>
      <c r="BS154">
        <v>0.39</v>
      </c>
      <c r="BT154">
        <v>0.03</v>
      </c>
      <c r="BU154">
        <v>-0.7162385</v>
      </c>
      <c r="BV154">
        <v>9.9536751879699195E-2</v>
      </c>
      <c r="BW154">
        <v>1.6884302939416802E-2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1.7976760000000001</v>
      </c>
      <c r="CD154">
        <v>4.8563007518799099E-2</v>
      </c>
      <c r="CE154">
        <v>4.9094759394460799E-3</v>
      </c>
      <c r="CF154">
        <v>1</v>
      </c>
      <c r="CG154">
        <v>2</v>
      </c>
      <c r="CH154">
        <v>2</v>
      </c>
      <c r="CI154" t="s">
        <v>297</v>
      </c>
      <c r="CJ154">
        <v>3.5325099999999998</v>
      </c>
      <c r="CK154">
        <v>2.7013400000000001</v>
      </c>
      <c r="CL154">
        <v>9.7897799999999993E-2</v>
      </c>
      <c r="CM154">
        <v>9.6678799999999995E-2</v>
      </c>
      <c r="CN154">
        <v>8.6975800000000006E-2</v>
      </c>
      <c r="CO154">
        <v>7.8418100000000004E-2</v>
      </c>
      <c r="CP154">
        <v>31624.3</v>
      </c>
      <c r="CQ154">
        <v>27829.200000000001</v>
      </c>
      <c r="CR154">
        <v>32446.799999999999</v>
      </c>
      <c r="CS154">
        <v>30735.7</v>
      </c>
      <c r="CT154">
        <v>40123.599999999999</v>
      </c>
      <c r="CU154">
        <v>39845.599999999999</v>
      </c>
      <c r="CV154">
        <v>47396</v>
      </c>
      <c r="CW154">
        <v>46884.2</v>
      </c>
      <c r="CX154">
        <v>2.6199599999999998</v>
      </c>
      <c r="CY154">
        <v>2.1178599999999999</v>
      </c>
      <c r="CZ154">
        <v>0</v>
      </c>
      <c r="DA154">
        <v>0</v>
      </c>
      <c r="DB154">
        <v>999.9</v>
      </c>
      <c r="DC154">
        <v>999.9</v>
      </c>
      <c r="DD154">
        <v>45.238999999999997</v>
      </c>
      <c r="DE154">
        <v>28.841999999999999</v>
      </c>
      <c r="DF154">
        <v>17.9815</v>
      </c>
      <c r="DG154">
        <v>30.28</v>
      </c>
      <c r="DH154">
        <v>16.402200000000001</v>
      </c>
      <c r="DI154">
        <v>2</v>
      </c>
      <c r="DJ154">
        <v>-0.100596</v>
      </c>
      <c r="DK154">
        <v>2.25284</v>
      </c>
      <c r="DL154">
        <v>20.196000000000002</v>
      </c>
      <c r="DM154">
        <v>5.2508299999999997</v>
      </c>
      <c r="DN154">
        <v>12.033899999999999</v>
      </c>
      <c r="DO154">
        <v>4.9674399999999999</v>
      </c>
      <c r="DP154">
        <v>3.2909999999999999</v>
      </c>
      <c r="DQ154">
        <v>538.4</v>
      </c>
      <c r="DR154">
        <v>9999</v>
      </c>
      <c r="DS154">
        <v>9999</v>
      </c>
      <c r="DT154">
        <v>9999</v>
      </c>
      <c r="DU154">
        <v>1.8711199999999999</v>
      </c>
      <c r="DV154">
        <v>1.87608</v>
      </c>
      <c r="DW154">
        <v>1.8763000000000001</v>
      </c>
      <c r="DX154">
        <v>1.8827799999999999</v>
      </c>
      <c r="DY154">
        <v>1.8755900000000001</v>
      </c>
      <c r="DZ154">
        <v>1.8746400000000001</v>
      </c>
      <c r="EA154">
        <v>1.8707800000000001</v>
      </c>
      <c r="EB154">
        <v>1.8745799999999999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-0.75700000000000001</v>
      </c>
      <c r="EQ154">
        <v>8.9800000000000005E-2</v>
      </c>
      <c r="ER154">
        <v>-0.75629999999995301</v>
      </c>
      <c r="ES154">
        <v>0</v>
      </c>
      <c r="ET154">
        <v>0</v>
      </c>
      <c r="EU154">
        <v>0</v>
      </c>
      <c r="EV154">
        <v>8.98000000000021E-2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3.7</v>
      </c>
      <c r="FE154">
        <v>3.5</v>
      </c>
      <c r="FF154">
        <v>1.24512</v>
      </c>
      <c r="FG154">
        <v>2.6049799999999999</v>
      </c>
      <c r="FH154">
        <v>2.19604</v>
      </c>
      <c r="FI154">
        <v>2.66113</v>
      </c>
      <c r="FJ154">
        <v>2.4462899999999999</v>
      </c>
      <c r="FK154">
        <v>2.3010299999999999</v>
      </c>
      <c r="FL154">
        <v>33.065199999999997</v>
      </c>
      <c r="FM154">
        <v>24.14</v>
      </c>
      <c r="FN154">
        <v>19</v>
      </c>
      <c r="FO154">
        <v>866.22699999999998</v>
      </c>
      <c r="FP154">
        <v>569.404</v>
      </c>
      <c r="FQ154">
        <v>17.920500000000001</v>
      </c>
      <c r="FR154">
        <v>25.7148</v>
      </c>
      <c r="FS154">
        <v>29.999500000000001</v>
      </c>
      <c r="FT154">
        <v>25.724299999999999</v>
      </c>
      <c r="FU154">
        <v>25.721800000000002</v>
      </c>
      <c r="FV154">
        <v>24.981999999999999</v>
      </c>
      <c r="FW154">
        <v>27.6951</v>
      </c>
      <c r="FX154">
        <v>13.4481</v>
      </c>
      <c r="FY154">
        <v>17.9375</v>
      </c>
      <c r="FZ154">
        <v>410</v>
      </c>
      <c r="GA154">
        <v>13.5634</v>
      </c>
      <c r="GB154">
        <v>99.861400000000003</v>
      </c>
      <c r="GC154">
        <v>99.796999999999997</v>
      </c>
    </row>
    <row r="155" spans="1:185" x14ac:dyDescent="0.2">
      <c r="A155">
        <v>140</v>
      </c>
      <c r="B155">
        <v>1769203248</v>
      </c>
      <c r="C155">
        <v>2977</v>
      </c>
      <c r="D155" t="s">
        <v>577</v>
      </c>
      <c r="E155" t="s">
        <v>578</v>
      </c>
      <c r="F155">
        <v>15</v>
      </c>
      <c r="G155">
        <v>1769203240</v>
      </c>
      <c r="H155">
        <f t="shared" si="50"/>
        <v>1.0474911775242401E-3</v>
      </c>
      <c r="I155">
        <v>0</v>
      </c>
      <c r="J155">
        <f t="shared" si="62"/>
        <v>-6.508236094696207E-2</v>
      </c>
      <c r="K155">
        <f t="shared" si="51"/>
        <v>-1.6777305406575196</v>
      </c>
      <c r="L155">
        <f t="shared" si="52"/>
        <v>74.391923871807776</v>
      </c>
      <c r="M155">
        <f t="shared" si="53"/>
        <v>1.6320809173990047</v>
      </c>
      <c r="N155">
        <f t="shared" si="54"/>
        <v>2.1938952946174748</v>
      </c>
      <c r="O155">
        <v>0</v>
      </c>
      <c r="P155">
        <v>0</v>
      </c>
      <c r="Q155">
        <f t="shared" si="55"/>
        <v>1</v>
      </c>
      <c r="R155">
        <f t="shared" si="56"/>
        <v>0</v>
      </c>
      <c r="S155">
        <f t="shared" si="57"/>
        <v>26358.328775156788</v>
      </c>
      <c r="T155">
        <f t="shared" si="58"/>
        <v>999.99766666666699</v>
      </c>
      <c r="U155">
        <f t="shared" si="59"/>
        <v>842.9983849991786</v>
      </c>
      <c r="V155">
        <f t="shared" si="60"/>
        <v>0.84300035199999968</v>
      </c>
      <c r="W155">
        <f t="shared" si="61"/>
        <v>0.15870062015999997</v>
      </c>
      <c r="X155">
        <v>1</v>
      </c>
      <c r="Y155">
        <v>1769203240</v>
      </c>
      <c r="Z155">
        <v>411.714333333333</v>
      </c>
      <c r="AA155">
        <v>410.15626666666702</v>
      </c>
      <c r="AB155">
        <v>16.267613333333301</v>
      </c>
      <c r="AC155">
        <v>14.979559999999999</v>
      </c>
      <c r="AD155">
        <v>412.47059999999999</v>
      </c>
      <c r="AE155">
        <v>16.177813333333301</v>
      </c>
      <c r="AF155">
        <v>800.00646666666705</v>
      </c>
      <c r="AG155">
        <v>100.26366666666701</v>
      </c>
      <c r="AH155">
        <v>6.3337913333333301E-2</v>
      </c>
      <c r="AI155">
        <v>18.917806666666699</v>
      </c>
      <c r="AJ155">
        <v>999.9</v>
      </c>
      <c r="AK155">
        <v>999.9</v>
      </c>
      <c r="AL155">
        <v>0</v>
      </c>
      <c r="AM155">
        <v>0</v>
      </c>
      <c r="AN155">
        <v>5009.8</v>
      </c>
      <c r="AO155">
        <v>0</v>
      </c>
      <c r="AP155">
        <v>1.48353933333333</v>
      </c>
      <c r="AQ155">
        <v>1.5581782</v>
      </c>
      <c r="AR155">
        <v>418.52273333333301</v>
      </c>
      <c r="AS155">
        <v>416.39359999999999</v>
      </c>
      <c r="AT155">
        <v>1.28806886666667</v>
      </c>
      <c r="AU155">
        <v>410.15626666666702</v>
      </c>
      <c r="AV155">
        <v>14.979559999999999</v>
      </c>
      <c r="AW155">
        <v>1.6310513333333301</v>
      </c>
      <c r="AX155">
        <v>1.50190333333333</v>
      </c>
      <c r="AY155">
        <v>14.255319999999999</v>
      </c>
      <c r="AZ155">
        <v>12.986193333333301</v>
      </c>
      <c r="BA155">
        <v>999.99766666666699</v>
      </c>
      <c r="BB155">
        <v>0.89999213333333306</v>
      </c>
      <c r="BC155">
        <v>0</v>
      </c>
      <c r="BD155">
        <v>0.100008</v>
      </c>
      <c r="BE155">
        <v>0</v>
      </c>
      <c r="BF155">
        <v>24</v>
      </c>
      <c r="BG155">
        <v>16488.7133333333</v>
      </c>
      <c r="BH155">
        <v>1769202886</v>
      </c>
      <c r="BI155" t="s">
        <v>546</v>
      </c>
      <c r="BJ155">
        <v>1769202878</v>
      </c>
      <c r="BK155">
        <v>1769202886</v>
      </c>
      <c r="BL155">
        <v>17</v>
      </c>
      <c r="BM155">
        <v>-1.2999999999999999E-2</v>
      </c>
      <c r="BN155">
        <v>1.9E-2</v>
      </c>
      <c r="BO155">
        <v>-0.75600000000000001</v>
      </c>
      <c r="BP155">
        <v>0.09</v>
      </c>
      <c r="BQ155">
        <v>410</v>
      </c>
      <c r="BR155">
        <v>15</v>
      </c>
      <c r="BS155">
        <v>0.39</v>
      </c>
      <c r="BT155">
        <v>0.03</v>
      </c>
      <c r="BU155">
        <v>2.0681541499999998</v>
      </c>
      <c r="BV155">
        <v>-10.716400105263199</v>
      </c>
      <c r="BW155">
        <v>1.05434172493444</v>
      </c>
      <c r="BX155">
        <v>0</v>
      </c>
      <c r="BY155">
        <v>0</v>
      </c>
      <c r="BZ155">
        <v>0</v>
      </c>
      <c r="CA155">
        <v>0</v>
      </c>
      <c r="CB155">
        <v>-1</v>
      </c>
      <c r="CC155">
        <v>1.1276586500000001</v>
      </c>
      <c r="CD155">
        <v>3.47447093233083</v>
      </c>
      <c r="CE155">
        <v>0.33796953128341001</v>
      </c>
      <c r="CF155">
        <v>0</v>
      </c>
      <c r="CG155">
        <v>0</v>
      </c>
      <c r="CH155">
        <v>2</v>
      </c>
      <c r="CI155" t="s">
        <v>290</v>
      </c>
      <c r="CJ155">
        <v>3.5324800000000001</v>
      </c>
      <c r="CK155">
        <v>2.7011099999999999</v>
      </c>
      <c r="CL155">
        <v>9.8191200000000006E-2</v>
      </c>
      <c r="CM155">
        <v>9.67335E-2</v>
      </c>
      <c r="CN155">
        <v>9.0784400000000001E-2</v>
      </c>
      <c r="CO155">
        <v>8.294E-2</v>
      </c>
      <c r="CP155">
        <v>31624.1</v>
      </c>
      <c r="CQ155">
        <v>27840</v>
      </c>
      <c r="CR155">
        <v>32456.3</v>
      </c>
      <c r="CS155">
        <v>30748.7</v>
      </c>
      <c r="CT155">
        <v>39960.699999999997</v>
      </c>
      <c r="CU155">
        <v>39661.1</v>
      </c>
      <c r="CV155">
        <v>47408.2</v>
      </c>
      <c r="CW155">
        <v>46903.199999999997</v>
      </c>
      <c r="CX155">
        <v>2.6222400000000001</v>
      </c>
      <c r="CY155">
        <v>2.1234600000000001</v>
      </c>
      <c r="CZ155">
        <v>0</v>
      </c>
      <c r="DA155">
        <v>0</v>
      </c>
      <c r="DB155">
        <v>999.9</v>
      </c>
      <c r="DC155">
        <v>999.9</v>
      </c>
      <c r="DD155">
        <v>45.837000000000003</v>
      </c>
      <c r="DE155">
        <v>28.841999999999999</v>
      </c>
      <c r="DF155">
        <v>18.2181</v>
      </c>
      <c r="DG155">
        <v>29.89</v>
      </c>
      <c r="DH155">
        <v>16.3582</v>
      </c>
      <c r="DI155">
        <v>2</v>
      </c>
      <c r="DJ155">
        <v>-0.11486200000000001</v>
      </c>
      <c r="DK155">
        <v>2.2486700000000002</v>
      </c>
      <c r="DL155">
        <v>20.1889</v>
      </c>
      <c r="DM155">
        <v>5.2515499999999999</v>
      </c>
      <c r="DN155">
        <v>12.033899999999999</v>
      </c>
      <c r="DO155">
        <v>4.9676400000000003</v>
      </c>
      <c r="DP155">
        <v>3.2909999999999999</v>
      </c>
      <c r="DQ155">
        <v>538.4</v>
      </c>
      <c r="DR155">
        <v>9999</v>
      </c>
      <c r="DS155">
        <v>9999</v>
      </c>
      <c r="DT155">
        <v>9999</v>
      </c>
      <c r="DU155">
        <v>1.8711599999999999</v>
      </c>
      <c r="DV155">
        <v>1.87608</v>
      </c>
      <c r="DW155">
        <v>1.8763099999999999</v>
      </c>
      <c r="DX155">
        <v>1.8827799999999999</v>
      </c>
      <c r="DY155">
        <v>1.8755999999999999</v>
      </c>
      <c r="DZ155">
        <v>1.8746499999999999</v>
      </c>
      <c r="EA155">
        <v>1.8708</v>
      </c>
      <c r="EB155">
        <v>1.8745799999999999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-0.75600000000000001</v>
      </c>
      <c r="EQ155">
        <v>8.9800000000000005E-2</v>
      </c>
      <c r="ER155">
        <v>-0.75629999999995301</v>
      </c>
      <c r="ES155">
        <v>0</v>
      </c>
      <c r="ET155">
        <v>0</v>
      </c>
      <c r="EU155">
        <v>0</v>
      </c>
      <c r="EV155">
        <v>8.98000000000021E-2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6.2</v>
      </c>
      <c r="FE155">
        <v>6</v>
      </c>
      <c r="FF155">
        <v>1.24512</v>
      </c>
      <c r="FG155">
        <v>2.6061999999999999</v>
      </c>
      <c r="FH155">
        <v>2.19604</v>
      </c>
      <c r="FI155">
        <v>2.65991</v>
      </c>
      <c r="FJ155">
        <v>2.4462899999999999</v>
      </c>
      <c r="FK155">
        <v>2.323</v>
      </c>
      <c r="FL155">
        <v>33.042900000000003</v>
      </c>
      <c r="FM155">
        <v>24.14</v>
      </c>
      <c r="FN155">
        <v>19</v>
      </c>
      <c r="FO155">
        <v>866.32299999999998</v>
      </c>
      <c r="FP155">
        <v>572.28499999999997</v>
      </c>
      <c r="FQ155">
        <v>17.5914</v>
      </c>
      <c r="FR155">
        <v>25.551200000000001</v>
      </c>
      <c r="FS155">
        <v>29.9999</v>
      </c>
      <c r="FT155">
        <v>25.597799999999999</v>
      </c>
      <c r="FU155">
        <v>25.596</v>
      </c>
      <c r="FV155">
        <v>24.992699999999999</v>
      </c>
      <c r="FW155">
        <v>24.697299999999998</v>
      </c>
      <c r="FX155">
        <v>17.016300000000001</v>
      </c>
      <c r="FY155">
        <v>17.652999999999999</v>
      </c>
      <c r="FZ155">
        <v>410</v>
      </c>
      <c r="GA155">
        <v>14.3094</v>
      </c>
      <c r="GB155">
        <v>99.888599999999997</v>
      </c>
      <c r="GC155">
        <v>99.838099999999997</v>
      </c>
    </row>
    <row r="156" spans="1:185" x14ac:dyDescent="0.2">
      <c r="A156">
        <v>141</v>
      </c>
      <c r="B156">
        <v>1769203263</v>
      </c>
      <c r="C156">
        <v>2992</v>
      </c>
      <c r="D156" t="s">
        <v>579</v>
      </c>
      <c r="E156" t="s">
        <v>580</v>
      </c>
      <c r="F156">
        <v>15</v>
      </c>
      <c r="G156">
        <v>1769203254.9333301</v>
      </c>
      <c r="H156">
        <f t="shared" si="50"/>
        <v>1.4462085303231505E-3</v>
      </c>
      <c r="I156">
        <v>0</v>
      </c>
      <c r="J156">
        <f t="shared" si="62"/>
        <v>-2.7355206729854802E-2</v>
      </c>
      <c r="K156">
        <f t="shared" si="51"/>
        <v>-0.70517825581156646</v>
      </c>
      <c r="L156">
        <f t="shared" si="52"/>
        <v>73.929330105651616</v>
      </c>
      <c r="M156">
        <f t="shared" si="53"/>
        <v>1.6204068144862418</v>
      </c>
      <c r="N156">
        <f t="shared" si="54"/>
        <v>2.191832135054566</v>
      </c>
      <c r="O156">
        <v>0</v>
      </c>
      <c r="P156">
        <v>0</v>
      </c>
      <c r="Q156">
        <f t="shared" si="55"/>
        <v>1</v>
      </c>
      <c r="R156">
        <f t="shared" si="56"/>
        <v>0</v>
      </c>
      <c r="S156">
        <f t="shared" si="57"/>
        <v>26293.339732204418</v>
      </c>
      <c r="T156">
        <f t="shared" si="58"/>
        <v>999.99786666666705</v>
      </c>
      <c r="U156">
        <f t="shared" si="59"/>
        <v>842.99842959951445</v>
      </c>
      <c r="V156">
        <f t="shared" si="60"/>
        <v>0.84300022800000052</v>
      </c>
      <c r="W156">
        <f t="shared" si="61"/>
        <v>0.15870031016000011</v>
      </c>
      <c r="X156">
        <v>1</v>
      </c>
      <c r="Y156">
        <v>1769203254.9333301</v>
      </c>
      <c r="Z156">
        <v>410.16166666666697</v>
      </c>
      <c r="AA156">
        <v>410.02166666666699</v>
      </c>
      <c r="AB156">
        <v>16.151066666666701</v>
      </c>
      <c r="AC156">
        <v>14.372486666666701</v>
      </c>
      <c r="AD156">
        <v>410.91820000000001</v>
      </c>
      <c r="AE156">
        <v>16.0612666666667</v>
      </c>
      <c r="AF156">
        <v>799.99253333333297</v>
      </c>
      <c r="AG156">
        <v>100.264933333333</v>
      </c>
      <c r="AH156">
        <v>6.3227519999999995E-2</v>
      </c>
      <c r="AI156">
        <v>18.902740000000001</v>
      </c>
      <c r="AJ156">
        <v>999.9</v>
      </c>
      <c r="AK156">
        <v>999.9</v>
      </c>
      <c r="AL156">
        <v>0</v>
      </c>
      <c r="AM156">
        <v>0</v>
      </c>
      <c r="AN156">
        <v>4998.8333333333303</v>
      </c>
      <c r="AO156">
        <v>0</v>
      </c>
      <c r="AP156">
        <v>1.5235160000000001</v>
      </c>
      <c r="AQ156">
        <v>0.14014483999999999</v>
      </c>
      <c r="AR156">
        <v>416.89499999999998</v>
      </c>
      <c r="AS156">
        <v>416.00060000000002</v>
      </c>
      <c r="AT156">
        <v>1.77858</v>
      </c>
      <c r="AU156">
        <v>410.02166666666699</v>
      </c>
      <c r="AV156">
        <v>14.372486666666701</v>
      </c>
      <c r="AW156">
        <v>1.6193866666666701</v>
      </c>
      <c r="AX156">
        <v>1.4410573333333301</v>
      </c>
      <c r="AY156">
        <v>14.14446</v>
      </c>
      <c r="AZ156">
        <v>12.356073333333301</v>
      </c>
      <c r="BA156">
        <v>999.99786666666705</v>
      </c>
      <c r="BB156">
        <v>0.89999626666666699</v>
      </c>
      <c r="BC156">
        <v>0</v>
      </c>
      <c r="BD156">
        <v>0.100003866666667</v>
      </c>
      <c r="BE156">
        <v>0</v>
      </c>
      <c r="BF156">
        <v>24</v>
      </c>
      <c r="BG156">
        <v>16488.740000000002</v>
      </c>
      <c r="BH156">
        <v>1769202886</v>
      </c>
      <c r="BI156" t="s">
        <v>546</v>
      </c>
      <c r="BJ156">
        <v>1769202878</v>
      </c>
      <c r="BK156">
        <v>1769202886</v>
      </c>
      <c r="BL156">
        <v>17</v>
      </c>
      <c r="BM156">
        <v>-1.2999999999999999E-2</v>
      </c>
      <c r="BN156">
        <v>1.9E-2</v>
      </c>
      <c r="BO156">
        <v>-0.75600000000000001</v>
      </c>
      <c r="BP156">
        <v>0.09</v>
      </c>
      <c r="BQ156">
        <v>410</v>
      </c>
      <c r="BR156">
        <v>15</v>
      </c>
      <c r="BS156">
        <v>0.39</v>
      </c>
      <c r="BT156">
        <v>0.03</v>
      </c>
      <c r="BU156">
        <v>0.39784098000000001</v>
      </c>
      <c r="BV156">
        <v>-4.3898039368421102</v>
      </c>
      <c r="BW156">
        <v>0.42811985321290202</v>
      </c>
      <c r="BX156">
        <v>0</v>
      </c>
      <c r="BY156">
        <v>0</v>
      </c>
      <c r="BZ156">
        <v>0</v>
      </c>
      <c r="CA156">
        <v>0</v>
      </c>
      <c r="CB156">
        <v>-1</v>
      </c>
      <c r="CC156">
        <v>1.6895724999999999</v>
      </c>
      <c r="CD156">
        <v>1.52006300751879</v>
      </c>
      <c r="CE156">
        <v>0.14843857311612099</v>
      </c>
      <c r="CF156">
        <v>0</v>
      </c>
      <c r="CG156">
        <v>0</v>
      </c>
      <c r="CH156">
        <v>2</v>
      </c>
      <c r="CI156" t="s">
        <v>290</v>
      </c>
      <c r="CJ156">
        <v>3.5325199999999999</v>
      </c>
      <c r="CK156">
        <v>2.7012999999999998</v>
      </c>
      <c r="CL156">
        <v>9.8036200000000004E-2</v>
      </c>
      <c r="CM156">
        <v>9.6730099999999999E-2</v>
      </c>
      <c r="CN156">
        <v>9.0021000000000004E-2</v>
      </c>
      <c r="CO156">
        <v>8.1001400000000001E-2</v>
      </c>
      <c r="CP156">
        <v>31629.9</v>
      </c>
      <c r="CQ156">
        <v>27840.1</v>
      </c>
      <c r="CR156">
        <v>32456.7</v>
      </c>
      <c r="CS156">
        <v>30748.7</v>
      </c>
      <c r="CT156">
        <v>39996.1</v>
      </c>
      <c r="CU156">
        <v>39747.5</v>
      </c>
      <c r="CV156">
        <v>47409.1</v>
      </c>
      <c r="CW156">
        <v>46903.5</v>
      </c>
      <c r="CX156">
        <v>2.6229399999999998</v>
      </c>
      <c r="CY156">
        <v>2.1225000000000001</v>
      </c>
      <c r="CZ156">
        <v>0</v>
      </c>
      <c r="DA156">
        <v>0</v>
      </c>
      <c r="DB156">
        <v>999.9</v>
      </c>
      <c r="DC156">
        <v>999.9</v>
      </c>
      <c r="DD156">
        <v>45.811999999999998</v>
      </c>
      <c r="DE156">
        <v>28.841999999999999</v>
      </c>
      <c r="DF156">
        <v>18.206600000000002</v>
      </c>
      <c r="DG156">
        <v>30.34</v>
      </c>
      <c r="DH156">
        <v>16.474399999999999</v>
      </c>
      <c r="DI156">
        <v>2</v>
      </c>
      <c r="DJ156">
        <v>-0.115815</v>
      </c>
      <c r="DK156">
        <v>2.04765</v>
      </c>
      <c r="DL156">
        <v>20.191500000000001</v>
      </c>
      <c r="DM156">
        <v>5.2510700000000003</v>
      </c>
      <c r="DN156">
        <v>12.033899999999999</v>
      </c>
      <c r="DO156">
        <v>4.9673999999999996</v>
      </c>
      <c r="DP156">
        <v>3.2909999999999999</v>
      </c>
      <c r="DQ156">
        <v>538.4</v>
      </c>
      <c r="DR156">
        <v>9999</v>
      </c>
      <c r="DS156">
        <v>9999</v>
      </c>
      <c r="DT156">
        <v>9999</v>
      </c>
      <c r="DU156">
        <v>1.8711</v>
      </c>
      <c r="DV156">
        <v>1.87608</v>
      </c>
      <c r="DW156">
        <v>1.8762700000000001</v>
      </c>
      <c r="DX156">
        <v>1.8827799999999999</v>
      </c>
      <c r="DY156">
        <v>1.8755999999999999</v>
      </c>
      <c r="DZ156">
        <v>1.8746700000000001</v>
      </c>
      <c r="EA156">
        <v>1.87079</v>
      </c>
      <c r="EB156">
        <v>1.87459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-0.75600000000000001</v>
      </c>
      <c r="EQ156">
        <v>8.9800000000000005E-2</v>
      </c>
      <c r="ER156">
        <v>-0.75629999999995301</v>
      </c>
      <c r="ES156">
        <v>0</v>
      </c>
      <c r="ET156">
        <v>0</v>
      </c>
      <c r="EU156">
        <v>0</v>
      </c>
      <c r="EV156">
        <v>8.98000000000021E-2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6.4</v>
      </c>
      <c r="FE156">
        <v>6.3</v>
      </c>
      <c r="FF156">
        <v>1.24512</v>
      </c>
      <c r="FG156">
        <v>2.6037599999999999</v>
      </c>
      <c r="FH156">
        <v>2.19604</v>
      </c>
      <c r="FI156">
        <v>2.65991</v>
      </c>
      <c r="FJ156">
        <v>2.4462899999999999</v>
      </c>
      <c r="FK156">
        <v>2.2949199999999998</v>
      </c>
      <c r="FL156">
        <v>33.065199999999997</v>
      </c>
      <c r="FM156">
        <v>24.14</v>
      </c>
      <c r="FN156">
        <v>19</v>
      </c>
      <c r="FO156">
        <v>866.81</v>
      </c>
      <c r="FP156">
        <v>571.44500000000005</v>
      </c>
      <c r="FQ156">
        <v>17.773599999999998</v>
      </c>
      <c r="FR156">
        <v>25.541699999999999</v>
      </c>
      <c r="FS156">
        <v>29.999700000000001</v>
      </c>
      <c r="FT156">
        <v>25.587499999999999</v>
      </c>
      <c r="FU156">
        <v>25.586099999999998</v>
      </c>
      <c r="FV156">
        <v>24.9907</v>
      </c>
      <c r="FW156">
        <v>26.888400000000001</v>
      </c>
      <c r="FX156">
        <v>17.016300000000001</v>
      </c>
      <c r="FY156">
        <v>17.857800000000001</v>
      </c>
      <c r="FZ156">
        <v>410</v>
      </c>
      <c r="GA156">
        <v>13.917999999999999</v>
      </c>
      <c r="GB156">
        <v>99.890199999999993</v>
      </c>
      <c r="GC156">
        <v>99.838399999999993</v>
      </c>
    </row>
    <row r="157" spans="1:185" x14ac:dyDescent="0.2">
      <c r="A157">
        <v>142</v>
      </c>
      <c r="B157">
        <v>1769203278</v>
      </c>
      <c r="C157">
        <v>3007</v>
      </c>
      <c r="D157" t="s">
        <v>581</v>
      </c>
      <c r="E157" t="s">
        <v>582</v>
      </c>
      <c r="F157">
        <v>15</v>
      </c>
      <c r="G157">
        <v>1769203269.9333301</v>
      </c>
      <c r="H157">
        <f t="shared" si="50"/>
        <v>1.6117052703878648E-3</v>
      </c>
      <c r="I157">
        <v>0</v>
      </c>
      <c r="J157">
        <f t="shared" si="62"/>
        <v>-1.1939425397493993E-2</v>
      </c>
      <c r="K157">
        <f t="shared" si="51"/>
        <v>-0.3077813763333172</v>
      </c>
      <c r="L157">
        <f t="shared" si="52"/>
        <v>73.010376754753992</v>
      </c>
      <c r="M157">
        <f t="shared" si="53"/>
        <v>1.6010125724991171</v>
      </c>
      <c r="N157">
        <f t="shared" si="54"/>
        <v>2.1928561988893844</v>
      </c>
      <c r="O157">
        <v>0</v>
      </c>
      <c r="P157">
        <v>0</v>
      </c>
      <c r="Q157">
        <f t="shared" si="55"/>
        <v>1</v>
      </c>
      <c r="R157">
        <f t="shared" si="56"/>
        <v>0</v>
      </c>
      <c r="S157">
        <f t="shared" si="57"/>
        <v>26261.9104298737</v>
      </c>
      <c r="T157">
        <f t="shared" si="58"/>
        <v>999.99853333333294</v>
      </c>
      <c r="U157">
        <f t="shared" si="59"/>
        <v>842.99877499998297</v>
      </c>
      <c r="V157">
        <f t="shared" si="60"/>
        <v>0.84300001140000003</v>
      </c>
      <c r="W157">
        <f t="shared" si="61"/>
        <v>0.15869998952400002</v>
      </c>
      <c r="X157">
        <v>1</v>
      </c>
      <c r="Y157">
        <v>1769203269.9333301</v>
      </c>
      <c r="Z157">
        <v>409.59826666666697</v>
      </c>
      <c r="AA157">
        <v>410.03873333333303</v>
      </c>
      <c r="AB157">
        <v>15.957560000000001</v>
      </c>
      <c r="AC157">
        <v>13.975059999999999</v>
      </c>
      <c r="AD157">
        <v>410.354733333333</v>
      </c>
      <c r="AE157">
        <v>15.867760000000001</v>
      </c>
      <c r="AF157">
        <v>799.99313333333305</v>
      </c>
      <c r="AG157">
        <v>100.265933333333</v>
      </c>
      <c r="AH157">
        <v>6.3476206666666701E-2</v>
      </c>
      <c r="AI157">
        <v>18.910219999999999</v>
      </c>
      <c r="AJ157">
        <v>999.9</v>
      </c>
      <c r="AK157">
        <v>999.9</v>
      </c>
      <c r="AL157">
        <v>0</v>
      </c>
      <c r="AM157">
        <v>0</v>
      </c>
      <c r="AN157">
        <v>4993.7333333333299</v>
      </c>
      <c r="AO157">
        <v>0</v>
      </c>
      <c r="AP157">
        <v>1.5244200000000001</v>
      </c>
      <c r="AQ157">
        <v>-0.440264933333333</v>
      </c>
      <c r="AR157">
        <v>416.24046666666698</v>
      </c>
      <c r="AS157">
        <v>415.85019999999997</v>
      </c>
      <c r="AT157">
        <v>1.98248466666667</v>
      </c>
      <c r="AU157">
        <v>410.03873333333303</v>
      </c>
      <c r="AV157">
        <v>13.975059999999999</v>
      </c>
      <c r="AW157">
        <v>1.5999953333333301</v>
      </c>
      <c r="AX157">
        <v>1.40122066666667</v>
      </c>
      <c r="AY157">
        <v>13.958679999999999</v>
      </c>
      <c r="AZ157">
        <v>11.9305133333333</v>
      </c>
      <c r="BA157">
        <v>999.99853333333294</v>
      </c>
      <c r="BB157">
        <v>0.90000020000000003</v>
      </c>
      <c r="BC157">
        <v>0</v>
      </c>
      <c r="BD157">
        <v>9.9999820000000003E-2</v>
      </c>
      <c r="BE157">
        <v>0</v>
      </c>
      <c r="BF157">
        <v>24</v>
      </c>
      <c r="BG157">
        <v>16488.793333333299</v>
      </c>
      <c r="BH157">
        <v>1769202886</v>
      </c>
      <c r="BI157" t="s">
        <v>546</v>
      </c>
      <c r="BJ157">
        <v>1769202878</v>
      </c>
      <c r="BK157">
        <v>1769202886</v>
      </c>
      <c r="BL157">
        <v>17</v>
      </c>
      <c r="BM157">
        <v>-1.2999999999999999E-2</v>
      </c>
      <c r="BN157">
        <v>1.9E-2</v>
      </c>
      <c r="BO157">
        <v>-0.75600000000000001</v>
      </c>
      <c r="BP157">
        <v>0.09</v>
      </c>
      <c r="BQ157">
        <v>410</v>
      </c>
      <c r="BR157">
        <v>15</v>
      </c>
      <c r="BS157">
        <v>0.39</v>
      </c>
      <c r="BT157">
        <v>0.03</v>
      </c>
      <c r="BU157">
        <v>-0.320795028571429</v>
      </c>
      <c r="BV157">
        <v>-1.8258275298701301</v>
      </c>
      <c r="BW157">
        <v>0.18713558026499999</v>
      </c>
      <c r="BX157">
        <v>0</v>
      </c>
      <c r="BY157">
        <v>0</v>
      </c>
      <c r="BZ157">
        <v>0</v>
      </c>
      <c r="CA157">
        <v>0</v>
      </c>
      <c r="CB157">
        <v>-1</v>
      </c>
      <c r="CC157">
        <v>1.93859238095238</v>
      </c>
      <c r="CD157">
        <v>0.66381818181818097</v>
      </c>
      <c r="CE157">
        <v>6.7537332949636902E-2</v>
      </c>
      <c r="CF157">
        <v>0</v>
      </c>
      <c r="CG157">
        <v>0</v>
      </c>
      <c r="CH157">
        <v>2</v>
      </c>
      <c r="CI157" t="s">
        <v>290</v>
      </c>
      <c r="CJ157">
        <v>3.5325000000000002</v>
      </c>
      <c r="CK157">
        <v>2.7014</v>
      </c>
      <c r="CL157">
        <v>9.7980700000000004E-2</v>
      </c>
      <c r="CM157">
        <v>9.6727199999999999E-2</v>
      </c>
      <c r="CN157">
        <v>8.9204699999999998E-2</v>
      </c>
      <c r="CO157">
        <v>7.9537399999999994E-2</v>
      </c>
      <c r="CP157">
        <v>31631.4</v>
      </c>
      <c r="CQ157">
        <v>27840.9</v>
      </c>
      <c r="CR157">
        <v>32456.2</v>
      </c>
      <c r="CS157">
        <v>30749.5</v>
      </c>
      <c r="CT157">
        <v>40032.300000000003</v>
      </c>
      <c r="CU157">
        <v>39813.4</v>
      </c>
      <c r="CV157">
        <v>47408.2</v>
      </c>
      <c r="CW157">
        <v>46904.5</v>
      </c>
      <c r="CX157">
        <v>2.6233200000000001</v>
      </c>
      <c r="CY157">
        <v>2.1219800000000002</v>
      </c>
      <c r="CZ157">
        <v>0</v>
      </c>
      <c r="DA157">
        <v>0</v>
      </c>
      <c r="DB157">
        <v>999.9</v>
      </c>
      <c r="DC157">
        <v>999.9</v>
      </c>
      <c r="DD157">
        <v>45.787999999999997</v>
      </c>
      <c r="DE157">
        <v>28.841999999999999</v>
      </c>
      <c r="DF157">
        <v>18.197700000000001</v>
      </c>
      <c r="DG157">
        <v>30.37</v>
      </c>
      <c r="DH157">
        <v>16.450299999999999</v>
      </c>
      <c r="DI157">
        <v>2</v>
      </c>
      <c r="DJ157">
        <v>-0.116803</v>
      </c>
      <c r="DK157">
        <v>1.8938699999999999</v>
      </c>
      <c r="DL157">
        <v>20.1934</v>
      </c>
      <c r="DM157">
        <v>5.2501199999999999</v>
      </c>
      <c r="DN157">
        <v>12.033899999999999</v>
      </c>
      <c r="DO157">
        <v>4.9669999999999996</v>
      </c>
      <c r="DP157">
        <v>3.2909999999999999</v>
      </c>
      <c r="DQ157">
        <v>538.4</v>
      </c>
      <c r="DR157">
        <v>9999</v>
      </c>
      <c r="DS157">
        <v>9999</v>
      </c>
      <c r="DT157">
        <v>9999</v>
      </c>
      <c r="DU157">
        <v>1.8711199999999999</v>
      </c>
      <c r="DV157">
        <v>1.87608</v>
      </c>
      <c r="DW157">
        <v>1.8763099999999999</v>
      </c>
      <c r="DX157">
        <v>1.8827799999999999</v>
      </c>
      <c r="DY157">
        <v>1.8755999999999999</v>
      </c>
      <c r="DZ157">
        <v>1.8746799999999999</v>
      </c>
      <c r="EA157">
        <v>1.8708499999999999</v>
      </c>
      <c r="EB157">
        <v>1.8746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-0.75600000000000001</v>
      </c>
      <c r="EQ157">
        <v>8.9800000000000005E-2</v>
      </c>
      <c r="ER157">
        <v>-0.75629999999995301</v>
      </c>
      <c r="ES157">
        <v>0</v>
      </c>
      <c r="ET157">
        <v>0</v>
      </c>
      <c r="EU157">
        <v>0</v>
      </c>
      <c r="EV157">
        <v>8.98000000000021E-2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6.7</v>
      </c>
      <c r="FE157">
        <v>6.5</v>
      </c>
      <c r="FF157">
        <v>1.24512</v>
      </c>
      <c r="FG157">
        <v>2.6135299999999999</v>
      </c>
      <c r="FH157">
        <v>2.19604</v>
      </c>
      <c r="FI157">
        <v>2.66113</v>
      </c>
      <c r="FJ157">
        <v>2.4462899999999999</v>
      </c>
      <c r="FK157">
        <v>2.2570800000000002</v>
      </c>
      <c r="FL157">
        <v>33.065199999999997</v>
      </c>
      <c r="FM157">
        <v>24.1313</v>
      </c>
      <c r="FN157">
        <v>19</v>
      </c>
      <c r="FO157">
        <v>867.01900000000001</v>
      </c>
      <c r="FP157">
        <v>570.96299999999997</v>
      </c>
      <c r="FQ157">
        <v>17.9773</v>
      </c>
      <c r="FR157">
        <v>25.532699999999998</v>
      </c>
      <c r="FS157">
        <v>29.9998</v>
      </c>
      <c r="FT157">
        <v>25.578399999999998</v>
      </c>
      <c r="FU157">
        <v>25.578399999999998</v>
      </c>
      <c r="FV157">
        <v>24.986000000000001</v>
      </c>
      <c r="FW157">
        <v>28.103899999999999</v>
      </c>
      <c r="FX157">
        <v>16.643699999999999</v>
      </c>
      <c r="FY157">
        <v>18.043600000000001</v>
      </c>
      <c r="FZ157">
        <v>410</v>
      </c>
      <c r="GA157">
        <v>13.6699</v>
      </c>
      <c r="GB157">
        <v>99.888499999999993</v>
      </c>
      <c r="GC157">
        <v>99.840699999999998</v>
      </c>
    </row>
    <row r="158" spans="1:185" x14ac:dyDescent="0.2">
      <c r="A158">
        <v>143</v>
      </c>
      <c r="B158">
        <v>1769203293</v>
      </c>
      <c r="C158">
        <v>3022</v>
      </c>
      <c r="D158" t="s">
        <v>583</v>
      </c>
      <c r="E158" t="s">
        <v>584</v>
      </c>
      <c r="F158">
        <v>15</v>
      </c>
      <c r="G158">
        <v>1769203284.9333301</v>
      </c>
      <c r="H158">
        <f t="shared" si="50"/>
        <v>1.6814281039514046E-3</v>
      </c>
      <c r="I158">
        <v>0</v>
      </c>
      <c r="J158">
        <f t="shared" si="62"/>
        <v>-6.4883349100376972E-3</v>
      </c>
      <c r="K158">
        <f t="shared" si="51"/>
        <v>-0.16726002987899796</v>
      </c>
      <c r="L158">
        <f t="shared" si="52"/>
        <v>72.103023103715671</v>
      </c>
      <c r="M158">
        <f t="shared" si="53"/>
        <v>1.5834386779438641</v>
      </c>
      <c r="N158">
        <f t="shared" si="54"/>
        <v>2.1960780696617768</v>
      </c>
      <c r="O158">
        <v>0</v>
      </c>
      <c r="P158">
        <v>0</v>
      </c>
      <c r="Q158">
        <f t="shared" si="55"/>
        <v>1</v>
      </c>
      <c r="R158">
        <f t="shared" si="56"/>
        <v>0</v>
      </c>
      <c r="S158">
        <f t="shared" si="57"/>
        <v>26323.637411926993</v>
      </c>
      <c r="T158">
        <f t="shared" si="58"/>
        <v>999.99733333333302</v>
      </c>
      <c r="U158">
        <f t="shared" si="59"/>
        <v>842.99775199999942</v>
      </c>
      <c r="V158">
        <f t="shared" si="60"/>
        <v>0.84299999999999964</v>
      </c>
      <c r="W158">
        <f t="shared" si="61"/>
        <v>0.15869987007999994</v>
      </c>
      <c r="X158">
        <v>1</v>
      </c>
      <c r="Y158">
        <v>1769203284.9333301</v>
      </c>
      <c r="Z158">
        <v>409.37033333333301</v>
      </c>
      <c r="AA158">
        <v>410.02166666666699</v>
      </c>
      <c r="AB158">
        <v>15.7825133333333</v>
      </c>
      <c r="AC158">
        <v>13.713900000000001</v>
      </c>
      <c r="AD158">
        <v>410.12673333333299</v>
      </c>
      <c r="AE158">
        <v>15.6927133333333</v>
      </c>
      <c r="AF158">
        <v>800.000133333333</v>
      </c>
      <c r="AG158">
        <v>100.265133333333</v>
      </c>
      <c r="AH158">
        <v>6.3543379999999997E-2</v>
      </c>
      <c r="AI158">
        <v>18.933733333333301</v>
      </c>
      <c r="AJ158">
        <v>999.9</v>
      </c>
      <c r="AK158">
        <v>999.9</v>
      </c>
      <c r="AL158">
        <v>0</v>
      </c>
      <c r="AM158">
        <v>0</v>
      </c>
      <c r="AN158">
        <v>5004.2666666666701</v>
      </c>
      <c r="AO158">
        <v>0</v>
      </c>
      <c r="AP158">
        <v>1.5244200000000001</v>
      </c>
      <c r="AQ158">
        <v>-0.65107619999999999</v>
      </c>
      <c r="AR158">
        <v>415.93493333333299</v>
      </c>
      <c r="AS158">
        <v>415.72266666666701</v>
      </c>
      <c r="AT158">
        <v>2.0686179999999998</v>
      </c>
      <c r="AU158">
        <v>410.02166666666699</v>
      </c>
      <c r="AV158">
        <v>13.713900000000001</v>
      </c>
      <c r="AW158">
        <v>1.5824353333333301</v>
      </c>
      <c r="AX158">
        <v>1.37502533333333</v>
      </c>
      <c r="AY158">
        <v>13.78876</v>
      </c>
      <c r="AZ158">
        <v>11.6448866666667</v>
      </c>
      <c r="BA158">
        <v>999.99733333333302</v>
      </c>
      <c r="BB158">
        <v>0.900001933333333</v>
      </c>
      <c r="BC158">
        <v>0</v>
      </c>
      <c r="BD158">
        <v>9.9998133333333294E-2</v>
      </c>
      <c r="BE158">
        <v>0</v>
      </c>
      <c r="BF158">
        <v>24</v>
      </c>
      <c r="BG158">
        <v>16488.766666666699</v>
      </c>
      <c r="BH158">
        <v>1769202886</v>
      </c>
      <c r="BI158" t="s">
        <v>546</v>
      </c>
      <c r="BJ158">
        <v>1769202878</v>
      </c>
      <c r="BK158">
        <v>1769202886</v>
      </c>
      <c r="BL158">
        <v>17</v>
      </c>
      <c r="BM158">
        <v>-1.2999999999999999E-2</v>
      </c>
      <c r="BN158">
        <v>1.9E-2</v>
      </c>
      <c r="BO158">
        <v>-0.75600000000000001</v>
      </c>
      <c r="BP158">
        <v>0.09</v>
      </c>
      <c r="BQ158">
        <v>410</v>
      </c>
      <c r="BR158">
        <v>15</v>
      </c>
      <c r="BS158">
        <v>0.39</v>
      </c>
      <c r="BT158">
        <v>0.03</v>
      </c>
      <c r="BU158">
        <v>-0.61758575000000004</v>
      </c>
      <c r="BV158">
        <v>-0.55291628571428597</v>
      </c>
      <c r="BW158">
        <v>5.5218125443440201E-2</v>
      </c>
      <c r="BX158">
        <v>0</v>
      </c>
      <c r="BY158">
        <v>0</v>
      </c>
      <c r="BZ158">
        <v>0</v>
      </c>
      <c r="CA158">
        <v>0</v>
      </c>
      <c r="CB158">
        <v>-1</v>
      </c>
      <c r="CC158">
        <v>2.056117</v>
      </c>
      <c r="CD158">
        <v>0.169449924812026</v>
      </c>
      <c r="CE158">
        <v>2.1311197784263498E-2</v>
      </c>
      <c r="CF158">
        <v>0</v>
      </c>
      <c r="CG158">
        <v>0</v>
      </c>
      <c r="CH158">
        <v>2</v>
      </c>
      <c r="CI158" t="s">
        <v>290</v>
      </c>
      <c r="CJ158">
        <v>3.5326</v>
      </c>
      <c r="CK158">
        <v>2.7015099999999999</v>
      </c>
      <c r="CL158">
        <v>9.7945099999999993E-2</v>
      </c>
      <c r="CM158">
        <v>9.6721799999999997E-2</v>
      </c>
      <c r="CN158">
        <v>8.8580599999999995E-2</v>
      </c>
      <c r="CO158">
        <v>7.8796000000000005E-2</v>
      </c>
      <c r="CP158">
        <v>31632.7</v>
      </c>
      <c r="CQ158">
        <v>27841.1</v>
      </c>
      <c r="CR158">
        <v>32456.3</v>
      </c>
      <c r="CS158">
        <v>30749.4</v>
      </c>
      <c r="CT158">
        <v>40060.9</v>
      </c>
      <c r="CU158">
        <v>39846.199999999997</v>
      </c>
      <c r="CV158">
        <v>47408.6</v>
      </c>
      <c r="CW158">
        <v>46904.4</v>
      </c>
      <c r="CX158">
        <v>2.6233</v>
      </c>
      <c r="CY158">
        <v>2.1215199999999999</v>
      </c>
      <c r="CZ158">
        <v>0</v>
      </c>
      <c r="DA158">
        <v>0</v>
      </c>
      <c r="DB158">
        <v>999.9</v>
      </c>
      <c r="DC158">
        <v>999.9</v>
      </c>
      <c r="DD158">
        <v>45.750999999999998</v>
      </c>
      <c r="DE158">
        <v>28.852</v>
      </c>
      <c r="DF158">
        <v>18.195799999999998</v>
      </c>
      <c r="DG158">
        <v>30.1</v>
      </c>
      <c r="DH158">
        <v>16.330100000000002</v>
      </c>
      <c r="DI158">
        <v>2</v>
      </c>
      <c r="DJ158">
        <v>-0.117327</v>
      </c>
      <c r="DK158">
        <v>1.83409</v>
      </c>
      <c r="DL158">
        <v>20.194099999999999</v>
      </c>
      <c r="DM158">
        <v>5.2507099999999998</v>
      </c>
      <c r="DN158">
        <v>12.033899999999999</v>
      </c>
      <c r="DO158">
        <v>4.9674800000000001</v>
      </c>
      <c r="DP158">
        <v>3.2909999999999999</v>
      </c>
      <c r="DQ158">
        <v>538.4</v>
      </c>
      <c r="DR158">
        <v>9999</v>
      </c>
      <c r="DS158">
        <v>9999</v>
      </c>
      <c r="DT158">
        <v>9999</v>
      </c>
      <c r="DU158">
        <v>1.8711500000000001</v>
      </c>
      <c r="DV158">
        <v>1.87612</v>
      </c>
      <c r="DW158">
        <v>1.87632</v>
      </c>
      <c r="DX158">
        <v>1.88279</v>
      </c>
      <c r="DY158">
        <v>1.8755999999999999</v>
      </c>
      <c r="DZ158">
        <v>1.8746799999999999</v>
      </c>
      <c r="EA158">
        <v>1.87086</v>
      </c>
      <c r="EB158">
        <v>1.8746100000000001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-0.75600000000000001</v>
      </c>
      <c r="EQ158">
        <v>8.9800000000000005E-2</v>
      </c>
      <c r="ER158">
        <v>-0.75629999999995301</v>
      </c>
      <c r="ES158">
        <v>0</v>
      </c>
      <c r="ET158">
        <v>0</v>
      </c>
      <c r="EU158">
        <v>0</v>
      </c>
      <c r="EV158">
        <v>8.98000000000021E-2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6.9</v>
      </c>
      <c r="FE158">
        <v>6.8</v>
      </c>
      <c r="FF158">
        <v>1.24512</v>
      </c>
      <c r="FG158">
        <v>2.6147499999999999</v>
      </c>
      <c r="FH158">
        <v>2.19604</v>
      </c>
      <c r="FI158">
        <v>2.66113</v>
      </c>
      <c r="FJ158">
        <v>2.4462899999999999</v>
      </c>
      <c r="FK158">
        <v>2.2985799999999998</v>
      </c>
      <c r="FL158">
        <v>33.042900000000003</v>
      </c>
      <c r="FM158">
        <v>24.1313</v>
      </c>
      <c r="FN158">
        <v>19</v>
      </c>
      <c r="FO158">
        <v>866.86900000000003</v>
      </c>
      <c r="FP158">
        <v>570.53399999999999</v>
      </c>
      <c r="FQ158">
        <v>18.137599999999999</v>
      </c>
      <c r="FR158">
        <v>25.525400000000001</v>
      </c>
      <c r="FS158">
        <v>29.9998</v>
      </c>
      <c r="FT158">
        <v>25.5703</v>
      </c>
      <c r="FU158">
        <v>25.571100000000001</v>
      </c>
      <c r="FV158">
        <v>24.983799999999999</v>
      </c>
      <c r="FW158">
        <v>28.9969</v>
      </c>
      <c r="FX158">
        <v>16.643699999999999</v>
      </c>
      <c r="FY158">
        <v>18.178599999999999</v>
      </c>
      <c r="FZ158">
        <v>410</v>
      </c>
      <c r="GA158">
        <v>13.5025</v>
      </c>
      <c r="GB158">
        <v>99.888999999999996</v>
      </c>
      <c r="GC158">
        <v>99.840599999999995</v>
      </c>
    </row>
    <row r="159" spans="1:185" x14ac:dyDescent="0.2">
      <c r="A159">
        <v>144</v>
      </c>
      <c r="B159">
        <v>1769203308</v>
      </c>
      <c r="C159">
        <v>3037</v>
      </c>
      <c r="D159" t="s">
        <v>585</v>
      </c>
      <c r="E159" t="s">
        <v>586</v>
      </c>
      <c r="F159">
        <v>15</v>
      </c>
      <c r="G159">
        <v>1769203299.9333301</v>
      </c>
      <c r="H159">
        <f t="shared" si="50"/>
        <v>1.7044050880877597E-3</v>
      </c>
      <c r="I159">
        <v>0</v>
      </c>
      <c r="J159">
        <f t="shared" si="62"/>
        <v>-4.0611792067465451E-3</v>
      </c>
      <c r="K159">
        <f t="shared" si="51"/>
        <v>-0.10469141388086051</v>
      </c>
      <c r="L159">
        <f t="shared" si="52"/>
        <v>71.340869456353389</v>
      </c>
      <c r="M159">
        <f t="shared" si="53"/>
        <v>1.5697778784743626</v>
      </c>
      <c r="N159">
        <f t="shared" si="54"/>
        <v>2.2003907303579453</v>
      </c>
      <c r="O159">
        <v>0</v>
      </c>
      <c r="P159">
        <v>0</v>
      </c>
      <c r="Q159">
        <f t="shared" si="55"/>
        <v>1</v>
      </c>
      <c r="R159">
        <f t="shared" si="56"/>
        <v>0</v>
      </c>
      <c r="S159">
        <f t="shared" si="57"/>
        <v>26288.661860079916</v>
      </c>
      <c r="T159">
        <f t="shared" si="58"/>
        <v>999.99826666666695</v>
      </c>
      <c r="U159">
        <f t="shared" si="59"/>
        <v>842.99825320049558</v>
      </c>
      <c r="V159">
        <f t="shared" si="60"/>
        <v>0.84299971440000032</v>
      </c>
      <c r="W159">
        <f t="shared" si="61"/>
        <v>0.15869957182400007</v>
      </c>
      <c r="X159">
        <v>1</v>
      </c>
      <c r="Y159">
        <v>1769203299.9333301</v>
      </c>
      <c r="Z159">
        <v>409.261866666667</v>
      </c>
      <c r="AA159">
        <v>410.00293333333298</v>
      </c>
      <c r="AB159">
        <v>15.646433333333301</v>
      </c>
      <c r="AC159">
        <v>13.5492733333333</v>
      </c>
      <c r="AD159">
        <v>410.01799999999997</v>
      </c>
      <c r="AE159">
        <v>15.5566333333333</v>
      </c>
      <c r="AF159">
        <v>800.00440000000003</v>
      </c>
      <c r="AG159">
        <v>100.264666666667</v>
      </c>
      <c r="AH159">
        <v>6.3494073333333303E-2</v>
      </c>
      <c r="AI159">
        <v>18.965160000000001</v>
      </c>
      <c r="AJ159">
        <v>999.9</v>
      </c>
      <c r="AK159">
        <v>999.9</v>
      </c>
      <c r="AL159">
        <v>0</v>
      </c>
      <c r="AM159">
        <v>0</v>
      </c>
      <c r="AN159">
        <v>4999</v>
      </c>
      <c r="AO159">
        <v>0</v>
      </c>
      <c r="AP159">
        <v>1.5244200000000001</v>
      </c>
      <c r="AQ159">
        <v>-0.74097493333333297</v>
      </c>
      <c r="AR159">
        <v>415.76706666666701</v>
      </c>
      <c r="AS159">
        <v>415.63426666666697</v>
      </c>
      <c r="AT159">
        <v>2.0971579999999999</v>
      </c>
      <c r="AU159">
        <v>410.00293333333298</v>
      </c>
      <c r="AV159">
        <v>13.5492733333333</v>
      </c>
      <c r="AW159">
        <v>1.5687833333333301</v>
      </c>
      <c r="AX159">
        <v>1.3585133333333299</v>
      </c>
      <c r="AY159">
        <v>13.65554</v>
      </c>
      <c r="AZ159">
        <v>11.4622733333333</v>
      </c>
      <c r="BA159">
        <v>999.99826666666695</v>
      </c>
      <c r="BB159">
        <v>0.90000526666666703</v>
      </c>
      <c r="BC159">
        <v>0</v>
      </c>
      <c r="BD159">
        <v>9.9994586666666704E-2</v>
      </c>
      <c r="BE159">
        <v>0</v>
      </c>
      <c r="BF159">
        <v>24</v>
      </c>
      <c r="BG159">
        <v>16488.8066666667</v>
      </c>
      <c r="BH159">
        <v>1769202886</v>
      </c>
      <c r="BI159" t="s">
        <v>546</v>
      </c>
      <c r="BJ159">
        <v>1769202878</v>
      </c>
      <c r="BK159">
        <v>1769202886</v>
      </c>
      <c r="BL159">
        <v>17</v>
      </c>
      <c r="BM159">
        <v>-1.2999999999999999E-2</v>
      </c>
      <c r="BN159">
        <v>1.9E-2</v>
      </c>
      <c r="BO159">
        <v>-0.75600000000000001</v>
      </c>
      <c r="BP159">
        <v>0.09</v>
      </c>
      <c r="BQ159">
        <v>410</v>
      </c>
      <c r="BR159">
        <v>15</v>
      </c>
      <c r="BS159">
        <v>0.39</v>
      </c>
      <c r="BT159">
        <v>0.03</v>
      </c>
      <c r="BU159">
        <v>-0.72831270000000004</v>
      </c>
      <c r="BV159">
        <v>-0.24453094736842099</v>
      </c>
      <c r="BW159">
        <v>3.4810164864734601E-2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2.0922204999999998</v>
      </c>
      <c r="CD159">
        <v>4.3306015037597699E-2</v>
      </c>
      <c r="CE159">
        <v>1.29140862917204E-2</v>
      </c>
      <c r="CF159">
        <v>1</v>
      </c>
      <c r="CG159">
        <v>2</v>
      </c>
      <c r="CH159">
        <v>2</v>
      </c>
      <c r="CI159" t="s">
        <v>297</v>
      </c>
      <c r="CJ159">
        <v>3.5324499999999999</v>
      </c>
      <c r="CK159">
        <v>2.70126</v>
      </c>
      <c r="CL159">
        <v>9.7939499999999999E-2</v>
      </c>
      <c r="CM159">
        <v>9.6731800000000007E-2</v>
      </c>
      <c r="CN159">
        <v>8.8031100000000001E-2</v>
      </c>
      <c r="CO159">
        <v>7.82775E-2</v>
      </c>
      <c r="CP159">
        <v>31633.8</v>
      </c>
      <c r="CQ159">
        <v>27840.400000000001</v>
      </c>
      <c r="CR159">
        <v>32457.200000000001</v>
      </c>
      <c r="CS159">
        <v>30749</v>
      </c>
      <c r="CT159">
        <v>40086.800000000003</v>
      </c>
      <c r="CU159">
        <v>39869.300000000003</v>
      </c>
      <c r="CV159">
        <v>47409.7</v>
      </c>
      <c r="CW159">
        <v>46904.4</v>
      </c>
      <c r="CX159">
        <v>2.6234799999999998</v>
      </c>
      <c r="CY159">
        <v>2.1213600000000001</v>
      </c>
      <c r="CZ159">
        <v>0</v>
      </c>
      <c r="DA159">
        <v>0</v>
      </c>
      <c r="DB159">
        <v>999.9</v>
      </c>
      <c r="DC159">
        <v>999.9</v>
      </c>
      <c r="DD159">
        <v>45.69</v>
      </c>
      <c r="DE159">
        <v>28.841999999999999</v>
      </c>
      <c r="DF159">
        <v>18.159600000000001</v>
      </c>
      <c r="DG159">
        <v>29.98</v>
      </c>
      <c r="DH159">
        <v>16.402200000000001</v>
      </c>
      <c r="DI159">
        <v>2</v>
      </c>
      <c r="DJ159">
        <v>-0.11763800000000001</v>
      </c>
      <c r="DK159">
        <v>1.8665700000000001</v>
      </c>
      <c r="DL159">
        <v>20.1937</v>
      </c>
      <c r="DM159">
        <v>5.25143</v>
      </c>
      <c r="DN159">
        <v>12.033899999999999</v>
      </c>
      <c r="DO159">
        <v>4.9673999999999996</v>
      </c>
      <c r="DP159">
        <v>3.2909999999999999</v>
      </c>
      <c r="DQ159">
        <v>538.4</v>
      </c>
      <c r="DR159">
        <v>9999</v>
      </c>
      <c r="DS159">
        <v>9999</v>
      </c>
      <c r="DT159">
        <v>9999</v>
      </c>
      <c r="DU159">
        <v>1.87117</v>
      </c>
      <c r="DV159">
        <v>1.87612</v>
      </c>
      <c r="DW159">
        <v>1.87635</v>
      </c>
      <c r="DX159">
        <v>1.8828</v>
      </c>
      <c r="DY159">
        <v>1.87561</v>
      </c>
      <c r="DZ159">
        <v>1.87469</v>
      </c>
      <c r="EA159">
        <v>1.87086</v>
      </c>
      <c r="EB159">
        <v>1.8746400000000001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-0.75600000000000001</v>
      </c>
      <c r="EQ159">
        <v>8.9800000000000005E-2</v>
      </c>
      <c r="ER159">
        <v>-0.75629999999995301</v>
      </c>
      <c r="ES159">
        <v>0</v>
      </c>
      <c r="ET159">
        <v>0</v>
      </c>
      <c r="EU159">
        <v>0</v>
      </c>
      <c r="EV159">
        <v>8.98000000000021E-2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7.2</v>
      </c>
      <c r="FE159">
        <v>7</v>
      </c>
      <c r="FF159">
        <v>1.24512</v>
      </c>
      <c r="FG159">
        <v>2.6086399999999998</v>
      </c>
      <c r="FH159">
        <v>2.19604</v>
      </c>
      <c r="FI159">
        <v>2.66113</v>
      </c>
      <c r="FJ159">
        <v>2.4462899999999999</v>
      </c>
      <c r="FK159">
        <v>2.3095699999999999</v>
      </c>
      <c r="FL159">
        <v>33.042900000000003</v>
      </c>
      <c r="FM159">
        <v>24.14</v>
      </c>
      <c r="FN159">
        <v>19</v>
      </c>
      <c r="FO159">
        <v>866.92600000000004</v>
      </c>
      <c r="FP159">
        <v>570.34100000000001</v>
      </c>
      <c r="FQ159">
        <v>18.235700000000001</v>
      </c>
      <c r="FR159">
        <v>25.5185</v>
      </c>
      <c r="FS159">
        <v>30</v>
      </c>
      <c r="FT159">
        <v>25.563400000000001</v>
      </c>
      <c r="FU159">
        <v>25.564699999999998</v>
      </c>
      <c r="FV159">
        <v>24.9831</v>
      </c>
      <c r="FW159">
        <v>29.272600000000001</v>
      </c>
      <c r="FX159">
        <v>16.2683</v>
      </c>
      <c r="FY159">
        <v>18.246500000000001</v>
      </c>
      <c r="FZ159">
        <v>410</v>
      </c>
      <c r="GA159">
        <v>13.426299999999999</v>
      </c>
      <c r="GB159">
        <v>99.891599999999997</v>
      </c>
      <c r="GC159">
        <v>99.84</v>
      </c>
    </row>
    <row r="160" spans="1:185" x14ac:dyDescent="0.2">
      <c r="A160">
        <v>145</v>
      </c>
      <c r="B160">
        <v>1769203323</v>
      </c>
      <c r="C160">
        <v>3052</v>
      </c>
      <c r="D160" t="s">
        <v>587</v>
      </c>
      <c r="E160" t="s">
        <v>588</v>
      </c>
      <c r="F160">
        <v>15</v>
      </c>
      <c r="G160">
        <v>1769203314.9333301</v>
      </c>
      <c r="H160">
        <f t="shared" si="50"/>
        <v>1.6930881630606038E-3</v>
      </c>
      <c r="I160">
        <v>0</v>
      </c>
      <c r="J160">
        <f t="shared" si="62"/>
        <v>-2.1182781978443203E-3</v>
      </c>
      <c r="K160">
        <f t="shared" si="51"/>
        <v>-5.4606193973641914E-2</v>
      </c>
      <c r="L160">
        <f t="shared" si="52"/>
        <v>70.710330762781339</v>
      </c>
      <c r="M160">
        <f t="shared" si="53"/>
        <v>1.5593507392285253</v>
      </c>
      <c r="N160">
        <f t="shared" si="54"/>
        <v>2.2052657969594676</v>
      </c>
      <c r="O160">
        <v>0</v>
      </c>
      <c r="P160">
        <v>0</v>
      </c>
      <c r="Q160">
        <f t="shared" si="55"/>
        <v>1</v>
      </c>
      <c r="R160">
        <f t="shared" si="56"/>
        <v>0</v>
      </c>
      <c r="S160">
        <f t="shared" si="57"/>
        <v>26275.892312617685</v>
      </c>
      <c r="T160">
        <f t="shared" si="58"/>
        <v>999.9982</v>
      </c>
      <c r="U160">
        <f t="shared" si="59"/>
        <v>842.99822680046009</v>
      </c>
      <c r="V160">
        <f t="shared" si="60"/>
        <v>0.84299974419999968</v>
      </c>
      <c r="W160">
        <f t="shared" si="61"/>
        <v>0.15869937349199995</v>
      </c>
      <c r="X160">
        <v>1</v>
      </c>
      <c r="Y160">
        <v>1769203314.9333301</v>
      </c>
      <c r="Z160">
        <v>409.22399999999999</v>
      </c>
      <c r="AA160">
        <v>410.02179999999998</v>
      </c>
      <c r="AB160">
        <v>15.54252</v>
      </c>
      <c r="AC160">
        <v>13.459073333333301</v>
      </c>
      <c r="AD160">
        <v>409.98020000000002</v>
      </c>
      <c r="AE160">
        <v>15.452719999999999</v>
      </c>
      <c r="AF160">
        <v>800.00766666666698</v>
      </c>
      <c r="AG160">
        <v>100.264466666667</v>
      </c>
      <c r="AH160">
        <v>6.3584333333333298E-2</v>
      </c>
      <c r="AI160">
        <v>19.000620000000001</v>
      </c>
      <c r="AJ160">
        <v>999.9</v>
      </c>
      <c r="AK160">
        <v>999.9</v>
      </c>
      <c r="AL160">
        <v>0</v>
      </c>
      <c r="AM160">
        <v>0</v>
      </c>
      <c r="AN160">
        <v>4997.4333333333298</v>
      </c>
      <c r="AO160">
        <v>0</v>
      </c>
      <c r="AP160">
        <v>1.5244200000000001</v>
      </c>
      <c r="AQ160">
        <v>-0.79794106666666698</v>
      </c>
      <c r="AR160">
        <v>415.6848</v>
      </c>
      <c r="AS160">
        <v>415.61566666666698</v>
      </c>
      <c r="AT160">
        <v>2.08345</v>
      </c>
      <c r="AU160">
        <v>410.02179999999998</v>
      </c>
      <c r="AV160">
        <v>13.459073333333301</v>
      </c>
      <c r="AW160">
        <v>1.5583626666666699</v>
      </c>
      <c r="AX160">
        <v>1.34946733333333</v>
      </c>
      <c r="AY160">
        <v>13.5531333333333</v>
      </c>
      <c r="AZ160">
        <v>11.3613866666667</v>
      </c>
      <c r="BA160">
        <v>999.9982</v>
      </c>
      <c r="BB160">
        <v>0.90000833333333297</v>
      </c>
      <c r="BC160">
        <v>0</v>
      </c>
      <c r="BD160">
        <v>9.9991659999999996E-2</v>
      </c>
      <c r="BE160">
        <v>0</v>
      </c>
      <c r="BF160">
        <v>24</v>
      </c>
      <c r="BG160">
        <v>16488.8</v>
      </c>
      <c r="BH160">
        <v>1769202886</v>
      </c>
      <c r="BI160" t="s">
        <v>546</v>
      </c>
      <c r="BJ160">
        <v>1769202878</v>
      </c>
      <c r="BK160">
        <v>1769202886</v>
      </c>
      <c r="BL160">
        <v>17</v>
      </c>
      <c r="BM160">
        <v>-1.2999999999999999E-2</v>
      </c>
      <c r="BN160">
        <v>1.9E-2</v>
      </c>
      <c r="BO160">
        <v>-0.75600000000000001</v>
      </c>
      <c r="BP160">
        <v>0.09</v>
      </c>
      <c r="BQ160">
        <v>410</v>
      </c>
      <c r="BR160">
        <v>15</v>
      </c>
      <c r="BS160">
        <v>0.39</v>
      </c>
      <c r="BT160">
        <v>0.03</v>
      </c>
      <c r="BU160">
        <v>-0.78479920000000003</v>
      </c>
      <c r="BV160">
        <v>-0.234392300751879</v>
      </c>
      <c r="BW160">
        <v>3.4157930249943402E-2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2.0861939999999999</v>
      </c>
      <c r="CD160">
        <v>-2.8967819548869799E-2</v>
      </c>
      <c r="CE160">
        <v>8.5912219154204595E-3</v>
      </c>
      <c r="CF160">
        <v>1</v>
      </c>
      <c r="CG160">
        <v>2</v>
      </c>
      <c r="CH160">
        <v>2</v>
      </c>
      <c r="CI160" t="s">
        <v>297</v>
      </c>
      <c r="CJ160">
        <v>3.5325500000000001</v>
      </c>
      <c r="CK160">
        <v>2.7014900000000002</v>
      </c>
      <c r="CL160">
        <v>9.7938600000000001E-2</v>
      </c>
      <c r="CM160">
        <v>9.6717899999999996E-2</v>
      </c>
      <c r="CN160">
        <v>8.7637400000000004E-2</v>
      </c>
      <c r="CO160">
        <v>7.8018000000000004E-2</v>
      </c>
      <c r="CP160">
        <v>31633.5</v>
      </c>
      <c r="CQ160">
        <v>27841.599999999999</v>
      </c>
      <c r="CR160">
        <v>32456.799999999999</v>
      </c>
      <c r="CS160">
        <v>30749.8</v>
      </c>
      <c r="CT160">
        <v>40104.1</v>
      </c>
      <c r="CU160">
        <v>39881.199999999997</v>
      </c>
      <c r="CV160">
        <v>47409.1</v>
      </c>
      <c r="CW160">
        <v>46904.9</v>
      </c>
      <c r="CX160">
        <v>2.6233599999999999</v>
      </c>
      <c r="CY160">
        <v>2.1212200000000001</v>
      </c>
      <c r="CZ160">
        <v>0</v>
      </c>
      <c r="DA160">
        <v>0</v>
      </c>
      <c r="DB160">
        <v>999.9</v>
      </c>
      <c r="DC160">
        <v>999.9</v>
      </c>
      <c r="DD160">
        <v>45.642000000000003</v>
      </c>
      <c r="DE160">
        <v>28.841999999999999</v>
      </c>
      <c r="DF160">
        <v>18.1403</v>
      </c>
      <c r="DG160">
        <v>30.49</v>
      </c>
      <c r="DH160">
        <v>16.398199999999999</v>
      </c>
      <c r="DI160">
        <v>2</v>
      </c>
      <c r="DJ160">
        <v>-0.11373</v>
      </c>
      <c r="DK160">
        <v>3.6113499999999998</v>
      </c>
      <c r="DL160">
        <v>20.157399999999999</v>
      </c>
      <c r="DM160">
        <v>5.2516699999999998</v>
      </c>
      <c r="DN160">
        <v>12.033899999999999</v>
      </c>
      <c r="DO160">
        <v>4.9675200000000004</v>
      </c>
      <c r="DP160">
        <v>3.2909999999999999</v>
      </c>
      <c r="DQ160">
        <v>538.4</v>
      </c>
      <c r="DR160">
        <v>9999</v>
      </c>
      <c r="DS160">
        <v>9999</v>
      </c>
      <c r="DT160">
        <v>9999</v>
      </c>
      <c r="DU160">
        <v>1.87113</v>
      </c>
      <c r="DV160">
        <v>1.8761099999999999</v>
      </c>
      <c r="DW160">
        <v>1.87632</v>
      </c>
      <c r="DX160">
        <v>1.88279</v>
      </c>
      <c r="DY160">
        <v>1.8755999999999999</v>
      </c>
      <c r="DZ160">
        <v>1.8746799999999999</v>
      </c>
      <c r="EA160">
        <v>1.8708499999999999</v>
      </c>
      <c r="EB160">
        <v>1.87462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-0.75600000000000001</v>
      </c>
      <c r="EQ160">
        <v>8.9800000000000005E-2</v>
      </c>
      <c r="ER160">
        <v>-0.75629999999995301</v>
      </c>
      <c r="ES160">
        <v>0</v>
      </c>
      <c r="ET160">
        <v>0</v>
      </c>
      <c r="EU160">
        <v>0</v>
      </c>
      <c r="EV160">
        <v>8.98000000000021E-2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7.4</v>
      </c>
      <c r="FE160">
        <v>7.3</v>
      </c>
      <c r="FF160">
        <v>1.24512</v>
      </c>
      <c r="FG160">
        <v>2.6049799999999999</v>
      </c>
      <c r="FH160">
        <v>2.19604</v>
      </c>
      <c r="FI160">
        <v>2.66113</v>
      </c>
      <c r="FJ160">
        <v>2.4462899999999999</v>
      </c>
      <c r="FK160">
        <v>2.32056</v>
      </c>
      <c r="FL160">
        <v>33.065199999999997</v>
      </c>
      <c r="FM160">
        <v>24.1313</v>
      </c>
      <c r="FN160">
        <v>19</v>
      </c>
      <c r="FO160">
        <v>866.697</v>
      </c>
      <c r="FP160">
        <v>570.16300000000001</v>
      </c>
      <c r="FQ160">
        <v>18.060700000000001</v>
      </c>
      <c r="FR160">
        <v>25.511600000000001</v>
      </c>
      <c r="FS160">
        <v>30.002800000000001</v>
      </c>
      <c r="FT160">
        <v>25.556000000000001</v>
      </c>
      <c r="FU160">
        <v>25.558199999999999</v>
      </c>
      <c r="FV160">
        <v>24.982600000000001</v>
      </c>
      <c r="FW160">
        <v>29.272600000000001</v>
      </c>
      <c r="FX160">
        <v>16.2683</v>
      </c>
      <c r="FY160">
        <v>17.835799999999999</v>
      </c>
      <c r="FZ160">
        <v>410</v>
      </c>
      <c r="GA160">
        <v>13.396699999999999</v>
      </c>
      <c r="GB160">
        <v>99.890299999999996</v>
      </c>
      <c r="GC160">
        <v>99.841700000000003</v>
      </c>
    </row>
    <row r="161" spans="1:185" x14ac:dyDescent="0.2">
      <c r="A161">
        <v>146</v>
      </c>
      <c r="B161">
        <v>1769203338</v>
      </c>
      <c r="C161">
        <v>3067</v>
      </c>
      <c r="D161" t="s">
        <v>589</v>
      </c>
      <c r="E161" t="s">
        <v>590</v>
      </c>
      <c r="F161">
        <v>15</v>
      </c>
      <c r="G161">
        <v>1769203329.9333301</v>
      </c>
      <c r="H161">
        <f t="shared" si="50"/>
        <v>1.6522343023820743E-3</v>
      </c>
      <c r="I161">
        <v>0</v>
      </c>
      <c r="J161">
        <f t="shared" si="62"/>
        <v>-2.2270538035262287E-3</v>
      </c>
      <c r="K161">
        <f t="shared" si="51"/>
        <v>-5.741027411264886E-2</v>
      </c>
      <c r="L161">
        <f t="shared" si="52"/>
        <v>70.274640495015959</v>
      </c>
      <c r="M161">
        <f t="shared" si="53"/>
        <v>1.5509086470312463</v>
      </c>
      <c r="N161">
        <f t="shared" si="54"/>
        <v>2.2069250530584221</v>
      </c>
      <c r="O161">
        <v>0</v>
      </c>
      <c r="P161">
        <v>0</v>
      </c>
      <c r="Q161">
        <f t="shared" si="55"/>
        <v>1</v>
      </c>
      <c r="R161">
        <f t="shared" si="56"/>
        <v>0</v>
      </c>
      <c r="S161">
        <f t="shared" si="57"/>
        <v>26273.493996052766</v>
      </c>
      <c r="T161">
        <f t="shared" si="58"/>
        <v>999.99793333333298</v>
      </c>
      <c r="U161">
        <f t="shared" si="59"/>
        <v>842.99788800076419</v>
      </c>
      <c r="V161">
        <f t="shared" si="60"/>
        <v>0.84299963020000024</v>
      </c>
      <c r="W161">
        <f t="shared" si="61"/>
        <v>0.15869895857200003</v>
      </c>
      <c r="X161">
        <v>1</v>
      </c>
      <c r="Y161">
        <v>1769203329.9333301</v>
      </c>
      <c r="Z161">
        <v>409.22306666666702</v>
      </c>
      <c r="AA161">
        <v>409.996466666667</v>
      </c>
      <c r="AB161">
        <v>15.458306666666701</v>
      </c>
      <c r="AC161">
        <v>13.424946666666701</v>
      </c>
      <c r="AD161">
        <v>409.9794</v>
      </c>
      <c r="AE161">
        <v>15.368506666666701</v>
      </c>
      <c r="AF161">
        <v>800.00273333333303</v>
      </c>
      <c r="AG161">
        <v>100.264866666667</v>
      </c>
      <c r="AH161">
        <v>6.3628586666666695E-2</v>
      </c>
      <c r="AI161">
        <v>19.0126733333333</v>
      </c>
      <c r="AJ161">
        <v>999.9</v>
      </c>
      <c r="AK161">
        <v>999.9</v>
      </c>
      <c r="AL161">
        <v>0</v>
      </c>
      <c r="AM161">
        <v>0</v>
      </c>
      <c r="AN161">
        <v>4997.2</v>
      </c>
      <c r="AO161">
        <v>0</v>
      </c>
      <c r="AP161">
        <v>1.5244200000000001</v>
      </c>
      <c r="AQ161">
        <v>-0.77339460000000004</v>
      </c>
      <c r="AR161">
        <v>415.64833333333303</v>
      </c>
      <c r="AS161">
        <v>415.57560000000001</v>
      </c>
      <c r="AT161">
        <v>2.0333580000000002</v>
      </c>
      <c r="AU161">
        <v>409.996466666667</v>
      </c>
      <c r="AV161">
        <v>13.424946666666701</v>
      </c>
      <c r="AW161">
        <v>1.5499259999999999</v>
      </c>
      <c r="AX161">
        <v>1.3460513333333299</v>
      </c>
      <c r="AY161">
        <v>13.469760000000001</v>
      </c>
      <c r="AZ161">
        <v>11.32316</v>
      </c>
      <c r="BA161">
        <v>999.99793333333298</v>
      </c>
      <c r="BB161">
        <v>0.90001406666666695</v>
      </c>
      <c r="BC161">
        <v>0</v>
      </c>
      <c r="BD161">
        <v>9.9985993333333301E-2</v>
      </c>
      <c r="BE161">
        <v>0</v>
      </c>
      <c r="BF161">
        <v>24</v>
      </c>
      <c r="BG161">
        <v>16488.813333333299</v>
      </c>
      <c r="BH161">
        <v>1769202886</v>
      </c>
      <c r="BI161" t="s">
        <v>546</v>
      </c>
      <c r="BJ161">
        <v>1769202878</v>
      </c>
      <c r="BK161">
        <v>1769202886</v>
      </c>
      <c r="BL161">
        <v>17</v>
      </c>
      <c r="BM161">
        <v>-1.2999999999999999E-2</v>
      </c>
      <c r="BN161">
        <v>1.9E-2</v>
      </c>
      <c r="BO161">
        <v>-0.75600000000000001</v>
      </c>
      <c r="BP161">
        <v>0.09</v>
      </c>
      <c r="BQ161">
        <v>410</v>
      </c>
      <c r="BR161">
        <v>15</v>
      </c>
      <c r="BS161">
        <v>0.39</v>
      </c>
      <c r="BT161">
        <v>0.03</v>
      </c>
      <c r="BU161">
        <v>-0.77760609999999997</v>
      </c>
      <c r="BV161">
        <v>4.0521563909774697E-2</v>
      </c>
      <c r="BW161">
        <v>1.8403908206954301E-2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2.0425239999999998</v>
      </c>
      <c r="CD161">
        <v>-0.15191909774435799</v>
      </c>
      <c r="CE161">
        <v>1.9142097429487699E-2</v>
      </c>
      <c r="CF161">
        <v>0</v>
      </c>
      <c r="CG161">
        <v>1</v>
      </c>
      <c r="CH161">
        <v>2</v>
      </c>
      <c r="CI161" t="s">
        <v>302</v>
      </c>
      <c r="CJ161">
        <v>3.5325500000000001</v>
      </c>
      <c r="CK161">
        <v>2.7014100000000001</v>
      </c>
      <c r="CL161">
        <v>9.7938999999999998E-2</v>
      </c>
      <c r="CM161">
        <v>9.67253E-2</v>
      </c>
      <c r="CN161">
        <v>8.7424000000000002E-2</v>
      </c>
      <c r="CO161">
        <v>7.7838699999999997E-2</v>
      </c>
      <c r="CP161">
        <v>31634</v>
      </c>
      <c r="CQ161">
        <v>27841</v>
      </c>
      <c r="CR161">
        <v>32457.3</v>
      </c>
      <c r="CS161">
        <v>30749.4</v>
      </c>
      <c r="CT161">
        <v>40114.400000000001</v>
      </c>
      <c r="CU161">
        <v>39888.6</v>
      </c>
      <c r="CV161">
        <v>47409.9</v>
      </c>
      <c r="CW161">
        <v>46904.2</v>
      </c>
      <c r="CX161">
        <v>2.6233</v>
      </c>
      <c r="CY161">
        <v>2.1209799999999999</v>
      </c>
      <c r="CZ161">
        <v>0</v>
      </c>
      <c r="DA161">
        <v>0</v>
      </c>
      <c r="DB161">
        <v>999.9</v>
      </c>
      <c r="DC161">
        <v>999.9</v>
      </c>
      <c r="DD161">
        <v>45.593000000000004</v>
      </c>
      <c r="DE161">
        <v>28.841999999999999</v>
      </c>
      <c r="DF161">
        <v>18.121500000000001</v>
      </c>
      <c r="DG161">
        <v>29.98</v>
      </c>
      <c r="DH161">
        <v>16.3902</v>
      </c>
      <c r="DI161">
        <v>2</v>
      </c>
      <c r="DJ161">
        <v>-0.11576599999999999</v>
      </c>
      <c r="DK161">
        <v>2.52929</v>
      </c>
      <c r="DL161">
        <v>20.1831</v>
      </c>
      <c r="DM161">
        <v>5.2508299999999997</v>
      </c>
      <c r="DN161">
        <v>12.033899999999999</v>
      </c>
      <c r="DO161">
        <v>4.9670399999999999</v>
      </c>
      <c r="DP161">
        <v>3.2909999999999999</v>
      </c>
      <c r="DQ161">
        <v>538.4</v>
      </c>
      <c r="DR161">
        <v>9999</v>
      </c>
      <c r="DS161">
        <v>9999</v>
      </c>
      <c r="DT161">
        <v>9999</v>
      </c>
      <c r="DU161">
        <v>1.87114</v>
      </c>
      <c r="DV161">
        <v>1.8761399999999999</v>
      </c>
      <c r="DW161">
        <v>1.87635</v>
      </c>
      <c r="DX161">
        <v>1.88279</v>
      </c>
      <c r="DY161">
        <v>1.87561</v>
      </c>
      <c r="DZ161">
        <v>1.8746799999999999</v>
      </c>
      <c r="EA161">
        <v>1.87086</v>
      </c>
      <c r="EB161">
        <v>1.8746100000000001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-0.75600000000000001</v>
      </c>
      <c r="EQ161">
        <v>8.9800000000000005E-2</v>
      </c>
      <c r="ER161">
        <v>-0.75629999999995301</v>
      </c>
      <c r="ES161">
        <v>0</v>
      </c>
      <c r="ET161">
        <v>0</v>
      </c>
      <c r="EU161">
        <v>0</v>
      </c>
      <c r="EV161">
        <v>8.98000000000021E-2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7.7</v>
      </c>
      <c r="FE161">
        <v>7.5</v>
      </c>
      <c r="FF161">
        <v>1.24512</v>
      </c>
      <c r="FG161">
        <v>2.6049799999999999</v>
      </c>
      <c r="FH161">
        <v>2.19604</v>
      </c>
      <c r="FI161">
        <v>2.66113</v>
      </c>
      <c r="FJ161">
        <v>2.4462899999999999</v>
      </c>
      <c r="FK161">
        <v>2.3290999999999999</v>
      </c>
      <c r="FL161">
        <v>33.065199999999997</v>
      </c>
      <c r="FM161">
        <v>24.14</v>
      </c>
      <c r="FN161">
        <v>19</v>
      </c>
      <c r="FO161">
        <v>866.53</v>
      </c>
      <c r="FP161">
        <v>569.91300000000001</v>
      </c>
      <c r="FQ161">
        <v>17.773199999999999</v>
      </c>
      <c r="FR161">
        <v>25.504799999999999</v>
      </c>
      <c r="FS161">
        <v>29.999300000000002</v>
      </c>
      <c r="FT161">
        <v>25.549199999999999</v>
      </c>
      <c r="FU161">
        <v>25.552099999999999</v>
      </c>
      <c r="FV161">
        <v>24.981100000000001</v>
      </c>
      <c r="FW161">
        <v>29.272600000000001</v>
      </c>
      <c r="FX161">
        <v>15.8947</v>
      </c>
      <c r="FY161">
        <v>17.800899999999999</v>
      </c>
      <c r="FZ161">
        <v>410</v>
      </c>
      <c r="GA161">
        <v>13.390700000000001</v>
      </c>
      <c r="GB161">
        <v>99.891900000000007</v>
      </c>
      <c r="GC161">
        <v>99.840299999999999</v>
      </c>
    </row>
    <row r="162" spans="1:185" x14ac:dyDescent="0.2">
      <c r="A162">
        <v>147</v>
      </c>
      <c r="B162">
        <v>1769203353</v>
      </c>
      <c r="C162">
        <v>3082</v>
      </c>
      <c r="D162" t="s">
        <v>591</v>
      </c>
      <c r="E162" t="s">
        <v>592</v>
      </c>
      <c r="F162">
        <v>15</v>
      </c>
      <c r="G162">
        <v>1769203344.9333301</v>
      </c>
      <c r="H162">
        <f t="shared" si="50"/>
        <v>1.6491383075793874E-3</v>
      </c>
      <c r="I162">
        <v>0</v>
      </c>
      <c r="J162">
        <f t="shared" si="62"/>
        <v>-1.8456927657765848E-3</v>
      </c>
      <c r="K162">
        <f t="shared" si="51"/>
        <v>-4.7579329894585902E-2</v>
      </c>
      <c r="L162">
        <f t="shared" si="52"/>
        <v>70.173829666413241</v>
      </c>
      <c r="M162">
        <f t="shared" si="53"/>
        <v>1.5470283175117423</v>
      </c>
      <c r="N162">
        <f t="shared" si="54"/>
        <v>2.2045658970956583</v>
      </c>
      <c r="O162">
        <v>0</v>
      </c>
      <c r="P162">
        <v>0</v>
      </c>
      <c r="Q162">
        <f t="shared" si="55"/>
        <v>1</v>
      </c>
      <c r="R162">
        <f t="shared" si="56"/>
        <v>0</v>
      </c>
      <c r="S162">
        <f t="shared" si="57"/>
        <v>26322.143330559822</v>
      </c>
      <c r="T162">
        <f t="shared" si="58"/>
        <v>999.99886666666703</v>
      </c>
      <c r="U162">
        <f t="shared" si="59"/>
        <v>842.99859260051278</v>
      </c>
      <c r="V162">
        <f t="shared" si="60"/>
        <v>0.84299954800000021</v>
      </c>
      <c r="W162">
        <f t="shared" si="61"/>
        <v>0.15869887000000002</v>
      </c>
      <c r="X162">
        <v>1</v>
      </c>
      <c r="Y162">
        <v>1769203344.9333301</v>
      </c>
      <c r="Z162">
        <v>409.20760000000001</v>
      </c>
      <c r="AA162">
        <v>409.99166666666702</v>
      </c>
      <c r="AB162">
        <v>15.4194666666667</v>
      </c>
      <c r="AC162">
        <v>13.389853333333299</v>
      </c>
      <c r="AD162">
        <v>409.96393333333299</v>
      </c>
      <c r="AE162">
        <v>15.3296666666667</v>
      </c>
      <c r="AF162">
        <v>800.00926666666703</v>
      </c>
      <c r="AG162">
        <v>100.26600000000001</v>
      </c>
      <c r="AH162">
        <v>6.3560740000000004E-2</v>
      </c>
      <c r="AI162">
        <v>18.995533333333299</v>
      </c>
      <c r="AJ162">
        <v>999.9</v>
      </c>
      <c r="AK162">
        <v>999.9</v>
      </c>
      <c r="AL162">
        <v>0</v>
      </c>
      <c r="AM162">
        <v>0</v>
      </c>
      <c r="AN162">
        <v>5004.8999999999996</v>
      </c>
      <c r="AO162">
        <v>0</v>
      </c>
      <c r="AP162">
        <v>1.5244200000000001</v>
      </c>
      <c r="AQ162">
        <v>-0.78396206666666701</v>
      </c>
      <c r="AR162">
        <v>415.616266666667</v>
      </c>
      <c r="AS162">
        <v>415.55599999999998</v>
      </c>
      <c r="AT162">
        <v>2.0296059999999998</v>
      </c>
      <c r="AU162">
        <v>409.99166666666702</v>
      </c>
      <c r="AV162">
        <v>13.389853333333299</v>
      </c>
      <c r="AW162">
        <v>1.54604733333333</v>
      </c>
      <c r="AX162">
        <v>1.34254733333333</v>
      </c>
      <c r="AY162">
        <v>13.4313133333333</v>
      </c>
      <c r="AZ162">
        <v>11.283813333333301</v>
      </c>
      <c r="BA162">
        <v>999.99886666666703</v>
      </c>
      <c r="BB162">
        <v>0.90001506666666697</v>
      </c>
      <c r="BC162">
        <v>0</v>
      </c>
      <c r="BD162">
        <v>9.9984933333333303E-2</v>
      </c>
      <c r="BE162">
        <v>0</v>
      </c>
      <c r="BF162">
        <v>24.1666666666667</v>
      </c>
      <c r="BG162">
        <v>16488.82</v>
      </c>
      <c r="BH162">
        <v>1769202886</v>
      </c>
      <c r="BI162" t="s">
        <v>546</v>
      </c>
      <c r="BJ162">
        <v>1769202878</v>
      </c>
      <c r="BK162">
        <v>1769202886</v>
      </c>
      <c r="BL162">
        <v>17</v>
      </c>
      <c r="BM162">
        <v>-1.2999999999999999E-2</v>
      </c>
      <c r="BN162">
        <v>1.9E-2</v>
      </c>
      <c r="BO162">
        <v>-0.75600000000000001</v>
      </c>
      <c r="BP162">
        <v>0.09</v>
      </c>
      <c r="BQ162">
        <v>410</v>
      </c>
      <c r="BR162">
        <v>15</v>
      </c>
      <c r="BS162">
        <v>0.39</v>
      </c>
      <c r="BT162">
        <v>0.03</v>
      </c>
      <c r="BU162">
        <v>-0.78307380952380901</v>
      </c>
      <c r="BV162">
        <v>1.06833506493508E-2</v>
      </c>
      <c r="BW162">
        <v>1.51342340206662E-2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2.0303033333333298</v>
      </c>
      <c r="CD162">
        <v>-3.6214285714282202E-2</v>
      </c>
      <c r="CE162">
        <v>7.7012728282150897E-3</v>
      </c>
      <c r="CF162">
        <v>1</v>
      </c>
      <c r="CG162">
        <v>2</v>
      </c>
      <c r="CH162">
        <v>2</v>
      </c>
      <c r="CI162" t="s">
        <v>297</v>
      </c>
      <c r="CJ162">
        <v>3.5325199999999999</v>
      </c>
      <c r="CK162">
        <v>2.7014</v>
      </c>
      <c r="CL162">
        <v>9.7934499999999994E-2</v>
      </c>
      <c r="CM162">
        <v>9.6723500000000004E-2</v>
      </c>
      <c r="CN162">
        <v>8.7297399999999997E-2</v>
      </c>
      <c r="CO162">
        <v>7.7794000000000002E-2</v>
      </c>
      <c r="CP162">
        <v>31634.6</v>
      </c>
      <c r="CQ162">
        <v>27842.2</v>
      </c>
      <c r="CR162">
        <v>32457.8</v>
      </c>
      <c r="CS162">
        <v>30750.7</v>
      </c>
      <c r="CT162">
        <v>40120.5</v>
      </c>
      <c r="CU162">
        <v>39892.199999999997</v>
      </c>
      <c r="CV162">
        <v>47410.3</v>
      </c>
      <c r="CW162">
        <v>46906.1</v>
      </c>
      <c r="CX162">
        <v>2.6234199999999999</v>
      </c>
      <c r="CY162">
        <v>2.1210599999999999</v>
      </c>
      <c r="CZ162">
        <v>0</v>
      </c>
      <c r="DA162">
        <v>0</v>
      </c>
      <c r="DB162">
        <v>999.9</v>
      </c>
      <c r="DC162">
        <v>999.9</v>
      </c>
      <c r="DD162">
        <v>45.543999999999997</v>
      </c>
      <c r="DE162">
        <v>28.841999999999999</v>
      </c>
      <c r="DF162">
        <v>18.100999999999999</v>
      </c>
      <c r="DG162">
        <v>30.25</v>
      </c>
      <c r="DH162">
        <v>16.474399999999999</v>
      </c>
      <c r="DI162">
        <v>2</v>
      </c>
      <c r="DJ162">
        <v>-0.11715399999999999</v>
      </c>
      <c r="DK162">
        <v>2.3722099999999999</v>
      </c>
      <c r="DL162">
        <v>20.186699999999998</v>
      </c>
      <c r="DM162">
        <v>5.2502399999999998</v>
      </c>
      <c r="DN162">
        <v>12.033899999999999</v>
      </c>
      <c r="DO162">
        <v>4.9671200000000004</v>
      </c>
      <c r="DP162">
        <v>3.2909999999999999</v>
      </c>
      <c r="DQ162">
        <v>538.4</v>
      </c>
      <c r="DR162">
        <v>9999</v>
      </c>
      <c r="DS162">
        <v>9999</v>
      </c>
      <c r="DT162">
        <v>9999</v>
      </c>
      <c r="DU162">
        <v>1.87113</v>
      </c>
      <c r="DV162">
        <v>1.8761300000000001</v>
      </c>
      <c r="DW162">
        <v>1.87632</v>
      </c>
      <c r="DX162">
        <v>1.88279</v>
      </c>
      <c r="DY162">
        <v>1.87561</v>
      </c>
      <c r="DZ162">
        <v>1.8746799999999999</v>
      </c>
      <c r="EA162">
        <v>1.8708400000000001</v>
      </c>
      <c r="EB162">
        <v>1.8746100000000001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-0.75600000000000001</v>
      </c>
      <c r="EQ162">
        <v>8.9800000000000005E-2</v>
      </c>
      <c r="ER162">
        <v>-0.75629999999995301</v>
      </c>
      <c r="ES162">
        <v>0</v>
      </c>
      <c r="ET162">
        <v>0</v>
      </c>
      <c r="EU162">
        <v>0</v>
      </c>
      <c r="EV162">
        <v>8.98000000000021E-2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7.9</v>
      </c>
      <c r="FE162">
        <v>7.8</v>
      </c>
      <c r="FF162">
        <v>1.24512</v>
      </c>
      <c r="FG162">
        <v>2.6049799999999999</v>
      </c>
      <c r="FH162">
        <v>2.19604</v>
      </c>
      <c r="FI162">
        <v>2.66113</v>
      </c>
      <c r="FJ162">
        <v>2.4462899999999999</v>
      </c>
      <c r="FK162">
        <v>2.2949199999999998</v>
      </c>
      <c r="FL162">
        <v>33.065199999999997</v>
      </c>
      <c r="FM162">
        <v>24.14</v>
      </c>
      <c r="FN162">
        <v>19</v>
      </c>
      <c r="FO162">
        <v>866.55899999999997</v>
      </c>
      <c r="FP162">
        <v>569.91899999999998</v>
      </c>
      <c r="FQ162">
        <v>17.812899999999999</v>
      </c>
      <c r="FR162">
        <v>25.499199999999998</v>
      </c>
      <c r="FS162">
        <v>29.9998</v>
      </c>
      <c r="FT162">
        <v>25.544</v>
      </c>
      <c r="FU162">
        <v>25.5471</v>
      </c>
      <c r="FV162">
        <v>24.9834</v>
      </c>
      <c r="FW162">
        <v>29.272600000000001</v>
      </c>
      <c r="FX162">
        <v>15.8947</v>
      </c>
      <c r="FY162">
        <v>17.8245</v>
      </c>
      <c r="FZ162">
        <v>410</v>
      </c>
      <c r="GA162">
        <v>13.397399999999999</v>
      </c>
      <c r="GB162">
        <v>99.893000000000001</v>
      </c>
      <c r="GC162">
        <v>99.844399999999993</v>
      </c>
    </row>
    <row r="163" spans="1:185" x14ac:dyDescent="0.2">
      <c r="A163">
        <v>148</v>
      </c>
      <c r="B163">
        <v>1769203368</v>
      </c>
      <c r="C163">
        <v>3097</v>
      </c>
      <c r="D163" t="s">
        <v>593</v>
      </c>
      <c r="E163" t="s">
        <v>594</v>
      </c>
      <c r="F163">
        <v>15</v>
      </c>
      <c r="G163">
        <v>1769203359.9333301</v>
      </c>
      <c r="H163">
        <f t="shared" si="50"/>
        <v>1.6432597275034368E-3</v>
      </c>
      <c r="I163">
        <v>0</v>
      </c>
      <c r="J163">
        <f t="shared" si="62"/>
        <v>-1.3939588235055314E-3</v>
      </c>
      <c r="K163">
        <f t="shared" si="51"/>
        <v>-3.5934272460093064E-2</v>
      </c>
      <c r="L163">
        <f t="shared" si="52"/>
        <v>70.115147389469627</v>
      </c>
      <c r="M163">
        <f t="shared" si="53"/>
        <v>1.5449913880610515</v>
      </c>
      <c r="N163">
        <f t="shared" si="54"/>
        <v>2.2035058693937639</v>
      </c>
      <c r="O163">
        <v>0</v>
      </c>
      <c r="P163">
        <v>0</v>
      </c>
      <c r="Q163">
        <f t="shared" si="55"/>
        <v>1</v>
      </c>
      <c r="R163">
        <f t="shared" si="56"/>
        <v>0</v>
      </c>
      <c r="S163">
        <f t="shared" si="57"/>
        <v>26289.23814367874</v>
      </c>
      <c r="T163">
        <f t="shared" si="58"/>
        <v>999.99926666666704</v>
      </c>
      <c r="U163">
        <f t="shared" si="59"/>
        <v>842.99880260042471</v>
      </c>
      <c r="V163">
        <f t="shared" si="60"/>
        <v>0.84299942079999968</v>
      </c>
      <c r="W163">
        <f t="shared" si="61"/>
        <v>0.15869899372799995</v>
      </c>
      <c r="X163">
        <v>1</v>
      </c>
      <c r="Y163">
        <v>1769203359.9333301</v>
      </c>
      <c r="Z163">
        <v>409.19853333333299</v>
      </c>
      <c r="AA163">
        <v>409.99413333333302</v>
      </c>
      <c r="AB163">
        <v>15.399380000000001</v>
      </c>
      <c r="AC163">
        <v>13.376953333333301</v>
      </c>
      <c r="AD163">
        <v>409.95493333333297</v>
      </c>
      <c r="AE163">
        <v>15.30958</v>
      </c>
      <c r="AF163">
        <v>800.00653333333298</v>
      </c>
      <c r="AG163">
        <v>100.2646</v>
      </c>
      <c r="AH163">
        <v>6.3555293333333304E-2</v>
      </c>
      <c r="AI163">
        <v>18.987826666666699</v>
      </c>
      <c r="AJ163">
        <v>999.9</v>
      </c>
      <c r="AK163">
        <v>999.9</v>
      </c>
      <c r="AL163">
        <v>0</v>
      </c>
      <c r="AM163">
        <v>0</v>
      </c>
      <c r="AN163">
        <v>4999.4333333333298</v>
      </c>
      <c r="AO163">
        <v>0</v>
      </c>
      <c r="AP163">
        <v>1.5244200000000001</v>
      </c>
      <c r="AQ163">
        <v>-0.79556059999999995</v>
      </c>
      <c r="AR163">
        <v>415.59846666666698</v>
      </c>
      <c r="AS163">
        <v>415.55306666666701</v>
      </c>
      <c r="AT163">
        <v>2.022408</v>
      </c>
      <c r="AU163">
        <v>409.99413333333302</v>
      </c>
      <c r="AV163">
        <v>13.376953333333301</v>
      </c>
      <c r="AW163">
        <v>1.5440146666666701</v>
      </c>
      <c r="AX163">
        <v>1.3412393333333299</v>
      </c>
      <c r="AY163">
        <v>13.41112</v>
      </c>
      <c r="AZ163">
        <v>11.2690866666667</v>
      </c>
      <c r="BA163">
        <v>999.99926666666704</v>
      </c>
      <c r="BB163">
        <v>0.90001273333333298</v>
      </c>
      <c r="BC163">
        <v>0</v>
      </c>
      <c r="BD163">
        <v>9.9987039999999999E-2</v>
      </c>
      <c r="BE163">
        <v>0</v>
      </c>
      <c r="BF163">
        <v>24.691133333333301</v>
      </c>
      <c r="BG163">
        <v>16488.833333333299</v>
      </c>
      <c r="BH163">
        <v>1769202886</v>
      </c>
      <c r="BI163" t="s">
        <v>546</v>
      </c>
      <c r="BJ163">
        <v>1769202878</v>
      </c>
      <c r="BK163">
        <v>1769202886</v>
      </c>
      <c r="BL163">
        <v>17</v>
      </c>
      <c r="BM163">
        <v>-1.2999999999999999E-2</v>
      </c>
      <c r="BN163">
        <v>1.9E-2</v>
      </c>
      <c r="BO163">
        <v>-0.75600000000000001</v>
      </c>
      <c r="BP163">
        <v>0.09</v>
      </c>
      <c r="BQ163">
        <v>410</v>
      </c>
      <c r="BR163">
        <v>15</v>
      </c>
      <c r="BS163">
        <v>0.39</v>
      </c>
      <c r="BT163">
        <v>0.03</v>
      </c>
      <c r="BU163">
        <v>-0.78895633333333304</v>
      </c>
      <c r="BV163">
        <v>-3.5189142857142301E-2</v>
      </c>
      <c r="BW163">
        <v>2.7582343894209101E-2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2.0221461904761902</v>
      </c>
      <c r="CD163">
        <v>-8.8745454545435792E-3</v>
      </c>
      <c r="CE163">
        <v>3.1064763014286602E-3</v>
      </c>
      <c r="CF163">
        <v>1</v>
      </c>
      <c r="CG163">
        <v>2</v>
      </c>
      <c r="CH163">
        <v>2</v>
      </c>
      <c r="CI163" t="s">
        <v>297</v>
      </c>
      <c r="CJ163">
        <v>3.5324800000000001</v>
      </c>
      <c r="CK163">
        <v>2.7014999999999998</v>
      </c>
      <c r="CL163">
        <v>9.79347E-2</v>
      </c>
      <c r="CM163">
        <v>9.67282E-2</v>
      </c>
      <c r="CN163">
        <v>8.7185499999999999E-2</v>
      </c>
      <c r="CO163">
        <v>7.7628299999999997E-2</v>
      </c>
      <c r="CP163">
        <v>31634.400000000001</v>
      </c>
      <c r="CQ163">
        <v>27842.400000000001</v>
      </c>
      <c r="CR163">
        <v>32457.599999999999</v>
      </c>
      <c r="CS163">
        <v>30751</v>
      </c>
      <c r="CT163">
        <v>40125.5</v>
      </c>
      <c r="CU163">
        <v>39899.9</v>
      </c>
      <c r="CV163">
        <v>47410.2</v>
      </c>
      <c r="CW163">
        <v>46906.5</v>
      </c>
      <c r="CX163">
        <v>2.6235599999999999</v>
      </c>
      <c r="CY163">
        <v>2.1211799999999998</v>
      </c>
      <c r="CZ163">
        <v>0</v>
      </c>
      <c r="DA163">
        <v>0</v>
      </c>
      <c r="DB163">
        <v>999.9</v>
      </c>
      <c r="DC163">
        <v>999.9</v>
      </c>
      <c r="DD163">
        <v>45.500999999999998</v>
      </c>
      <c r="DE163">
        <v>28.852</v>
      </c>
      <c r="DF163">
        <v>18.0947</v>
      </c>
      <c r="DG163">
        <v>30.16</v>
      </c>
      <c r="DH163">
        <v>16.478400000000001</v>
      </c>
      <c r="DI163">
        <v>2</v>
      </c>
      <c r="DJ163">
        <v>-0.11755500000000001</v>
      </c>
      <c r="DK163">
        <v>2.3549600000000002</v>
      </c>
      <c r="DL163">
        <v>20.186900000000001</v>
      </c>
      <c r="DM163">
        <v>5.2505899999999999</v>
      </c>
      <c r="DN163">
        <v>12.033899999999999</v>
      </c>
      <c r="DO163">
        <v>4.9671200000000004</v>
      </c>
      <c r="DP163">
        <v>3.2909999999999999</v>
      </c>
      <c r="DQ163">
        <v>538.5</v>
      </c>
      <c r="DR163">
        <v>9999</v>
      </c>
      <c r="DS163">
        <v>9999</v>
      </c>
      <c r="DT163">
        <v>9999</v>
      </c>
      <c r="DU163">
        <v>1.87114</v>
      </c>
      <c r="DV163">
        <v>1.8761099999999999</v>
      </c>
      <c r="DW163">
        <v>1.8763099999999999</v>
      </c>
      <c r="DX163">
        <v>1.88279</v>
      </c>
      <c r="DY163">
        <v>1.87561</v>
      </c>
      <c r="DZ163">
        <v>1.8746700000000001</v>
      </c>
      <c r="EA163">
        <v>1.8708499999999999</v>
      </c>
      <c r="EB163">
        <v>1.8746100000000001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-0.75700000000000001</v>
      </c>
      <c r="EQ163">
        <v>8.9800000000000005E-2</v>
      </c>
      <c r="ER163">
        <v>-0.75629999999995301</v>
      </c>
      <c r="ES163">
        <v>0</v>
      </c>
      <c r="ET163">
        <v>0</v>
      </c>
      <c r="EU163">
        <v>0</v>
      </c>
      <c r="EV163">
        <v>8.98000000000021E-2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8.1999999999999993</v>
      </c>
      <c r="FE163">
        <v>8</v>
      </c>
      <c r="FF163">
        <v>1.24512</v>
      </c>
      <c r="FG163">
        <v>2.6025399999999999</v>
      </c>
      <c r="FH163">
        <v>2.19604</v>
      </c>
      <c r="FI163">
        <v>2.66113</v>
      </c>
      <c r="FJ163">
        <v>2.4462899999999999</v>
      </c>
      <c r="FK163">
        <v>2.3132299999999999</v>
      </c>
      <c r="FL163">
        <v>33.042900000000003</v>
      </c>
      <c r="FM163">
        <v>24.14</v>
      </c>
      <c r="FN163">
        <v>19</v>
      </c>
      <c r="FO163">
        <v>866.61400000000003</v>
      </c>
      <c r="FP163">
        <v>569.96299999999997</v>
      </c>
      <c r="FQ163">
        <v>17.839300000000001</v>
      </c>
      <c r="FR163">
        <v>25.496200000000002</v>
      </c>
      <c r="FS163">
        <v>30</v>
      </c>
      <c r="FT163">
        <v>25.539300000000001</v>
      </c>
      <c r="FU163">
        <v>25.5428</v>
      </c>
      <c r="FV163">
        <v>24.982600000000001</v>
      </c>
      <c r="FW163">
        <v>29.272600000000001</v>
      </c>
      <c r="FX163">
        <v>15.522600000000001</v>
      </c>
      <c r="FY163">
        <v>17.850200000000001</v>
      </c>
      <c r="FZ163">
        <v>410</v>
      </c>
      <c r="GA163">
        <v>13.401999999999999</v>
      </c>
      <c r="GB163">
        <v>99.892600000000002</v>
      </c>
      <c r="GC163">
        <v>99.845399999999998</v>
      </c>
    </row>
    <row r="164" spans="1:185" x14ac:dyDescent="0.2">
      <c r="A164">
        <v>149</v>
      </c>
      <c r="B164">
        <v>1769203383</v>
      </c>
      <c r="C164">
        <v>3112</v>
      </c>
      <c r="D164" t="s">
        <v>595</v>
      </c>
      <c r="E164" t="s">
        <v>596</v>
      </c>
      <c r="F164">
        <v>15</v>
      </c>
      <c r="G164">
        <v>1769203374.9333301</v>
      </c>
      <c r="H164">
        <f t="shared" si="50"/>
        <v>1.6415136070371435E-3</v>
      </c>
      <c r="I164">
        <v>0</v>
      </c>
      <c r="J164">
        <f t="shared" si="62"/>
        <v>-8.1201822963238241E-4</v>
      </c>
      <c r="K164">
        <f t="shared" si="51"/>
        <v>-2.0932673056146881E-2</v>
      </c>
      <c r="L164">
        <f t="shared" si="52"/>
        <v>69.922668798069495</v>
      </c>
      <c r="M164">
        <f t="shared" si="53"/>
        <v>1.5410270625367477</v>
      </c>
      <c r="N164">
        <f t="shared" si="54"/>
        <v>2.2039019520080076</v>
      </c>
      <c r="O164">
        <v>0</v>
      </c>
      <c r="P164">
        <v>0</v>
      </c>
      <c r="Q164">
        <f t="shared" si="55"/>
        <v>1</v>
      </c>
      <c r="R164">
        <f t="shared" si="56"/>
        <v>0</v>
      </c>
      <c r="S164">
        <f t="shared" si="57"/>
        <v>26268.939647790972</v>
      </c>
      <c r="T164">
        <f t="shared" si="58"/>
        <v>999.99739999999997</v>
      </c>
      <c r="U164">
        <f t="shared" si="59"/>
        <v>842.99771620023887</v>
      </c>
      <c r="V164">
        <f t="shared" si="60"/>
        <v>0.84299990799999969</v>
      </c>
      <c r="W164">
        <f t="shared" si="61"/>
        <v>0.15869989991999994</v>
      </c>
      <c r="X164">
        <v>1</v>
      </c>
      <c r="Y164">
        <v>1769203374.9333301</v>
      </c>
      <c r="Z164">
        <v>409.19959999999998</v>
      </c>
      <c r="AA164">
        <v>410.01306666666699</v>
      </c>
      <c r="AB164">
        <v>15.359719999999999</v>
      </c>
      <c r="AC164">
        <v>13.3393466666667</v>
      </c>
      <c r="AD164">
        <v>409.95613333333301</v>
      </c>
      <c r="AE164">
        <v>15.269920000000001</v>
      </c>
      <c r="AF164">
        <v>800.00086666666698</v>
      </c>
      <c r="AG164">
        <v>100.265466666667</v>
      </c>
      <c r="AH164">
        <v>6.3644966666666705E-2</v>
      </c>
      <c r="AI164">
        <v>18.9907066666667</v>
      </c>
      <c r="AJ164">
        <v>999.9</v>
      </c>
      <c r="AK164">
        <v>999.9</v>
      </c>
      <c r="AL164">
        <v>0</v>
      </c>
      <c r="AM164">
        <v>0</v>
      </c>
      <c r="AN164">
        <v>4996.1000000000004</v>
      </c>
      <c r="AO164">
        <v>0</v>
      </c>
      <c r="AP164">
        <v>1.5244200000000001</v>
      </c>
      <c r="AQ164">
        <v>-0.81330979999999997</v>
      </c>
      <c r="AR164">
        <v>415.58300000000003</v>
      </c>
      <c r="AS164">
        <v>415.556266666667</v>
      </c>
      <c r="AT164">
        <v>2.02037333333333</v>
      </c>
      <c r="AU164">
        <v>410.01306666666699</v>
      </c>
      <c r="AV164">
        <v>13.3393466666667</v>
      </c>
      <c r="AW164">
        <v>1.5400533333333299</v>
      </c>
      <c r="AX164">
        <v>1.33747866666667</v>
      </c>
      <c r="AY164">
        <v>13.3717133333333</v>
      </c>
      <c r="AZ164">
        <v>11.226753333333299</v>
      </c>
      <c r="BA164">
        <v>999.99739999999997</v>
      </c>
      <c r="BB164">
        <v>0.90000113333333298</v>
      </c>
      <c r="BC164">
        <v>0</v>
      </c>
      <c r="BD164">
        <v>9.9998799999999999E-2</v>
      </c>
      <c r="BE164">
        <v>0</v>
      </c>
      <c r="BF164">
        <v>24.991113333333299</v>
      </c>
      <c r="BG164">
        <v>16488.746666666699</v>
      </c>
      <c r="BH164">
        <v>1769202886</v>
      </c>
      <c r="BI164" t="s">
        <v>546</v>
      </c>
      <c r="BJ164">
        <v>1769202878</v>
      </c>
      <c r="BK164">
        <v>1769202886</v>
      </c>
      <c r="BL164">
        <v>17</v>
      </c>
      <c r="BM164">
        <v>-1.2999999999999999E-2</v>
      </c>
      <c r="BN164">
        <v>1.9E-2</v>
      </c>
      <c r="BO164">
        <v>-0.75600000000000001</v>
      </c>
      <c r="BP164">
        <v>0.09</v>
      </c>
      <c r="BQ164">
        <v>410</v>
      </c>
      <c r="BR164">
        <v>15</v>
      </c>
      <c r="BS164">
        <v>0.39</v>
      </c>
      <c r="BT164">
        <v>0.03</v>
      </c>
      <c r="BU164">
        <v>-0.80345160000000004</v>
      </c>
      <c r="BV164">
        <v>-9.8888210526314205E-2</v>
      </c>
      <c r="BW164">
        <v>2.3387476589833301E-2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2.0215295000000002</v>
      </c>
      <c r="CD164">
        <v>-3.6140300751880697E-2</v>
      </c>
      <c r="CE164">
        <v>7.3191040947646101E-3</v>
      </c>
      <c r="CF164">
        <v>1</v>
      </c>
      <c r="CG164">
        <v>2</v>
      </c>
      <c r="CH164">
        <v>2</v>
      </c>
      <c r="CI164" t="s">
        <v>297</v>
      </c>
      <c r="CJ164">
        <v>3.5325299999999999</v>
      </c>
      <c r="CK164">
        <v>2.7016100000000001</v>
      </c>
      <c r="CL164">
        <v>9.79405E-2</v>
      </c>
      <c r="CM164">
        <v>9.6728999999999996E-2</v>
      </c>
      <c r="CN164">
        <v>8.7053900000000004E-2</v>
      </c>
      <c r="CO164">
        <v>7.7591599999999997E-2</v>
      </c>
      <c r="CP164">
        <v>31634.3</v>
      </c>
      <c r="CQ164">
        <v>27842.6</v>
      </c>
      <c r="CR164">
        <v>32457.599999999999</v>
      </c>
      <c r="CS164">
        <v>30751.3</v>
      </c>
      <c r="CT164">
        <v>40131.599999999999</v>
      </c>
      <c r="CU164">
        <v>39902.400000000001</v>
      </c>
      <c r="CV164">
        <v>47410.400000000001</v>
      </c>
      <c r="CW164">
        <v>46907.5</v>
      </c>
      <c r="CX164">
        <v>2.6236600000000001</v>
      </c>
      <c r="CY164">
        <v>2.1211199999999999</v>
      </c>
      <c r="CZ164">
        <v>0</v>
      </c>
      <c r="DA164">
        <v>0</v>
      </c>
      <c r="DB164">
        <v>999.9</v>
      </c>
      <c r="DC164">
        <v>999.9</v>
      </c>
      <c r="DD164">
        <v>45.44</v>
      </c>
      <c r="DE164">
        <v>28.841999999999999</v>
      </c>
      <c r="DF164">
        <v>18.0596</v>
      </c>
      <c r="DG164">
        <v>30.43</v>
      </c>
      <c r="DH164">
        <v>16.514399999999998</v>
      </c>
      <c r="DI164">
        <v>2</v>
      </c>
      <c r="DJ164">
        <v>-0.117488</v>
      </c>
      <c r="DK164">
        <v>2.3518400000000002</v>
      </c>
      <c r="DL164">
        <v>20.187000000000001</v>
      </c>
      <c r="DM164">
        <v>5.2503500000000001</v>
      </c>
      <c r="DN164">
        <v>12.033899999999999</v>
      </c>
      <c r="DO164">
        <v>4.9669999999999996</v>
      </c>
      <c r="DP164">
        <v>3.2909999999999999</v>
      </c>
      <c r="DQ164">
        <v>538.5</v>
      </c>
      <c r="DR164">
        <v>9999</v>
      </c>
      <c r="DS164">
        <v>9999</v>
      </c>
      <c r="DT164">
        <v>9999</v>
      </c>
      <c r="DU164">
        <v>1.8711599999999999</v>
      </c>
      <c r="DV164">
        <v>1.87609</v>
      </c>
      <c r="DW164">
        <v>1.8763300000000001</v>
      </c>
      <c r="DX164">
        <v>1.8827799999999999</v>
      </c>
      <c r="DY164">
        <v>1.87561</v>
      </c>
      <c r="DZ164">
        <v>1.8746799999999999</v>
      </c>
      <c r="EA164">
        <v>1.8708400000000001</v>
      </c>
      <c r="EB164">
        <v>1.87463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-0.75700000000000001</v>
      </c>
      <c r="EQ164">
        <v>8.9800000000000005E-2</v>
      </c>
      <c r="ER164">
        <v>-0.75629999999995301</v>
      </c>
      <c r="ES164">
        <v>0</v>
      </c>
      <c r="ET164">
        <v>0</v>
      </c>
      <c r="EU164">
        <v>0</v>
      </c>
      <c r="EV164">
        <v>8.98000000000021E-2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8.4</v>
      </c>
      <c r="FE164">
        <v>8.3000000000000007</v>
      </c>
      <c r="FF164">
        <v>1.2439</v>
      </c>
      <c r="FG164">
        <v>2.6037599999999999</v>
      </c>
      <c r="FH164">
        <v>2.19604</v>
      </c>
      <c r="FI164">
        <v>2.66113</v>
      </c>
      <c r="FJ164">
        <v>2.4462899999999999</v>
      </c>
      <c r="FK164">
        <v>2.2997999999999998</v>
      </c>
      <c r="FL164">
        <v>33.065199999999997</v>
      </c>
      <c r="FM164">
        <v>24.14</v>
      </c>
      <c r="FN164">
        <v>19</v>
      </c>
      <c r="FO164">
        <v>866.65200000000004</v>
      </c>
      <c r="FP164">
        <v>569.87800000000004</v>
      </c>
      <c r="FQ164">
        <v>17.8626</v>
      </c>
      <c r="FR164">
        <v>25.493200000000002</v>
      </c>
      <c r="FS164">
        <v>30.0001</v>
      </c>
      <c r="FT164">
        <v>25.535900000000002</v>
      </c>
      <c r="FU164">
        <v>25.539300000000001</v>
      </c>
      <c r="FV164">
        <v>24.9818</v>
      </c>
      <c r="FW164">
        <v>28.996200000000002</v>
      </c>
      <c r="FX164">
        <v>15.522600000000001</v>
      </c>
      <c r="FY164">
        <v>17.869399999999999</v>
      </c>
      <c r="FZ164">
        <v>410</v>
      </c>
      <c r="GA164">
        <v>13.401999999999999</v>
      </c>
      <c r="GB164">
        <v>99.892899999999997</v>
      </c>
      <c r="GC164">
        <v>99.846900000000005</v>
      </c>
    </row>
    <row r="165" spans="1:185" x14ac:dyDescent="0.2">
      <c r="A165">
        <v>150</v>
      </c>
      <c r="B165">
        <v>1769203398</v>
      </c>
      <c r="C165">
        <v>3127</v>
      </c>
      <c r="D165" t="s">
        <v>597</v>
      </c>
      <c r="E165" t="s">
        <v>598</v>
      </c>
      <c r="F165">
        <v>15</v>
      </c>
      <c r="G165">
        <v>1769203389.9333301</v>
      </c>
      <c r="H165">
        <f t="shared" si="50"/>
        <v>1.6184879120577274E-3</v>
      </c>
      <c r="I165">
        <v>0</v>
      </c>
      <c r="J165">
        <f t="shared" si="62"/>
        <v>-4.3121393566384058E-4</v>
      </c>
      <c r="K165">
        <f t="shared" si="51"/>
        <v>-1.11160808995532E-2</v>
      </c>
      <c r="L165">
        <f t="shared" si="52"/>
        <v>69.867180792673167</v>
      </c>
      <c r="M165">
        <f t="shared" si="53"/>
        <v>1.5399354960272829</v>
      </c>
      <c r="N165">
        <f t="shared" si="54"/>
        <v>2.2040899297152876</v>
      </c>
      <c r="O165">
        <v>0</v>
      </c>
      <c r="P165">
        <v>0</v>
      </c>
      <c r="Q165">
        <f t="shared" si="55"/>
        <v>1</v>
      </c>
      <c r="R165">
        <f t="shared" si="56"/>
        <v>0</v>
      </c>
      <c r="S165">
        <f t="shared" si="57"/>
        <v>26288.576658433391</v>
      </c>
      <c r="T165">
        <f t="shared" si="58"/>
        <v>999.99900000000002</v>
      </c>
      <c r="U165">
        <f t="shared" si="59"/>
        <v>842.9996249995321</v>
      </c>
      <c r="V165">
        <f t="shared" si="60"/>
        <v>0.84300046800000006</v>
      </c>
      <c r="W165">
        <f t="shared" si="61"/>
        <v>0.15870117</v>
      </c>
      <c r="X165">
        <v>1</v>
      </c>
      <c r="Y165">
        <v>1769203389.9333301</v>
      </c>
      <c r="Z165">
        <v>409.18706666666702</v>
      </c>
      <c r="AA165">
        <v>410.00099999999998</v>
      </c>
      <c r="AB165">
        <v>15.348520000000001</v>
      </c>
      <c r="AC165">
        <v>13.3564666666667</v>
      </c>
      <c r="AD165">
        <v>409.94333333333299</v>
      </c>
      <c r="AE165">
        <v>15.25872</v>
      </c>
      <c r="AF165">
        <v>800.001933333333</v>
      </c>
      <c r="AG165">
        <v>100.26739999999999</v>
      </c>
      <c r="AH165">
        <v>6.3804313333333307E-2</v>
      </c>
      <c r="AI165">
        <v>18.992073333333298</v>
      </c>
      <c r="AJ165">
        <v>999.9</v>
      </c>
      <c r="AK165">
        <v>999.9</v>
      </c>
      <c r="AL165">
        <v>0</v>
      </c>
      <c r="AM165">
        <v>0</v>
      </c>
      <c r="AN165">
        <v>4999.2666666666701</v>
      </c>
      <c r="AO165">
        <v>0</v>
      </c>
      <c r="AP165">
        <v>1.5244200000000001</v>
      </c>
      <c r="AQ165">
        <v>-0.81386106666666702</v>
      </c>
      <c r="AR165">
        <v>415.565333333333</v>
      </c>
      <c r="AS165">
        <v>415.55133333333299</v>
      </c>
      <c r="AT165">
        <v>1.99206866666667</v>
      </c>
      <c r="AU165">
        <v>410.00099999999998</v>
      </c>
      <c r="AV165">
        <v>13.3564666666667</v>
      </c>
      <c r="AW165">
        <v>1.5389586666666699</v>
      </c>
      <c r="AX165">
        <v>1.339218</v>
      </c>
      <c r="AY165">
        <v>13.360806666666701</v>
      </c>
      <c r="AZ165">
        <v>11.246366666666701</v>
      </c>
      <c r="BA165">
        <v>999.99900000000002</v>
      </c>
      <c r="BB165">
        <v>0.89998440000000002</v>
      </c>
      <c r="BC165">
        <v>0</v>
      </c>
      <c r="BD165">
        <v>0.1000156</v>
      </c>
      <c r="BE165">
        <v>0</v>
      </c>
      <c r="BF165">
        <v>25</v>
      </c>
      <c r="BG165">
        <v>16488.7</v>
      </c>
      <c r="BH165">
        <v>1769202886</v>
      </c>
      <c r="BI165" t="s">
        <v>546</v>
      </c>
      <c r="BJ165">
        <v>1769202878</v>
      </c>
      <c r="BK165">
        <v>1769202886</v>
      </c>
      <c r="BL165">
        <v>17</v>
      </c>
      <c r="BM165">
        <v>-1.2999999999999999E-2</v>
      </c>
      <c r="BN165">
        <v>1.9E-2</v>
      </c>
      <c r="BO165">
        <v>-0.75600000000000001</v>
      </c>
      <c r="BP165">
        <v>0.09</v>
      </c>
      <c r="BQ165">
        <v>410</v>
      </c>
      <c r="BR165">
        <v>15</v>
      </c>
      <c r="BS165">
        <v>0.39</v>
      </c>
      <c r="BT165">
        <v>0.03</v>
      </c>
      <c r="BU165">
        <v>-0.81254119999999996</v>
      </c>
      <c r="BV165">
        <v>2.6992781954888198E-3</v>
      </c>
      <c r="BW165">
        <v>1.1003162102777599E-2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1.9978385000000001</v>
      </c>
      <c r="CD165">
        <v>-0.11157789473684</v>
      </c>
      <c r="CE165">
        <v>1.2830106108290801E-2</v>
      </c>
      <c r="CF165">
        <v>0</v>
      </c>
      <c r="CG165">
        <v>1</v>
      </c>
      <c r="CH165">
        <v>2</v>
      </c>
      <c r="CI165" t="s">
        <v>302</v>
      </c>
      <c r="CJ165">
        <v>3.5325199999999999</v>
      </c>
      <c r="CK165">
        <v>2.7016900000000001</v>
      </c>
      <c r="CL165">
        <v>9.7938800000000006E-2</v>
      </c>
      <c r="CM165">
        <v>9.6723199999999995E-2</v>
      </c>
      <c r="CN165">
        <v>8.7048399999999998E-2</v>
      </c>
      <c r="CO165">
        <v>7.7638600000000002E-2</v>
      </c>
      <c r="CP165">
        <v>31634.7</v>
      </c>
      <c r="CQ165">
        <v>27841.599999999999</v>
      </c>
      <c r="CR165">
        <v>32458</v>
      </c>
      <c r="CS165">
        <v>30750</v>
      </c>
      <c r="CT165">
        <v>40132.5</v>
      </c>
      <c r="CU165">
        <v>39898.300000000003</v>
      </c>
      <c r="CV165">
        <v>47411.1</v>
      </c>
      <c r="CW165">
        <v>46905.2</v>
      </c>
      <c r="CX165">
        <v>2.62358</v>
      </c>
      <c r="CY165">
        <v>2.1210200000000001</v>
      </c>
      <c r="CZ165">
        <v>0</v>
      </c>
      <c r="DA165">
        <v>0</v>
      </c>
      <c r="DB165">
        <v>999.9</v>
      </c>
      <c r="DC165">
        <v>999.9</v>
      </c>
      <c r="DD165">
        <v>45.372999999999998</v>
      </c>
      <c r="DE165">
        <v>28.841999999999999</v>
      </c>
      <c r="DF165">
        <v>18.0334</v>
      </c>
      <c r="DG165">
        <v>30.37</v>
      </c>
      <c r="DH165">
        <v>16.470400000000001</v>
      </c>
      <c r="DI165">
        <v>2</v>
      </c>
      <c r="DJ165">
        <v>-0.11756900000000001</v>
      </c>
      <c r="DK165">
        <v>2.3371</v>
      </c>
      <c r="DL165">
        <v>20.186900000000001</v>
      </c>
      <c r="DM165">
        <v>5.2498800000000001</v>
      </c>
      <c r="DN165">
        <v>12.033899999999999</v>
      </c>
      <c r="DO165">
        <v>4.96732</v>
      </c>
      <c r="DP165">
        <v>3.2909999999999999</v>
      </c>
      <c r="DQ165">
        <v>538.5</v>
      </c>
      <c r="DR165">
        <v>9999</v>
      </c>
      <c r="DS165">
        <v>9999</v>
      </c>
      <c r="DT165">
        <v>9999</v>
      </c>
      <c r="DU165">
        <v>1.8711500000000001</v>
      </c>
      <c r="DV165">
        <v>1.87609</v>
      </c>
      <c r="DW165">
        <v>1.8763099999999999</v>
      </c>
      <c r="DX165">
        <v>1.88279</v>
      </c>
      <c r="DY165">
        <v>1.87561</v>
      </c>
      <c r="DZ165">
        <v>1.8746700000000001</v>
      </c>
      <c r="EA165">
        <v>1.8708400000000001</v>
      </c>
      <c r="EB165">
        <v>1.87462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-0.75700000000000001</v>
      </c>
      <c r="EQ165">
        <v>8.9800000000000005E-2</v>
      </c>
      <c r="ER165">
        <v>-0.75629999999995301</v>
      </c>
      <c r="ES165">
        <v>0</v>
      </c>
      <c r="ET165">
        <v>0</v>
      </c>
      <c r="EU165">
        <v>0</v>
      </c>
      <c r="EV165">
        <v>8.98000000000021E-2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8.6999999999999993</v>
      </c>
      <c r="FE165">
        <v>8.5</v>
      </c>
      <c r="FF165">
        <v>1.24512</v>
      </c>
      <c r="FG165">
        <v>2.6049799999999999</v>
      </c>
      <c r="FH165">
        <v>2.19604</v>
      </c>
      <c r="FI165">
        <v>2.66113</v>
      </c>
      <c r="FJ165">
        <v>2.4462899999999999</v>
      </c>
      <c r="FK165">
        <v>2.2827099999999998</v>
      </c>
      <c r="FL165">
        <v>33.042900000000003</v>
      </c>
      <c r="FM165">
        <v>24.1313</v>
      </c>
      <c r="FN165">
        <v>19</v>
      </c>
      <c r="FO165">
        <v>866.51499999999999</v>
      </c>
      <c r="FP165">
        <v>569.77099999999996</v>
      </c>
      <c r="FQ165">
        <v>17.881499999999999</v>
      </c>
      <c r="FR165">
        <v>25.4924</v>
      </c>
      <c r="FS165">
        <v>30.0001</v>
      </c>
      <c r="FT165">
        <v>25.5321</v>
      </c>
      <c r="FU165">
        <v>25.536300000000001</v>
      </c>
      <c r="FV165">
        <v>24.9832</v>
      </c>
      <c r="FW165">
        <v>28.996200000000002</v>
      </c>
      <c r="FX165">
        <v>15.148</v>
      </c>
      <c r="FY165">
        <v>17.885400000000001</v>
      </c>
      <c r="FZ165">
        <v>410</v>
      </c>
      <c r="GA165">
        <v>13.401999999999999</v>
      </c>
      <c r="GB165">
        <v>99.894300000000001</v>
      </c>
      <c r="GC165">
        <v>99.842299999999994</v>
      </c>
    </row>
    <row r="166" spans="1:185" x14ac:dyDescent="0.2">
      <c r="A166">
        <v>151</v>
      </c>
      <c r="B166">
        <v>1769203413</v>
      </c>
      <c r="C166">
        <v>3142</v>
      </c>
      <c r="D166" t="s">
        <v>599</v>
      </c>
      <c r="E166" t="s">
        <v>600</v>
      </c>
      <c r="F166">
        <v>15</v>
      </c>
      <c r="G166">
        <v>1769203404.9333301</v>
      </c>
      <c r="H166">
        <f t="shared" si="50"/>
        <v>1.6295553909068006E-3</v>
      </c>
      <c r="I166">
        <v>0</v>
      </c>
      <c r="J166">
        <f t="shared" si="62"/>
        <v>-6.6234165675961272E-4</v>
      </c>
      <c r="K166">
        <f t="shared" si="51"/>
        <v>-1.7074224255645611E-2</v>
      </c>
      <c r="L166">
        <f t="shared" si="52"/>
        <v>69.822756766585144</v>
      </c>
      <c r="M166">
        <f t="shared" si="53"/>
        <v>1.5393476014164171</v>
      </c>
      <c r="N166">
        <f t="shared" si="54"/>
        <v>2.2046502783646864</v>
      </c>
      <c r="O166">
        <v>0</v>
      </c>
      <c r="P166">
        <v>0</v>
      </c>
      <c r="Q166">
        <f t="shared" si="55"/>
        <v>1</v>
      </c>
      <c r="R166">
        <f t="shared" si="56"/>
        <v>0</v>
      </c>
      <c r="S166">
        <f t="shared" si="57"/>
        <v>26256.868646298706</v>
      </c>
      <c r="T166">
        <f t="shared" si="58"/>
        <v>999.99839999999995</v>
      </c>
      <c r="U166">
        <f t="shared" si="59"/>
        <v>842.99914519920958</v>
      </c>
      <c r="V166">
        <f t="shared" si="60"/>
        <v>0.84300049399999999</v>
      </c>
      <c r="W166">
        <f t="shared" si="61"/>
        <v>0.15870123500000002</v>
      </c>
      <c r="X166">
        <v>1</v>
      </c>
      <c r="Y166">
        <v>1769203404.9333301</v>
      </c>
      <c r="Z166">
        <v>409.18220000000002</v>
      </c>
      <c r="AA166">
        <v>409.99433333333297</v>
      </c>
      <c r="AB166">
        <v>15.342280000000001</v>
      </c>
      <c r="AC166">
        <v>13.336600000000001</v>
      </c>
      <c r="AD166">
        <v>409.93846666666701</v>
      </c>
      <c r="AE166">
        <v>15.25248</v>
      </c>
      <c r="AF166">
        <v>800.00513333333299</v>
      </c>
      <c r="AG166">
        <v>100.27</v>
      </c>
      <c r="AH166">
        <v>6.3692346666666705E-2</v>
      </c>
      <c r="AI166">
        <v>18.9961466666667</v>
      </c>
      <c r="AJ166">
        <v>999.9</v>
      </c>
      <c r="AK166">
        <v>999.9</v>
      </c>
      <c r="AL166">
        <v>0</v>
      </c>
      <c r="AM166">
        <v>0</v>
      </c>
      <c r="AN166">
        <v>4994</v>
      </c>
      <c r="AO166">
        <v>0</v>
      </c>
      <c r="AP166">
        <v>1.5244200000000001</v>
      </c>
      <c r="AQ166">
        <v>-0.812107466666667</v>
      </c>
      <c r="AR166">
        <v>415.55793333333298</v>
      </c>
      <c r="AS166">
        <v>415.53626666666702</v>
      </c>
      <c r="AT166">
        <v>2.0056626666666699</v>
      </c>
      <c r="AU166">
        <v>409.99433333333297</v>
      </c>
      <c r="AV166">
        <v>13.336600000000001</v>
      </c>
      <c r="AW166">
        <v>1.53837</v>
      </c>
      <c r="AX166">
        <v>1.33726066666667</v>
      </c>
      <c r="AY166">
        <v>13.354926666666699</v>
      </c>
      <c r="AZ166">
        <v>11.2242933333333</v>
      </c>
      <c r="BA166">
        <v>999.99839999999995</v>
      </c>
      <c r="BB166">
        <v>0.89998353333333303</v>
      </c>
      <c r="BC166">
        <v>0</v>
      </c>
      <c r="BD166">
        <v>0.100016466666667</v>
      </c>
      <c r="BE166">
        <v>0</v>
      </c>
      <c r="BF166">
        <v>25</v>
      </c>
      <c r="BG166">
        <v>16488.68</v>
      </c>
      <c r="BH166">
        <v>1769202886</v>
      </c>
      <c r="BI166" t="s">
        <v>546</v>
      </c>
      <c r="BJ166">
        <v>1769202878</v>
      </c>
      <c r="BK166">
        <v>1769202886</v>
      </c>
      <c r="BL166">
        <v>17</v>
      </c>
      <c r="BM166">
        <v>-1.2999999999999999E-2</v>
      </c>
      <c r="BN166">
        <v>1.9E-2</v>
      </c>
      <c r="BO166">
        <v>-0.75600000000000001</v>
      </c>
      <c r="BP166">
        <v>0.09</v>
      </c>
      <c r="BQ166">
        <v>410</v>
      </c>
      <c r="BR166">
        <v>15</v>
      </c>
      <c r="BS166">
        <v>0.39</v>
      </c>
      <c r="BT166">
        <v>0.03</v>
      </c>
      <c r="BU166">
        <v>-0.81172404761904804</v>
      </c>
      <c r="BV166">
        <v>-5.0147999999999401E-2</v>
      </c>
      <c r="BW166">
        <v>2.0937626712000199E-2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2.0008514285714298</v>
      </c>
      <c r="CD166">
        <v>2.9912727272728E-2</v>
      </c>
      <c r="CE166">
        <v>1.2293122849290799E-2</v>
      </c>
      <c r="CF166">
        <v>1</v>
      </c>
      <c r="CG166">
        <v>2</v>
      </c>
      <c r="CH166">
        <v>2</v>
      </c>
      <c r="CI166" t="s">
        <v>297</v>
      </c>
      <c r="CJ166">
        <v>3.5325299999999999</v>
      </c>
      <c r="CK166">
        <v>2.7015199999999999</v>
      </c>
      <c r="CL166">
        <v>9.7938899999999995E-2</v>
      </c>
      <c r="CM166">
        <v>9.6736199999999994E-2</v>
      </c>
      <c r="CN166">
        <v>8.7016099999999999E-2</v>
      </c>
      <c r="CO166">
        <v>7.7662400000000006E-2</v>
      </c>
      <c r="CP166">
        <v>31634.6</v>
      </c>
      <c r="CQ166">
        <v>27841.9</v>
      </c>
      <c r="CR166">
        <v>32457.9</v>
      </c>
      <c r="CS166">
        <v>30750.7</v>
      </c>
      <c r="CT166">
        <v>40133.599999999999</v>
      </c>
      <c r="CU166">
        <v>39898.300000000003</v>
      </c>
      <c r="CV166">
        <v>47410.7</v>
      </c>
      <c r="CW166">
        <v>46906.400000000001</v>
      </c>
      <c r="CX166">
        <v>2.6236799999999998</v>
      </c>
      <c r="CY166">
        <v>2.1212</v>
      </c>
      <c r="CZ166">
        <v>0</v>
      </c>
      <c r="DA166">
        <v>0</v>
      </c>
      <c r="DB166">
        <v>999.9</v>
      </c>
      <c r="DC166">
        <v>999.9</v>
      </c>
      <c r="DD166">
        <v>45.335999999999999</v>
      </c>
      <c r="DE166">
        <v>28.852</v>
      </c>
      <c r="DF166">
        <v>18.0288</v>
      </c>
      <c r="DG166">
        <v>30.52</v>
      </c>
      <c r="DH166">
        <v>16.4343</v>
      </c>
      <c r="DI166">
        <v>2</v>
      </c>
      <c r="DJ166">
        <v>-0.117553</v>
      </c>
      <c r="DK166">
        <v>2.3599899999999998</v>
      </c>
      <c r="DL166">
        <v>20.186900000000001</v>
      </c>
      <c r="DM166">
        <v>5.25143</v>
      </c>
      <c r="DN166">
        <v>12.033899999999999</v>
      </c>
      <c r="DO166">
        <v>4.9675599999999998</v>
      </c>
      <c r="DP166">
        <v>3.2909999999999999</v>
      </c>
      <c r="DQ166">
        <v>538.5</v>
      </c>
      <c r="DR166">
        <v>9999</v>
      </c>
      <c r="DS166">
        <v>9999</v>
      </c>
      <c r="DT166">
        <v>9999</v>
      </c>
      <c r="DU166">
        <v>1.8710800000000001</v>
      </c>
      <c r="DV166">
        <v>1.8760699999999999</v>
      </c>
      <c r="DW166">
        <v>1.8762399999999999</v>
      </c>
      <c r="DX166">
        <v>1.8827799999999999</v>
      </c>
      <c r="DY166">
        <v>1.87557</v>
      </c>
      <c r="DZ166">
        <v>1.87463</v>
      </c>
      <c r="EA166">
        <v>1.8707499999999999</v>
      </c>
      <c r="EB166">
        <v>1.87456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-0.75600000000000001</v>
      </c>
      <c r="EQ166">
        <v>8.9800000000000005E-2</v>
      </c>
      <c r="ER166">
        <v>-0.75629999999995301</v>
      </c>
      <c r="ES166">
        <v>0</v>
      </c>
      <c r="ET166">
        <v>0</v>
      </c>
      <c r="EU166">
        <v>0</v>
      </c>
      <c r="EV166">
        <v>8.98000000000021E-2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8.9</v>
      </c>
      <c r="FE166">
        <v>8.8000000000000007</v>
      </c>
      <c r="FF166">
        <v>1.24512</v>
      </c>
      <c r="FG166">
        <v>2.6049799999999999</v>
      </c>
      <c r="FH166">
        <v>2.19604</v>
      </c>
      <c r="FI166">
        <v>2.66113</v>
      </c>
      <c r="FJ166">
        <v>2.4462899999999999</v>
      </c>
      <c r="FK166">
        <v>2.2668499999999998</v>
      </c>
      <c r="FL166">
        <v>33.065199999999997</v>
      </c>
      <c r="FM166">
        <v>24.1313</v>
      </c>
      <c r="FN166">
        <v>19</v>
      </c>
      <c r="FO166">
        <v>866.57399999999996</v>
      </c>
      <c r="FP166">
        <v>569.87400000000002</v>
      </c>
      <c r="FQ166">
        <v>17.893699999999999</v>
      </c>
      <c r="FR166">
        <v>25.490600000000001</v>
      </c>
      <c r="FS166">
        <v>30.0001</v>
      </c>
      <c r="FT166">
        <v>25.529900000000001</v>
      </c>
      <c r="FU166">
        <v>25.533300000000001</v>
      </c>
      <c r="FV166">
        <v>24.980899999999998</v>
      </c>
      <c r="FW166">
        <v>28.721599999999999</v>
      </c>
      <c r="FX166">
        <v>15.148</v>
      </c>
      <c r="FY166">
        <v>17.892900000000001</v>
      </c>
      <c r="FZ166">
        <v>410</v>
      </c>
      <c r="GA166">
        <v>13.4026</v>
      </c>
      <c r="GB166">
        <v>99.893699999999995</v>
      </c>
      <c r="GC166">
        <v>99.844800000000006</v>
      </c>
    </row>
    <row r="167" spans="1:185" x14ac:dyDescent="0.2">
      <c r="A167">
        <v>152</v>
      </c>
      <c r="B167">
        <v>1769203428</v>
      </c>
      <c r="C167">
        <v>3157</v>
      </c>
      <c r="D167" t="s">
        <v>601</v>
      </c>
      <c r="E167" t="s">
        <v>602</v>
      </c>
      <c r="F167">
        <v>15</v>
      </c>
      <c r="G167">
        <v>1769203419.9333301</v>
      </c>
      <c r="H167">
        <f t="shared" si="50"/>
        <v>1.6178444980546034E-3</v>
      </c>
      <c r="I167">
        <v>0</v>
      </c>
      <c r="J167">
        <f t="shared" si="62"/>
        <v>-4.6024488788875618E-4</v>
      </c>
      <c r="K167">
        <f t="shared" si="51"/>
        <v>-1.1864457486748655E-2</v>
      </c>
      <c r="L167">
        <f t="shared" si="52"/>
        <v>69.793193498988018</v>
      </c>
      <c r="M167">
        <f t="shared" si="53"/>
        <v>1.539335456463685</v>
      </c>
      <c r="N167">
        <f t="shared" si="54"/>
        <v>2.2055667312114111</v>
      </c>
      <c r="O167">
        <v>0</v>
      </c>
      <c r="P167">
        <v>0</v>
      </c>
      <c r="Q167">
        <f t="shared" si="55"/>
        <v>1</v>
      </c>
      <c r="R167">
        <f t="shared" si="56"/>
        <v>0</v>
      </c>
      <c r="S167">
        <f t="shared" si="57"/>
        <v>26304.119008190348</v>
      </c>
      <c r="T167">
        <f t="shared" si="58"/>
        <v>999.99766666666699</v>
      </c>
      <c r="U167">
        <f t="shared" si="59"/>
        <v>842.99852699884764</v>
      </c>
      <c r="V167">
        <f t="shared" si="60"/>
        <v>0.84300049399999999</v>
      </c>
      <c r="W167">
        <f t="shared" si="61"/>
        <v>0.15870123500000002</v>
      </c>
      <c r="X167">
        <v>1</v>
      </c>
      <c r="Y167">
        <v>1769203419.9333301</v>
      </c>
      <c r="Z167">
        <v>409.18746666666698</v>
      </c>
      <c r="AA167">
        <v>410.000133333333</v>
      </c>
      <c r="AB167">
        <v>15.3423933333333</v>
      </c>
      <c r="AC167">
        <v>13.351126666666699</v>
      </c>
      <c r="AD167">
        <v>409.94366666666701</v>
      </c>
      <c r="AE167">
        <v>15.2525933333333</v>
      </c>
      <c r="AF167">
        <v>800.00480000000005</v>
      </c>
      <c r="AG167">
        <v>100.268533333333</v>
      </c>
      <c r="AH167">
        <v>6.3626260000000004E-2</v>
      </c>
      <c r="AI167">
        <v>19.0028066666667</v>
      </c>
      <c r="AJ167">
        <v>999.9</v>
      </c>
      <c r="AK167">
        <v>999.9</v>
      </c>
      <c r="AL167">
        <v>0</v>
      </c>
      <c r="AM167">
        <v>0</v>
      </c>
      <c r="AN167">
        <v>5001.9333333333298</v>
      </c>
      <c r="AO167">
        <v>0</v>
      </c>
      <c r="AP167">
        <v>1.5244200000000001</v>
      </c>
      <c r="AQ167">
        <v>-0.812636466666667</v>
      </c>
      <c r="AR167">
        <v>415.56319999999999</v>
      </c>
      <c r="AS167">
        <v>415.548133333333</v>
      </c>
      <c r="AT167">
        <v>1.9912700000000001</v>
      </c>
      <c r="AU167">
        <v>410.000133333333</v>
      </c>
      <c r="AV167">
        <v>13.351126666666699</v>
      </c>
      <c r="AW167">
        <v>1.53835866666667</v>
      </c>
      <c r="AX167">
        <v>1.3386973333333301</v>
      </c>
      <c r="AY167">
        <v>13.354839999999999</v>
      </c>
      <c r="AZ167">
        <v>11.24048</v>
      </c>
      <c r="BA167">
        <v>999.99766666666699</v>
      </c>
      <c r="BB167">
        <v>0.89998353333333303</v>
      </c>
      <c r="BC167">
        <v>0</v>
      </c>
      <c r="BD167">
        <v>0.100016466666667</v>
      </c>
      <c r="BE167">
        <v>0</v>
      </c>
      <c r="BF167">
        <v>25</v>
      </c>
      <c r="BG167">
        <v>16488.6733333333</v>
      </c>
      <c r="BH167">
        <v>1769202886</v>
      </c>
      <c r="BI167" t="s">
        <v>546</v>
      </c>
      <c r="BJ167">
        <v>1769202878</v>
      </c>
      <c r="BK167">
        <v>1769202886</v>
      </c>
      <c r="BL167">
        <v>17</v>
      </c>
      <c r="BM167">
        <v>-1.2999999999999999E-2</v>
      </c>
      <c r="BN167">
        <v>1.9E-2</v>
      </c>
      <c r="BO167">
        <v>-0.75600000000000001</v>
      </c>
      <c r="BP167">
        <v>0.09</v>
      </c>
      <c r="BQ167">
        <v>410</v>
      </c>
      <c r="BR167">
        <v>15</v>
      </c>
      <c r="BS167">
        <v>0.39</v>
      </c>
      <c r="BT167">
        <v>0.03</v>
      </c>
      <c r="BU167">
        <v>-0.82113952380952404</v>
      </c>
      <c r="BV167">
        <v>0.121736805194804</v>
      </c>
      <c r="BW167">
        <v>2.4473948877898801E-2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1.9934000000000001</v>
      </c>
      <c r="CD167">
        <v>-3.4790649350645797E-2</v>
      </c>
      <c r="CE167">
        <v>6.5146187258240101E-3</v>
      </c>
      <c r="CF167">
        <v>1</v>
      </c>
      <c r="CG167">
        <v>2</v>
      </c>
      <c r="CH167">
        <v>2</v>
      </c>
      <c r="CI167" t="s">
        <v>297</v>
      </c>
      <c r="CJ167">
        <v>3.5325500000000001</v>
      </c>
      <c r="CK167">
        <v>2.70147</v>
      </c>
      <c r="CL167">
        <v>9.7938499999999998E-2</v>
      </c>
      <c r="CM167">
        <v>9.6726999999999994E-2</v>
      </c>
      <c r="CN167">
        <v>8.7039900000000003E-2</v>
      </c>
      <c r="CO167">
        <v>7.7644599999999994E-2</v>
      </c>
      <c r="CP167">
        <v>31633.8</v>
      </c>
      <c r="CQ167">
        <v>27842.2</v>
      </c>
      <c r="CR167">
        <v>32457.1</v>
      </c>
      <c r="CS167">
        <v>30750.7</v>
      </c>
      <c r="CT167">
        <v>40131.699999999997</v>
      </c>
      <c r="CU167">
        <v>39899.300000000003</v>
      </c>
      <c r="CV167">
        <v>47409.8</v>
      </c>
      <c r="CW167">
        <v>46906.7</v>
      </c>
      <c r="CX167">
        <v>2.6234799999999998</v>
      </c>
      <c r="CY167">
        <v>2.1210800000000001</v>
      </c>
      <c r="CZ167">
        <v>0</v>
      </c>
      <c r="DA167">
        <v>0</v>
      </c>
      <c r="DB167">
        <v>999.9</v>
      </c>
      <c r="DC167">
        <v>999.9</v>
      </c>
      <c r="DD167">
        <v>45.311999999999998</v>
      </c>
      <c r="DE167">
        <v>28.852</v>
      </c>
      <c r="DF167">
        <v>18.02</v>
      </c>
      <c r="DG167">
        <v>30.22</v>
      </c>
      <c r="DH167">
        <v>16.398199999999999</v>
      </c>
      <c r="DI167">
        <v>2</v>
      </c>
      <c r="DJ167">
        <v>-0.116817</v>
      </c>
      <c r="DK167">
        <v>2.4831099999999999</v>
      </c>
      <c r="DL167">
        <v>20.1846</v>
      </c>
      <c r="DM167">
        <v>5.25143</v>
      </c>
      <c r="DN167">
        <v>12.033899999999999</v>
      </c>
      <c r="DO167">
        <v>4.9674800000000001</v>
      </c>
      <c r="DP167">
        <v>3.2909999999999999</v>
      </c>
      <c r="DQ167">
        <v>538.5</v>
      </c>
      <c r="DR167">
        <v>9999</v>
      </c>
      <c r="DS167">
        <v>9999</v>
      </c>
      <c r="DT167">
        <v>9999</v>
      </c>
      <c r="DU167">
        <v>1.87117</v>
      </c>
      <c r="DV167">
        <v>1.87609</v>
      </c>
      <c r="DW167">
        <v>1.87626</v>
      </c>
      <c r="DX167">
        <v>1.8827799999999999</v>
      </c>
      <c r="DY167">
        <v>1.8755999999999999</v>
      </c>
      <c r="DZ167">
        <v>1.87469</v>
      </c>
      <c r="EA167">
        <v>1.8708100000000001</v>
      </c>
      <c r="EB167">
        <v>1.8746100000000001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-0.75600000000000001</v>
      </c>
      <c r="EQ167">
        <v>8.9800000000000005E-2</v>
      </c>
      <c r="ER167">
        <v>-0.75629999999995301</v>
      </c>
      <c r="ES167">
        <v>0</v>
      </c>
      <c r="ET167">
        <v>0</v>
      </c>
      <c r="EU167">
        <v>0</v>
      </c>
      <c r="EV167">
        <v>8.98000000000021E-2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9.1999999999999993</v>
      </c>
      <c r="FE167">
        <v>9</v>
      </c>
      <c r="FF167">
        <v>1.24512</v>
      </c>
      <c r="FG167">
        <v>2.6061999999999999</v>
      </c>
      <c r="FH167">
        <v>2.19604</v>
      </c>
      <c r="FI167">
        <v>2.66113</v>
      </c>
      <c r="FJ167">
        <v>2.4462899999999999</v>
      </c>
      <c r="FK167">
        <v>2.2875999999999999</v>
      </c>
      <c r="FL167">
        <v>33.042900000000003</v>
      </c>
      <c r="FM167">
        <v>24.1313</v>
      </c>
      <c r="FN167">
        <v>19</v>
      </c>
      <c r="FO167">
        <v>866.35299999999995</v>
      </c>
      <c r="FP167">
        <v>569.77700000000004</v>
      </c>
      <c r="FQ167">
        <v>17.8535</v>
      </c>
      <c r="FR167">
        <v>25.4924</v>
      </c>
      <c r="FS167">
        <v>30.0002</v>
      </c>
      <c r="FT167">
        <v>25.527799999999999</v>
      </c>
      <c r="FU167">
        <v>25.532800000000002</v>
      </c>
      <c r="FV167">
        <v>24.982299999999999</v>
      </c>
      <c r="FW167">
        <v>28.721599999999999</v>
      </c>
      <c r="FX167">
        <v>14.776999999999999</v>
      </c>
      <c r="FY167">
        <v>17.8462</v>
      </c>
      <c r="FZ167">
        <v>410</v>
      </c>
      <c r="GA167">
        <v>13.402699999999999</v>
      </c>
      <c r="GB167">
        <v>99.891499999999994</v>
      </c>
      <c r="GC167">
        <v>99.845200000000006</v>
      </c>
    </row>
    <row r="168" spans="1:185" x14ac:dyDescent="0.2">
      <c r="A168">
        <v>153</v>
      </c>
      <c r="B168">
        <v>1769203443</v>
      </c>
      <c r="C168">
        <v>3172</v>
      </c>
      <c r="D168" t="s">
        <v>603</v>
      </c>
      <c r="E168" t="s">
        <v>604</v>
      </c>
      <c r="F168">
        <v>15</v>
      </c>
      <c r="G168">
        <v>1769203434.9333301</v>
      </c>
      <c r="H168">
        <f t="shared" si="50"/>
        <v>1.6216187959943573E-3</v>
      </c>
      <c r="I168">
        <v>0</v>
      </c>
      <c r="J168">
        <f t="shared" si="62"/>
        <v>-8.4114253486725196E-4</v>
      </c>
      <c r="K168">
        <f t="shared" si="51"/>
        <v>-2.1683456150936455E-2</v>
      </c>
      <c r="L168">
        <f t="shared" si="52"/>
        <v>69.79213006614161</v>
      </c>
      <c r="M168">
        <f t="shared" si="53"/>
        <v>1.5395495946654982</v>
      </c>
      <c r="N168">
        <f t="shared" si="54"/>
        <v>2.2059071606017406</v>
      </c>
      <c r="O168">
        <v>0</v>
      </c>
      <c r="P168">
        <v>0</v>
      </c>
      <c r="Q168">
        <f t="shared" si="55"/>
        <v>1</v>
      </c>
      <c r="R168">
        <f t="shared" si="56"/>
        <v>0</v>
      </c>
      <c r="S168">
        <f t="shared" si="57"/>
        <v>26335.486987021079</v>
      </c>
      <c r="T168">
        <f t="shared" si="58"/>
        <v>999.99620000000004</v>
      </c>
      <c r="U168">
        <f t="shared" si="59"/>
        <v>842.99710459882954</v>
      </c>
      <c r="V168">
        <f t="shared" si="60"/>
        <v>0.84300030799999992</v>
      </c>
      <c r="W168">
        <f t="shared" si="61"/>
        <v>0.15870077000000002</v>
      </c>
      <c r="X168">
        <v>1</v>
      </c>
      <c r="Y168">
        <v>1769203434.9333301</v>
      </c>
      <c r="Z168">
        <v>409.1952</v>
      </c>
      <c r="AA168">
        <v>409.99753333333302</v>
      </c>
      <c r="AB168">
        <v>15.344526666666701</v>
      </c>
      <c r="AC168">
        <v>13.3486333333333</v>
      </c>
      <c r="AD168">
        <v>409.95139999999998</v>
      </c>
      <c r="AE168">
        <v>15.2547266666667</v>
      </c>
      <c r="AF168">
        <v>800.01059999999995</v>
      </c>
      <c r="AG168">
        <v>100.268466666667</v>
      </c>
      <c r="AH168">
        <v>6.3699199999999997E-2</v>
      </c>
      <c r="AI168">
        <v>19.005279999999999</v>
      </c>
      <c r="AJ168">
        <v>999.9</v>
      </c>
      <c r="AK168">
        <v>999.9</v>
      </c>
      <c r="AL168">
        <v>0</v>
      </c>
      <c r="AM168">
        <v>0</v>
      </c>
      <c r="AN168">
        <v>5007.1333333333296</v>
      </c>
      <c r="AO168">
        <v>0</v>
      </c>
      <c r="AP168">
        <v>1.5244200000000001</v>
      </c>
      <c r="AQ168">
        <v>-0.80240486666666699</v>
      </c>
      <c r="AR168">
        <v>415.5718</v>
      </c>
      <c r="AS168">
        <v>415.54453333333299</v>
      </c>
      <c r="AT168">
        <v>1.995908</v>
      </c>
      <c r="AU168">
        <v>409.99753333333302</v>
      </c>
      <c r="AV168">
        <v>13.3486333333333</v>
      </c>
      <c r="AW168">
        <v>1.5385706666666701</v>
      </c>
      <c r="AX168">
        <v>1.338446</v>
      </c>
      <c r="AY168">
        <v>13.356960000000001</v>
      </c>
      <c r="AZ168">
        <v>11.237633333333299</v>
      </c>
      <c r="BA168">
        <v>999.99620000000004</v>
      </c>
      <c r="BB168">
        <v>0.89998973333333299</v>
      </c>
      <c r="BC168">
        <v>0</v>
      </c>
      <c r="BD168">
        <v>0.100010266666667</v>
      </c>
      <c r="BE168">
        <v>0</v>
      </c>
      <c r="BF168">
        <v>25</v>
      </c>
      <c r="BG168">
        <v>16488.7</v>
      </c>
      <c r="BH168">
        <v>1769202886</v>
      </c>
      <c r="BI168" t="s">
        <v>546</v>
      </c>
      <c r="BJ168">
        <v>1769202878</v>
      </c>
      <c r="BK168">
        <v>1769202886</v>
      </c>
      <c r="BL168">
        <v>17</v>
      </c>
      <c r="BM168">
        <v>-1.2999999999999999E-2</v>
      </c>
      <c r="BN168">
        <v>1.9E-2</v>
      </c>
      <c r="BO168">
        <v>-0.75600000000000001</v>
      </c>
      <c r="BP168">
        <v>0.09</v>
      </c>
      <c r="BQ168">
        <v>410</v>
      </c>
      <c r="BR168">
        <v>15</v>
      </c>
      <c r="BS168">
        <v>0.39</v>
      </c>
      <c r="BT168">
        <v>0.03</v>
      </c>
      <c r="BU168">
        <v>-0.80321109523809497</v>
      </c>
      <c r="BV168">
        <v>4.0935116883116802E-2</v>
      </c>
      <c r="BW168">
        <v>2.8529667081837001E-2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1.9949176190476201</v>
      </c>
      <c r="CD168">
        <v>-6.5050129870127496E-2</v>
      </c>
      <c r="CE168">
        <v>1.8529584813985599E-2</v>
      </c>
      <c r="CF168">
        <v>1</v>
      </c>
      <c r="CG168">
        <v>2</v>
      </c>
      <c r="CH168">
        <v>2</v>
      </c>
      <c r="CI168" t="s">
        <v>297</v>
      </c>
      <c r="CJ168">
        <v>3.5325600000000001</v>
      </c>
      <c r="CK168">
        <v>2.7014900000000002</v>
      </c>
      <c r="CL168">
        <v>9.7941100000000003E-2</v>
      </c>
      <c r="CM168">
        <v>9.6737400000000001E-2</v>
      </c>
      <c r="CN168">
        <v>8.7038900000000002E-2</v>
      </c>
      <c r="CO168">
        <v>7.7776399999999996E-2</v>
      </c>
      <c r="CP168">
        <v>31633.200000000001</v>
      </c>
      <c r="CQ168">
        <v>27841.599999999999</v>
      </c>
      <c r="CR168">
        <v>32456.5</v>
      </c>
      <c r="CS168">
        <v>30750.400000000001</v>
      </c>
      <c r="CT168">
        <v>40131.1</v>
      </c>
      <c r="CU168">
        <v>39893</v>
      </c>
      <c r="CV168">
        <v>47409</v>
      </c>
      <c r="CW168">
        <v>46906.2</v>
      </c>
      <c r="CX168">
        <v>2.6236999999999999</v>
      </c>
      <c r="CY168">
        <v>2.121</v>
      </c>
      <c r="CZ168">
        <v>0</v>
      </c>
      <c r="DA168">
        <v>0</v>
      </c>
      <c r="DB168">
        <v>999.9</v>
      </c>
      <c r="DC168">
        <v>999.9</v>
      </c>
      <c r="DD168">
        <v>45.213999999999999</v>
      </c>
      <c r="DE168">
        <v>28.841999999999999</v>
      </c>
      <c r="DF168">
        <v>17.969899999999999</v>
      </c>
      <c r="DG168">
        <v>30.13</v>
      </c>
      <c r="DH168">
        <v>16.398199999999999</v>
      </c>
      <c r="DI168">
        <v>2</v>
      </c>
      <c r="DJ168">
        <v>-0.116732</v>
      </c>
      <c r="DK168">
        <v>2.4767800000000002</v>
      </c>
      <c r="DL168">
        <v>20.1846</v>
      </c>
      <c r="DM168">
        <v>5.2513100000000001</v>
      </c>
      <c r="DN168">
        <v>12.033899999999999</v>
      </c>
      <c r="DO168">
        <v>4.9673600000000002</v>
      </c>
      <c r="DP168">
        <v>3.2909999999999999</v>
      </c>
      <c r="DQ168">
        <v>538.5</v>
      </c>
      <c r="DR168">
        <v>9999</v>
      </c>
      <c r="DS168">
        <v>9999</v>
      </c>
      <c r="DT168">
        <v>9999</v>
      </c>
      <c r="DU168">
        <v>1.8711500000000001</v>
      </c>
      <c r="DV168">
        <v>1.87609</v>
      </c>
      <c r="DW168">
        <v>1.8762799999999999</v>
      </c>
      <c r="DX168">
        <v>1.88279</v>
      </c>
      <c r="DY168">
        <v>1.87561</v>
      </c>
      <c r="DZ168">
        <v>1.87466</v>
      </c>
      <c r="EA168">
        <v>1.8708100000000001</v>
      </c>
      <c r="EB168">
        <v>1.87462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-0.75700000000000001</v>
      </c>
      <c r="EQ168">
        <v>8.9800000000000005E-2</v>
      </c>
      <c r="ER168">
        <v>-0.75629999999995301</v>
      </c>
      <c r="ES168">
        <v>0</v>
      </c>
      <c r="ET168">
        <v>0</v>
      </c>
      <c r="EU168">
        <v>0</v>
      </c>
      <c r="EV168">
        <v>8.98000000000021E-2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9.4</v>
      </c>
      <c r="FE168">
        <v>9.3000000000000007</v>
      </c>
      <c r="FF168">
        <v>1.24512</v>
      </c>
      <c r="FG168">
        <v>2.6086399999999998</v>
      </c>
      <c r="FH168">
        <v>2.19604</v>
      </c>
      <c r="FI168">
        <v>2.66113</v>
      </c>
      <c r="FJ168">
        <v>2.4462899999999999</v>
      </c>
      <c r="FK168">
        <v>2.3022499999999999</v>
      </c>
      <c r="FL168">
        <v>33.065199999999997</v>
      </c>
      <c r="FM168">
        <v>24.1313</v>
      </c>
      <c r="FN168">
        <v>19</v>
      </c>
      <c r="FO168">
        <v>866.55700000000002</v>
      </c>
      <c r="FP168">
        <v>569.71600000000001</v>
      </c>
      <c r="FQ168">
        <v>17.837700000000002</v>
      </c>
      <c r="FR168">
        <v>25.494499999999999</v>
      </c>
      <c r="FS168">
        <v>30.0002</v>
      </c>
      <c r="FT168">
        <v>25.527799999999999</v>
      </c>
      <c r="FU168">
        <v>25.532800000000002</v>
      </c>
      <c r="FV168">
        <v>24.9816</v>
      </c>
      <c r="FW168">
        <v>28.445599999999999</v>
      </c>
      <c r="FX168">
        <v>14.776999999999999</v>
      </c>
      <c r="FY168">
        <v>17.829799999999999</v>
      </c>
      <c r="FZ168">
        <v>410</v>
      </c>
      <c r="GA168">
        <v>13.402699999999999</v>
      </c>
      <c r="GB168">
        <v>99.889799999999994</v>
      </c>
      <c r="GC168">
        <v>99.844200000000001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2026-01-23T16:26:17Z</dcterms:created>
  <dcterms:modified xsi:type="dcterms:W3CDTF">2026-06-02T23:27:29Z</dcterms:modified>
</cp:coreProperties>
</file>