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single_curves_cyano/"/>
    </mc:Choice>
  </mc:AlternateContent>
  <xr:revisionPtr revIDLastSave="6" documentId="11_ACE0710022239398A5EE64BD2132F556362FD1D6" xr6:coauthVersionLast="47" xr6:coauthVersionMax="47" xr10:uidLastSave="{8B868C17-E2CC-364E-A1A3-CD863536A5FB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16" i="1"/>
  <c r="W233" i="1"/>
  <c r="V233" i="1"/>
  <c r="T233" i="1"/>
  <c r="S233" i="1"/>
  <c r="Q233" i="1" s="1"/>
  <c r="H233" i="1" s="1"/>
  <c r="N233" i="1"/>
  <c r="M233" i="1"/>
  <c r="W232" i="1"/>
  <c r="V232" i="1"/>
  <c r="T232" i="1"/>
  <c r="S232" i="1"/>
  <c r="Q232" i="1" s="1"/>
  <c r="K232" i="1" s="1"/>
  <c r="N232" i="1"/>
  <c r="M232" i="1"/>
  <c r="W231" i="1"/>
  <c r="V231" i="1"/>
  <c r="T231" i="1"/>
  <c r="U231" i="1" s="1"/>
  <c r="S231" i="1"/>
  <c r="Q231" i="1" s="1"/>
  <c r="K231" i="1" s="1"/>
  <c r="N231" i="1"/>
  <c r="M231" i="1"/>
  <c r="L231" i="1" s="1"/>
  <c r="W230" i="1"/>
  <c r="V230" i="1"/>
  <c r="T230" i="1"/>
  <c r="S230" i="1"/>
  <c r="Q230" i="1" s="1"/>
  <c r="K230" i="1" s="1"/>
  <c r="N230" i="1"/>
  <c r="M230" i="1"/>
  <c r="W229" i="1"/>
  <c r="V229" i="1"/>
  <c r="T229" i="1"/>
  <c r="S229" i="1"/>
  <c r="Q229" i="1" s="1"/>
  <c r="K229" i="1" s="1"/>
  <c r="N229" i="1"/>
  <c r="M229" i="1"/>
  <c r="W228" i="1"/>
  <c r="V228" i="1"/>
  <c r="T228" i="1"/>
  <c r="S228" i="1"/>
  <c r="Q228" i="1" s="1"/>
  <c r="N228" i="1"/>
  <c r="M228" i="1"/>
  <c r="W227" i="1"/>
  <c r="V227" i="1"/>
  <c r="T227" i="1"/>
  <c r="S227" i="1"/>
  <c r="Q227" i="1" s="1"/>
  <c r="K227" i="1" s="1"/>
  <c r="R227" i="1"/>
  <c r="N227" i="1"/>
  <c r="M227" i="1"/>
  <c r="W226" i="1"/>
  <c r="V226" i="1"/>
  <c r="T226" i="1"/>
  <c r="S226" i="1"/>
  <c r="Q226" i="1" s="1"/>
  <c r="K226" i="1" s="1"/>
  <c r="R226" i="1"/>
  <c r="N226" i="1"/>
  <c r="M226" i="1"/>
  <c r="W225" i="1"/>
  <c r="V225" i="1"/>
  <c r="T225" i="1"/>
  <c r="U225" i="1" s="1"/>
  <c r="S225" i="1"/>
  <c r="Q225" i="1" s="1"/>
  <c r="K225" i="1" s="1"/>
  <c r="N225" i="1"/>
  <c r="M225" i="1"/>
  <c r="W224" i="1"/>
  <c r="V224" i="1"/>
  <c r="T224" i="1"/>
  <c r="S224" i="1"/>
  <c r="Q224" i="1" s="1"/>
  <c r="K224" i="1" s="1"/>
  <c r="N224" i="1"/>
  <c r="M224" i="1"/>
  <c r="W223" i="1"/>
  <c r="V223" i="1"/>
  <c r="T223" i="1"/>
  <c r="S223" i="1"/>
  <c r="Q223" i="1" s="1"/>
  <c r="R223" i="1" s="1"/>
  <c r="N223" i="1"/>
  <c r="M223" i="1"/>
  <c r="L223" i="1" s="1"/>
  <c r="W222" i="1"/>
  <c r="V222" i="1"/>
  <c r="T222" i="1"/>
  <c r="U222" i="1" s="1"/>
  <c r="S222" i="1"/>
  <c r="Q222" i="1" s="1"/>
  <c r="H222" i="1" s="1"/>
  <c r="N222" i="1"/>
  <c r="L222" i="1" s="1"/>
  <c r="M222" i="1"/>
  <c r="W221" i="1"/>
  <c r="V221" i="1"/>
  <c r="T221" i="1"/>
  <c r="S221" i="1"/>
  <c r="Q221" i="1" s="1"/>
  <c r="K221" i="1" s="1"/>
  <c r="N221" i="1"/>
  <c r="M221" i="1"/>
  <c r="W220" i="1"/>
  <c r="V220" i="1"/>
  <c r="T220" i="1"/>
  <c r="U220" i="1" s="1"/>
  <c r="S220" i="1"/>
  <c r="Q220" i="1" s="1"/>
  <c r="K220" i="1" s="1"/>
  <c r="N220" i="1"/>
  <c r="M220" i="1"/>
  <c r="L220" i="1" s="1"/>
  <c r="W219" i="1"/>
  <c r="V219" i="1"/>
  <c r="T219" i="1"/>
  <c r="S219" i="1"/>
  <c r="Q219" i="1"/>
  <c r="K219" i="1" s="1"/>
  <c r="N219" i="1"/>
  <c r="L219" i="1" s="1"/>
  <c r="M219" i="1"/>
  <c r="W218" i="1"/>
  <c r="V218" i="1"/>
  <c r="T218" i="1"/>
  <c r="S218" i="1"/>
  <c r="Q218" i="1" s="1"/>
  <c r="K218" i="1" s="1"/>
  <c r="N218" i="1"/>
  <c r="L218" i="1" s="1"/>
  <c r="M218" i="1"/>
  <c r="W217" i="1"/>
  <c r="V217" i="1"/>
  <c r="T217" i="1"/>
  <c r="S217" i="1"/>
  <c r="Q217" i="1" s="1"/>
  <c r="N217" i="1"/>
  <c r="M217" i="1"/>
  <c r="W216" i="1"/>
  <c r="V216" i="1"/>
  <c r="T216" i="1"/>
  <c r="S216" i="1"/>
  <c r="Q216" i="1" s="1"/>
  <c r="R216" i="1"/>
  <c r="N216" i="1"/>
  <c r="M216" i="1"/>
  <c r="K216" i="1"/>
  <c r="H216" i="1"/>
  <c r="W215" i="1"/>
  <c r="V215" i="1"/>
  <c r="T215" i="1"/>
  <c r="S215" i="1"/>
  <c r="Q215" i="1" s="1"/>
  <c r="N215" i="1"/>
  <c r="M215" i="1"/>
  <c r="W214" i="1"/>
  <c r="V214" i="1"/>
  <c r="T214" i="1"/>
  <c r="U214" i="1" s="1"/>
  <c r="S214" i="1"/>
  <c r="Q214" i="1" s="1"/>
  <c r="K214" i="1" s="1"/>
  <c r="N214" i="1"/>
  <c r="M214" i="1"/>
  <c r="W213" i="1"/>
  <c r="V213" i="1"/>
  <c r="T213" i="1"/>
  <c r="S213" i="1"/>
  <c r="Q213" i="1" s="1"/>
  <c r="N213" i="1"/>
  <c r="M213" i="1"/>
  <c r="W212" i="1"/>
  <c r="V212" i="1"/>
  <c r="T212" i="1"/>
  <c r="S212" i="1"/>
  <c r="Q212" i="1" s="1"/>
  <c r="H212" i="1" s="1"/>
  <c r="N212" i="1"/>
  <c r="M212" i="1"/>
  <c r="W211" i="1"/>
  <c r="V211" i="1"/>
  <c r="T211" i="1"/>
  <c r="S211" i="1"/>
  <c r="Q211" i="1" s="1"/>
  <c r="N211" i="1"/>
  <c r="M211" i="1"/>
  <c r="W210" i="1"/>
  <c r="V210" i="1"/>
  <c r="T210" i="1"/>
  <c r="U210" i="1" s="1"/>
  <c r="S210" i="1"/>
  <c r="Q210" i="1" s="1"/>
  <c r="N210" i="1"/>
  <c r="M210" i="1"/>
  <c r="W209" i="1"/>
  <c r="V209" i="1"/>
  <c r="T209" i="1"/>
  <c r="S209" i="1"/>
  <c r="Q209" i="1" s="1"/>
  <c r="N209" i="1"/>
  <c r="M209" i="1"/>
  <c r="W208" i="1"/>
  <c r="V208" i="1"/>
  <c r="T208" i="1"/>
  <c r="S208" i="1"/>
  <c r="Q208" i="1" s="1"/>
  <c r="K208" i="1" s="1"/>
  <c r="N208" i="1"/>
  <c r="M208" i="1"/>
  <c r="W207" i="1"/>
  <c r="V207" i="1"/>
  <c r="T207" i="1"/>
  <c r="S207" i="1"/>
  <c r="Q207" i="1" s="1"/>
  <c r="R207" i="1" s="1"/>
  <c r="N207" i="1"/>
  <c r="M207" i="1"/>
  <c r="L207" i="1" s="1"/>
  <c r="W206" i="1"/>
  <c r="V206" i="1"/>
  <c r="T206" i="1"/>
  <c r="U206" i="1" s="1"/>
  <c r="S206" i="1"/>
  <c r="Q206" i="1" s="1"/>
  <c r="K206" i="1" s="1"/>
  <c r="N206" i="1"/>
  <c r="M206" i="1"/>
  <c r="W205" i="1"/>
  <c r="V205" i="1"/>
  <c r="T205" i="1"/>
  <c r="S205" i="1"/>
  <c r="Q205" i="1" s="1"/>
  <c r="N205" i="1"/>
  <c r="M205" i="1"/>
  <c r="W204" i="1"/>
  <c r="V204" i="1"/>
  <c r="T204" i="1"/>
  <c r="S204" i="1"/>
  <c r="Q204" i="1" s="1"/>
  <c r="K204" i="1" s="1"/>
  <c r="N204" i="1"/>
  <c r="M204" i="1"/>
  <c r="L204" i="1" s="1"/>
  <c r="W203" i="1"/>
  <c r="V203" i="1"/>
  <c r="T203" i="1"/>
  <c r="S203" i="1"/>
  <c r="Q203" i="1"/>
  <c r="K203" i="1" s="1"/>
  <c r="N203" i="1"/>
  <c r="M203" i="1"/>
  <c r="H203" i="1"/>
  <c r="W202" i="1"/>
  <c r="V202" i="1"/>
  <c r="T202" i="1"/>
  <c r="S202" i="1"/>
  <c r="Q202" i="1" s="1"/>
  <c r="K202" i="1" s="1"/>
  <c r="N202" i="1"/>
  <c r="L202" i="1" s="1"/>
  <c r="M202" i="1"/>
  <c r="W201" i="1"/>
  <c r="V201" i="1"/>
  <c r="T201" i="1"/>
  <c r="S201" i="1"/>
  <c r="Q201" i="1" s="1"/>
  <c r="N201" i="1"/>
  <c r="M201" i="1"/>
  <c r="W200" i="1"/>
  <c r="V200" i="1"/>
  <c r="T200" i="1"/>
  <c r="U200" i="1" s="1"/>
  <c r="S200" i="1"/>
  <c r="Q200" i="1" s="1"/>
  <c r="K200" i="1" s="1"/>
  <c r="N200" i="1"/>
  <c r="M200" i="1"/>
  <c r="W199" i="1"/>
  <c r="V199" i="1"/>
  <c r="T199" i="1"/>
  <c r="S199" i="1"/>
  <c r="Q199" i="1" s="1"/>
  <c r="N199" i="1"/>
  <c r="M199" i="1"/>
  <c r="W198" i="1"/>
  <c r="V198" i="1"/>
  <c r="T198" i="1"/>
  <c r="U198" i="1" s="1"/>
  <c r="S198" i="1"/>
  <c r="Q198" i="1" s="1"/>
  <c r="K198" i="1" s="1"/>
  <c r="N198" i="1"/>
  <c r="M198" i="1"/>
  <c r="W197" i="1"/>
  <c r="V197" i="1"/>
  <c r="T197" i="1"/>
  <c r="S197" i="1"/>
  <c r="Q197" i="1" s="1"/>
  <c r="N197" i="1"/>
  <c r="M197" i="1"/>
  <c r="W196" i="1"/>
  <c r="V196" i="1"/>
  <c r="T196" i="1"/>
  <c r="S196" i="1"/>
  <c r="Q196" i="1" s="1"/>
  <c r="N196" i="1"/>
  <c r="M196" i="1"/>
  <c r="W195" i="1"/>
  <c r="V195" i="1"/>
  <c r="T195" i="1"/>
  <c r="S195" i="1"/>
  <c r="Q195" i="1" s="1"/>
  <c r="R195" i="1" s="1"/>
  <c r="N195" i="1"/>
  <c r="M195" i="1"/>
  <c r="W194" i="1"/>
  <c r="V194" i="1"/>
  <c r="T194" i="1"/>
  <c r="U194" i="1" s="1"/>
  <c r="S194" i="1"/>
  <c r="Q194" i="1" s="1"/>
  <c r="N194" i="1"/>
  <c r="M194" i="1"/>
  <c r="L194" i="1" s="1"/>
  <c r="W193" i="1"/>
  <c r="V193" i="1"/>
  <c r="T193" i="1"/>
  <c r="S193" i="1"/>
  <c r="Q193" i="1" s="1"/>
  <c r="N193" i="1"/>
  <c r="M193" i="1"/>
  <c r="W192" i="1"/>
  <c r="V192" i="1"/>
  <c r="T192" i="1"/>
  <c r="S192" i="1"/>
  <c r="Q192" i="1" s="1"/>
  <c r="R192" i="1" s="1"/>
  <c r="N192" i="1"/>
  <c r="M192" i="1"/>
  <c r="W191" i="1"/>
  <c r="V191" i="1"/>
  <c r="T191" i="1"/>
  <c r="S191" i="1"/>
  <c r="Q191" i="1" s="1"/>
  <c r="K191" i="1" s="1"/>
  <c r="N191" i="1"/>
  <c r="M191" i="1"/>
  <c r="W190" i="1"/>
  <c r="V190" i="1"/>
  <c r="T190" i="1"/>
  <c r="U190" i="1" s="1"/>
  <c r="S190" i="1"/>
  <c r="Q190" i="1" s="1"/>
  <c r="R190" i="1" s="1"/>
  <c r="N190" i="1"/>
  <c r="M190" i="1"/>
  <c r="L190" i="1" s="1"/>
  <c r="K190" i="1"/>
  <c r="W189" i="1"/>
  <c r="V189" i="1"/>
  <c r="T189" i="1"/>
  <c r="S189" i="1"/>
  <c r="Q189" i="1" s="1"/>
  <c r="N189" i="1"/>
  <c r="M189" i="1"/>
  <c r="W188" i="1"/>
  <c r="V188" i="1"/>
  <c r="T188" i="1"/>
  <c r="S188" i="1"/>
  <c r="Q188" i="1" s="1"/>
  <c r="R188" i="1" s="1"/>
  <c r="N188" i="1"/>
  <c r="M188" i="1"/>
  <c r="W187" i="1"/>
  <c r="V187" i="1"/>
  <c r="T187" i="1"/>
  <c r="S187" i="1"/>
  <c r="Q187" i="1" s="1"/>
  <c r="N187" i="1"/>
  <c r="M187" i="1"/>
  <c r="W186" i="1"/>
  <c r="V186" i="1"/>
  <c r="T186" i="1"/>
  <c r="S186" i="1"/>
  <c r="Q186" i="1" s="1"/>
  <c r="R186" i="1" s="1"/>
  <c r="N186" i="1"/>
  <c r="M186" i="1"/>
  <c r="W185" i="1"/>
  <c r="V185" i="1"/>
  <c r="T185" i="1"/>
  <c r="S185" i="1"/>
  <c r="Q185" i="1" s="1"/>
  <c r="N185" i="1"/>
  <c r="M185" i="1"/>
  <c r="W184" i="1"/>
  <c r="V184" i="1"/>
  <c r="T184" i="1"/>
  <c r="S184" i="1"/>
  <c r="Q184" i="1" s="1"/>
  <c r="K184" i="1" s="1"/>
  <c r="N184" i="1"/>
  <c r="M184" i="1"/>
  <c r="H184" i="1"/>
  <c r="W183" i="1"/>
  <c r="V183" i="1"/>
  <c r="T183" i="1"/>
  <c r="U183" i="1" s="1"/>
  <c r="S183" i="1"/>
  <c r="Q183" i="1" s="1"/>
  <c r="N183" i="1"/>
  <c r="M183" i="1"/>
  <c r="L183" i="1"/>
  <c r="W182" i="1"/>
  <c r="V182" i="1"/>
  <c r="T182" i="1"/>
  <c r="U182" i="1" s="1"/>
  <c r="S182" i="1"/>
  <c r="Q182" i="1" s="1"/>
  <c r="H182" i="1" s="1"/>
  <c r="N182" i="1"/>
  <c r="L182" i="1" s="1"/>
  <c r="M182" i="1"/>
  <c r="W181" i="1"/>
  <c r="V181" i="1"/>
  <c r="T181" i="1"/>
  <c r="S181" i="1"/>
  <c r="Q181" i="1" s="1"/>
  <c r="H181" i="1" s="1"/>
  <c r="N181" i="1"/>
  <c r="M181" i="1"/>
  <c r="L181" i="1" s="1"/>
  <c r="W180" i="1"/>
  <c r="V180" i="1"/>
  <c r="T180" i="1"/>
  <c r="S180" i="1"/>
  <c r="Q180" i="1" s="1"/>
  <c r="H180" i="1" s="1"/>
  <c r="R180" i="1"/>
  <c r="N180" i="1"/>
  <c r="M180" i="1"/>
  <c r="K180" i="1"/>
  <c r="W179" i="1"/>
  <c r="V179" i="1"/>
  <c r="T179" i="1"/>
  <c r="S179" i="1"/>
  <c r="Q179" i="1" s="1"/>
  <c r="R179" i="1"/>
  <c r="N179" i="1"/>
  <c r="M179" i="1"/>
  <c r="W178" i="1"/>
  <c r="V178" i="1"/>
  <c r="U178" i="1" s="1"/>
  <c r="T178" i="1"/>
  <c r="S178" i="1"/>
  <c r="Q178" i="1" s="1"/>
  <c r="R178" i="1" s="1"/>
  <c r="N178" i="1"/>
  <c r="M178" i="1"/>
  <c r="K178" i="1"/>
  <c r="W177" i="1"/>
  <c r="V177" i="1"/>
  <c r="T177" i="1"/>
  <c r="S177" i="1"/>
  <c r="Q177" i="1"/>
  <c r="K177" i="1" s="1"/>
  <c r="N177" i="1"/>
  <c r="M177" i="1"/>
  <c r="W176" i="1"/>
  <c r="V176" i="1"/>
  <c r="T176" i="1"/>
  <c r="S176" i="1"/>
  <c r="Q176" i="1" s="1"/>
  <c r="N176" i="1"/>
  <c r="M176" i="1"/>
  <c r="L176" i="1"/>
  <c r="W175" i="1"/>
  <c r="V175" i="1"/>
  <c r="U175" i="1"/>
  <c r="T175" i="1"/>
  <c r="S175" i="1"/>
  <c r="Q175" i="1" s="1"/>
  <c r="N175" i="1"/>
  <c r="M175" i="1"/>
  <c r="L175" i="1" s="1"/>
  <c r="W174" i="1"/>
  <c r="V174" i="1"/>
  <c r="U174" i="1"/>
  <c r="T174" i="1"/>
  <c r="S174" i="1"/>
  <c r="Q174" i="1" s="1"/>
  <c r="N174" i="1"/>
  <c r="M174" i="1"/>
  <c r="L174" i="1"/>
  <c r="W173" i="1"/>
  <c r="V173" i="1"/>
  <c r="U173" i="1"/>
  <c r="T173" i="1"/>
  <c r="S173" i="1"/>
  <c r="Q173" i="1" s="1"/>
  <c r="K173" i="1" s="1"/>
  <c r="N173" i="1"/>
  <c r="M173" i="1"/>
  <c r="L173" i="1" s="1"/>
  <c r="W172" i="1"/>
  <c r="V172" i="1"/>
  <c r="T172" i="1"/>
  <c r="U172" i="1" s="1"/>
  <c r="S172" i="1"/>
  <c r="Q172" i="1" s="1"/>
  <c r="N172" i="1"/>
  <c r="M172" i="1"/>
  <c r="L172" i="1"/>
  <c r="W171" i="1"/>
  <c r="V171" i="1"/>
  <c r="T171" i="1"/>
  <c r="U171" i="1" s="1"/>
  <c r="S171" i="1"/>
  <c r="Q171" i="1" s="1"/>
  <c r="N171" i="1"/>
  <c r="M171" i="1"/>
  <c r="W170" i="1"/>
  <c r="V170" i="1"/>
  <c r="T170" i="1"/>
  <c r="S170" i="1"/>
  <c r="Q170" i="1" s="1"/>
  <c r="N170" i="1"/>
  <c r="M170" i="1"/>
  <c r="W169" i="1"/>
  <c r="V169" i="1"/>
  <c r="T169" i="1"/>
  <c r="U169" i="1" s="1"/>
  <c r="S169" i="1"/>
  <c r="Q169" i="1" s="1"/>
  <c r="K169" i="1" s="1"/>
  <c r="N169" i="1"/>
  <c r="M169" i="1"/>
  <c r="L169" i="1" s="1"/>
  <c r="W168" i="1"/>
  <c r="V168" i="1"/>
  <c r="T168" i="1"/>
  <c r="S168" i="1"/>
  <c r="Q168" i="1" s="1"/>
  <c r="N168" i="1"/>
  <c r="L168" i="1" s="1"/>
  <c r="M168" i="1"/>
  <c r="W167" i="1"/>
  <c r="V167" i="1"/>
  <c r="U167" i="1" s="1"/>
  <c r="T167" i="1"/>
  <c r="S167" i="1"/>
  <c r="Q167" i="1" s="1"/>
  <c r="N167" i="1"/>
  <c r="M167" i="1"/>
  <c r="L167" i="1" s="1"/>
  <c r="W166" i="1"/>
  <c r="V166" i="1"/>
  <c r="T166" i="1"/>
  <c r="S166" i="1"/>
  <c r="Q166" i="1" s="1"/>
  <c r="N166" i="1"/>
  <c r="M166" i="1"/>
  <c r="L166" i="1"/>
  <c r="W165" i="1"/>
  <c r="V165" i="1"/>
  <c r="T165" i="1"/>
  <c r="S165" i="1"/>
  <c r="Q165" i="1" s="1"/>
  <c r="K165" i="1" s="1"/>
  <c r="N165" i="1"/>
  <c r="M165" i="1"/>
  <c r="W164" i="1"/>
  <c r="V164" i="1"/>
  <c r="T164" i="1"/>
  <c r="S164" i="1"/>
  <c r="Q164" i="1" s="1"/>
  <c r="N164" i="1"/>
  <c r="M164" i="1"/>
  <c r="W163" i="1"/>
  <c r="V163" i="1"/>
  <c r="T163" i="1"/>
  <c r="U163" i="1" s="1"/>
  <c r="S163" i="1"/>
  <c r="Q163" i="1" s="1"/>
  <c r="N163" i="1"/>
  <c r="M163" i="1"/>
  <c r="L163" i="1" s="1"/>
  <c r="W162" i="1"/>
  <c r="V162" i="1"/>
  <c r="T162" i="1"/>
  <c r="U162" i="1" s="1"/>
  <c r="S162" i="1"/>
  <c r="Q162" i="1" s="1"/>
  <c r="N162" i="1"/>
  <c r="M162" i="1"/>
  <c r="W161" i="1"/>
  <c r="V161" i="1"/>
  <c r="U161" i="1" s="1"/>
  <c r="T161" i="1"/>
  <c r="S161" i="1"/>
  <c r="Q161" i="1"/>
  <c r="K161" i="1" s="1"/>
  <c r="N161" i="1"/>
  <c r="M161" i="1"/>
  <c r="L161" i="1" s="1"/>
  <c r="W160" i="1"/>
  <c r="V160" i="1"/>
  <c r="T160" i="1"/>
  <c r="S160" i="1"/>
  <c r="Q160" i="1" s="1"/>
  <c r="N160" i="1"/>
  <c r="M160" i="1"/>
  <c r="L160" i="1" s="1"/>
  <c r="W159" i="1"/>
  <c r="V159" i="1"/>
  <c r="T159" i="1"/>
  <c r="U159" i="1" s="1"/>
  <c r="S159" i="1"/>
  <c r="Q159" i="1" s="1"/>
  <c r="N159" i="1"/>
  <c r="M159" i="1"/>
  <c r="W158" i="1"/>
  <c r="V158" i="1"/>
  <c r="T158" i="1"/>
  <c r="S158" i="1"/>
  <c r="Q158" i="1" s="1"/>
  <c r="N158" i="1"/>
  <c r="M158" i="1"/>
  <c r="W157" i="1"/>
  <c r="V157" i="1"/>
  <c r="T157" i="1"/>
  <c r="U157" i="1" s="1"/>
  <c r="S157" i="1"/>
  <c r="Q157" i="1" s="1"/>
  <c r="K157" i="1" s="1"/>
  <c r="N157" i="1"/>
  <c r="M157" i="1"/>
  <c r="W156" i="1"/>
  <c r="V156" i="1"/>
  <c r="T156" i="1"/>
  <c r="S156" i="1"/>
  <c r="Q156" i="1" s="1"/>
  <c r="N156" i="1"/>
  <c r="L156" i="1" s="1"/>
  <c r="M156" i="1"/>
  <c r="W155" i="1"/>
  <c r="V155" i="1"/>
  <c r="U155" i="1" s="1"/>
  <c r="T155" i="1"/>
  <c r="S155" i="1"/>
  <c r="Q155" i="1" s="1"/>
  <c r="N155" i="1"/>
  <c r="M155" i="1"/>
  <c r="W154" i="1"/>
  <c r="V154" i="1"/>
  <c r="U154" i="1" s="1"/>
  <c r="T154" i="1"/>
  <c r="S154" i="1"/>
  <c r="Q154" i="1" s="1"/>
  <c r="N154" i="1"/>
  <c r="M154" i="1"/>
  <c r="L154" i="1" s="1"/>
  <c r="W153" i="1"/>
  <c r="V153" i="1"/>
  <c r="U153" i="1" s="1"/>
  <c r="T153" i="1"/>
  <c r="S153" i="1"/>
  <c r="Q153" i="1" s="1"/>
  <c r="K153" i="1" s="1"/>
  <c r="N153" i="1"/>
  <c r="M153" i="1"/>
  <c r="L153" i="1" s="1"/>
  <c r="W152" i="1"/>
  <c r="V152" i="1"/>
  <c r="U152" i="1"/>
  <c r="T152" i="1"/>
  <c r="S152" i="1"/>
  <c r="Q152" i="1" s="1"/>
  <c r="N152" i="1"/>
  <c r="M152" i="1"/>
  <c r="L152" i="1"/>
  <c r="W151" i="1"/>
  <c r="V151" i="1"/>
  <c r="U151" i="1"/>
  <c r="T151" i="1"/>
  <c r="S151" i="1"/>
  <c r="Q151" i="1" s="1"/>
  <c r="N151" i="1"/>
  <c r="M151" i="1"/>
  <c r="L151" i="1" s="1"/>
  <c r="W150" i="1"/>
  <c r="V150" i="1"/>
  <c r="T150" i="1"/>
  <c r="U150" i="1" s="1"/>
  <c r="S150" i="1"/>
  <c r="Q150" i="1" s="1"/>
  <c r="N150" i="1"/>
  <c r="M150" i="1"/>
  <c r="L150" i="1"/>
  <c r="W149" i="1"/>
  <c r="V149" i="1"/>
  <c r="T149" i="1"/>
  <c r="U149" i="1" s="1"/>
  <c r="S149" i="1"/>
  <c r="Q149" i="1" s="1"/>
  <c r="K149" i="1" s="1"/>
  <c r="N149" i="1"/>
  <c r="M149" i="1"/>
  <c r="W148" i="1"/>
  <c r="V148" i="1"/>
  <c r="T148" i="1"/>
  <c r="S148" i="1"/>
  <c r="Q148" i="1" s="1"/>
  <c r="N148" i="1"/>
  <c r="M148" i="1"/>
  <c r="W147" i="1"/>
  <c r="V147" i="1"/>
  <c r="T147" i="1"/>
  <c r="U147" i="1" s="1"/>
  <c r="S147" i="1"/>
  <c r="Q147" i="1" s="1"/>
  <c r="N147" i="1"/>
  <c r="M147" i="1"/>
  <c r="W146" i="1"/>
  <c r="V146" i="1"/>
  <c r="T146" i="1"/>
  <c r="S146" i="1"/>
  <c r="Q146" i="1" s="1"/>
  <c r="N146" i="1"/>
  <c r="M146" i="1"/>
  <c r="L146" i="1" s="1"/>
  <c r="W145" i="1"/>
  <c r="V145" i="1"/>
  <c r="U145" i="1"/>
  <c r="T145" i="1"/>
  <c r="S145" i="1"/>
  <c r="Q145" i="1" s="1"/>
  <c r="K145" i="1" s="1"/>
  <c r="N145" i="1"/>
  <c r="M145" i="1"/>
  <c r="W144" i="1"/>
  <c r="V144" i="1"/>
  <c r="T144" i="1"/>
  <c r="U144" i="1" s="1"/>
  <c r="S144" i="1"/>
  <c r="Q144" i="1" s="1"/>
  <c r="N144" i="1"/>
  <c r="M144" i="1"/>
  <c r="W143" i="1"/>
  <c r="V143" i="1"/>
  <c r="T143" i="1"/>
  <c r="S143" i="1"/>
  <c r="Q143" i="1" s="1"/>
  <c r="N143" i="1"/>
  <c r="M143" i="1"/>
  <c r="W142" i="1"/>
  <c r="V142" i="1"/>
  <c r="T142" i="1"/>
  <c r="S142" i="1"/>
  <c r="Q142" i="1" s="1"/>
  <c r="N142" i="1"/>
  <c r="M142" i="1"/>
  <c r="L142" i="1"/>
  <c r="W141" i="1"/>
  <c r="V141" i="1"/>
  <c r="T141" i="1"/>
  <c r="S141" i="1"/>
  <c r="Q141" i="1" s="1"/>
  <c r="K141" i="1" s="1"/>
  <c r="N141" i="1"/>
  <c r="M141" i="1"/>
  <c r="W140" i="1"/>
  <c r="V140" i="1"/>
  <c r="T140" i="1"/>
  <c r="S140" i="1"/>
  <c r="Q140" i="1" s="1"/>
  <c r="N140" i="1"/>
  <c r="M140" i="1"/>
  <c r="L140" i="1"/>
  <c r="W139" i="1"/>
  <c r="V139" i="1"/>
  <c r="U139" i="1"/>
  <c r="T139" i="1"/>
  <c r="S139" i="1"/>
  <c r="Q139" i="1" s="1"/>
  <c r="N139" i="1"/>
  <c r="M139" i="1"/>
  <c r="L139" i="1" s="1"/>
  <c r="W138" i="1"/>
  <c r="V138" i="1"/>
  <c r="T138" i="1"/>
  <c r="U138" i="1" s="1"/>
  <c r="S138" i="1"/>
  <c r="Q138" i="1" s="1"/>
  <c r="H138" i="1" s="1"/>
  <c r="N138" i="1"/>
  <c r="M138" i="1"/>
  <c r="L138" i="1"/>
  <c r="W137" i="1"/>
  <c r="V137" i="1"/>
  <c r="T137" i="1"/>
  <c r="S137" i="1"/>
  <c r="Q137" i="1" s="1"/>
  <c r="K137" i="1" s="1"/>
  <c r="N137" i="1"/>
  <c r="M137" i="1"/>
  <c r="W136" i="1"/>
  <c r="V136" i="1"/>
  <c r="T136" i="1"/>
  <c r="U136" i="1" s="1"/>
  <c r="S136" i="1"/>
  <c r="Q136" i="1" s="1"/>
  <c r="N136" i="1"/>
  <c r="M136" i="1"/>
  <c r="W135" i="1"/>
  <c r="V135" i="1"/>
  <c r="T135" i="1"/>
  <c r="S135" i="1"/>
  <c r="Q135" i="1" s="1"/>
  <c r="N135" i="1"/>
  <c r="M135" i="1"/>
  <c r="W134" i="1"/>
  <c r="V134" i="1"/>
  <c r="T134" i="1"/>
  <c r="S134" i="1"/>
  <c r="Q134" i="1" s="1"/>
  <c r="H134" i="1" s="1"/>
  <c r="N134" i="1"/>
  <c r="M134" i="1"/>
  <c r="W133" i="1"/>
  <c r="V133" i="1"/>
  <c r="T133" i="1"/>
  <c r="U133" i="1" s="1"/>
  <c r="S133" i="1"/>
  <c r="Q133" i="1" s="1"/>
  <c r="K133" i="1" s="1"/>
  <c r="N133" i="1"/>
  <c r="M133" i="1"/>
  <c r="W132" i="1"/>
  <c r="V132" i="1"/>
  <c r="T132" i="1"/>
  <c r="U132" i="1" s="1"/>
  <c r="S132" i="1"/>
  <c r="Q132" i="1" s="1"/>
  <c r="N132" i="1"/>
  <c r="M132" i="1"/>
  <c r="W131" i="1"/>
  <c r="V131" i="1"/>
  <c r="T131" i="1"/>
  <c r="S131" i="1"/>
  <c r="Q131" i="1"/>
  <c r="K131" i="1" s="1"/>
  <c r="N131" i="1"/>
  <c r="L131" i="1" s="1"/>
  <c r="M131" i="1"/>
  <c r="W130" i="1"/>
  <c r="V130" i="1"/>
  <c r="T130" i="1"/>
  <c r="U130" i="1" s="1"/>
  <c r="S130" i="1"/>
  <c r="Q130" i="1" s="1"/>
  <c r="H130" i="1" s="1"/>
  <c r="N130" i="1"/>
  <c r="M130" i="1"/>
  <c r="W129" i="1"/>
  <c r="V129" i="1"/>
  <c r="T129" i="1"/>
  <c r="U129" i="1" s="1"/>
  <c r="S129" i="1"/>
  <c r="Q129" i="1" s="1"/>
  <c r="N129" i="1"/>
  <c r="M129" i="1"/>
  <c r="W128" i="1"/>
  <c r="V128" i="1"/>
  <c r="U128" i="1" s="1"/>
  <c r="T128" i="1"/>
  <c r="S128" i="1"/>
  <c r="Q128" i="1" s="1"/>
  <c r="K128" i="1" s="1"/>
  <c r="N128" i="1"/>
  <c r="L128" i="1" s="1"/>
  <c r="M128" i="1"/>
  <c r="W127" i="1"/>
  <c r="V127" i="1"/>
  <c r="T127" i="1"/>
  <c r="S127" i="1"/>
  <c r="Q127" i="1"/>
  <c r="N127" i="1"/>
  <c r="M127" i="1"/>
  <c r="W126" i="1"/>
  <c r="V126" i="1"/>
  <c r="T126" i="1"/>
  <c r="U126" i="1" s="1"/>
  <c r="S126" i="1"/>
  <c r="Q126" i="1" s="1"/>
  <c r="K126" i="1" s="1"/>
  <c r="N126" i="1"/>
  <c r="M126" i="1"/>
  <c r="W125" i="1"/>
  <c r="V125" i="1"/>
  <c r="T125" i="1"/>
  <c r="S125" i="1"/>
  <c r="Q125" i="1" s="1"/>
  <c r="K125" i="1" s="1"/>
  <c r="N125" i="1"/>
  <c r="M125" i="1"/>
  <c r="W124" i="1"/>
  <c r="V124" i="1"/>
  <c r="T124" i="1"/>
  <c r="U124" i="1" s="1"/>
  <c r="S124" i="1"/>
  <c r="Q124" i="1" s="1"/>
  <c r="N124" i="1"/>
  <c r="M124" i="1"/>
  <c r="W123" i="1"/>
  <c r="V123" i="1"/>
  <c r="T123" i="1"/>
  <c r="U123" i="1" s="1"/>
  <c r="S123" i="1"/>
  <c r="Q123" i="1" s="1"/>
  <c r="N123" i="1"/>
  <c r="M123" i="1"/>
  <c r="W122" i="1"/>
  <c r="V122" i="1"/>
  <c r="T122" i="1"/>
  <c r="U122" i="1" s="1"/>
  <c r="S122" i="1"/>
  <c r="Q122" i="1" s="1"/>
  <c r="N122" i="1"/>
  <c r="M122" i="1"/>
  <c r="W121" i="1"/>
  <c r="V121" i="1"/>
  <c r="U121" i="1" s="1"/>
  <c r="T121" i="1"/>
  <c r="S121" i="1"/>
  <c r="Q121" i="1"/>
  <c r="N121" i="1"/>
  <c r="M121" i="1"/>
  <c r="L121" i="1" s="1"/>
  <c r="W120" i="1"/>
  <c r="V120" i="1"/>
  <c r="T120" i="1"/>
  <c r="S120" i="1"/>
  <c r="Q120" i="1"/>
  <c r="N120" i="1"/>
  <c r="M120" i="1"/>
  <c r="W119" i="1"/>
  <c r="V119" i="1"/>
  <c r="T119" i="1"/>
  <c r="U119" i="1" s="1"/>
  <c r="S119" i="1"/>
  <c r="Q119" i="1" s="1"/>
  <c r="N119" i="1"/>
  <c r="M119" i="1"/>
  <c r="L119" i="1" s="1"/>
  <c r="W118" i="1"/>
  <c r="V118" i="1"/>
  <c r="T118" i="1"/>
  <c r="S118" i="1"/>
  <c r="Q118" i="1" s="1"/>
  <c r="R118" i="1" s="1"/>
  <c r="N118" i="1"/>
  <c r="M118" i="1"/>
  <c r="W117" i="1"/>
  <c r="V117" i="1"/>
  <c r="T117" i="1"/>
  <c r="S117" i="1"/>
  <c r="Q117" i="1" s="1"/>
  <c r="R117" i="1"/>
  <c r="N117" i="1"/>
  <c r="M117" i="1"/>
  <c r="W116" i="1"/>
  <c r="V116" i="1"/>
  <c r="T116" i="1"/>
  <c r="U116" i="1" s="1"/>
  <c r="S116" i="1"/>
  <c r="Q116" i="1" s="1"/>
  <c r="K116" i="1" s="1"/>
  <c r="N116" i="1"/>
  <c r="L116" i="1" s="1"/>
  <c r="M116" i="1"/>
  <c r="W115" i="1"/>
  <c r="V115" i="1"/>
  <c r="T115" i="1"/>
  <c r="U115" i="1" s="1"/>
  <c r="S115" i="1"/>
  <c r="Q115" i="1"/>
  <c r="N115" i="1"/>
  <c r="M115" i="1"/>
  <c r="L115" i="1" s="1"/>
  <c r="W114" i="1"/>
  <c r="V114" i="1"/>
  <c r="T114" i="1"/>
  <c r="S114" i="1"/>
  <c r="Q114" i="1" s="1"/>
  <c r="R114" i="1" s="1"/>
  <c r="N114" i="1"/>
  <c r="M114" i="1"/>
  <c r="W113" i="1"/>
  <c r="V113" i="1"/>
  <c r="T113" i="1"/>
  <c r="S113" i="1"/>
  <c r="Q113" i="1"/>
  <c r="N113" i="1"/>
  <c r="M113" i="1"/>
  <c r="W112" i="1"/>
  <c r="V112" i="1"/>
  <c r="T112" i="1"/>
  <c r="S112" i="1"/>
  <c r="Q112" i="1"/>
  <c r="R112" i="1" s="1"/>
  <c r="N112" i="1"/>
  <c r="M112" i="1"/>
  <c r="W111" i="1"/>
  <c r="V111" i="1"/>
  <c r="U111" i="1"/>
  <c r="T111" i="1"/>
  <c r="S111" i="1"/>
  <c r="Q111" i="1"/>
  <c r="K111" i="1" s="1"/>
  <c r="N111" i="1"/>
  <c r="M111" i="1"/>
  <c r="W110" i="1"/>
  <c r="V110" i="1"/>
  <c r="T110" i="1"/>
  <c r="S110" i="1"/>
  <c r="Q110" i="1" s="1"/>
  <c r="R110" i="1" s="1"/>
  <c r="N110" i="1"/>
  <c r="M110" i="1"/>
  <c r="W109" i="1"/>
  <c r="V109" i="1"/>
  <c r="T109" i="1"/>
  <c r="S109" i="1"/>
  <c r="Q109" i="1" s="1"/>
  <c r="H109" i="1" s="1"/>
  <c r="N109" i="1"/>
  <c r="M109" i="1"/>
  <c r="L109" i="1" s="1"/>
  <c r="W108" i="1"/>
  <c r="V108" i="1"/>
  <c r="T108" i="1"/>
  <c r="S108" i="1"/>
  <c r="Q108" i="1" s="1"/>
  <c r="N108" i="1"/>
  <c r="M108" i="1"/>
  <c r="W107" i="1"/>
  <c r="V107" i="1"/>
  <c r="U107" i="1"/>
  <c r="T107" i="1"/>
  <c r="S107" i="1"/>
  <c r="Q107" i="1" s="1"/>
  <c r="N107" i="1"/>
  <c r="M107" i="1"/>
  <c r="L107" i="1" s="1"/>
  <c r="W106" i="1"/>
  <c r="V106" i="1"/>
  <c r="T106" i="1"/>
  <c r="U106" i="1" s="1"/>
  <c r="S106" i="1"/>
  <c r="Q106" i="1"/>
  <c r="N106" i="1"/>
  <c r="M106" i="1"/>
  <c r="L106" i="1" s="1"/>
  <c r="W105" i="1"/>
  <c r="V105" i="1"/>
  <c r="U105" i="1"/>
  <c r="T105" i="1"/>
  <c r="S105" i="1"/>
  <c r="Q105" i="1" s="1"/>
  <c r="H105" i="1" s="1"/>
  <c r="R105" i="1"/>
  <c r="N105" i="1"/>
  <c r="M105" i="1"/>
  <c r="W104" i="1"/>
  <c r="V104" i="1"/>
  <c r="U104" i="1"/>
  <c r="T104" i="1"/>
  <c r="S104" i="1"/>
  <c r="Q104" i="1" s="1"/>
  <c r="K104" i="1" s="1"/>
  <c r="N104" i="1"/>
  <c r="M104" i="1"/>
  <c r="W103" i="1"/>
  <c r="V103" i="1"/>
  <c r="U103" i="1"/>
  <c r="T103" i="1"/>
  <c r="S103" i="1"/>
  <c r="Q103" i="1"/>
  <c r="K103" i="1" s="1"/>
  <c r="N103" i="1"/>
  <c r="M103" i="1"/>
  <c r="L103" i="1" s="1"/>
  <c r="W102" i="1"/>
  <c r="V102" i="1"/>
  <c r="T102" i="1"/>
  <c r="S102" i="1"/>
  <c r="Q102" i="1" s="1"/>
  <c r="R102" i="1" s="1"/>
  <c r="N102" i="1"/>
  <c r="M102" i="1"/>
  <c r="L102" i="1" s="1"/>
  <c r="W101" i="1"/>
  <c r="V101" i="1"/>
  <c r="U101" i="1" s="1"/>
  <c r="T101" i="1"/>
  <c r="S101" i="1"/>
  <c r="Q101" i="1" s="1"/>
  <c r="R101" i="1" s="1"/>
  <c r="N101" i="1"/>
  <c r="M101" i="1"/>
  <c r="W100" i="1"/>
  <c r="V100" i="1"/>
  <c r="T100" i="1"/>
  <c r="S100" i="1"/>
  <c r="Q100" i="1" s="1"/>
  <c r="N100" i="1"/>
  <c r="M100" i="1"/>
  <c r="L100" i="1"/>
  <c r="W99" i="1"/>
  <c r="V99" i="1"/>
  <c r="T99" i="1"/>
  <c r="S99" i="1"/>
  <c r="Q99" i="1"/>
  <c r="N99" i="1"/>
  <c r="M99" i="1"/>
  <c r="L99" i="1" s="1"/>
  <c r="W98" i="1"/>
  <c r="V98" i="1"/>
  <c r="T98" i="1"/>
  <c r="S98" i="1"/>
  <c r="Q98" i="1" s="1"/>
  <c r="K98" i="1" s="1"/>
  <c r="R98" i="1"/>
  <c r="N98" i="1"/>
  <c r="L98" i="1" s="1"/>
  <c r="M98" i="1"/>
  <c r="W97" i="1"/>
  <c r="V97" i="1"/>
  <c r="T97" i="1"/>
  <c r="S97" i="1"/>
  <c r="Q97" i="1"/>
  <c r="R97" i="1" s="1"/>
  <c r="N97" i="1"/>
  <c r="M97" i="1"/>
  <c r="W96" i="1"/>
  <c r="V96" i="1"/>
  <c r="T96" i="1"/>
  <c r="U96" i="1" s="1"/>
  <c r="S96" i="1"/>
  <c r="Q96" i="1" s="1"/>
  <c r="N96" i="1"/>
  <c r="M96" i="1"/>
  <c r="L96" i="1" s="1"/>
  <c r="W95" i="1"/>
  <c r="V95" i="1"/>
  <c r="T95" i="1"/>
  <c r="S95" i="1"/>
  <c r="Q95" i="1"/>
  <c r="N95" i="1"/>
  <c r="M95" i="1"/>
  <c r="W94" i="1"/>
  <c r="V94" i="1"/>
  <c r="T94" i="1"/>
  <c r="S94" i="1"/>
  <c r="Q94" i="1" s="1"/>
  <c r="K94" i="1" s="1"/>
  <c r="N94" i="1"/>
  <c r="M94" i="1"/>
  <c r="L94" i="1"/>
  <c r="W93" i="1"/>
  <c r="V93" i="1"/>
  <c r="T93" i="1"/>
  <c r="S93" i="1"/>
  <c r="Q93" i="1" s="1"/>
  <c r="N93" i="1"/>
  <c r="M93" i="1"/>
  <c r="W92" i="1"/>
  <c r="V92" i="1"/>
  <c r="T92" i="1"/>
  <c r="S92" i="1"/>
  <c r="Q92" i="1"/>
  <c r="N92" i="1"/>
  <c r="M92" i="1"/>
  <c r="W91" i="1"/>
  <c r="V91" i="1"/>
  <c r="T91" i="1"/>
  <c r="U91" i="1" s="1"/>
  <c r="S91" i="1"/>
  <c r="Q91" i="1" s="1"/>
  <c r="N91" i="1"/>
  <c r="M91" i="1"/>
  <c r="L91" i="1" s="1"/>
  <c r="K91" i="1"/>
  <c r="W90" i="1"/>
  <c r="V90" i="1"/>
  <c r="T90" i="1"/>
  <c r="S90" i="1"/>
  <c r="Q90" i="1" s="1"/>
  <c r="R90" i="1" s="1"/>
  <c r="N90" i="1"/>
  <c r="M90" i="1"/>
  <c r="L90" i="1"/>
  <c r="W89" i="1"/>
  <c r="V89" i="1"/>
  <c r="T89" i="1"/>
  <c r="S89" i="1"/>
  <c r="Q89" i="1" s="1"/>
  <c r="H89" i="1" s="1"/>
  <c r="N89" i="1"/>
  <c r="L89" i="1" s="1"/>
  <c r="M89" i="1"/>
  <c r="W88" i="1"/>
  <c r="V88" i="1"/>
  <c r="T88" i="1"/>
  <c r="S88" i="1"/>
  <c r="Q88" i="1"/>
  <c r="N88" i="1"/>
  <c r="M88" i="1"/>
  <c r="W87" i="1"/>
  <c r="V87" i="1"/>
  <c r="T87" i="1"/>
  <c r="U87" i="1" s="1"/>
  <c r="S87" i="1"/>
  <c r="Q87" i="1" s="1"/>
  <c r="N87" i="1"/>
  <c r="M87" i="1"/>
  <c r="L87" i="1" s="1"/>
  <c r="W86" i="1"/>
  <c r="V86" i="1"/>
  <c r="T86" i="1"/>
  <c r="U86" i="1" s="1"/>
  <c r="S86" i="1"/>
  <c r="Q86" i="1"/>
  <c r="R86" i="1" s="1"/>
  <c r="N86" i="1"/>
  <c r="M86" i="1"/>
  <c r="W85" i="1"/>
  <c r="V85" i="1"/>
  <c r="T85" i="1"/>
  <c r="S85" i="1"/>
  <c r="Q85" i="1" s="1"/>
  <c r="N85" i="1"/>
  <c r="M85" i="1"/>
  <c r="W84" i="1"/>
  <c r="V84" i="1"/>
  <c r="U84" i="1"/>
  <c r="T84" i="1"/>
  <c r="S84" i="1"/>
  <c r="Q84" i="1" s="1"/>
  <c r="R84" i="1" s="1"/>
  <c r="N84" i="1"/>
  <c r="M84" i="1"/>
  <c r="L84" i="1" s="1"/>
  <c r="W83" i="1"/>
  <c r="V83" i="1"/>
  <c r="U83" i="1"/>
  <c r="T83" i="1"/>
  <c r="S83" i="1"/>
  <c r="Q83" i="1" s="1"/>
  <c r="N83" i="1"/>
  <c r="M83" i="1"/>
  <c r="L83" i="1" s="1"/>
  <c r="W82" i="1"/>
  <c r="V82" i="1"/>
  <c r="T82" i="1"/>
  <c r="S82" i="1"/>
  <c r="Q82" i="1" s="1"/>
  <c r="R82" i="1" s="1"/>
  <c r="N82" i="1"/>
  <c r="M82" i="1"/>
  <c r="L82" i="1"/>
  <c r="K82" i="1"/>
  <c r="W81" i="1"/>
  <c r="V81" i="1"/>
  <c r="T81" i="1"/>
  <c r="S81" i="1"/>
  <c r="Q81" i="1"/>
  <c r="R81" i="1" s="1"/>
  <c r="N81" i="1"/>
  <c r="M81" i="1"/>
  <c r="L81" i="1" s="1"/>
  <c r="W80" i="1"/>
  <c r="V80" i="1"/>
  <c r="T80" i="1"/>
  <c r="U80" i="1" s="1"/>
  <c r="S80" i="1"/>
  <c r="Q80" i="1" s="1"/>
  <c r="K80" i="1" s="1"/>
  <c r="N80" i="1"/>
  <c r="M80" i="1"/>
  <c r="L80" i="1"/>
  <c r="W79" i="1"/>
  <c r="V79" i="1"/>
  <c r="T79" i="1"/>
  <c r="U79" i="1" s="1"/>
  <c r="S79" i="1"/>
  <c r="Q79" i="1" s="1"/>
  <c r="K79" i="1" s="1"/>
  <c r="N79" i="1"/>
  <c r="M79" i="1"/>
  <c r="L79" i="1" s="1"/>
  <c r="W78" i="1"/>
  <c r="V78" i="1"/>
  <c r="T78" i="1"/>
  <c r="S78" i="1"/>
  <c r="Q78" i="1" s="1"/>
  <c r="K78" i="1" s="1"/>
  <c r="N78" i="1"/>
  <c r="M78" i="1"/>
  <c r="W77" i="1"/>
  <c r="V77" i="1"/>
  <c r="T77" i="1"/>
  <c r="U77" i="1" s="1"/>
  <c r="S77" i="1"/>
  <c r="Q77" i="1" s="1"/>
  <c r="N77" i="1"/>
  <c r="M77" i="1"/>
  <c r="W76" i="1"/>
  <c r="V76" i="1"/>
  <c r="T76" i="1"/>
  <c r="S76" i="1"/>
  <c r="Q76" i="1" s="1"/>
  <c r="N76" i="1"/>
  <c r="M76" i="1"/>
  <c r="L76" i="1" s="1"/>
  <c r="W75" i="1"/>
  <c r="V75" i="1"/>
  <c r="T75" i="1"/>
  <c r="S75" i="1"/>
  <c r="Q75" i="1" s="1"/>
  <c r="K75" i="1" s="1"/>
  <c r="N75" i="1"/>
  <c r="M75" i="1"/>
  <c r="L75" i="1" s="1"/>
  <c r="W74" i="1"/>
  <c r="V74" i="1"/>
  <c r="T74" i="1"/>
  <c r="U74" i="1" s="1"/>
  <c r="S74" i="1"/>
  <c r="Q74" i="1" s="1"/>
  <c r="N74" i="1"/>
  <c r="M74" i="1"/>
  <c r="W73" i="1"/>
  <c r="V73" i="1"/>
  <c r="T73" i="1"/>
  <c r="S73" i="1"/>
  <c r="Q73" i="1" s="1"/>
  <c r="R73" i="1" s="1"/>
  <c r="N73" i="1"/>
  <c r="M73" i="1"/>
  <c r="H73" i="1"/>
  <c r="W72" i="1"/>
  <c r="V72" i="1"/>
  <c r="T72" i="1"/>
  <c r="S72" i="1"/>
  <c r="Q72" i="1" s="1"/>
  <c r="N72" i="1"/>
  <c r="M72" i="1"/>
  <c r="W71" i="1"/>
  <c r="V71" i="1"/>
  <c r="T71" i="1"/>
  <c r="S71" i="1"/>
  <c r="Q71" i="1" s="1"/>
  <c r="R71" i="1" s="1"/>
  <c r="N71" i="1"/>
  <c r="M71" i="1"/>
  <c r="L71" i="1" s="1"/>
  <c r="W70" i="1"/>
  <c r="V70" i="1"/>
  <c r="T70" i="1"/>
  <c r="U70" i="1" s="1"/>
  <c r="S70" i="1"/>
  <c r="Q70" i="1" s="1"/>
  <c r="N70" i="1"/>
  <c r="M70" i="1"/>
  <c r="L70" i="1" s="1"/>
  <c r="W69" i="1"/>
  <c r="V69" i="1"/>
  <c r="T69" i="1"/>
  <c r="U69" i="1" s="1"/>
  <c r="S69" i="1"/>
  <c r="Q69" i="1" s="1"/>
  <c r="R69" i="1" s="1"/>
  <c r="N69" i="1"/>
  <c r="L69" i="1" s="1"/>
  <c r="M69" i="1"/>
  <c r="W68" i="1"/>
  <c r="V68" i="1"/>
  <c r="T68" i="1"/>
  <c r="S68" i="1"/>
  <c r="Q68" i="1" s="1"/>
  <c r="N68" i="1"/>
  <c r="M68" i="1"/>
  <c r="L68" i="1" s="1"/>
  <c r="W67" i="1"/>
  <c r="V67" i="1"/>
  <c r="T67" i="1"/>
  <c r="U67" i="1" s="1"/>
  <c r="S67" i="1"/>
  <c r="Q67" i="1" s="1"/>
  <c r="N67" i="1"/>
  <c r="M67" i="1"/>
  <c r="L67" i="1" s="1"/>
  <c r="K67" i="1"/>
  <c r="W66" i="1"/>
  <c r="V66" i="1"/>
  <c r="T66" i="1"/>
  <c r="S66" i="1"/>
  <c r="Q66" i="1" s="1"/>
  <c r="N66" i="1"/>
  <c r="M66" i="1"/>
  <c r="W65" i="1"/>
  <c r="V65" i="1"/>
  <c r="T65" i="1"/>
  <c r="U65" i="1" s="1"/>
  <c r="S65" i="1"/>
  <c r="Q65" i="1" s="1"/>
  <c r="N65" i="1"/>
  <c r="M65" i="1"/>
  <c r="W64" i="1"/>
  <c r="V64" i="1"/>
  <c r="T64" i="1"/>
  <c r="U64" i="1" s="1"/>
  <c r="S64" i="1"/>
  <c r="Q64" i="1" s="1"/>
  <c r="N64" i="1"/>
  <c r="M64" i="1"/>
  <c r="W63" i="1"/>
  <c r="V63" i="1"/>
  <c r="T63" i="1"/>
  <c r="S63" i="1"/>
  <c r="Q63" i="1" s="1"/>
  <c r="R63" i="1" s="1"/>
  <c r="N63" i="1"/>
  <c r="M63" i="1"/>
  <c r="L63" i="1" s="1"/>
  <c r="W62" i="1"/>
  <c r="V62" i="1"/>
  <c r="T62" i="1"/>
  <c r="S62" i="1"/>
  <c r="Q62" i="1"/>
  <c r="N62" i="1"/>
  <c r="M62" i="1"/>
  <c r="L62" i="1" s="1"/>
  <c r="W61" i="1"/>
  <c r="V61" i="1"/>
  <c r="T61" i="1"/>
  <c r="S61" i="1"/>
  <c r="Q61" i="1" s="1"/>
  <c r="R61" i="1" s="1"/>
  <c r="N61" i="1"/>
  <c r="M61" i="1"/>
  <c r="L61" i="1" s="1"/>
  <c r="W60" i="1"/>
  <c r="V60" i="1"/>
  <c r="T60" i="1"/>
  <c r="S60" i="1"/>
  <c r="Q60" i="1" s="1"/>
  <c r="N60" i="1"/>
  <c r="M60" i="1"/>
  <c r="L60" i="1" s="1"/>
  <c r="W59" i="1"/>
  <c r="V59" i="1"/>
  <c r="T59" i="1"/>
  <c r="U59" i="1" s="1"/>
  <c r="S59" i="1"/>
  <c r="Q59" i="1" s="1"/>
  <c r="R59" i="1" s="1"/>
  <c r="N59" i="1"/>
  <c r="M59" i="1"/>
  <c r="W58" i="1"/>
  <c r="V58" i="1"/>
  <c r="T58" i="1"/>
  <c r="S58" i="1"/>
  <c r="Q58" i="1"/>
  <c r="R58" i="1" s="1"/>
  <c r="N58" i="1"/>
  <c r="M58" i="1"/>
  <c r="W57" i="1"/>
  <c r="V57" i="1"/>
  <c r="T57" i="1"/>
  <c r="U57" i="1" s="1"/>
  <c r="S57" i="1"/>
  <c r="Q57" i="1" s="1"/>
  <c r="N57" i="1"/>
  <c r="M57" i="1"/>
  <c r="L57" i="1" s="1"/>
  <c r="W56" i="1"/>
  <c r="V56" i="1"/>
  <c r="T56" i="1"/>
  <c r="S56" i="1"/>
  <c r="Q56" i="1" s="1"/>
  <c r="N56" i="1"/>
  <c r="M56" i="1"/>
  <c r="W55" i="1"/>
  <c r="V55" i="1"/>
  <c r="T55" i="1"/>
  <c r="U55" i="1" s="1"/>
  <c r="S55" i="1"/>
  <c r="Q55" i="1" s="1"/>
  <c r="R55" i="1" s="1"/>
  <c r="N55" i="1"/>
  <c r="M55" i="1"/>
  <c r="L55" i="1" s="1"/>
  <c r="W54" i="1"/>
  <c r="V54" i="1"/>
  <c r="T54" i="1"/>
  <c r="U54" i="1" s="1"/>
  <c r="S54" i="1"/>
  <c r="Q54" i="1"/>
  <c r="K54" i="1" s="1"/>
  <c r="N54" i="1"/>
  <c r="M54" i="1"/>
  <c r="W53" i="1"/>
  <c r="V53" i="1"/>
  <c r="T53" i="1"/>
  <c r="S53" i="1"/>
  <c r="Q53" i="1" s="1"/>
  <c r="N53" i="1"/>
  <c r="M53" i="1"/>
  <c r="L53" i="1" s="1"/>
  <c r="W52" i="1"/>
  <c r="V52" i="1"/>
  <c r="T52" i="1"/>
  <c r="U52" i="1" s="1"/>
  <c r="S52" i="1"/>
  <c r="Q52" i="1"/>
  <c r="H52" i="1" s="1"/>
  <c r="N52" i="1"/>
  <c r="M52" i="1"/>
  <c r="L52" i="1" s="1"/>
  <c r="W51" i="1"/>
  <c r="V51" i="1"/>
  <c r="T51" i="1"/>
  <c r="U51" i="1" s="1"/>
  <c r="S51" i="1"/>
  <c r="Q51" i="1" s="1"/>
  <c r="R51" i="1" s="1"/>
  <c r="N51" i="1"/>
  <c r="M51" i="1"/>
  <c r="W50" i="1"/>
  <c r="V50" i="1"/>
  <c r="T50" i="1"/>
  <c r="S50" i="1"/>
  <c r="Q50" i="1" s="1"/>
  <c r="R50" i="1" s="1"/>
  <c r="N50" i="1"/>
  <c r="M50" i="1"/>
  <c r="W49" i="1"/>
  <c r="V49" i="1"/>
  <c r="T49" i="1"/>
  <c r="U49" i="1" s="1"/>
  <c r="S49" i="1"/>
  <c r="Q49" i="1" s="1"/>
  <c r="R49" i="1" s="1"/>
  <c r="N49" i="1"/>
  <c r="M49" i="1"/>
  <c r="W48" i="1"/>
  <c r="V48" i="1"/>
  <c r="T48" i="1"/>
  <c r="U48" i="1" s="1"/>
  <c r="S48" i="1"/>
  <c r="Q48" i="1" s="1"/>
  <c r="N48" i="1"/>
  <c r="M48" i="1"/>
  <c r="W47" i="1"/>
  <c r="V47" i="1"/>
  <c r="T47" i="1"/>
  <c r="U47" i="1" s="1"/>
  <c r="S47" i="1"/>
  <c r="Q47" i="1"/>
  <c r="R47" i="1" s="1"/>
  <c r="N47" i="1"/>
  <c r="M47" i="1"/>
  <c r="W46" i="1"/>
  <c r="V46" i="1"/>
  <c r="T46" i="1"/>
  <c r="S46" i="1"/>
  <c r="Q46" i="1" s="1"/>
  <c r="N46" i="1"/>
  <c r="M46" i="1"/>
  <c r="W45" i="1"/>
  <c r="V45" i="1"/>
  <c r="T45" i="1"/>
  <c r="S45" i="1"/>
  <c r="Q45" i="1" s="1"/>
  <c r="N45" i="1"/>
  <c r="M45" i="1"/>
  <c r="L45" i="1" s="1"/>
  <c r="W44" i="1"/>
  <c r="V44" i="1"/>
  <c r="T44" i="1"/>
  <c r="S44" i="1"/>
  <c r="Q44" i="1"/>
  <c r="H44" i="1" s="1"/>
  <c r="N44" i="1"/>
  <c r="M44" i="1"/>
  <c r="W43" i="1"/>
  <c r="V43" i="1"/>
  <c r="T43" i="1"/>
  <c r="U43" i="1" s="1"/>
  <c r="S43" i="1"/>
  <c r="Q43" i="1" s="1"/>
  <c r="R43" i="1" s="1"/>
  <c r="N43" i="1"/>
  <c r="M43" i="1"/>
  <c r="W42" i="1"/>
  <c r="V42" i="1"/>
  <c r="T42" i="1"/>
  <c r="S42" i="1"/>
  <c r="Q42" i="1" s="1"/>
  <c r="R42" i="1" s="1"/>
  <c r="N42" i="1"/>
  <c r="M42" i="1"/>
  <c r="W41" i="1"/>
  <c r="V41" i="1"/>
  <c r="T41" i="1"/>
  <c r="S41" i="1"/>
  <c r="Q41" i="1" s="1"/>
  <c r="R41" i="1" s="1"/>
  <c r="N41" i="1"/>
  <c r="M41" i="1"/>
  <c r="L41" i="1"/>
  <c r="W40" i="1"/>
  <c r="V40" i="1"/>
  <c r="T40" i="1"/>
  <c r="S40" i="1"/>
  <c r="Q40" i="1" s="1"/>
  <c r="N40" i="1"/>
  <c r="M40" i="1"/>
  <c r="W39" i="1"/>
  <c r="V39" i="1"/>
  <c r="T39" i="1"/>
  <c r="U39" i="1" s="1"/>
  <c r="S39" i="1"/>
  <c r="Q39" i="1"/>
  <c r="R39" i="1" s="1"/>
  <c r="N39" i="1"/>
  <c r="M39" i="1"/>
  <c r="W38" i="1"/>
  <c r="V38" i="1"/>
  <c r="T38" i="1"/>
  <c r="S38" i="1"/>
  <c r="Q38" i="1" s="1"/>
  <c r="N38" i="1"/>
  <c r="M38" i="1"/>
  <c r="W37" i="1"/>
  <c r="V37" i="1"/>
  <c r="T37" i="1"/>
  <c r="U37" i="1" s="1"/>
  <c r="S37" i="1"/>
  <c r="Q37" i="1" s="1"/>
  <c r="N37" i="1"/>
  <c r="M37" i="1"/>
  <c r="L37" i="1" s="1"/>
  <c r="W36" i="1"/>
  <c r="V36" i="1"/>
  <c r="T36" i="1"/>
  <c r="S36" i="1"/>
  <c r="Q36" i="1"/>
  <c r="N36" i="1"/>
  <c r="M36" i="1"/>
  <c r="L36" i="1" s="1"/>
  <c r="W35" i="1"/>
  <c r="V35" i="1"/>
  <c r="T35" i="1"/>
  <c r="S35" i="1"/>
  <c r="Q35" i="1" s="1"/>
  <c r="R35" i="1" s="1"/>
  <c r="N35" i="1"/>
  <c r="M35" i="1"/>
  <c r="W34" i="1"/>
  <c r="V34" i="1"/>
  <c r="T34" i="1"/>
  <c r="U34" i="1" s="1"/>
  <c r="S34" i="1"/>
  <c r="Q34" i="1" s="1"/>
  <c r="N34" i="1"/>
  <c r="M34" i="1"/>
  <c r="W33" i="1"/>
  <c r="V33" i="1"/>
  <c r="T33" i="1"/>
  <c r="U33" i="1" s="1"/>
  <c r="S33" i="1"/>
  <c r="Q33" i="1"/>
  <c r="R33" i="1" s="1"/>
  <c r="N33" i="1"/>
  <c r="M33" i="1"/>
  <c r="W32" i="1"/>
  <c r="V32" i="1"/>
  <c r="T32" i="1"/>
  <c r="S32" i="1"/>
  <c r="Q32" i="1" s="1"/>
  <c r="N32" i="1"/>
  <c r="M32" i="1"/>
  <c r="W31" i="1"/>
  <c r="V31" i="1"/>
  <c r="T31" i="1"/>
  <c r="U31" i="1" s="1"/>
  <c r="S31" i="1"/>
  <c r="Q31" i="1" s="1"/>
  <c r="N31" i="1"/>
  <c r="M31" i="1"/>
  <c r="W30" i="1"/>
  <c r="V30" i="1"/>
  <c r="T30" i="1"/>
  <c r="S30" i="1"/>
  <c r="Q30" i="1" s="1"/>
  <c r="N30" i="1"/>
  <c r="M30" i="1"/>
  <c r="W29" i="1"/>
  <c r="V29" i="1"/>
  <c r="T29" i="1"/>
  <c r="S29" i="1"/>
  <c r="Q29" i="1" s="1"/>
  <c r="N29" i="1"/>
  <c r="M29" i="1"/>
  <c r="L29" i="1"/>
  <c r="W28" i="1"/>
  <c r="V28" i="1"/>
  <c r="T28" i="1"/>
  <c r="U28" i="1" s="1"/>
  <c r="S28" i="1"/>
  <c r="Q28" i="1" s="1"/>
  <c r="N28" i="1"/>
  <c r="M28" i="1"/>
  <c r="L28" i="1" s="1"/>
  <c r="W27" i="1"/>
  <c r="V27" i="1"/>
  <c r="T27" i="1"/>
  <c r="U27" i="1" s="1"/>
  <c r="S27" i="1"/>
  <c r="Q27" i="1" s="1"/>
  <c r="R27" i="1" s="1"/>
  <c r="N27" i="1"/>
  <c r="M27" i="1"/>
  <c r="W26" i="1"/>
  <c r="V26" i="1"/>
  <c r="T26" i="1"/>
  <c r="S26" i="1"/>
  <c r="Q26" i="1" s="1"/>
  <c r="N26" i="1"/>
  <c r="M26" i="1"/>
  <c r="W25" i="1"/>
  <c r="V25" i="1"/>
  <c r="T25" i="1"/>
  <c r="U25" i="1" s="1"/>
  <c r="S25" i="1"/>
  <c r="Q25" i="1"/>
  <c r="R25" i="1" s="1"/>
  <c r="N25" i="1"/>
  <c r="M25" i="1"/>
  <c r="L25" i="1" s="1"/>
  <c r="W24" i="1"/>
  <c r="V24" i="1"/>
  <c r="U24" i="1"/>
  <c r="T24" i="1"/>
  <c r="S24" i="1"/>
  <c r="Q24" i="1" s="1"/>
  <c r="N24" i="1"/>
  <c r="M24" i="1"/>
  <c r="L24" i="1" s="1"/>
  <c r="W23" i="1"/>
  <c r="V23" i="1"/>
  <c r="T23" i="1"/>
  <c r="U23" i="1" s="1"/>
  <c r="S23" i="1"/>
  <c r="Q23" i="1" s="1"/>
  <c r="N23" i="1"/>
  <c r="M23" i="1"/>
  <c r="L23" i="1" s="1"/>
  <c r="W22" i="1"/>
  <c r="V22" i="1"/>
  <c r="T22" i="1"/>
  <c r="S22" i="1"/>
  <c r="Q22" i="1" s="1"/>
  <c r="N22" i="1"/>
  <c r="M22" i="1"/>
  <c r="L22" i="1" s="1"/>
  <c r="W21" i="1"/>
  <c r="V21" i="1"/>
  <c r="T21" i="1"/>
  <c r="S21" i="1"/>
  <c r="Q21" i="1" s="1"/>
  <c r="N21" i="1"/>
  <c r="M21" i="1"/>
  <c r="W20" i="1"/>
  <c r="V20" i="1"/>
  <c r="T20" i="1"/>
  <c r="U20" i="1" s="1"/>
  <c r="S20" i="1"/>
  <c r="Q20" i="1" s="1"/>
  <c r="N20" i="1"/>
  <c r="M20" i="1"/>
  <c r="L20" i="1" s="1"/>
  <c r="W19" i="1"/>
  <c r="V19" i="1"/>
  <c r="T19" i="1"/>
  <c r="U19" i="1" s="1"/>
  <c r="S19" i="1"/>
  <c r="Q19" i="1" s="1"/>
  <c r="N19" i="1"/>
  <c r="M19" i="1"/>
  <c r="W18" i="1"/>
  <c r="V18" i="1"/>
  <c r="T18" i="1"/>
  <c r="S18" i="1"/>
  <c r="Q18" i="1" s="1"/>
  <c r="N18" i="1"/>
  <c r="M18" i="1"/>
  <c r="L18" i="1" s="1"/>
  <c r="W17" i="1"/>
  <c r="V17" i="1"/>
  <c r="T17" i="1"/>
  <c r="S17" i="1"/>
  <c r="Q17" i="1" s="1"/>
  <c r="N17" i="1"/>
  <c r="M17" i="1"/>
  <c r="W16" i="1"/>
  <c r="V16" i="1"/>
  <c r="T16" i="1"/>
  <c r="U16" i="1" s="1"/>
  <c r="S16" i="1"/>
  <c r="Q16" i="1" s="1"/>
  <c r="N16" i="1"/>
  <c r="M16" i="1"/>
  <c r="L16" i="1" s="1"/>
  <c r="R96" i="1" l="1"/>
  <c r="K96" i="1"/>
  <c r="H77" i="1"/>
  <c r="K77" i="1"/>
  <c r="K215" i="1"/>
  <c r="R215" i="1"/>
  <c r="R23" i="1"/>
  <c r="H23" i="1"/>
  <c r="K23" i="1"/>
  <c r="H28" i="1"/>
  <c r="K28" i="1"/>
  <c r="U40" i="1"/>
  <c r="U93" i="1"/>
  <c r="U109" i="1"/>
  <c r="L114" i="1"/>
  <c r="L122" i="1"/>
  <c r="L17" i="1"/>
  <c r="L21" i="1"/>
  <c r="U32" i="1"/>
  <c r="L44" i="1"/>
  <c r="L50" i="1"/>
  <c r="L56" i="1"/>
  <c r="U58" i="1"/>
  <c r="U68" i="1"/>
  <c r="L78" i="1"/>
  <c r="U85" i="1"/>
  <c r="L88" i="1"/>
  <c r="U92" i="1"/>
  <c r="L112" i="1"/>
  <c r="L113" i="1"/>
  <c r="U117" i="1"/>
  <c r="U131" i="1"/>
  <c r="U143" i="1"/>
  <c r="U148" i="1"/>
  <c r="L155" i="1"/>
  <c r="U158" i="1"/>
  <c r="L162" i="1"/>
  <c r="U165" i="1"/>
  <c r="U170" i="1"/>
  <c r="L178" i="1"/>
  <c r="L186" i="1"/>
  <c r="U187" i="1"/>
  <c r="H190" i="1"/>
  <c r="L214" i="1"/>
  <c r="U219" i="1"/>
  <c r="R220" i="1"/>
  <c r="L229" i="1"/>
  <c r="L230" i="1"/>
  <c r="K39" i="1"/>
  <c r="K42" i="1"/>
  <c r="L49" i="1"/>
  <c r="H86" i="1"/>
  <c r="L110" i="1"/>
  <c r="K118" i="1"/>
  <c r="L126" i="1"/>
  <c r="U30" i="1"/>
  <c r="L33" i="1"/>
  <c r="U36" i="1"/>
  <c r="L39" i="1"/>
  <c r="L40" i="1"/>
  <c r="L47" i="1"/>
  <c r="L54" i="1"/>
  <c r="U56" i="1"/>
  <c r="H59" i="1"/>
  <c r="U62" i="1"/>
  <c r="U82" i="1"/>
  <c r="L86" i="1"/>
  <c r="U89" i="1"/>
  <c r="L93" i="1"/>
  <c r="U99" i="1"/>
  <c r="H102" i="1"/>
  <c r="L118" i="1"/>
  <c r="L124" i="1"/>
  <c r="L134" i="1"/>
  <c r="U135" i="1"/>
  <c r="U141" i="1"/>
  <c r="L144" i="1"/>
  <c r="L149" i="1"/>
  <c r="L171" i="1"/>
  <c r="L188" i="1"/>
  <c r="L191" i="1"/>
  <c r="U192" i="1"/>
  <c r="L196" i="1"/>
  <c r="H200" i="1"/>
  <c r="L201" i="1"/>
  <c r="H206" i="1"/>
  <c r="L212" i="1"/>
  <c r="U216" i="1"/>
  <c r="H219" i="1"/>
  <c r="H220" i="1"/>
  <c r="K222" i="1"/>
  <c r="L228" i="1"/>
  <c r="R229" i="1"/>
  <c r="H42" i="1"/>
  <c r="L19" i="1"/>
  <c r="L26" i="1"/>
  <c r="U35" i="1"/>
  <c r="U44" i="1"/>
  <c r="L59" i="1"/>
  <c r="L64" i="1"/>
  <c r="H82" i="1"/>
  <c r="U88" i="1"/>
  <c r="U95" i="1"/>
  <c r="L105" i="1"/>
  <c r="L108" i="1"/>
  <c r="U112" i="1"/>
  <c r="U120" i="1"/>
  <c r="L123" i="1"/>
  <c r="L137" i="1"/>
  <c r="U146" i="1"/>
  <c r="U160" i="1"/>
  <c r="L165" i="1"/>
  <c r="R184" i="1"/>
  <c r="U185" i="1"/>
  <c r="L206" i="1"/>
  <c r="U224" i="1"/>
  <c r="L227" i="1"/>
  <c r="L143" i="1"/>
  <c r="L158" i="1"/>
  <c r="L170" i="1"/>
  <c r="L187" i="1"/>
  <c r="U189" i="1"/>
  <c r="L199" i="1"/>
  <c r="U208" i="1"/>
  <c r="L215" i="1"/>
  <c r="L221" i="1"/>
  <c r="L226" i="1"/>
  <c r="L232" i="1"/>
  <c r="U233" i="1"/>
  <c r="H204" i="1"/>
  <c r="L130" i="1"/>
  <c r="L136" i="1"/>
  <c r="L164" i="1"/>
  <c r="U166" i="1"/>
  <c r="L210" i="1"/>
  <c r="L217" i="1"/>
  <c r="H93" i="1"/>
  <c r="R93" i="1"/>
  <c r="K93" i="1"/>
  <c r="R26" i="1"/>
  <c r="H26" i="1"/>
  <c r="K26" i="1"/>
  <c r="H123" i="1"/>
  <c r="K123" i="1"/>
  <c r="R31" i="1"/>
  <c r="K31" i="1"/>
  <c r="H36" i="1"/>
  <c r="K36" i="1"/>
  <c r="R57" i="1"/>
  <c r="K57" i="1"/>
  <c r="K209" i="1"/>
  <c r="H209" i="1"/>
  <c r="H31" i="1"/>
  <c r="R75" i="1"/>
  <c r="H75" i="1"/>
  <c r="U17" i="1"/>
  <c r="U21" i="1"/>
  <c r="L31" i="1"/>
  <c r="L32" i="1"/>
  <c r="H39" i="1"/>
  <c r="K44" i="1"/>
  <c r="R65" i="1"/>
  <c r="K65" i="1"/>
  <c r="U66" i="1"/>
  <c r="U98" i="1"/>
  <c r="K102" i="1"/>
  <c r="K109" i="1"/>
  <c r="L117" i="1"/>
  <c r="L125" i="1"/>
  <c r="L127" i="1"/>
  <c r="L129" i="1"/>
  <c r="L132" i="1"/>
  <c r="U137" i="1"/>
  <c r="U156" i="1"/>
  <c r="L101" i="1"/>
  <c r="K188" i="1"/>
  <c r="H188" i="1"/>
  <c r="R34" i="1"/>
  <c r="H34" i="1"/>
  <c r="H114" i="1"/>
  <c r="K114" i="1"/>
  <c r="U125" i="1"/>
  <c r="U127" i="1"/>
  <c r="U134" i="1"/>
  <c r="L141" i="1"/>
  <c r="L179" i="1"/>
  <c r="K187" i="1"/>
  <c r="H187" i="1"/>
  <c r="H121" i="1"/>
  <c r="R121" i="1"/>
  <c r="H196" i="1"/>
  <c r="K196" i="1"/>
  <c r="R196" i="1"/>
  <c r="K52" i="1"/>
  <c r="K86" i="1"/>
  <c r="H47" i="1"/>
  <c r="H50" i="1"/>
  <c r="K59" i="1"/>
  <c r="H65" i="1"/>
  <c r="K73" i="1"/>
  <c r="R77" i="1"/>
  <c r="L85" i="1"/>
  <c r="U108" i="1"/>
  <c r="U110" i="1"/>
  <c r="K121" i="1"/>
  <c r="L185" i="1"/>
  <c r="L27" i="1"/>
  <c r="L97" i="1"/>
  <c r="K110" i="1"/>
  <c r="H110" i="1"/>
  <c r="U18" i="1"/>
  <c r="U22" i="1"/>
  <c r="U29" i="1"/>
  <c r="K34" i="1"/>
  <c r="U41" i="1"/>
  <c r="U42" i="1"/>
  <c r="K47" i="1"/>
  <c r="L48" i="1"/>
  <c r="K50" i="1"/>
  <c r="L51" i="1"/>
  <c r="H57" i="1"/>
  <c r="U61" i="1"/>
  <c r="L65" i="1"/>
  <c r="R67" i="1"/>
  <c r="H67" i="1"/>
  <c r="L72" i="1"/>
  <c r="L73" i="1"/>
  <c r="U76" i="1"/>
  <c r="R94" i="1"/>
  <c r="U100" i="1"/>
  <c r="H118" i="1"/>
  <c r="L120" i="1"/>
  <c r="K130" i="1"/>
  <c r="L135" i="1"/>
  <c r="U142" i="1"/>
  <c r="L148" i="1"/>
  <c r="L184" i="1"/>
  <c r="U186" i="1"/>
  <c r="K199" i="1"/>
  <c r="R199" i="1"/>
  <c r="L34" i="1"/>
  <c r="L35" i="1"/>
  <c r="U38" i="1"/>
  <c r="U45" i="1"/>
  <c r="U50" i="1"/>
  <c r="U60" i="1"/>
  <c r="U71" i="1"/>
  <c r="L77" i="1"/>
  <c r="U81" i="1"/>
  <c r="L92" i="1"/>
  <c r="U97" i="1"/>
  <c r="U102" i="1"/>
  <c r="L133" i="1"/>
  <c r="L145" i="1"/>
  <c r="L147" i="1"/>
  <c r="U168" i="1"/>
  <c r="H178" i="1"/>
  <c r="L189" i="1"/>
  <c r="L193" i="1"/>
  <c r="L195" i="1"/>
  <c r="R200" i="1"/>
  <c r="R208" i="1"/>
  <c r="U211" i="1"/>
  <c r="U212" i="1"/>
  <c r="U221" i="1"/>
  <c r="R222" i="1"/>
  <c r="R224" i="1"/>
  <c r="R225" i="1"/>
  <c r="U164" i="1"/>
  <c r="L177" i="1"/>
  <c r="L192" i="1"/>
  <c r="U199" i="1"/>
  <c r="U202" i="1"/>
  <c r="U203" i="1"/>
  <c r="R204" i="1"/>
  <c r="U205" i="1"/>
  <c r="R206" i="1"/>
  <c r="L233" i="1"/>
  <c r="U195" i="1"/>
  <c r="U196" i="1"/>
  <c r="U204" i="1"/>
  <c r="U207" i="1"/>
  <c r="K212" i="1"/>
  <c r="L213" i="1"/>
  <c r="L216" i="1"/>
  <c r="U223" i="1"/>
  <c r="U227" i="1"/>
  <c r="U229" i="1"/>
  <c r="L198" i="1"/>
  <c r="H225" i="1"/>
  <c r="H226" i="1"/>
  <c r="H229" i="1"/>
  <c r="U26" i="1"/>
  <c r="L42" i="1"/>
  <c r="L43" i="1"/>
  <c r="U46" i="1"/>
  <c r="U53" i="1"/>
  <c r="U63" i="1"/>
  <c r="U72" i="1"/>
  <c r="U73" i="1"/>
  <c r="U75" i="1"/>
  <c r="U78" i="1"/>
  <c r="U94" i="1"/>
  <c r="L104" i="1"/>
  <c r="U113" i="1"/>
  <c r="U114" i="1"/>
  <c r="U140" i="1"/>
  <c r="L157" i="1"/>
  <c r="L159" i="1"/>
  <c r="U176" i="1"/>
  <c r="U179" i="1"/>
  <c r="U184" i="1"/>
  <c r="U188" i="1"/>
  <c r="U191" i="1"/>
  <c r="L197" i="1"/>
  <c r="L200" i="1"/>
  <c r="L203" i="1"/>
  <c r="L205" i="1"/>
  <c r="L208" i="1"/>
  <c r="L209" i="1"/>
  <c r="L211" i="1"/>
  <c r="R212" i="1"/>
  <c r="U215" i="1"/>
  <c r="U218" i="1"/>
  <c r="L224" i="1"/>
  <c r="L225" i="1"/>
  <c r="H227" i="1"/>
  <c r="U232" i="1"/>
  <c r="R19" i="1"/>
  <c r="K19" i="1"/>
  <c r="H19" i="1"/>
  <c r="K30" i="1"/>
  <c r="H30" i="1"/>
  <c r="R30" i="1"/>
  <c r="K32" i="1"/>
  <c r="H32" i="1"/>
  <c r="R32" i="1"/>
  <c r="R37" i="1"/>
  <c r="K37" i="1"/>
  <c r="H37" i="1"/>
  <c r="K56" i="1"/>
  <c r="H56" i="1"/>
  <c r="R56" i="1"/>
  <c r="K68" i="1"/>
  <c r="H68" i="1"/>
  <c r="R68" i="1"/>
  <c r="H87" i="1"/>
  <c r="R87" i="1"/>
  <c r="K87" i="1"/>
  <c r="K108" i="1"/>
  <c r="H108" i="1"/>
  <c r="R108" i="1"/>
  <c r="H18" i="1"/>
  <c r="K18" i="1"/>
  <c r="R18" i="1"/>
  <c r="R29" i="1"/>
  <c r="K29" i="1"/>
  <c r="H29" i="1"/>
  <c r="K64" i="1"/>
  <c r="H64" i="1"/>
  <c r="R64" i="1"/>
  <c r="K76" i="1"/>
  <c r="H76" i="1"/>
  <c r="R76" i="1"/>
  <c r="R17" i="1"/>
  <c r="K17" i="1"/>
  <c r="H17" i="1"/>
  <c r="K46" i="1"/>
  <c r="H46" i="1"/>
  <c r="R46" i="1"/>
  <c r="K48" i="1"/>
  <c r="H48" i="1"/>
  <c r="R48" i="1"/>
  <c r="R53" i="1"/>
  <c r="K53" i="1"/>
  <c r="H53" i="1"/>
  <c r="K72" i="1"/>
  <c r="H72" i="1"/>
  <c r="R72" i="1"/>
  <c r="K22" i="1"/>
  <c r="H22" i="1"/>
  <c r="R22" i="1"/>
  <c r="K24" i="1"/>
  <c r="H24" i="1"/>
  <c r="R24" i="1"/>
  <c r="R21" i="1"/>
  <c r="K21" i="1"/>
  <c r="H21" i="1"/>
  <c r="H16" i="1"/>
  <c r="K16" i="1"/>
  <c r="R16" i="1"/>
  <c r="K20" i="1"/>
  <c r="H20" i="1"/>
  <c r="R20" i="1"/>
  <c r="K38" i="1"/>
  <c r="H38" i="1"/>
  <c r="R38" i="1"/>
  <c r="K40" i="1"/>
  <c r="H40" i="1"/>
  <c r="R40" i="1"/>
  <c r="R45" i="1"/>
  <c r="K45" i="1"/>
  <c r="H45" i="1"/>
  <c r="K60" i="1"/>
  <c r="H60" i="1"/>
  <c r="R60" i="1"/>
  <c r="H85" i="1"/>
  <c r="K85" i="1"/>
  <c r="H99" i="1"/>
  <c r="K99" i="1"/>
  <c r="H119" i="1"/>
  <c r="R119" i="1"/>
  <c r="K124" i="1"/>
  <c r="H124" i="1"/>
  <c r="R124" i="1"/>
  <c r="H159" i="1"/>
  <c r="R159" i="1"/>
  <c r="K159" i="1"/>
  <c r="R162" i="1"/>
  <c r="K162" i="1"/>
  <c r="H162" i="1"/>
  <c r="R164" i="1"/>
  <c r="K164" i="1"/>
  <c r="H164" i="1"/>
  <c r="R210" i="1"/>
  <c r="K210" i="1"/>
  <c r="H210" i="1"/>
  <c r="R80" i="1"/>
  <c r="R85" i="1"/>
  <c r="R99" i="1"/>
  <c r="K106" i="1"/>
  <c r="H106" i="1"/>
  <c r="H120" i="1"/>
  <c r="R120" i="1"/>
  <c r="H151" i="1"/>
  <c r="R151" i="1"/>
  <c r="K151" i="1"/>
  <c r="H155" i="1"/>
  <c r="R155" i="1"/>
  <c r="K155" i="1"/>
  <c r="R158" i="1"/>
  <c r="K158" i="1"/>
  <c r="H158" i="1"/>
  <c r="R160" i="1"/>
  <c r="K160" i="1"/>
  <c r="H160" i="1"/>
  <c r="K62" i="1"/>
  <c r="H62" i="1"/>
  <c r="K70" i="1"/>
  <c r="H70" i="1"/>
  <c r="R54" i="1"/>
  <c r="R62" i="1"/>
  <c r="R70" i="1"/>
  <c r="H88" i="1"/>
  <c r="R88" i="1"/>
  <c r="H95" i="1"/>
  <c r="R95" i="1"/>
  <c r="H113" i="1"/>
  <c r="K113" i="1"/>
  <c r="L58" i="1"/>
  <c r="L66" i="1"/>
  <c r="L74" i="1"/>
  <c r="H81" i="1"/>
  <c r="K81" i="1"/>
  <c r="R106" i="1"/>
  <c r="R113" i="1"/>
  <c r="U118" i="1"/>
  <c r="H147" i="1"/>
  <c r="R147" i="1"/>
  <c r="K147" i="1"/>
  <c r="R150" i="1"/>
  <c r="K150" i="1"/>
  <c r="H150" i="1"/>
  <c r="R152" i="1"/>
  <c r="K152" i="1"/>
  <c r="H152" i="1"/>
  <c r="R154" i="1"/>
  <c r="K154" i="1"/>
  <c r="H154" i="1"/>
  <c r="R156" i="1"/>
  <c r="K156" i="1"/>
  <c r="H156" i="1"/>
  <c r="K193" i="1"/>
  <c r="R193" i="1"/>
  <c r="H193" i="1"/>
  <c r="H80" i="1"/>
  <c r="R89" i="1"/>
  <c r="H98" i="1"/>
  <c r="R100" i="1"/>
  <c r="H100" i="1"/>
  <c r="H101" i="1"/>
  <c r="K101" i="1"/>
  <c r="H107" i="1"/>
  <c r="R107" i="1"/>
  <c r="L111" i="1"/>
  <c r="H112" i="1"/>
  <c r="K132" i="1"/>
  <c r="H132" i="1"/>
  <c r="R132" i="1"/>
  <c r="H135" i="1"/>
  <c r="R135" i="1"/>
  <c r="K135" i="1"/>
  <c r="H143" i="1"/>
  <c r="R143" i="1"/>
  <c r="K143" i="1"/>
  <c r="R146" i="1"/>
  <c r="K146" i="1"/>
  <c r="H146" i="1"/>
  <c r="R148" i="1"/>
  <c r="K148" i="1"/>
  <c r="H148" i="1"/>
  <c r="H43" i="1"/>
  <c r="R52" i="1"/>
  <c r="H69" i="1"/>
  <c r="K74" i="1"/>
  <c r="H74" i="1"/>
  <c r="R78" i="1"/>
  <c r="H84" i="1"/>
  <c r="K105" i="1"/>
  <c r="K112" i="1"/>
  <c r="H115" i="1"/>
  <c r="K115" i="1"/>
  <c r="H126" i="1"/>
  <c r="R126" i="1"/>
  <c r="R134" i="1"/>
  <c r="K134" i="1"/>
  <c r="R136" i="1"/>
  <c r="K136" i="1"/>
  <c r="H136" i="1"/>
  <c r="H139" i="1"/>
  <c r="R139" i="1"/>
  <c r="K139" i="1"/>
  <c r="R142" i="1"/>
  <c r="K142" i="1"/>
  <c r="H142" i="1"/>
  <c r="R144" i="1"/>
  <c r="K144" i="1"/>
  <c r="H144" i="1"/>
  <c r="H175" i="1"/>
  <c r="R175" i="1"/>
  <c r="K175" i="1"/>
  <c r="K185" i="1"/>
  <c r="R185" i="1"/>
  <c r="H185" i="1"/>
  <c r="H35" i="1"/>
  <c r="R36" i="1"/>
  <c r="H61" i="1"/>
  <c r="K66" i="1"/>
  <c r="H66" i="1"/>
  <c r="K27" i="1"/>
  <c r="K35" i="1"/>
  <c r="K43" i="1"/>
  <c r="K51" i="1"/>
  <c r="H54" i="1"/>
  <c r="K61" i="1"/>
  <c r="R66" i="1"/>
  <c r="K69" i="1"/>
  <c r="R74" i="1"/>
  <c r="H79" i="1"/>
  <c r="R79" i="1"/>
  <c r="H83" i="1"/>
  <c r="K83" i="1"/>
  <c r="K84" i="1"/>
  <c r="K88" i="1"/>
  <c r="K92" i="1"/>
  <c r="H92" i="1"/>
  <c r="H94" i="1"/>
  <c r="H97" i="1"/>
  <c r="K97" i="1"/>
  <c r="H103" i="1"/>
  <c r="R103" i="1"/>
  <c r="H111" i="1"/>
  <c r="R111" i="1"/>
  <c r="R115" i="1"/>
  <c r="K119" i="1"/>
  <c r="K122" i="1"/>
  <c r="H122" i="1"/>
  <c r="R138" i="1"/>
  <c r="K138" i="1"/>
  <c r="R140" i="1"/>
  <c r="K140" i="1"/>
  <c r="H140" i="1"/>
  <c r="H171" i="1"/>
  <c r="R171" i="1"/>
  <c r="K171" i="1"/>
  <c r="R174" i="1"/>
  <c r="K174" i="1"/>
  <c r="H174" i="1"/>
  <c r="R176" i="1"/>
  <c r="K176" i="1"/>
  <c r="H176" i="1"/>
  <c r="H27" i="1"/>
  <c r="R28" i="1"/>
  <c r="R44" i="1"/>
  <c r="H51" i="1"/>
  <c r="K58" i="1"/>
  <c r="H58" i="1"/>
  <c r="K90" i="1"/>
  <c r="H90" i="1"/>
  <c r="H25" i="1"/>
  <c r="H33" i="1"/>
  <c r="H41" i="1"/>
  <c r="H49" i="1"/>
  <c r="H55" i="1"/>
  <c r="H63" i="1"/>
  <c r="H71" i="1"/>
  <c r="R83" i="1"/>
  <c r="H91" i="1"/>
  <c r="R91" i="1"/>
  <c r="R92" i="1"/>
  <c r="K95" i="1"/>
  <c r="H104" i="1"/>
  <c r="R104" i="1"/>
  <c r="K120" i="1"/>
  <c r="R122" i="1"/>
  <c r="H167" i="1"/>
  <c r="R167" i="1"/>
  <c r="K167" i="1"/>
  <c r="R170" i="1"/>
  <c r="K170" i="1"/>
  <c r="H170" i="1"/>
  <c r="R172" i="1"/>
  <c r="K172" i="1"/>
  <c r="H172" i="1"/>
  <c r="K25" i="1"/>
  <c r="L30" i="1"/>
  <c r="K33" i="1"/>
  <c r="L38" i="1"/>
  <c r="K41" i="1"/>
  <c r="L46" i="1"/>
  <c r="K49" i="1"/>
  <c r="K55" i="1"/>
  <c r="K63" i="1"/>
  <c r="K71" i="1"/>
  <c r="H78" i="1"/>
  <c r="K89" i="1"/>
  <c r="U90" i="1"/>
  <c r="L95" i="1"/>
  <c r="H96" i="1"/>
  <c r="K100" i="1"/>
  <c r="K107" i="1"/>
  <c r="R116" i="1"/>
  <c r="H116" i="1"/>
  <c r="H117" i="1"/>
  <c r="K117" i="1"/>
  <c r="R128" i="1"/>
  <c r="H128" i="1"/>
  <c r="H163" i="1"/>
  <c r="R163" i="1"/>
  <c r="K163" i="1"/>
  <c r="R166" i="1"/>
  <c r="K166" i="1"/>
  <c r="H166" i="1"/>
  <c r="R168" i="1"/>
  <c r="K168" i="1"/>
  <c r="H168" i="1"/>
  <c r="H129" i="1"/>
  <c r="R129" i="1"/>
  <c r="R191" i="1"/>
  <c r="K192" i="1"/>
  <c r="H192" i="1"/>
  <c r="R194" i="1"/>
  <c r="K194" i="1"/>
  <c r="K195" i="1"/>
  <c r="H195" i="1"/>
  <c r="K228" i="1"/>
  <c r="R228" i="1"/>
  <c r="H228" i="1"/>
  <c r="K186" i="1"/>
  <c r="H186" i="1"/>
  <c r="K207" i="1"/>
  <c r="H207" i="1"/>
  <c r="K223" i="1"/>
  <c r="H223" i="1"/>
  <c r="H127" i="1"/>
  <c r="R127" i="1"/>
  <c r="L180" i="1"/>
  <c r="H133" i="1"/>
  <c r="R133" i="1"/>
  <c r="H137" i="1"/>
  <c r="R137" i="1"/>
  <c r="H141" i="1"/>
  <c r="R141" i="1"/>
  <c r="H145" i="1"/>
  <c r="R145" i="1"/>
  <c r="H149" i="1"/>
  <c r="R149" i="1"/>
  <c r="H153" i="1"/>
  <c r="R153" i="1"/>
  <c r="H157" i="1"/>
  <c r="R157" i="1"/>
  <c r="H161" i="1"/>
  <c r="R161" i="1"/>
  <c r="H165" i="1"/>
  <c r="R165" i="1"/>
  <c r="H169" i="1"/>
  <c r="R169" i="1"/>
  <c r="H173" i="1"/>
  <c r="R173" i="1"/>
  <c r="H177" i="1"/>
  <c r="R177" i="1"/>
  <c r="K189" i="1"/>
  <c r="H189" i="1"/>
  <c r="H125" i="1"/>
  <c r="R125" i="1"/>
  <c r="K129" i="1"/>
  <c r="R130" i="1"/>
  <c r="K182" i="1"/>
  <c r="R182" i="1"/>
  <c r="K183" i="1"/>
  <c r="H183" i="1"/>
  <c r="R189" i="1"/>
  <c r="H191" i="1"/>
  <c r="H194" i="1"/>
  <c r="K213" i="1"/>
  <c r="R213" i="1"/>
  <c r="H213" i="1"/>
  <c r="K217" i="1"/>
  <c r="H217" i="1"/>
  <c r="R217" i="1"/>
  <c r="R109" i="1"/>
  <c r="K179" i="1"/>
  <c r="H179" i="1"/>
  <c r="K181" i="1"/>
  <c r="R181" i="1"/>
  <c r="R183" i="1"/>
  <c r="R123" i="1"/>
  <c r="K127" i="1"/>
  <c r="H131" i="1"/>
  <c r="R131" i="1"/>
  <c r="U180" i="1"/>
  <c r="K197" i="1"/>
  <c r="R197" i="1"/>
  <c r="H197" i="1"/>
  <c r="K201" i="1"/>
  <c r="H201" i="1"/>
  <c r="R201" i="1"/>
  <c r="K205" i="1"/>
  <c r="H205" i="1"/>
  <c r="R205" i="1"/>
  <c r="K211" i="1"/>
  <c r="H211" i="1"/>
  <c r="R211" i="1"/>
  <c r="U181" i="1"/>
  <c r="U197" i="1"/>
  <c r="R198" i="1"/>
  <c r="U213" i="1"/>
  <c r="R214" i="1"/>
  <c r="U228" i="1"/>
  <c r="R230" i="1"/>
  <c r="R231" i="1"/>
  <c r="U201" i="1"/>
  <c r="R202" i="1"/>
  <c r="U217" i="1"/>
  <c r="R218" i="1"/>
  <c r="R221" i="1"/>
  <c r="U230" i="1"/>
  <c r="R232" i="1"/>
  <c r="H198" i="1"/>
  <c r="H214" i="1"/>
  <c r="K233" i="1"/>
  <c r="R233" i="1"/>
  <c r="H208" i="1"/>
  <c r="R209" i="1"/>
  <c r="H224" i="1"/>
  <c r="H230" i="1"/>
  <c r="R187" i="1"/>
  <c r="H202" i="1"/>
  <c r="R203" i="1"/>
  <c r="H218" i="1"/>
  <c r="R219" i="1"/>
  <c r="H221" i="1"/>
  <c r="H231" i="1"/>
  <c r="U177" i="1"/>
  <c r="U193" i="1"/>
  <c r="H199" i="1"/>
  <c r="U209" i="1"/>
  <c r="H215" i="1"/>
  <c r="U226" i="1"/>
  <c r="H232" i="1"/>
</calcChain>
</file>

<file path=xl/sharedStrings.xml><?xml version="1.0" encoding="utf-8"?>
<sst xmlns="http://schemas.openxmlformats.org/spreadsheetml/2006/main" count="2644" uniqueCount="738">
  <si>
    <t>File opened</t>
  </si>
  <si>
    <t>2026-01-23 10:36:32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</si>
  <si>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</si>
  <si>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</si>
  <si>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</si>
  <si>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</si>
  <si>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</si>
  <si>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</si>
  <si>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</si>
  <si>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</si>
  <si>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</si>
  <si>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</si>
  <si>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</si>
  <si>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{"h2obspan2": "0", "h2oaspan2a": "0.0712457", "co2aspan1": "1.00052", "co2bspanconc2": "301.4", "co2bspan2a": "0.295418", "h2oaspan2b": "0.0721966", "co2aspanconc1": "2473", "h2obspanconc1": "12.29", "h2obzero": "1.08151", "ssb_ref": "38888.9", "tazero": "0.0117626", "h2obspan2b": "0.0728367", "co2bspanconc1": "2473", "ssa_ref": "39976.8", "co2bspan2": "-0.0359676", "flowazero": "0.34786", "co2aspan2": "-0.033915", "co2bzero": "0.99384", "flowbzero": "0.30857", "co2aspan2b": "0.296788", "oxygen": "21", "tbzero": "0.0726261", "h2obspan2a": "0.0704999", "h2oaspanconc2": "0", "co2aspan2a": "0.299679", "h2oaspan1": "1.01335", "co2bspan1": "1.00094", "co2azero": "0.922307", "h2oaspanconc1": "12.29", "h2oaspan2": "0", "h2obspan1": "1.03315", "flowmeterzero": "1.00472", "chamberpressurezero": "2.63782", "co2aspanconc2": "301.4", "h2obspanconc2": "0", "h2oazero": "1.07438", "co2bspan2b": "0.292556"}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</si>
  <si>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</si>
  <si>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</si>
  <si>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</si>
  <si>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</si>
  <si>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</si>
  <si>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</si>
  <si>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</si>
  <si>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</si>
  <si>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</si>
  <si>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</si>
  <si>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</si>
  <si>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</si>
  <si>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</si>
  <si>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</si>
  <si>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</si>
  <si>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</si>
  <si>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</si>
  <si>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</si>
  <si>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</si>
  <si>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</si>
  <si>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10:36:32</t>
  </si>
  <si>
    <t>Stability Definition:	F (FlrLS): Per=20	ΔH2O (Meas2): Slp&lt;0.1 Per=20	ΔCO2 (Meas2): Slp&lt;0.5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</si>
  <si>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</si>
  <si>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</si>
  <si>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</si>
  <si>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</si>
  <si>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</si>
  <si>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</si>
  <si>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</si>
  <si>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</si>
  <si>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</si>
  <si>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</si>
  <si>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</si>
  <si>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</si>
  <si>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</si>
  <si>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</si>
  <si>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</si>
  <si>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</si>
  <si>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</si>
  <si>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</si>
  <si>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</si>
  <si>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</si>
  <si>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</si>
  <si>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</si>
  <si>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</si>
  <si>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</si>
  <si>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</si>
  <si>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</si>
  <si>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</si>
  <si>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</si>
  <si>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</si>
  <si>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</si>
  <si>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</si>
  <si>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</si>
  <si>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</si>
  <si>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</si>
  <si>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</si>
  <si>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</si>
  <si>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</si>
  <si>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</si>
  <si>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</si>
  <si>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</si>
  <si>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</si>
  <si>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</si>
  <si>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</si>
  <si>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</si>
  <si>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</si>
  <si>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</si>
  <si>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</si>
  <si>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</si>
  <si>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</si>
  <si>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</si>
  <si>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</si>
  <si>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8.09355 88.5885 373.235 615.574 844.132 1049.13 1231.94 1410.44</t>
  </si>
  <si>
    <t>Fs_true</t>
  </si>
  <si>
    <t>0.108825 101.952 401.771 601.331 801.861 1000.71 1201.75 1400.58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</si>
  <si>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</si>
  <si>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</si>
  <si>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</si>
  <si>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</si>
  <si>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</si>
  <si>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</si>
  <si>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</si>
  <si>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</si>
  <si>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</si>
  <si>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</si>
  <si>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</si>
  <si>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</si>
  <si>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</si>
  <si>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</si>
  <si>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</si>
  <si>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</si>
  <si>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</si>
  <si>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</si>
  <si>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</si>
  <si>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</si>
  <si>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</si>
  <si>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</si>
  <si>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</si>
  <si>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</si>
  <si>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</si>
  <si>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</si>
  <si>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</si>
  <si>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</si>
  <si>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</si>
  <si>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</si>
  <si>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</si>
  <si>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</si>
  <si>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</si>
  <si>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</si>
  <si>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</si>
  <si>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</si>
  <si>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</si>
  <si>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</si>
  <si>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</si>
  <si>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</si>
  <si>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</si>
  <si>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</si>
  <si>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</si>
  <si>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</si>
  <si>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</si>
  <si>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</si>
  <si>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</si>
  <si>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</si>
  <si>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</si>
  <si>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</si>
  <si>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</si>
  <si>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</si>
  <si>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</si>
  <si>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</si>
  <si>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</si>
  <si>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</si>
  <si>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</si>
  <si>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</si>
  <si>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</si>
  <si>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</si>
  <si>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</si>
  <si>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</si>
  <si>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</si>
  <si>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</si>
  <si>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</si>
  <si>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</si>
  <si>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</si>
  <si>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</si>
  <si>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</si>
  <si>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</si>
  <si>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</si>
  <si>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</si>
  <si>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</si>
  <si>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</si>
  <si>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</si>
  <si>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</si>
  <si>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</si>
  <si>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</si>
  <si>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</si>
  <si>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</si>
  <si>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</si>
  <si>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</si>
  <si>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</si>
  <si>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</si>
  <si>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</si>
  <si>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</si>
  <si>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</si>
  <si>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</si>
  <si>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</si>
  <si>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</si>
  <si>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</si>
  <si>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</si>
  <si>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</si>
  <si>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</si>
  <si>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</si>
  <si>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</si>
  <si>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</si>
  <si>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</si>
  <si>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</si>
  <si>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</si>
  <si>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</si>
  <si>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</si>
  <si>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</si>
  <si>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</si>
  <si>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</si>
  <si>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</si>
  <si>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</si>
  <si>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</si>
  <si>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</si>
  <si>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</si>
  <si>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</si>
  <si>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</si>
  <si>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</si>
  <si>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</si>
  <si>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</si>
  <si>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</si>
  <si>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</si>
  <si>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</si>
  <si>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</si>
  <si>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</si>
  <si>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</si>
  <si>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</si>
  <si>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</si>
  <si>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</si>
  <si>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</si>
  <si>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</si>
  <si>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</si>
  <si>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</si>
  <si>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</si>
  <si>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</si>
  <si>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</si>
  <si>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</si>
  <si>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</si>
  <si>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AccH2O_hum</t>
  </si>
  <si>
    <t>CO2_hrs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</si>
  <si>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</si>
  <si>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</si>
  <si>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</si>
  <si>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</si>
  <si>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</si>
  <si>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</si>
  <si>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</si>
  <si>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</si>
  <si>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</si>
  <si>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</si>
  <si>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</si>
  <si>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</si>
  <si>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</si>
  <si>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</si>
  <si>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</si>
  <si>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</si>
  <si>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</si>
  <si>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</si>
  <si>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</si>
  <si>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</si>
  <si>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</si>
  <si>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</si>
  <si>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</si>
  <si>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</si>
  <si>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</si>
  <si>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</si>
  <si>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</si>
  <si>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</si>
  <si>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</si>
  <si>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</si>
  <si>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</si>
  <si>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</si>
  <si>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</si>
  <si>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</si>
  <si>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</si>
  <si>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</si>
  <si>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</si>
  <si>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</si>
  <si>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</si>
  <si>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</si>
  <si>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</si>
  <si>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</si>
  <si>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</si>
  <si>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</si>
  <si>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</si>
  <si>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</si>
  <si>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</si>
  <si>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</si>
  <si>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</si>
  <si>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</si>
  <si>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</si>
  <si>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</si>
  <si>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</si>
  <si>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</si>
  <si>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</si>
  <si>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</si>
  <si>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</si>
  <si>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</si>
  <si>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</si>
  <si>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</si>
  <si>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</si>
  <si>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</si>
  <si>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20260123 10:41:03</t>
  </si>
  <si>
    <t>10:41:03</t>
  </si>
  <si>
    <t>10:41:23</t>
  </si>
  <si>
    <t>0/2</t>
  </si>
  <si>
    <t>10111111</t>
  </si>
  <si>
    <t>oioooooo</t>
  </si>
  <si>
    <t>off</t>
  </si>
  <si>
    <t>on</t>
  </si>
  <si>
    <t>20260123 10:41:25</t>
  </si>
  <si>
    <t>10:41:25</t>
  </si>
  <si>
    <t>20260123 10:41:40</t>
  </si>
  <si>
    <t>10:41:40</t>
  </si>
  <si>
    <t>20260123 10:41:55</t>
  </si>
  <si>
    <t>10:41:55</t>
  </si>
  <si>
    <t>1/2</t>
  </si>
  <si>
    <t>20260123 10:42:10</t>
  </si>
  <si>
    <t>10:42:10</t>
  </si>
  <si>
    <t>20260123 10:42:25</t>
  </si>
  <si>
    <t>10:42:25</t>
  </si>
  <si>
    <t>20260123 10:42:40</t>
  </si>
  <si>
    <t>10:42:40</t>
  </si>
  <si>
    <t>20260123 10:42:55</t>
  </si>
  <si>
    <t>10:42:55</t>
  </si>
  <si>
    <t>2/2</t>
  </si>
  <si>
    <t>20260123 10:43:10</t>
  </si>
  <si>
    <t>10:43:10</t>
  </si>
  <si>
    <t>20260123 10:43:25</t>
  </si>
  <si>
    <t>10:43:25</t>
  </si>
  <si>
    <t>20260123 10:43:40</t>
  </si>
  <si>
    <t>10:43:40</t>
  </si>
  <si>
    <t>20260123 10:43:55</t>
  </si>
  <si>
    <t>10:43:55</t>
  </si>
  <si>
    <t>20260123 10:44:10</t>
  </si>
  <si>
    <t>10:44:10</t>
  </si>
  <si>
    <t>20260123 10:44:25</t>
  </si>
  <si>
    <t>10:44:25</t>
  </si>
  <si>
    <t>20260123 10:44:40</t>
  </si>
  <si>
    <t>10:44:40</t>
  </si>
  <si>
    <t>20260123 10:44:55</t>
  </si>
  <si>
    <t>10:44:55</t>
  </si>
  <si>
    <t>20260123 10:45:10</t>
  </si>
  <si>
    <t>10:45:10</t>
  </si>
  <si>
    <t>20260123 10:45:25</t>
  </si>
  <si>
    <t>10:45:25</t>
  </si>
  <si>
    <t>20260123 10:45:40</t>
  </si>
  <si>
    <t>10:45:40</t>
  </si>
  <si>
    <t>20260123 10:45:55</t>
  </si>
  <si>
    <t>10:45:55</t>
  </si>
  <si>
    <t>20260123 10:46:10</t>
  </si>
  <si>
    <t>10:46:10</t>
  </si>
  <si>
    <t>20260123 10:46:25</t>
  </si>
  <si>
    <t>10:46:25</t>
  </si>
  <si>
    <t>20260123 10:46:40</t>
  </si>
  <si>
    <t>10:46:40</t>
  </si>
  <si>
    <t>20260123 10:46:55</t>
  </si>
  <si>
    <t>10:46:55</t>
  </si>
  <si>
    <t>20260123 10:47:10</t>
  </si>
  <si>
    <t>10:47:10</t>
  </si>
  <si>
    <t>20260123 10:47:25</t>
  </si>
  <si>
    <t>10:47:25</t>
  </si>
  <si>
    <t>20260123 10:47:40</t>
  </si>
  <si>
    <t>10:47:40</t>
  </si>
  <si>
    <t>20260123 10:47:55</t>
  </si>
  <si>
    <t>10:47:55</t>
  </si>
  <si>
    <t>20260123 10:48:10</t>
  </si>
  <si>
    <t>10:48:10</t>
  </si>
  <si>
    <t>20260123 10:48:25</t>
  </si>
  <si>
    <t>10:48:25</t>
  </si>
  <si>
    <t>20260123 10:48:40</t>
  </si>
  <si>
    <t>10:48:40</t>
  </si>
  <si>
    <t>20260123 10:48:55</t>
  </si>
  <si>
    <t>10:48:55</t>
  </si>
  <si>
    <t>20260123 10:49:10</t>
  </si>
  <si>
    <t>10:49:10</t>
  </si>
  <si>
    <t>20260123 10:49:25</t>
  </si>
  <si>
    <t>10:49:25</t>
  </si>
  <si>
    <t>20260123 10:49:40</t>
  </si>
  <si>
    <t>10:49:40</t>
  </si>
  <si>
    <t>20260123 10:49:55</t>
  </si>
  <si>
    <t>10:49:55</t>
  </si>
  <si>
    <t>20260123 10:50:10</t>
  </si>
  <si>
    <t>10:50:10</t>
  </si>
  <si>
    <t>20260123 10:50:25</t>
  </si>
  <si>
    <t>10:50:25</t>
  </si>
  <si>
    <t>20260123 10:50:40</t>
  </si>
  <si>
    <t>10:50:40</t>
  </si>
  <si>
    <t>20260123 10:52:49</t>
  </si>
  <si>
    <t>10:52:49</t>
  </si>
  <si>
    <t>10:53:13</t>
  </si>
  <si>
    <t>20260123 10:53:15</t>
  </si>
  <si>
    <t>10:53:15</t>
  </si>
  <si>
    <t>20260123 10:53:30</t>
  </si>
  <si>
    <t>10:53:30</t>
  </si>
  <si>
    <t>20260123 10:53:45</t>
  </si>
  <si>
    <t>10:53:45</t>
  </si>
  <si>
    <t>20260123 10:54:00</t>
  </si>
  <si>
    <t>10:54:00</t>
  </si>
  <si>
    <t>20260123 10:54:15</t>
  </si>
  <si>
    <t>10:54:15</t>
  </si>
  <si>
    <t>20260123 10:54:30</t>
  </si>
  <si>
    <t>10:54:30</t>
  </si>
  <si>
    <t>20260123 10:54:45</t>
  </si>
  <si>
    <t>10:54:45</t>
  </si>
  <si>
    <t>20260123 10:55:00</t>
  </si>
  <si>
    <t>10:55:00</t>
  </si>
  <si>
    <t>20260123 10:55:15</t>
  </si>
  <si>
    <t>10:55:15</t>
  </si>
  <si>
    <t>20260123 10:55:30</t>
  </si>
  <si>
    <t>10:55:30</t>
  </si>
  <si>
    <t>20260123 10:55:45</t>
  </si>
  <si>
    <t>10:55:45</t>
  </si>
  <si>
    <t>20260123 10:56:00</t>
  </si>
  <si>
    <t>10:56:00</t>
  </si>
  <si>
    <t>20260123 10:56:15</t>
  </si>
  <si>
    <t>10:56:15</t>
  </si>
  <si>
    <t>20260123 10:56:30</t>
  </si>
  <si>
    <t>10:56:30</t>
  </si>
  <si>
    <t>20260123 10:56:45</t>
  </si>
  <si>
    <t>10:56:45</t>
  </si>
  <si>
    <t>20260123 10:57:00</t>
  </si>
  <si>
    <t>10:57:00</t>
  </si>
  <si>
    <t>20260123 10:57:15</t>
  </si>
  <si>
    <t>10:57:15</t>
  </si>
  <si>
    <t>20260123 10:57:30</t>
  </si>
  <si>
    <t>10:57:30</t>
  </si>
  <si>
    <t>20260123 10:57:45</t>
  </si>
  <si>
    <t>10:57:45</t>
  </si>
  <si>
    <t>20260123 10:58:00</t>
  </si>
  <si>
    <t>10:58:00</t>
  </si>
  <si>
    <t>20260123 10:58:15</t>
  </si>
  <si>
    <t>10:58:15</t>
  </si>
  <si>
    <t>20260123 10:58:30</t>
  </si>
  <si>
    <t>10:58:30</t>
  </si>
  <si>
    <t>20260123 10:58:45</t>
  </si>
  <si>
    <t>10:58:45</t>
  </si>
  <si>
    <t>20260123 10:59:00</t>
  </si>
  <si>
    <t>10:59:00</t>
  </si>
  <si>
    <t>20260123 11:01:51</t>
  </si>
  <si>
    <t>11:01:51</t>
  </si>
  <si>
    <t>20260123 11:02:06</t>
  </si>
  <si>
    <t>11:02:06</t>
  </si>
  <si>
    <t>20260123 11:02:21</t>
  </si>
  <si>
    <t>11:02:21</t>
  </si>
  <si>
    <t>20260123 11:02:36</t>
  </si>
  <si>
    <t>11:02:36</t>
  </si>
  <si>
    <t>20260123 11:02:51</t>
  </si>
  <si>
    <t>11:02:51</t>
  </si>
  <si>
    <t>20260123 11:03:06</t>
  </si>
  <si>
    <t>11:03:06</t>
  </si>
  <si>
    <t>20260123 11:03:21</t>
  </si>
  <si>
    <t>11:03:21</t>
  </si>
  <si>
    <t>11:03:47</t>
  </si>
  <si>
    <t>20260123 11:03:49</t>
  </si>
  <si>
    <t>11:03:49</t>
  </si>
  <si>
    <t>20260123 11:04:04</t>
  </si>
  <si>
    <t>11:04:04</t>
  </si>
  <si>
    <t>20260123 11:04:19</t>
  </si>
  <si>
    <t>11:04:19</t>
  </si>
  <si>
    <t>20260123 11:04:34</t>
  </si>
  <si>
    <t>11:04:34</t>
  </si>
  <si>
    <t>20260123 11:04:49</t>
  </si>
  <si>
    <t>11:04:49</t>
  </si>
  <si>
    <t>20260123 11:05:04</t>
  </si>
  <si>
    <t>11:05:04</t>
  </si>
  <si>
    <t>20260123 11:05:19</t>
  </si>
  <si>
    <t>11:05:19</t>
  </si>
  <si>
    <t>20260123 11:05:34</t>
  </si>
  <si>
    <t>11:05:34</t>
  </si>
  <si>
    <t>20260123 11:05:49</t>
  </si>
  <si>
    <t>11:05:49</t>
  </si>
  <si>
    <t>20260123 11:06:04</t>
  </si>
  <si>
    <t>11:06:04</t>
  </si>
  <si>
    <t>20260123 11:06:19</t>
  </si>
  <si>
    <t>11:06:19</t>
  </si>
  <si>
    <t>20260123 11:06:34</t>
  </si>
  <si>
    <t>11:06:34</t>
  </si>
  <si>
    <t>20260123 11:06:49</t>
  </si>
  <si>
    <t>11:06:49</t>
  </si>
  <si>
    <t>20260123 11:07:04</t>
  </si>
  <si>
    <t>11:07:04</t>
  </si>
  <si>
    <t>20260123 11:07:19</t>
  </si>
  <si>
    <t>11:07:19</t>
  </si>
  <si>
    <t>20260123 11:07:34</t>
  </si>
  <si>
    <t>11:07:34</t>
  </si>
  <si>
    <t>20260123 11:07:49</t>
  </si>
  <si>
    <t>11:07:49</t>
  </si>
  <si>
    <t>20260123 11:09:42</t>
  </si>
  <si>
    <t>11:09:42</t>
  </si>
  <si>
    <t>20260123 11:09:57</t>
  </si>
  <si>
    <t>11:09:57</t>
  </si>
  <si>
    <t>20260123 11:10:12</t>
  </si>
  <si>
    <t>11:10:12</t>
  </si>
  <si>
    <t>20260123 11:10:27</t>
  </si>
  <si>
    <t>11:10:27</t>
  </si>
  <si>
    <t>20260123 11:10:42</t>
  </si>
  <si>
    <t>11:10:42</t>
  </si>
  <si>
    <t>20260123 11:10:57</t>
  </si>
  <si>
    <t>11:10:57</t>
  </si>
  <si>
    <t>20260123 11:11:12</t>
  </si>
  <si>
    <t>11:11:12</t>
  </si>
  <si>
    <t>20260123 11:11:27</t>
  </si>
  <si>
    <t>11:11:27</t>
  </si>
  <si>
    <t>20260123 11:11:42</t>
  </si>
  <si>
    <t>11:11:42</t>
  </si>
  <si>
    <t>20260123 11:11:57</t>
  </si>
  <si>
    <t>11:11:57</t>
  </si>
  <si>
    <t>20260123 11:12:12</t>
  </si>
  <si>
    <t>11:12:12</t>
  </si>
  <si>
    <t>20260123 11:12:27</t>
  </si>
  <si>
    <t>11:12:27</t>
  </si>
  <si>
    <t>20260123 11:12:42</t>
  </si>
  <si>
    <t>11:12:42</t>
  </si>
  <si>
    <t>20260123 11:12:57</t>
  </si>
  <si>
    <t>11:12:57</t>
  </si>
  <si>
    <t>20260123 11:13:12</t>
  </si>
  <si>
    <t>11:13:12</t>
  </si>
  <si>
    <t>20260123 11:13:27</t>
  </si>
  <si>
    <t>11:13:27</t>
  </si>
  <si>
    <t>20260123 11:13:42</t>
  </si>
  <si>
    <t>11:13:42</t>
  </si>
  <si>
    <t>20260123 11:13:57</t>
  </si>
  <si>
    <t>11:13:57</t>
  </si>
  <si>
    <t>11:14:17</t>
  </si>
  <si>
    <t>20260123 11:14:19</t>
  </si>
  <si>
    <t>11:14:19</t>
  </si>
  <si>
    <t>20260123 11:14:34</t>
  </si>
  <si>
    <t>11:14:34</t>
  </si>
  <si>
    <t>20260123 11:14:49</t>
  </si>
  <si>
    <t>11:14:49</t>
  </si>
  <si>
    <t>20260123 11:15:04</t>
  </si>
  <si>
    <t>11:15:04</t>
  </si>
  <si>
    <t>20260123 11:17:14</t>
  </si>
  <si>
    <t>11:17:14</t>
  </si>
  <si>
    <t>20260123 11:17:29</t>
  </si>
  <si>
    <t>11:17:29</t>
  </si>
  <si>
    <t>20260123 11:17:44</t>
  </si>
  <si>
    <t>11:17:44</t>
  </si>
  <si>
    <t>20260123 11:17:59</t>
  </si>
  <si>
    <t>11:17:59</t>
  </si>
  <si>
    <t>20260123 11:18:14</t>
  </si>
  <si>
    <t>11:18:14</t>
  </si>
  <si>
    <t>20260123 11:18:29</t>
  </si>
  <si>
    <t>11:18:29</t>
  </si>
  <si>
    <t>20260123 11:18:44</t>
  </si>
  <si>
    <t>11:18:44</t>
  </si>
  <si>
    <t>20260123 11:18:59</t>
  </si>
  <si>
    <t>11:18:59</t>
  </si>
  <si>
    <t>20260123 11:19:14</t>
  </si>
  <si>
    <t>11:19:14</t>
  </si>
  <si>
    <t>20260123 11:19:29</t>
  </si>
  <si>
    <t>11:19:29</t>
  </si>
  <si>
    <t>20260123 11:19:44</t>
  </si>
  <si>
    <t>11:19:44</t>
  </si>
  <si>
    <t>20260123 11:19:59</t>
  </si>
  <si>
    <t>11:19:59</t>
  </si>
  <si>
    <t>20260123 11:20:14</t>
  </si>
  <si>
    <t>11:20:14</t>
  </si>
  <si>
    <t>20260123 11:20:29</t>
  </si>
  <si>
    <t>11:20:29</t>
  </si>
  <si>
    <t>20260123 11:20:44</t>
  </si>
  <si>
    <t>11:20:44</t>
  </si>
  <si>
    <t>20260123 11:20:59</t>
  </si>
  <si>
    <t>11:20:59</t>
  </si>
  <si>
    <t>20260123 11:21:14</t>
  </si>
  <si>
    <t>11:21:14</t>
  </si>
  <si>
    <t>20260123 11:21:29</t>
  </si>
  <si>
    <t>11:21:29</t>
  </si>
  <si>
    <t>20260123 11:21:44</t>
  </si>
  <si>
    <t>11:21:44</t>
  </si>
  <si>
    <t>20260123 11:21:59</t>
  </si>
  <si>
    <t>11:21:59</t>
  </si>
  <si>
    <t>20260123 11:22:14</t>
  </si>
  <si>
    <t>11:22:14</t>
  </si>
  <si>
    <t>20260123 11:22:29</t>
  </si>
  <si>
    <t>11:22:29</t>
  </si>
  <si>
    <t>20260123 11:22:44</t>
  </si>
  <si>
    <t>11:22:44</t>
  </si>
  <si>
    <t>20260123 11:22:59</t>
  </si>
  <si>
    <t>11:22:59</t>
  </si>
  <si>
    <t>20260123 11:23:14</t>
  </si>
  <si>
    <t>11:23:14</t>
  </si>
  <si>
    <t>20260123 11:25:15</t>
  </si>
  <si>
    <t>11:25:15</t>
  </si>
  <si>
    <t>11:25:37</t>
  </si>
  <si>
    <t>20260123 11:25:39</t>
  </si>
  <si>
    <t>11:25:39</t>
  </si>
  <si>
    <t>20260123 11:25:54</t>
  </si>
  <si>
    <t>11:25:54</t>
  </si>
  <si>
    <t>20260123 11:26:09</t>
  </si>
  <si>
    <t>11:26:09</t>
  </si>
  <si>
    <t>20260123 11:26:24</t>
  </si>
  <si>
    <t>11:26:24</t>
  </si>
  <si>
    <t>20260123 11:26:39</t>
  </si>
  <si>
    <t>11:26:39</t>
  </si>
  <si>
    <t>20260123 11:26:54</t>
  </si>
  <si>
    <t>11:26:54</t>
  </si>
  <si>
    <t>20260123 11:27:09</t>
  </si>
  <si>
    <t>11:27:09</t>
  </si>
  <si>
    <t>20260123 11:27:24</t>
  </si>
  <si>
    <t>11:27:24</t>
  </si>
  <si>
    <t>20260123 11:27:39</t>
  </si>
  <si>
    <t>11:27:39</t>
  </si>
  <si>
    <t>20260123 11:27:54</t>
  </si>
  <si>
    <t>11:27:54</t>
  </si>
  <si>
    <t>20260123 11:28:09</t>
  </si>
  <si>
    <t>11:28:09</t>
  </si>
  <si>
    <t>20260123 11:28:24</t>
  </si>
  <si>
    <t>11:28:24</t>
  </si>
  <si>
    <t>20260123 11:28:39</t>
  </si>
  <si>
    <t>11:28:39</t>
  </si>
  <si>
    <t>20260123 11:28:54</t>
  </si>
  <si>
    <t>11:28:54</t>
  </si>
  <si>
    <t>20260123 11:29:09</t>
  </si>
  <si>
    <t>11:29:09</t>
  </si>
  <si>
    <t>20260123 11:29:24</t>
  </si>
  <si>
    <t>11:29:24</t>
  </si>
  <si>
    <t>20260123 11:29:39</t>
  </si>
  <si>
    <t>11:29:39</t>
  </si>
  <si>
    <t>20260123 11:29:54</t>
  </si>
  <si>
    <t>11:29:54</t>
  </si>
  <si>
    <t>20260123 11:30:09</t>
  </si>
  <si>
    <t>11:30:09</t>
  </si>
  <si>
    <t>20260123 11:30:24</t>
  </si>
  <si>
    <t>11:30:24</t>
  </si>
  <si>
    <t>20260123 11:30:39</t>
  </si>
  <si>
    <t>11:30:39</t>
  </si>
  <si>
    <t>20260123 11:30:54</t>
  </si>
  <si>
    <t>11:30:54</t>
  </si>
  <si>
    <t>20260123 11:31:09</t>
  </si>
  <si>
    <t>11:31:09</t>
  </si>
  <si>
    <t>20260123 11:31:24</t>
  </si>
  <si>
    <t>11:31:24</t>
  </si>
  <si>
    <t>20260123 11:31:39</t>
  </si>
  <si>
    <t>11:31:39</t>
  </si>
  <si>
    <t>20260123 11:34:25</t>
  </si>
  <si>
    <t>11:34:25</t>
  </si>
  <si>
    <t>20260123 11:34:40</t>
  </si>
  <si>
    <t>11:34:40</t>
  </si>
  <si>
    <t>20260123 11:34:55</t>
  </si>
  <si>
    <t>11:34:55</t>
  </si>
  <si>
    <t>20260123 11:35:10</t>
  </si>
  <si>
    <t>11:35:10</t>
  </si>
  <si>
    <t>20260123 11:35:25</t>
  </si>
  <si>
    <t>11:35:25</t>
  </si>
  <si>
    <t>20260123 11:35:40</t>
  </si>
  <si>
    <t>11:35:40</t>
  </si>
  <si>
    <t>11:36:05</t>
  </si>
  <si>
    <t>20260123 11:36:07</t>
  </si>
  <si>
    <t>11:36:07</t>
  </si>
  <si>
    <t>20260123 11:36:22</t>
  </si>
  <si>
    <t>11:36:22</t>
  </si>
  <si>
    <t>20260123 11:36:37</t>
  </si>
  <si>
    <t>11:36:37</t>
  </si>
  <si>
    <t>20260123 11:36:52</t>
  </si>
  <si>
    <t>11:36:52</t>
  </si>
  <si>
    <t>20260123 11:37:07</t>
  </si>
  <si>
    <t>11:37:07</t>
  </si>
  <si>
    <t>20260123 11:37:22</t>
  </si>
  <si>
    <t>11:37:22</t>
  </si>
  <si>
    <t>20260123 11:37:37</t>
  </si>
  <si>
    <t>11:37:37</t>
  </si>
  <si>
    <t>20260123 11:37:52</t>
  </si>
  <si>
    <t>11:37:52</t>
  </si>
  <si>
    <t>20260123 11:38:07</t>
  </si>
  <si>
    <t>11:38:07</t>
  </si>
  <si>
    <t>20260123 11:38:22</t>
  </si>
  <si>
    <t>11:38:22</t>
  </si>
  <si>
    <t>20260123 11:38:37</t>
  </si>
  <si>
    <t>11:38:37</t>
  </si>
  <si>
    <t>20260123 11:38:52</t>
  </si>
  <si>
    <t>11:38:52</t>
  </si>
  <si>
    <t>20260123 11:39:07</t>
  </si>
  <si>
    <t>11:39:07</t>
  </si>
  <si>
    <t>20260123 11:39:22</t>
  </si>
  <si>
    <t>11:39:22</t>
  </si>
  <si>
    <t>20260123 11:39:37</t>
  </si>
  <si>
    <t>11:39:37</t>
  </si>
  <si>
    <t>20260123 11:39:52</t>
  </si>
  <si>
    <t>11:39:52</t>
  </si>
  <si>
    <t>20260123 11:40:07</t>
  </si>
  <si>
    <t>11:40:07</t>
  </si>
  <si>
    <t>20260123 11:40:22</t>
  </si>
  <si>
    <t>11:40:22</t>
  </si>
  <si>
    <t>20260123 11:40:37</t>
  </si>
  <si>
    <t>11:40:37</t>
  </si>
  <si>
    <t>20260123 11:40:52</t>
  </si>
  <si>
    <t>11:40:52</t>
  </si>
  <si>
    <t>20260123 11:41:07</t>
  </si>
  <si>
    <t>11:41:07</t>
  </si>
  <si>
    <t>20260123 11:41:22</t>
  </si>
  <si>
    <t>11:41:22</t>
  </si>
  <si>
    <t>20260123 11:41:37</t>
  </si>
  <si>
    <t>11:41:37</t>
  </si>
  <si>
    <t>20260123 11:41:52</t>
  </si>
  <si>
    <t>11:41:52</t>
  </si>
  <si>
    <t>20260123 11:42:07</t>
  </si>
  <si>
    <t>11:42:07</t>
  </si>
  <si>
    <t>20260123 11:42:22</t>
  </si>
  <si>
    <t>11:42:22</t>
  </si>
  <si>
    <t>20260123 11:44:56</t>
  </si>
  <si>
    <t>11:44:56</t>
  </si>
  <si>
    <t>20260123 11:45:11</t>
  </si>
  <si>
    <t>11:45:11</t>
  </si>
  <si>
    <t>20260123 11:45:26</t>
  </si>
  <si>
    <t>11:45:26</t>
  </si>
  <si>
    <t>20260123 11:45:41</t>
  </si>
  <si>
    <t>11:45:41</t>
  </si>
  <si>
    <t>20260123 11:45:56</t>
  </si>
  <si>
    <t>11:45:56</t>
  </si>
  <si>
    <t>20260123 11:46:11</t>
  </si>
  <si>
    <t>11:46:11</t>
  </si>
  <si>
    <t>11:46:34</t>
  </si>
  <si>
    <t>20260123 11:46:36</t>
  </si>
  <si>
    <t>11:46:36</t>
  </si>
  <si>
    <t>20260123 11:46:51</t>
  </si>
  <si>
    <t>11:46:51</t>
  </si>
  <si>
    <t>20260123 11:47:06</t>
  </si>
  <si>
    <t>11:47:06</t>
  </si>
  <si>
    <t>20260123 11:47:21</t>
  </si>
  <si>
    <t>11:47:21</t>
  </si>
  <si>
    <t>20260123 11:47:36</t>
  </si>
  <si>
    <t>11:47:36</t>
  </si>
  <si>
    <t>20260123 11:47:51</t>
  </si>
  <si>
    <t>11:47:51</t>
  </si>
  <si>
    <t>20260123 11:48:06</t>
  </si>
  <si>
    <t>11:48:06</t>
  </si>
  <si>
    <t>20260123 11:48:21</t>
  </si>
  <si>
    <t>11:48:21</t>
  </si>
  <si>
    <t>20260123 11:48:36</t>
  </si>
  <si>
    <t>11:48:36</t>
  </si>
  <si>
    <t>20260123 11:48:51</t>
  </si>
  <si>
    <t>11:48:51</t>
  </si>
  <si>
    <t>20260123 11:49:06</t>
  </si>
  <si>
    <t>11:49:06</t>
  </si>
  <si>
    <t>20260123 11:49:21</t>
  </si>
  <si>
    <t>11:49:21</t>
  </si>
  <si>
    <t>20260123 11:49:36</t>
  </si>
  <si>
    <t>11:49:36</t>
  </si>
  <si>
    <t>20260123 11:49:51</t>
  </si>
  <si>
    <t>11:49:51</t>
  </si>
  <si>
    <t>20260123 11:50:06</t>
  </si>
  <si>
    <t>11:50:06</t>
  </si>
  <si>
    <t>20260123 11:50:21</t>
  </si>
  <si>
    <t>11:50:21</t>
  </si>
  <si>
    <t>20260123 11:50:36</t>
  </si>
  <si>
    <t>11:50:36</t>
  </si>
  <si>
    <t>20260123 11:50:51</t>
  </si>
  <si>
    <t>11:50:51</t>
  </si>
  <si>
    <t>20260123 11:51:06</t>
  </si>
  <si>
    <t>11:51:06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</si>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</sst>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233"/>
  <sheetViews>
    <sheetView tabSelected="1" topLeftCell="A222" workbookViewId="0">
      <selection activeCell="I229" sqref="I229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737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1769182863</v>
      </c>
      <c r="C16">
        <v>0</v>
      </c>
      <c r="D16" t="s">
        <v>287</v>
      </c>
      <c r="E16" t="s">
        <v>288</v>
      </c>
      <c r="F16">
        <v>15</v>
      </c>
      <c r="G16">
        <v>1769182854.5</v>
      </c>
      <c r="H16">
        <f t="shared" ref="H16:H79" si="0">AF16*Q16*(AB16-AC16)/(1000*X16*(1000-Q16*AB16))</f>
        <v>-3.8608349005972526E-5</v>
      </c>
      <c r="I16">
        <v>0</v>
      </c>
      <c r="J16">
        <f>K16*(0.0003137/0.0082157)</f>
        <v>-8.4673263367695151E-2</v>
      </c>
      <c r="K16">
        <f t="shared" ref="K16:K79" si="1">AF16*Q16*(AA16-Z16*(1000-Q16*AC16)/(1000-Q16*AB16))/(1000*X16)</f>
        <v>-2.2175649660502805</v>
      </c>
      <c r="L16">
        <f t="shared" ref="L16:L79" si="2">(M16/N16*100)</f>
        <v>72.230560494869607</v>
      </c>
      <c r="M16">
        <f t="shared" ref="M16:M79" si="3">AB16*(AG16+AH16)/1000</f>
        <v>1.5784600560208646</v>
      </c>
      <c r="N16">
        <f t="shared" ref="N16:N79" si="4">0.61365*EXP(17.502*AI16/(240.97+AI16))</f>
        <v>2.1853077772156833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26305.401060098673</v>
      </c>
      <c r="T16">
        <f t="shared" ref="T16:T79" si="8">$B$11*AO16+$C$11*AP16+$D$11*BA16</f>
        <v>300.00074999999998</v>
      </c>
      <c r="U16">
        <f t="shared" ref="U16:U79" si="9">T16*V16</f>
        <v>252.90066105007196</v>
      </c>
      <c r="V16">
        <f t="shared" ref="V16:V79" si="10">($B$11*$D$9+$C$11*$D$9+$D$11*(BB16*$E$9+BC16*$F$9+BD16*$G$9+BE16*$H$9))/($B$11+$C$11+$D$11)</f>
        <v>0.84300009599999992</v>
      </c>
      <c r="W16">
        <f t="shared" ref="W16:W79" si="11">($B$11*$L$9+$C$11*$L$9+$D$11*(BB16*$M$9+BC16*$N$9+BD16*$O$9+BE16*$P$9))/($B$11+$C$11+$D$11)</f>
        <v>0.15870026436000001</v>
      </c>
      <c r="X16">
        <v>1</v>
      </c>
      <c r="Y16">
        <v>1769182854.5</v>
      </c>
      <c r="Z16">
        <v>412.89362499999999</v>
      </c>
      <c r="AA16">
        <v>410.10174999999998</v>
      </c>
      <c r="AB16">
        <v>15.7542375</v>
      </c>
      <c r="AC16">
        <v>15.8017375</v>
      </c>
      <c r="AD16">
        <v>414.09862500000003</v>
      </c>
      <c r="AE16">
        <v>15.625237500000001</v>
      </c>
      <c r="AF16">
        <v>800.00218749999999</v>
      </c>
      <c r="AG16">
        <v>100.12712500000001</v>
      </c>
      <c r="AH16">
        <v>6.5604481249999999E-2</v>
      </c>
      <c r="AI16">
        <v>18.855012500000001</v>
      </c>
      <c r="AJ16">
        <v>999.9</v>
      </c>
      <c r="AK16">
        <v>999.9</v>
      </c>
      <c r="AL16">
        <v>0</v>
      </c>
      <c r="AM16">
        <v>0</v>
      </c>
      <c r="AN16">
        <v>5006.0625</v>
      </c>
      <c r="AO16">
        <v>0</v>
      </c>
      <c r="AP16">
        <v>2.0713675</v>
      </c>
      <c r="AQ16">
        <v>3.2419787499999999</v>
      </c>
      <c r="AR16">
        <v>419.9584375</v>
      </c>
      <c r="AS16">
        <v>416.68618750000002</v>
      </c>
      <c r="AT16">
        <v>-5.0481718750000001E-2</v>
      </c>
      <c r="AU16">
        <v>410.10174999999998</v>
      </c>
      <c r="AV16">
        <v>15.8017375</v>
      </c>
      <c r="AW16">
        <v>1.57712875</v>
      </c>
      <c r="AX16">
        <v>1.5821825</v>
      </c>
      <c r="AY16">
        <v>13.73689375</v>
      </c>
      <c r="AZ16">
        <v>13.785406249999999</v>
      </c>
      <c r="BA16">
        <v>300.00074999999998</v>
      </c>
      <c r="BB16">
        <v>0.89999643750000002</v>
      </c>
      <c r="BC16">
        <v>0</v>
      </c>
      <c r="BD16">
        <v>0.10000355</v>
      </c>
      <c r="BE16">
        <v>0</v>
      </c>
      <c r="BF16">
        <v>25</v>
      </c>
      <c r="BG16">
        <v>4946.6393749999997</v>
      </c>
      <c r="BH16">
        <v>1769182883</v>
      </c>
      <c r="BI16" t="s">
        <v>289</v>
      </c>
      <c r="BJ16">
        <v>1769182883</v>
      </c>
      <c r="BK16">
        <v>1769182883</v>
      </c>
      <c r="BL16">
        <v>1</v>
      </c>
      <c r="BM16">
        <v>-0.45</v>
      </c>
      <c r="BN16">
        <v>3.0000000000000001E-3</v>
      </c>
      <c r="BO16">
        <v>-1.2050000000000001</v>
      </c>
      <c r="BP16">
        <v>0.129</v>
      </c>
      <c r="BQ16">
        <v>410</v>
      </c>
      <c r="BR16">
        <v>15</v>
      </c>
      <c r="BS16">
        <v>0.1</v>
      </c>
      <c r="BT16">
        <v>0.06</v>
      </c>
      <c r="BU16">
        <v>4.1117264999999996</v>
      </c>
      <c r="BV16">
        <v>-16.414018195488701</v>
      </c>
      <c r="BW16">
        <v>1.6156295999741901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-0.262371625</v>
      </c>
      <c r="CD16">
        <v>4.1649923684210499</v>
      </c>
      <c r="CE16">
        <v>0.40303834597420701</v>
      </c>
      <c r="CF16">
        <v>0</v>
      </c>
      <c r="CG16">
        <v>0</v>
      </c>
      <c r="CH16">
        <v>2</v>
      </c>
      <c r="CI16" t="s">
        <v>290</v>
      </c>
      <c r="CJ16">
        <v>3.53247</v>
      </c>
      <c r="CK16">
        <v>2.70356</v>
      </c>
      <c r="CL16">
        <v>9.8544699999999999E-2</v>
      </c>
      <c r="CM16">
        <v>9.6863199999999997E-2</v>
      </c>
      <c r="CN16">
        <v>8.9174900000000001E-2</v>
      </c>
      <c r="CO16">
        <v>8.6728700000000006E-2</v>
      </c>
      <c r="CP16">
        <v>31626.6</v>
      </c>
      <c r="CQ16">
        <v>27739.7</v>
      </c>
      <c r="CR16">
        <v>32468</v>
      </c>
      <c r="CS16">
        <v>30638.1</v>
      </c>
      <c r="CT16">
        <v>40020.400000000001</v>
      </c>
      <c r="CU16">
        <v>39319.4</v>
      </c>
      <c r="CV16">
        <v>47395.9</v>
      </c>
      <c r="CW16">
        <v>46697.599999999999</v>
      </c>
      <c r="CX16">
        <v>2.6353599999999999</v>
      </c>
      <c r="CY16">
        <v>2.17788</v>
      </c>
      <c r="CZ16">
        <v>0</v>
      </c>
      <c r="DA16">
        <v>0</v>
      </c>
      <c r="DB16">
        <v>999.9</v>
      </c>
      <c r="DC16">
        <v>999.9</v>
      </c>
      <c r="DD16">
        <v>77.700999999999993</v>
      </c>
      <c r="DE16">
        <v>23.111000000000001</v>
      </c>
      <c r="DF16">
        <v>22.028099999999998</v>
      </c>
      <c r="DG16">
        <v>30.180099999999999</v>
      </c>
      <c r="DH16">
        <v>17.331700000000001</v>
      </c>
      <c r="DI16">
        <v>2</v>
      </c>
      <c r="DJ16">
        <v>-0.18589600000000001</v>
      </c>
      <c r="DK16">
        <v>1.8721099999999999</v>
      </c>
      <c r="DL16">
        <v>20.221</v>
      </c>
      <c r="DM16">
        <v>5.2516699999999998</v>
      </c>
      <c r="DN16">
        <v>12.033899999999999</v>
      </c>
      <c r="DO16">
        <v>4.9658800000000003</v>
      </c>
      <c r="DP16">
        <v>3.2909999999999999</v>
      </c>
      <c r="DQ16">
        <v>9999</v>
      </c>
      <c r="DR16">
        <v>9999</v>
      </c>
      <c r="DS16">
        <v>534</v>
      </c>
      <c r="DT16">
        <v>9999</v>
      </c>
      <c r="DU16">
        <v>1.8708800000000001</v>
      </c>
      <c r="DV16">
        <v>1.8759699999999999</v>
      </c>
      <c r="DW16">
        <v>1.87618</v>
      </c>
      <c r="DX16">
        <v>1.88269</v>
      </c>
      <c r="DY16">
        <v>1.8754599999999999</v>
      </c>
      <c r="DZ16">
        <v>1.8745400000000001</v>
      </c>
      <c r="EA16">
        <v>1.8706199999999999</v>
      </c>
      <c r="EB16">
        <v>1.8745400000000001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-1.2050000000000001</v>
      </c>
      <c r="EQ16">
        <v>0.129</v>
      </c>
      <c r="ER16">
        <v>-0.755</v>
      </c>
      <c r="ES16">
        <v>0</v>
      </c>
      <c r="ET16">
        <v>0</v>
      </c>
      <c r="EU16">
        <v>0</v>
      </c>
      <c r="EV16">
        <v>0.126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3821.8</v>
      </c>
      <c r="FE16">
        <v>3821.8</v>
      </c>
      <c r="FF16">
        <v>1.22681</v>
      </c>
      <c r="FG16">
        <v>2.5439500000000002</v>
      </c>
      <c r="FH16">
        <v>2.19604</v>
      </c>
      <c r="FI16">
        <v>2.66357</v>
      </c>
      <c r="FJ16">
        <v>2.4462899999999999</v>
      </c>
      <c r="FK16">
        <v>2.2912599999999999</v>
      </c>
      <c r="FL16">
        <v>28.669</v>
      </c>
      <c r="FM16">
        <v>24.1663</v>
      </c>
      <c r="FN16">
        <v>19</v>
      </c>
      <c r="FO16">
        <v>862.17600000000004</v>
      </c>
      <c r="FP16">
        <v>603.00900000000001</v>
      </c>
      <c r="FQ16">
        <v>17.6431</v>
      </c>
      <c r="FR16">
        <v>24.632400000000001</v>
      </c>
      <c r="FS16">
        <v>30.0002</v>
      </c>
      <c r="FT16">
        <v>24.587800000000001</v>
      </c>
      <c r="FU16">
        <v>24.584299999999999</v>
      </c>
      <c r="FV16">
        <v>24.6236</v>
      </c>
      <c r="FW16">
        <v>35.571199999999997</v>
      </c>
      <c r="FX16">
        <v>74.149000000000001</v>
      </c>
      <c r="FY16">
        <v>17.717400000000001</v>
      </c>
      <c r="FZ16">
        <v>410</v>
      </c>
      <c r="GA16">
        <v>15.234299999999999</v>
      </c>
      <c r="GB16">
        <v>99.887799999999999</v>
      </c>
      <c r="GC16">
        <v>99.431600000000003</v>
      </c>
    </row>
    <row r="17" spans="1:185" x14ac:dyDescent="0.2">
      <c r="A17">
        <v>2</v>
      </c>
      <c r="B17">
        <v>1769182885</v>
      </c>
      <c r="C17">
        <v>22</v>
      </c>
      <c r="D17" t="s">
        <v>295</v>
      </c>
      <c r="E17" t="s">
        <v>296</v>
      </c>
      <c r="F17">
        <v>15</v>
      </c>
      <c r="G17">
        <v>1769182884</v>
      </c>
      <c r="H17">
        <f t="shared" si="0"/>
        <v>3.249863200906746E-7</v>
      </c>
      <c r="I17">
        <v>0</v>
      </c>
      <c r="J17">
        <f t="shared" ref="J17:J80" si="12">K17*(0.0003137/0.0082157)</f>
        <v>-3.7164230021857758E-4</v>
      </c>
      <c r="K17">
        <f t="shared" si="1"/>
        <v>-9.7331898179973467E-3</v>
      </c>
      <c r="L17">
        <f t="shared" si="2"/>
        <v>70.45867438960417</v>
      </c>
      <c r="M17">
        <f t="shared" si="3"/>
        <v>1.5376035411380398</v>
      </c>
      <c r="N17">
        <f t="shared" si="4"/>
        <v>2.1822771354394166</v>
      </c>
      <c r="O17">
        <v>505</v>
      </c>
      <c r="P17">
        <v>63</v>
      </c>
      <c r="Q17">
        <f t="shared" si="5"/>
        <v>1</v>
      </c>
      <c r="R17">
        <f t="shared" si="6"/>
        <v>0</v>
      </c>
      <c r="S17">
        <f t="shared" si="7"/>
        <v>26350.55151083403</v>
      </c>
      <c r="T17">
        <f t="shared" si="8"/>
        <v>300.00299999999999</v>
      </c>
      <c r="U17">
        <f t="shared" si="9"/>
        <v>252.90192059391597</v>
      </c>
      <c r="V17">
        <f t="shared" si="10"/>
        <v>0.84299797199999993</v>
      </c>
      <c r="W17">
        <f t="shared" si="11"/>
        <v>0.15869570952000001</v>
      </c>
      <c r="X17">
        <v>1</v>
      </c>
      <c r="Y17">
        <v>1769182884</v>
      </c>
      <c r="Z17">
        <v>409.86900000000003</v>
      </c>
      <c r="AA17">
        <v>409.85700000000003</v>
      </c>
      <c r="AB17">
        <v>15.3444</v>
      </c>
      <c r="AC17">
        <v>15.343999999999999</v>
      </c>
      <c r="AD17">
        <v>411.07400000000001</v>
      </c>
      <c r="AE17">
        <v>15.2151</v>
      </c>
      <c r="AF17">
        <v>799.99900000000002</v>
      </c>
      <c r="AG17">
        <v>100.131</v>
      </c>
      <c r="AH17">
        <v>7.5169100000000003E-2</v>
      </c>
      <c r="AI17">
        <v>18.832799999999999</v>
      </c>
      <c r="AJ17">
        <v>999.9</v>
      </c>
      <c r="AK17">
        <v>999.9</v>
      </c>
      <c r="AL17">
        <v>0</v>
      </c>
      <c r="AM17">
        <v>0</v>
      </c>
      <c r="AN17">
        <v>5013</v>
      </c>
      <c r="AO17">
        <v>0</v>
      </c>
      <c r="AP17">
        <v>2.08901</v>
      </c>
      <c r="AQ17">
        <v>1.17188E-2</v>
      </c>
      <c r="AR17">
        <v>416.25599999999997</v>
      </c>
      <c r="AS17">
        <v>416.24400000000003</v>
      </c>
      <c r="AT17">
        <v>3.9959000000000001E-4</v>
      </c>
      <c r="AU17">
        <v>409.85700000000003</v>
      </c>
      <c r="AV17">
        <v>15.343999999999999</v>
      </c>
      <c r="AW17">
        <v>1.5364500000000001</v>
      </c>
      <c r="AX17">
        <v>1.5364100000000001</v>
      </c>
      <c r="AY17">
        <v>13.335800000000001</v>
      </c>
      <c r="AZ17">
        <v>13.3354</v>
      </c>
      <c r="BA17">
        <v>300.00299999999999</v>
      </c>
      <c r="BB17">
        <v>0.90005599999999997</v>
      </c>
      <c r="BC17">
        <v>0</v>
      </c>
      <c r="BD17">
        <v>9.9943599999999994E-2</v>
      </c>
      <c r="BE17">
        <v>0</v>
      </c>
      <c r="BF17">
        <v>25</v>
      </c>
      <c r="BG17">
        <v>4946.7700000000004</v>
      </c>
      <c r="BH17">
        <v>1769182883</v>
      </c>
      <c r="BI17" t="s">
        <v>289</v>
      </c>
      <c r="BJ17">
        <v>1769182883</v>
      </c>
      <c r="BK17">
        <v>1769182883</v>
      </c>
      <c r="BL17">
        <v>1</v>
      </c>
      <c r="BM17">
        <v>-0.45</v>
      </c>
      <c r="BN17">
        <v>3.0000000000000001E-3</v>
      </c>
      <c r="BO17">
        <v>-1.2050000000000001</v>
      </c>
      <c r="BP17">
        <v>0.129</v>
      </c>
      <c r="BQ17">
        <v>410</v>
      </c>
      <c r="BR17">
        <v>15</v>
      </c>
      <c r="BS17">
        <v>0.1</v>
      </c>
      <c r="BT17">
        <v>0.06</v>
      </c>
      <c r="BU17">
        <v>0.66716513333333305</v>
      </c>
      <c r="BV17">
        <v>-3.5184829090909102</v>
      </c>
      <c r="BW17">
        <v>0.43673168428284098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8.5410237952380993E-2</v>
      </c>
      <c r="CD17">
        <v>-1.16230198137662</v>
      </c>
      <c r="CE17">
        <v>0.149771268461623</v>
      </c>
      <c r="CF17">
        <v>0</v>
      </c>
      <c r="CG17">
        <v>0</v>
      </c>
      <c r="CH17">
        <v>2</v>
      </c>
      <c r="CI17" t="s">
        <v>290</v>
      </c>
      <c r="CJ17">
        <v>3.5328200000000001</v>
      </c>
      <c r="CK17">
        <v>2.7125599999999999</v>
      </c>
      <c r="CL17">
        <v>9.8239300000000002E-2</v>
      </c>
      <c r="CM17">
        <v>9.6820799999999999E-2</v>
      </c>
      <c r="CN17">
        <v>8.6945499999999995E-2</v>
      </c>
      <c r="CO17">
        <v>8.6158399999999996E-2</v>
      </c>
      <c r="CP17">
        <v>31636.2</v>
      </c>
      <c r="CQ17">
        <v>27740.5</v>
      </c>
      <c r="CR17">
        <v>32467</v>
      </c>
      <c r="CS17">
        <v>30637.599999999999</v>
      </c>
      <c r="CT17">
        <v>40120.9</v>
      </c>
      <c r="CU17">
        <v>39344.400000000001</v>
      </c>
      <c r="CV17">
        <v>47394.8</v>
      </c>
      <c r="CW17">
        <v>46697.1</v>
      </c>
      <c r="CX17">
        <v>1.6622600000000001</v>
      </c>
      <c r="CY17">
        <v>1.6047400000000001</v>
      </c>
      <c r="CZ17">
        <v>0</v>
      </c>
      <c r="DA17">
        <v>0</v>
      </c>
      <c r="DB17">
        <v>999.9</v>
      </c>
      <c r="DC17">
        <v>999.9</v>
      </c>
      <c r="DD17">
        <v>77.634</v>
      </c>
      <c r="DE17">
        <v>23.141999999999999</v>
      </c>
      <c r="DF17">
        <v>22.052299999999999</v>
      </c>
      <c r="DG17">
        <v>29.620100000000001</v>
      </c>
      <c r="DH17">
        <v>17.860600000000002</v>
      </c>
      <c r="DI17">
        <v>2</v>
      </c>
      <c r="DJ17">
        <v>-0.18598799999999999</v>
      </c>
      <c r="DK17">
        <v>1.30392</v>
      </c>
      <c r="DL17">
        <v>20.224599999999999</v>
      </c>
      <c r="DM17">
        <v>5.24329</v>
      </c>
      <c r="DN17">
        <v>12.033899999999999</v>
      </c>
      <c r="DO17">
        <v>4.9654400000000001</v>
      </c>
      <c r="DP17">
        <v>3.2897799999999999</v>
      </c>
      <c r="DQ17">
        <v>9999</v>
      </c>
      <c r="DR17">
        <v>9999</v>
      </c>
      <c r="DS17">
        <v>534</v>
      </c>
      <c r="DT17">
        <v>9999</v>
      </c>
      <c r="DU17">
        <v>1.8708899999999999</v>
      </c>
      <c r="DV17">
        <v>1.8759699999999999</v>
      </c>
      <c r="DW17">
        <v>1.87615</v>
      </c>
      <c r="DX17">
        <v>1.8827</v>
      </c>
      <c r="DY17">
        <v>1.8754599999999999</v>
      </c>
      <c r="DZ17">
        <v>1.8745400000000001</v>
      </c>
      <c r="EA17">
        <v>1.87063</v>
      </c>
      <c r="EB17">
        <v>1.8745400000000001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-1.2050000000000001</v>
      </c>
      <c r="EQ17">
        <v>0.1293</v>
      </c>
      <c r="ER17">
        <v>-1.20520000000005</v>
      </c>
      <c r="ES17">
        <v>0</v>
      </c>
      <c r="ET17">
        <v>0</v>
      </c>
      <c r="EU17">
        <v>0</v>
      </c>
      <c r="EV17">
        <v>0.12931999999999799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</v>
      </c>
      <c r="FE17">
        <v>0</v>
      </c>
      <c r="FF17">
        <v>1.22681</v>
      </c>
      <c r="FG17">
        <v>2.5488300000000002</v>
      </c>
      <c r="FH17">
        <v>2.19604</v>
      </c>
      <c r="FI17">
        <v>2.66357</v>
      </c>
      <c r="FJ17">
        <v>2.4462899999999999</v>
      </c>
      <c r="FK17">
        <v>2.2522000000000002</v>
      </c>
      <c r="FL17">
        <v>28.690100000000001</v>
      </c>
      <c r="FM17">
        <v>24.157499999999999</v>
      </c>
      <c r="FN17">
        <v>19</v>
      </c>
      <c r="FO17">
        <v>272.05599999999998</v>
      </c>
      <c r="FP17">
        <v>269.65699999999998</v>
      </c>
      <c r="FQ17">
        <v>18.1463</v>
      </c>
      <c r="FR17">
        <v>24.6448</v>
      </c>
      <c r="FS17">
        <v>30</v>
      </c>
      <c r="FT17">
        <v>24.620799999999999</v>
      </c>
      <c r="FU17">
        <v>24.613099999999999</v>
      </c>
      <c r="FV17">
        <v>24.6266</v>
      </c>
      <c r="FW17">
        <v>35.386400000000002</v>
      </c>
      <c r="FX17">
        <v>74.149000000000001</v>
      </c>
      <c r="FY17">
        <v>18.1968</v>
      </c>
      <c r="FZ17">
        <v>410</v>
      </c>
      <c r="GA17">
        <v>15.5152</v>
      </c>
      <c r="GB17">
        <v>99.885199999999998</v>
      </c>
      <c r="GC17">
        <v>99.430300000000003</v>
      </c>
    </row>
    <row r="18" spans="1:185" x14ac:dyDescent="0.2">
      <c r="A18">
        <v>3</v>
      </c>
      <c r="B18">
        <v>1769182900</v>
      </c>
      <c r="C18">
        <v>37</v>
      </c>
      <c r="D18" t="s">
        <v>297</v>
      </c>
      <c r="E18" t="s">
        <v>298</v>
      </c>
      <c r="F18">
        <v>15</v>
      </c>
      <c r="G18">
        <v>1769182891.9333301</v>
      </c>
      <c r="H18">
        <f t="shared" si="0"/>
        <v>4.3766386158199377E-4</v>
      </c>
      <c r="I18">
        <v>0</v>
      </c>
      <c r="J18">
        <f t="shared" si="12"/>
        <v>-7.6259085728024572E-3</v>
      </c>
      <c r="K18">
        <f t="shared" si="1"/>
        <v>-0.19972004163714741</v>
      </c>
      <c r="L18">
        <f t="shared" si="2"/>
        <v>72.26687971513131</v>
      </c>
      <c r="M18">
        <f t="shared" si="3"/>
        <v>1.5785508459703148</v>
      </c>
      <c r="N18">
        <f t="shared" si="4"/>
        <v>2.1843351369158341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26213.82026726691</v>
      </c>
      <c r="T18">
        <f t="shared" si="8"/>
        <v>300.000333333333</v>
      </c>
      <c r="U18">
        <f t="shared" si="9"/>
        <v>252.89974801940741</v>
      </c>
      <c r="V18">
        <f t="shared" si="10"/>
        <v>0.84299822339999964</v>
      </c>
      <c r="W18">
        <f t="shared" si="11"/>
        <v>0.15869577936399995</v>
      </c>
      <c r="X18">
        <v>1</v>
      </c>
      <c r="Y18">
        <v>1769182891.9333301</v>
      </c>
      <c r="Z18">
        <v>410.00426666666698</v>
      </c>
      <c r="AA18">
        <v>409.97893333333298</v>
      </c>
      <c r="AB18">
        <v>15.75432</v>
      </c>
      <c r="AC18">
        <v>15.2161066666667</v>
      </c>
      <c r="AD18">
        <v>411.20933333333301</v>
      </c>
      <c r="AE18">
        <v>15.6249866666667</v>
      </c>
      <c r="AF18">
        <v>800.368066666667</v>
      </c>
      <c r="AG18">
        <v>100.13053333333301</v>
      </c>
      <c r="AH18">
        <v>6.7434333333333304E-2</v>
      </c>
      <c r="AI18">
        <v>18.8478866666667</v>
      </c>
      <c r="AJ18">
        <v>999.9</v>
      </c>
      <c r="AK18">
        <v>999.9</v>
      </c>
      <c r="AL18">
        <v>0</v>
      </c>
      <c r="AM18">
        <v>0</v>
      </c>
      <c r="AN18">
        <v>4990.7333333333299</v>
      </c>
      <c r="AO18">
        <v>0</v>
      </c>
      <c r="AP18">
        <v>2.08901</v>
      </c>
      <c r="AQ18">
        <v>2.5272602666666699E-2</v>
      </c>
      <c r="AR18">
        <v>416.56686666666701</v>
      </c>
      <c r="AS18">
        <v>416.31346666666701</v>
      </c>
      <c r="AT18">
        <v>0.53821787933333298</v>
      </c>
      <c r="AU18">
        <v>409.97893333333298</v>
      </c>
      <c r="AV18">
        <v>15.2161066666667</v>
      </c>
      <c r="AW18">
        <v>1.57749133333333</v>
      </c>
      <c r="AX18">
        <v>1.523598</v>
      </c>
      <c r="AY18">
        <v>13.7398666666667</v>
      </c>
      <c r="AZ18">
        <v>13.206673333333301</v>
      </c>
      <c r="BA18">
        <v>300.000333333333</v>
      </c>
      <c r="BB18">
        <v>0.900055933333333</v>
      </c>
      <c r="BC18">
        <v>0</v>
      </c>
      <c r="BD18">
        <v>9.9943953333333294E-2</v>
      </c>
      <c r="BE18">
        <v>0</v>
      </c>
      <c r="BF18">
        <v>25</v>
      </c>
      <c r="BG18">
        <v>4946.7226666666702</v>
      </c>
      <c r="BH18">
        <v>1769182883</v>
      </c>
      <c r="BI18" t="s">
        <v>289</v>
      </c>
      <c r="BJ18">
        <v>1769182883</v>
      </c>
      <c r="BK18">
        <v>1769182883</v>
      </c>
      <c r="BL18">
        <v>1</v>
      </c>
      <c r="BM18">
        <v>-0.45</v>
      </c>
      <c r="BN18">
        <v>3.0000000000000001E-3</v>
      </c>
      <c r="BO18">
        <v>-1.2050000000000001</v>
      </c>
      <c r="BP18">
        <v>0.129</v>
      </c>
      <c r="BQ18">
        <v>410</v>
      </c>
      <c r="BR18">
        <v>15</v>
      </c>
      <c r="BS18">
        <v>0.1</v>
      </c>
      <c r="BT18">
        <v>0.06</v>
      </c>
      <c r="BU18">
        <v>0.148533397095238</v>
      </c>
      <c r="BV18">
        <v>-1.5950505847012999</v>
      </c>
      <c r="BW18">
        <v>0.193655763353452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0.344369259428571</v>
      </c>
      <c r="CD18">
        <v>3.06211317709091</v>
      </c>
      <c r="CE18">
        <v>0.32346709628164799</v>
      </c>
      <c r="CF18">
        <v>0</v>
      </c>
      <c r="CG18">
        <v>0</v>
      </c>
      <c r="CH18">
        <v>2</v>
      </c>
      <c r="CI18" t="s">
        <v>290</v>
      </c>
      <c r="CJ18">
        <v>3.5325199999999999</v>
      </c>
      <c r="CK18">
        <v>2.7035800000000001</v>
      </c>
      <c r="CL18">
        <v>9.8275299999999996E-2</v>
      </c>
      <c r="CM18">
        <v>9.6856800000000007E-2</v>
      </c>
      <c r="CN18">
        <v>8.8992399999999999E-2</v>
      </c>
      <c r="CO18">
        <v>8.4641900000000006E-2</v>
      </c>
      <c r="CP18">
        <v>31634.5</v>
      </c>
      <c r="CQ18">
        <v>27739.4</v>
      </c>
      <c r="CR18">
        <v>32466.5</v>
      </c>
      <c r="CS18">
        <v>30637.8</v>
      </c>
      <c r="CT18">
        <v>40027.300000000003</v>
      </c>
      <c r="CU18">
        <v>39412.1</v>
      </c>
      <c r="CV18">
        <v>47394.3</v>
      </c>
      <c r="CW18">
        <v>46697.4</v>
      </c>
      <c r="CX18">
        <v>2.6330399999999998</v>
      </c>
      <c r="CY18">
        <v>2.1744599999999998</v>
      </c>
      <c r="CZ18">
        <v>0</v>
      </c>
      <c r="DA18">
        <v>0</v>
      </c>
      <c r="DB18">
        <v>999.9</v>
      </c>
      <c r="DC18">
        <v>999.9</v>
      </c>
      <c r="DD18">
        <v>77.584999999999994</v>
      </c>
      <c r="DE18">
        <v>23.161999999999999</v>
      </c>
      <c r="DF18">
        <v>22.0627</v>
      </c>
      <c r="DG18">
        <v>30.430099999999999</v>
      </c>
      <c r="DH18">
        <v>17.243600000000001</v>
      </c>
      <c r="DI18">
        <v>2</v>
      </c>
      <c r="DJ18">
        <v>-0.18551599999999999</v>
      </c>
      <c r="DK18">
        <v>1.0609500000000001</v>
      </c>
      <c r="DL18">
        <v>20.228899999999999</v>
      </c>
      <c r="DM18">
        <v>5.25143</v>
      </c>
      <c r="DN18">
        <v>12.033899999999999</v>
      </c>
      <c r="DO18">
        <v>4.9665999999999997</v>
      </c>
      <c r="DP18">
        <v>3.2909999999999999</v>
      </c>
      <c r="DQ18">
        <v>9999</v>
      </c>
      <c r="DR18">
        <v>9999</v>
      </c>
      <c r="DS18">
        <v>534</v>
      </c>
      <c r="DT18">
        <v>9999</v>
      </c>
      <c r="DU18">
        <v>1.8708800000000001</v>
      </c>
      <c r="DV18">
        <v>1.8759600000000001</v>
      </c>
      <c r="DW18">
        <v>1.8761399999999999</v>
      </c>
      <c r="DX18">
        <v>1.88266</v>
      </c>
      <c r="DY18">
        <v>1.8754500000000001</v>
      </c>
      <c r="DZ18">
        <v>1.8745400000000001</v>
      </c>
      <c r="EA18">
        <v>1.87063</v>
      </c>
      <c r="EB18">
        <v>1.8745400000000001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-1.2050000000000001</v>
      </c>
      <c r="EQ18">
        <v>0.1293</v>
      </c>
      <c r="ER18">
        <v>-1.20520000000005</v>
      </c>
      <c r="ES18">
        <v>0</v>
      </c>
      <c r="ET18">
        <v>0</v>
      </c>
      <c r="EU18">
        <v>0</v>
      </c>
      <c r="EV18">
        <v>0.12931999999999799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1.22681</v>
      </c>
      <c r="FG18">
        <v>2.5463900000000002</v>
      </c>
      <c r="FH18">
        <v>2.19604</v>
      </c>
      <c r="FI18">
        <v>2.66357</v>
      </c>
      <c r="FJ18">
        <v>2.4462899999999999</v>
      </c>
      <c r="FK18">
        <v>2.2717299999999998</v>
      </c>
      <c r="FL18">
        <v>28.711200000000002</v>
      </c>
      <c r="FM18">
        <v>24.157499999999999</v>
      </c>
      <c r="FN18">
        <v>19</v>
      </c>
      <c r="FO18">
        <v>860.34799999999996</v>
      </c>
      <c r="FP18">
        <v>600.53300000000002</v>
      </c>
      <c r="FQ18">
        <v>18.493200000000002</v>
      </c>
      <c r="FR18">
        <v>24.651800000000001</v>
      </c>
      <c r="FS18">
        <v>30.000399999999999</v>
      </c>
      <c r="FT18">
        <v>24.607199999999999</v>
      </c>
      <c r="FU18">
        <v>24.6036</v>
      </c>
      <c r="FV18">
        <v>24.622</v>
      </c>
      <c r="FW18">
        <v>37.228000000000002</v>
      </c>
      <c r="FX18">
        <v>73.383600000000001</v>
      </c>
      <c r="FY18">
        <v>18.529599999999999</v>
      </c>
      <c r="FZ18">
        <v>410</v>
      </c>
      <c r="GA18">
        <v>14.805999999999999</v>
      </c>
      <c r="GB18">
        <v>99.883899999999997</v>
      </c>
      <c r="GC18">
        <v>99.430899999999994</v>
      </c>
    </row>
    <row r="19" spans="1:185" x14ac:dyDescent="0.2">
      <c r="A19">
        <v>4</v>
      </c>
      <c r="B19">
        <v>1769182915</v>
      </c>
      <c r="C19">
        <v>52</v>
      </c>
      <c r="D19" t="s">
        <v>299</v>
      </c>
      <c r="E19" t="s">
        <v>300</v>
      </c>
      <c r="F19">
        <v>15</v>
      </c>
      <c r="G19">
        <v>1769182906.9333301</v>
      </c>
      <c r="H19">
        <f t="shared" si="0"/>
        <v>7.2778834755681324E-4</v>
      </c>
      <c r="I19">
        <v>0</v>
      </c>
      <c r="J19">
        <f t="shared" si="12"/>
        <v>-9.2278788875166939E-3</v>
      </c>
      <c r="K19">
        <f t="shared" si="1"/>
        <v>-0.24167511818989765</v>
      </c>
      <c r="L19">
        <f t="shared" si="2"/>
        <v>72.010851269741792</v>
      </c>
      <c r="M19">
        <f t="shared" si="3"/>
        <v>1.577524603198454</v>
      </c>
      <c r="N19">
        <f t="shared" si="4"/>
        <v>2.1906762319602149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26241.17071783065</v>
      </c>
      <c r="T19">
        <f t="shared" si="8"/>
        <v>300.00046666666702</v>
      </c>
      <c r="U19">
        <f t="shared" si="9"/>
        <v>252.89983017912417</v>
      </c>
      <c r="V19">
        <f t="shared" si="10"/>
        <v>0.84299812259999996</v>
      </c>
      <c r="W19">
        <f t="shared" si="11"/>
        <v>0.15869573523599997</v>
      </c>
      <c r="X19">
        <v>1</v>
      </c>
      <c r="Y19">
        <v>1769182906.9333301</v>
      </c>
      <c r="Z19">
        <v>409.96586666666701</v>
      </c>
      <c r="AA19">
        <v>410.03673333333302</v>
      </c>
      <c r="AB19">
        <v>15.74438</v>
      </c>
      <c r="AC19">
        <v>14.8489666666667</v>
      </c>
      <c r="AD19">
        <v>411.17093333333298</v>
      </c>
      <c r="AE19">
        <v>15.615066666666699</v>
      </c>
      <c r="AF19">
        <v>799.99900000000002</v>
      </c>
      <c r="AG19">
        <v>100.130266666667</v>
      </c>
      <c r="AH19">
        <v>6.5778093333333301E-2</v>
      </c>
      <c r="AI19">
        <v>18.894293333333302</v>
      </c>
      <c r="AJ19">
        <v>999.9</v>
      </c>
      <c r="AK19">
        <v>999.9</v>
      </c>
      <c r="AL19">
        <v>0</v>
      </c>
      <c r="AM19">
        <v>0</v>
      </c>
      <c r="AN19">
        <v>4995.9333333333298</v>
      </c>
      <c r="AO19">
        <v>0</v>
      </c>
      <c r="AP19">
        <v>2.08901</v>
      </c>
      <c r="AQ19">
        <v>-7.0914720000000001E-2</v>
      </c>
      <c r="AR19">
        <v>416.52373333333298</v>
      </c>
      <c r="AS19">
        <v>416.21713333333298</v>
      </c>
      <c r="AT19">
        <v>0.89542613333333299</v>
      </c>
      <c r="AU19">
        <v>410.03673333333302</v>
      </c>
      <c r="AV19">
        <v>14.8489666666667</v>
      </c>
      <c r="AW19">
        <v>1.576492</v>
      </c>
      <c r="AX19">
        <v>1.48683266666667</v>
      </c>
      <c r="AY19">
        <v>13.730840000000001</v>
      </c>
      <c r="AZ19">
        <v>12.8332266666667</v>
      </c>
      <c r="BA19">
        <v>300.00046666666702</v>
      </c>
      <c r="BB19">
        <v>0.90005619999999997</v>
      </c>
      <c r="BC19">
        <v>0</v>
      </c>
      <c r="BD19">
        <v>9.9943580000000004E-2</v>
      </c>
      <c r="BE19">
        <v>0</v>
      </c>
      <c r="BF19">
        <v>25</v>
      </c>
      <c r="BG19">
        <v>4946.7246666666697</v>
      </c>
      <c r="BH19">
        <v>1769182883</v>
      </c>
      <c r="BI19" t="s">
        <v>289</v>
      </c>
      <c r="BJ19">
        <v>1769182883</v>
      </c>
      <c r="BK19">
        <v>1769182883</v>
      </c>
      <c r="BL19">
        <v>1</v>
      </c>
      <c r="BM19">
        <v>-0.45</v>
      </c>
      <c r="BN19">
        <v>3.0000000000000001E-3</v>
      </c>
      <c r="BO19">
        <v>-1.2050000000000001</v>
      </c>
      <c r="BP19">
        <v>0.129</v>
      </c>
      <c r="BQ19">
        <v>410</v>
      </c>
      <c r="BR19">
        <v>15</v>
      </c>
      <c r="BS19">
        <v>0.1</v>
      </c>
      <c r="BT19">
        <v>0.06</v>
      </c>
      <c r="BU19">
        <v>-5.5473324999999997E-2</v>
      </c>
      <c r="BV19">
        <v>-0.28303845563909802</v>
      </c>
      <c r="BW19">
        <v>3.0824759551030999E-2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0.85474030000000001</v>
      </c>
      <c r="CD19">
        <v>0.67946923308270801</v>
      </c>
      <c r="CE19">
        <v>6.8736648321037597E-2</v>
      </c>
      <c r="CF19">
        <v>0</v>
      </c>
      <c r="CG19">
        <v>1</v>
      </c>
      <c r="CH19">
        <v>2</v>
      </c>
      <c r="CI19" t="s">
        <v>301</v>
      </c>
      <c r="CJ19">
        <v>3.5324</v>
      </c>
      <c r="CK19">
        <v>2.7035</v>
      </c>
      <c r="CL19">
        <v>9.8253300000000002E-2</v>
      </c>
      <c r="CM19">
        <v>9.6839599999999998E-2</v>
      </c>
      <c r="CN19">
        <v>8.8268799999999994E-2</v>
      </c>
      <c r="CO19">
        <v>8.3622600000000005E-2</v>
      </c>
      <c r="CP19">
        <v>31635</v>
      </c>
      <c r="CQ19">
        <v>27740.2</v>
      </c>
      <c r="CR19">
        <v>32466.2</v>
      </c>
      <c r="CS19">
        <v>30638.1</v>
      </c>
      <c r="CT19">
        <v>40059.9</v>
      </c>
      <c r="CU19">
        <v>39457.800000000003</v>
      </c>
      <c r="CV19">
        <v>47393.9</v>
      </c>
      <c r="CW19">
        <v>46697.9</v>
      </c>
      <c r="CX19">
        <v>2.6349999999999998</v>
      </c>
      <c r="CY19">
        <v>2.1747000000000001</v>
      </c>
      <c r="CZ19">
        <v>0</v>
      </c>
      <c r="DA19">
        <v>0</v>
      </c>
      <c r="DB19">
        <v>999.9</v>
      </c>
      <c r="DC19">
        <v>999.9</v>
      </c>
      <c r="DD19">
        <v>77.536000000000001</v>
      </c>
      <c r="DE19">
        <v>23.192</v>
      </c>
      <c r="DF19">
        <v>22.091999999999999</v>
      </c>
      <c r="DG19">
        <v>30.3401</v>
      </c>
      <c r="DH19">
        <v>17.335699999999999</v>
      </c>
      <c r="DI19">
        <v>2</v>
      </c>
      <c r="DJ19">
        <v>-0.18492900000000001</v>
      </c>
      <c r="DK19">
        <v>1.0014400000000001</v>
      </c>
      <c r="DL19">
        <v>20.228899999999999</v>
      </c>
      <c r="DM19">
        <v>5.25047</v>
      </c>
      <c r="DN19">
        <v>12.033899999999999</v>
      </c>
      <c r="DO19">
        <v>4.9666399999999999</v>
      </c>
      <c r="DP19">
        <v>3.29088</v>
      </c>
      <c r="DQ19">
        <v>9999</v>
      </c>
      <c r="DR19">
        <v>9999</v>
      </c>
      <c r="DS19">
        <v>534</v>
      </c>
      <c r="DT19">
        <v>9999</v>
      </c>
      <c r="DU19">
        <v>1.8708800000000001</v>
      </c>
      <c r="DV19">
        <v>1.87595</v>
      </c>
      <c r="DW19">
        <v>1.87616</v>
      </c>
      <c r="DX19">
        <v>1.88266</v>
      </c>
      <c r="DY19">
        <v>1.87544</v>
      </c>
      <c r="DZ19">
        <v>1.87453</v>
      </c>
      <c r="EA19">
        <v>1.8706</v>
      </c>
      <c r="EB19">
        <v>1.8745400000000001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-1.2050000000000001</v>
      </c>
      <c r="EQ19">
        <v>0.1293</v>
      </c>
      <c r="ER19">
        <v>-1.20520000000005</v>
      </c>
      <c r="ES19">
        <v>0</v>
      </c>
      <c r="ET19">
        <v>0</v>
      </c>
      <c r="EU19">
        <v>0</v>
      </c>
      <c r="EV19">
        <v>0.12931999999999799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0.5</v>
      </c>
      <c r="FE19">
        <v>0.5</v>
      </c>
      <c r="FF19">
        <v>1.22681</v>
      </c>
      <c r="FG19">
        <v>2.5451700000000002</v>
      </c>
      <c r="FH19">
        <v>2.19604</v>
      </c>
      <c r="FI19">
        <v>2.66357</v>
      </c>
      <c r="FJ19">
        <v>2.4462899999999999</v>
      </c>
      <c r="FK19">
        <v>2.32666</v>
      </c>
      <c r="FL19">
        <v>28.732299999999999</v>
      </c>
      <c r="FM19">
        <v>24.1663</v>
      </c>
      <c r="FN19">
        <v>19</v>
      </c>
      <c r="FO19">
        <v>862.25300000000004</v>
      </c>
      <c r="FP19">
        <v>600.80499999999995</v>
      </c>
      <c r="FQ19">
        <v>18.756799999999998</v>
      </c>
      <c r="FR19">
        <v>24.658000000000001</v>
      </c>
      <c r="FS19">
        <v>30.000299999999999</v>
      </c>
      <c r="FT19">
        <v>24.613</v>
      </c>
      <c r="FU19">
        <v>24.610600000000002</v>
      </c>
      <c r="FV19">
        <v>24.620699999999999</v>
      </c>
      <c r="FW19">
        <v>38.081800000000001</v>
      </c>
      <c r="FX19">
        <v>73.0077</v>
      </c>
      <c r="FY19">
        <v>18.773399999999999</v>
      </c>
      <c r="FZ19">
        <v>410</v>
      </c>
      <c r="GA19">
        <v>14.619199999999999</v>
      </c>
      <c r="GB19">
        <v>99.882999999999996</v>
      </c>
      <c r="GC19">
        <v>99.431899999999999</v>
      </c>
    </row>
    <row r="20" spans="1:185" x14ac:dyDescent="0.2">
      <c r="A20">
        <v>5</v>
      </c>
      <c r="B20">
        <v>1769182930</v>
      </c>
      <c r="C20">
        <v>67</v>
      </c>
      <c r="D20" t="s">
        <v>302</v>
      </c>
      <c r="E20" t="s">
        <v>303</v>
      </c>
      <c r="F20">
        <v>15</v>
      </c>
      <c r="G20">
        <v>1769182921.9333301</v>
      </c>
      <c r="H20">
        <f t="shared" si="0"/>
        <v>7.3191536958654992E-4</v>
      </c>
      <c r="I20">
        <v>0</v>
      </c>
      <c r="J20">
        <f t="shared" si="12"/>
        <v>-8.2227843653885843E-3</v>
      </c>
      <c r="K20">
        <f t="shared" si="1"/>
        <v>-0.21535202266727121</v>
      </c>
      <c r="L20">
        <f t="shared" si="2"/>
        <v>71.054032578406094</v>
      </c>
      <c r="M20">
        <f t="shared" si="3"/>
        <v>1.5620401386916511</v>
      </c>
      <c r="N20">
        <f t="shared" si="4"/>
        <v>2.198383514641459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26239.573900539373</v>
      </c>
      <c r="T20">
        <f t="shared" si="8"/>
        <v>300.00173333333299</v>
      </c>
      <c r="U20">
        <f t="shared" si="9"/>
        <v>252.90105913767675</v>
      </c>
      <c r="V20">
        <f t="shared" si="10"/>
        <v>0.84299865980000022</v>
      </c>
      <c r="W20">
        <f t="shared" si="11"/>
        <v>0.15869663650800006</v>
      </c>
      <c r="X20">
        <v>1</v>
      </c>
      <c r="Y20">
        <v>1769182921.9333301</v>
      </c>
      <c r="Z20">
        <v>409.87313333333299</v>
      </c>
      <c r="AA20">
        <v>409.97893333333298</v>
      </c>
      <c r="AB20">
        <v>15.589826666666699</v>
      </c>
      <c r="AC20">
        <v>14.6892</v>
      </c>
      <c r="AD20">
        <v>411.07833333333298</v>
      </c>
      <c r="AE20">
        <v>15.460506666666699</v>
      </c>
      <c r="AF20">
        <v>800.00400000000002</v>
      </c>
      <c r="AG20">
        <v>100.130333333333</v>
      </c>
      <c r="AH20">
        <v>6.5786360000000002E-2</v>
      </c>
      <c r="AI20">
        <v>18.95054</v>
      </c>
      <c r="AJ20">
        <v>999.9</v>
      </c>
      <c r="AK20">
        <v>999.9</v>
      </c>
      <c r="AL20">
        <v>0</v>
      </c>
      <c r="AM20">
        <v>0</v>
      </c>
      <c r="AN20">
        <v>4996.5</v>
      </c>
      <c r="AO20">
        <v>0</v>
      </c>
      <c r="AP20">
        <v>2.0883326666666702</v>
      </c>
      <c r="AQ20">
        <v>-0.10602224</v>
      </c>
      <c r="AR20">
        <v>416.36419999999998</v>
      </c>
      <c r="AS20">
        <v>416.09120000000001</v>
      </c>
      <c r="AT20">
        <v>0.90062926666666698</v>
      </c>
      <c r="AU20">
        <v>409.97893333333298</v>
      </c>
      <c r="AV20">
        <v>14.6892</v>
      </c>
      <c r="AW20">
        <v>1.5610139999999999</v>
      </c>
      <c r="AX20">
        <v>1.470834</v>
      </c>
      <c r="AY20">
        <v>13.5792066666667</v>
      </c>
      <c r="AZ20">
        <v>12.6682666666667</v>
      </c>
      <c r="BA20">
        <v>300.00173333333299</v>
      </c>
      <c r="BB20">
        <v>0.90004486666666705</v>
      </c>
      <c r="BC20">
        <v>0</v>
      </c>
      <c r="BD20">
        <v>9.9955139999999998E-2</v>
      </c>
      <c r="BE20">
        <v>0</v>
      </c>
      <c r="BF20">
        <v>25</v>
      </c>
      <c r="BG20">
        <v>4946.732</v>
      </c>
      <c r="BH20">
        <v>1769182883</v>
      </c>
      <c r="BI20" t="s">
        <v>289</v>
      </c>
      <c r="BJ20">
        <v>1769182883</v>
      </c>
      <c r="BK20">
        <v>1769182883</v>
      </c>
      <c r="BL20">
        <v>1</v>
      </c>
      <c r="BM20">
        <v>-0.45</v>
      </c>
      <c r="BN20">
        <v>3.0000000000000001E-3</v>
      </c>
      <c r="BO20">
        <v>-1.2050000000000001</v>
      </c>
      <c r="BP20">
        <v>0.129</v>
      </c>
      <c r="BQ20">
        <v>410</v>
      </c>
      <c r="BR20">
        <v>15</v>
      </c>
      <c r="BS20">
        <v>0.1</v>
      </c>
      <c r="BT20">
        <v>0.06</v>
      </c>
      <c r="BU20">
        <v>-0.100969015</v>
      </c>
      <c r="BV20">
        <v>-0.15203701804511299</v>
      </c>
      <c r="BW20">
        <v>2.1498655247393399E-2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0.90734179999999998</v>
      </c>
      <c r="CD20">
        <v>-0.200058045112781</v>
      </c>
      <c r="CE20">
        <v>2.08077206743074E-2</v>
      </c>
      <c r="CF20">
        <v>0</v>
      </c>
      <c r="CG20">
        <v>1</v>
      </c>
      <c r="CH20">
        <v>2</v>
      </c>
      <c r="CI20" t="s">
        <v>301</v>
      </c>
      <c r="CJ20">
        <v>3.53247</v>
      </c>
      <c r="CK20">
        <v>2.7038799999999998</v>
      </c>
      <c r="CL20">
        <v>9.8238300000000001E-2</v>
      </c>
      <c r="CM20">
        <v>9.68387E-2</v>
      </c>
      <c r="CN20">
        <v>8.7744199999999994E-2</v>
      </c>
      <c r="CO20">
        <v>8.3357100000000003E-2</v>
      </c>
      <c r="CP20">
        <v>31635.8</v>
      </c>
      <c r="CQ20">
        <v>27740.7</v>
      </c>
      <c r="CR20">
        <v>32466.5</v>
      </c>
      <c r="CS20">
        <v>30638.6</v>
      </c>
      <c r="CT20">
        <v>40084.5</v>
      </c>
      <c r="CU20">
        <v>39470.300000000003</v>
      </c>
      <c r="CV20">
        <v>47394.7</v>
      </c>
      <c r="CW20">
        <v>46698.7</v>
      </c>
      <c r="CX20">
        <v>2.6354799999999998</v>
      </c>
      <c r="CY20">
        <v>2.17422</v>
      </c>
      <c r="CZ20">
        <v>0</v>
      </c>
      <c r="DA20">
        <v>0</v>
      </c>
      <c r="DB20">
        <v>999.9</v>
      </c>
      <c r="DC20">
        <v>999.9</v>
      </c>
      <c r="DD20">
        <v>77.468999999999994</v>
      </c>
      <c r="DE20">
        <v>23.212</v>
      </c>
      <c r="DF20">
        <v>22.096599999999999</v>
      </c>
      <c r="DG20">
        <v>30.5501</v>
      </c>
      <c r="DH20">
        <v>17.335699999999999</v>
      </c>
      <c r="DI20">
        <v>2</v>
      </c>
      <c r="DJ20">
        <v>-0.18482299999999999</v>
      </c>
      <c r="DK20">
        <v>1.0798399999999999</v>
      </c>
      <c r="DL20">
        <v>20.228300000000001</v>
      </c>
      <c r="DM20">
        <v>5.2478400000000001</v>
      </c>
      <c r="DN20">
        <v>12.033899999999999</v>
      </c>
      <c r="DO20">
        <v>4.9677199999999999</v>
      </c>
      <c r="DP20">
        <v>3.2909999999999999</v>
      </c>
      <c r="DQ20">
        <v>9999</v>
      </c>
      <c r="DR20">
        <v>9999</v>
      </c>
      <c r="DS20">
        <v>534</v>
      </c>
      <c r="DT20">
        <v>9999</v>
      </c>
      <c r="DU20">
        <v>1.8708800000000001</v>
      </c>
      <c r="DV20">
        <v>1.8759399999999999</v>
      </c>
      <c r="DW20">
        <v>1.87618</v>
      </c>
      <c r="DX20">
        <v>1.8826499999999999</v>
      </c>
      <c r="DY20">
        <v>1.87544</v>
      </c>
      <c r="DZ20">
        <v>1.8745400000000001</v>
      </c>
      <c r="EA20">
        <v>1.8706</v>
      </c>
      <c r="EB20">
        <v>1.8745400000000001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-1.2050000000000001</v>
      </c>
      <c r="EQ20">
        <v>0.12939999999999999</v>
      </c>
      <c r="ER20">
        <v>-1.20520000000005</v>
      </c>
      <c r="ES20">
        <v>0</v>
      </c>
      <c r="ET20">
        <v>0</v>
      </c>
      <c r="EU20">
        <v>0</v>
      </c>
      <c r="EV20">
        <v>0.12931999999999799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1.22681</v>
      </c>
      <c r="FG20">
        <v>2.5415000000000001</v>
      </c>
      <c r="FH20">
        <v>2.19604</v>
      </c>
      <c r="FI20">
        <v>2.66357</v>
      </c>
      <c r="FJ20">
        <v>2.4462899999999999</v>
      </c>
      <c r="FK20">
        <v>2.2753899999999998</v>
      </c>
      <c r="FL20">
        <v>28.7745</v>
      </c>
      <c r="FM20">
        <v>24.157499999999999</v>
      </c>
      <c r="FN20">
        <v>19</v>
      </c>
      <c r="FO20">
        <v>862.79700000000003</v>
      </c>
      <c r="FP20">
        <v>600.50900000000001</v>
      </c>
      <c r="FQ20">
        <v>18.900600000000001</v>
      </c>
      <c r="FR20">
        <v>24.6629</v>
      </c>
      <c r="FS20">
        <v>30</v>
      </c>
      <c r="FT20">
        <v>24.619199999999999</v>
      </c>
      <c r="FU20">
        <v>24.617599999999999</v>
      </c>
      <c r="FV20">
        <v>24.622800000000002</v>
      </c>
      <c r="FW20">
        <v>38.081800000000001</v>
      </c>
      <c r="FX20">
        <v>72.631600000000006</v>
      </c>
      <c r="FY20">
        <v>18.899799999999999</v>
      </c>
      <c r="FZ20">
        <v>410</v>
      </c>
      <c r="GA20">
        <v>14.614800000000001</v>
      </c>
      <c r="GB20">
        <v>99.884500000000003</v>
      </c>
      <c r="GC20">
        <v>99.433599999999998</v>
      </c>
    </row>
    <row r="21" spans="1:185" x14ac:dyDescent="0.2">
      <c r="A21">
        <v>6</v>
      </c>
      <c r="B21">
        <v>1769182945</v>
      </c>
      <c r="C21">
        <v>82</v>
      </c>
      <c r="D21" t="s">
        <v>304</v>
      </c>
      <c r="E21" t="s">
        <v>305</v>
      </c>
      <c r="F21">
        <v>15</v>
      </c>
      <c r="G21">
        <v>1769182936.9333301</v>
      </c>
      <c r="H21">
        <f t="shared" si="0"/>
        <v>6.7788365522529655E-4</v>
      </c>
      <c r="I21">
        <v>0</v>
      </c>
      <c r="J21">
        <f t="shared" si="12"/>
        <v>-6.0421582673183347E-3</v>
      </c>
      <c r="K21">
        <f t="shared" si="1"/>
        <v>-0.15824214114379101</v>
      </c>
      <c r="L21">
        <f t="shared" si="2"/>
        <v>70.404530893562494</v>
      </c>
      <c r="M21">
        <f t="shared" si="3"/>
        <v>1.5530947689546419</v>
      </c>
      <c r="N21">
        <f t="shared" si="4"/>
        <v>2.2059585501714505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26241.984455232177</v>
      </c>
      <c r="T21">
        <f t="shared" si="8"/>
        <v>299.99973333333298</v>
      </c>
      <c r="U21">
        <f t="shared" si="9"/>
        <v>252.89940842032581</v>
      </c>
      <c r="V21">
        <f t="shared" si="10"/>
        <v>0.84299877740000029</v>
      </c>
      <c r="W21">
        <f t="shared" si="11"/>
        <v>0.15869677460400006</v>
      </c>
      <c r="X21">
        <v>1</v>
      </c>
      <c r="Y21">
        <v>1769182936.9333301</v>
      </c>
      <c r="Z21">
        <v>409.829133333333</v>
      </c>
      <c r="AA21">
        <v>409.97859999999997</v>
      </c>
      <c r="AB21">
        <v>15.50034</v>
      </c>
      <c r="AC21">
        <v>14.666126666666701</v>
      </c>
      <c r="AD21">
        <v>411.03426666666701</v>
      </c>
      <c r="AE21">
        <v>15.371033333333299</v>
      </c>
      <c r="AF21">
        <v>800.006666666667</v>
      </c>
      <c r="AG21">
        <v>100.1314</v>
      </c>
      <c r="AH21">
        <v>6.6064633333333303E-2</v>
      </c>
      <c r="AI21">
        <v>19.005653333333299</v>
      </c>
      <c r="AJ21">
        <v>999.9</v>
      </c>
      <c r="AK21">
        <v>999.9</v>
      </c>
      <c r="AL21">
        <v>0</v>
      </c>
      <c r="AM21">
        <v>0</v>
      </c>
      <c r="AN21">
        <v>4997.6666666666697</v>
      </c>
      <c r="AO21">
        <v>0</v>
      </c>
      <c r="AP21">
        <v>2.0440719999999999</v>
      </c>
      <c r="AQ21">
        <v>-0.14941822666666699</v>
      </c>
      <c r="AR21">
        <v>416.28153333333302</v>
      </c>
      <c r="AS21">
        <v>416.08080000000001</v>
      </c>
      <c r="AT21">
        <v>0.83423393333333296</v>
      </c>
      <c r="AU21">
        <v>409.97859999999997</v>
      </c>
      <c r="AV21">
        <v>14.666126666666701</v>
      </c>
      <c r="AW21">
        <v>1.55206933333333</v>
      </c>
      <c r="AX21">
        <v>1.4685379999999999</v>
      </c>
      <c r="AY21">
        <v>13.4909866666667</v>
      </c>
      <c r="AZ21">
        <v>12.64446</v>
      </c>
      <c r="BA21">
        <v>299.99973333333298</v>
      </c>
      <c r="BB21">
        <v>0.90004326666666701</v>
      </c>
      <c r="BC21">
        <v>0</v>
      </c>
      <c r="BD21">
        <v>9.9956820000000002E-2</v>
      </c>
      <c r="BE21">
        <v>0</v>
      </c>
      <c r="BF21">
        <v>24.866666666666699</v>
      </c>
      <c r="BG21">
        <v>4946.6953333333304</v>
      </c>
      <c r="BH21">
        <v>1769182883</v>
      </c>
      <c r="BI21" t="s">
        <v>289</v>
      </c>
      <c r="BJ21">
        <v>1769182883</v>
      </c>
      <c r="BK21">
        <v>1769182883</v>
      </c>
      <c r="BL21">
        <v>1</v>
      </c>
      <c r="BM21">
        <v>-0.45</v>
      </c>
      <c r="BN21">
        <v>3.0000000000000001E-3</v>
      </c>
      <c r="BO21">
        <v>-1.2050000000000001</v>
      </c>
      <c r="BP21">
        <v>0.129</v>
      </c>
      <c r="BQ21">
        <v>410</v>
      </c>
      <c r="BR21">
        <v>15</v>
      </c>
      <c r="BS21">
        <v>0.1</v>
      </c>
      <c r="BT21">
        <v>0.06</v>
      </c>
      <c r="BU21">
        <v>-0.140565480952381</v>
      </c>
      <c r="BV21">
        <v>-0.21601457922077899</v>
      </c>
      <c r="BW21">
        <v>3.5872962961401897E-2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0.84675252380952404</v>
      </c>
      <c r="CD21">
        <v>-0.24124223376623399</v>
      </c>
      <c r="CE21">
        <v>2.4541780945231299E-2</v>
      </c>
      <c r="CF21">
        <v>0</v>
      </c>
      <c r="CG21">
        <v>1</v>
      </c>
      <c r="CH21">
        <v>2</v>
      </c>
      <c r="CI21" t="s">
        <v>301</v>
      </c>
      <c r="CJ21">
        <v>3.5325000000000002</v>
      </c>
      <c r="CK21">
        <v>2.7037100000000001</v>
      </c>
      <c r="CL21">
        <v>9.8231600000000002E-2</v>
      </c>
      <c r="CM21">
        <v>9.6834299999999998E-2</v>
      </c>
      <c r="CN21">
        <v>8.7480199999999994E-2</v>
      </c>
      <c r="CO21">
        <v>8.3321300000000001E-2</v>
      </c>
      <c r="CP21">
        <v>31635.3</v>
      </c>
      <c r="CQ21">
        <v>27741.5</v>
      </c>
      <c r="CR21">
        <v>32465.8</v>
      </c>
      <c r="CS21">
        <v>30639.4</v>
      </c>
      <c r="CT21">
        <v>40095.699999999997</v>
      </c>
      <c r="CU21">
        <v>39472.9</v>
      </c>
      <c r="CV21">
        <v>47393.7</v>
      </c>
      <c r="CW21">
        <v>46699.9</v>
      </c>
      <c r="CX21">
        <v>2.6353</v>
      </c>
      <c r="CY21">
        <v>2.1743199999999998</v>
      </c>
      <c r="CZ21">
        <v>0</v>
      </c>
      <c r="DA21">
        <v>0</v>
      </c>
      <c r="DB21">
        <v>999.9</v>
      </c>
      <c r="DC21">
        <v>999.9</v>
      </c>
      <c r="DD21">
        <v>77.426000000000002</v>
      </c>
      <c r="DE21">
        <v>23.222000000000001</v>
      </c>
      <c r="DF21">
        <v>22.098099999999999</v>
      </c>
      <c r="DG21">
        <v>30.5501</v>
      </c>
      <c r="DH21">
        <v>17.3157</v>
      </c>
      <c r="DI21">
        <v>2</v>
      </c>
      <c r="DJ21">
        <v>-0.17882700000000001</v>
      </c>
      <c r="DK21">
        <v>3.9384700000000001</v>
      </c>
      <c r="DL21">
        <v>20.165199999999999</v>
      </c>
      <c r="DM21">
        <v>5.2450799999999997</v>
      </c>
      <c r="DN21">
        <v>12.033899999999999</v>
      </c>
      <c r="DO21">
        <v>4.9671599999999998</v>
      </c>
      <c r="DP21">
        <v>3.2906399999999998</v>
      </c>
      <c r="DQ21">
        <v>9999</v>
      </c>
      <c r="DR21">
        <v>9999</v>
      </c>
      <c r="DS21">
        <v>534</v>
      </c>
      <c r="DT21">
        <v>9999</v>
      </c>
      <c r="DU21">
        <v>1.8708800000000001</v>
      </c>
      <c r="DV21">
        <v>1.8759399999999999</v>
      </c>
      <c r="DW21">
        <v>1.87616</v>
      </c>
      <c r="DX21">
        <v>1.8826400000000001</v>
      </c>
      <c r="DY21">
        <v>1.8754500000000001</v>
      </c>
      <c r="DZ21">
        <v>1.87453</v>
      </c>
      <c r="EA21">
        <v>1.87059</v>
      </c>
      <c r="EB21">
        <v>1.8745400000000001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-1.2050000000000001</v>
      </c>
      <c r="EQ21">
        <v>0.1293</v>
      </c>
      <c r="ER21">
        <v>-1.20520000000005</v>
      </c>
      <c r="ES21">
        <v>0</v>
      </c>
      <c r="ET21">
        <v>0</v>
      </c>
      <c r="EU21">
        <v>0</v>
      </c>
      <c r="EV21">
        <v>0.12931999999999799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</v>
      </c>
      <c r="FE21">
        <v>1</v>
      </c>
      <c r="FF21">
        <v>1.22681</v>
      </c>
      <c r="FG21">
        <v>2.5463900000000002</v>
      </c>
      <c r="FH21">
        <v>2.19604</v>
      </c>
      <c r="FI21">
        <v>2.66357</v>
      </c>
      <c r="FJ21">
        <v>2.4462899999999999</v>
      </c>
      <c r="FK21">
        <v>2.2863799999999999</v>
      </c>
      <c r="FL21">
        <v>28.7745</v>
      </c>
      <c r="FM21">
        <v>24.14</v>
      </c>
      <c r="FN21">
        <v>19</v>
      </c>
      <c r="FO21">
        <v>862.73099999999999</v>
      </c>
      <c r="FP21">
        <v>600.66600000000005</v>
      </c>
      <c r="FQ21">
        <v>18.687000000000001</v>
      </c>
      <c r="FR21">
        <v>24.666599999999999</v>
      </c>
      <c r="FS21">
        <v>30.004000000000001</v>
      </c>
      <c r="FT21">
        <v>24.625399999999999</v>
      </c>
      <c r="FU21">
        <v>24.624199999999998</v>
      </c>
      <c r="FV21">
        <v>24.6265</v>
      </c>
      <c r="FW21">
        <v>38.081800000000001</v>
      </c>
      <c r="FX21">
        <v>71.891199999999998</v>
      </c>
      <c r="FY21">
        <v>18.143000000000001</v>
      </c>
      <c r="FZ21">
        <v>410</v>
      </c>
      <c r="GA21">
        <v>14.655799999999999</v>
      </c>
      <c r="GB21">
        <v>99.882300000000001</v>
      </c>
      <c r="GC21">
        <v>99.436099999999996</v>
      </c>
    </row>
    <row r="22" spans="1:185" x14ac:dyDescent="0.2">
      <c r="A22">
        <v>7</v>
      </c>
      <c r="B22">
        <v>1769182960</v>
      </c>
      <c r="C22">
        <v>97</v>
      </c>
      <c r="D22" t="s">
        <v>306</v>
      </c>
      <c r="E22" t="s">
        <v>307</v>
      </c>
      <c r="F22">
        <v>15</v>
      </c>
      <c r="G22">
        <v>1769182951.9333301</v>
      </c>
      <c r="H22">
        <f t="shared" si="0"/>
        <v>6.2579189348405963E-4</v>
      </c>
      <c r="I22">
        <v>0</v>
      </c>
      <c r="J22">
        <f t="shared" si="12"/>
        <v>-4.4264468544711142E-3</v>
      </c>
      <c r="K22">
        <f t="shared" si="1"/>
        <v>-0.11592718974267877</v>
      </c>
      <c r="L22">
        <f t="shared" si="2"/>
        <v>70.023661577038453</v>
      </c>
      <c r="M22">
        <f t="shared" si="3"/>
        <v>1.545859642669744</v>
      </c>
      <c r="N22">
        <f t="shared" si="4"/>
        <v>2.2076246912181592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26276.539237956011</v>
      </c>
      <c r="T22">
        <f t="shared" si="8"/>
        <v>300.00226666666703</v>
      </c>
      <c r="U22">
        <f t="shared" si="9"/>
        <v>252.90160227766907</v>
      </c>
      <c r="V22">
        <f t="shared" si="10"/>
        <v>0.84299897159999937</v>
      </c>
      <c r="W22">
        <f t="shared" si="11"/>
        <v>0.15869740301599988</v>
      </c>
      <c r="X22">
        <v>1</v>
      </c>
      <c r="Y22">
        <v>1769182951.9333301</v>
      </c>
      <c r="Z22">
        <v>409.81893333333301</v>
      </c>
      <c r="AA22">
        <v>409.99459999999999</v>
      </c>
      <c r="AB22">
        <v>15.428233333333299</v>
      </c>
      <c r="AC22">
        <v>14.6580666666667</v>
      </c>
      <c r="AD22">
        <v>411.02426666666702</v>
      </c>
      <c r="AE22">
        <v>15.2989</v>
      </c>
      <c r="AF22">
        <v>800.00480000000005</v>
      </c>
      <c r="AG22">
        <v>100.130733333333</v>
      </c>
      <c r="AH22">
        <v>6.6068806666666702E-2</v>
      </c>
      <c r="AI22">
        <v>19.0177533333333</v>
      </c>
      <c r="AJ22">
        <v>999.9</v>
      </c>
      <c r="AK22">
        <v>999.9</v>
      </c>
      <c r="AL22">
        <v>0</v>
      </c>
      <c r="AM22">
        <v>0</v>
      </c>
      <c r="AN22">
        <v>5003.5666666666702</v>
      </c>
      <c r="AO22">
        <v>0</v>
      </c>
      <c r="AP22">
        <v>2.0378986666666701</v>
      </c>
      <c r="AQ22">
        <v>-0.175734533333333</v>
      </c>
      <c r="AR22">
        <v>416.24073333333303</v>
      </c>
      <c r="AS22">
        <v>416.09393333333298</v>
      </c>
      <c r="AT22">
        <v>0.77015433333333305</v>
      </c>
      <c r="AU22">
        <v>409.99459999999999</v>
      </c>
      <c r="AV22">
        <v>14.6580666666667</v>
      </c>
      <c r="AW22">
        <v>1.5448379999999999</v>
      </c>
      <c r="AX22">
        <v>1.4677226666666701</v>
      </c>
      <c r="AY22">
        <v>13.4192933333333</v>
      </c>
      <c r="AZ22">
        <v>12.635999999999999</v>
      </c>
      <c r="BA22">
        <v>300.00226666666703</v>
      </c>
      <c r="BB22">
        <v>0.90003466666666598</v>
      </c>
      <c r="BC22">
        <v>0</v>
      </c>
      <c r="BD22">
        <v>9.9965346666666594E-2</v>
      </c>
      <c r="BE22">
        <v>0</v>
      </c>
      <c r="BF22">
        <v>24.666699999999999</v>
      </c>
      <c r="BG22">
        <v>4946.7240000000002</v>
      </c>
      <c r="BH22">
        <v>1769182883</v>
      </c>
      <c r="BI22" t="s">
        <v>289</v>
      </c>
      <c r="BJ22">
        <v>1769182883</v>
      </c>
      <c r="BK22">
        <v>1769182883</v>
      </c>
      <c r="BL22">
        <v>1</v>
      </c>
      <c r="BM22">
        <v>-0.45</v>
      </c>
      <c r="BN22">
        <v>3.0000000000000001E-3</v>
      </c>
      <c r="BO22">
        <v>-1.2050000000000001</v>
      </c>
      <c r="BP22">
        <v>0.129</v>
      </c>
      <c r="BQ22">
        <v>410</v>
      </c>
      <c r="BR22">
        <v>15</v>
      </c>
      <c r="BS22">
        <v>0.1</v>
      </c>
      <c r="BT22">
        <v>0.06</v>
      </c>
      <c r="BU22">
        <v>-0.17666485714285701</v>
      </c>
      <c r="BV22">
        <v>4.3436259740259699E-2</v>
      </c>
      <c r="BW22">
        <v>1.9469753791300899E-2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0.78816842857142899</v>
      </c>
      <c r="CD22">
        <v>-0.28677444155844201</v>
      </c>
      <c r="CE22">
        <v>2.9187065332456599E-2</v>
      </c>
      <c r="CF22">
        <v>0</v>
      </c>
      <c r="CG22">
        <v>1</v>
      </c>
      <c r="CH22">
        <v>2</v>
      </c>
      <c r="CI22" t="s">
        <v>301</v>
      </c>
      <c r="CJ22">
        <v>3.5324800000000001</v>
      </c>
      <c r="CK22">
        <v>2.7040700000000002</v>
      </c>
      <c r="CL22">
        <v>9.8229999999999998E-2</v>
      </c>
      <c r="CM22">
        <v>9.6829799999999994E-2</v>
      </c>
      <c r="CN22">
        <v>8.7133000000000002E-2</v>
      </c>
      <c r="CO22">
        <v>8.3285300000000007E-2</v>
      </c>
      <c r="CP22">
        <v>31635.200000000001</v>
      </c>
      <c r="CQ22">
        <v>27741.200000000001</v>
      </c>
      <c r="CR22">
        <v>32465.7</v>
      </c>
      <c r="CS22">
        <v>30638.9</v>
      </c>
      <c r="CT22">
        <v>40111.4</v>
      </c>
      <c r="CU22">
        <v>39474</v>
      </c>
      <c r="CV22">
        <v>47393.599999999999</v>
      </c>
      <c r="CW22">
        <v>46699.3</v>
      </c>
      <c r="CX22">
        <v>2.6352000000000002</v>
      </c>
      <c r="CY22">
        <v>2.1738</v>
      </c>
      <c r="CZ22">
        <v>0</v>
      </c>
      <c r="DA22">
        <v>0</v>
      </c>
      <c r="DB22">
        <v>999.9</v>
      </c>
      <c r="DC22">
        <v>999.9</v>
      </c>
      <c r="DD22">
        <v>77.352999999999994</v>
      </c>
      <c r="DE22">
        <v>23.251999999999999</v>
      </c>
      <c r="DF22">
        <v>22.1188</v>
      </c>
      <c r="DG22">
        <v>30.400099999999998</v>
      </c>
      <c r="DH22">
        <v>17.3598</v>
      </c>
      <c r="DI22">
        <v>2</v>
      </c>
      <c r="DJ22">
        <v>-0.180535</v>
      </c>
      <c r="DK22">
        <v>2.24865</v>
      </c>
      <c r="DL22">
        <v>20.214200000000002</v>
      </c>
      <c r="DM22">
        <v>5.2472399999999997</v>
      </c>
      <c r="DN22">
        <v>12.033899999999999</v>
      </c>
      <c r="DO22">
        <v>4.9673600000000002</v>
      </c>
      <c r="DP22">
        <v>3.2909999999999999</v>
      </c>
      <c r="DQ22">
        <v>9999</v>
      </c>
      <c r="DR22">
        <v>9999</v>
      </c>
      <c r="DS22">
        <v>534</v>
      </c>
      <c r="DT22">
        <v>9999</v>
      </c>
      <c r="DU22">
        <v>1.8708800000000001</v>
      </c>
      <c r="DV22">
        <v>1.8759600000000001</v>
      </c>
      <c r="DW22">
        <v>1.8761300000000001</v>
      </c>
      <c r="DX22">
        <v>1.8826400000000001</v>
      </c>
      <c r="DY22">
        <v>1.8754599999999999</v>
      </c>
      <c r="DZ22">
        <v>1.8745400000000001</v>
      </c>
      <c r="EA22">
        <v>1.8705799999999999</v>
      </c>
      <c r="EB22">
        <v>1.8745400000000001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-1.2050000000000001</v>
      </c>
      <c r="EQ22">
        <v>0.1293</v>
      </c>
      <c r="ER22">
        <v>-1.20520000000005</v>
      </c>
      <c r="ES22">
        <v>0</v>
      </c>
      <c r="ET22">
        <v>0</v>
      </c>
      <c r="EU22">
        <v>0</v>
      </c>
      <c r="EV22">
        <v>0.12931999999999799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1.22681</v>
      </c>
      <c r="FG22">
        <v>2.5451700000000002</v>
      </c>
      <c r="FH22">
        <v>2.19604</v>
      </c>
      <c r="FI22">
        <v>2.66357</v>
      </c>
      <c r="FJ22">
        <v>2.4462899999999999</v>
      </c>
      <c r="FK22">
        <v>2.2888199999999999</v>
      </c>
      <c r="FL22">
        <v>28.7956</v>
      </c>
      <c r="FM22">
        <v>24.157499999999999</v>
      </c>
      <c r="FN22">
        <v>19</v>
      </c>
      <c r="FO22">
        <v>862.73299999999995</v>
      </c>
      <c r="FP22">
        <v>600.32299999999998</v>
      </c>
      <c r="FQ22">
        <v>18.002300000000002</v>
      </c>
      <c r="FR22">
        <v>24.669899999999998</v>
      </c>
      <c r="FS22">
        <v>29.998699999999999</v>
      </c>
      <c r="FT22">
        <v>24.6312</v>
      </c>
      <c r="FU22">
        <v>24.63</v>
      </c>
      <c r="FV22">
        <v>24.6266</v>
      </c>
      <c r="FW22">
        <v>38.081800000000001</v>
      </c>
      <c r="FX22">
        <v>71.519300000000001</v>
      </c>
      <c r="FY22">
        <v>18.073499999999999</v>
      </c>
      <c r="FZ22">
        <v>410</v>
      </c>
      <c r="GA22">
        <v>14.664899999999999</v>
      </c>
      <c r="GB22">
        <v>99.882000000000005</v>
      </c>
      <c r="GC22">
        <v>99.434899999999999</v>
      </c>
    </row>
    <row r="23" spans="1:185" x14ac:dyDescent="0.2">
      <c r="A23">
        <v>8</v>
      </c>
      <c r="B23">
        <v>1769182975</v>
      </c>
      <c r="C23">
        <v>112</v>
      </c>
      <c r="D23" t="s">
        <v>308</v>
      </c>
      <c r="E23" t="s">
        <v>309</v>
      </c>
      <c r="F23">
        <v>15</v>
      </c>
      <c r="G23">
        <v>1769182966.9333301</v>
      </c>
      <c r="H23">
        <f t="shared" si="0"/>
        <v>5.9218689231509602E-4</v>
      </c>
      <c r="I23">
        <v>0</v>
      </c>
      <c r="J23">
        <f t="shared" si="12"/>
        <v>-4.1590610356573507E-3</v>
      </c>
      <c r="K23">
        <f t="shared" si="1"/>
        <v>-0.10892444294118614</v>
      </c>
      <c r="L23">
        <f t="shared" si="2"/>
        <v>70.014320637155009</v>
      </c>
      <c r="M23">
        <f t="shared" si="3"/>
        <v>1.5411759537735448</v>
      </c>
      <c r="N23">
        <f t="shared" si="4"/>
        <v>2.2012296052411848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26248.993537175305</v>
      </c>
      <c r="T23">
        <f t="shared" si="8"/>
        <v>300.00166666666701</v>
      </c>
      <c r="U23">
        <f t="shared" si="9"/>
        <v>252.90116481866596</v>
      </c>
      <c r="V23">
        <f t="shared" si="10"/>
        <v>0.84299919940000001</v>
      </c>
      <c r="W23">
        <f t="shared" si="11"/>
        <v>0.158697829604</v>
      </c>
      <c r="X23">
        <v>1</v>
      </c>
      <c r="Y23">
        <v>1769182966.9333301</v>
      </c>
      <c r="Z23">
        <v>409.81293333333298</v>
      </c>
      <c r="AA23">
        <v>409.98013333333301</v>
      </c>
      <c r="AB23">
        <v>15.38158</v>
      </c>
      <c r="AC23">
        <v>14.65274</v>
      </c>
      <c r="AD23">
        <v>411.01813333333303</v>
      </c>
      <c r="AE23">
        <v>15.25226</v>
      </c>
      <c r="AF23">
        <v>800.00840000000005</v>
      </c>
      <c r="AG23">
        <v>100.13013333333301</v>
      </c>
      <c r="AH23">
        <v>6.6072373333333295E-2</v>
      </c>
      <c r="AI23">
        <v>18.9712666666667</v>
      </c>
      <c r="AJ23">
        <v>999.9</v>
      </c>
      <c r="AK23">
        <v>999.9</v>
      </c>
      <c r="AL23">
        <v>0</v>
      </c>
      <c r="AM23">
        <v>0</v>
      </c>
      <c r="AN23">
        <v>4998.3666666666704</v>
      </c>
      <c r="AO23">
        <v>0</v>
      </c>
      <c r="AP23">
        <v>2.0361646666666702</v>
      </c>
      <c r="AQ23">
        <v>-0.16716513333333299</v>
      </c>
      <c r="AR23">
        <v>416.21499999999997</v>
      </c>
      <c r="AS23">
        <v>416.07659999999998</v>
      </c>
      <c r="AT23">
        <v>0.72884386666666701</v>
      </c>
      <c r="AU23">
        <v>409.98013333333301</v>
      </c>
      <c r="AV23">
        <v>14.65274</v>
      </c>
      <c r="AW23">
        <v>1.5401579999999999</v>
      </c>
      <c r="AX23">
        <v>1.46718066666667</v>
      </c>
      <c r="AY23">
        <v>13.372773333333299</v>
      </c>
      <c r="AZ23">
        <v>12.63036</v>
      </c>
      <c r="BA23">
        <v>300.00166666666701</v>
      </c>
      <c r="BB23">
        <v>0.90002919999999997</v>
      </c>
      <c r="BC23">
        <v>0</v>
      </c>
      <c r="BD23">
        <v>9.9970886666666703E-2</v>
      </c>
      <c r="BE23">
        <v>0</v>
      </c>
      <c r="BF23">
        <v>24.635573333333301</v>
      </c>
      <c r="BG23">
        <v>4946.7060000000001</v>
      </c>
      <c r="BH23">
        <v>1769182883</v>
      </c>
      <c r="BI23" t="s">
        <v>289</v>
      </c>
      <c r="BJ23">
        <v>1769182883</v>
      </c>
      <c r="BK23">
        <v>1769182883</v>
      </c>
      <c r="BL23">
        <v>1</v>
      </c>
      <c r="BM23">
        <v>-0.45</v>
      </c>
      <c r="BN23">
        <v>3.0000000000000001E-3</v>
      </c>
      <c r="BO23">
        <v>-1.2050000000000001</v>
      </c>
      <c r="BP23">
        <v>0.129</v>
      </c>
      <c r="BQ23">
        <v>410</v>
      </c>
      <c r="BR23">
        <v>15</v>
      </c>
      <c r="BS23">
        <v>0.1</v>
      </c>
      <c r="BT23">
        <v>0.06</v>
      </c>
      <c r="BU23">
        <v>-0.163212380952381</v>
      </c>
      <c r="BV23">
        <v>-4.1874311688311697E-2</v>
      </c>
      <c r="BW23">
        <v>2.1077286611480499E-2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0.733553952380952</v>
      </c>
      <c r="CD23">
        <v>-7.1634857142857999E-2</v>
      </c>
      <c r="CE23">
        <v>8.7529845874540699E-3</v>
      </c>
      <c r="CF23">
        <v>1</v>
      </c>
      <c r="CG23">
        <v>2</v>
      </c>
      <c r="CH23">
        <v>2</v>
      </c>
      <c r="CI23" t="s">
        <v>310</v>
      </c>
      <c r="CJ23">
        <v>3.5324599999999999</v>
      </c>
      <c r="CK23">
        <v>2.7038199999999999</v>
      </c>
      <c r="CL23">
        <v>9.8225400000000004E-2</v>
      </c>
      <c r="CM23">
        <v>9.6834100000000006E-2</v>
      </c>
      <c r="CN23">
        <v>8.7073899999999996E-2</v>
      </c>
      <c r="CO23">
        <v>8.3267900000000006E-2</v>
      </c>
      <c r="CP23">
        <v>31636.400000000001</v>
      </c>
      <c r="CQ23">
        <v>27741.9</v>
      </c>
      <c r="CR23">
        <v>32466.799999999999</v>
      </c>
      <c r="CS23">
        <v>30639.8</v>
      </c>
      <c r="CT23">
        <v>40115.4</v>
      </c>
      <c r="CU23">
        <v>39476.1</v>
      </c>
      <c r="CV23">
        <v>47395.199999999997</v>
      </c>
      <c r="CW23">
        <v>46700.9</v>
      </c>
      <c r="CX23">
        <v>2.6352799999999998</v>
      </c>
      <c r="CY23">
        <v>2.1736</v>
      </c>
      <c r="CZ23">
        <v>0</v>
      </c>
      <c r="DA23">
        <v>0</v>
      </c>
      <c r="DB23">
        <v>999.9</v>
      </c>
      <c r="DC23">
        <v>999.9</v>
      </c>
      <c r="DD23">
        <v>77.304000000000002</v>
      </c>
      <c r="DE23">
        <v>23.283000000000001</v>
      </c>
      <c r="DF23">
        <v>22.1431</v>
      </c>
      <c r="DG23">
        <v>30.580100000000002</v>
      </c>
      <c r="DH23">
        <v>17.335699999999999</v>
      </c>
      <c r="DI23">
        <v>2</v>
      </c>
      <c r="DJ23">
        <v>-0.181862</v>
      </c>
      <c r="DK23">
        <v>1.88862</v>
      </c>
      <c r="DL23">
        <v>20.2196</v>
      </c>
      <c r="DM23">
        <v>5.2450799999999997</v>
      </c>
      <c r="DN23">
        <v>12.033899999999999</v>
      </c>
      <c r="DO23">
        <v>4.9672400000000003</v>
      </c>
      <c r="DP23">
        <v>3.2906599999999999</v>
      </c>
      <c r="DQ23">
        <v>9999</v>
      </c>
      <c r="DR23">
        <v>9999</v>
      </c>
      <c r="DS23">
        <v>534</v>
      </c>
      <c r="DT23">
        <v>9999</v>
      </c>
      <c r="DU23">
        <v>1.8708800000000001</v>
      </c>
      <c r="DV23">
        <v>1.8759699999999999</v>
      </c>
      <c r="DW23">
        <v>1.8761699999999999</v>
      </c>
      <c r="DX23">
        <v>1.8826700000000001</v>
      </c>
      <c r="DY23">
        <v>1.8754599999999999</v>
      </c>
      <c r="DZ23">
        <v>1.8745400000000001</v>
      </c>
      <c r="EA23">
        <v>1.8706100000000001</v>
      </c>
      <c r="EB23">
        <v>1.8745400000000001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-1.2050000000000001</v>
      </c>
      <c r="EQ23">
        <v>0.1293</v>
      </c>
      <c r="ER23">
        <v>-1.20520000000005</v>
      </c>
      <c r="ES23">
        <v>0</v>
      </c>
      <c r="ET23">
        <v>0</v>
      </c>
      <c r="EU23">
        <v>0</v>
      </c>
      <c r="EV23">
        <v>0.12931999999999799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1.5</v>
      </c>
      <c r="FE23">
        <v>1.5</v>
      </c>
      <c r="FF23">
        <v>1.22681</v>
      </c>
      <c r="FG23">
        <v>2.5451700000000002</v>
      </c>
      <c r="FH23">
        <v>2.19604</v>
      </c>
      <c r="FI23">
        <v>2.66357</v>
      </c>
      <c r="FJ23">
        <v>2.4462899999999999</v>
      </c>
      <c r="FK23">
        <v>2.3010299999999999</v>
      </c>
      <c r="FL23">
        <v>28.816800000000001</v>
      </c>
      <c r="FM23">
        <v>24.157499999999999</v>
      </c>
      <c r="FN23">
        <v>19</v>
      </c>
      <c r="FO23">
        <v>862.89400000000001</v>
      </c>
      <c r="FP23">
        <v>600.23400000000004</v>
      </c>
      <c r="FQ23">
        <v>18.0886</v>
      </c>
      <c r="FR23">
        <v>24.673999999999999</v>
      </c>
      <c r="FS23">
        <v>29.9998</v>
      </c>
      <c r="FT23">
        <v>24.636600000000001</v>
      </c>
      <c r="FU23">
        <v>24.6358</v>
      </c>
      <c r="FV23">
        <v>24.626999999999999</v>
      </c>
      <c r="FW23">
        <v>38.081800000000001</v>
      </c>
      <c r="FX23">
        <v>71.144000000000005</v>
      </c>
      <c r="FY23">
        <v>18.113800000000001</v>
      </c>
      <c r="FZ23">
        <v>410</v>
      </c>
      <c r="GA23">
        <v>14.6836</v>
      </c>
      <c r="GB23">
        <v>99.885400000000004</v>
      </c>
      <c r="GC23">
        <v>99.438100000000006</v>
      </c>
    </row>
    <row r="24" spans="1:185" x14ac:dyDescent="0.2">
      <c r="A24">
        <v>9</v>
      </c>
      <c r="B24">
        <v>1769182990</v>
      </c>
      <c r="C24">
        <v>127</v>
      </c>
      <c r="D24" t="s">
        <v>311</v>
      </c>
      <c r="E24" t="s">
        <v>312</v>
      </c>
      <c r="F24">
        <v>15</v>
      </c>
      <c r="G24">
        <v>1769182981.9333301</v>
      </c>
      <c r="H24">
        <f t="shared" si="0"/>
        <v>5.8844223587301134E-4</v>
      </c>
      <c r="I24">
        <v>0</v>
      </c>
      <c r="J24">
        <f t="shared" si="12"/>
        <v>-3.5950956917614146E-3</v>
      </c>
      <c r="K24">
        <f t="shared" si="1"/>
        <v>-9.4154375756468761E-2</v>
      </c>
      <c r="L24">
        <f t="shared" si="2"/>
        <v>70.084969554531156</v>
      </c>
      <c r="M24">
        <f t="shared" si="3"/>
        <v>1.5403215970476645</v>
      </c>
      <c r="N24">
        <f t="shared" si="4"/>
        <v>2.1977916332676481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26291.699010936467</v>
      </c>
      <c r="T24">
        <f t="shared" si="8"/>
        <v>299.99873333333301</v>
      </c>
      <c r="U24">
        <f t="shared" si="9"/>
        <v>252.89869838098696</v>
      </c>
      <c r="V24">
        <f t="shared" si="10"/>
        <v>0.84299922059999999</v>
      </c>
      <c r="W24">
        <f t="shared" si="11"/>
        <v>0.158698090476</v>
      </c>
      <c r="X24">
        <v>1</v>
      </c>
      <c r="Y24">
        <v>1769182981.9333301</v>
      </c>
      <c r="Z24">
        <v>409.79733333333297</v>
      </c>
      <c r="AA24">
        <v>409.981066666667</v>
      </c>
      <c r="AB24">
        <v>15.37318</v>
      </c>
      <c r="AC24">
        <v>14.64894</v>
      </c>
      <c r="AD24">
        <v>411.00246666666698</v>
      </c>
      <c r="AE24">
        <v>15.243880000000001</v>
      </c>
      <c r="AF24">
        <v>800.00553333333301</v>
      </c>
      <c r="AG24">
        <v>100.12926666666699</v>
      </c>
      <c r="AH24">
        <v>6.61123666666667E-2</v>
      </c>
      <c r="AI24">
        <v>18.9462266666667</v>
      </c>
      <c r="AJ24">
        <v>999.9</v>
      </c>
      <c r="AK24">
        <v>999.9</v>
      </c>
      <c r="AL24">
        <v>0</v>
      </c>
      <c r="AM24">
        <v>0</v>
      </c>
      <c r="AN24">
        <v>5005.0666666666702</v>
      </c>
      <c r="AO24">
        <v>0</v>
      </c>
      <c r="AP24">
        <v>2.0552886666666699</v>
      </c>
      <c r="AQ24">
        <v>-0.183679066666667</v>
      </c>
      <c r="AR24">
        <v>416.19546666666702</v>
      </c>
      <c r="AS24">
        <v>416.07600000000002</v>
      </c>
      <c r="AT24">
        <v>0.72425913333333303</v>
      </c>
      <c r="AU24">
        <v>409.981066666667</v>
      </c>
      <c r="AV24">
        <v>14.64894</v>
      </c>
      <c r="AW24">
        <v>1.53930533333333</v>
      </c>
      <c r="AX24">
        <v>1.46678666666667</v>
      </c>
      <c r="AY24">
        <v>13.3642866666667</v>
      </c>
      <c r="AZ24">
        <v>12.6262733333333</v>
      </c>
      <c r="BA24">
        <v>299.99873333333301</v>
      </c>
      <c r="BB24">
        <v>0.90002539999999998</v>
      </c>
      <c r="BC24">
        <v>0</v>
      </c>
      <c r="BD24">
        <v>9.9974579999999993E-2</v>
      </c>
      <c r="BE24">
        <v>0</v>
      </c>
      <c r="BF24">
        <v>24.16</v>
      </c>
      <c r="BG24">
        <v>4946.6540000000005</v>
      </c>
      <c r="BH24">
        <v>1769182883</v>
      </c>
      <c r="BI24" t="s">
        <v>289</v>
      </c>
      <c r="BJ24">
        <v>1769182883</v>
      </c>
      <c r="BK24">
        <v>1769182883</v>
      </c>
      <c r="BL24">
        <v>1</v>
      </c>
      <c r="BM24">
        <v>-0.45</v>
      </c>
      <c r="BN24">
        <v>3.0000000000000001E-3</v>
      </c>
      <c r="BO24">
        <v>-1.2050000000000001</v>
      </c>
      <c r="BP24">
        <v>0.129</v>
      </c>
      <c r="BQ24">
        <v>410</v>
      </c>
      <c r="BR24">
        <v>15</v>
      </c>
      <c r="BS24">
        <v>0.1</v>
      </c>
      <c r="BT24">
        <v>0.06</v>
      </c>
      <c r="BU24">
        <v>-0.18250264999999999</v>
      </c>
      <c r="BV24">
        <v>-4.3854631578947499E-2</v>
      </c>
      <c r="BW24">
        <v>2.8435689035567601E-2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0.72524834999999999</v>
      </c>
      <c r="CD24">
        <v>-1.87904210526318E-2</v>
      </c>
      <c r="CE24">
        <v>2.2081651042211601E-3</v>
      </c>
      <c r="CF24">
        <v>1</v>
      </c>
      <c r="CG24">
        <v>2</v>
      </c>
      <c r="CH24">
        <v>2</v>
      </c>
      <c r="CI24" t="s">
        <v>310</v>
      </c>
      <c r="CJ24">
        <v>3.5325099999999998</v>
      </c>
      <c r="CK24">
        <v>2.7037800000000001</v>
      </c>
      <c r="CL24">
        <v>9.82209E-2</v>
      </c>
      <c r="CM24">
        <v>9.6832100000000004E-2</v>
      </c>
      <c r="CN24">
        <v>8.7042999999999995E-2</v>
      </c>
      <c r="CO24">
        <v>8.3252999999999994E-2</v>
      </c>
      <c r="CP24">
        <v>31636.400000000001</v>
      </c>
      <c r="CQ24">
        <v>27742.9</v>
      </c>
      <c r="CR24">
        <v>32466.6</v>
      </c>
      <c r="CS24">
        <v>30640.9</v>
      </c>
      <c r="CT24">
        <v>40116.800000000003</v>
      </c>
      <c r="CU24">
        <v>39478</v>
      </c>
      <c r="CV24">
        <v>47395.199999999997</v>
      </c>
      <c r="CW24">
        <v>46702.3</v>
      </c>
      <c r="CX24">
        <v>2.63524</v>
      </c>
      <c r="CY24">
        <v>2.1732200000000002</v>
      </c>
      <c r="CZ24">
        <v>0</v>
      </c>
      <c r="DA24">
        <v>0</v>
      </c>
      <c r="DB24">
        <v>999.9</v>
      </c>
      <c r="DC24">
        <v>999.9</v>
      </c>
      <c r="DD24">
        <v>77.236999999999995</v>
      </c>
      <c r="DE24">
        <v>23.292999999999999</v>
      </c>
      <c r="DF24">
        <v>22.1389</v>
      </c>
      <c r="DG24">
        <v>30.0701</v>
      </c>
      <c r="DH24">
        <v>17.3277</v>
      </c>
      <c r="DI24">
        <v>2</v>
      </c>
      <c r="DJ24">
        <v>-0.18226600000000001</v>
      </c>
      <c r="DK24">
        <v>1.73081</v>
      </c>
      <c r="DL24">
        <v>20.222300000000001</v>
      </c>
      <c r="DM24">
        <v>5.2473599999999996</v>
      </c>
      <c r="DN24">
        <v>12.033899999999999</v>
      </c>
      <c r="DO24">
        <v>4.9669600000000003</v>
      </c>
      <c r="DP24">
        <v>3.2909999999999999</v>
      </c>
      <c r="DQ24">
        <v>9999</v>
      </c>
      <c r="DR24">
        <v>9999</v>
      </c>
      <c r="DS24">
        <v>534</v>
      </c>
      <c r="DT24">
        <v>9999</v>
      </c>
      <c r="DU24">
        <v>1.8708899999999999</v>
      </c>
      <c r="DV24">
        <v>1.87599</v>
      </c>
      <c r="DW24">
        <v>1.87619</v>
      </c>
      <c r="DX24">
        <v>1.8826799999999999</v>
      </c>
      <c r="DY24">
        <v>1.8754599999999999</v>
      </c>
      <c r="DZ24">
        <v>1.8745400000000001</v>
      </c>
      <c r="EA24">
        <v>1.8706700000000001</v>
      </c>
      <c r="EB24">
        <v>1.8745400000000001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-1.2050000000000001</v>
      </c>
      <c r="EQ24">
        <v>0.12939999999999999</v>
      </c>
      <c r="ER24">
        <v>-1.20520000000005</v>
      </c>
      <c r="ES24">
        <v>0</v>
      </c>
      <c r="ET24">
        <v>0</v>
      </c>
      <c r="EU24">
        <v>0</v>
      </c>
      <c r="EV24">
        <v>0.12931999999999799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1.22681</v>
      </c>
      <c r="FG24">
        <v>2.5476100000000002</v>
      </c>
      <c r="FH24">
        <v>2.19604</v>
      </c>
      <c r="FI24">
        <v>2.66357</v>
      </c>
      <c r="FJ24">
        <v>2.4462899999999999</v>
      </c>
      <c r="FK24">
        <v>2.2839399999999999</v>
      </c>
      <c r="FL24">
        <v>28.859000000000002</v>
      </c>
      <c r="FM24">
        <v>24.157499999999999</v>
      </c>
      <c r="FN24">
        <v>19</v>
      </c>
      <c r="FO24">
        <v>862.94500000000005</v>
      </c>
      <c r="FP24">
        <v>599.99900000000002</v>
      </c>
      <c r="FQ24">
        <v>18.200700000000001</v>
      </c>
      <c r="FR24">
        <v>24.6782</v>
      </c>
      <c r="FS24">
        <v>30</v>
      </c>
      <c r="FT24">
        <v>24.641999999999999</v>
      </c>
      <c r="FU24">
        <v>24.641200000000001</v>
      </c>
      <c r="FV24">
        <v>24.630500000000001</v>
      </c>
      <c r="FW24">
        <v>38.081800000000001</v>
      </c>
      <c r="FX24">
        <v>70.397900000000007</v>
      </c>
      <c r="FY24">
        <v>18.219899999999999</v>
      </c>
      <c r="FZ24">
        <v>410</v>
      </c>
      <c r="GA24">
        <v>14.699</v>
      </c>
      <c r="GB24">
        <v>99.885199999999998</v>
      </c>
      <c r="GC24">
        <v>99.441199999999995</v>
      </c>
    </row>
    <row r="25" spans="1:185" x14ac:dyDescent="0.2">
      <c r="A25">
        <v>10</v>
      </c>
      <c r="B25">
        <v>1769183005</v>
      </c>
      <c r="C25">
        <v>142</v>
      </c>
      <c r="D25" t="s">
        <v>313</v>
      </c>
      <c r="E25" t="s">
        <v>314</v>
      </c>
      <c r="F25">
        <v>15</v>
      </c>
      <c r="G25">
        <v>1769182996.9333301</v>
      </c>
      <c r="H25">
        <f t="shared" si="0"/>
        <v>5.8666208969785966E-4</v>
      </c>
      <c r="I25">
        <v>0</v>
      </c>
      <c r="J25">
        <f t="shared" si="12"/>
        <v>-3.8974595794950941E-3</v>
      </c>
      <c r="K25">
        <f t="shared" si="1"/>
        <v>-0.10207318669830361</v>
      </c>
      <c r="L25">
        <f t="shared" si="2"/>
        <v>70.089350697542159</v>
      </c>
      <c r="M25">
        <f t="shared" si="3"/>
        <v>1.5398115019858409</v>
      </c>
      <c r="N25">
        <f t="shared" si="4"/>
        <v>2.1969264755078379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26265.903618401466</v>
      </c>
      <c r="T25">
        <f t="shared" si="8"/>
        <v>300.00053333333301</v>
      </c>
      <c r="U25">
        <f t="shared" si="9"/>
        <v>252.90025939966151</v>
      </c>
      <c r="V25">
        <f t="shared" si="10"/>
        <v>0.84299936599999969</v>
      </c>
      <c r="W25">
        <f t="shared" si="11"/>
        <v>0.15869841499999998</v>
      </c>
      <c r="X25">
        <v>1</v>
      </c>
      <c r="Y25">
        <v>1769182996.9333301</v>
      </c>
      <c r="Z25">
        <v>409.81119999999999</v>
      </c>
      <c r="AA25">
        <v>409.98413333333298</v>
      </c>
      <c r="AB25">
        <v>15.3681466666667</v>
      </c>
      <c r="AC25">
        <v>14.646093333333299</v>
      </c>
      <c r="AD25">
        <v>411.01646666666699</v>
      </c>
      <c r="AE25">
        <v>15.23884</v>
      </c>
      <c r="AF25">
        <v>800.004866666667</v>
      </c>
      <c r="AG25">
        <v>100.129066666667</v>
      </c>
      <c r="AH25">
        <v>6.5936373333333298E-2</v>
      </c>
      <c r="AI25">
        <v>18.939920000000001</v>
      </c>
      <c r="AJ25">
        <v>999.9</v>
      </c>
      <c r="AK25">
        <v>999.9</v>
      </c>
      <c r="AL25">
        <v>0</v>
      </c>
      <c r="AM25">
        <v>0</v>
      </c>
      <c r="AN25">
        <v>5000.7333333333299</v>
      </c>
      <c r="AO25">
        <v>0</v>
      </c>
      <c r="AP25">
        <v>2.0326253333333302</v>
      </c>
      <c r="AQ25">
        <v>-0.17278853333333299</v>
      </c>
      <c r="AR25">
        <v>416.20760000000001</v>
      </c>
      <c r="AS25">
        <v>416.07806666666698</v>
      </c>
      <c r="AT25">
        <v>0.72206226666666695</v>
      </c>
      <c r="AU25">
        <v>409.98413333333298</v>
      </c>
      <c r="AV25">
        <v>14.646093333333299</v>
      </c>
      <c r="AW25">
        <v>1.5388013333333299</v>
      </c>
      <c r="AX25">
        <v>1.4665013333333301</v>
      </c>
      <c r="AY25">
        <v>13.3592266666667</v>
      </c>
      <c r="AZ25">
        <v>12.623293333333301</v>
      </c>
      <c r="BA25">
        <v>300.00053333333301</v>
      </c>
      <c r="BB25">
        <v>0.900021133333333</v>
      </c>
      <c r="BC25">
        <v>0</v>
      </c>
      <c r="BD25">
        <v>9.9978866666666694E-2</v>
      </c>
      <c r="BE25">
        <v>0</v>
      </c>
      <c r="BF25">
        <v>24</v>
      </c>
      <c r="BG25">
        <v>4946.6766666666699</v>
      </c>
      <c r="BH25">
        <v>1769182883</v>
      </c>
      <c r="BI25" t="s">
        <v>289</v>
      </c>
      <c r="BJ25">
        <v>1769182883</v>
      </c>
      <c r="BK25">
        <v>1769182883</v>
      </c>
      <c r="BL25">
        <v>1</v>
      </c>
      <c r="BM25">
        <v>-0.45</v>
      </c>
      <c r="BN25">
        <v>3.0000000000000001E-3</v>
      </c>
      <c r="BO25">
        <v>-1.2050000000000001</v>
      </c>
      <c r="BP25">
        <v>0.129</v>
      </c>
      <c r="BQ25">
        <v>410</v>
      </c>
      <c r="BR25">
        <v>15</v>
      </c>
      <c r="BS25">
        <v>0.1</v>
      </c>
      <c r="BT25">
        <v>0.06</v>
      </c>
      <c r="BU25">
        <v>-0.17983571428571399</v>
      </c>
      <c r="BV25">
        <v>9.4937844155844095E-2</v>
      </c>
      <c r="BW25">
        <v>2.59706080610606E-2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0.72242133333333303</v>
      </c>
      <c r="CD25">
        <v>-1.83561038961108E-3</v>
      </c>
      <c r="CE25">
        <v>1.0890643136955E-3</v>
      </c>
      <c r="CF25">
        <v>1</v>
      </c>
      <c r="CG25">
        <v>2</v>
      </c>
      <c r="CH25">
        <v>2</v>
      </c>
      <c r="CI25" t="s">
        <v>310</v>
      </c>
      <c r="CJ25">
        <v>3.53247</v>
      </c>
      <c r="CK25">
        <v>2.7035100000000001</v>
      </c>
      <c r="CL25">
        <v>9.8220799999999997E-2</v>
      </c>
      <c r="CM25">
        <v>9.6826800000000005E-2</v>
      </c>
      <c r="CN25">
        <v>8.7030099999999999E-2</v>
      </c>
      <c r="CO25">
        <v>8.3236400000000002E-2</v>
      </c>
      <c r="CP25">
        <v>31637.4</v>
      </c>
      <c r="CQ25">
        <v>27742.6</v>
      </c>
      <c r="CR25">
        <v>32467.599999999999</v>
      </c>
      <c r="CS25">
        <v>30640.3</v>
      </c>
      <c r="CT25">
        <v>40118.699999999997</v>
      </c>
      <c r="CU25">
        <v>39478.5</v>
      </c>
      <c r="CV25">
        <v>47396.7</v>
      </c>
      <c r="CW25">
        <v>46702.1</v>
      </c>
      <c r="CX25">
        <v>2.6350799999999999</v>
      </c>
      <c r="CY25">
        <v>2.17292</v>
      </c>
      <c r="CZ25">
        <v>0</v>
      </c>
      <c r="DA25">
        <v>0</v>
      </c>
      <c r="DB25">
        <v>999.9</v>
      </c>
      <c r="DC25">
        <v>999.9</v>
      </c>
      <c r="DD25">
        <v>77.14</v>
      </c>
      <c r="DE25">
        <v>23.303000000000001</v>
      </c>
      <c r="DF25">
        <v>22.1252</v>
      </c>
      <c r="DG25">
        <v>30.370100000000001</v>
      </c>
      <c r="DH25">
        <v>17.291699999999999</v>
      </c>
      <c r="DI25">
        <v>2</v>
      </c>
      <c r="DJ25">
        <v>-0.182252</v>
      </c>
      <c r="DK25">
        <v>1.5972</v>
      </c>
      <c r="DL25">
        <v>20.223500000000001</v>
      </c>
      <c r="DM25">
        <v>5.2453200000000004</v>
      </c>
      <c r="DN25">
        <v>12.033899999999999</v>
      </c>
      <c r="DO25">
        <v>4.9661600000000004</v>
      </c>
      <c r="DP25">
        <v>3.2906399999999998</v>
      </c>
      <c r="DQ25">
        <v>9999</v>
      </c>
      <c r="DR25">
        <v>9999</v>
      </c>
      <c r="DS25">
        <v>534</v>
      </c>
      <c r="DT25">
        <v>9999</v>
      </c>
      <c r="DU25">
        <v>1.8708800000000001</v>
      </c>
      <c r="DV25">
        <v>1.87595</v>
      </c>
      <c r="DW25">
        <v>1.8761399999999999</v>
      </c>
      <c r="DX25">
        <v>1.88266</v>
      </c>
      <c r="DY25">
        <v>1.87544</v>
      </c>
      <c r="DZ25">
        <v>1.8745400000000001</v>
      </c>
      <c r="EA25">
        <v>1.8706199999999999</v>
      </c>
      <c r="EB25">
        <v>1.87453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-1.2050000000000001</v>
      </c>
      <c r="EQ25">
        <v>0.1293</v>
      </c>
      <c r="ER25">
        <v>-1.20520000000005</v>
      </c>
      <c r="ES25">
        <v>0</v>
      </c>
      <c r="ET25">
        <v>0</v>
      </c>
      <c r="EU25">
        <v>0</v>
      </c>
      <c r="EV25">
        <v>0.12931999999999799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</v>
      </c>
      <c r="FE25">
        <v>2</v>
      </c>
      <c r="FF25">
        <v>1.22681</v>
      </c>
      <c r="FG25">
        <v>2.5524900000000001</v>
      </c>
      <c r="FH25">
        <v>2.19604</v>
      </c>
      <c r="FI25">
        <v>2.66357</v>
      </c>
      <c r="FJ25">
        <v>2.4462899999999999</v>
      </c>
      <c r="FK25">
        <v>2.2741699999999998</v>
      </c>
      <c r="FL25">
        <v>28.859000000000002</v>
      </c>
      <c r="FM25">
        <v>24.157499999999999</v>
      </c>
      <c r="FN25">
        <v>19</v>
      </c>
      <c r="FO25">
        <v>862.88499999999999</v>
      </c>
      <c r="FP25">
        <v>599.82399999999996</v>
      </c>
      <c r="FQ25">
        <v>18.3278</v>
      </c>
      <c r="FR25">
        <v>24.682300000000001</v>
      </c>
      <c r="FS25">
        <v>30.0002</v>
      </c>
      <c r="FT25">
        <v>24.647300000000001</v>
      </c>
      <c r="FU25">
        <v>24.6465</v>
      </c>
      <c r="FV25">
        <v>24.632999999999999</v>
      </c>
      <c r="FW25">
        <v>38.081800000000001</v>
      </c>
      <c r="FX25">
        <v>70.011099999999999</v>
      </c>
      <c r="FY25">
        <v>18.345199999999998</v>
      </c>
      <c r="FZ25">
        <v>410</v>
      </c>
      <c r="GA25">
        <v>14.7201</v>
      </c>
      <c r="GB25">
        <v>99.888400000000004</v>
      </c>
      <c r="GC25">
        <v>99.440200000000004</v>
      </c>
    </row>
    <row r="26" spans="1:185" x14ac:dyDescent="0.2">
      <c r="A26">
        <v>11</v>
      </c>
      <c r="B26">
        <v>1769183020</v>
      </c>
      <c r="C26">
        <v>157</v>
      </c>
      <c r="D26" t="s">
        <v>315</v>
      </c>
      <c r="E26" t="s">
        <v>316</v>
      </c>
      <c r="F26">
        <v>15</v>
      </c>
      <c r="G26">
        <v>1769183011.9333301</v>
      </c>
      <c r="H26">
        <f t="shared" si="0"/>
        <v>5.7504609104173747E-4</v>
      </c>
      <c r="I26">
        <v>0</v>
      </c>
      <c r="J26">
        <f t="shared" si="12"/>
        <v>-3.5155179331935976E-3</v>
      </c>
      <c r="K26">
        <f t="shared" si="1"/>
        <v>-9.2070260388073435E-2</v>
      </c>
      <c r="L26">
        <f t="shared" si="2"/>
        <v>70.034403631749299</v>
      </c>
      <c r="M26">
        <f t="shared" si="3"/>
        <v>1.5392576688634285</v>
      </c>
      <c r="N26">
        <f t="shared" si="4"/>
        <v>2.197859322051289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26235.75350097059</v>
      </c>
      <c r="T26">
        <f t="shared" si="8"/>
        <v>300.00060000000002</v>
      </c>
      <c r="U26">
        <f t="shared" si="9"/>
        <v>252.90036695972236</v>
      </c>
      <c r="V26">
        <f t="shared" si="10"/>
        <v>0.84299953720000009</v>
      </c>
      <c r="W26">
        <f t="shared" si="11"/>
        <v>0.15869879103200002</v>
      </c>
      <c r="X26">
        <v>1</v>
      </c>
      <c r="Y26">
        <v>1769183011.9333301</v>
      </c>
      <c r="Z26">
        <v>409.783866666667</v>
      </c>
      <c r="AA26">
        <v>409.96333333333303</v>
      </c>
      <c r="AB26">
        <v>15.362386666666699</v>
      </c>
      <c r="AC26">
        <v>14.654626666666701</v>
      </c>
      <c r="AD26">
        <v>410.98926666666699</v>
      </c>
      <c r="AE26">
        <v>15.2330733333333</v>
      </c>
      <c r="AF26">
        <v>800.00566666666703</v>
      </c>
      <c r="AG26">
        <v>100.130666666667</v>
      </c>
      <c r="AH26">
        <v>6.5852419999999995E-2</v>
      </c>
      <c r="AI26">
        <v>18.946719999999999</v>
      </c>
      <c r="AJ26">
        <v>999.9</v>
      </c>
      <c r="AK26">
        <v>999.9</v>
      </c>
      <c r="AL26">
        <v>0</v>
      </c>
      <c r="AM26">
        <v>0</v>
      </c>
      <c r="AN26">
        <v>4995.8</v>
      </c>
      <c r="AO26">
        <v>0</v>
      </c>
      <c r="AP26">
        <v>2.0325500000000001</v>
      </c>
      <c r="AQ26">
        <v>-0.17931533333333299</v>
      </c>
      <c r="AR26">
        <v>416.17746666666699</v>
      </c>
      <c r="AS26">
        <v>416.06053333333301</v>
      </c>
      <c r="AT26">
        <v>0.70778540000000001</v>
      </c>
      <c r="AU26">
        <v>409.96333333333303</v>
      </c>
      <c r="AV26">
        <v>14.654626666666701</v>
      </c>
      <c r="AW26">
        <v>1.538246</v>
      </c>
      <c r="AX26">
        <v>1.467376</v>
      </c>
      <c r="AY26">
        <v>13.353719999999999</v>
      </c>
      <c r="AZ26">
        <v>12.632386666666701</v>
      </c>
      <c r="BA26">
        <v>300.00060000000002</v>
      </c>
      <c r="BB26">
        <v>0.90001620000000004</v>
      </c>
      <c r="BC26">
        <v>0</v>
      </c>
      <c r="BD26">
        <v>9.9983826666666706E-2</v>
      </c>
      <c r="BE26">
        <v>0</v>
      </c>
      <c r="BF26">
        <v>24</v>
      </c>
      <c r="BG26">
        <v>4946.6693333333296</v>
      </c>
      <c r="BH26">
        <v>1769182883</v>
      </c>
      <c r="BI26" t="s">
        <v>289</v>
      </c>
      <c r="BJ26">
        <v>1769182883</v>
      </c>
      <c r="BK26">
        <v>1769182883</v>
      </c>
      <c r="BL26">
        <v>1</v>
      </c>
      <c r="BM26">
        <v>-0.45</v>
      </c>
      <c r="BN26">
        <v>3.0000000000000001E-3</v>
      </c>
      <c r="BO26">
        <v>-1.2050000000000001</v>
      </c>
      <c r="BP26">
        <v>0.129</v>
      </c>
      <c r="BQ26">
        <v>410</v>
      </c>
      <c r="BR26">
        <v>15</v>
      </c>
      <c r="BS26">
        <v>0.1</v>
      </c>
      <c r="BT26">
        <v>0.06</v>
      </c>
      <c r="BU26">
        <v>-0.17630319999999999</v>
      </c>
      <c r="BV26">
        <v>-7.7058766917293006E-2</v>
      </c>
      <c r="BW26">
        <v>1.3139825187573799E-2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0.71160864999999995</v>
      </c>
      <c r="CD26">
        <v>-0.121842180451128</v>
      </c>
      <c r="CE26">
        <v>1.27355609781234E-2</v>
      </c>
      <c r="CF26">
        <v>0</v>
      </c>
      <c r="CG26">
        <v>1</v>
      </c>
      <c r="CH26">
        <v>2</v>
      </c>
      <c r="CI26" t="s">
        <v>301</v>
      </c>
      <c r="CJ26">
        <v>3.5325199999999999</v>
      </c>
      <c r="CK26">
        <v>2.7037399999999998</v>
      </c>
      <c r="CL26">
        <v>9.8218E-2</v>
      </c>
      <c r="CM26">
        <v>9.6826999999999996E-2</v>
      </c>
      <c r="CN26">
        <v>8.7039099999999994E-2</v>
      </c>
      <c r="CO26">
        <v>8.3392499999999994E-2</v>
      </c>
      <c r="CP26">
        <v>31636.7</v>
      </c>
      <c r="CQ26">
        <v>27743.5</v>
      </c>
      <c r="CR26">
        <v>32466.799999999999</v>
      </c>
      <c r="CS26">
        <v>30641.4</v>
      </c>
      <c r="CT26">
        <v>40117.699999999997</v>
      </c>
      <c r="CU26">
        <v>39473</v>
      </c>
      <c r="CV26">
        <v>47396</v>
      </c>
      <c r="CW26">
        <v>46703.8</v>
      </c>
      <c r="CX26">
        <v>2.6349800000000001</v>
      </c>
      <c r="CY26">
        <v>2.17292</v>
      </c>
      <c r="CZ26">
        <v>0</v>
      </c>
      <c r="DA26">
        <v>0</v>
      </c>
      <c r="DB26">
        <v>999.9</v>
      </c>
      <c r="DC26">
        <v>999.9</v>
      </c>
      <c r="DD26">
        <v>77.084999999999994</v>
      </c>
      <c r="DE26">
        <v>23.332999999999998</v>
      </c>
      <c r="DF26">
        <v>22.150200000000002</v>
      </c>
      <c r="DG26">
        <v>30.6401</v>
      </c>
      <c r="DH26">
        <v>17.271599999999999</v>
      </c>
      <c r="DI26">
        <v>2</v>
      </c>
      <c r="DJ26">
        <v>-0.182222</v>
      </c>
      <c r="DK26">
        <v>1.50386</v>
      </c>
      <c r="DL26">
        <v>20.225000000000001</v>
      </c>
      <c r="DM26">
        <v>5.25047</v>
      </c>
      <c r="DN26">
        <v>12.033899999999999</v>
      </c>
      <c r="DO26">
        <v>4.9672400000000003</v>
      </c>
      <c r="DP26">
        <v>3.2909999999999999</v>
      </c>
      <c r="DQ26">
        <v>9999</v>
      </c>
      <c r="DR26">
        <v>9999</v>
      </c>
      <c r="DS26">
        <v>534</v>
      </c>
      <c r="DT26">
        <v>9999</v>
      </c>
      <c r="DU26">
        <v>1.8708800000000001</v>
      </c>
      <c r="DV26">
        <v>1.8759600000000001</v>
      </c>
      <c r="DW26">
        <v>1.87618</v>
      </c>
      <c r="DX26">
        <v>1.88266</v>
      </c>
      <c r="DY26">
        <v>1.87544</v>
      </c>
      <c r="DZ26">
        <v>1.8745400000000001</v>
      </c>
      <c r="EA26">
        <v>1.8706100000000001</v>
      </c>
      <c r="EB26">
        <v>1.8745400000000001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-1.2050000000000001</v>
      </c>
      <c r="EQ26">
        <v>0.1293</v>
      </c>
      <c r="ER26">
        <v>-1.20520000000005</v>
      </c>
      <c r="ES26">
        <v>0</v>
      </c>
      <c r="ET26">
        <v>0</v>
      </c>
      <c r="EU26">
        <v>0</v>
      </c>
      <c r="EV26">
        <v>0.12931999999999799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1.22803</v>
      </c>
      <c r="FG26">
        <v>2.5512700000000001</v>
      </c>
      <c r="FH26">
        <v>2.19604</v>
      </c>
      <c r="FI26">
        <v>2.66357</v>
      </c>
      <c r="FJ26">
        <v>2.4462899999999999</v>
      </c>
      <c r="FK26">
        <v>2.2668499999999998</v>
      </c>
      <c r="FL26">
        <v>28.880199999999999</v>
      </c>
      <c r="FM26">
        <v>24.157499999999999</v>
      </c>
      <c r="FN26">
        <v>19</v>
      </c>
      <c r="FO26">
        <v>862.87300000000005</v>
      </c>
      <c r="FP26">
        <v>599.88400000000001</v>
      </c>
      <c r="FQ26">
        <v>18.45</v>
      </c>
      <c r="FR26">
        <v>24.685700000000001</v>
      </c>
      <c r="FS26">
        <v>30</v>
      </c>
      <c r="FT26">
        <v>24.6523</v>
      </c>
      <c r="FU26">
        <v>24.651499999999999</v>
      </c>
      <c r="FV26">
        <v>24.637</v>
      </c>
      <c r="FW26">
        <v>37.809899999999999</v>
      </c>
      <c r="FX26">
        <v>69.631</v>
      </c>
      <c r="FY26">
        <v>18.462700000000002</v>
      </c>
      <c r="FZ26">
        <v>410</v>
      </c>
      <c r="GA26">
        <v>14.734500000000001</v>
      </c>
      <c r="GB26">
        <v>99.886499999999998</v>
      </c>
      <c r="GC26">
        <v>99.443799999999996</v>
      </c>
    </row>
    <row r="27" spans="1:185" x14ac:dyDescent="0.2">
      <c r="A27">
        <v>12</v>
      </c>
      <c r="B27">
        <v>1769183035</v>
      </c>
      <c r="C27">
        <v>172</v>
      </c>
      <c r="D27" t="s">
        <v>317</v>
      </c>
      <c r="E27" t="s">
        <v>318</v>
      </c>
      <c r="F27">
        <v>15</v>
      </c>
      <c r="G27">
        <v>1769183026.9333301</v>
      </c>
      <c r="H27">
        <f t="shared" si="0"/>
        <v>5.6676197293356145E-4</v>
      </c>
      <c r="I27">
        <v>0</v>
      </c>
      <c r="J27">
        <f t="shared" si="12"/>
        <v>-2.6220507968607951E-3</v>
      </c>
      <c r="K27">
        <f t="shared" si="1"/>
        <v>-6.8670649447782062E-2</v>
      </c>
      <c r="L27">
        <f t="shared" si="2"/>
        <v>70.029935556596556</v>
      </c>
      <c r="M27">
        <f t="shared" si="3"/>
        <v>1.5407892223049406</v>
      </c>
      <c r="N27">
        <f t="shared" si="4"/>
        <v>2.2001865488791017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26248.85642467704</v>
      </c>
      <c r="T27">
        <f t="shared" si="8"/>
        <v>300.00119999999998</v>
      </c>
      <c r="U27">
        <f t="shared" si="9"/>
        <v>252.90093221968246</v>
      </c>
      <c r="V27">
        <f t="shared" si="10"/>
        <v>0.84299973539999995</v>
      </c>
      <c r="W27">
        <f t="shared" si="11"/>
        <v>0.158699299524</v>
      </c>
      <c r="X27">
        <v>1</v>
      </c>
      <c r="Y27">
        <v>1769183026.9333301</v>
      </c>
      <c r="Z27">
        <v>409.77539999999999</v>
      </c>
      <c r="AA27">
        <v>409.97986666666702</v>
      </c>
      <c r="AB27">
        <v>15.377613333333301</v>
      </c>
      <c r="AC27">
        <v>14.680059999999999</v>
      </c>
      <c r="AD27">
        <v>410.98053333333303</v>
      </c>
      <c r="AE27">
        <v>15.248279999999999</v>
      </c>
      <c r="AF27">
        <v>800.00553333333301</v>
      </c>
      <c r="AG27">
        <v>100.130866666667</v>
      </c>
      <c r="AH27">
        <v>6.6035733333333305E-2</v>
      </c>
      <c r="AI27">
        <v>18.963673333333301</v>
      </c>
      <c r="AJ27">
        <v>999.9</v>
      </c>
      <c r="AK27">
        <v>999.9</v>
      </c>
      <c r="AL27">
        <v>0</v>
      </c>
      <c r="AM27">
        <v>0</v>
      </c>
      <c r="AN27">
        <v>4998.2</v>
      </c>
      <c r="AO27">
        <v>0</v>
      </c>
      <c r="AP27">
        <v>2.0325500000000001</v>
      </c>
      <c r="AQ27">
        <v>-0.20449826666666701</v>
      </c>
      <c r="AR27">
        <v>416.17513333333301</v>
      </c>
      <c r="AS27">
        <v>416.08806666666698</v>
      </c>
      <c r="AT27">
        <v>0.69754839999999996</v>
      </c>
      <c r="AU27">
        <v>409.97986666666702</v>
      </c>
      <c r="AV27">
        <v>14.680059999999999</v>
      </c>
      <c r="AW27">
        <v>1.539774</v>
      </c>
      <c r="AX27">
        <v>1.4699266666666699</v>
      </c>
      <c r="AY27">
        <v>13.3689466666667</v>
      </c>
      <c r="AZ27">
        <v>12.6588933333333</v>
      </c>
      <c r="BA27">
        <v>300.00119999999998</v>
      </c>
      <c r="BB27">
        <v>0.90000939999999996</v>
      </c>
      <c r="BC27">
        <v>0</v>
      </c>
      <c r="BD27">
        <v>9.9990620000000002E-2</v>
      </c>
      <c r="BE27">
        <v>0</v>
      </c>
      <c r="BF27">
        <v>24</v>
      </c>
      <c r="BG27">
        <v>4946.6666666666697</v>
      </c>
      <c r="BH27">
        <v>1769182883</v>
      </c>
      <c r="BI27" t="s">
        <v>289</v>
      </c>
      <c r="BJ27">
        <v>1769182883</v>
      </c>
      <c r="BK27">
        <v>1769182883</v>
      </c>
      <c r="BL27">
        <v>1</v>
      </c>
      <c r="BM27">
        <v>-0.45</v>
      </c>
      <c r="BN27">
        <v>3.0000000000000001E-3</v>
      </c>
      <c r="BO27">
        <v>-1.2050000000000001</v>
      </c>
      <c r="BP27">
        <v>0.129</v>
      </c>
      <c r="BQ27">
        <v>410</v>
      </c>
      <c r="BR27">
        <v>15</v>
      </c>
      <c r="BS27">
        <v>0.1</v>
      </c>
      <c r="BT27">
        <v>0.06</v>
      </c>
      <c r="BU27">
        <v>-0.199324857142857</v>
      </c>
      <c r="BV27">
        <v>-9.7478337662337794E-2</v>
      </c>
      <c r="BW27">
        <v>1.48646965220914E-2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0.69652895238095203</v>
      </c>
      <c r="CD27">
        <v>4.0043454545455201E-2</v>
      </c>
      <c r="CE27">
        <v>6.9378794652201099E-3</v>
      </c>
      <c r="CF27">
        <v>1</v>
      </c>
      <c r="CG27">
        <v>2</v>
      </c>
      <c r="CH27">
        <v>2</v>
      </c>
      <c r="CI27" t="s">
        <v>310</v>
      </c>
      <c r="CJ27">
        <v>3.5325199999999999</v>
      </c>
      <c r="CK27">
        <v>2.7035100000000001</v>
      </c>
      <c r="CL27">
        <v>9.8216100000000001E-2</v>
      </c>
      <c r="CM27">
        <v>9.6822199999999997E-2</v>
      </c>
      <c r="CN27">
        <v>8.7111499999999994E-2</v>
      </c>
      <c r="CO27">
        <v>8.3384799999999995E-2</v>
      </c>
      <c r="CP27">
        <v>31636.799999999999</v>
      </c>
      <c r="CQ27">
        <v>27744.6</v>
      </c>
      <c r="CR27">
        <v>32466.9</v>
      </c>
      <c r="CS27">
        <v>30642.5</v>
      </c>
      <c r="CT27">
        <v>40114.5</v>
      </c>
      <c r="CU27">
        <v>39475</v>
      </c>
      <c r="CV27">
        <v>47396.1</v>
      </c>
      <c r="CW27">
        <v>46705.7</v>
      </c>
      <c r="CX27">
        <v>2.6350199999999999</v>
      </c>
      <c r="CY27">
        <v>2.1727400000000001</v>
      </c>
      <c r="CZ27">
        <v>0</v>
      </c>
      <c r="DA27">
        <v>0</v>
      </c>
      <c r="DB27">
        <v>999.9</v>
      </c>
      <c r="DC27">
        <v>999.9</v>
      </c>
      <c r="DD27">
        <v>76.986999999999995</v>
      </c>
      <c r="DE27">
        <v>23.343</v>
      </c>
      <c r="DF27">
        <v>22.134799999999998</v>
      </c>
      <c r="DG27">
        <v>30.580100000000002</v>
      </c>
      <c r="DH27">
        <v>17.259599999999999</v>
      </c>
      <c r="DI27">
        <v>2</v>
      </c>
      <c r="DJ27">
        <v>-0.18210999999999999</v>
      </c>
      <c r="DK27">
        <v>1.4822900000000001</v>
      </c>
      <c r="DL27">
        <v>20.224900000000002</v>
      </c>
      <c r="DM27">
        <v>5.2513100000000001</v>
      </c>
      <c r="DN27">
        <v>12.033899999999999</v>
      </c>
      <c r="DO27">
        <v>4.96732</v>
      </c>
      <c r="DP27">
        <v>3.2909999999999999</v>
      </c>
      <c r="DQ27">
        <v>9999</v>
      </c>
      <c r="DR27">
        <v>9999</v>
      </c>
      <c r="DS27">
        <v>534</v>
      </c>
      <c r="DT27">
        <v>9999</v>
      </c>
      <c r="DU27">
        <v>1.8708899999999999</v>
      </c>
      <c r="DV27">
        <v>1.87599</v>
      </c>
      <c r="DW27">
        <v>1.87618</v>
      </c>
      <c r="DX27">
        <v>1.8827199999999999</v>
      </c>
      <c r="DY27">
        <v>1.8754599999999999</v>
      </c>
      <c r="DZ27">
        <v>1.8745400000000001</v>
      </c>
      <c r="EA27">
        <v>1.87063</v>
      </c>
      <c r="EB27">
        <v>1.8745400000000001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-1.2050000000000001</v>
      </c>
      <c r="EQ27">
        <v>0.12939999999999999</v>
      </c>
      <c r="ER27">
        <v>-1.20520000000005</v>
      </c>
      <c r="ES27">
        <v>0</v>
      </c>
      <c r="ET27">
        <v>0</v>
      </c>
      <c r="EU27">
        <v>0</v>
      </c>
      <c r="EV27">
        <v>0.12931999999999799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2.5</v>
      </c>
      <c r="FE27">
        <v>2.5</v>
      </c>
      <c r="FF27">
        <v>1.22681</v>
      </c>
      <c r="FG27">
        <v>2.5463900000000002</v>
      </c>
      <c r="FH27">
        <v>2.19604</v>
      </c>
      <c r="FI27">
        <v>2.66357</v>
      </c>
      <c r="FJ27">
        <v>2.4462899999999999</v>
      </c>
      <c r="FK27">
        <v>2.2253400000000001</v>
      </c>
      <c r="FL27">
        <v>28.9224</v>
      </c>
      <c r="FM27">
        <v>24.157499999999999</v>
      </c>
      <c r="FN27">
        <v>19</v>
      </c>
      <c r="FO27">
        <v>862.98400000000004</v>
      </c>
      <c r="FP27">
        <v>599.79899999999998</v>
      </c>
      <c r="FQ27">
        <v>18.541499999999999</v>
      </c>
      <c r="FR27">
        <v>24.688600000000001</v>
      </c>
      <c r="FS27">
        <v>30.0002</v>
      </c>
      <c r="FT27">
        <v>24.6568</v>
      </c>
      <c r="FU27">
        <v>24.656400000000001</v>
      </c>
      <c r="FV27">
        <v>24.640899999999998</v>
      </c>
      <c r="FW27">
        <v>37.809899999999999</v>
      </c>
      <c r="FX27">
        <v>68.872299999999996</v>
      </c>
      <c r="FY27">
        <v>18.546800000000001</v>
      </c>
      <c r="FZ27">
        <v>410</v>
      </c>
      <c r="GA27">
        <v>14.7338</v>
      </c>
      <c r="GB27">
        <v>99.886700000000005</v>
      </c>
      <c r="GC27">
        <v>99.447699999999998</v>
      </c>
    </row>
    <row r="28" spans="1:185" x14ac:dyDescent="0.2">
      <c r="A28">
        <v>13</v>
      </c>
      <c r="B28">
        <v>1769183050</v>
      </c>
      <c r="C28">
        <v>187</v>
      </c>
      <c r="D28" t="s">
        <v>319</v>
      </c>
      <c r="E28" t="s">
        <v>320</v>
      </c>
      <c r="F28">
        <v>15</v>
      </c>
      <c r="G28">
        <v>1769183041.9333301</v>
      </c>
      <c r="H28">
        <f t="shared" si="0"/>
        <v>5.7618990575225885E-4</v>
      </c>
      <c r="I28">
        <v>0</v>
      </c>
      <c r="J28">
        <f t="shared" si="12"/>
        <v>-2.7534466938524283E-3</v>
      </c>
      <c r="K28">
        <f t="shared" si="1"/>
        <v>-7.2111864847572177E-2</v>
      </c>
      <c r="L28">
        <f t="shared" si="2"/>
        <v>69.976742314158258</v>
      </c>
      <c r="M28">
        <f t="shared" si="3"/>
        <v>1.5415612339565101</v>
      </c>
      <c r="N28">
        <f t="shared" si="4"/>
        <v>2.202962274287823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26258.956468770368</v>
      </c>
      <c r="T28">
        <f t="shared" si="8"/>
        <v>299.99973333333298</v>
      </c>
      <c r="U28">
        <f t="shared" si="9"/>
        <v>252.89978005999549</v>
      </c>
      <c r="V28">
        <f t="shared" si="10"/>
        <v>0.84300001620000031</v>
      </c>
      <c r="W28">
        <f t="shared" si="11"/>
        <v>0.15869966373200006</v>
      </c>
      <c r="X28">
        <v>1</v>
      </c>
      <c r="Y28">
        <v>1769183041.9333301</v>
      </c>
      <c r="Z28">
        <v>409.78246666666701</v>
      </c>
      <c r="AA28">
        <v>409.98746666666699</v>
      </c>
      <c r="AB28">
        <v>15.3855</v>
      </c>
      <c r="AC28">
        <v>14.676346666666699</v>
      </c>
      <c r="AD28">
        <v>410.98753333333298</v>
      </c>
      <c r="AE28">
        <v>15.256166666666701</v>
      </c>
      <c r="AF28">
        <v>800.00319999999999</v>
      </c>
      <c r="AG28">
        <v>100.13</v>
      </c>
      <c r="AH28">
        <v>6.5718953333333302E-2</v>
      </c>
      <c r="AI28">
        <v>18.9838733333333</v>
      </c>
      <c r="AJ28">
        <v>999.9</v>
      </c>
      <c r="AK28">
        <v>999.9</v>
      </c>
      <c r="AL28">
        <v>0</v>
      </c>
      <c r="AM28">
        <v>0</v>
      </c>
      <c r="AN28">
        <v>5000.2</v>
      </c>
      <c r="AO28">
        <v>0</v>
      </c>
      <c r="AP28">
        <v>2.0325500000000001</v>
      </c>
      <c r="AQ28">
        <v>-0.20515140000000001</v>
      </c>
      <c r="AR28">
        <v>416.18560000000002</v>
      </c>
      <c r="AS28">
        <v>416.09426666666701</v>
      </c>
      <c r="AT28">
        <v>0.70915906666666695</v>
      </c>
      <c r="AU28">
        <v>409.98746666666699</v>
      </c>
      <c r="AV28">
        <v>14.676346666666699</v>
      </c>
      <c r="AW28">
        <v>1.54055066666667</v>
      </c>
      <c r="AX28">
        <v>1.4695419999999999</v>
      </c>
      <c r="AY28">
        <v>13.376673333333301</v>
      </c>
      <c r="AZ28">
        <v>12.65488</v>
      </c>
      <c r="BA28">
        <v>299.99973333333298</v>
      </c>
      <c r="BB28">
        <v>0.90000506666666702</v>
      </c>
      <c r="BC28">
        <v>0</v>
      </c>
      <c r="BD28">
        <v>9.9995126666666698E-2</v>
      </c>
      <c r="BE28">
        <v>0</v>
      </c>
      <c r="BF28">
        <v>24</v>
      </c>
      <c r="BG28">
        <v>4946.6400000000003</v>
      </c>
      <c r="BH28">
        <v>1769182883</v>
      </c>
      <c r="BI28" t="s">
        <v>289</v>
      </c>
      <c r="BJ28">
        <v>1769182883</v>
      </c>
      <c r="BK28">
        <v>1769182883</v>
      </c>
      <c r="BL28">
        <v>1</v>
      </c>
      <c r="BM28">
        <v>-0.45</v>
      </c>
      <c r="BN28">
        <v>3.0000000000000001E-3</v>
      </c>
      <c r="BO28">
        <v>-1.2050000000000001</v>
      </c>
      <c r="BP28">
        <v>0.129</v>
      </c>
      <c r="BQ28">
        <v>410</v>
      </c>
      <c r="BR28">
        <v>15</v>
      </c>
      <c r="BS28">
        <v>0.1</v>
      </c>
      <c r="BT28">
        <v>0.06</v>
      </c>
      <c r="BU28">
        <v>-0.206202904761905</v>
      </c>
      <c r="BV28">
        <v>-3.6389610389744798E-5</v>
      </c>
      <c r="BW28">
        <v>9.9162200166949301E-3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0.70730009523809501</v>
      </c>
      <c r="CD28">
        <v>2.5807948051948498E-2</v>
      </c>
      <c r="CE28">
        <v>2.7669110489559599E-3</v>
      </c>
      <c r="CF28">
        <v>1</v>
      </c>
      <c r="CG28">
        <v>2</v>
      </c>
      <c r="CH28">
        <v>2</v>
      </c>
      <c r="CI28" t="s">
        <v>310</v>
      </c>
      <c r="CJ28">
        <v>3.5325500000000001</v>
      </c>
      <c r="CK28">
        <v>2.7039200000000001</v>
      </c>
      <c r="CL28">
        <v>9.8214899999999994E-2</v>
      </c>
      <c r="CM28">
        <v>9.6823999999999993E-2</v>
      </c>
      <c r="CN28">
        <v>8.7110699999999999E-2</v>
      </c>
      <c r="CO28">
        <v>8.3356899999999998E-2</v>
      </c>
      <c r="CP28">
        <v>31636.3</v>
      </c>
      <c r="CQ28">
        <v>27744.5</v>
      </c>
      <c r="CR28">
        <v>32466.400000000001</v>
      </c>
      <c r="CS28">
        <v>30642.400000000001</v>
      </c>
      <c r="CT28">
        <v>40114</v>
      </c>
      <c r="CU28">
        <v>39476.1</v>
      </c>
      <c r="CV28">
        <v>47395.5</v>
      </c>
      <c r="CW28">
        <v>46705.599999999999</v>
      </c>
      <c r="CX28">
        <v>2.6350199999999999</v>
      </c>
      <c r="CY28">
        <v>2.1724800000000002</v>
      </c>
      <c r="CZ28">
        <v>0</v>
      </c>
      <c r="DA28">
        <v>0</v>
      </c>
      <c r="DB28">
        <v>999.9</v>
      </c>
      <c r="DC28">
        <v>999.9</v>
      </c>
      <c r="DD28">
        <v>76.926000000000002</v>
      </c>
      <c r="DE28">
        <v>23.373000000000001</v>
      </c>
      <c r="DF28">
        <v>22.157900000000001</v>
      </c>
      <c r="DG28">
        <v>30.490100000000002</v>
      </c>
      <c r="DH28">
        <v>17.259599999999999</v>
      </c>
      <c r="DI28">
        <v>2</v>
      </c>
      <c r="DJ28">
        <v>-0.18165400000000001</v>
      </c>
      <c r="DK28">
        <v>1.5139800000000001</v>
      </c>
      <c r="DL28">
        <v>20.224699999999999</v>
      </c>
      <c r="DM28">
        <v>5.2515499999999999</v>
      </c>
      <c r="DN28">
        <v>12.033899999999999</v>
      </c>
      <c r="DO28">
        <v>4.96732</v>
      </c>
      <c r="DP28">
        <v>3.2909999999999999</v>
      </c>
      <c r="DQ28">
        <v>9999</v>
      </c>
      <c r="DR28">
        <v>9999</v>
      </c>
      <c r="DS28">
        <v>534</v>
      </c>
      <c r="DT28">
        <v>9999</v>
      </c>
      <c r="DU28">
        <v>1.8708800000000001</v>
      </c>
      <c r="DV28">
        <v>1.87598</v>
      </c>
      <c r="DW28">
        <v>1.87615</v>
      </c>
      <c r="DX28">
        <v>1.8827</v>
      </c>
      <c r="DY28">
        <v>1.8754500000000001</v>
      </c>
      <c r="DZ28">
        <v>1.8745400000000001</v>
      </c>
      <c r="EA28">
        <v>1.87059</v>
      </c>
      <c r="EB28">
        <v>1.8745400000000001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-1.206</v>
      </c>
      <c r="EQ28">
        <v>0.1293</v>
      </c>
      <c r="ER28">
        <v>-1.20520000000005</v>
      </c>
      <c r="ES28">
        <v>0</v>
      </c>
      <c r="ET28">
        <v>0</v>
      </c>
      <c r="EU28">
        <v>0</v>
      </c>
      <c r="EV28">
        <v>0.12931999999999799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1.22803</v>
      </c>
      <c r="FG28">
        <v>2.5402800000000001</v>
      </c>
      <c r="FH28">
        <v>2.19604</v>
      </c>
      <c r="FI28">
        <v>2.66357</v>
      </c>
      <c r="FJ28">
        <v>2.4462899999999999</v>
      </c>
      <c r="FK28">
        <v>2.2692899999999998</v>
      </c>
      <c r="FL28">
        <v>28.9224</v>
      </c>
      <c r="FM28">
        <v>24.157499999999999</v>
      </c>
      <c r="FN28">
        <v>19</v>
      </c>
      <c r="FO28">
        <v>863.05899999999997</v>
      </c>
      <c r="FP28">
        <v>599.65300000000002</v>
      </c>
      <c r="FQ28">
        <v>18.590599999999998</v>
      </c>
      <c r="FR28">
        <v>24.691600000000001</v>
      </c>
      <c r="FS28">
        <v>30.0002</v>
      </c>
      <c r="FT28">
        <v>24.6615</v>
      </c>
      <c r="FU28">
        <v>24.6614</v>
      </c>
      <c r="FV28">
        <v>24.6419</v>
      </c>
      <c r="FW28">
        <v>37.809899999999999</v>
      </c>
      <c r="FX28">
        <v>68.500100000000003</v>
      </c>
      <c r="FY28">
        <v>18.589700000000001</v>
      </c>
      <c r="FZ28">
        <v>410</v>
      </c>
      <c r="GA28">
        <v>14.7357</v>
      </c>
      <c r="GB28">
        <v>99.885199999999998</v>
      </c>
      <c r="GC28">
        <v>99.447400000000002</v>
      </c>
    </row>
    <row r="29" spans="1:185" x14ac:dyDescent="0.2">
      <c r="A29">
        <v>14</v>
      </c>
      <c r="B29">
        <v>1769183065</v>
      </c>
      <c r="C29">
        <v>202</v>
      </c>
      <c r="D29" t="s">
        <v>321</v>
      </c>
      <c r="E29" t="s">
        <v>322</v>
      </c>
      <c r="F29">
        <v>15</v>
      </c>
      <c r="G29">
        <v>1769183056.9333301</v>
      </c>
      <c r="H29">
        <f t="shared" si="0"/>
        <v>5.559042339491429E-4</v>
      </c>
      <c r="I29">
        <v>0</v>
      </c>
      <c r="J29">
        <f t="shared" si="12"/>
        <v>-2.5171535272429271E-3</v>
      </c>
      <c r="K29">
        <f t="shared" si="1"/>
        <v>-6.5923424398373329E-2</v>
      </c>
      <c r="L29">
        <f t="shared" si="2"/>
        <v>69.888275339277584</v>
      </c>
      <c r="M29">
        <f t="shared" si="3"/>
        <v>1.5415248924742355</v>
      </c>
      <c r="N29">
        <f t="shared" si="4"/>
        <v>2.2056988600602803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26267.725246148573</v>
      </c>
      <c r="T29">
        <f t="shared" si="8"/>
        <v>299.99953333333298</v>
      </c>
      <c r="U29">
        <f t="shared" si="9"/>
        <v>252.89954264009924</v>
      </c>
      <c r="V29">
        <f t="shared" si="10"/>
        <v>0.84299978680000021</v>
      </c>
      <c r="W29">
        <f t="shared" si="11"/>
        <v>0.15869938904800004</v>
      </c>
      <c r="X29">
        <v>1</v>
      </c>
      <c r="Y29">
        <v>1769183056.9333301</v>
      </c>
      <c r="Z29">
        <v>409.76620000000003</v>
      </c>
      <c r="AA29">
        <v>409.96853333333303</v>
      </c>
      <c r="AB29">
        <v>15.385059999999999</v>
      </c>
      <c r="AC29">
        <v>14.7008733333333</v>
      </c>
      <c r="AD29">
        <v>410.97140000000002</v>
      </c>
      <c r="AE29">
        <v>15.255746666666701</v>
      </c>
      <c r="AF29">
        <v>800.00333333333299</v>
      </c>
      <c r="AG29">
        <v>100.13013333333301</v>
      </c>
      <c r="AH29">
        <v>6.60890066666667E-2</v>
      </c>
      <c r="AI29">
        <v>19.003766666666699</v>
      </c>
      <c r="AJ29">
        <v>999.9</v>
      </c>
      <c r="AK29">
        <v>999.9</v>
      </c>
      <c r="AL29">
        <v>0</v>
      </c>
      <c r="AM29">
        <v>0</v>
      </c>
      <c r="AN29">
        <v>5001.9333333333298</v>
      </c>
      <c r="AO29">
        <v>0</v>
      </c>
      <c r="AP29">
        <v>2.0325500000000001</v>
      </c>
      <c r="AQ29">
        <v>-0.20242106666666701</v>
      </c>
      <c r="AR29">
        <v>416.16899999999998</v>
      </c>
      <c r="AS29">
        <v>416.085466666667</v>
      </c>
      <c r="AT29">
        <v>0.6841834</v>
      </c>
      <c r="AU29">
        <v>409.96853333333303</v>
      </c>
      <c r="AV29">
        <v>14.7008733333333</v>
      </c>
      <c r="AW29">
        <v>1.54050666666667</v>
      </c>
      <c r="AX29">
        <v>1.4719993333333301</v>
      </c>
      <c r="AY29">
        <v>13.376239999999999</v>
      </c>
      <c r="AZ29">
        <v>12.6803733333333</v>
      </c>
      <c r="BA29">
        <v>299.99953333333298</v>
      </c>
      <c r="BB29">
        <v>0.900008266666667</v>
      </c>
      <c r="BC29">
        <v>0</v>
      </c>
      <c r="BD29">
        <v>9.9991773333333298E-2</v>
      </c>
      <c r="BE29">
        <v>0</v>
      </c>
      <c r="BF29">
        <v>24</v>
      </c>
      <c r="BG29">
        <v>4946.6406666666699</v>
      </c>
      <c r="BH29">
        <v>1769182883</v>
      </c>
      <c r="BI29" t="s">
        <v>289</v>
      </c>
      <c r="BJ29">
        <v>1769182883</v>
      </c>
      <c r="BK29">
        <v>1769182883</v>
      </c>
      <c r="BL29">
        <v>1</v>
      </c>
      <c r="BM29">
        <v>-0.45</v>
      </c>
      <c r="BN29">
        <v>3.0000000000000001E-3</v>
      </c>
      <c r="BO29">
        <v>-1.2050000000000001</v>
      </c>
      <c r="BP29">
        <v>0.129</v>
      </c>
      <c r="BQ29">
        <v>410</v>
      </c>
      <c r="BR29">
        <v>15</v>
      </c>
      <c r="BS29">
        <v>0.1</v>
      </c>
      <c r="BT29">
        <v>0.06</v>
      </c>
      <c r="BU29">
        <v>-0.20450699999999999</v>
      </c>
      <c r="BV29">
        <v>-2.4617922077923402E-3</v>
      </c>
      <c r="BW29">
        <v>1.2878583695422399E-2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0.69165195238095201</v>
      </c>
      <c r="CD29">
        <v>-0.18239812987012899</v>
      </c>
      <c r="CE29">
        <v>2.0518750510729E-2</v>
      </c>
      <c r="CF29">
        <v>0</v>
      </c>
      <c r="CG29">
        <v>1</v>
      </c>
      <c r="CH29">
        <v>2</v>
      </c>
      <c r="CI29" t="s">
        <v>301</v>
      </c>
      <c r="CJ29">
        <v>3.5326200000000001</v>
      </c>
      <c r="CK29">
        <v>2.7035999999999998</v>
      </c>
      <c r="CL29">
        <v>9.8212499999999994E-2</v>
      </c>
      <c r="CM29">
        <v>9.6822800000000001E-2</v>
      </c>
      <c r="CN29">
        <v>8.7123699999999998E-2</v>
      </c>
      <c r="CO29">
        <v>8.3561200000000002E-2</v>
      </c>
      <c r="CP29">
        <v>31637.5</v>
      </c>
      <c r="CQ29">
        <v>27744.6</v>
      </c>
      <c r="CR29">
        <v>32467.5</v>
      </c>
      <c r="CS29">
        <v>30642.5</v>
      </c>
      <c r="CT29">
        <v>40114.699999999997</v>
      </c>
      <c r="CU29">
        <v>39467.199999999997</v>
      </c>
      <c r="CV29">
        <v>47397</v>
      </c>
      <c r="CW29">
        <v>46705.8</v>
      </c>
      <c r="CX29">
        <v>2.63476</v>
      </c>
      <c r="CY29">
        <v>2.1724199999999998</v>
      </c>
      <c r="CZ29">
        <v>0</v>
      </c>
      <c r="DA29">
        <v>0</v>
      </c>
      <c r="DB29">
        <v>999.9</v>
      </c>
      <c r="DC29">
        <v>999.9</v>
      </c>
      <c r="DD29">
        <v>76.852999999999994</v>
      </c>
      <c r="DE29">
        <v>23.402999999999999</v>
      </c>
      <c r="DF29">
        <v>22.1768</v>
      </c>
      <c r="DG29">
        <v>30.5501</v>
      </c>
      <c r="DH29">
        <v>17.243600000000001</v>
      </c>
      <c r="DI29">
        <v>2</v>
      </c>
      <c r="DJ29">
        <v>-0.17923800000000001</v>
      </c>
      <c r="DK29">
        <v>2.2099799999999998</v>
      </c>
      <c r="DL29">
        <v>20.215599999999998</v>
      </c>
      <c r="DM29">
        <v>5.2523900000000001</v>
      </c>
      <c r="DN29">
        <v>12.033899999999999</v>
      </c>
      <c r="DO29">
        <v>4.9677199999999999</v>
      </c>
      <c r="DP29">
        <v>3.2909999999999999</v>
      </c>
      <c r="DQ29">
        <v>9999</v>
      </c>
      <c r="DR29">
        <v>9999</v>
      </c>
      <c r="DS29">
        <v>534</v>
      </c>
      <c r="DT29">
        <v>9999</v>
      </c>
      <c r="DU29">
        <v>1.8708800000000001</v>
      </c>
      <c r="DV29">
        <v>1.87598</v>
      </c>
      <c r="DW29">
        <v>1.87616</v>
      </c>
      <c r="DX29">
        <v>1.8826799999999999</v>
      </c>
      <c r="DY29">
        <v>1.8754599999999999</v>
      </c>
      <c r="DZ29">
        <v>1.8745400000000001</v>
      </c>
      <c r="EA29">
        <v>1.8706100000000001</v>
      </c>
      <c r="EB29">
        <v>1.8745400000000001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-1.2050000000000001</v>
      </c>
      <c r="EQ29">
        <v>0.1293</v>
      </c>
      <c r="ER29">
        <v>-1.20520000000005</v>
      </c>
      <c r="ES29">
        <v>0</v>
      </c>
      <c r="ET29">
        <v>0</v>
      </c>
      <c r="EU29">
        <v>0</v>
      </c>
      <c r="EV29">
        <v>0.12931999999999799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</v>
      </c>
      <c r="FE29">
        <v>3</v>
      </c>
      <c r="FF29">
        <v>1.22803</v>
      </c>
      <c r="FG29">
        <v>2.5415000000000001</v>
      </c>
      <c r="FH29">
        <v>2.19604</v>
      </c>
      <c r="FI29">
        <v>2.66357</v>
      </c>
      <c r="FJ29">
        <v>2.4462899999999999</v>
      </c>
      <c r="FK29">
        <v>2.3132299999999999</v>
      </c>
      <c r="FL29">
        <v>28.9436</v>
      </c>
      <c r="FM29">
        <v>24.157499999999999</v>
      </c>
      <c r="FN29">
        <v>19</v>
      </c>
      <c r="FO29">
        <v>862.89300000000003</v>
      </c>
      <c r="FP29">
        <v>599.65899999999999</v>
      </c>
      <c r="FQ29">
        <v>18.3369</v>
      </c>
      <c r="FR29">
        <v>24.694500000000001</v>
      </c>
      <c r="FS29">
        <v>30.000800000000002</v>
      </c>
      <c r="FT29">
        <v>24.666</v>
      </c>
      <c r="FU29">
        <v>24.665900000000001</v>
      </c>
      <c r="FV29">
        <v>24.645600000000002</v>
      </c>
      <c r="FW29">
        <v>37.537799999999997</v>
      </c>
      <c r="FX29">
        <v>67.754400000000004</v>
      </c>
      <c r="FY29">
        <v>18.328499999999998</v>
      </c>
      <c r="FZ29">
        <v>410</v>
      </c>
      <c r="GA29">
        <v>14.741400000000001</v>
      </c>
      <c r="GB29">
        <v>99.888499999999993</v>
      </c>
      <c r="GC29">
        <v>99.447800000000001</v>
      </c>
    </row>
    <row r="30" spans="1:185" x14ac:dyDescent="0.2">
      <c r="A30">
        <v>15</v>
      </c>
      <c r="B30">
        <v>1769183080</v>
      </c>
      <c r="C30">
        <v>217</v>
      </c>
      <c r="D30" t="s">
        <v>323</v>
      </c>
      <c r="E30" t="s">
        <v>324</v>
      </c>
      <c r="F30">
        <v>15</v>
      </c>
      <c r="G30">
        <v>1769183071.9333301</v>
      </c>
      <c r="H30">
        <f t="shared" si="0"/>
        <v>5.4475933221282682E-4</v>
      </c>
      <c r="I30">
        <v>0</v>
      </c>
      <c r="J30">
        <f t="shared" si="12"/>
        <v>-2.2004795223750915E-3</v>
      </c>
      <c r="K30">
        <f t="shared" si="1"/>
        <v>-5.7629836187367028E-2</v>
      </c>
      <c r="L30">
        <f t="shared" si="2"/>
        <v>69.930331351759307</v>
      </c>
      <c r="M30">
        <f t="shared" si="3"/>
        <v>1.5420072584115512</v>
      </c>
      <c r="N30">
        <f t="shared" si="4"/>
        <v>2.2050621362782339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26243.462329791244</v>
      </c>
      <c r="T30">
        <f t="shared" si="8"/>
        <v>300.00006666666701</v>
      </c>
      <c r="U30">
        <f t="shared" si="9"/>
        <v>252.90003267999509</v>
      </c>
      <c r="V30">
        <f t="shared" si="10"/>
        <v>0.84299992160000015</v>
      </c>
      <c r="W30">
        <f t="shared" si="11"/>
        <v>0.15869951817600003</v>
      </c>
      <c r="X30">
        <v>1</v>
      </c>
      <c r="Y30">
        <v>1769183071.9333301</v>
      </c>
      <c r="Z30">
        <v>409.77820000000003</v>
      </c>
      <c r="AA30">
        <v>409.98520000000002</v>
      </c>
      <c r="AB30">
        <v>15.3900133333333</v>
      </c>
      <c r="AC30">
        <v>14.7195466666667</v>
      </c>
      <c r="AD30">
        <v>410.98326666666702</v>
      </c>
      <c r="AE30">
        <v>15.2607</v>
      </c>
      <c r="AF30">
        <v>800.00319999999999</v>
      </c>
      <c r="AG30">
        <v>100.1294</v>
      </c>
      <c r="AH30">
        <v>6.5916600000000006E-2</v>
      </c>
      <c r="AI30">
        <v>18.999140000000001</v>
      </c>
      <c r="AJ30">
        <v>999.9</v>
      </c>
      <c r="AK30">
        <v>999.9</v>
      </c>
      <c r="AL30">
        <v>0</v>
      </c>
      <c r="AM30">
        <v>0</v>
      </c>
      <c r="AN30">
        <v>4997.8999999999996</v>
      </c>
      <c r="AO30">
        <v>0</v>
      </c>
      <c r="AP30">
        <v>2.0325500000000001</v>
      </c>
      <c r="AQ30">
        <v>-0.20715120000000001</v>
      </c>
      <c r="AR30">
        <v>416.18326666666701</v>
      </c>
      <c r="AS30">
        <v>416.11013333333301</v>
      </c>
      <c r="AT30">
        <v>0.67046640000000002</v>
      </c>
      <c r="AU30">
        <v>409.98520000000002</v>
      </c>
      <c r="AV30">
        <v>14.7195466666667</v>
      </c>
      <c r="AW30">
        <v>1.54099266666667</v>
      </c>
      <c r="AX30">
        <v>1.4738593333333301</v>
      </c>
      <c r="AY30">
        <v>13.381073333333299</v>
      </c>
      <c r="AZ30">
        <v>12.6996466666667</v>
      </c>
      <c r="BA30">
        <v>300.00006666666701</v>
      </c>
      <c r="BB30">
        <v>0.90000686666666696</v>
      </c>
      <c r="BC30">
        <v>0</v>
      </c>
      <c r="BD30">
        <v>9.9993280000000004E-2</v>
      </c>
      <c r="BE30">
        <v>0</v>
      </c>
      <c r="BF30">
        <v>24</v>
      </c>
      <c r="BG30">
        <v>4946.6486666666697</v>
      </c>
      <c r="BH30">
        <v>1769182883</v>
      </c>
      <c r="BI30" t="s">
        <v>289</v>
      </c>
      <c r="BJ30">
        <v>1769182883</v>
      </c>
      <c r="BK30">
        <v>1769182883</v>
      </c>
      <c r="BL30">
        <v>1</v>
      </c>
      <c r="BM30">
        <v>-0.45</v>
      </c>
      <c r="BN30">
        <v>3.0000000000000001E-3</v>
      </c>
      <c r="BO30">
        <v>-1.2050000000000001</v>
      </c>
      <c r="BP30">
        <v>0.129</v>
      </c>
      <c r="BQ30">
        <v>410</v>
      </c>
      <c r="BR30">
        <v>15</v>
      </c>
      <c r="BS30">
        <v>0.1</v>
      </c>
      <c r="BT30">
        <v>0.06</v>
      </c>
      <c r="BU30">
        <v>-0.20907895000000001</v>
      </c>
      <c r="BV30">
        <v>-5.03712631578946E-2</v>
      </c>
      <c r="BW30">
        <v>2.37705617192253E-2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0.66943180000000002</v>
      </c>
      <c r="CD30">
        <v>3.2537684210524699E-2</v>
      </c>
      <c r="CE30">
        <v>3.3595108661827601E-3</v>
      </c>
      <c r="CF30">
        <v>1</v>
      </c>
      <c r="CG30">
        <v>2</v>
      </c>
      <c r="CH30">
        <v>2</v>
      </c>
      <c r="CI30" t="s">
        <v>310</v>
      </c>
      <c r="CJ30">
        <v>3.5325600000000001</v>
      </c>
      <c r="CK30">
        <v>2.7036600000000002</v>
      </c>
      <c r="CL30">
        <v>9.8217399999999996E-2</v>
      </c>
      <c r="CM30">
        <v>9.68199E-2</v>
      </c>
      <c r="CN30">
        <v>8.7136599999999995E-2</v>
      </c>
      <c r="CO30">
        <v>8.3530800000000002E-2</v>
      </c>
      <c r="CP30">
        <v>31637.4</v>
      </c>
      <c r="CQ30">
        <v>27745.599999999999</v>
      </c>
      <c r="CR30">
        <v>32467.599999999999</v>
      </c>
      <c r="CS30">
        <v>30643.5</v>
      </c>
      <c r="CT30">
        <v>40114.300000000003</v>
      </c>
      <c r="CU30">
        <v>39469.9</v>
      </c>
      <c r="CV30">
        <v>47397.2</v>
      </c>
      <c r="CW30">
        <v>46707.4</v>
      </c>
      <c r="CX30">
        <v>2.6348199999999999</v>
      </c>
      <c r="CY30">
        <v>2.1722600000000001</v>
      </c>
      <c r="CZ30">
        <v>0</v>
      </c>
      <c r="DA30">
        <v>0</v>
      </c>
      <c r="DB30">
        <v>999.9</v>
      </c>
      <c r="DC30">
        <v>999.9</v>
      </c>
      <c r="DD30">
        <v>76.778999999999996</v>
      </c>
      <c r="DE30">
        <v>23.414000000000001</v>
      </c>
      <c r="DF30">
        <v>22.1691</v>
      </c>
      <c r="DG30">
        <v>30.5501</v>
      </c>
      <c r="DH30">
        <v>17.3157</v>
      </c>
      <c r="DI30">
        <v>2</v>
      </c>
      <c r="DJ30">
        <v>-0.180565</v>
      </c>
      <c r="DK30">
        <v>1.8384499999999999</v>
      </c>
      <c r="DL30">
        <v>20.220600000000001</v>
      </c>
      <c r="DM30">
        <v>5.2519099999999996</v>
      </c>
      <c r="DN30">
        <v>12.033899999999999</v>
      </c>
      <c r="DO30">
        <v>4.9669600000000003</v>
      </c>
      <c r="DP30">
        <v>3.2909999999999999</v>
      </c>
      <c r="DQ30">
        <v>9999</v>
      </c>
      <c r="DR30">
        <v>9999</v>
      </c>
      <c r="DS30">
        <v>534</v>
      </c>
      <c r="DT30">
        <v>9999</v>
      </c>
      <c r="DU30">
        <v>1.8708800000000001</v>
      </c>
      <c r="DV30">
        <v>1.87598</v>
      </c>
      <c r="DW30">
        <v>1.87616</v>
      </c>
      <c r="DX30">
        <v>1.8826400000000001</v>
      </c>
      <c r="DY30">
        <v>1.8754599999999999</v>
      </c>
      <c r="DZ30">
        <v>1.87453</v>
      </c>
      <c r="EA30">
        <v>1.8706100000000001</v>
      </c>
      <c r="EB30">
        <v>1.8745400000000001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-1.2050000000000001</v>
      </c>
      <c r="EQ30">
        <v>0.1293</v>
      </c>
      <c r="ER30">
        <v>-1.20520000000005</v>
      </c>
      <c r="ES30">
        <v>0</v>
      </c>
      <c r="ET30">
        <v>0</v>
      </c>
      <c r="EU30">
        <v>0</v>
      </c>
      <c r="EV30">
        <v>0.12931999999999799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1.22803</v>
      </c>
      <c r="FG30">
        <v>2.5463900000000002</v>
      </c>
      <c r="FH30">
        <v>2.19604</v>
      </c>
      <c r="FI30">
        <v>2.66357</v>
      </c>
      <c r="FJ30">
        <v>2.4462899999999999</v>
      </c>
      <c r="FK30">
        <v>2.2827099999999998</v>
      </c>
      <c r="FL30">
        <v>28.964700000000001</v>
      </c>
      <c r="FM30">
        <v>24.157499999999999</v>
      </c>
      <c r="FN30">
        <v>19</v>
      </c>
      <c r="FO30">
        <v>863.01499999999999</v>
      </c>
      <c r="FP30">
        <v>599.58199999999999</v>
      </c>
      <c r="FQ30">
        <v>18.303000000000001</v>
      </c>
      <c r="FR30">
        <v>24.696899999999999</v>
      </c>
      <c r="FS30">
        <v>29.9998</v>
      </c>
      <c r="FT30">
        <v>24.670200000000001</v>
      </c>
      <c r="FU30">
        <v>24.670100000000001</v>
      </c>
      <c r="FV30">
        <v>24.6478</v>
      </c>
      <c r="FW30">
        <v>37.537799999999997</v>
      </c>
      <c r="FX30">
        <v>67.383099999999999</v>
      </c>
      <c r="FY30">
        <v>18.316299999999998</v>
      </c>
      <c r="FZ30">
        <v>410</v>
      </c>
      <c r="GA30">
        <v>14.7403</v>
      </c>
      <c r="GB30">
        <v>99.888900000000007</v>
      </c>
      <c r="GC30">
        <v>99.4512</v>
      </c>
    </row>
    <row r="31" spans="1:185" x14ac:dyDescent="0.2">
      <c r="A31">
        <v>16</v>
      </c>
      <c r="B31">
        <v>1769183095</v>
      </c>
      <c r="C31">
        <v>232</v>
      </c>
      <c r="D31" t="s">
        <v>325</v>
      </c>
      <c r="E31" t="s">
        <v>326</v>
      </c>
      <c r="F31">
        <v>15</v>
      </c>
      <c r="G31">
        <v>1769183086.9333301</v>
      </c>
      <c r="H31">
        <f t="shared" si="0"/>
        <v>5.5531359237587837E-4</v>
      </c>
      <c r="I31">
        <v>0</v>
      </c>
      <c r="J31">
        <f t="shared" si="12"/>
        <v>-2.7301782252890676E-3</v>
      </c>
      <c r="K31">
        <f t="shared" si="1"/>
        <v>-7.1502471295847594E-2</v>
      </c>
      <c r="L31">
        <f t="shared" si="2"/>
        <v>69.999643928706661</v>
      </c>
      <c r="M31">
        <f t="shared" si="3"/>
        <v>1.5426182590468209</v>
      </c>
      <c r="N31">
        <f t="shared" si="4"/>
        <v>2.203751579962248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26255.676906595727</v>
      </c>
      <c r="T31">
        <f t="shared" si="8"/>
        <v>300.00099999999998</v>
      </c>
      <c r="U31">
        <f t="shared" si="9"/>
        <v>252.90083177996249</v>
      </c>
      <c r="V31">
        <f t="shared" si="10"/>
        <v>0.84299996259999965</v>
      </c>
      <c r="W31">
        <f t="shared" si="11"/>
        <v>0.15869968563599993</v>
      </c>
      <c r="X31">
        <v>1</v>
      </c>
      <c r="Y31">
        <v>1769183086.9333301</v>
      </c>
      <c r="Z31">
        <v>409.77960000000002</v>
      </c>
      <c r="AA31">
        <v>409.97466666666702</v>
      </c>
      <c r="AB31">
        <v>15.395993333333299</v>
      </c>
      <c r="AC31">
        <v>14.712540000000001</v>
      </c>
      <c r="AD31">
        <v>410.98466666666701</v>
      </c>
      <c r="AE31">
        <v>15.2666533333333</v>
      </c>
      <c r="AF31">
        <v>800.001933333333</v>
      </c>
      <c r="AG31">
        <v>100.130266666667</v>
      </c>
      <c r="AH31">
        <v>6.5818486666666703E-2</v>
      </c>
      <c r="AI31">
        <v>18.989613333333299</v>
      </c>
      <c r="AJ31">
        <v>999.9</v>
      </c>
      <c r="AK31">
        <v>999.9</v>
      </c>
      <c r="AL31">
        <v>0</v>
      </c>
      <c r="AM31">
        <v>0</v>
      </c>
      <c r="AN31">
        <v>4999.7333333333299</v>
      </c>
      <c r="AO31">
        <v>0</v>
      </c>
      <c r="AP31">
        <v>2.0325500000000001</v>
      </c>
      <c r="AQ31">
        <v>-0.19515993333333301</v>
      </c>
      <c r="AR31">
        <v>416.18726666666703</v>
      </c>
      <c r="AS31">
        <v>416.09666666666698</v>
      </c>
      <c r="AT31">
        <v>0.68345273333333301</v>
      </c>
      <c r="AU31">
        <v>409.97466666666702</v>
      </c>
      <c r="AV31">
        <v>14.712540000000001</v>
      </c>
      <c r="AW31">
        <v>1.5416046666666701</v>
      </c>
      <c r="AX31">
        <v>1.4731713333333301</v>
      </c>
      <c r="AY31">
        <v>13.387166666666699</v>
      </c>
      <c r="AZ31">
        <v>12.692500000000001</v>
      </c>
      <c r="BA31">
        <v>300.00099999999998</v>
      </c>
      <c r="BB31">
        <v>0.90000453333333297</v>
      </c>
      <c r="BC31">
        <v>0</v>
      </c>
      <c r="BD31">
        <v>9.9995580000000001E-2</v>
      </c>
      <c r="BE31">
        <v>0</v>
      </c>
      <c r="BF31">
        <v>24</v>
      </c>
      <c r="BG31">
        <v>4946.6553333333304</v>
      </c>
      <c r="BH31">
        <v>1769182883</v>
      </c>
      <c r="BI31" t="s">
        <v>289</v>
      </c>
      <c r="BJ31">
        <v>1769182883</v>
      </c>
      <c r="BK31">
        <v>1769182883</v>
      </c>
      <c r="BL31">
        <v>1</v>
      </c>
      <c r="BM31">
        <v>-0.45</v>
      </c>
      <c r="BN31">
        <v>3.0000000000000001E-3</v>
      </c>
      <c r="BO31">
        <v>-1.2050000000000001</v>
      </c>
      <c r="BP31">
        <v>0.129</v>
      </c>
      <c r="BQ31">
        <v>410</v>
      </c>
      <c r="BR31">
        <v>15</v>
      </c>
      <c r="BS31">
        <v>0.1</v>
      </c>
      <c r="BT31">
        <v>0.06</v>
      </c>
      <c r="BU31">
        <v>-0.20276752380952401</v>
      </c>
      <c r="BV31">
        <v>0.14107714285714201</v>
      </c>
      <c r="BW31">
        <v>2.9631833046202299E-2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0.68078071428571396</v>
      </c>
      <c r="CD31">
        <v>5.5285012987012397E-2</v>
      </c>
      <c r="CE31">
        <v>5.6113539503815498E-3</v>
      </c>
      <c r="CF31">
        <v>1</v>
      </c>
      <c r="CG31">
        <v>2</v>
      </c>
      <c r="CH31">
        <v>2</v>
      </c>
      <c r="CI31" t="s">
        <v>310</v>
      </c>
      <c r="CJ31">
        <v>3.5324599999999999</v>
      </c>
      <c r="CK31">
        <v>2.7035399999999998</v>
      </c>
      <c r="CL31">
        <v>9.8214499999999996E-2</v>
      </c>
      <c r="CM31">
        <v>9.6822599999999995E-2</v>
      </c>
      <c r="CN31">
        <v>8.7163400000000002E-2</v>
      </c>
      <c r="CO31">
        <v>8.35032E-2</v>
      </c>
      <c r="CP31">
        <v>31637.4</v>
      </c>
      <c r="CQ31">
        <v>27746.3</v>
      </c>
      <c r="CR31">
        <v>32467.5</v>
      </c>
      <c r="CS31">
        <v>30644.400000000001</v>
      </c>
      <c r="CT31">
        <v>40112.9</v>
      </c>
      <c r="CU31">
        <v>39472.5</v>
      </c>
      <c r="CV31">
        <v>47396.9</v>
      </c>
      <c r="CW31">
        <v>46709</v>
      </c>
      <c r="CX31">
        <v>2.6347800000000001</v>
      </c>
      <c r="CY31">
        <v>2.1720000000000002</v>
      </c>
      <c r="CZ31">
        <v>0</v>
      </c>
      <c r="DA31">
        <v>0</v>
      </c>
      <c r="DB31">
        <v>999.9</v>
      </c>
      <c r="DC31">
        <v>999.9</v>
      </c>
      <c r="DD31">
        <v>76.688000000000002</v>
      </c>
      <c r="DE31">
        <v>23.434000000000001</v>
      </c>
      <c r="DF31">
        <v>22.167300000000001</v>
      </c>
      <c r="DG31">
        <v>30.5501</v>
      </c>
      <c r="DH31">
        <v>17.367799999999999</v>
      </c>
      <c r="DI31">
        <v>2</v>
      </c>
      <c r="DJ31">
        <v>-0.18054899999999999</v>
      </c>
      <c r="DK31">
        <v>1.78023</v>
      </c>
      <c r="DL31">
        <v>20.221499999999999</v>
      </c>
      <c r="DM31">
        <v>5.2480799999999999</v>
      </c>
      <c r="DN31">
        <v>12.033899999999999</v>
      </c>
      <c r="DO31">
        <v>4.9664799999999998</v>
      </c>
      <c r="DP31">
        <v>3.2909999999999999</v>
      </c>
      <c r="DQ31">
        <v>9999</v>
      </c>
      <c r="DR31">
        <v>9999</v>
      </c>
      <c r="DS31">
        <v>534</v>
      </c>
      <c r="DT31">
        <v>9999</v>
      </c>
      <c r="DU31">
        <v>1.8708800000000001</v>
      </c>
      <c r="DV31">
        <v>1.87595</v>
      </c>
      <c r="DW31">
        <v>1.8761300000000001</v>
      </c>
      <c r="DX31">
        <v>1.8826799999999999</v>
      </c>
      <c r="DY31">
        <v>1.8754599999999999</v>
      </c>
      <c r="DZ31">
        <v>1.8745400000000001</v>
      </c>
      <c r="EA31">
        <v>1.8706100000000001</v>
      </c>
      <c r="EB31">
        <v>1.8745400000000001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-1.2050000000000001</v>
      </c>
      <c r="EQ31">
        <v>0.1293</v>
      </c>
      <c r="ER31">
        <v>-1.20520000000005</v>
      </c>
      <c r="ES31">
        <v>0</v>
      </c>
      <c r="ET31">
        <v>0</v>
      </c>
      <c r="EU31">
        <v>0</v>
      </c>
      <c r="EV31">
        <v>0.12931999999999799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3.5</v>
      </c>
      <c r="FE31">
        <v>3.5</v>
      </c>
      <c r="FF31">
        <v>1.22803</v>
      </c>
      <c r="FG31">
        <v>2.5476100000000002</v>
      </c>
      <c r="FH31">
        <v>2.19604</v>
      </c>
      <c r="FI31">
        <v>2.66357</v>
      </c>
      <c r="FJ31">
        <v>2.4462899999999999</v>
      </c>
      <c r="FK31">
        <v>2.2717299999999998</v>
      </c>
      <c r="FL31">
        <v>28.985900000000001</v>
      </c>
      <c r="FM31">
        <v>24.1663</v>
      </c>
      <c r="FN31">
        <v>19</v>
      </c>
      <c r="FO31">
        <v>863.04600000000005</v>
      </c>
      <c r="FP31">
        <v>599.42499999999995</v>
      </c>
      <c r="FQ31">
        <v>18.3309</v>
      </c>
      <c r="FR31">
        <v>24.699000000000002</v>
      </c>
      <c r="FS31">
        <v>30</v>
      </c>
      <c r="FT31">
        <v>24.674299999999999</v>
      </c>
      <c r="FU31">
        <v>24.674199999999999</v>
      </c>
      <c r="FV31">
        <v>24.649899999999999</v>
      </c>
      <c r="FW31">
        <v>37.537799999999997</v>
      </c>
      <c r="FX31">
        <v>67.009399999999999</v>
      </c>
      <c r="FY31">
        <v>18.335999999999999</v>
      </c>
      <c r="FZ31">
        <v>410</v>
      </c>
      <c r="GA31">
        <v>14.738899999999999</v>
      </c>
      <c r="GB31">
        <v>99.888400000000004</v>
      </c>
      <c r="GC31">
        <v>99.454300000000003</v>
      </c>
    </row>
    <row r="32" spans="1:185" x14ac:dyDescent="0.2">
      <c r="A32">
        <v>17</v>
      </c>
      <c r="B32">
        <v>1769183110</v>
      </c>
      <c r="C32">
        <v>247</v>
      </c>
      <c r="D32" t="s">
        <v>327</v>
      </c>
      <c r="E32" t="s">
        <v>328</v>
      </c>
      <c r="F32">
        <v>15</v>
      </c>
      <c r="G32">
        <v>1769183101.9333301</v>
      </c>
      <c r="H32">
        <f t="shared" si="0"/>
        <v>5.6133728422042798E-4</v>
      </c>
      <c r="I32">
        <v>0</v>
      </c>
      <c r="J32">
        <f t="shared" si="12"/>
        <v>-2.2498522839196357E-3</v>
      </c>
      <c r="K32">
        <f t="shared" si="1"/>
        <v>-5.8922892601206721E-2</v>
      </c>
      <c r="L32">
        <f t="shared" si="2"/>
        <v>70.023590411552092</v>
      </c>
      <c r="M32">
        <f t="shared" si="3"/>
        <v>1.5427839129298035</v>
      </c>
      <c r="N32">
        <f t="shared" si="4"/>
        <v>2.2032345154859181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26275.715030431216</v>
      </c>
      <c r="T32">
        <f t="shared" si="8"/>
        <v>300.00080000000003</v>
      </c>
      <c r="U32">
        <f t="shared" si="9"/>
        <v>252.90067391999872</v>
      </c>
      <c r="V32">
        <f t="shared" si="10"/>
        <v>0.84299999839999995</v>
      </c>
      <c r="W32">
        <f t="shared" si="11"/>
        <v>0.15869989206399998</v>
      </c>
      <c r="X32">
        <v>1</v>
      </c>
      <c r="Y32">
        <v>1769183101.9333301</v>
      </c>
      <c r="Z32">
        <v>409.76806666666698</v>
      </c>
      <c r="AA32">
        <v>409.98193333333302</v>
      </c>
      <c r="AB32">
        <v>15.3976066666667</v>
      </c>
      <c r="AC32">
        <v>14.706746666666699</v>
      </c>
      <c r="AD32">
        <v>410.97320000000002</v>
      </c>
      <c r="AE32">
        <v>15.2682866666667</v>
      </c>
      <c r="AF32">
        <v>800.008733333333</v>
      </c>
      <c r="AG32">
        <v>100.13053333333301</v>
      </c>
      <c r="AH32">
        <v>6.5811873333333298E-2</v>
      </c>
      <c r="AI32">
        <v>18.985853333333299</v>
      </c>
      <c r="AJ32">
        <v>999.9</v>
      </c>
      <c r="AK32">
        <v>999.9</v>
      </c>
      <c r="AL32">
        <v>0</v>
      </c>
      <c r="AM32">
        <v>0</v>
      </c>
      <c r="AN32">
        <v>5002.9666666666699</v>
      </c>
      <c r="AO32">
        <v>0</v>
      </c>
      <c r="AP32">
        <v>2.0325500000000001</v>
      </c>
      <c r="AQ32">
        <v>-0.21380213333333301</v>
      </c>
      <c r="AR32">
        <v>416.176266666667</v>
      </c>
      <c r="AS32">
        <v>416.10126666666702</v>
      </c>
      <c r="AT32">
        <v>0.69086293333333304</v>
      </c>
      <c r="AU32">
        <v>409.98193333333302</v>
      </c>
      <c r="AV32">
        <v>14.706746666666699</v>
      </c>
      <c r="AW32">
        <v>1.5417719999999999</v>
      </c>
      <c r="AX32">
        <v>1.472596</v>
      </c>
      <c r="AY32">
        <v>13.3888533333333</v>
      </c>
      <c r="AZ32">
        <v>12.6865666666667</v>
      </c>
      <c r="BA32">
        <v>300.00080000000003</v>
      </c>
      <c r="BB32">
        <v>0.90000159999999996</v>
      </c>
      <c r="BC32">
        <v>0</v>
      </c>
      <c r="BD32">
        <v>9.9998453333333306E-2</v>
      </c>
      <c r="BE32">
        <v>0</v>
      </c>
      <c r="BF32">
        <v>24</v>
      </c>
      <c r="BG32">
        <v>4946.6466666666702</v>
      </c>
      <c r="BH32">
        <v>1769182883</v>
      </c>
      <c r="BI32" t="s">
        <v>289</v>
      </c>
      <c r="BJ32">
        <v>1769182883</v>
      </c>
      <c r="BK32">
        <v>1769182883</v>
      </c>
      <c r="BL32">
        <v>1</v>
      </c>
      <c r="BM32">
        <v>-0.45</v>
      </c>
      <c r="BN32">
        <v>3.0000000000000001E-3</v>
      </c>
      <c r="BO32">
        <v>-1.2050000000000001</v>
      </c>
      <c r="BP32">
        <v>0.129</v>
      </c>
      <c r="BQ32">
        <v>410</v>
      </c>
      <c r="BR32">
        <v>15</v>
      </c>
      <c r="BS32">
        <v>0.1</v>
      </c>
      <c r="BT32">
        <v>0.06</v>
      </c>
      <c r="BU32">
        <v>-0.20447085000000001</v>
      </c>
      <c r="BV32">
        <v>-0.25828172932330801</v>
      </c>
      <c r="BW32">
        <v>2.9534843961455101E-2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0.69016109999999997</v>
      </c>
      <c r="CD32">
        <v>9.6154285714276696E-3</v>
      </c>
      <c r="CE32">
        <v>1.7139525635209399E-3</v>
      </c>
      <c r="CF32">
        <v>1</v>
      </c>
      <c r="CG32">
        <v>2</v>
      </c>
      <c r="CH32">
        <v>2</v>
      </c>
      <c r="CI32" t="s">
        <v>310</v>
      </c>
      <c r="CJ32">
        <v>3.5324599999999999</v>
      </c>
      <c r="CK32">
        <v>2.7038199999999999</v>
      </c>
      <c r="CL32">
        <v>9.8210800000000001E-2</v>
      </c>
      <c r="CM32">
        <v>9.6821000000000004E-2</v>
      </c>
      <c r="CN32">
        <v>8.7155999999999997E-2</v>
      </c>
      <c r="CO32">
        <v>8.3488000000000007E-2</v>
      </c>
      <c r="CP32">
        <v>31637.4</v>
      </c>
      <c r="CQ32">
        <v>27746.6</v>
      </c>
      <c r="CR32">
        <v>32467.3</v>
      </c>
      <c r="CS32">
        <v>30644.7</v>
      </c>
      <c r="CT32">
        <v>40113.300000000003</v>
      </c>
      <c r="CU32">
        <v>39473.9</v>
      </c>
      <c r="CV32">
        <v>47397.1</v>
      </c>
      <c r="CW32">
        <v>46709.9</v>
      </c>
      <c r="CX32">
        <v>2.6347800000000001</v>
      </c>
      <c r="CY32">
        <v>2.1717599999999999</v>
      </c>
      <c r="CZ32">
        <v>0</v>
      </c>
      <c r="DA32">
        <v>0</v>
      </c>
      <c r="DB32">
        <v>999.9</v>
      </c>
      <c r="DC32">
        <v>999.9</v>
      </c>
      <c r="DD32">
        <v>76.59</v>
      </c>
      <c r="DE32">
        <v>23.443999999999999</v>
      </c>
      <c r="DF32">
        <v>22.154</v>
      </c>
      <c r="DG32">
        <v>30.100100000000001</v>
      </c>
      <c r="DH32">
        <v>17.331700000000001</v>
      </c>
      <c r="DI32">
        <v>2</v>
      </c>
      <c r="DJ32">
        <v>-0.18077599999999999</v>
      </c>
      <c r="DK32">
        <v>1.7414700000000001</v>
      </c>
      <c r="DL32">
        <v>20.221800000000002</v>
      </c>
      <c r="DM32">
        <v>5.2492799999999997</v>
      </c>
      <c r="DN32">
        <v>12.033899999999999</v>
      </c>
      <c r="DO32">
        <v>4.9676</v>
      </c>
      <c r="DP32">
        <v>3.2909999999999999</v>
      </c>
      <c r="DQ32">
        <v>9999</v>
      </c>
      <c r="DR32">
        <v>9999</v>
      </c>
      <c r="DS32">
        <v>534</v>
      </c>
      <c r="DT32">
        <v>9999</v>
      </c>
      <c r="DU32">
        <v>1.8708800000000001</v>
      </c>
      <c r="DV32">
        <v>1.87598</v>
      </c>
      <c r="DW32">
        <v>1.8761699999999999</v>
      </c>
      <c r="DX32">
        <v>1.8827100000000001</v>
      </c>
      <c r="DY32">
        <v>1.8754599999999999</v>
      </c>
      <c r="DZ32">
        <v>1.8745400000000001</v>
      </c>
      <c r="EA32">
        <v>1.8706199999999999</v>
      </c>
      <c r="EB32">
        <v>1.8745400000000001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-1.2050000000000001</v>
      </c>
      <c r="EQ32">
        <v>0.1293</v>
      </c>
      <c r="ER32">
        <v>-1.20520000000005</v>
      </c>
      <c r="ES32">
        <v>0</v>
      </c>
      <c r="ET32">
        <v>0</v>
      </c>
      <c r="EU32">
        <v>0</v>
      </c>
      <c r="EV32">
        <v>0.12931999999999799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1.22803</v>
      </c>
      <c r="FG32">
        <v>2.5476100000000002</v>
      </c>
      <c r="FH32">
        <v>2.19604</v>
      </c>
      <c r="FI32">
        <v>2.66357</v>
      </c>
      <c r="FJ32">
        <v>2.4462899999999999</v>
      </c>
      <c r="FK32">
        <v>2.2863799999999999</v>
      </c>
      <c r="FL32">
        <v>29.007100000000001</v>
      </c>
      <c r="FM32">
        <v>24.157499999999999</v>
      </c>
      <c r="FN32">
        <v>19</v>
      </c>
      <c r="FO32">
        <v>863.10699999999997</v>
      </c>
      <c r="FP32">
        <v>599.28499999999997</v>
      </c>
      <c r="FQ32">
        <v>18.359400000000001</v>
      </c>
      <c r="FR32">
        <v>24.701000000000001</v>
      </c>
      <c r="FS32">
        <v>30.0001</v>
      </c>
      <c r="FT32">
        <v>24.678000000000001</v>
      </c>
      <c r="FU32">
        <v>24.6784</v>
      </c>
      <c r="FV32">
        <v>24.653300000000002</v>
      </c>
      <c r="FW32">
        <v>37.537799999999997</v>
      </c>
      <c r="FX32">
        <v>66.251400000000004</v>
      </c>
      <c r="FY32">
        <v>18.3644</v>
      </c>
      <c r="FZ32">
        <v>410</v>
      </c>
      <c r="GA32">
        <v>14.738899999999999</v>
      </c>
      <c r="GB32">
        <v>99.888400000000004</v>
      </c>
      <c r="GC32">
        <v>99.456000000000003</v>
      </c>
    </row>
    <row r="33" spans="1:185" x14ac:dyDescent="0.2">
      <c r="A33">
        <v>18</v>
      </c>
      <c r="B33">
        <v>1769183125</v>
      </c>
      <c r="C33">
        <v>262</v>
      </c>
      <c r="D33" t="s">
        <v>329</v>
      </c>
      <c r="E33" t="s">
        <v>330</v>
      </c>
      <c r="F33">
        <v>15</v>
      </c>
      <c r="G33">
        <v>1769183116.9333301</v>
      </c>
      <c r="H33">
        <f t="shared" si="0"/>
        <v>5.6477281117538734E-4</v>
      </c>
      <c r="I33">
        <v>0</v>
      </c>
      <c r="J33">
        <f t="shared" si="12"/>
        <v>-2.0345794078387167E-3</v>
      </c>
      <c r="K33">
        <f t="shared" si="1"/>
        <v>-5.3284966659166544E-2</v>
      </c>
      <c r="L33">
        <f t="shared" si="2"/>
        <v>70.021196766752709</v>
      </c>
      <c r="M33">
        <f t="shared" si="3"/>
        <v>1.5426586449426745</v>
      </c>
      <c r="N33">
        <f t="shared" si="4"/>
        <v>2.203130932025366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26233.784468478207</v>
      </c>
      <c r="T33">
        <f t="shared" si="8"/>
        <v>300.00133333333298</v>
      </c>
      <c r="U33">
        <f t="shared" si="9"/>
        <v>252.90116960020237</v>
      </c>
      <c r="V33">
        <f t="shared" si="10"/>
        <v>0.843000152</v>
      </c>
      <c r="W33">
        <f t="shared" si="11"/>
        <v>0.15870038000000003</v>
      </c>
      <c r="X33">
        <v>1</v>
      </c>
      <c r="Y33">
        <v>1769183116.9333301</v>
      </c>
      <c r="Z33">
        <v>409.75619999999998</v>
      </c>
      <c r="AA33">
        <v>409.97886666666699</v>
      </c>
      <c r="AB33">
        <v>15.396380000000001</v>
      </c>
      <c r="AC33">
        <v>14.7012866666667</v>
      </c>
      <c r="AD33">
        <v>410.96133333333302</v>
      </c>
      <c r="AE33">
        <v>15.267053333333299</v>
      </c>
      <c r="AF33">
        <v>800.00386666666702</v>
      </c>
      <c r="AG33">
        <v>100.13013333333301</v>
      </c>
      <c r="AH33">
        <v>6.6058560000000002E-2</v>
      </c>
      <c r="AI33">
        <v>18.985099999999999</v>
      </c>
      <c r="AJ33">
        <v>999.9</v>
      </c>
      <c r="AK33">
        <v>999.9</v>
      </c>
      <c r="AL33">
        <v>0</v>
      </c>
      <c r="AM33">
        <v>0</v>
      </c>
      <c r="AN33">
        <v>4996.0666666666702</v>
      </c>
      <c r="AO33">
        <v>0</v>
      </c>
      <c r="AP33">
        <v>2.0265286666666702</v>
      </c>
      <c r="AQ33">
        <v>-0.22273960000000001</v>
      </c>
      <c r="AR33">
        <v>416.16366666666698</v>
      </c>
      <c r="AS33">
        <v>416.096</v>
      </c>
      <c r="AT33">
        <v>0.69508733333333295</v>
      </c>
      <c r="AU33">
        <v>409.97886666666699</v>
      </c>
      <c r="AV33">
        <v>14.7012866666667</v>
      </c>
      <c r="AW33">
        <v>1.54164066666667</v>
      </c>
      <c r="AX33">
        <v>1.4720420000000001</v>
      </c>
      <c r="AY33">
        <v>13.3875266666667</v>
      </c>
      <c r="AZ33">
        <v>12.680820000000001</v>
      </c>
      <c r="BA33">
        <v>300.00133333333298</v>
      </c>
      <c r="BB33">
        <v>0.89999493333333302</v>
      </c>
      <c r="BC33">
        <v>0</v>
      </c>
      <c r="BD33">
        <v>0.100005066666667</v>
      </c>
      <c r="BE33">
        <v>0</v>
      </c>
      <c r="BF33">
        <v>24</v>
      </c>
      <c r="BG33">
        <v>4946.6486666666697</v>
      </c>
      <c r="BH33">
        <v>1769182883</v>
      </c>
      <c r="BI33" t="s">
        <v>289</v>
      </c>
      <c r="BJ33">
        <v>1769182883</v>
      </c>
      <c r="BK33">
        <v>1769182883</v>
      </c>
      <c r="BL33">
        <v>1</v>
      </c>
      <c r="BM33">
        <v>-0.45</v>
      </c>
      <c r="BN33">
        <v>3.0000000000000001E-3</v>
      </c>
      <c r="BO33">
        <v>-1.2050000000000001</v>
      </c>
      <c r="BP33">
        <v>0.129</v>
      </c>
      <c r="BQ33">
        <v>410</v>
      </c>
      <c r="BR33">
        <v>15</v>
      </c>
      <c r="BS33">
        <v>0.1</v>
      </c>
      <c r="BT33">
        <v>0.06</v>
      </c>
      <c r="BU33">
        <v>-0.22703771428571401</v>
      </c>
      <c r="BV33">
        <v>6.5892701298700701E-2</v>
      </c>
      <c r="BW33">
        <v>1.5637517870699998E-2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0.69397500000000001</v>
      </c>
      <c r="CD33">
        <v>1.5788337662336598E-2</v>
      </c>
      <c r="CE33">
        <v>2.3124573406618598E-3</v>
      </c>
      <c r="CF33">
        <v>1</v>
      </c>
      <c r="CG33">
        <v>2</v>
      </c>
      <c r="CH33">
        <v>2</v>
      </c>
      <c r="CI33" t="s">
        <v>310</v>
      </c>
      <c r="CJ33">
        <v>3.5325500000000001</v>
      </c>
      <c r="CK33">
        <v>2.7037499999999999</v>
      </c>
      <c r="CL33">
        <v>9.8208599999999993E-2</v>
      </c>
      <c r="CM33">
        <v>9.6823800000000002E-2</v>
      </c>
      <c r="CN33">
        <v>8.7145600000000004E-2</v>
      </c>
      <c r="CO33">
        <v>8.3457100000000006E-2</v>
      </c>
      <c r="CP33">
        <v>31637.8</v>
      </c>
      <c r="CQ33">
        <v>27747.3</v>
      </c>
      <c r="CR33">
        <v>32467.7</v>
      </c>
      <c r="CS33">
        <v>30645.599999999999</v>
      </c>
      <c r="CT33">
        <v>40114.1</v>
      </c>
      <c r="CU33">
        <v>39476.300000000003</v>
      </c>
      <c r="CV33">
        <v>47397.4</v>
      </c>
      <c r="CW33">
        <v>46711.1</v>
      </c>
      <c r="CX33">
        <v>2.6347999999999998</v>
      </c>
      <c r="CY33">
        <v>2.1716199999999999</v>
      </c>
      <c r="CZ33">
        <v>0</v>
      </c>
      <c r="DA33">
        <v>0</v>
      </c>
      <c r="DB33">
        <v>999.9</v>
      </c>
      <c r="DC33">
        <v>999.9</v>
      </c>
      <c r="DD33">
        <v>76.522999999999996</v>
      </c>
      <c r="DE33">
        <v>23.463999999999999</v>
      </c>
      <c r="DF33">
        <v>22.161899999999999</v>
      </c>
      <c r="DG33">
        <v>30.490100000000002</v>
      </c>
      <c r="DH33">
        <v>17.255600000000001</v>
      </c>
      <c r="DI33">
        <v>2</v>
      </c>
      <c r="DJ33">
        <v>-0.18049200000000001</v>
      </c>
      <c r="DK33">
        <v>1.7125999999999999</v>
      </c>
      <c r="DL33">
        <v>20.222000000000001</v>
      </c>
      <c r="DM33">
        <v>5.2522700000000002</v>
      </c>
      <c r="DN33">
        <v>12.033899999999999</v>
      </c>
      <c r="DO33">
        <v>4.9675599999999998</v>
      </c>
      <c r="DP33">
        <v>3.2909999999999999</v>
      </c>
      <c r="DQ33">
        <v>9999</v>
      </c>
      <c r="DR33">
        <v>9999</v>
      </c>
      <c r="DS33">
        <v>534</v>
      </c>
      <c r="DT33">
        <v>9999</v>
      </c>
      <c r="DU33">
        <v>1.8708800000000001</v>
      </c>
      <c r="DV33">
        <v>1.8759699999999999</v>
      </c>
      <c r="DW33">
        <v>1.87615</v>
      </c>
      <c r="DX33">
        <v>1.88273</v>
      </c>
      <c r="DY33">
        <v>1.8754599999999999</v>
      </c>
      <c r="DZ33">
        <v>1.8745400000000001</v>
      </c>
      <c r="EA33">
        <v>1.8706100000000001</v>
      </c>
      <c r="EB33">
        <v>1.8745400000000001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-1.2050000000000001</v>
      </c>
      <c r="EQ33">
        <v>0.12939999999999999</v>
      </c>
      <c r="ER33">
        <v>-1.20520000000005</v>
      </c>
      <c r="ES33">
        <v>0</v>
      </c>
      <c r="ET33">
        <v>0</v>
      </c>
      <c r="EU33">
        <v>0</v>
      </c>
      <c r="EV33">
        <v>0.12931999999999799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</v>
      </c>
      <c r="FE33">
        <v>4</v>
      </c>
      <c r="FF33">
        <v>1.22803</v>
      </c>
      <c r="FG33">
        <v>2.5488300000000002</v>
      </c>
      <c r="FH33">
        <v>2.19604</v>
      </c>
      <c r="FI33">
        <v>2.66357</v>
      </c>
      <c r="FJ33">
        <v>2.4462899999999999</v>
      </c>
      <c r="FK33">
        <v>2.2619600000000002</v>
      </c>
      <c r="FL33">
        <v>29.028199999999998</v>
      </c>
      <c r="FM33">
        <v>24.148800000000001</v>
      </c>
      <c r="FN33">
        <v>19</v>
      </c>
      <c r="FO33">
        <v>863.18499999999995</v>
      </c>
      <c r="FP33">
        <v>599.22299999999996</v>
      </c>
      <c r="FQ33">
        <v>18.3918</v>
      </c>
      <c r="FR33">
        <v>24.703199999999999</v>
      </c>
      <c r="FS33">
        <v>30.0001</v>
      </c>
      <c r="FT33">
        <v>24.681699999999999</v>
      </c>
      <c r="FU33">
        <v>24.682500000000001</v>
      </c>
      <c r="FV33">
        <v>24.652699999999999</v>
      </c>
      <c r="FW33">
        <v>37.537799999999997</v>
      </c>
      <c r="FX33">
        <v>65.875799999999998</v>
      </c>
      <c r="FY33">
        <v>18.396000000000001</v>
      </c>
      <c r="FZ33">
        <v>410</v>
      </c>
      <c r="GA33">
        <v>14.738899999999999</v>
      </c>
      <c r="GB33">
        <v>99.889300000000006</v>
      </c>
      <c r="GC33">
        <v>99.458699999999993</v>
      </c>
    </row>
    <row r="34" spans="1:185" x14ac:dyDescent="0.2">
      <c r="A34">
        <v>19</v>
      </c>
      <c r="B34">
        <v>1769183140</v>
      </c>
      <c r="C34">
        <v>277</v>
      </c>
      <c r="D34" t="s">
        <v>331</v>
      </c>
      <c r="E34" t="s">
        <v>332</v>
      </c>
      <c r="F34">
        <v>15</v>
      </c>
      <c r="G34">
        <v>1769183131.9333301</v>
      </c>
      <c r="H34">
        <f t="shared" si="0"/>
        <v>5.6662227553156807E-4</v>
      </c>
      <c r="I34">
        <v>0</v>
      </c>
      <c r="J34">
        <f t="shared" si="12"/>
        <v>-2.4445859756436431E-3</v>
      </c>
      <c r="K34">
        <f t="shared" si="1"/>
        <v>-6.4022904048758295E-2</v>
      </c>
      <c r="L34">
        <f t="shared" si="2"/>
        <v>69.978716765089118</v>
      </c>
      <c r="M34">
        <f t="shared" si="3"/>
        <v>1.542058270018188</v>
      </c>
      <c r="N34">
        <f t="shared" si="4"/>
        <v>2.2036103851328233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26259.879286394338</v>
      </c>
      <c r="T34">
        <f t="shared" si="8"/>
        <v>300.00060000000002</v>
      </c>
      <c r="U34">
        <f t="shared" si="9"/>
        <v>252.9005880001643</v>
      </c>
      <c r="V34">
        <f t="shared" si="10"/>
        <v>0.84300027399999966</v>
      </c>
      <c r="W34">
        <f t="shared" si="11"/>
        <v>0.15870081491999996</v>
      </c>
      <c r="X34">
        <v>1</v>
      </c>
      <c r="Y34">
        <v>1769183131.9333301</v>
      </c>
      <c r="Z34">
        <v>409.7654</v>
      </c>
      <c r="AA34">
        <v>409.97559999999999</v>
      </c>
      <c r="AB34">
        <v>15.390499999999999</v>
      </c>
      <c r="AC34">
        <v>14.69312</v>
      </c>
      <c r="AD34">
        <v>410.97053333333298</v>
      </c>
      <c r="AE34">
        <v>15.2611733333333</v>
      </c>
      <c r="AF34">
        <v>799.99666666666701</v>
      </c>
      <c r="AG34">
        <v>100.12973333333299</v>
      </c>
      <c r="AH34">
        <v>6.5729453333333299E-2</v>
      </c>
      <c r="AI34">
        <v>18.988586666666698</v>
      </c>
      <c r="AJ34">
        <v>999.9</v>
      </c>
      <c r="AK34">
        <v>999.9</v>
      </c>
      <c r="AL34">
        <v>0</v>
      </c>
      <c r="AM34">
        <v>0</v>
      </c>
      <c r="AN34">
        <v>5000.4333333333298</v>
      </c>
      <c r="AO34">
        <v>0</v>
      </c>
      <c r="AP34">
        <v>1.9979246666666699</v>
      </c>
      <c r="AQ34">
        <v>-0.21029866666666699</v>
      </c>
      <c r="AR34">
        <v>416.17039999999997</v>
      </c>
      <c r="AS34">
        <v>416.08920000000001</v>
      </c>
      <c r="AT34">
        <v>0.69737179999999999</v>
      </c>
      <c r="AU34">
        <v>409.97559999999999</v>
      </c>
      <c r="AV34">
        <v>14.69312</v>
      </c>
      <c r="AW34">
        <v>1.54104533333333</v>
      </c>
      <c r="AX34">
        <v>1.47121866666667</v>
      </c>
      <c r="AY34">
        <v>13.381626666666699</v>
      </c>
      <c r="AZ34">
        <v>12.6722866666667</v>
      </c>
      <c r="BA34">
        <v>300.00060000000002</v>
      </c>
      <c r="BB34">
        <v>0.89998893333333296</v>
      </c>
      <c r="BC34">
        <v>0</v>
      </c>
      <c r="BD34">
        <v>0.100011</v>
      </c>
      <c r="BE34">
        <v>0</v>
      </c>
      <c r="BF34">
        <v>24</v>
      </c>
      <c r="BG34">
        <v>4946.6260000000002</v>
      </c>
      <c r="BH34">
        <v>1769182883</v>
      </c>
      <c r="BI34" t="s">
        <v>289</v>
      </c>
      <c r="BJ34">
        <v>1769182883</v>
      </c>
      <c r="BK34">
        <v>1769182883</v>
      </c>
      <c r="BL34">
        <v>1</v>
      </c>
      <c r="BM34">
        <v>-0.45</v>
      </c>
      <c r="BN34">
        <v>3.0000000000000001E-3</v>
      </c>
      <c r="BO34">
        <v>-1.2050000000000001</v>
      </c>
      <c r="BP34">
        <v>0.129</v>
      </c>
      <c r="BQ34">
        <v>410</v>
      </c>
      <c r="BR34">
        <v>15</v>
      </c>
      <c r="BS34">
        <v>0.1</v>
      </c>
      <c r="BT34">
        <v>0.06</v>
      </c>
      <c r="BU34">
        <v>-0.21397705</v>
      </c>
      <c r="BV34">
        <v>8.3543142857142996E-2</v>
      </c>
      <c r="BW34">
        <v>1.23554162393462E-2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0.69672509999999999</v>
      </c>
      <c r="CD34">
        <v>1.0125473684211E-2</v>
      </c>
      <c r="CE34">
        <v>1.7098745538781501E-3</v>
      </c>
      <c r="CF34">
        <v>1</v>
      </c>
      <c r="CG34">
        <v>2</v>
      </c>
      <c r="CH34">
        <v>2</v>
      </c>
      <c r="CI34" t="s">
        <v>310</v>
      </c>
      <c r="CJ34">
        <v>3.5325199999999999</v>
      </c>
      <c r="CK34">
        <v>2.70343</v>
      </c>
      <c r="CL34">
        <v>9.8206299999999996E-2</v>
      </c>
      <c r="CM34">
        <v>9.6818000000000001E-2</v>
      </c>
      <c r="CN34">
        <v>8.7111300000000003E-2</v>
      </c>
      <c r="CO34">
        <v>8.3419199999999999E-2</v>
      </c>
      <c r="CP34">
        <v>31637.599999999999</v>
      </c>
      <c r="CQ34">
        <v>27747.5</v>
      </c>
      <c r="CR34">
        <v>32467.4</v>
      </c>
      <c r="CS34">
        <v>30645.599999999999</v>
      </c>
      <c r="CT34">
        <v>40115.5</v>
      </c>
      <c r="CU34">
        <v>39478.199999999997</v>
      </c>
      <c r="CV34">
        <v>47397.2</v>
      </c>
      <c r="CW34">
        <v>46711.3</v>
      </c>
      <c r="CX34">
        <v>2.6347200000000002</v>
      </c>
      <c r="CY34">
        <v>2.1711200000000002</v>
      </c>
      <c r="CZ34">
        <v>0</v>
      </c>
      <c r="DA34">
        <v>0</v>
      </c>
      <c r="DB34">
        <v>999.9</v>
      </c>
      <c r="DC34">
        <v>999.9</v>
      </c>
      <c r="DD34">
        <v>76.424999999999997</v>
      </c>
      <c r="DE34">
        <v>23.484000000000002</v>
      </c>
      <c r="DF34">
        <v>22.159700000000001</v>
      </c>
      <c r="DG34">
        <v>30.190100000000001</v>
      </c>
      <c r="DH34">
        <v>17.307700000000001</v>
      </c>
      <c r="DI34">
        <v>2</v>
      </c>
      <c r="DJ34">
        <v>-0.18024599999999999</v>
      </c>
      <c r="DK34">
        <v>1.6996599999999999</v>
      </c>
      <c r="DL34">
        <v>20.2224</v>
      </c>
      <c r="DM34">
        <v>5.2527499999999998</v>
      </c>
      <c r="DN34">
        <v>12.033899999999999</v>
      </c>
      <c r="DO34">
        <v>4.9676799999999997</v>
      </c>
      <c r="DP34">
        <v>3.2909999999999999</v>
      </c>
      <c r="DQ34">
        <v>9999</v>
      </c>
      <c r="DR34">
        <v>9999</v>
      </c>
      <c r="DS34">
        <v>534</v>
      </c>
      <c r="DT34">
        <v>9999</v>
      </c>
      <c r="DU34">
        <v>1.8708899999999999</v>
      </c>
      <c r="DV34">
        <v>1.8760300000000001</v>
      </c>
      <c r="DW34">
        <v>1.8762000000000001</v>
      </c>
      <c r="DX34">
        <v>1.88273</v>
      </c>
      <c r="DY34">
        <v>1.8754599999999999</v>
      </c>
      <c r="DZ34">
        <v>1.8745400000000001</v>
      </c>
      <c r="EA34">
        <v>1.8706400000000001</v>
      </c>
      <c r="EB34">
        <v>1.8745499999999999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-1.2050000000000001</v>
      </c>
      <c r="EQ34">
        <v>0.1293</v>
      </c>
      <c r="ER34">
        <v>-1.20520000000005</v>
      </c>
      <c r="ES34">
        <v>0</v>
      </c>
      <c r="ET34">
        <v>0</v>
      </c>
      <c r="EU34">
        <v>0</v>
      </c>
      <c r="EV34">
        <v>0.12931999999999799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1.22803</v>
      </c>
      <c r="FG34">
        <v>2.5390600000000001</v>
      </c>
      <c r="FH34">
        <v>2.19604</v>
      </c>
      <c r="FI34">
        <v>2.66357</v>
      </c>
      <c r="FJ34">
        <v>2.4462899999999999</v>
      </c>
      <c r="FK34">
        <v>2.3095699999999999</v>
      </c>
      <c r="FL34">
        <v>29.049399999999999</v>
      </c>
      <c r="FM34">
        <v>24.157499999999999</v>
      </c>
      <c r="FN34">
        <v>19</v>
      </c>
      <c r="FO34">
        <v>863.17899999999997</v>
      </c>
      <c r="FP34">
        <v>598.87800000000004</v>
      </c>
      <c r="FQ34">
        <v>18.4194</v>
      </c>
      <c r="FR34">
        <v>24.706099999999999</v>
      </c>
      <c r="FS34">
        <v>30.0002</v>
      </c>
      <c r="FT34">
        <v>24.6859</v>
      </c>
      <c r="FU34">
        <v>24.686599999999999</v>
      </c>
      <c r="FV34">
        <v>24.657</v>
      </c>
      <c r="FW34">
        <v>37.537799999999997</v>
      </c>
      <c r="FX34">
        <v>65.490600000000001</v>
      </c>
      <c r="FY34">
        <v>18.421500000000002</v>
      </c>
      <c r="FZ34">
        <v>410</v>
      </c>
      <c r="GA34">
        <v>14.7468</v>
      </c>
      <c r="GB34">
        <v>99.8887</v>
      </c>
      <c r="GC34">
        <v>99.4589</v>
      </c>
    </row>
    <row r="35" spans="1:185" x14ac:dyDescent="0.2">
      <c r="A35">
        <v>20</v>
      </c>
      <c r="B35">
        <v>1769183155</v>
      </c>
      <c r="C35">
        <v>292</v>
      </c>
      <c r="D35" t="s">
        <v>333</v>
      </c>
      <c r="E35" t="s">
        <v>334</v>
      </c>
      <c r="F35">
        <v>15</v>
      </c>
      <c r="G35">
        <v>1769183146.9333301</v>
      </c>
      <c r="H35">
        <f t="shared" si="0"/>
        <v>5.6623173218130738E-4</v>
      </c>
      <c r="I35">
        <v>0</v>
      </c>
      <c r="J35">
        <f t="shared" si="12"/>
        <v>-1.8071594058489348E-3</v>
      </c>
      <c r="K35">
        <f t="shared" si="1"/>
        <v>-4.7328911477950562E-2</v>
      </c>
      <c r="L35">
        <f t="shared" si="2"/>
        <v>69.927051371789318</v>
      </c>
      <c r="M35">
        <f t="shared" si="3"/>
        <v>1.5414718465868424</v>
      </c>
      <c r="N35">
        <f t="shared" si="4"/>
        <v>2.204399894385821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26256.732237797802</v>
      </c>
      <c r="T35">
        <f t="shared" si="8"/>
        <v>299.99993333333299</v>
      </c>
      <c r="U35">
        <f t="shared" si="9"/>
        <v>252.90000619998594</v>
      </c>
      <c r="V35">
        <f t="shared" si="10"/>
        <v>0.84300020800000031</v>
      </c>
      <c r="W35">
        <f t="shared" si="11"/>
        <v>0.15870077984000008</v>
      </c>
      <c r="X35">
        <v>1</v>
      </c>
      <c r="Y35">
        <v>1769183146.9333301</v>
      </c>
      <c r="Z35">
        <v>409.76580000000001</v>
      </c>
      <c r="AA35">
        <v>409.99666666666701</v>
      </c>
      <c r="AB35">
        <v>15.3846333333333</v>
      </c>
      <c r="AC35">
        <v>14.6877333333333</v>
      </c>
      <c r="AD35">
        <v>410.971</v>
      </c>
      <c r="AE35">
        <v>15.2553066666667</v>
      </c>
      <c r="AF35">
        <v>800.00066666666703</v>
      </c>
      <c r="AG35">
        <v>100.12973333333299</v>
      </c>
      <c r="AH35">
        <v>6.5819799999999998E-2</v>
      </c>
      <c r="AI35">
        <v>18.994326666666701</v>
      </c>
      <c r="AJ35">
        <v>999.9</v>
      </c>
      <c r="AK35">
        <v>999.9</v>
      </c>
      <c r="AL35">
        <v>0</v>
      </c>
      <c r="AM35">
        <v>0</v>
      </c>
      <c r="AN35">
        <v>5000</v>
      </c>
      <c r="AO35">
        <v>0</v>
      </c>
      <c r="AP35">
        <v>1.9760899999999999</v>
      </c>
      <c r="AQ35">
        <v>-0.230967266666667</v>
      </c>
      <c r="AR35">
        <v>416.16826666666702</v>
      </c>
      <c r="AS35">
        <v>416.10820000000001</v>
      </c>
      <c r="AT35">
        <v>0.69689726666666696</v>
      </c>
      <c r="AU35">
        <v>409.99666666666701</v>
      </c>
      <c r="AV35">
        <v>14.6877333333333</v>
      </c>
      <c r="AW35">
        <v>1.5404593333333301</v>
      </c>
      <c r="AX35">
        <v>1.47068</v>
      </c>
      <c r="AY35">
        <v>13.3757866666667</v>
      </c>
      <c r="AZ35">
        <v>12.666700000000001</v>
      </c>
      <c r="BA35">
        <v>299.99993333333299</v>
      </c>
      <c r="BB35">
        <v>0.89998920000000004</v>
      </c>
      <c r="BC35">
        <v>0</v>
      </c>
      <c r="BD35">
        <v>0.100010666666667</v>
      </c>
      <c r="BE35">
        <v>0</v>
      </c>
      <c r="BF35">
        <v>24</v>
      </c>
      <c r="BG35">
        <v>4946.6166666666704</v>
      </c>
      <c r="BH35">
        <v>1769182883</v>
      </c>
      <c r="BI35" t="s">
        <v>289</v>
      </c>
      <c r="BJ35">
        <v>1769182883</v>
      </c>
      <c r="BK35">
        <v>1769182883</v>
      </c>
      <c r="BL35">
        <v>1</v>
      </c>
      <c r="BM35">
        <v>-0.45</v>
      </c>
      <c r="BN35">
        <v>3.0000000000000001E-3</v>
      </c>
      <c r="BO35">
        <v>-1.2050000000000001</v>
      </c>
      <c r="BP35">
        <v>0.129</v>
      </c>
      <c r="BQ35">
        <v>410</v>
      </c>
      <c r="BR35">
        <v>15</v>
      </c>
      <c r="BS35">
        <v>0.1</v>
      </c>
      <c r="BT35">
        <v>0.06</v>
      </c>
      <c r="BU35">
        <v>-0.22372004761904801</v>
      </c>
      <c r="BV35">
        <v>-0.132729818181818</v>
      </c>
      <c r="BW35">
        <v>1.7437340864544199E-2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0.69703857142857095</v>
      </c>
      <c r="CD35">
        <v>-7.9168831167787996E-5</v>
      </c>
      <c r="CE35">
        <v>9.4309195488783597E-4</v>
      </c>
      <c r="CF35">
        <v>1</v>
      </c>
      <c r="CG35">
        <v>2</v>
      </c>
      <c r="CH35">
        <v>2</v>
      </c>
      <c r="CI35" t="s">
        <v>310</v>
      </c>
      <c r="CJ35">
        <v>3.5325199999999999</v>
      </c>
      <c r="CK35">
        <v>2.70357</v>
      </c>
      <c r="CL35">
        <v>9.8203299999999993E-2</v>
      </c>
      <c r="CM35">
        <v>9.6818399999999999E-2</v>
      </c>
      <c r="CN35">
        <v>8.7090299999999995E-2</v>
      </c>
      <c r="CO35">
        <v>8.3406300000000003E-2</v>
      </c>
      <c r="CP35">
        <v>31638</v>
      </c>
      <c r="CQ35">
        <v>27748.3</v>
      </c>
      <c r="CR35">
        <v>32467.8</v>
      </c>
      <c r="CS35">
        <v>30646.5</v>
      </c>
      <c r="CT35">
        <v>40116.9</v>
      </c>
      <c r="CU35">
        <v>39479.9</v>
      </c>
      <c r="CV35">
        <v>47397.7</v>
      </c>
      <c r="CW35">
        <v>46712.7</v>
      </c>
      <c r="CX35">
        <v>2.6346799999999999</v>
      </c>
      <c r="CY35">
        <v>2.1708400000000001</v>
      </c>
      <c r="CZ35">
        <v>0</v>
      </c>
      <c r="DA35">
        <v>0</v>
      </c>
      <c r="DB35">
        <v>999.9</v>
      </c>
      <c r="DC35">
        <v>999.9</v>
      </c>
      <c r="DD35">
        <v>76.328000000000003</v>
      </c>
      <c r="DE35">
        <v>23.504000000000001</v>
      </c>
      <c r="DF35">
        <v>22.159199999999998</v>
      </c>
      <c r="DG35">
        <v>30.400099999999998</v>
      </c>
      <c r="DH35">
        <v>17.347799999999999</v>
      </c>
      <c r="DI35">
        <v>2</v>
      </c>
      <c r="DJ35">
        <v>-0.18019499999999999</v>
      </c>
      <c r="DK35">
        <v>1.7037899999999999</v>
      </c>
      <c r="DL35">
        <v>20.2224</v>
      </c>
      <c r="DM35">
        <v>5.2526299999999999</v>
      </c>
      <c r="DN35">
        <v>12.033899999999999</v>
      </c>
      <c r="DO35">
        <v>4.9677600000000002</v>
      </c>
      <c r="DP35">
        <v>3.2909999999999999</v>
      </c>
      <c r="DQ35">
        <v>9999</v>
      </c>
      <c r="DR35">
        <v>9999</v>
      </c>
      <c r="DS35">
        <v>534</v>
      </c>
      <c r="DT35">
        <v>9999</v>
      </c>
      <c r="DU35">
        <v>1.8708800000000001</v>
      </c>
      <c r="DV35">
        <v>1.8759999999999999</v>
      </c>
      <c r="DW35">
        <v>1.8762000000000001</v>
      </c>
      <c r="DX35">
        <v>1.8827400000000001</v>
      </c>
      <c r="DY35">
        <v>1.8754599999999999</v>
      </c>
      <c r="DZ35">
        <v>1.8745400000000001</v>
      </c>
      <c r="EA35">
        <v>1.87066</v>
      </c>
      <c r="EB35">
        <v>1.8745400000000001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-1.2050000000000001</v>
      </c>
      <c r="EQ35">
        <v>0.1293</v>
      </c>
      <c r="ER35">
        <v>-1.20520000000005</v>
      </c>
      <c r="ES35">
        <v>0</v>
      </c>
      <c r="ET35">
        <v>0</v>
      </c>
      <c r="EU35">
        <v>0</v>
      </c>
      <c r="EV35">
        <v>0.12931999999999799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</v>
      </c>
      <c r="FE35">
        <v>4.5</v>
      </c>
      <c r="FF35">
        <v>1.22803</v>
      </c>
      <c r="FG35">
        <v>2.5463900000000002</v>
      </c>
      <c r="FH35">
        <v>2.19604</v>
      </c>
      <c r="FI35">
        <v>2.66357</v>
      </c>
      <c r="FJ35">
        <v>2.4462899999999999</v>
      </c>
      <c r="FK35">
        <v>2.3156699999999999</v>
      </c>
      <c r="FL35">
        <v>29.070599999999999</v>
      </c>
      <c r="FM35">
        <v>24.157499999999999</v>
      </c>
      <c r="FN35">
        <v>19</v>
      </c>
      <c r="FO35">
        <v>863.20899999999995</v>
      </c>
      <c r="FP35">
        <v>598.70600000000002</v>
      </c>
      <c r="FQ35">
        <v>18.4358</v>
      </c>
      <c r="FR35">
        <v>24.709299999999999</v>
      </c>
      <c r="FS35">
        <v>30.0002</v>
      </c>
      <c r="FT35">
        <v>24.69</v>
      </c>
      <c r="FU35">
        <v>24.690799999999999</v>
      </c>
      <c r="FV35">
        <v>24.6585</v>
      </c>
      <c r="FW35">
        <v>37.537799999999997</v>
      </c>
      <c r="FX35">
        <v>64.733599999999996</v>
      </c>
      <c r="FY35">
        <v>18.436199999999999</v>
      </c>
      <c r="FZ35">
        <v>410</v>
      </c>
      <c r="GA35">
        <v>14.755800000000001</v>
      </c>
      <c r="GB35">
        <v>99.889700000000005</v>
      </c>
      <c r="GC35">
        <v>99.461799999999997</v>
      </c>
    </row>
    <row r="36" spans="1:185" x14ac:dyDescent="0.2">
      <c r="A36">
        <v>21</v>
      </c>
      <c r="B36">
        <v>1769183170</v>
      </c>
      <c r="C36">
        <v>307</v>
      </c>
      <c r="D36" t="s">
        <v>335</v>
      </c>
      <c r="E36" t="s">
        <v>336</v>
      </c>
      <c r="F36">
        <v>15</v>
      </c>
      <c r="G36">
        <v>1769183161.9333301</v>
      </c>
      <c r="H36">
        <f t="shared" si="0"/>
        <v>5.331155727802641E-4</v>
      </c>
      <c r="I36">
        <v>0</v>
      </c>
      <c r="J36">
        <f t="shared" si="12"/>
        <v>-1.1966513497420287E-3</v>
      </c>
      <c r="K36">
        <f t="shared" si="1"/>
        <v>-3.1339905942223731E-2</v>
      </c>
      <c r="L36">
        <f t="shared" si="2"/>
        <v>69.902616486970487</v>
      </c>
      <c r="M36">
        <f t="shared" si="3"/>
        <v>1.5415089927432151</v>
      </c>
      <c r="N36">
        <f t="shared" si="4"/>
        <v>2.2052235956440125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26256.333767017957</v>
      </c>
      <c r="T36">
        <f t="shared" si="8"/>
        <v>299.99919999999997</v>
      </c>
      <c r="U36">
        <f t="shared" si="9"/>
        <v>252.8994281997264</v>
      </c>
      <c r="V36">
        <f t="shared" si="10"/>
        <v>0.84300034200000007</v>
      </c>
      <c r="W36">
        <f t="shared" si="11"/>
        <v>0.158700855</v>
      </c>
      <c r="X36">
        <v>1</v>
      </c>
      <c r="Y36">
        <v>1769183161.9333301</v>
      </c>
      <c r="Z36">
        <v>409.734266666667</v>
      </c>
      <c r="AA36">
        <v>409.96813333333301</v>
      </c>
      <c r="AB36">
        <v>15.38494</v>
      </c>
      <c r="AC36">
        <v>14.728806666666699</v>
      </c>
      <c r="AD36">
        <v>410.93946666666699</v>
      </c>
      <c r="AE36">
        <v>15.2556266666667</v>
      </c>
      <c r="AF36">
        <v>800.01059999999995</v>
      </c>
      <c r="AG36">
        <v>100.130266666667</v>
      </c>
      <c r="AH36">
        <v>6.5703726666666698E-2</v>
      </c>
      <c r="AI36">
        <v>19.000313333333299</v>
      </c>
      <c r="AJ36">
        <v>999.9</v>
      </c>
      <c r="AK36">
        <v>999.9</v>
      </c>
      <c r="AL36">
        <v>0</v>
      </c>
      <c r="AM36">
        <v>0</v>
      </c>
      <c r="AN36">
        <v>5000</v>
      </c>
      <c r="AO36">
        <v>0</v>
      </c>
      <c r="AP36">
        <v>1.9760899999999999</v>
      </c>
      <c r="AQ36">
        <v>-0.23382159999999999</v>
      </c>
      <c r="AR36">
        <v>416.13653333333298</v>
      </c>
      <c r="AS36">
        <v>416.09673333333302</v>
      </c>
      <c r="AT36">
        <v>0.65615953333333299</v>
      </c>
      <c r="AU36">
        <v>409.96813333333301</v>
      </c>
      <c r="AV36">
        <v>14.728806666666699</v>
      </c>
      <c r="AW36">
        <v>1.54049866666667</v>
      </c>
      <c r="AX36">
        <v>1.47479933333333</v>
      </c>
      <c r="AY36">
        <v>13.3761666666667</v>
      </c>
      <c r="AZ36">
        <v>12.7093133333333</v>
      </c>
      <c r="BA36">
        <v>299.99919999999997</v>
      </c>
      <c r="BB36">
        <v>0.89998860000000003</v>
      </c>
      <c r="BC36">
        <v>0</v>
      </c>
      <c r="BD36">
        <v>0.1000114</v>
      </c>
      <c r="BE36">
        <v>0</v>
      </c>
      <c r="BF36">
        <v>24</v>
      </c>
      <c r="BG36">
        <v>4946.6066666666702</v>
      </c>
      <c r="BH36">
        <v>1769182883</v>
      </c>
      <c r="BI36" t="s">
        <v>289</v>
      </c>
      <c r="BJ36">
        <v>1769182883</v>
      </c>
      <c r="BK36">
        <v>1769182883</v>
      </c>
      <c r="BL36">
        <v>1</v>
      </c>
      <c r="BM36">
        <v>-0.45</v>
      </c>
      <c r="BN36">
        <v>3.0000000000000001E-3</v>
      </c>
      <c r="BO36">
        <v>-1.2050000000000001</v>
      </c>
      <c r="BP36">
        <v>0.129</v>
      </c>
      <c r="BQ36">
        <v>410</v>
      </c>
      <c r="BR36">
        <v>15</v>
      </c>
      <c r="BS36">
        <v>0.1</v>
      </c>
      <c r="BT36">
        <v>0.06</v>
      </c>
      <c r="BU36">
        <v>-0.23514555000000001</v>
      </c>
      <c r="BV36">
        <v>1.5941278195489E-2</v>
      </c>
      <c r="BW36">
        <v>2.23125668749138E-2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0.66639729999999997</v>
      </c>
      <c r="CD36">
        <v>-0.33651771428571498</v>
      </c>
      <c r="CE36">
        <v>3.5798845299953502E-2</v>
      </c>
      <c r="CF36">
        <v>0</v>
      </c>
      <c r="CG36">
        <v>1</v>
      </c>
      <c r="CH36">
        <v>2</v>
      </c>
      <c r="CI36" t="s">
        <v>301</v>
      </c>
      <c r="CJ36">
        <v>3.5325600000000001</v>
      </c>
      <c r="CK36">
        <v>2.7036699999999998</v>
      </c>
      <c r="CL36">
        <v>9.8195500000000005E-2</v>
      </c>
      <c r="CM36">
        <v>9.6816600000000003E-2</v>
      </c>
      <c r="CN36">
        <v>8.7175900000000001E-2</v>
      </c>
      <c r="CO36">
        <v>8.3798499999999998E-2</v>
      </c>
      <c r="CP36">
        <v>31637.5</v>
      </c>
      <c r="CQ36">
        <v>27748.7</v>
      </c>
      <c r="CR36">
        <v>32467</v>
      </c>
      <c r="CS36">
        <v>30647</v>
      </c>
      <c r="CT36">
        <v>40112.1</v>
      </c>
      <c r="CU36">
        <v>39463.1</v>
      </c>
      <c r="CV36">
        <v>47396.7</v>
      </c>
      <c r="CW36">
        <v>46713.5</v>
      </c>
      <c r="CX36">
        <v>2.6347</v>
      </c>
      <c r="CY36">
        <v>2.1709399999999999</v>
      </c>
      <c r="CZ36">
        <v>0</v>
      </c>
      <c r="DA36">
        <v>0</v>
      </c>
      <c r="DB36">
        <v>999.9</v>
      </c>
      <c r="DC36">
        <v>999.9</v>
      </c>
      <c r="DD36">
        <v>76.23</v>
      </c>
      <c r="DE36">
        <v>23.533999999999999</v>
      </c>
      <c r="DF36">
        <v>22.169599999999999</v>
      </c>
      <c r="DG36">
        <v>30.430099999999999</v>
      </c>
      <c r="DH36">
        <v>17.287700000000001</v>
      </c>
      <c r="DI36">
        <v>2</v>
      </c>
      <c r="DJ36">
        <v>-0.17943100000000001</v>
      </c>
      <c r="DK36">
        <v>1.92578</v>
      </c>
      <c r="DL36">
        <v>20.2194</v>
      </c>
      <c r="DM36">
        <v>5.2523900000000001</v>
      </c>
      <c r="DN36">
        <v>12.033899999999999</v>
      </c>
      <c r="DO36">
        <v>4.9675200000000004</v>
      </c>
      <c r="DP36">
        <v>3.2909999999999999</v>
      </c>
      <c r="DQ36">
        <v>9999</v>
      </c>
      <c r="DR36">
        <v>9999</v>
      </c>
      <c r="DS36">
        <v>534</v>
      </c>
      <c r="DT36">
        <v>9999</v>
      </c>
      <c r="DU36">
        <v>1.8708800000000001</v>
      </c>
      <c r="DV36">
        <v>1.8759999999999999</v>
      </c>
      <c r="DW36">
        <v>1.87618</v>
      </c>
      <c r="DX36">
        <v>1.8827400000000001</v>
      </c>
      <c r="DY36">
        <v>1.8754599999999999</v>
      </c>
      <c r="DZ36">
        <v>1.8745400000000001</v>
      </c>
      <c r="EA36">
        <v>1.8706499999999999</v>
      </c>
      <c r="EB36">
        <v>1.8745400000000001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-1.2050000000000001</v>
      </c>
      <c r="EQ36">
        <v>0.1293</v>
      </c>
      <c r="ER36">
        <v>-1.20520000000005</v>
      </c>
      <c r="ES36">
        <v>0</v>
      </c>
      <c r="ET36">
        <v>0</v>
      </c>
      <c r="EU36">
        <v>0</v>
      </c>
      <c r="EV36">
        <v>0.12931999999999799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1.22925</v>
      </c>
      <c r="FG36">
        <v>2.5476100000000002</v>
      </c>
      <c r="FH36">
        <v>2.19604</v>
      </c>
      <c r="FI36">
        <v>2.66357</v>
      </c>
      <c r="FJ36">
        <v>2.4462899999999999</v>
      </c>
      <c r="FK36">
        <v>2.2753899999999998</v>
      </c>
      <c r="FL36">
        <v>29.091799999999999</v>
      </c>
      <c r="FM36">
        <v>24.157499999999999</v>
      </c>
      <c r="FN36">
        <v>19</v>
      </c>
      <c r="FO36">
        <v>863.29499999999996</v>
      </c>
      <c r="FP36">
        <v>598.84299999999996</v>
      </c>
      <c r="FQ36">
        <v>18.419599999999999</v>
      </c>
      <c r="FR36">
        <v>24.711400000000001</v>
      </c>
      <c r="FS36">
        <v>30.000399999999999</v>
      </c>
      <c r="FT36">
        <v>24.694199999999999</v>
      </c>
      <c r="FU36">
        <v>24.695699999999999</v>
      </c>
      <c r="FV36">
        <v>24.662299999999998</v>
      </c>
      <c r="FW36">
        <v>37.266800000000003</v>
      </c>
      <c r="FX36">
        <v>64.361800000000002</v>
      </c>
      <c r="FY36">
        <v>18.378</v>
      </c>
      <c r="FZ36">
        <v>410</v>
      </c>
      <c r="GA36">
        <v>14.751300000000001</v>
      </c>
      <c r="GB36">
        <v>99.887500000000003</v>
      </c>
      <c r="GC36">
        <v>99.463399999999993</v>
      </c>
    </row>
    <row r="37" spans="1:185" x14ac:dyDescent="0.2">
      <c r="A37">
        <v>22</v>
      </c>
      <c r="B37">
        <v>1769183185</v>
      </c>
      <c r="C37">
        <v>322</v>
      </c>
      <c r="D37" t="s">
        <v>337</v>
      </c>
      <c r="E37" t="s">
        <v>338</v>
      </c>
      <c r="F37">
        <v>15</v>
      </c>
      <c r="G37">
        <v>1769183176.9333301</v>
      </c>
      <c r="H37">
        <f t="shared" si="0"/>
        <v>5.1675354985257689E-4</v>
      </c>
      <c r="I37">
        <v>0</v>
      </c>
      <c r="J37">
        <f t="shared" si="12"/>
        <v>-1.7680532528729634E-3</v>
      </c>
      <c r="K37">
        <f t="shared" si="1"/>
        <v>-4.6304734171591977E-2</v>
      </c>
      <c r="L37">
        <f t="shared" si="2"/>
        <v>70.030964584063611</v>
      </c>
      <c r="M37">
        <f t="shared" si="3"/>
        <v>1.5445109038062264</v>
      </c>
      <c r="N37">
        <f t="shared" si="4"/>
        <v>2.2054685566300174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26245.790035626218</v>
      </c>
      <c r="T37">
        <f t="shared" si="8"/>
        <v>300.00060000000002</v>
      </c>
      <c r="U37">
        <f t="shared" si="9"/>
        <v>252.90056640012114</v>
      </c>
      <c r="V37">
        <f t="shared" si="10"/>
        <v>0.8430002019999997</v>
      </c>
      <c r="W37">
        <f t="shared" si="11"/>
        <v>0.15870063491999997</v>
      </c>
      <c r="X37">
        <v>1</v>
      </c>
      <c r="Y37">
        <v>1769183176.9333301</v>
      </c>
      <c r="Z37">
        <v>409.76206666666701</v>
      </c>
      <c r="AA37">
        <v>409.968866666667</v>
      </c>
      <c r="AB37">
        <v>15.4147933333333</v>
      </c>
      <c r="AC37">
        <v>14.7788133333333</v>
      </c>
      <c r="AD37">
        <v>410.967266666667</v>
      </c>
      <c r="AE37">
        <v>15.28546</v>
      </c>
      <c r="AF37">
        <v>800.00613333333297</v>
      </c>
      <c r="AG37">
        <v>100.13079999999999</v>
      </c>
      <c r="AH37">
        <v>6.5866306666666694E-2</v>
      </c>
      <c r="AI37">
        <v>19.002093333333299</v>
      </c>
      <c r="AJ37">
        <v>999.9</v>
      </c>
      <c r="AK37">
        <v>999.9</v>
      </c>
      <c r="AL37">
        <v>0</v>
      </c>
      <c r="AM37">
        <v>0</v>
      </c>
      <c r="AN37">
        <v>4998.2666666666701</v>
      </c>
      <c r="AO37">
        <v>0</v>
      </c>
      <c r="AP37">
        <v>1.9760899999999999</v>
      </c>
      <c r="AQ37">
        <v>-0.20688266666666699</v>
      </c>
      <c r="AR37">
        <v>416.17739999999998</v>
      </c>
      <c r="AS37">
        <v>416.11886666666697</v>
      </c>
      <c r="AT37">
        <v>0.63598513333333295</v>
      </c>
      <c r="AU37">
        <v>409.968866666667</v>
      </c>
      <c r="AV37">
        <v>14.7788133333333</v>
      </c>
      <c r="AW37">
        <v>1.54349466666667</v>
      </c>
      <c r="AX37">
        <v>1.47981266666667</v>
      </c>
      <c r="AY37">
        <v>13.40596</v>
      </c>
      <c r="AZ37">
        <v>12.76116</v>
      </c>
      <c r="BA37">
        <v>300.00060000000002</v>
      </c>
      <c r="BB37">
        <v>0.89999133333333303</v>
      </c>
      <c r="BC37">
        <v>0</v>
      </c>
      <c r="BD37">
        <v>0.1000086</v>
      </c>
      <c r="BE37">
        <v>0</v>
      </c>
      <c r="BF37">
        <v>24</v>
      </c>
      <c r="BG37">
        <v>4946.6266666666697</v>
      </c>
      <c r="BH37">
        <v>1769182883</v>
      </c>
      <c r="BI37" t="s">
        <v>289</v>
      </c>
      <c r="BJ37">
        <v>1769182883</v>
      </c>
      <c r="BK37">
        <v>1769182883</v>
      </c>
      <c r="BL37">
        <v>1</v>
      </c>
      <c r="BM37">
        <v>-0.45</v>
      </c>
      <c r="BN37">
        <v>3.0000000000000001E-3</v>
      </c>
      <c r="BO37">
        <v>-1.2050000000000001</v>
      </c>
      <c r="BP37">
        <v>0.129</v>
      </c>
      <c r="BQ37">
        <v>410</v>
      </c>
      <c r="BR37">
        <v>15</v>
      </c>
      <c r="BS37">
        <v>0.1</v>
      </c>
      <c r="BT37">
        <v>0.06</v>
      </c>
      <c r="BU37">
        <v>-0.21506019047618999</v>
      </c>
      <c r="BV37">
        <v>0.18574932467532401</v>
      </c>
      <c r="BW37">
        <v>3.1891988627716299E-2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0.63053247619047603</v>
      </c>
      <c r="CD37">
        <v>0.10925322077922101</v>
      </c>
      <c r="CE37">
        <v>1.14812184711714E-2</v>
      </c>
      <c r="CF37">
        <v>0</v>
      </c>
      <c r="CG37">
        <v>1</v>
      </c>
      <c r="CH37">
        <v>2</v>
      </c>
      <c r="CI37" t="s">
        <v>301</v>
      </c>
      <c r="CJ37">
        <v>3.5325299999999999</v>
      </c>
      <c r="CK37">
        <v>2.70364</v>
      </c>
      <c r="CL37">
        <v>9.8204399999999997E-2</v>
      </c>
      <c r="CM37">
        <v>9.6818799999999997E-2</v>
      </c>
      <c r="CN37">
        <v>8.7276400000000004E-2</v>
      </c>
      <c r="CO37">
        <v>8.3792099999999994E-2</v>
      </c>
      <c r="CP37">
        <v>31637</v>
      </c>
      <c r="CQ37">
        <v>27748.400000000001</v>
      </c>
      <c r="CR37">
        <v>32466.799999999999</v>
      </c>
      <c r="CS37">
        <v>30646.7</v>
      </c>
      <c r="CT37">
        <v>40107.599999999999</v>
      </c>
      <c r="CU37">
        <v>39463.4</v>
      </c>
      <c r="CV37">
        <v>47396.7</v>
      </c>
      <c r="CW37">
        <v>46713.4</v>
      </c>
      <c r="CX37">
        <v>2.6345999999999998</v>
      </c>
      <c r="CY37">
        <v>2.1707200000000002</v>
      </c>
      <c r="CZ37">
        <v>0</v>
      </c>
      <c r="DA37">
        <v>0</v>
      </c>
      <c r="DB37">
        <v>999.9</v>
      </c>
      <c r="DC37">
        <v>999.9</v>
      </c>
      <c r="DD37">
        <v>76.174999999999997</v>
      </c>
      <c r="DE37">
        <v>23.555</v>
      </c>
      <c r="DF37">
        <v>22.1812</v>
      </c>
      <c r="DG37">
        <v>30.460100000000001</v>
      </c>
      <c r="DH37">
        <v>17.275600000000001</v>
      </c>
      <c r="DI37">
        <v>2</v>
      </c>
      <c r="DJ37">
        <v>-0.179175</v>
      </c>
      <c r="DK37">
        <v>1.8007299999999999</v>
      </c>
      <c r="DL37">
        <v>20.2211</v>
      </c>
      <c r="DM37">
        <v>5.25143</v>
      </c>
      <c r="DN37">
        <v>12.033899999999999</v>
      </c>
      <c r="DO37">
        <v>4.9673600000000002</v>
      </c>
      <c r="DP37">
        <v>3.2909999999999999</v>
      </c>
      <c r="DQ37">
        <v>9999</v>
      </c>
      <c r="DR37">
        <v>9999</v>
      </c>
      <c r="DS37">
        <v>534.1</v>
      </c>
      <c r="DT37">
        <v>9999</v>
      </c>
      <c r="DU37">
        <v>1.8708800000000001</v>
      </c>
      <c r="DV37">
        <v>1.8759999999999999</v>
      </c>
      <c r="DW37">
        <v>1.8762000000000001</v>
      </c>
      <c r="DX37">
        <v>1.8827400000000001</v>
      </c>
      <c r="DY37">
        <v>1.8754599999999999</v>
      </c>
      <c r="DZ37">
        <v>1.8745400000000001</v>
      </c>
      <c r="EA37">
        <v>1.8706499999999999</v>
      </c>
      <c r="EB37">
        <v>1.8745400000000001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-1.2050000000000001</v>
      </c>
      <c r="EQ37">
        <v>0.1293</v>
      </c>
      <c r="ER37">
        <v>-1.20520000000005</v>
      </c>
      <c r="ES37">
        <v>0</v>
      </c>
      <c r="ET37">
        <v>0</v>
      </c>
      <c r="EU37">
        <v>0</v>
      </c>
      <c r="EV37">
        <v>0.12931999999999799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</v>
      </c>
      <c r="FE37">
        <v>5</v>
      </c>
      <c r="FF37">
        <v>1.22925</v>
      </c>
      <c r="FG37">
        <v>2.5463900000000002</v>
      </c>
      <c r="FH37">
        <v>2.19604</v>
      </c>
      <c r="FI37">
        <v>2.66357</v>
      </c>
      <c r="FJ37">
        <v>2.4462899999999999</v>
      </c>
      <c r="FK37">
        <v>2.2412100000000001</v>
      </c>
      <c r="FL37">
        <v>29.113</v>
      </c>
      <c r="FM37">
        <v>24.148800000000001</v>
      </c>
      <c r="FN37">
        <v>19</v>
      </c>
      <c r="FO37">
        <v>863.27</v>
      </c>
      <c r="FP37">
        <v>598.71299999999997</v>
      </c>
      <c r="FQ37">
        <v>18.366599999999998</v>
      </c>
      <c r="FR37">
        <v>24.715199999999999</v>
      </c>
      <c r="FS37">
        <v>30</v>
      </c>
      <c r="FT37">
        <v>24.6983</v>
      </c>
      <c r="FU37">
        <v>24.6995</v>
      </c>
      <c r="FV37">
        <v>24.664200000000001</v>
      </c>
      <c r="FW37">
        <v>37.266800000000003</v>
      </c>
      <c r="FX37">
        <v>63.988799999999998</v>
      </c>
      <c r="FY37">
        <v>18.371300000000002</v>
      </c>
      <c r="FZ37">
        <v>410</v>
      </c>
      <c r="GA37">
        <v>14.751300000000001</v>
      </c>
      <c r="GB37">
        <v>99.8874</v>
      </c>
      <c r="GC37">
        <v>99.462999999999994</v>
      </c>
    </row>
    <row r="38" spans="1:185" x14ac:dyDescent="0.2">
      <c r="A38">
        <v>23</v>
      </c>
      <c r="B38">
        <v>1769183200</v>
      </c>
      <c r="C38">
        <v>337</v>
      </c>
      <c r="D38" t="s">
        <v>339</v>
      </c>
      <c r="E38" t="s">
        <v>340</v>
      </c>
      <c r="F38">
        <v>15</v>
      </c>
      <c r="G38">
        <v>1769183191.9333301</v>
      </c>
      <c r="H38">
        <f t="shared" si="0"/>
        <v>5.3220954771482354E-4</v>
      </c>
      <c r="I38">
        <v>0</v>
      </c>
      <c r="J38">
        <f t="shared" si="12"/>
        <v>-7.0608178880275977E-4</v>
      </c>
      <c r="K38">
        <f t="shared" si="1"/>
        <v>-1.8492050214430452E-2</v>
      </c>
      <c r="L38">
        <f t="shared" si="2"/>
        <v>70.114413484806477</v>
      </c>
      <c r="M38">
        <f t="shared" si="3"/>
        <v>1.5461191267612944</v>
      </c>
      <c r="N38">
        <f t="shared" si="4"/>
        <v>2.2051373603750282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26278.297390129392</v>
      </c>
      <c r="T38">
        <f t="shared" si="8"/>
        <v>300.00119999999998</v>
      </c>
      <c r="U38">
        <f t="shared" si="9"/>
        <v>252.90116640061916</v>
      </c>
      <c r="V38">
        <f t="shared" si="10"/>
        <v>0.84300051599999992</v>
      </c>
      <c r="W38">
        <f t="shared" si="11"/>
        <v>0.15870128999999999</v>
      </c>
      <c r="X38">
        <v>1</v>
      </c>
      <c r="Y38">
        <v>1769183191.9333301</v>
      </c>
      <c r="Z38">
        <v>409.737666666667</v>
      </c>
      <c r="AA38">
        <v>409.98713333333302</v>
      </c>
      <c r="AB38">
        <v>15.430913333333301</v>
      </c>
      <c r="AC38">
        <v>14.775919999999999</v>
      </c>
      <c r="AD38">
        <v>410.94293333333297</v>
      </c>
      <c r="AE38">
        <v>15.301586666666701</v>
      </c>
      <c r="AF38">
        <v>800.00366666666696</v>
      </c>
      <c r="AG38">
        <v>100.130466666667</v>
      </c>
      <c r="AH38">
        <v>6.5749420000000003E-2</v>
      </c>
      <c r="AI38">
        <v>18.999686666666701</v>
      </c>
      <c r="AJ38">
        <v>999.9</v>
      </c>
      <c r="AK38">
        <v>999.9</v>
      </c>
      <c r="AL38">
        <v>0</v>
      </c>
      <c r="AM38">
        <v>0</v>
      </c>
      <c r="AN38">
        <v>5003.6000000000004</v>
      </c>
      <c r="AO38">
        <v>0</v>
      </c>
      <c r="AP38">
        <v>1.9760899999999999</v>
      </c>
      <c r="AQ38">
        <v>-0.24942639999999999</v>
      </c>
      <c r="AR38">
        <v>416.159333333333</v>
      </c>
      <c r="AS38">
        <v>416.13593333333301</v>
      </c>
      <c r="AT38">
        <v>0.65498373333333304</v>
      </c>
      <c r="AU38">
        <v>409.98713333333302</v>
      </c>
      <c r="AV38">
        <v>14.775919999999999</v>
      </c>
      <c r="AW38">
        <v>1.5451046666666699</v>
      </c>
      <c r="AX38">
        <v>1.47951866666667</v>
      </c>
      <c r="AY38">
        <v>13.421953333333301</v>
      </c>
      <c r="AZ38">
        <v>12.758139999999999</v>
      </c>
      <c r="BA38">
        <v>300.00119999999998</v>
      </c>
      <c r="BB38">
        <v>0.89998279999999997</v>
      </c>
      <c r="BC38">
        <v>0</v>
      </c>
      <c r="BD38">
        <v>0.1000172</v>
      </c>
      <c r="BE38">
        <v>0</v>
      </c>
      <c r="BF38">
        <v>24</v>
      </c>
      <c r="BG38">
        <v>4946.6293333333297</v>
      </c>
      <c r="BH38">
        <v>1769182883</v>
      </c>
      <c r="BI38" t="s">
        <v>289</v>
      </c>
      <c r="BJ38">
        <v>1769182883</v>
      </c>
      <c r="BK38">
        <v>1769182883</v>
      </c>
      <c r="BL38">
        <v>1</v>
      </c>
      <c r="BM38">
        <v>-0.45</v>
      </c>
      <c r="BN38">
        <v>3.0000000000000001E-3</v>
      </c>
      <c r="BO38">
        <v>-1.2050000000000001</v>
      </c>
      <c r="BP38">
        <v>0.129</v>
      </c>
      <c r="BQ38">
        <v>410</v>
      </c>
      <c r="BR38">
        <v>15</v>
      </c>
      <c r="BS38">
        <v>0.1</v>
      </c>
      <c r="BT38">
        <v>0.06</v>
      </c>
      <c r="BU38">
        <v>-0.2353364</v>
      </c>
      <c r="BV38">
        <v>-0.33156974436090197</v>
      </c>
      <c r="BW38">
        <v>3.6465308684282403E-2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0.65267339999999996</v>
      </c>
      <c r="CD38">
        <v>6.6941142857144406E-2</v>
      </c>
      <c r="CE38">
        <v>6.8499657108630702E-3</v>
      </c>
      <c r="CF38">
        <v>1</v>
      </c>
      <c r="CG38">
        <v>2</v>
      </c>
      <c r="CH38">
        <v>2</v>
      </c>
      <c r="CI38" t="s">
        <v>310</v>
      </c>
      <c r="CJ38">
        <v>3.5325700000000002</v>
      </c>
      <c r="CK38">
        <v>2.7035300000000002</v>
      </c>
      <c r="CL38">
        <v>9.8194699999999996E-2</v>
      </c>
      <c r="CM38">
        <v>9.6814800000000006E-2</v>
      </c>
      <c r="CN38">
        <v>8.7311299999999994E-2</v>
      </c>
      <c r="CO38">
        <v>8.3769700000000002E-2</v>
      </c>
      <c r="CP38">
        <v>31637.9</v>
      </c>
      <c r="CQ38">
        <v>27749.200000000001</v>
      </c>
      <c r="CR38">
        <v>32467.3</v>
      </c>
      <c r="CS38">
        <v>30647.5</v>
      </c>
      <c r="CT38">
        <v>40106.9</v>
      </c>
      <c r="CU38">
        <v>39465.599999999999</v>
      </c>
      <c r="CV38">
        <v>47397.7</v>
      </c>
      <c r="CW38">
        <v>46714.8</v>
      </c>
      <c r="CX38">
        <v>2.6345999999999998</v>
      </c>
      <c r="CY38">
        <v>2.17056</v>
      </c>
      <c r="CZ38">
        <v>0</v>
      </c>
      <c r="DA38">
        <v>0</v>
      </c>
      <c r="DB38">
        <v>999.9</v>
      </c>
      <c r="DC38">
        <v>999.9</v>
      </c>
      <c r="DD38">
        <v>76.076999999999998</v>
      </c>
      <c r="DE38">
        <v>23.574999999999999</v>
      </c>
      <c r="DF38">
        <v>22.182300000000001</v>
      </c>
      <c r="DG38">
        <v>30.490100000000002</v>
      </c>
      <c r="DH38">
        <v>17.2316</v>
      </c>
      <c r="DI38">
        <v>2</v>
      </c>
      <c r="DJ38">
        <v>-0.179146</v>
      </c>
      <c r="DK38">
        <v>1.77894</v>
      </c>
      <c r="DL38">
        <v>20.2212</v>
      </c>
      <c r="DM38">
        <v>5.25143</v>
      </c>
      <c r="DN38">
        <v>12.033899999999999</v>
      </c>
      <c r="DO38">
        <v>4.9672400000000003</v>
      </c>
      <c r="DP38">
        <v>3.2909999999999999</v>
      </c>
      <c r="DQ38">
        <v>9999</v>
      </c>
      <c r="DR38">
        <v>9999</v>
      </c>
      <c r="DS38">
        <v>534.1</v>
      </c>
      <c r="DT38">
        <v>9999</v>
      </c>
      <c r="DU38">
        <v>1.8709</v>
      </c>
      <c r="DV38">
        <v>1.87605</v>
      </c>
      <c r="DW38">
        <v>1.87622</v>
      </c>
      <c r="DX38">
        <v>1.88276</v>
      </c>
      <c r="DY38">
        <v>1.87547</v>
      </c>
      <c r="DZ38">
        <v>1.8745400000000001</v>
      </c>
      <c r="EA38">
        <v>1.87069</v>
      </c>
      <c r="EB38">
        <v>1.8745700000000001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-1.2050000000000001</v>
      </c>
      <c r="EQ38">
        <v>0.1293</v>
      </c>
      <c r="ER38">
        <v>-1.20520000000005</v>
      </c>
      <c r="ES38">
        <v>0</v>
      </c>
      <c r="ET38">
        <v>0</v>
      </c>
      <c r="EU38">
        <v>0</v>
      </c>
      <c r="EV38">
        <v>0.12931999999999799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1.22925</v>
      </c>
      <c r="FG38">
        <v>2.5439500000000002</v>
      </c>
      <c r="FH38">
        <v>2.19604</v>
      </c>
      <c r="FI38">
        <v>2.66357</v>
      </c>
      <c r="FJ38">
        <v>2.4462899999999999</v>
      </c>
      <c r="FK38">
        <v>2.3156699999999999</v>
      </c>
      <c r="FL38">
        <v>29.113</v>
      </c>
      <c r="FM38">
        <v>24.157499999999999</v>
      </c>
      <c r="FN38">
        <v>19</v>
      </c>
      <c r="FO38">
        <v>863.33799999999997</v>
      </c>
      <c r="FP38">
        <v>598.63599999999997</v>
      </c>
      <c r="FQ38">
        <v>18.372499999999999</v>
      </c>
      <c r="FR38">
        <v>24.717700000000001</v>
      </c>
      <c r="FS38">
        <v>30.0001</v>
      </c>
      <c r="FT38">
        <v>24.702500000000001</v>
      </c>
      <c r="FU38">
        <v>24.703600000000002</v>
      </c>
      <c r="FV38">
        <v>24.667000000000002</v>
      </c>
      <c r="FW38">
        <v>37.266800000000003</v>
      </c>
      <c r="FX38">
        <v>63.228099999999998</v>
      </c>
      <c r="FY38">
        <v>18.3736</v>
      </c>
      <c r="FZ38">
        <v>410</v>
      </c>
      <c r="GA38">
        <v>14.751300000000001</v>
      </c>
      <c r="GB38">
        <v>99.889200000000002</v>
      </c>
      <c r="GC38">
        <v>99.465800000000002</v>
      </c>
    </row>
    <row r="39" spans="1:185" x14ac:dyDescent="0.2">
      <c r="A39">
        <v>24</v>
      </c>
      <c r="B39">
        <v>1769183215</v>
      </c>
      <c r="C39">
        <v>352</v>
      </c>
      <c r="D39" t="s">
        <v>341</v>
      </c>
      <c r="E39" t="s">
        <v>342</v>
      </c>
      <c r="F39">
        <v>15</v>
      </c>
      <c r="G39">
        <v>1769183206.9333301</v>
      </c>
      <c r="H39">
        <f t="shared" si="0"/>
        <v>5.3930686435314117E-4</v>
      </c>
      <c r="I39">
        <v>0</v>
      </c>
      <c r="J39">
        <f t="shared" si="12"/>
        <v>-1.6258607447989044E-3</v>
      </c>
      <c r="K39">
        <f t="shared" si="1"/>
        <v>-4.2580759072503534E-2</v>
      </c>
      <c r="L39">
        <f t="shared" si="2"/>
        <v>70.123081208459425</v>
      </c>
      <c r="M39">
        <f t="shared" si="3"/>
        <v>1.546179034543343</v>
      </c>
      <c r="N39">
        <f t="shared" si="4"/>
        <v>2.2049502216637009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26224.360449384538</v>
      </c>
      <c r="T39">
        <f t="shared" si="8"/>
        <v>300.001933333333</v>
      </c>
      <c r="U39">
        <f t="shared" si="9"/>
        <v>252.90184220136854</v>
      </c>
      <c r="V39">
        <f t="shared" si="10"/>
        <v>0.84300070800000004</v>
      </c>
      <c r="W39">
        <f t="shared" si="11"/>
        <v>0.15870176999999999</v>
      </c>
      <c r="X39">
        <v>1</v>
      </c>
      <c r="Y39">
        <v>1769183206.9333301</v>
      </c>
      <c r="Z39">
        <v>409.75153333333299</v>
      </c>
      <c r="AA39">
        <v>409.974533333333</v>
      </c>
      <c r="AB39">
        <v>15.43164</v>
      </c>
      <c r="AC39">
        <v>14.767913333333301</v>
      </c>
      <c r="AD39">
        <v>410.95666666666699</v>
      </c>
      <c r="AE39">
        <v>15.302326666666699</v>
      </c>
      <c r="AF39">
        <v>800.00473333333298</v>
      </c>
      <c r="AG39">
        <v>100.1296</v>
      </c>
      <c r="AH39">
        <v>6.5780046666666703E-2</v>
      </c>
      <c r="AI39">
        <v>18.998326666666699</v>
      </c>
      <c r="AJ39">
        <v>999.9</v>
      </c>
      <c r="AK39">
        <v>999.9</v>
      </c>
      <c r="AL39">
        <v>0</v>
      </c>
      <c r="AM39">
        <v>0</v>
      </c>
      <c r="AN39">
        <v>4994.7333333333299</v>
      </c>
      <c r="AO39">
        <v>0</v>
      </c>
      <c r="AP39">
        <v>1.9760899999999999</v>
      </c>
      <c r="AQ39">
        <v>-0.22295139999999999</v>
      </c>
      <c r="AR39">
        <v>416.17380000000003</v>
      </c>
      <c r="AS39">
        <v>416.11973333333299</v>
      </c>
      <c r="AT39">
        <v>0.66372880000000001</v>
      </c>
      <c r="AU39">
        <v>409.974533333333</v>
      </c>
      <c r="AV39">
        <v>14.767913333333301</v>
      </c>
      <c r="AW39">
        <v>1.5451619999999999</v>
      </c>
      <c r="AX39">
        <v>1.478704</v>
      </c>
      <c r="AY39">
        <v>13.4225333333333</v>
      </c>
      <c r="AZ39">
        <v>12.7497133333333</v>
      </c>
      <c r="BA39">
        <v>300.001933333333</v>
      </c>
      <c r="BB39">
        <v>0.89997640000000001</v>
      </c>
      <c r="BC39">
        <v>0</v>
      </c>
      <c r="BD39">
        <v>0.1000236</v>
      </c>
      <c r="BE39">
        <v>0</v>
      </c>
      <c r="BF39">
        <v>24</v>
      </c>
      <c r="BG39">
        <v>4946.6293333333297</v>
      </c>
      <c r="BH39">
        <v>1769182883</v>
      </c>
      <c r="BI39" t="s">
        <v>289</v>
      </c>
      <c r="BJ39">
        <v>1769182883</v>
      </c>
      <c r="BK39">
        <v>1769182883</v>
      </c>
      <c r="BL39">
        <v>1</v>
      </c>
      <c r="BM39">
        <v>-0.45</v>
      </c>
      <c r="BN39">
        <v>3.0000000000000001E-3</v>
      </c>
      <c r="BO39">
        <v>-1.2050000000000001</v>
      </c>
      <c r="BP39">
        <v>0.129</v>
      </c>
      <c r="BQ39">
        <v>410</v>
      </c>
      <c r="BR39">
        <v>15</v>
      </c>
      <c r="BS39">
        <v>0.1</v>
      </c>
      <c r="BT39">
        <v>0.06</v>
      </c>
      <c r="BU39">
        <v>-0.239080666666667</v>
      </c>
      <c r="BV39">
        <v>0.19245771428571401</v>
      </c>
      <c r="BW39">
        <v>3.2379903335738099E-2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0.66318876190476195</v>
      </c>
      <c r="CD39">
        <v>1.37216103896124E-2</v>
      </c>
      <c r="CE39">
        <v>1.7084648610392701E-3</v>
      </c>
      <c r="CF39">
        <v>1</v>
      </c>
      <c r="CG39">
        <v>2</v>
      </c>
      <c r="CH39">
        <v>2</v>
      </c>
      <c r="CI39" t="s">
        <v>310</v>
      </c>
      <c r="CJ39">
        <v>3.5324499999999999</v>
      </c>
      <c r="CK39">
        <v>2.7036600000000002</v>
      </c>
      <c r="CL39">
        <v>9.81992E-2</v>
      </c>
      <c r="CM39">
        <v>9.6812300000000004E-2</v>
      </c>
      <c r="CN39">
        <v>8.7302299999999999E-2</v>
      </c>
      <c r="CO39">
        <v>8.37233E-2</v>
      </c>
      <c r="CP39">
        <v>31638.400000000001</v>
      </c>
      <c r="CQ39">
        <v>27749.599999999999</v>
      </c>
      <c r="CR39">
        <v>32468</v>
      </c>
      <c r="CS39">
        <v>30647.8</v>
      </c>
      <c r="CT39">
        <v>40108.199999999997</v>
      </c>
      <c r="CU39">
        <v>39467.9</v>
      </c>
      <c r="CV39">
        <v>47398.7</v>
      </c>
      <c r="CW39">
        <v>46715.199999999997</v>
      </c>
      <c r="CX39">
        <v>2.63462</v>
      </c>
      <c r="CY39">
        <v>2.17008</v>
      </c>
      <c r="CZ39">
        <v>0</v>
      </c>
      <c r="DA39">
        <v>0</v>
      </c>
      <c r="DB39">
        <v>999.9</v>
      </c>
      <c r="DC39">
        <v>999.9</v>
      </c>
      <c r="DD39">
        <v>75.986000000000004</v>
      </c>
      <c r="DE39">
        <v>23.605</v>
      </c>
      <c r="DF39">
        <v>22.1953</v>
      </c>
      <c r="DG39">
        <v>30.400099999999998</v>
      </c>
      <c r="DH39">
        <v>17.319700000000001</v>
      </c>
      <c r="DI39">
        <v>2</v>
      </c>
      <c r="DJ39">
        <v>-0.17890200000000001</v>
      </c>
      <c r="DK39">
        <v>1.7815300000000001</v>
      </c>
      <c r="DL39">
        <v>20.221299999999999</v>
      </c>
      <c r="DM39">
        <v>5.2516699999999998</v>
      </c>
      <c r="DN39">
        <v>12.033899999999999</v>
      </c>
      <c r="DO39">
        <v>4.9676</v>
      </c>
      <c r="DP39">
        <v>3.2909999999999999</v>
      </c>
      <c r="DQ39">
        <v>9999</v>
      </c>
      <c r="DR39">
        <v>9999</v>
      </c>
      <c r="DS39">
        <v>534.1</v>
      </c>
      <c r="DT39">
        <v>9999</v>
      </c>
      <c r="DU39">
        <v>1.8708899999999999</v>
      </c>
      <c r="DV39">
        <v>1.87599</v>
      </c>
      <c r="DW39">
        <v>1.87622</v>
      </c>
      <c r="DX39">
        <v>1.8827499999999999</v>
      </c>
      <c r="DY39">
        <v>1.8754599999999999</v>
      </c>
      <c r="DZ39">
        <v>1.8745400000000001</v>
      </c>
      <c r="EA39">
        <v>1.8707100000000001</v>
      </c>
      <c r="EB39">
        <v>1.8745499999999999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-1.2050000000000001</v>
      </c>
      <c r="EQ39">
        <v>0.1293</v>
      </c>
      <c r="ER39">
        <v>-1.20520000000005</v>
      </c>
      <c r="ES39">
        <v>0</v>
      </c>
      <c r="ET39">
        <v>0</v>
      </c>
      <c r="EU39">
        <v>0</v>
      </c>
      <c r="EV39">
        <v>0.12931999999999799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5.5</v>
      </c>
      <c r="FE39">
        <v>5.5</v>
      </c>
      <c r="FF39">
        <v>1.22925</v>
      </c>
      <c r="FG39">
        <v>2.5451700000000002</v>
      </c>
      <c r="FH39">
        <v>2.19604</v>
      </c>
      <c r="FI39">
        <v>2.66357</v>
      </c>
      <c r="FJ39">
        <v>2.4462899999999999</v>
      </c>
      <c r="FK39">
        <v>2.3010299999999999</v>
      </c>
      <c r="FL39">
        <v>29.1554</v>
      </c>
      <c r="FM39">
        <v>24.1663</v>
      </c>
      <c r="FN39">
        <v>19</v>
      </c>
      <c r="FO39">
        <v>863.423</v>
      </c>
      <c r="FP39">
        <v>598.30200000000002</v>
      </c>
      <c r="FQ39">
        <v>18.375399999999999</v>
      </c>
      <c r="FR39">
        <v>24.721800000000002</v>
      </c>
      <c r="FS39">
        <v>30.0002</v>
      </c>
      <c r="FT39">
        <v>24.706600000000002</v>
      </c>
      <c r="FU39">
        <v>24.7073</v>
      </c>
      <c r="FV39">
        <v>24.6706</v>
      </c>
      <c r="FW39">
        <v>37.266800000000003</v>
      </c>
      <c r="FX39">
        <v>62.857199999999999</v>
      </c>
      <c r="FY39">
        <v>18.376100000000001</v>
      </c>
      <c r="FZ39">
        <v>410</v>
      </c>
      <c r="GA39">
        <v>14.751300000000001</v>
      </c>
      <c r="GB39">
        <v>99.891400000000004</v>
      </c>
      <c r="GC39">
        <v>99.466700000000003</v>
      </c>
    </row>
    <row r="40" spans="1:185" x14ac:dyDescent="0.2">
      <c r="A40">
        <v>25</v>
      </c>
      <c r="B40">
        <v>1769183230</v>
      </c>
      <c r="C40">
        <v>367</v>
      </c>
      <c r="D40" t="s">
        <v>343</v>
      </c>
      <c r="E40" t="s">
        <v>344</v>
      </c>
      <c r="F40">
        <v>15</v>
      </c>
      <c r="G40">
        <v>1769183221.9333301</v>
      </c>
      <c r="H40">
        <f t="shared" si="0"/>
        <v>5.4512918151842767E-4</v>
      </c>
      <c r="I40">
        <v>0</v>
      </c>
      <c r="J40">
        <f t="shared" si="12"/>
        <v>-1.3910132912677447E-3</v>
      </c>
      <c r="K40">
        <f t="shared" si="1"/>
        <v>-3.6430181374142202E-2</v>
      </c>
      <c r="L40">
        <f t="shared" si="2"/>
        <v>70.124128074014294</v>
      </c>
      <c r="M40">
        <f t="shared" si="3"/>
        <v>1.5460889077407913</v>
      </c>
      <c r="N40">
        <f t="shared" si="4"/>
        <v>2.2047887798461216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26261.952033457277</v>
      </c>
      <c r="T40">
        <f t="shared" si="8"/>
        <v>300.00020000000001</v>
      </c>
      <c r="U40">
        <f t="shared" si="9"/>
        <v>252.90044220018243</v>
      </c>
      <c r="V40">
        <f t="shared" si="10"/>
        <v>0.84300091200000005</v>
      </c>
      <c r="W40">
        <f t="shared" si="11"/>
        <v>0.15870228</v>
      </c>
      <c r="X40">
        <v>1</v>
      </c>
      <c r="Y40">
        <v>1769183221.9333301</v>
      </c>
      <c r="Z40">
        <v>409.74933333333303</v>
      </c>
      <c r="AA40">
        <v>409.983</v>
      </c>
      <c r="AB40">
        <v>15.4308333333333</v>
      </c>
      <c r="AC40">
        <v>14.7599466666667</v>
      </c>
      <c r="AD40">
        <v>410.95446666666697</v>
      </c>
      <c r="AE40">
        <v>15.30152</v>
      </c>
      <c r="AF40">
        <v>800.01199999999994</v>
      </c>
      <c r="AG40">
        <v>100.129</v>
      </c>
      <c r="AH40">
        <v>6.5777193333333303E-2</v>
      </c>
      <c r="AI40">
        <v>18.997153333333301</v>
      </c>
      <c r="AJ40">
        <v>999.9</v>
      </c>
      <c r="AK40">
        <v>999.9</v>
      </c>
      <c r="AL40">
        <v>0</v>
      </c>
      <c r="AM40">
        <v>0</v>
      </c>
      <c r="AN40">
        <v>5000.9333333333298</v>
      </c>
      <c r="AO40">
        <v>0</v>
      </c>
      <c r="AP40">
        <v>1.9760899999999999</v>
      </c>
      <c r="AQ40">
        <v>-0.23369946666666699</v>
      </c>
      <c r="AR40">
        <v>416.17146666666702</v>
      </c>
      <c r="AS40">
        <v>416.12506666666701</v>
      </c>
      <c r="AT40">
        <v>0.67091073333333295</v>
      </c>
      <c r="AU40">
        <v>409.983</v>
      </c>
      <c r="AV40">
        <v>14.7599466666667</v>
      </c>
      <c r="AW40">
        <v>1.5450746666666699</v>
      </c>
      <c r="AX40">
        <v>1.4778973333333301</v>
      </c>
      <c r="AY40">
        <v>13.4216466666667</v>
      </c>
      <c r="AZ40">
        <v>12.741386666666701</v>
      </c>
      <c r="BA40">
        <v>300.00020000000001</v>
      </c>
      <c r="BB40">
        <v>0.89996960000000004</v>
      </c>
      <c r="BC40">
        <v>0</v>
      </c>
      <c r="BD40">
        <v>0.10003040000000001</v>
      </c>
      <c r="BE40">
        <v>0</v>
      </c>
      <c r="BF40">
        <v>24</v>
      </c>
      <c r="BG40">
        <v>4946.5940000000001</v>
      </c>
      <c r="BH40">
        <v>1769182883</v>
      </c>
      <c r="BI40" t="s">
        <v>289</v>
      </c>
      <c r="BJ40">
        <v>1769182883</v>
      </c>
      <c r="BK40">
        <v>1769182883</v>
      </c>
      <c r="BL40">
        <v>1</v>
      </c>
      <c r="BM40">
        <v>-0.45</v>
      </c>
      <c r="BN40">
        <v>3.0000000000000001E-3</v>
      </c>
      <c r="BO40">
        <v>-1.2050000000000001</v>
      </c>
      <c r="BP40">
        <v>0.129</v>
      </c>
      <c r="BQ40">
        <v>410</v>
      </c>
      <c r="BR40">
        <v>15</v>
      </c>
      <c r="BS40">
        <v>0.1</v>
      </c>
      <c r="BT40">
        <v>0.06</v>
      </c>
      <c r="BU40">
        <v>-0.23057554999999999</v>
      </c>
      <c r="BV40">
        <v>-1.52671127819547E-2</v>
      </c>
      <c r="BW40">
        <v>1.8883191423790101E-2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0.66953625000000005</v>
      </c>
      <c r="CD40">
        <v>2.2325639097745299E-2</v>
      </c>
      <c r="CE40">
        <v>3.3578617135760699E-3</v>
      </c>
      <c r="CF40">
        <v>1</v>
      </c>
      <c r="CG40">
        <v>2</v>
      </c>
      <c r="CH40">
        <v>2</v>
      </c>
      <c r="CI40" t="s">
        <v>310</v>
      </c>
      <c r="CJ40">
        <v>3.5324900000000001</v>
      </c>
      <c r="CK40">
        <v>2.7035300000000002</v>
      </c>
      <c r="CL40">
        <v>9.8195299999999999E-2</v>
      </c>
      <c r="CM40">
        <v>9.6813399999999994E-2</v>
      </c>
      <c r="CN40">
        <v>8.7288299999999999E-2</v>
      </c>
      <c r="CO40">
        <v>8.3695099999999995E-2</v>
      </c>
      <c r="CP40">
        <v>31638.6</v>
      </c>
      <c r="CQ40">
        <v>27750</v>
      </c>
      <c r="CR40">
        <v>32468.1</v>
      </c>
      <c r="CS40">
        <v>30648.3</v>
      </c>
      <c r="CT40">
        <v>40109.1</v>
      </c>
      <c r="CU40">
        <v>39470.199999999997</v>
      </c>
      <c r="CV40">
        <v>47399.1</v>
      </c>
      <c r="CW40">
        <v>46716.4</v>
      </c>
      <c r="CX40">
        <v>2.6344799999999999</v>
      </c>
      <c r="CY40">
        <v>2.1698</v>
      </c>
      <c r="CZ40">
        <v>0</v>
      </c>
      <c r="DA40">
        <v>0</v>
      </c>
      <c r="DB40">
        <v>999.9</v>
      </c>
      <c r="DC40">
        <v>999.9</v>
      </c>
      <c r="DD40">
        <v>75.888000000000005</v>
      </c>
      <c r="DE40">
        <v>23.614999999999998</v>
      </c>
      <c r="DF40">
        <v>22.1815</v>
      </c>
      <c r="DG40">
        <v>30.520099999999999</v>
      </c>
      <c r="DH40">
        <v>17.363800000000001</v>
      </c>
      <c r="DI40">
        <v>2</v>
      </c>
      <c r="DJ40">
        <v>-0.178618</v>
      </c>
      <c r="DK40">
        <v>1.7755700000000001</v>
      </c>
      <c r="DL40">
        <v>20.221299999999999</v>
      </c>
      <c r="DM40">
        <v>5.2522700000000002</v>
      </c>
      <c r="DN40">
        <v>12.033899999999999</v>
      </c>
      <c r="DO40">
        <v>4.9673999999999996</v>
      </c>
      <c r="DP40">
        <v>3.2909999999999999</v>
      </c>
      <c r="DQ40">
        <v>9999</v>
      </c>
      <c r="DR40">
        <v>9999</v>
      </c>
      <c r="DS40">
        <v>534.1</v>
      </c>
      <c r="DT40">
        <v>9999</v>
      </c>
      <c r="DU40">
        <v>1.8709</v>
      </c>
      <c r="DV40">
        <v>1.87599</v>
      </c>
      <c r="DW40">
        <v>1.8762000000000001</v>
      </c>
      <c r="DX40">
        <v>1.88273</v>
      </c>
      <c r="DY40">
        <v>1.87547</v>
      </c>
      <c r="DZ40">
        <v>1.8745400000000001</v>
      </c>
      <c r="EA40">
        <v>1.8706799999999999</v>
      </c>
      <c r="EB40">
        <v>1.8745400000000001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-1.2050000000000001</v>
      </c>
      <c r="EQ40">
        <v>0.1293</v>
      </c>
      <c r="ER40">
        <v>-1.20520000000005</v>
      </c>
      <c r="ES40">
        <v>0</v>
      </c>
      <c r="ET40">
        <v>0</v>
      </c>
      <c r="EU40">
        <v>0</v>
      </c>
      <c r="EV40">
        <v>0.12931999999999799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1.22925</v>
      </c>
      <c r="FG40">
        <v>2.5463900000000002</v>
      </c>
      <c r="FH40">
        <v>2.19604</v>
      </c>
      <c r="FI40">
        <v>2.66357</v>
      </c>
      <c r="FJ40">
        <v>2.4462899999999999</v>
      </c>
      <c r="FK40">
        <v>2.2985799999999998</v>
      </c>
      <c r="FL40">
        <v>29.1554</v>
      </c>
      <c r="FM40">
        <v>24.157499999999999</v>
      </c>
      <c r="FN40">
        <v>19</v>
      </c>
      <c r="FO40">
        <v>863.36099999999999</v>
      </c>
      <c r="FP40">
        <v>598.13</v>
      </c>
      <c r="FQ40">
        <v>18.3812</v>
      </c>
      <c r="FR40">
        <v>24.724399999999999</v>
      </c>
      <c r="FS40">
        <v>30.0002</v>
      </c>
      <c r="FT40">
        <v>24.710699999999999</v>
      </c>
      <c r="FU40">
        <v>24.711500000000001</v>
      </c>
      <c r="FV40">
        <v>24.672000000000001</v>
      </c>
      <c r="FW40">
        <v>37.266800000000003</v>
      </c>
      <c r="FX40">
        <v>62.4801</v>
      </c>
      <c r="FY40">
        <v>18.381900000000002</v>
      </c>
      <c r="FZ40">
        <v>410</v>
      </c>
      <c r="GA40">
        <v>14.751300000000001</v>
      </c>
      <c r="GB40">
        <v>99.891900000000007</v>
      </c>
      <c r="GC40">
        <v>99.468900000000005</v>
      </c>
    </row>
    <row r="41" spans="1:185" x14ac:dyDescent="0.2">
      <c r="A41">
        <v>26</v>
      </c>
      <c r="B41">
        <v>1769183245</v>
      </c>
      <c r="C41">
        <v>382</v>
      </c>
      <c r="D41" t="s">
        <v>345</v>
      </c>
      <c r="E41" t="s">
        <v>346</v>
      </c>
      <c r="F41">
        <v>15</v>
      </c>
      <c r="G41">
        <v>1769183236.9333301</v>
      </c>
      <c r="H41">
        <f t="shared" si="0"/>
        <v>5.4393159587745024E-4</v>
      </c>
      <c r="I41">
        <v>0</v>
      </c>
      <c r="J41">
        <f t="shared" si="12"/>
        <v>-9.8108464719236406E-4</v>
      </c>
      <c r="K41">
        <f t="shared" si="1"/>
        <v>-2.569428478144184E-2</v>
      </c>
      <c r="L41">
        <f t="shared" si="2"/>
        <v>70.094855810994872</v>
      </c>
      <c r="M41">
        <f t="shared" si="3"/>
        <v>1.5454139408287733</v>
      </c>
      <c r="N41">
        <f t="shared" si="4"/>
        <v>2.2047465865339069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26264.093201352956</v>
      </c>
      <c r="T41">
        <f t="shared" si="8"/>
        <v>299.999866666667</v>
      </c>
      <c r="U41">
        <f t="shared" si="9"/>
        <v>252.90012819989343</v>
      </c>
      <c r="V41">
        <f t="shared" si="10"/>
        <v>0.84300080200000027</v>
      </c>
      <c r="W41">
        <f t="shared" si="11"/>
        <v>0.15870187508000008</v>
      </c>
      <c r="X41">
        <v>1</v>
      </c>
      <c r="Y41">
        <v>1769183236.9333301</v>
      </c>
      <c r="Z41">
        <v>409.73860000000002</v>
      </c>
      <c r="AA41">
        <v>409.98506666666702</v>
      </c>
      <c r="AB41">
        <v>15.4242733333333</v>
      </c>
      <c r="AC41">
        <v>14.754853333333299</v>
      </c>
      <c r="AD41">
        <v>410.94386666666702</v>
      </c>
      <c r="AE41">
        <v>15.294966666666699</v>
      </c>
      <c r="AF41">
        <v>800.008733333333</v>
      </c>
      <c r="AG41">
        <v>100.12779999999999</v>
      </c>
      <c r="AH41">
        <v>6.58303533333333E-2</v>
      </c>
      <c r="AI41">
        <v>18.996846666666698</v>
      </c>
      <c r="AJ41">
        <v>999.9</v>
      </c>
      <c r="AK41">
        <v>999.9</v>
      </c>
      <c r="AL41">
        <v>0</v>
      </c>
      <c r="AM41">
        <v>0</v>
      </c>
      <c r="AN41">
        <v>5001.3333333333303</v>
      </c>
      <c r="AO41">
        <v>0</v>
      </c>
      <c r="AP41">
        <v>1.9760899999999999</v>
      </c>
      <c r="AQ41">
        <v>-0.2465984</v>
      </c>
      <c r="AR41">
        <v>416.15753333333299</v>
      </c>
      <c r="AS41">
        <v>416.125133333333</v>
      </c>
      <c r="AT41">
        <v>0.66943233333333296</v>
      </c>
      <c r="AU41">
        <v>409.98506666666702</v>
      </c>
      <c r="AV41">
        <v>14.754853333333299</v>
      </c>
      <c r="AW41">
        <v>1.54439866666667</v>
      </c>
      <c r="AX41">
        <v>1.47736933333333</v>
      </c>
      <c r="AY41">
        <v>13.41494</v>
      </c>
      <c r="AZ41">
        <v>12.735953333333301</v>
      </c>
      <c r="BA41">
        <v>299.999866666667</v>
      </c>
      <c r="BB41">
        <v>0.89997519999999998</v>
      </c>
      <c r="BC41">
        <v>0</v>
      </c>
      <c r="BD41">
        <v>0.100024866666667</v>
      </c>
      <c r="BE41">
        <v>0</v>
      </c>
      <c r="BF41">
        <v>24</v>
      </c>
      <c r="BG41">
        <v>4946.5959999999995</v>
      </c>
      <c r="BH41">
        <v>1769182883</v>
      </c>
      <c r="BI41" t="s">
        <v>289</v>
      </c>
      <c r="BJ41">
        <v>1769182883</v>
      </c>
      <c r="BK41">
        <v>1769182883</v>
      </c>
      <c r="BL41">
        <v>1</v>
      </c>
      <c r="BM41">
        <v>-0.45</v>
      </c>
      <c r="BN41">
        <v>3.0000000000000001E-3</v>
      </c>
      <c r="BO41">
        <v>-1.2050000000000001</v>
      </c>
      <c r="BP41">
        <v>0.129</v>
      </c>
      <c r="BQ41">
        <v>410</v>
      </c>
      <c r="BR41">
        <v>15</v>
      </c>
      <c r="BS41">
        <v>0.1</v>
      </c>
      <c r="BT41">
        <v>0.06</v>
      </c>
      <c r="BU41">
        <v>-0.23900209523809501</v>
      </c>
      <c r="BV41">
        <v>-7.48556883116889E-2</v>
      </c>
      <c r="BW41">
        <v>1.8097687468436801E-2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0.66995619047619104</v>
      </c>
      <c r="CD41">
        <v>-4.48480519480428E-3</v>
      </c>
      <c r="CE41">
        <v>2.6037450796706899E-3</v>
      </c>
      <c r="CF41">
        <v>1</v>
      </c>
      <c r="CG41">
        <v>2</v>
      </c>
      <c r="CH41">
        <v>2</v>
      </c>
      <c r="CI41" t="s">
        <v>310</v>
      </c>
      <c r="CJ41">
        <v>3.5325000000000002</v>
      </c>
      <c r="CK41">
        <v>2.7037499999999999</v>
      </c>
      <c r="CL41">
        <v>9.8193500000000003E-2</v>
      </c>
      <c r="CM41">
        <v>9.68107E-2</v>
      </c>
      <c r="CN41">
        <v>8.7240499999999999E-2</v>
      </c>
      <c r="CO41">
        <v>8.36697E-2</v>
      </c>
      <c r="CP41">
        <v>31638.7</v>
      </c>
      <c r="CQ41">
        <v>27750.400000000001</v>
      </c>
      <c r="CR41">
        <v>32468.1</v>
      </c>
      <c r="CS41">
        <v>30648.7</v>
      </c>
      <c r="CT41">
        <v>40111.199999999997</v>
      </c>
      <c r="CU41">
        <v>39471.800000000003</v>
      </c>
      <c r="CV41">
        <v>47399</v>
      </c>
      <c r="CW41">
        <v>46717</v>
      </c>
      <c r="CX41">
        <v>2.6343999999999999</v>
      </c>
      <c r="CY41">
        <v>2.1697799999999998</v>
      </c>
      <c r="CZ41">
        <v>0</v>
      </c>
      <c r="DA41">
        <v>0</v>
      </c>
      <c r="DB41">
        <v>999.9</v>
      </c>
      <c r="DC41">
        <v>999.9</v>
      </c>
      <c r="DD41">
        <v>75.790999999999997</v>
      </c>
      <c r="DE41">
        <v>23.645</v>
      </c>
      <c r="DF41">
        <v>22.191099999999999</v>
      </c>
      <c r="DG41">
        <v>30.580100000000002</v>
      </c>
      <c r="DH41">
        <v>17.259599999999999</v>
      </c>
      <c r="DI41">
        <v>2</v>
      </c>
      <c r="DJ41">
        <v>-0.17848600000000001</v>
      </c>
      <c r="DK41">
        <v>1.7724299999999999</v>
      </c>
      <c r="DL41">
        <v>20.221399999999999</v>
      </c>
      <c r="DM41">
        <v>5.2527499999999998</v>
      </c>
      <c r="DN41">
        <v>12.033899999999999</v>
      </c>
      <c r="DO41">
        <v>4.96732</v>
      </c>
      <c r="DP41">
        <v>3.2909999999999999</v>
      </c>
      <c r="DQ41">
        <v>9999</v>
      </c>
      <c r="DR41">
        <v>9999</v>
      </c>
      <c r="DS41">
        <v>534.1</v>
      </c>
      <c r="DT41">
        <v>9999</v>
      </c>
      <c r="DU41">
        <v>1.8709</v>
      </c>
      <c r="DV41">
        <v>1.8760300000000001</v>
      </c>
      <c r="DW41">
        <v>1.8762000000000001</v>
      </c>
      <c r="DX41">
        <v>1.88273</v>
      </c>
      <c r="DY41">
        <v>1.8754599999999999</v>
      </c>
      <c r="DZ41">
        <v>1.8745400000000001</v>
      </c>
      <c r="EA41">
        <v>1.8706799999999999</v>
      </c>
      <c r="EB41">
        <v>1.8745499999999999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-1.2050000000000001</v>
      </c>
      <c r="EQ41">
        <v>0.1293</v>
      </c>
      <c r="ER41">
        <v>-1.20520000000005</v>
      </c>
      <c r="ES41">
        <v>0</v>
      </c>
      <c r="ET41">
        <v>0</v>
      </c>
      <c r="EU41">
        <v>0</v>
      </c>
      <c r="EV41">
        <v>0.12931999999999799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</v>
      </c>
      <c r="FE41">
        <v>6</v>
      </c>
      <c r="FF41">
        <v>1.22925</v>
      </c>
      <c r="FG41">
        <v>2.5500500000000001</v>
      </c>
      <c r="FH41">
        <v>2.19604</v>
      </c>
      <c r="FI41">
        <v>2.66357</v>
      </c>
      <c r="FJ41">
        <v>2.4462899999999999</v>
      </c>
      <c r="FK41">
        <v>2.2607400000000002</v>
      </c>
      <c r="FL41">
        <v>29.176600000000001</v>
      </c>
      <c r="FM41">
        <v>24.148800000000001</v>
      </c>
      <c r="FN41">
        <v>19</v>
      </c>
      <c r="FO41">
        <v>863.35400000000004</v>
      </c>
      <c r="FP41">
        <v>598.16300000000001</v>
      </c>
      <c r="FQ41">
        <v>18.3887</v>
      </c>
      <c r="FR41">
        <v>24.728100000000001</v>
      </c>
      <c r="FS41">
        <v>30.0001</v>
      </c>
      <c r="FT41">
        <v>24.7149</v>
      </c>
      <c r="FU41">
        <v>24.715599999999998</v>
      </c>
      <c r="FV41">
        <v>24.6737</v>
      </c>
      <c r="FW41">
        <v>37.266800000000003</v>
      </c>
      <c r="FX41">
        <v>61.708100000000002</v>
      </c>
      <c r="FY41">
        <v>18.389099999999999</v>
      </c>
      <c r="FZ41">
        <v>410</v>
      </c>
      <c r="GA41">
        <v>14.751300000000001</v>
      </c>
      <c r="GB41">
        <v>99.891900000000007</v>
      </c>
      <c r="GC41">
        <v>99.470100000000002</v>
      </c>
    </row>
    <row r="42" spans="1:185" x14ac:dyDescent="0.2">
      <c r="A42">
        <v>27</v>
      </c>
      <c r="B42">
        <v>1769183260</v>
      </c>
      <c r="C42">
        <v>397</v>
      </c>
      <c r="D42" t="s">
        <v>347</v>
      </c>
      <c r="E42" t="s">
        <v>348</v>
      </c>
      <c r="F42">
        <v>15</v>
      </c>
      <c r="G42">
        <v>1769183251.9333301</v>
      </c>
      <c r="H42">
        <f t="shared" si="0"/>
        <v>5.4335914554134448E-4</v>
      </c>
      <c r="I42">
        <v>0</v>
      </c>
      <c r="J42">
        <f t="shared" si="12"/>
        <v>-8.4773764127567231E-4</v>
      </c>
      <c r="K42">
        <f t="shared" si="1"/>
        <v>-2.2201970479529935E-2</v>
      </c>
      <c r="L42">
        <f t="shared" si="2"/>
        <v>70.052585387113538</v>
      </c>
      <c r="M42">
        <f t="shared" si="3"/>
        <v>1.544645842738892</v>
      </c>
      <c r="N42">
        <f t="shared" si="4"/>
        <v>2.2049804931582666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26242.789084722754</v>
      </c>
      <c r="T42">
        <f t="shared" si="8"/>
        <v>299.99753333333302</v>
      </c>
      <c r="U42">
        <f t="shared" si="9"/>
        <v>252.89814019819394</v>
      </c>
      <c r="V42">
        <f t="shared" si="10"/>
        <v>0.84300073199999936</v>
      </c>
      <c r="W42">
        <f t="shared" si="11"/>
        <v>0.15870170007999987</v>
      </c>
      <c r="X42">
        <v>1</v>
      </c>
      <c r="Y42">
        <v>1769183251.9333301</v>
      </c>
      <c r="Z42">
        <v>409.72719999999998</v>
      </c>
      <c r="AA42">
        <v>409.97773333333299</v>
      </c>
      <c r="AB42">
        <v>15.4166666666667</v>
      </c>
      <c r="AC42">
        <v>14.74794</v>
      </c>
      <c r="AD42">
        <v>410.93233333333302</v>
      </c>
      <c r="AE42">
        <v>15.28736</v>
      </c>
      <c r="AF42">
        <v>800.00153333333299</v>
      </c>
      <c r="AG42">
        <v>100.12739999999999</v>
      </c>
      <c r="AH42">
        <v>6.5843853333333299E-2</v>
      </c>
      <c r="AI42">
        <v>18.998546666666702</v>
      </c>
      <c r="AJ42">
        <v>999.9</v>
      </c>
      <c r="AK42">
        <v>999.9</v>
      </c>
      <c r="AL42">
        <v>0</v>
      </c>
      <c r="AM42">
        <v>0</v>
      </c>
      <c r="AN42">
        <v>4997.8666666666704</v>
      </c>
      <c r="AO42">
        <v>0</v>
      </c>
      <c r="AP42">
        <v>1.9760899999999999</v>
      </c>
      <c r="AQ42">
        <v>-0.25044759999999999</v>
      </c>
      <c r="AR42">
        <v>416.14280000000002</v>
      </c>
      <c r="AS42">
        <v>416.1146</v>
      </c>
      <c r="AT42">
        <v>0.66875226666666698</v>
      </c>
      <c r="AU42">
        <v>409.97773333333299</v>
      </c>
      <c r="AV42">
        <v>14.74794</v>
      </c>
      <c r="AW42">
        <v>1.5436319999999999</v>
      </c>
      <c r="AX42">
        <v>1.4766699999999999</v>
      </c>
      <c r="AY42">
        <v>13.40732</v>
      </c>
      <c r="AZ42">
        <v>12.728719999999999</v>
      </c>
      <c r="BA42">
        <v>299.99753333333302</v>
      </c>
      <c r="BB42">
        <v>0.89997753333333297</v>
      </c>
      <c r="BC42">
        <v>0</v>
      </c>
      <c r="BD42">
        <v>0.100022533333333</v>
      </c>
      <c r="BE42">
        <v>0</v>
      </c>
      <c r="BF42">
        <v>24</v>
      </c>
      <c r="BG42">
        <v>4946.5626666666703</v>
      </c>
      <c r="BH42">
        <v>1769182883</v>
      </c>
      <c r="BI42" t="s">
        <v>289</v>
      </c>
      <c r="BJ42">
        <v>1769182883</v>
      </c>
      <c r="BK42">
        <v>1769182883</v>
      </c>
      <c r="BL42">
        <v>1</v>
      </c>
      <c r="BM42">
        <v>-0.45</v>
      </c>
      <c r="BN42">
        <v>3.0000000000000001E-3</v>
      </c>
      <c r="BO42">
        <v>-1.2050000000000001</v>
      </c>
      <c r="BP42">
        <v>0.129</v>
      </c>
      <c r="BQ42">
        <v>410</v>
      </c>
      <c r="BR42">
        <v>15</v>
      </c>
      <c r="BS42">
        <v>0.1</v>
      </c>
      <c r="BT42">
        <v>0.06</v>
      </c>
      <c r="BU42">
        <v>-0.24816289999999999</v>
      </c>
      <c r="BV42">
        <v>-8.6534436090225306E-2</v>
      </c>
      <c r="BW42">
        <v>1.48805637188246E-2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0.66918805000000003</v>
      </c>
      <c r="CD42">
        <v>-1.12513533834579E-2</v>
      </c>
      <c r="CE42">
        <v>1.9995403090460502E-3</v>
      </c>
      <c r="CF42">
        <v>1</v>
      </c>
      <c r="CG42">
        <v>2</v>
      </c>
      <c r="CH42">
        <v>2</v>
      </c>
      <c r="CI42" t="s">
        <v>310</v>
      </c>
      <c r="CJ42">
        <v>3.5325199999999999</v>
      </c>
      <c r="CK42">
        <v>2.7036699999999998</v>
      </c>
      <c r="CL42">
        <v>9.8191899999999999E-2</v>
      </c>
      <c r="CM42">
        <v>9.6808599999999995E-2</v>
      </c>
      <c r="CN42">
        <v>8.7217100000000006E-2</v>
      </c>
      <c r="CO42">
        <v>8.3644200000000002E-2</v>
      </c>
      <c r="CP42">
        <v>31638.7</v>
      </c>
      <c r="CQ42">
        <v>27751.200000000001</v>
      </c>
      <c r="CR42">
        <v>32468.1</v>
      </c>
      <c r="CS42">
        <v>30649.5</v>
      </c>
      <c r="CT42">
        <v>40112.400000000001</v>
      </c>
      <c r="CU42">
        <v>39474.1</v>
      </c>
      <c r="CV42">
        <v>47399.1</v>
      </c>
      <c r="CW42">
        <v>46718.400000000001</v>
      </c>
      <c r="CX42">
        <v>2.63436</v>
      </c>
      <c r="CY42">
        <v>2.1695600000000002</v>
      </c>
      <c r="CZ42">
        <v>0</v>
      </c>
      <c r="DA42">
        <v>0</v>
      </c>
      <c r="DB42">
        <v>999.9</v>
      </c>
      <c r="DC42">
        <v>999.9</v>
      </c>
      <c r="DD42">
        <v>75.692999999999998</v>
      </c>
      <c r="DE42">
        <v>23.655000000000001</v>
      </c>
      <c r="DF42">
        <v>22.1751</v>
      </c>
      <c r="DG42">
        <v>30.400099999999998</v>
      </c>
      <c r="DH42">
        <v>17.259599999999999</v>
      </c>
      <c r="DI42">
        <v>2</v>
      </c>
      <c r="DJ42">
        <v>-0.178171</v>
      </c>
      <c r="DK42">
        <v>1.77694</v>
      </c>
      <c r="DL42">
        <v>20.221399999999999</v>
      </c>
      <c r="DM42">
        <v>5.25143</v>
      </c>
      <c r="DN42">
        <v>12.033899999999999</v>
      </c>
      <c r="DO42">
        <v>4.9673600000000002</v>
      </c>
      <c r="DP42">
        <v>3.2909999999999999</v>
      </c>
      <c r="DQ42">
        <v>9999</v>
      </c>
      <c r="DR42">
        <v>9999</v>
      </c>
      <c r="DS42">
        <v>534.1</v>
      </c>
      <c r="DT42">
        <v>9999</v>
      </c>
      <c r="DU42">
        <v>1.8709100000000001</v>
      </c>
      <c r="DV42">
        <v>1.8759999999999999</v>
      </c>
      <c r="DW42">
        <v>1.8762099999999999</v>
      </c>
      <c r="DX42">
        <v>1.88276</v>
      </c>
      <c r="DY42">
        <v>1.8754599999999999</v>
      </c>
      <c r="DZ42">
        <v>1.8745400000000001</v>
      </c>
      <c r="EA42">
        <v>1.87063</v>
      </c>
      <c r="EB42">
        <v>1.8745499999999999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-1.2050000000000001</v>
      </c>
      <c r="EQ42">
        <v>0.1293</v>
      </c>
      <c r="ER42">
        <v>-1.20520000000005</v>
      </c>
      <c r="ES42">
        <v>0</v>
      </c>
      <c r="ET42">
        <v>0</v>
      </c>
      <c r="EU42">
        <v>0</v>
      </c>
      <c r="EV42">
        <v>0.12931999999999799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1.22925</v>
      </c>
      <c r="FG42">
        <v>2.5451700000000002</v>
      </c>
      <c r="FH42">
        <v>2.19604</v>
      </c>
      <c r="FI42">
        <v>2.66357</v>
      </c>
      <c r="FJ42">
        <v>2.4462899999999999</v>
      </c>
      <c r="FK42">
        <v>2.3071299999999999</v>
      </c>
      <c r="FL42">
        <v>29.197800000000001</v>
      </c>
      <c r="FM42">
        <v>24.157499999999999</v>
      </c>
      <c r="FN42">
        <v>19</v>
      </c>
      <c r="FO42">
        <v>863.37900000000002</v>
      </c>
      <c r="FP42">
        <v>598.03800000000001</v>
      </c>
      <c r="FQ42">
        <v>18.3933</v>
      </c>
      <c r="FR42">
        <v>24.732199999999999</v>
      </c>
      <c r="FS42">
        <v>30.0002</v>
      </c>
      <c r="FT42">
        <v>24.718699999999998</v>
      </c>
      <c r="FU42">
        <v>24.7197</v>
      </c>
      <c r="FV42">
        <v>24.6768</v>
      </c>
      <c r="FW42">
        <v>37.266800000000003</v>
      </c>
      <c r="FX42">
        <v>61.335700000000003</v>
      </c>
      <c r="FY42">
        <v>18.393000000000001</v>
      </c>
      <c r="FZ42">
        <v>410</v>
      </c>
      <c r="GA42">
        <v>14.751300000000001</v>
      </c>
      <c r="GB42">
        <v>99.891999999999996</v>
      </c>
      <c r="GC42">
        <v>99.472999999999999</v>
      </c>
    </row>
    <row r="43" spans="1:185" x14ac:dyDescent="0.2">
      <c r="A43">
        <v>28</v>
      </c>
      <c r="B43">
        <v>1769183275</v>
      </c>
      <c r="C43">
        <v>412</v>
      </c>
      <c r="D43" t="s">
        <v>349</v>
      </c>
      <c r="E43" t="s">
        <v>350</v>
      </c>
      <c r="F43">
        <v>15</v>
      </c>
      <c r="G43">
        <v>1769183266.9333301</v>
      </c>
      <c r="H43">
        <f t="shared" si="0"/>
        <v>5.4367308760549886E-4</v>
      </c>
      <c r="I43">
        <v>0</v>
      </c>
      <c r="J43">
        <f t="shared" si="12"/>
        <v>-1.7838659984494372E-3</v>
      </c>
      <c r="K43">
        <f t="shared" si="1"/>
        <v>-4.6718864786295951E-2</v>
      </c>
      <c r="L43">
        <f t="shared" si="2"/>
        <v>70.015097278723744</v>
      </c>
      <c r="M43">
        <f t="shared" si="3"/>
        <v>1.544027343407113</v>
      </c>
      <c r="N43">
        <f t="shared" si="4"/>
        <v>2.2052777235465095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26271.572947195818</v>
      </c>
      <c r="T43">
        <f t="shared" si="8"/>
        <v>300.001933333333</v>
      </c>
      <c r="U43">
        <f t="shared" si="9"/>
        <v>252.9018068011404</v>
      </c>
      <c r="V43">
        <f t="shared" si="10"/>
        <v>0.84300059000000005</v>
      </c>
      <c r="W43">
        <f t="shared" si="11"/>
        <v>0.15870147500000004</v>
      </c>
      <c r="X43">
        <v>1</v>
      </c>
      <c r="Y43">
        <v>1769183266.9333301</v>
      </c>
      <c r="Z43">
        <v>409.75659999999999</v>
      </c>
      <c r="AA43">
        <v>409.97666666666697</v>
      </c>
      <c r="AB43">
        <v>15.4100866666667</v>
      </c>
      <c r="AC43">
        <v>14.740973333333301</v>
      </c>
      <c r="AD43">
        <v>410.96159999999998</v>
      </c>
      <c r="AE43">
        <v>15.2807733333333</v>
      </c>
      <c r="AF43">
        <v>800.00653333333298</v>
      </c>
      <c r="AG43">
        <v>100.129866666667</v>
      </c>
      <c r="AH43">
        <v>6.6022999999999998E-2</v>
      </c>
      <c r="AI43">
        <v>19.000706666666701</v>
      </c>
      <c r="AJ43">
        <v>999.9</v>
      </c>
      <c r="AK43">
        <v>999.9</v>
      </c>
      <c r="AL43">
        <v>0</v>
      </c>
      <c r="AM43">
        <v>0</v>
      </c>
      <c r="AN43">
        <v>5002.5333333333301</v>
      </c>
      <c r="AO43">
        <v>0</v>
      </c>
      <c r="AP43">
        <v>1.9760899999999999</v>
      </c>
      <c r="AQ43">
        <v>-0.22014973333333299</v>
      </c>
      <c r="AR43">
        <v>416.16986666666702</v>
      </c>
      <c r="AS43">
        <v>416.11066666666699</v>
      </c>
      <c r="AT43">
        <v>0.66910879999999995</v>
      </c>
      <c r="AU43">
        <v>409.97666666666697</v>
      </c>
      <c r="AV43">
        <v>14.740973333333301</v>
      </c>
      <c r="AW43">
        <v>1.5430093333333299</v>
      </c>
      <c r="AX43">
        <v>1.4760106666666699</v>
      </c>
      <c r="AY43">
        <v>13.40114</v>
      </c>
      <c r="AZ43">
        <v>12.721913333333299</v>
      </c>
      <c r="BA43">
        <v>300.001933333333</v>
      </c>
      <c r="BB43">
        <v>0.89998033333333305</v>
      </c>
      <c r="BC43">
        <v>0</v>
      </c>
      <c r="BD43">
        <v>0.10001966666666701</v>
      </c>
      <c r="BE43">
        <v>0</v>
      </c>
      <c r="BF43">
        <v>24</v>
      </c>
      <c r="BG43">
        <v>4946.6360000000004</v>
      </c>
      <c r="BH43">
        <v>1769182883</v>
      </c>
      <c r="BI43" t="s">
        <v>289</v>
      </c>
      <c r="BJ43">
        <v>1769182883</v>
      </c>
      <c r="BK43">
        <v>1769182883</v>
      </c>
      <c r="BL43">
        <v>1</v>
      </c>
      <c r="BM43">
        <v>-0.45</v>
      </c>
      <c r="BN43">
        <v>3.0000000000000001E-3</v>
      </c>
      <c r="BO43">
        <v>-1.2050000000000001</v>
      </c>
      <c r="BP43">
        <v>0.129</v>
      </c>
      <c r="BQ43">
        <v>410</v>
      </c>
      <c r="BR43">
        <v>15</v>
      </c>
      <c r="BS43">
        <v>0.1</v>
      </c>
      <c r="BT43">
        <v>0.06</v>
      </c>
      <c r="BU43">
        <v>-0.231791142857143</v>
      </c>
      <c r="BV43">
        <v>9.4779194805194505E-2</v>
      </c>
      <c r="BW43">
        <v>3.4618087287656203E-2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0.66853238095238099</v>
      </c>
      <c r="CD43">
        <v>6.6221298701292803E-3</v>
      </c>
      <c r="CE43">
        <v>1.3029403186343199E-3</v>
      </c>
      <c r="CF43">
        <v>1</v>
      </c>
      <c r="CG43">
        <v>2</v>
      </c>
      <c r="CH43">
        <v>2</v>
      </c>
      <c r="CI43" t="s">
        <v>310</v>
      </c>
      <c r="CJ43">
        <v>3.53247</v>
      </c>
      <c r="CK43">
        <v>2.7035900000000002</v>
      </c>
      <c r="CL43">
        <v>9.8188999999999999E-2</v>
      </c>
      <c r="CM43">
        <v>9.6810199999999999E-2</v>
      </c>
      <c r="CN43">
        <v>8.7172100000000002E-2</v>
      </c>
      <c r="CO43">
        <v>8.3612300000000001E-2</v>
      </c>
      <c r="CP43">
        <v>31638.799999999999</v>
      </c>
      <c r="CQ43">
        <v>27750.799999999999</v>
      </c>
      <c r="CR43">
        <v>32468.2</v>
      </c>
      <c r="CS43">
        <v>30649.1</v>
      </c>
      <c r="CT43">
        <v>40114.5</v>
      </c>
      <c r="CU43">
        <v>39475.5</v>
      </c>
      <c r="CV43">
        <v>47399.199999999997</v>
      </c>
      <c r="CW43">
        <v>46718.3</v>
      </c>
      <c r="CX43">
        <v>2.6345200000000002</v>
      </c>
      <c r="CY43">
        <v>2.1690999999999998</v>
      </c>
      <c r="CZ43">
        <v>0</v>
      </c>
      <c r="DA43">
        <v>0</v>
      </c>
      <c r="DB43">
        <v>999.9</v>
      </c>
      <c r="DC43">
        <v>999.9</v>
      </c>
      <c r="DD43">
        <v>75.600999999999999</v>
      </c>
      <c r="DE43">
        <v>23.664999999999999</v>
      </c>
      <c r="DF43">
        <v>22.161899999999999</v>
      </c>
      <c r="DG43">
        <v>30.5501</v>
      </c>
      <c r="DH43">
        <v>17.387799999999999</v>
      </c>
      <c r="DI43">
        <v>2</v>
      </c>
      <c r="DJ43">
        <v>-0.17788599999999999</v>
      </c>
      <c r="DK43">
        <v>1.7979499999999999</v>
      </c>
      <c r="DL43">
        <v>20.2211</v>
      </c>
      <c r="DM43">
        <v>5.2520300000000004</v>
      </c>
      <c r="DN43">
        <v>12.033899999999999</v>
      </c>
      <c r="DO43">
        <v>4.9676</v>
      </c>
      <c r="DP43">
        <v>3.2909999999999999</v>
      </c>
      <c r="DQ43">
        <v>9999</v>
      </c>
      <c r="DR43">
        <v>9999</v>
      </c>
      <c r="DS43">
        <v>534.1</v>
      </c>
      <c r="DT43">
        <v>9999</v>
      </c>
      <c r="DU43">
        <v>1.8708800000000001</v>
      </c>
      <c r="DV43">
        <v>1.87598</v>
      </c>
      <c r="DW43">
        <v>1.87619</v>
      </c>
      <c r="DX43">
        <v>1.8826799999999999</v>
      </c>
      <c r="DY43">
        <v>1.8754599999999999</v>
      </c>
      <c r="DZ43">
        <v>1.87453</v>
      </c>
      <c r="EA43">
        <v>1.87059</v>
      </c>
      <c r="EB43">
        <v>1.8745400000000001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-1.2050000000000001</v>
      </c>
      <c r="EQ43">
        <v>0.12939999999999999</v>
      </c>
      <c r="ER43">
        <v>-1.20520000000005</v>
      </c>
      <c r="ES43">
        <v>0</v>
      </c>
      <c r="ET43">
        <v>0</v>
      </c>
      <c r="EU43">
        <v>0</v>
      </c>
      <c r="EV43">
        <v>0.12931999999999799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6.5</v>
      </c>
      <c r="FE43">
        <v>6.5</v>
      </c>
      <c r="FF43">
        <v>1.22925</v>
      </c>
      <c r="FG43">
        <v>2.5451700000000002</v>
      </c>
      <c r="FH43">
        <v>2.19604</v>
      </c>
      <c r="FI43">
        <v>2.66357</v>
      </c>
      <c r="FJ43">
        <v>2.4462899999999999</v>
      </c>
      <c r="FK43">
        <v>2.3071299999999999</v>
      </c>
      <c r="FL43">
        <v>29.219000000000001</v>
      </c>
      <c r="FM43">
        <v>24.157499999999999</v>
      </c>
      <c r="FN43">
        <v>19</v>
      </c>
      <c r="FO43">
        <v>863.58799999999997</v>
      </c>
      <c r="FP43">
        <v>597.72400000000005</v>
      </c>
      <c r="FQ43">
        <v>18.381900000000002</v>
      </c>
      <c r="FR43">
        <v>24.7348</v>
      </c>
      <c r="FS43">
        <v>30.0001</v>
      </c>
      <c r="FT43">
        <v>24.7224</v>
      </c>
      <c r="FU43">
        <v>24.7239</v>
      </c>
      <c r="FV43">
        <v>24.680099999999999</v>
      </c>
      <c r="FW43">
        <v>37.266800000000003</v>
      </c>
      <c r="FX43">
        <v>60.964399999999998</v>
      </c>
      <c r="FY43">
        <v>18.382400000000001</v>
      </c>
      <c r="FZ43">
        <v>410</v>
      </c>
      <c r="GA43">
        <v>14.751300000000001</v>
      </c>
      <c r="GB43">
        <v>99.892200000000003</v>
      </c>
      <c r="GC43">
        <v>99.472399999999993</v>
      </c>
    </row>
    <row r="44" spans="1:185" x14ac:dyDescent="0.2">
      <c r="A44">
        <v>29</v>
      </c>
      <c r="B44">
        <v>1769183290</v>
      </c>
      <c r="C44">
        <v>427</v>
      </c>
      <c r="D44" t="s">
        <v>351</v>
      </c>
      <c r="E44" t="s">
        <v>352</v>
      </c>
      <c r="F44">
        <v>15</v>
      </c>
      <c r="G44">
        <v>1769183281.9333301</v>
      </c>
      <c r="H44">
        <f t="shared" si="0"/>
        <v>5.4469898327720817E-4</v>
      </c>
      <c r="I44">
        <v>0</v>
      </c>
      <c r="J44">
        <f t="shared" si="12"/>
        <v>1.5637123649819918E-4</v>
      </c>
      <c r="K44">
        <f t="shared" si="1"/>
        <v>4.0953113410846509E-3</v>
      </c>
      <c r="L44">
        <f t="shared" si="2"/>
        <v>69.974153195934406</v>
      </c>
      <c r="M44">
        <f t="shared" si="3"/>
        <v>1.5433536091807534</v>
      </c>
      <c r="N44">
        <f t="shared" si="4"/>
        <v>2.2056052680755047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26252.301900817351</v>
      </c>
      <c r="T44">
        <f t="shared" si="8"/>
        <v>299.99900000000002</v>
      </c>
      <c r="U44">
        <f t="shared" si="9"/>
        <v>252.89937059928809</v>
      </c>
      <c r="V44">
        <f t="shared" si="10"/>
        <v>0.84300071200000026</v>
      </c>
      <c r="W44">
        <f t="shared" si="11"/>
        <v>0.15870165008000009</v>
      </c>
      <c r="X44">
        <v>1</v>
      </c>
      <c r="Y44">
        <v>1769183281.9333301</v>
      </c>
      <c r="Z44">
        <v>409.69839999999999</v>
      </c>
      <c r="AA44">
        <v>409.98246666666699</v>
      </c>
      <c r="AB44">
        <v>15.4034</v>
      </c>
      <c r="AC44">
        <v>14.733026666666699</v>
      </c>
      <c r="AD44">
        <v>410.90379999999999</v>
      </c>
      <c r="AE44">
        <v>15.274093333333299</v>
      </c>
      <c r="AF44">
        <v>800.01506666666705</v>
      </c>
      <c r="AG44">
        <v>100.12973333333299</v>
      </c>
      <c r="AH44">
        <v>6.5912380000000007E-2</v>
      </c>
      <c r="AI44">
        <v>19.0030866666667</v>
      </c>
      <c r="AJ44">
        <v>999.9</v>
      </c>
      <c r="AK44">
        <v>999.9</v>
      </c>
      <c r="AL44">
        <v>0</v>
      </c>
      <c r="AM44">
        <v>0</v>
      </c>
      <c r="AN44">
        <v>4999.3999999999996</v>
      </c>
      <c r="AO44">
        <v>0</v>
      </c>
      <c r="AP44">
        <v>1.9760899999999999</v>
      </c>
      <c r="AQ44">
        <v>-0.28379926666666699</v>
      </c>
      <c r="AR44">
        <v>416.10806666666701</v>
      </c>
      <c r="AS44">
        <v>416.11279999999999</v>
      </c>
      <c r="AT44">
        <v>0.67037480000000005</v>
      </c>
      <c r="AU44">
        <v>409.98246666666699</v>
      </c>
      <c r="AV44">
        <v>14.733026666666699</v>
      </c>
      <c r="AW44">
        <v>1.5423386666666701</v>
      </c>
      <c r="AX44">
        <v>1.47521533333333</v>
      </c>
      <c r="AY44">
        <v>13.39448</v>
      </c>
      <c r="AZ44">
        <v>12.7136666666667</v>
      </c>
      <c r="BA44">
        <v>299.99900000000002</v>
      </c>
      <c r="BB44">
        <v>0.89997819999999995</v>
      </c>
      <c r="BC44">
        <v>0</v>
      </c>
      <c r="BD44">
        <v>0.100021866666667</v>
      </c>
      <c r="BE44">
        <v>0</v>
      </c>
      <c r="BF44">
        <v>24</v>
      </c>
      <c r="BG44">
        <v>4946.5866666666698</v>
      </c>
      <c r="BH44">
        <v>1769182883</v>
      </c>
      <c r="BI44" t="s">
        <v>289</v>
      </c>
      <c r="BJ44">
        <v>1769182883</v>
      </c>
      <c r="BK44">
        <v>1769182883</v>
      </c>
      <c r="BL44">
        <v>1</v>
      </c>
      <c r="BM44">
        <v>-0.45</v>
      </c>
      <c r="BN44">
        <v>3.0000000000000001E-3</v>
      </c>
      <c r="BO44">
        <v>-1.2050000000000001</v>
      </c>
      <c r="BP44">
        <v>0.129</v>
      </c>
      <c r="BQ44">
        <v>410</v>
      </c>
      <c r="BR44">
        <v>15</v>
      </c>
      <c r="BS44">
        <v>0.1</v>
      </c>
      <c r="BT44">
        <v>0.06</v>
      </c>
      <c r="BU44">
        <v>-0.27371830000000003</v>
      </c>
      <c r="BV44">
        <v>-0.12845224060150401</v>
      </c>
      <c r="BW44">
        <v>3.4110862680530402E-2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0.67003740000000001</v>
      </c>
      <c r="CD44">
        <v>1.87353383458649E-2</v>
      </c>
      <c r="CE44">
        <v>3.5621833389088702E-3</v>
      </c>
      <c r="CF44">
        <v>1</v>
      </c>
      <c r="CG44">
        <v>2</v>
      </c>
      <c r="CH44">
        <v>2</v>
      </c>
      <c r="CI44" t="s">
        <v>310</v>
      </c>
      <c r="CJ44">
        <v>3.5325000000000002</v>
      </c>
      <c r="CK44">
        <v>2.70363</v>
      </c>
      <c r="CL44">
        <v>9.8185099999999997E-2</v>
      </c>
      <c r="CM44">
        <v>9.6811300000000003E-2</v>
      </c>
      <c r="CN44">
        <v>8.7146799999999996E-2</v>
      </c>
      <c r="CO44">
        <v>8.3574300000000004E-2</v>
      </c>
      <c r="CP44">
        <v>31639</v>
      </c>
      <c r="CQ44">
        <v>27751.3</v>
      </c>
      <c r="CR44">
        <v>32468.2</v>
      </c>
      <c r="CS44">
        <v>30649.7</v>
      </c>
      <c r="CT44">
        <v>40116.199999999997</v>
      </c>
      <c r="CU44">
        <v>39477.599999999999</v>
      </c>
      <c r="CV44">
        <v>47399.8</v>
      </c>
      <c r="CW44">
        <v>46718.9</v>
      </c>
      <c r="CX44">
        <v>2.6343000000000001</v>
      </c>
      <c r="CY44">
        <v>2.1693199999999999</v>
      </c>
      <c r="CZ44">
        <v>0</v>
      </c>
      <c r="DA44">
        <v>0</v>
      </c>
      <c r="DB44">
        <v>999.9</v>
      </c>
      <c r="DC44">
        <v>999.9</v>
      </c>
      <c r="DD44">
        <v>75.504000000000005</v>
      </c>
      <c r="DE44">
        <v>23.684999999999999</v>
      </c>
      <c r="DF44">
        <v>22.159700000000001</v>
      </c>
      <c r="DG44">
        <v>30.460100000000001</v>
      </c>
      <c r="DH44">
        <v>17.307700000000001</v>
      </c>
      <c r="DI44">
        <v>2</v>
      </c>
      <c r="DJ44">
        <v>-0.17754900000000001</v>
      </c>
      <c r="DK44">
        <v>1.8138399999999999</v>
      </c>
      <c r="DL44">
        <v>20.221</v>
      </c>
      <c r="DM44">
        <v>5.25251</v>
      </c>
      <c r="DN44">
        <v>12.033899999999999</v>
      </c>
      <c r="DO44">
        <v>4.9674800000000001</v>
      </c>
      <c r="DP44">
        <v>3.2909999999999999</v>
      </c>
      <c r="DQ44">
        <v>9999</v>
      </c>
      <c r="DR44">
        <v>9999</v>
      </c>
      <c r="DS44">
        <v>534.1</v>
      </c>
      <c r="DT44">
        <v>9999</v>
      </c>
      <c r="DU44">
        <v>1.8708899999999999</v>
      </c>
      <c r="DV44">
        <v>1.8759999999999999</v>
      </c>
      <c r="DW44">
        <v>1.87616</v>
      </c>
      <c r="DX44">
        <v>1.8827100000000001</v>
      </c>
      <c r="DY44">
        <v>1.8754599999999999</v>
      </c>
      <c r="DZ44">
        <v>1.8745400000000001</v>
      </c>
      <c r="EA44">
        <v>1.8706400000000001</v>
      </c>
      <c r="EB44">
        <v>1.8745400000000001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-1.206</v>
      </c>
      <c r="EQ44">
        <v>0.1293</v>
      </c>
      <c r="ER44">
        <v>-1.20520000000005</v>
      </c>
      <c r="ES44">
        <v>0</v>
      </c>
      <c r="ET44">
        <v>0</v>
      </c>
      <c r="EU44">
        <v>0</v>
      </c>
      <c r="EV44">
        <v>0.12931999999999799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1.22925</v>
      </c>
      <c r="FG44">
        <v>2.5512700000000001</v>
      </c>
      <c r="FH44">
        <v>2.19604</v>
      </c>
      <c r="FI44">
        <v>2.66357</v>
      </c>
      <c r="FJ44">
        <v>2.4462899999999999</v>
      </c>
      <c r="FK44">
        <v>2.2607400000000002</v>
      </c>
      <c r="FL44">
        <v>29.219000000000001</v>
      </c>
      <c r="FM44">
        <v>24.148800000000001</v>
      </c>
      <c r="FN44">
        <v>19</v>
      </c>
      <c r="FO44">
        <v>863.44500000000005</v>
      </c>
      <c r="FP44">
        <v>597.94200000000001</v>
      </c>
      <c r="FQ44">
        <v>18.375599999999999</v>
      </c>
      <c r="FR44">
        <v>24.738399999999999</v>
      </c>
      <c r="FS44">
        <v>30.000299999999999</v>
      </c>
      <c r="FT44">
        <v>24.726199999999999</v>
      </c>
      <c r="FU44">
        <v>24.727599999999999</v>
      </c>
      <c r="FV44">
        <v>24.6815</v>
      </c>
      <c r="FW44">
        <v>37.266800000000003</v>
      </c>
      <c r="FX44">
        <v>60.207599999999999</v>
      </c>
      <c r="FY44">
        <v>18.374099999999999</v>
      </c>
      <c r="FZ44">
        <v>410</v>
      </c>
      <c r="GA44">
        <v>14.751300000000001</v>
      </c>
      <c r="GB44">
        <v>99.893000000000001</v>
      </c>
      <c r="GC44">
        <v>99.4739</v>
      </c>
    </row>
    <row r="45" spans="1:185" x14ac:dyDescent="0.2">
      <c r="A45">
        <v>30</v>
      </c>
      <c r="B45">
        <v>1769183305</v>
      </c>
      <c r="C45">
        <v>442</v>
      </c>
      <c r="D45" t="s">
        <v>353</v>
      </c>
      <c r="E45" t="s">
        <v>354</v>
      </c>
      <c r="F45">
        <v>15</v>
      </c>
      <c r="G45">
        <v>1769183296.9333301</v>
      </c>
      <c r="H45">
        <f t="shared" si="0"/>
        <v>5.4490559865958516E-4</v>
      </c>
      <c r="I45">
        <v>0</v>
      </c>
      <c r="J45">
        <f t="shared" si="12"/>
        <v>-5.8473654842808287E-4</v>
      </c>
      <c r="K45">
        <f t="shared" si="1"/>
        <v>-1.5314058211414091E-2</v>
      </c>
      <c r="L45">
        <f t="shared" si="2"/>
        <v>69.936620230514336</v>
      </c>
      <c r="M45">
        <f t="shared" si="3"/>
        <v>1.5423371291257586</v>
      </c>
      <c r="N45">
        <f t="shared" si="4"/>
        <v>2.2053355224232227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26255.921075094742</v>
      </c>
      <c r="T45">
        <f t="shared" si="8"/>
        <v>299.999666666667</v>
      </c>
      <c r="U45">
        <f t="shared" si="9"/>
        <v>252.89989359980629</v>
      </c>
      <c r="V45">
        <f t="shared" si="10"/>
        <v>0.84300058200000005</v>
      </c>
      <c r="W45">
        <f t="shared" si="11"/>
        <v>0.15870145499999999</v>
      </c>
      <c r="X45">
        <v>1</v>
      </c>
      <c r="Y45">
        <v>1769183296.9333301</v>
      </c>
      <c r="Z45">
        <v>409.72386666666699</v>
      </c>
      <c r="AA45">
        <v>409.98379999999997</v>
      </c>
      <c r="AB45">
        <v>15.3934866666667</v>
      </c>
      <c r="AC45">
        <v>14.72284</v>
      </c>
      <c r="AD45">
        <v>410.92906666666698</v>
      </c>
      <c r="AE45">
        <v>15.26416</v>
      </c>
      <c r="AF45">
        <v>800.00040000000001</v>
      </c>
      <c r="AG45">
        <v>100.12820000000001</v>
      </c>
      <c r="AH45">
        <v>6.5938113333333298E-2</v>
      </c>
      <c r="AI45">
        <v>19.0011266666667</v>
      </c>
      <c r="AJ45">
        <v>999.9</v>
      </c>
      <c r="AK45">
        <v>999.9</v>
      </c>
      <c r="AL45">
        <v>0</v>
      </c>
      <c r="AM45">
        <v>0</v>
      </c>
      <c r="AN45">
        <v>5000.0333333333301</v>
      </c>
      <c r="AO45">
        <v>0</v>
      </c>
      <c r="AP45">
        <v>1.99867533333333</v>
      </c>
      <c r="AQ45">
        <v>-0.26007906666666702</v>
      </c>
      <c r="AR45">
        <v>416.12946666666699</v>
      </c>
      <c r="AS45">
        <v>416.11026666666697</v>
      </c>
      <c r="AT45">
        <v>0.67062820000000001</v>
      </c>
      <c r="AU45">
        <v>409.98379999999997</v>
      </c>
      <c r="AV45">
        <v>14.72284</v>
      </c>
      <c r="AW45">
        <v>1.54132</v>
      </c>
      <c r="AX45">
        <v>1.4741706666666701</v>
      </c>
      <c r="AY45">
        <v>13.38434</v>
      </c>
      <c r="AZ45">
        <v>12.702866666666701</v>
      </c>
      <c r="BA45">
        <v>299.999666666667</v>
      </c>
      <c r="BB45">
        <v>0.89998060000000002</v>
      </c>
      <c r="BC45">
        <v>0</v>
      </c>
      <c r="BD45">
        <v>0.10001939999999999</v>
      </c>
      <c r="BE45">
        <v>0</v>
      </c>
      <c r="BF45">
        <v>24</v>
      </c>
      <c r="BG45">
        <v>4946.5986666666704</v>
      </c>
      <c r="BH45">
        <v>1769182883</v>
      </c>
      <c r="BI45" t="s">
        <v>289</v>
      </c>
      <c r="BJ45">
        <v>1769182883</v>
      </c>
      <c r="BK45">
        <v>1769182883</v>
      </c>
      <c r="BL45">
        <v>1</v>
      </c>
      <c r="BM45">
        <v>-0.45</v>
      </c>
      <c r="BN45">
        <v>3.0000000000000001E-3</v>
      </c>
      <c r="BO45">
        <v>-1.2050000000000001</v>
      </c>
      <c r="BP45">
        <v>0.129</v>
      </c>
      <c r="BQ45">
        <v>410</v>
      </c>
      <c r="BR45">
        <v>15</v>
      </c>
      <c r="BS45">
        <v>0.1</v>
      </c>
      <c r="BT45">
        <v>0.06</v>
      </c>
      <c r="BU45">
        <v>-0.267717714285714</v>
      </c>
      <c r="BV45">
        <v>8.4668181818182003E-2</v>
      </c>
      <c r="BW45">
        <v>2.3152989584074701E-2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0.67118038095238097</v>
      </c>
      <c r="CD45">
        <v>-1.2985012987013799E-2</v>
      </c>
      <c r="CE45">
        <v>2.3082902861970198E-3</v>
      </c>
      <c r="CF45">
        <v>1</v>
      </c>
      <c r="CG45">
        <v>2</v>
      </c>
      <c r="CH45">
        <v>2</v>
      </c>
      <c r="CI45" t="s">
        <v>310</v>
      </c>
      <c r="CJ45">
        <v>3.5324599999999999</v>
      </c>
      <c r="CK45">
        <v>2.7037800000000001</v>
      </c>
      <c r="CL45">
        <v>9.8186599999999999E-2</v>
      </c>
      <c r="CM45">
        <v>9.6804299999999996E-2</v>
      </c>
      <c r="CN45">
        <v>8.7102399999999996E-2</v>
      </c>
      <c r="CO45">
        <v>8.3528599999999995E-2</v>
      </c>
      <c r="CP45">
        <v>31638.9</v>
      </c>
      <c r="CQ45">
        <v>27751.3</v>
      </c>
      <c r="CR45">
        <v>32468.2</v>
      </c>
      <c r="CS45">
        <v>30649.5</v>
      </c>
      <c r="CT45">
        <v>40118.1</v>
      </c>
      <c r="CU45">
        <v>39479.5</v>
      </c>
      <c r="CV45">
        <v>47399.7</v>
      </c>
      <c r="CW45">
        <v>46718.6</v>
      </c>
      <c r="CX45">
        <v>2.6340599999999998</v>
      </c>
      <c r="CY45">
        <v>2.1688800000000001</v>
      </c>
      <c r="CZ45">
        <v>0</v>
      </c>
      <c r="DA45">
        <v>0</v>
      </c>
      <c r="DB45">
        <v>999.9</v>
      </c>
      <c r="DC45">
        <v>999.9</v>
      </c>
      <c r="DD45">
        <v>75.388000000000005</v>
      </c>
      <c r="DE45">
        <v>23.716000000000001</v>
      </c>
      <c r="DF45">
        <v>22.1678</v>
      </c>
      <c r="DG45">
        <v>30.430099999999999</v>
      </c>
      <c r="DH45">
        <v>17.2837</v>
      </c>
      <c r="DI45">
        <v>2</v>
      </c>
      <c r="DJ45">
        <v>-0.17738799999999999</v>
      </c>
      <c r="DK45">
        <v>1.8142100000000001</v>
      </c>
      <c r="DL45">
        <v>20.220300000000002</v>
      </c>
      <c r="DM45">
        <v>5.2497600000000002</v>
      </c>
      <c r="DN45">
        <v>12.033899999999999</v>
      </c>
      <c r="DO45">
        <v>4.9672000000000001</v>
      </c>
      <c r="DP45">
        <v>3.2906399999999998</v>
      </c>
      <c r="DQ45">
        <v>9999</v>
      </c>
      <c r="DR45">
        <v>9999</v>
      </c>
      <c r="DS45">
        <v>534.1</v>
      </c>
      <c r="DT45">
        <v>9999</v>
      </c>
      <c r="DU45">
        <v>1.8709199999999999</v>
      </c>
      <c r="DV45">
        <v>1.87602</v>
      </c>
      <c r="DW45">
        <v>1.8762000000000001</v>
      </c>
      <c r="DX45">
        <v>1.88273</v>
      </c>
      <c r="DY45">
        <v>1.8754599999999999</v>
      </c>
      <c r="DZ45">
        <v>1.8745400000000001</v>
      </c>
      <c r="EA45">
        <v>1.87069</v>
      </c>
      <c r="EB45">
        <v>1.8745499999999999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-1.2050000000000001</v>
      </c>
      <c r="EQ45">
        <v>0.1293</v>
      </c>
      <c r="ER45">
        <v>-1.20520000000005</v>
      </c>
      <c r="ES45">
        <v>0</v>
      </c>
      <c r="ET45">
        <v>0</v>
      </c>
      <c r="EU45">
        <v>0</v>
      </c>
      <c r="EV45">
        <v>0.12931999999999799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</v>
      </c>
      <c r="FE45">
        <v>7</v>
      </c>
      <c r="FF45">
        <v>1.22925</v>
      </c>
      <c r="FG45">
        <v>2.5451700000000002</v>
      </c>
      <c r="FH45">
        <v>2.19604</v>
      </c>
      <c r="FI45">
        <v>2.66357</v>
      </c>
      <c r="FJ45">
        <v>2.4462899999999999</v>
      </c>
      <c r="FK45">
        <v>2.3107899999999999</v>
      </c>
      <c r="FL45">
        <v>29.261399999999998</v>
      </c>
      <c r="FM45">
        <v>24.157499999999999</v>
      </c>
      <c r="FN45">
        <v>19</v>
      </c>
      <c r="FO45">
        <v>863.27700000000004</v>
      </c>
      <c r="FP45">
        <v>597.63900000000001</v>
      </c>
      <c r="FQ45">
        <v>18.368200000000002</v>
      </c>
      <c r="FR45">
        <v>24.7423</v>
      </c>
      <c r="FS45">
        <v>30.0002</v>
      </c>
      <c r="FT45">
        <v>24.729500000000002</v>
      </c>
      <c r="FU45">
        <v>24.731400000000001</v>
      </c>
      <c r="FV45">
        <v>24.6846</v>
      </c>
      <c r="FW45">
        <v>37.266800000000003</v>
      </c>
      <c r="FX45">
        <v>59.822200000000002</v>
      </c>
      <c r="FY45">
        <v>18.368200000000002</v>
      </c>
      <c r="FZ45">
        <v>410</v>
      </c>
      <c r="GA45">
        <v>14.7554</v>
      </c>
      <c r="GB45">
        <v>99.892799999999994</v>
      </c>
      <c r="GC45">
        <v>99.473299999999995</v>
      </c>
    </row>
    <row r="46" spans="1:185" x14ac:dyDescent="0.2">
      <c r="A46">
        <v>31</v>
      </c>
      <c r="B46">
        <v>1769183320</v>
      </c>
      <c r="C46">
        <v>457</v>
      </c>
      <c r="D46" t="s">
        <v>355</v>
      </c>
      <c r="E46" t="s">
        <v>356</v>
      </c>
      <c r="F46">
        <v>15</v>
      </c>
      <c r="G46">
        <v>1769183311.9333301</v>
      </c>
      <c r="H46">
        <f t="shared" si="0"/>
        <v>5.4405003340609194E-4</v>
      </c>
      <c r="I46">
        <v>0</v>
      </c>
      <c r="J46">
        <f t="shared" si="12"/>
        <v>-7.9743201083204158E-4</v>
      </c>
      <c r="K46">
        <f t="shared" si="1"/>
        <v>-2.0884482535520572E-2</v>
      </c>
      <c r="L46">
        <f t="shared" si="2"/>
        <v>69.892749554618732</v>
      </c>
      <c r="M46">
        <f t="shared" si="3"/>
        <v>1.5413144883405097</v>
      </c>
      <c r="N46">
        <f t="shared" si="4"/>
        <v>2.2052566227002219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26257.31925170964</v>
      </c>
      <c r="T46">
        <f t="shared" si="8"/>
        <v>300.00099999999998</v>
      </c>
      <c r="U46">
        <f t="shared" si="9"/>
        <v>252.90100440053797</v>
      </c>
      <c r="V46">
        <f t="shared" si="10"/>
        <v>0.84300053799999997</v>
      </c>
      <c r="W46">
        <f t="shared" si="11"/>
        <v>0.15870134499999999</v>
      </c>
      <c r="X46">
        <v>1</v>
      </c>
      <c r="Y46">
        <v>1769183311.9333301</v>
      </c>
      <c r="Z46">
        <v>409.72966666666701</v>
      </c>
      <c r="AA46">
        <v>409.98219999999998</v>
      </c>
      <c r="AB46">
        <v>15.383319999999999</v>
      </c>
      <c r="AC46">
        <v>14.7137266666667</v>
      </c>
      <c r="AD46">
        <v>410.93486666666701</v>
      </c>
      <c r="AE46">
        <v>15.2539866666667</v>
      </c>
      <c r="AF46">
        <v>800.00906666666697</v>
      </c>
      <c r="AG46">
        <v>100.127933333333</v>
      </c>
      <c r="AH46">
        <v>6.5944733333333297E-2</v>
      </c>
      <c r="AI46">
        <v>19.000553333333301</v>
      </c>
      <c r="AJ46">
        <v>999.9</v>
      </c>
      <c r="AK46">
        <v>999.9</v>
      </c>
      <c r="AL46">
        <v>0</v>
      </c>
      <c r="AM46">
        <v>0</v>
      </c>
      <c r="AN46">
        <v>5000.2666666666701</v>
      </c>
      <c r="AO46">
        <v>0</v>
      </c>
      <c r="AP46">
        <v>2.0325500000000001</v>
      </c>
      <c r="AQ46">
        <v>-0.25250653333333301</v>
      </c>
      <c r="AR46">
        <v>416.13113333333303</v>
      </c>
      <c r="AS46">
        <v>416.10466666666701</v>
      </c>
      <c r="AT46">
        <v>0.66957466666666599</v>
      </c>
      <c r="AU46">
        <v>409.98219999999998</v>
      </c>
      <c r="AV46">
        <v>14.7137266666667</v>
      </c>
      <c r="AW46">
        <v>1.5402993333333299</v>
      </c>
      <c r="AX46">
        <v>1.47325666666667</v>
      </c>
      <c r="AY46">
        <v>13.374173333333299</v>
      </c>
      <c r="AZ46">
        <v>12.693386666666701</v>
      </c>
      <c r="BA46">
        <v>300.00099999999998</v>
      </c>
      <c r="BB46">
        <v>0.89998206666666702</v>
      </c>
      <c r="BC46">
        <v>0</v>
      </c>
      <c r="BD46">
        <v>0.100017933333333</v>
      </c>
      <c r="BE46">
        <v>0</v>
      </c>
      <c r="BF46">
        <v>24</v>
      </c>
      <c r="BG46">
        <v>4946.6266666666697</v>
      </c>
      <c r="BH46">
        <v>1769182883</v>
      </c>
      <c r="BI46" t="s">
        <v>289</v>
      </c>
      <c r="BJ46">
        <v>1769182883</v>
      </c>
      <c r="BK46">
        <v>1769182883</v>
      </c>
      <c r="BL46">
        <v>1</v>
      </c>
      <c r="BM46">
        <v>-0.45</v>
      </c>
      <c r="BN46">
        <v>3.0000000000000001E-3</v>
      </c>
      <c r="BO46">
        <v>-1.2050000000000001</v>
      </c>
      <c r="BP46">
        <v>0.129</v>
      </c>
      <c r="BQ46">
        <v>410</v>
      </c>
      <c r="BR46">
        <v>15</v>
      </c>
      <c r="BS46">
        <v>0.1</v>
      </c>
      <c r="BT46">
        <v>0.06</v>
      </c>
      <c r="BU46">
        <v>-0.25604405000000002</v>
      </c>
      <c r="BV46">
        <v>8.8795443609023098E-2</v>
      </c>
      <c r="BW46">
        <v>2.34485920930767E-2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0.66929620000000001</v>
      </c>
      <c r="CD46">
        <v>4.3591578947369397E-3</v>
      </c>
      <c r="CE46">
        <v>1.1563693873499E-3</v>
      </c>
      <c r="CF46">
        <v>1</v>
      </c>
      <c r="CG46">
        <v>2</v>
      </c>
      <c r="CH46">
        <v>2</v>
      </c>
      <c r="CI46" t="s">
        <v>310</v>
      </c>
      <c r="CJ46">
        <v>3.5325000000000002</v>
      </c>
      <c r="CK46">
        <v>2.7037300000000002</v>
      </c>
      <c r="CL46">
        <v>9.8180400000000001E-2</v>
      </c>
      <c r="CM46">
        <v>9.6803700000000006E-2</v>
      </c>
      <c r="CN46">
        <v>8.7058999999999997E-2</v>
      </c>
      <c r="CO46">
        <v>8.3488800000000002E-2</v>
      </c>
      <c r="CP46">
        <v>31639.5</v>
      </c>
      <c r="CQ46">
        <v>27751.9</v>
      </c>
      <c r="CR46">
        <v>32468.6</v>
      </c>
      <c r="CS46">
        <v>30650.1</v>
      </c>
      <c r="CT46">
        <v>40120.6</v>
      </c>
      <c r="CU46">
        <v>39482.1</v>
      </c>
      <c r="CV46">
        <v>47400.3</v>
      </c>
      <c r="CW46">
        <v>46719.7</v>
      </c>
      <c r="CX46">
        <v>2.63422</v>
      </c>
      <c r="CY46">
        <v>2.1685400000000001</v>
      </c>
      <c r="CZ46">
        <v>0</v>
      </c>
      <c r="DA46">
        <v>0</v>
      </c>
      <c r="DB46">
        <v>999.9</v>
      </c>
      <c r="DC46">
        <v>999.9</v>
      </c>
      <c r="DD46">
        <v>75.296000000000006</v>
      </c>
      <c r="DE46">
        <v>23.716000000000001</v>
      </c>
      <c r="DF46">
        <v>22.1418</v>
      </c>
      <c r="DG46">
        <v>30.460100000000001</v>
      </c>
      <c r="DH46">
        <v>17.347799999999999</v>
      </c>
      <c r="DI46">
        <v>2</v>
      </c>
      <c r="DJ46">
        <v>-0.177173</v>
      </c>
      <c r="DK46">
        <v>1.8053300000000001</v>
      </c>
      <c r="DL46">
        <v>20.2209</v>
      </c>
      <c r="DM46">
        <v>5.2523900000000001</v>
      </c>
      <c r="DN46">
        <v>12.033899999999999</v>
      </c>
      <c r="DO46">
        <v>4.9675200000000004</v>
      </c>
      <c r="DP46">
        <v>3.2909999999999999</v>
      </c>
      <c r="DQ46">
        <v>9999</v>
      </c>
      <c r="DR46">
        <v>9999</v>
      </c>
      <c r="DS46">
        <v>534.1</v>
      </c>
      <c r="DT46">
        <v>9999</v>
      </c>
      <c r="DU46">
        <v>1.87093</v>
      </c>
      <c r="DV46">
        <v>1.8760300000000001</v>
      </c>
      <c r="DW46">
        <v>1.8762099999999999</v>
      </c>
      <c r="DX46">
        <v>1.88273</v>
      </c>
      <c r="DY46">
        <v>1.8754599999999999</v>
      </c>
      <c r="DZ46">
        <v>1.8745400000000001</v>
      </c>
      <c r="EA46">
        <v>1.8706700000000001</v>
      </c>
      <c r="EB46">
        <v>1.8745499999999999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-1.2050000000000001</v>
      </c>
      <c r="EQ46">
        <v>0.1293</v>
      </c>
      <c r="ER46">
        <v>-1.20520000000005</v>
      </c>
      <c r="ES46">
        <v>0</v>
      </c>
      <c r="ET46">
        <v>0</v>
      </c>
      <c r="EU46">
        <v>0</v>
      </c>
      <c r="EV46">
        <v>0.12931999999999799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1.23047</v>
      </c>
      <c r="FG46">
        <v>2.5476100000000002</v>
      </c>
      <c r="FH46">
        <v>2.19604</v>
      </c>
      <c r="FI46">
        <v>2.66357</v>
      </c>
      <c r="FJ46">
        <v>2.4462899999999999</v>
      </c>
      <c r="FK46">
        <v>2.2851599999999999</v>
      </c>
      <c r="FL46">
        <v>29.282699999999998</v>
      </c>
      <c r="FM46">
        <v>24.157499999999999</v>
      </c>
      <c r="FN46">
        <v>19</v>
      </c>
      <c r="FO46">
        <v>863.49199999999996</v>
      </c>
      <c r="FP46">
        <v>597.41499999999996</v>
      </c>
      <c r="FQ46">
        <v>18.373799999999999</v>
      </c>
      <c r="FR46">
        <v>24.745200000000001</v>
      </c>
      <c r="FS46">
        <v>30.0002</v>
      </c>
      <c r="FT46">
        <v>24.733599999999999</v>
      </c>
      <c r="FU46">
        <v>24.735099999999999</v>
      </c>
      <c r="FV46">
        <v>24.686800000000002</v>
      </c>
      <c r="FW46">
        <v>37.266800000000003</v>
      </c>
      <c r="FX46">
        <v>59.436500000000002</v>
      </c>
      <c r="FY46">
        <v>18.372800000000002</v>
      </c>
      <c r="FZ46">
        <v>410</v>
      </c>
      <c r="GA46">
        <v>14.769500000000001</v>
      </c>
      <c r="GB46">
        <v>99.894099999999995</v>
      </c>
      <c r="GC46">
        <v>99.475399999999993</v>
      </c>
    </row>
    <row r="47" spans="1:185" x14ac:dyDescent="0.2">
      <c r="A47">
        <v>32</v>
      </c>
      <c r="B47">
        <v>1769183335</v>
      </c>
      <c r="C47">
        <v>472</v>
      </c>
      <c r="D47" t="s">
        <v>357</v>
      </c>
      <c r="E47" t="s">
        <v>358</v>
      </c>
      <c r="F47">
        <v>15</v>
      </c>
      <c r="G47">
        <v>1769183326.9333301</v>
      </c>
      <c r="H47">
        <f t="shared" si="0"/>
        <v>5.4275328700083823E-4</v>
      </c>
      <c r="I47">
        <v>0</v>
      </c>
      <c r="J47">
        <f t="shared" si="12"/>
        <v>-5.1013338859915249E-4</v>
      </c>
      <c r="K47">
        <f t="shared" si="1"/>
        <v>-1.3360225950634545E-2</v>
      </c>
      <c r="L47">
        <f t="shared" si="2"/>
        <v>69.85597142126322</v>
      </c>
      <c r="M47">
        <f t="shared" si="3"/>
        <v>1.5405700884478504</v>
      </c>
      <c r="N47">
        <f t="shared" si="4"/>
        <v>2.2053520366319344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26268.466476304053</v>
      </c>
      <c r="T47">
        <f t="shared" si="8"/>
        <v>299.9982</v>
      </c>
      <c r="U47">
        <f t="shared" si="9"/>
        <v>252.89868179880489</v>
      </c>
      <c r="V47">
        <f t="shared" si="10"/>
        <v>0.84300066400000029</v>
      </c>
      <c r="W47">
        <f t="shared" si="11"/>
        <v>0.1587015300800001</v>
      </c>
      <c r="X47">
        <v>1</v>
      </c>
      <c r="Y47">
        <v>1769183326.9333301</v>
      </c>
      <c r="Z47">
        <v>409.71960000000001</v>
      </c>
      <c r="AA47">
        <v>409.980866666667</v>
      </c>
      <c r="AB47">
        <v>15.375973333333301</v>
      </c>
      <c r="AC47">
        <v>14.7079733333333</v>
      </c>
      <c r="AD47">
        <v>410.92466666666701</v>
      </c>
      <c r="AE47">
        <v>15.246646666666701</v>
      </c>
      <c r="AF47">
        <v>800.01186666666695</v>
      </c>
      <c r="AG47">
        <v>100.127466666667</v>
      </c>
      <c r="AH47">
        <v>6.5871020000000002E-2</v>
      </c>
      <c r="AI47">
        <v>19.001246666666699</v>
      </c>
      <c r="AJ47">
        <v>999.9</v>
      </c>
      <c r="AK47">
        <v>999.9</v>
      </c>
      <c r="AL47">
        <v>0</v>
      </c>
      <c r="AM47">
        <v>0</v>
      </c>
      <c r="AN47">
        <v>5002.1333333333296</v>
      </c>
      <c r="AO47">
        <v>0</v>
      </c>
      <c r="AP47">
        <v>2.0551366666666699</v>
      </c>
      <c r="AQ47">
        <v>-0.26129973333333301</v>
      </c>
      <c r="AR47">
        <v>416.11766666666699</v>
      </c>
      <c r="AS47">
        <v>416.10079999999999</v>
      </c>
      <c r="AT47">
        <v>0.66799526666666698</v>
      </c>
      <c r="AU47">
        <v>409.980866666667</v>
      </c>
      <c r="AV47">
        <v>14.7079733333333</v>
      </c>
      <c r="AW47">
        <v>1.53955666666667</v>
      </c>
      <c r="AX47">
        <v>1.4726699999999999</v>
      </c>
      <c r="AY47">
        <v>13.366773333333301</v>
      </c>
      <c r="AZ47">
        <v>12.687326666666699</v>
      </c>
      <c r="BA47">
        <v>299.9982</v>
      </c>
      <c r="BB47">
        <v>0.8999798</v>
      </c>
      <c r="BC47">
        <v>0</v>
      </c>
      <c r="BD47">
        <v>0.100020266666667</v>
      </c>
      <c r="BE47">
        <v>0</v>
      </c>
      <c r="BF47">
        <v>24</v>
      </c>
      <c r="BG47">
        <v>4946.5746666666701</v>
      </c>
      <c r="BH47">
        <v>1769182883</v>
      </c>
      <c r="BI47" t="s">
        <v>289</v>
      </c>
      <c r="BJ47">
        <v>1769182883</v>
      </c>
      <c r="BK47">
        <v>1769182883</v>
      </c>
      <c r="BL47">
        <v>1</v>
      </c>
      <c r="BM47">
        <v>-0.45</v>
      </c>
      <c r="BN47">
        <v>3.0000000000000001E-3</v>
      </c>
      <c r="BO47">
        <v>-1.2050000000000001</v>
      </c>
      <c r="BP47">
        <v>0.129</v>
      </c>
      <c r="BQ47">
        <v>410</v>
      </c>
      <c r="BR47">
        <v>15</v>
      </c>
      <c r="BS47">
        <v>0.1</v>
      </c>
      <c r="BT47">
        <v>0.06</v>
      </c>
      <c r="BU47">
        <v>-0.25372899999999998</v>
      </c>
      <c r="BV47">
        <v>-7.0243948051948099E-2</v>
      </c>
      <c r="BW47">
        <v>2.03751324763441E-2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0.66852985714285695</v>
      </c>
      <c r="CD47">
        <v>-1.3195558441558499E-2</v>
      </c>
      <c r="CE47">
        <v>2.4473239473762599E-3</v>
      </c>
      <c r="CF47">
        <v>1</v>
      </c>
      <c r="CG47">
        <v>2</v>
      </c>
      <c r="CH47">
        <v>2</v>
      </c>
      <c r="CI47" t="s">
        <v>310</v>
      </c>
      <c r="CJ47">
        <v>3.5324499999999999</v>
      </c>
      <c r="CK47">
        <v>2.70364</v>
      </c>
      <c r="CL47">
        <v>9.8179600000000006E-2</v>
      </c>
      <c r="CM47">
        <v>9.6801700000000004E-2</v>
      </c>
      <c r="CN47">
        <v>8.7033700000000006E-2</v>
      </c>
      <c r="CO47">
        <v>8.3548399999999995E-2</v>
      </c>
      <c r="CP47">
        <v>31638.9</v>
      </c>
      <c r="CQ47">
        <v>27752.2</v>
      </c>
      <c r="CR47">
        <v>32468</v>
      </c>
      <c r="CS47">
        <v>30650.400000000001</v>
      </c>
      <c r="CT47">
        <v>40121</v>
      </c>
      <c r="CU47">
        <v>39480.1</v>
      </c>
      <c r="CV47">
        <v>47399.4</v>
      </c>
      <c r="CW47">
        <v>46720.4</v>
      </c>
      <c r="CX47">
        <v>2.6340599999999998</v>
      </c>
      <c r="CY47">
        <v>2.16852</v>
      </c>
      <c r="CZ47">
        <v>0</v>
      </c>
      <c r="DA47">
        <v>0</v>
      </c>
      <c r="DB47">
        <v>999.9</v>
      </c>
      <c r="DC47">
        <v>999.9</v>
      </c>
      <c r="DD47">
        <v>75.180000000000007</v>
      </c>
      <c r="DE47">
        <v>23.756</v>
      </c>
      <c r="DF47">
        <v>22.1584</v>
      </c>
      <c r="DG47">
        <v>30.400099999999998</v>
      </c>
      <c r="DH47">
        <v>17.287700000000001</v>
      </c>
      <c r="DI47">
        <v>2</v>
      </c>
      <c r="DJ47">
        <v>-0.176681</v>
      </c>
      <c r="DK47">
        <v>1.8191200000000001</v>
      </c>
      <c r="DL47">
        <v>20.220800000000001</v>
      </c>
      <c r="DM47">
        <v>5.2522700000000002</v>
      </c>
      <c r="DN47">
        <v>12.033899999999999</v>
      </c>
      <c r="DO47">
        <v>4.9674800000000001</v>
      </c>
      <c r="DP47">
        <v>3.2909999999999999</v>
      </c>
      <c r="DQ47">
        <v>9999</v>
      </c>
      <c r="DR47">
        <v>9999</v>
      </c>
      <c r="DS47">
        <v>534.1</v>
      </c>
      <c r="DT47">
        <v>9999</v>
      </c>
      <c r="DU47">
        <v>1.8709</v>
      </c>
      <c r="DV47">
        <v>1.8759699999999999</v>
      </c>
      <c r="DW47">
        <v>1.87615</v>
      </c>
      <c r="DX47">
        <v>1.8827199999999999</v>
      </c>
      <c r="DY47">
        <v>1.8754599999999999</v>
      </c>
      <c r="DZ47">
        <v>1.8745400000000001</v>
      </c>
      <c r="EA47">
        <v>1.8706499999999999</v>
      </c>
      <c r="EB47">
        <v>1.8745400000000001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-1.206</v>
      </c>
      <c r="EQ47">
        <v>0.1293</v>
      </c>
      <c r="ER47">
        <v>-1.20520000000005</v>
      </c>
      <c r="ES47">
        <v>0</v>
      </c>
      <c r="ET47">
        <v>0</v>
      </c>
      <c r="EU47">
        <v>0</v>
      </c>
      <c r="EV47">
        <v>0.12931999999999799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7.5</v>
      </c>
      <c r="FE47">
        <v>7.5</v>
      </c>
      <c r="FF47">
        <v>1.23047</v>
      </c>
      <c r="FG47">
        <v>2.5500500000000001</v>
      </c>
      <c r="FH47">
        <v>2.19604</v>
      </c>
      <c r="FI47">
        <v>2.66357</v>
      </c>
      <c r="FJ47">
        <v>2.4462899999999999</v>
      </c>
      <c r="FK47">
        <v>2.2546400000000002</v>
      </c>
      <c r="FL47">
        <v>29.282699999999998</v>
      </c>
      <c r="FM47">
        <v>24.148800000000001</v>
      </c>
      <c r="FN47">
        <v>19</v>
      </c>
      <c r="FO47">
        <v>863.41099999999994</v>
      </c>
      <c r="FP47">
        <v>597.44299999999998</v>
      </c>
      <c r="FQ47">
        <v>18.369700000000002</v>
      </c>
      <c r="FR47">
        <v>24.748799999999999</v>
      </c>
      <c r="FS47">
        <v>30.0001</v>
      </c>
      <c r="FT47">
        <v>24.7377</v>
      </c>
      <c r="FU47">
        <v>24.738800000000001</v>
      </c>
      <c r="FV47">
        <v>24.6889</v>
      </c>
      <c r="FW47">
        <v>36.988700000000001</v>
      </c>
      <c r="FX47">
        <v>58.676699999999997</v>
      </c>
      <c r="FY47">
        <v>18.368600000000001</v>
      </c>
      <c r="FZ47">
        <v>410</v>
      </c>
      <c r="GA47">
        <v>14.785299999999999</v>
      </c>
      <c r="GB47">
        <v>99.892099999999999</v>
      </c>
      <c r="GC47">
        <v>99.476699999999994</v>
      </c>
    </row>
    <row r="48" spans="1:185" x14ac:dyDescent="0.2">
      <c r="A48">
        <v>33</v>
      </c>
      <c r="B48">
        <v>1769183350</v>
      </c>
      <c r="C48">
        <v>487</v>
      </c>
      <c r="D48" t="s">
        <v>359</v>
      </c>
      <c r="E48" t="s">
        <v>360</v>
      </c>
      <c r="F48">
        <v>15</v>
      </c>
      <c r="G48">
        <v>1769183341.9333301</v>
      </c>
      <c r="H48">
        <f t="shared" si="0"/>
        <v>5.1575324307692261E-4</v>
      </c>
      <c r="I48">
        <v>0</v>
      </c>
      <c r="J48">
        <f t="shared" si="12"/>
        <v>-5.5009177737453622E-5</v>
      </c>
      <c r="K48">
        <f t="shared" si="1"/>
        <v>-1.4406723032757338E-3</v>
      </c>
      <c r="L48">
        <f t="shared" si="2"/>
        <v>69.87522241733258</v>
      </c>
      <c r="M48">
        <f t="shared" si="3"/>
        <v>1.5410042568563311</v>
      </c>
      <c r="N48">
        <f t="shared" si="4"/>
        <v>2.2053657985553463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26257.497907926721</v>
      </c>
      <c r="T48">
        <f t="shared" si="8"/>
        <v>300.00046666666702</v>
      </c>
      <c r="U48">
        <f t="shared" si="9"/>
        <v>252.90052960021217</v>
      </c>
      <c r="V48">
        <f t="shared" si="10"/>
        <v>0.84300045400000001</v>
      </c>
      <c r="W48">
        <f t="shared" si="11"/>
        <v>0.15870113499999999</v>
      </c>
      <c r="X48">
        <v>1</v>
      </c>
      <c r="Y48">
        <v>1769183341.9333301</v>
      </c>
      <c r="Z48">
        <v>409.70786666666697</v>
      </c>
      <c r="AA48">
        <v>409.97019999999998</v>
      </c>
      <c r="AB48">
        <v>15.3805866666667</v>
      </c>
      <c r="AC48">
        <v>14.745813333333301</v>
      </c>
      <c r="AD48">
        <v>410.91306666666702</v>
      </c>
      <c r="AE48">
        <v>15.25128</v>
      </c>
      <c r="AF48">
        <v>800.00313333333304</v>
      </c>
      <c r="AG48">
        <v>100.1258</v>
      </c>
      <c r="AH48">
        <v>6.5713513333333307E-2</v>
      </c>
      <c r="AI48">
        <v>19.001346666666699</v>
      </c>
      <c r="AJ48">
        <v>999.9</v>
      </c>
      <c r="AK48">
        <v>999.9</v>
      </c>
      <c r="AL48">
        <v>0</v>
      </c>
      <c r="AM48">
        <v>0</v>
      </c>
      <c r="AN48">
        <v>5000.3999999999996</v>
      </c>
      <c r="AO48">
        <v>0</v>
      </c>
      <c r="AP48">
        <v>2.06642866666667</v>
      </c>
      <c r="AQ48">
        <v>-0.26227820000000002</v>
      </c>
      <c r="AR48">
        <v>416.1078</v>
      </c>
      <c r="AS48">
        <v>416.10593333333298</v>
      </c>
      <c r="AT48">
        <v>0.63478426666666699</v>
      </c>
      <c r="AU48">
        <v>409.97019999999998</v>
      </c>
      <c r="AV48">
        <v>14.745813333333301</v>
      </c>
      <c r="AW48">
        <v>1.5399953333333301</v>
      </c>
      <c r="AX48">
        <v>1.47643733333333</v>
      </c>
      <c r="AY48">
        <v>13.3711466666667</v>
      </c>
      <c r="AZ48">
        <v>12.7263133333333</v>
      </c>
      <c r="BA48">
        <v>300.00046666666702</v>
      </c>
      <c r="BB48">
        <v>0.89998486666666699</v>
      </c>
      <c r="BC48">
        <v>0</v>
      </c>
      <c r="BD48">
        <v>0.10001513333333301</v>
      </c>
      <c r="BE48">
        <v>0</v>
      </c>
      <c r="BF48">
        <v>24</v>
      </c>
      <c r="BG48">
        <v>4946.6239999999998</v>
      </c>
      <c r="BH48">
        <v>1769182883</v>
      </c>
      <c r="BI48" t="s">
        <v>289</v>
      </c>
      <c r="BJ48">
        <v>1769182883</v>
      </c>
      <c r="BK48">
        <v>1769182883</v>
      </c>
      <c r="BL48">
        <v>1</v>
      </c>
      <c r="BM48">
        <v>-0.45</v>
      </c>
      <c r="BN48">
        <v>3.0000000000000001E-3</v>
      </c>
      <c r="BO48">
        <v>-1.2050000000000001</v>
      </c>
      <c r="BP48">
        <v>0.129</v>
      </c>
      <c r="BQ48">
        <v>410</v>
      </c>
      <c r="BR48">
        <v>15</v>
      </c>
      <c r="BS48">
        <v>0.1</v>
      </c>
      <c r="BT48">
        <v>0.06</v>
      </c>
      <c r="BU48">
        <v>-0.25878899999999999</v>
      </c>
      <c r="BV48">
        <v>-9.2956240601503995E-2</v>
      </c>
      <c r="BW48">
        <v>1.23627071307218E-2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0.64222610000000002</v>
      </c>
      <c r="CD48">
        <v>-0.113913112781954</v>
      </c>
      <c r="CE48">
        <v>1.48148767254405E-2</v>
      </c>
      <c r="CF48">
        <v>0</v>
      </c>
      <c r="CG48">
        <v>1</v>
      </c>
      <c r="CH48">
        <v>2</v>
      </c>
      <c r="CI48" t="s">
        <v>301</v>
      </c>
      <c r="CJ48">
        <v>3.5325299999999999</v>
      </c>
      <c r="CK48">
        <v>2.7036199999999999</v>
      </c>
      <c r="CL48">
        <v>9.8180799999999999E-2</v>
      </c>
      <c r="CM48">
        <v>9.6803100000000003E-2</v>
      </c>
      <c r="CN48">
        <v>8.7095500000000006E-2</v>
      </c>
      <c r="CO48">
        <v>8.3649000000000001E-2</v>
      </c>
      <c r="CP48">
        <v>31638.2</v>
      </c>
      <c r="CQ48">
        <v>27753</v>
      </c>
      <c r="CR48">
        <v>32467.4</v>
      </c>
      <c r="CS48">
        <v>30651.4</v>
      </c>
      <c r="CT48">
        <v>40117.699999999997</v>
      </c>
      <c r="CU48">
        <v>39477.1</v>
      </c>
      <c r="CV48">
        <v>47398.7</v>
      </c>
      <c r="CW48">
        <v>46722.2</v>
      </c>
      <c r="CX48">
        <v>2.6340400000000002</v>
      </c>
      <c r="CY48">
        <v>2.16812</v>
      </c>
      <c r="CZ48">
        <v>0</v>
      </c>
      <c r="DA48">
        <v>0</v>
      </c>
      <c r="DB48">
        <v>999.9</v>
      </c>
      <c r="DC48">
        <v>999.9</v>
      </c>
      <c r="DD48">
        <v>75.088999999999999</v>
      </c>
      <c r="DE48">
        <v>23.765999999999998</v>
      </c>
      <c r="DF48">
        <v>22.148800000000001</v>
      </c>
      <c r="DG48">
        <v>30.700099999999999</v>
      </c>
      <c r="DH48">
        <v>17.267600000000002</v>
      </c>
      <c r="DI48">
        <v>2</v>
      </c>
      <c r="DJ48">
        <v>-0.17655899999999999</v>
      </c>
      <c r="DK48">
        <v>1.82378</v>
      </c>
      <c r="DL48">
        <v>20.220700000000001</v>
      </c>
      <c r="DM48">
        <v>5.2523900000000001</v>
      </c>
      <c r="DN48">
        <v>12.033899999999999</v>
      </c>
      <c r="DO48">
        <v>4.9676</v>
      </c>
      <c r="DP48">
        <v>3.2909999999999999</v>
      </c>
      <c r="DQ48">
        <v>9999</v>
      </c>
      <c r="DR48">
        <v>9999</v>
      </c>
      <c r="DS48">
        <v>534.1</v>
      </c>
      <c r="DT48">
        <v>9999</v>
      </c>
      <c r="DU48">
        <v>1.8708899999999999</v>
      </c>
      <c r="DV48">
        <v>1.8759999999999999</v>
      </c>
      <c r="DW48">
        <v>1.87619</v>
      </c>
      <c r="DX48">
        <v>1.88273</v>
      </c>
      <c r="DY48">
        <v>1.8754599999999999</v>
      </c>
      <c r="DZ48">
        <v>1.8745400000000001</v>
      </c>
      <c r="EA48">
        <v>1.87066</v>
      </c>
      <c r="EB48">
        <v>1.8745499999999999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-1.2050000000000001</v>
      </c>
      <c r="EQ48">
        <v>0.1293</v>
      </c>
      <c r="ER48">
        <v>-1.20520000000005</v>
      </c>
      <c r="ES48">
        <v>0</v>
      </c>
      <c r="ET48">
        <v>0</v>
      </c>
      <c r="EU48">
        <v>0</v>
      </c>
      <c r="EV48">
        <v>0.12931999999999799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7.8</v>
      </c>
      <c r="FE48">
        <v>7.8</v>
      </c>
      <c r="FF48">
        <v>1.23047</v>
      </c>
      <c r="FG48">
        <v>2.5415000000000001</v>
      </c>
      <c r="FH48">
        <v>2.19604</v>
      </c>
      <c r="FI48">
        <v>2.66357</v>
      </c>
      <c r="FJ48">
        <v>2.4462899999999999</v>
      </c>
      <c r="FK48">
        <v>2.2936999999999999</v>
      </c>
      <c r="FL48">
        <v>29.303899999999999</v>
      </c>
      <c r="FM48">
        <v>24.157499999999999</v>
      </c>
      <c r="FN48">
        <v>19</v>
      </c>
      <c r="FO48">
        <v>863.46100000000001</v>
      </c>
      <c r="FP48">
        <v>597.173</v>
      </c>
      <c r="FQ48">
        <v>18.3705</v>
      </c>
      <c r="FR48">
        <v>24.753</v>
      </c>
      <c r="FS48">
        <v>30.0002</v>
      </c>
      <c r="FT48">
        <v>24.741900000000001</v>
      </c>
      <c r="FU48">
        <v>24.7425</v>
      </c>
      <c r="FV48">
        <v>24.691500000000001</v>
      </c>
      <c r="FW48">
        <v>36.988700000000001</v>
      </c>
      <c r="FX48">
        <v>58.306399999999996</v>
      </c>
      <c r="FY48">
        <v>18.368600000000001</v>
      </c>
      <c r="FZ48">
        <v>410</v>
      </c>
      <c r="GA48">
        <v>14.7803</v>
      </c>
      <c r="GB48">
        <v>99.890600000000006</v>
      </c>
      <c r="GC48">
        <v>99.4803</v>
      </c>
    </row>
    <row r="49" spans="1:185" x14ac:dyDescent="0.2">
      <c r="A49">
        <v>34</v>
      </c>
      <c r="B49">
        <v>1769183365</v>
      </c>
      <c r="C49">
        <v>502</v>
      </c>
      <c r="D49" t="s">
        <v>361</v>
      </c>
      <c r="E49" t="s">
        <v>362</v>
      </c>
      <c r="F49">
        <v>15</v>
      </c>
      <c r="G49">
        <v>1769183356.9333301</v>
      </c>
      <c r="H49">
        <f t="shared" si="0"/>
        <v>5.249082761192164E-4</v>
      </c>
      <c r="I49">
        <v>0</v>
      </c>
      <c r="J49">
        <f t="shared" si="12"/>
        <v>4.3906975364528593E-4</v>
      </c>
      <c r="K49">
        <f t="shared" si="1"/>
        <v>1.1499092684168235E-2</v>
      </c>
      <c r="L49">
        <f t="shared" si="2"/>
        <v>69.914689150739804</v>
      </c>
      <c r="M49">
        <f t="shared" si="3"/>
        <v>1.5419625224671987</v>
      </c>
      <c r="N49">
        <f t="shared" si="4"/>
        <v>2.2054914942733208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26248.07216780007</v>
      </c>
      <c r="T49">
        <f t="shared" si="8"/>
        <v>299.99886666666703</v>
      </c>
      <c r="U49">
        <f t="shared" si="9"/>
        <v>252.89914779961035</v>
      </c>
      <c r="V49">
        <f t="shared" si="10"/>
        <v>0.84300034399999968</v>
      </c>
      <c r="W49">
        <f t="shared" si="11"/>
        <v>0.15870098991999992</v>
      </c>
      <c r="X49">
        <v>1</v>
      </c>
      <c r="Y49">
        <v>1769183356.9333301</v>
      </c>
      <c r="Z49">
        <v>409.71406666666701</v>
      </c>
      <c r="AA49">
        <v>409.99726666666697</v>
      </c>
      <c r="AB49">
        <v>15.39016</v>
      </c>
      <c r="AC49">
        <v>14.7441266666667</v>
      </c>
      <c r="AD49">
        <v>410.91913333333298</v>
      </c>
      <c r="AE49">
        <v>15.2608466666667</v>
      </c>
      <c r="AF49">
        <v>800.00493333333304</v>
      </c>
      <c r="AG49">
        <v>100.125666666667</v>
      </c>
      <c r="AH49">
        <v>6.5788293333333303E-2</v>
      </c>
      <c r="AI49">
        <v>19.00226</v>
      </c>
      <c r="AJ49">
        <v>999.9</v>
      </c>
      <c r="AK49">
        <v>999.9</v>
      </c>
      <c r="AL49">
        <v>0</v>
      </c>
      <c r="AM49">
        <v>0</v>
      </c>
      <c r="AN49">
        <v>4998.8666666666704</v>
      </c>
      <c r="AO49">
        <v>0</v>
      </c>
      <c r="AP49">
        <v>2.0325500000000001</v>
      </c>
      <c r="AQ49">
        <v>-0.28343499999999999</v>
      </c>
      <c r="AR49">
        <v>416.118066666667</v>
      </c>
      <c r="AS49">
        <v>416.13279999999997</v>
      </c>
      <c r="AT49">
        <v>0.64603626666666703</v>
      </c>
      <c r="AU49">
        <v>409.99726666666697</v>
      </c>
      <c r="AV49">
        <v>14.7441266666667</v>
      </c>
      <c r="AW49">
        <v>1.54095133333333</v>
      </c>
      <c r="AX49">
        <v>1.4762666666666699</v>
      </c>
      <c r="AY49">
        <v>13.3806733333333</v>
      </c>
      <c r="AZ49">
        <v>12.724546666666701</v>
      </c>
      <c r="BA49">
        <v>299.99886666666703</v>
      </c>
      <c r="BB49">
        <v>0.89998659999999997</v>
      </c>
      <c r="BC49">
        <v>0</v>
      </c>
      <c r="BD49">
        <v>0.100013333333333</v>
      </c>
      <c r="BE49">
        <v>0</v>
      </c>
      <c r="BF49">
        <v>24</v>
      </c>
      <c r="BG49">
        <v>4946.5986666666704</v>
      </c>
      <c r="BH49">
        <v>1769182883</v>
      </c>
      <c r="BI49" t="s">
        <v>289</v>
      </c>
      <c r="BJ49">
        <v>1769182883</v>
      </c>
      <c r="BK49">
        <v>1769182883</v>
      </c>
      <c r="BL49">
        <v>1</v>
      </c>
      <c r="BM49">
        <v>-0.45</v>
      </c>
      <c r="BN49">
        <v>3.0000000000000001E-3</v>
      </c>
      <c r="BO49">
        <v>-1.2050000000000001</v>
      </c>
      <c r="BP49">
        <v>0.129</v>
      </c>
      <c r="BQ49">
        <v>410</v>
      </c>
      <c r="BR49">
        <v>15</v>
      </c>
      <c r="BS49">
        <v>0.1</v>
      </c>
      <c r="BT49">
        <v>0.06</v>
      </c>
      <c r="BU49">
        <v>-0.27992019047618999</v>
      </c>
      <c r="BV49">
        <v>-5.7536727272727697E-2</v>
      </c>
      <c r="BW49">
        <v>1.36495934445614E-2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0.64300619047619001</v>
      </c>
      <c r="CD49">
        <v>5.2262025974025898E-2</v>
      </c>
      <c r="CE49">
        <v>5.5519398807902503E-3</v>
      </c>
      <c r="CF49">
        <v>1</v>
      </c>
      <c r="CG49">
        <v>2</v>
      </c>
      <c r="CH49">
        <v>2</v>
      </c>
      <c r="CI49" t="s">
        <v>310</v>
      </c>
      <c r="CJ49">
        <v>3.53247</v>
      </c>
      <c r="CK49">
        <v>2.7034099999999999</v>
      </c>
      <c r="CL49">
        <v>9.8184199999999999E-2</v>
      </c>
      <c r="CM49">
        <v>9.6799200000000002E-2</v>
      </c>
      <c r="CN49">
        <v>8.7090200000000006E-2</v>
      </c>
      <c r="CO49">
        <v>8.3614599999999997E-2</v>
      </c>
      <c r="CP49">
        <v>31638.799999999999</v>
      </c>
      <c r="CQ49">
        <v>27753.5</v>
      </c>
      <c r="CR49">
        <v>32468.1</v>
      </c>
      <c r="CS49">
        <v>30651.9</v>
      </c>
      <c r="CT49">
        <v>40118.5</v>
      </c>
      <c r="CU49">
        <v>39479.4</v>
      </c>
      <c r="CV49">
        <v>47399.4</v>
      </c>
      <c r="CW49">
        <v>46723.1</v>
      </c>
      <c r="CX49">
        <v>2.63374</v>
      </c>
      <c r="CY49">
        <v>2.1678799999999998</v>
      </c>
      <c r="CZ49">
        <v>0</v>
      </c>
      <c r="DA49">
        <v>0</v>
      </c>
      <c r="DB49">
        <v>999.9</v>
      </c>
      <c r="DC49">
        <v>999.9</v>
      </c>
      <c r="DD49">
        <v>74.965999999999994</v>
      </c>
      <c r="DE49">
        <v>23.786000000000001</v>
      </c>
      <c r="DF49">
        <v>22.138000000000002</v>
      </c>
      <c r="DG49">
        <v>30.430099999999999</v>
      </c>
      <c r="DH49">
        <v>17.431899999999999</v>
      </c>
      <c r="DI49">
        <v>2</v>
      </c>
      <c r="DJ49">
        <v>-0.17615700000000001</v>
      </c>
      <c r="DK49">
        <v>1.8474200000000001</v>
      </c>
      <c r="DL49">
        <v>20.220500000000001</v>
      </c>
      <c r="DM49">
        <v>5.2523900000000001</v>
      </c>
      <c r="DN49">
        <v>12.033899999999999</v>
      </c>
      <c r="DO49">
        <v>4.9677199999999999</v>
      </c>
      <c r="DP49">
        <v>3.2909999999999999</v>
      </c>
      <c r="DQ49">
        <v>9999</v>
      </c>
      <c r="DR49">
        <v>9999</v>
      </c>
      <c r="DS49">
        <v>534.1</v>
      </c>
      <c r="DT49">
        <v>9999</v>
      </c>
      <c r="DU49">
        <v>1.87097</v>
      </c>
      <c r="DV49">
        <v>1.87605</v>
      </c>
      <c r="DW49">
        <v>1.87622</v>
      </c>
      <c r="DX49">
        <v>1.8827700000000001</v>
      </c>
      <c r="DY49">
        <v>1.87547</v>
      </c>
      <c r="DZ49">
        <v>1.8745499999999999</v>
      </c>
      <c r="EA49">
        <v>1.8707100000000001</v>
      </c>
      <c r="EB49">
        <v>1.8745799999999999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-1.2050000000000001</v>
      </c>
      <c r="EQ49">
        <v>0.1293</v>
      </c>
      <c r="ER49">
        <v>-1.20520000000005</v>
      </c>
      <c r="ES49">
        <v>0</v>
      </c>
      <c r="ET49">
        <v>0</v>
      </c>
      <c r="EU49">
        <v>0</v>
      </c>
      <c r="EV49">
        <v>0.12931999999999799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</v>
      </c>
      <c r="FE49">
        <v>8</v>
      </c>
      <c r="FF49">
        <v>1.23047</v>
      </c>
      <c r="FG49">
        <v>2.5488300000000002</v>
      </c>
      <c r="FH49">
        <v>2.19604</v>
      </c>
      <c r="FI49">
        <v>2.66357</v>
      </c>
      <c r="FJ49">
        <v>2.4462899999999999</v>
      </c>
      <c r="FK49">
        <v>2.3083499999999999</v>
      </c>
      <c r="FL49">
        <v>29.325099999999999</v>
      </c>
      <c r="FM49">
        <v>24.157499999999999</v>
      </c>
      <c r="FN49">
        <v>19</v>
      </c>
      <c r="FO49">
        <v>863.23699999999997</v>
      </c>
      <c r="FP49">
        <v>597.03200000000004</v>
      </c>
      <c r="FQ49">
        <v>18.363700000000001</v>
      </c>
      <c r="FR49">
        <v>24.756799999999998</v>
      </c>
      <c r="FS49">
        <v>30.0002</v>
      </c>
      <c r="FT49">
        <v>24.7453</v>
      </c>
      <c r="FU49">
        <v>24.746700000000001</v>
      </c>
      <c r="FV49">
        <v>24.6936</v>
      </c>
      <c r="FW49">
        <v>36.988700000000001</v>
      </c>
      <c r="FX49">
        <v>57.935600000000001</v>
      </c>
      <c r="FY49">
        <v>18.3614</v>
      </c>
      <c r="FZ49">
        <v>410</v>
      </c>
      <c r="GA49">
        <v>14.783799999999999</v>
      </c>
      <c r="GB49">
        <v>99.892300000000006</v>
      </c>
      <c r="GC49">
        <v>99.481999999999999</v>
      </c>
    </row>
    <row r="50" spans="1:185" x14ac:dyDescent="0.2">
      <c r="A50">
        <v>35</v>
      </c>
      <c r="B50">
        <v>1769183380</v>
      </c>
      <c r="C50">
        <v>517</v>
      </c>
      <c r="D50" t="s">
        <v>363</v>
      </c>
      <c r="E50" t="s">
        <v>364</v>
      </c>
      <c r="F50">
        <v>15</v>
      </c>
      <c r="G50">
        <v>1769183371.9333301</v>
      </c>
      <c r="H50">
        <f t="shared" si="0"/>
        <v>5.2694470385679132E-4</v>
      </c>
      <c r="I50">
        <v>0</v>
      </c>
      <c r="J50">
        <f t="shared" si="12"/>
        <v>7.5468125932365084E-5</v>
      </c>
      <c r="K50">
        <f t="shared" si="1"/>
        <v>1.9764854390262408E-3</v>
      </c>
      <c r="L50">
        <f t="shared" si="2"/>
        <v>69.888935109179442</v>
      </c>
      <c r="M50">
        <f t="shared" si="3"/>
        <v>1.5413720760875875</v>
      </c>
      <c r="N50">
        <f t="shared" si="4"/>
        <v>2.2054593816312686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26251.383422123796</v>
      </c>
      <c r="T50">
        <f t="shared" si="8"/>
        <v>300.00060000000002</v>
      </c>
      <c r="U50">
        <f t="shared" si="9"/>
        <v>252.90064380027601</v>
      </c>
      <c r="V50">
        <f t="shared" si="10"/>
        <v>0.84300045999999995</v>
      </c>
      <c r="W50">
        <f t="shared" si="11"/>
        <v>0.15870114999999999</v>
      </c>
      <c r="X50">
        <v>1</v>
      </c>
      <c r="Y50">
        <v>1769183371.9333301</v>
      </c>
      <c r="Z50">
        <v>409.70659999999998</v>
      </c>
      <c r="AA50">
        <v>409.97893333333298</v>
      </c>
      <c r="AB50">
        <v>15.3842533333333</v>
      </c>
      <c r="AC50">
        <v>14.735713333333299</v>
      </c>
      <c r="AD50">
        <v>410.91193333333302</v>
      </c>
      <c r="AE50">
        <v>15.254913333333301</v>
      </c>
      <c r="AF50">
        <v>800.00933333333296</v>
      </c>
      <c r="AG50">
        <v>100.12586666666699</v>
      </c>
      <c r="AH50">
        <v>6.5676120000000004E-2</v>
      </c>
      <c r="AI50">
        <v>19.002026666666701</v>
      </c>
      <c r="AJ50">
        <v>999.9</v>
      </c>
      <c r="AK50">
        <v>999.9</v>
      </c>
      <c r="AL50">
        <v>0</v>
      </c>
      <c r="AM50">
        <v>0</v>
      </c>
      <c r="AN50">
        <v>4999.3999999999996</v>
      </c>
      <c r="AO50">
        <v>0</v>
      </c>
      <c r="AP50">
        <v>2.0325500000000001</v>
      </c>
      <c r="AQ50">
        <v>-0.27226366666666701</v>
      </c>
      <c r="AR50">
        <v>416.108133333333</v>
      </c>
      <c r="AS50">
        <v>416.11066666666699</v>
      </c>
      <c r="AT50">
        <v>0.6485398</v>
      </c>
      <c r="AU50">
        <v>409.97893333333298</v>
      </c>
      <c r="AV50">
        <v>14.735713333333299</v>
      </c>
      <c r="AW50">
        <v>1.54036</v>
      </c>
      <c r="AX50">
        <v>1.47542533333333</v>
      </c>
      <c r="AY50">
        <v>13.374786666666701</v>
      </c>
      <c r="AZ50">
        <v>12.7158533333333</v>
      </c>
      <c r="BA50">
        <v>300.00060000000002</v>
      </c>
      <c r="BB50">
        <v>0.89998466666666699</v>
      </c>
      <c r="BC50">
        <v>0</v>
      </c>
      <c r="BD50">
        <v>0.100015333333333</v>
      </c>
      <c r="BE50">
        <v>0</v>
      </c>
      <c r="BF50">
        <v>24</v>
      </c>
      <c r="BG50">
        <v>4946.6273333333302</v>
      </c>
      <c r="BH50">
        <v>1769182883</v>
      </c>
      <c r="BI50" t="s">
        <v>289</v>
      </c>
      <c r="BJ50">
        <v>1769182883</v>
      </c>
      <c r="BK50">
        <v>1769182883</v>
      </c>
      <c r="BL50">
        <v>1</v>
      </c>
      <c r="BM50">
        <v>-0.45</v>
      </c>
      <c r="BN50">
        <v>3.0000000000000001E-3</v>
      </c>
      <c r="BO50">
        <v>-1.2050000000000001</v>
      </c>
      <c r="BP50">
        <v>0.129</v>
      </c>
      <c r="BQ50">
        <v>410</v>
      </c>
      <c r="BR50">
        <v>15</v>
      </c>
      <c r="BS50">
        <v>0.1</v>
      </c>
      <c r="BT50">
        <v>0.06</v>
      </c>
      <c r="BU50">
        <v>-0.27525185000000002</v>
      </c>
      <c r="BV50">
        <v>-0.23909580451127799</v>
      </c>
      <c r="BW50">
        <v>6.5340442676243796E-2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0.64849045000000005</v>
      </c>
      <c r="CD50">
        <v>1.31302105263176E-2</v>
      </c>
      <c r="CE50">
        <v>2.5210658554468699E-3</v>
      </c>
      <c r="CF50">
        <v>1</v>
      </c>
      <c r="CG50">
        <v>2</v>
      </c>
      <c r="CH50">
        <v>2</v>
      </c>
      <c r="CI50" t="s">
        <v>310</v>
      </c>
      <c r="CJ50">
        <v>3.5325000000000002</v>
      </c>
      <c r="CK50">
        <v>2.7037300000000002</v>
      </c>
      <c r="CL50">
        <v>9.8173499999999997E-2</v>
      </c>
      <c r="CM50">
        <v>9.6793799999999999E-2</v>
      </c>
      <c r="CN50">
        <v>8.7073700000000004E-2</v>
      </c>
      <c r="CO50">
        <v>8.35785E-2</v>
      </c>
      <c r="CP50">
        <v>31639.5</v>
      </c>
      <c r="CQ50">
        <v>27753.9</v>
      </c>
      <c r="CR50">
        <v>32468.400000000001</v>
      </c>
      <c r="CS50">
        <v>30652.1</v>
      </c>
      <c r="CT50">
        <v>40120.1</v>
      </c>
      <c r="CU50">
        <v>39481.199999999997</v>
      </c>
      <c r="CV50">
        <v>47400.5</v>
      </c>
      <c r="CW50">
        <v>46723.3</v>
      </c>
      <c r="CX50">
        <v>2.6339399999999999</v>
      </c>
      <c r="CY50">
        <v>2.1677</v>
      </c>
      <c r="CZ50">
        <v>0</v>
      </c>
      <c r="DA50">
        <v>0</v>
      </c>
      <c r="DB50">
        <v>999.9</v>
      </c>
      <c r="DC50">
        <v>999.9</v>
      </c>
      <c r="DD50">
        <v>74.875</v>
      </c>
      <c r="DE50">
        <v>23.795999999999999</v>
      </c>
      <c r="DF50">
        <v>22.1249</v>
      </c>
      <c r="DG50">
        <v>30.610099999999999</v>
      </c>
      <c r="DH50">
        <v>17.223600000000001</v>
      </c>
      <c r="DI50">
        <v>2</v>
      </c>
      <c r="DJ50">
        <v>-0.176041</v>
      </c>
      <c r="DK50">
        <v>1.85347</v>
      </c>
      <c r="DL50">
        <v>20.220400000000001</v>
      </c>
      <c r="DM50">
        <v>5.25251</v>
      </c>
      <c r="DN50">
        <v>12.033899999999999</v>
      </c>
      <c r="DO50">
        <v>4.9676</v>
      </c>
      <c r="DP50">
        <v>3.2909999999999999</v>
      </c>
      <c r="DQ50">
        <v>9999</v>
      </c>
      <c r="DR50">
        <v>9999</v>
      </c>
      <c r="DS50">
        <v>534.1</v>
      </c>
      <c r="DT50">
        <v>9999</v>
      </c>
      <c r="DU50">
        <v>1.87093</v>
      </c>
      <c r="DV50">
        <v>1.8760399999999999</v>
      </c>
      <c r="DW50">
        <v>1.8762000000000001</v>
      </c>
      <c r="DX50">
        <v>1.8827400000000001</v>
      </c>
      <c r="DY50">
        <v>1.8754599999999999</v>
      </c>
      <c r="DZ50">
        <v>1.8745400000000001</v>
      </c>
      <c r="EA50">
        <v>1.8706700000000001</v>
      </c>
      <c r="EB50">
        <v>1.8745499999999999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-1.2050000000000001</v>
      </c>
      <c r="EQ50">
        <v>0.1293</v>
      </c>
      <c r="ER50">
        <v>-1.20520000000005</v>
      </c>
      <c r="ES50">
        <v>0</v>
      </c>
      <c r="ET50">
        <v>0</v>
      </c>
      <c r="EU50">
        <v>0</v>
      </c>
      <c r="EV50">
        <v>0.12931999999999799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8.3000000000000007</v>
      </c>
      <c r="FE50">
        <v>8.3000000000000007</v>
      </c>
      <c r="FF50">
        <v>1.23047</v>
      </c>
      <c r="FG50">
        <v>2.5537100000000001</v>
      </c>
      <c r="FH50">
        <v>2.19604</v>
      </c>
      <c r="FI50">
        <v>2.66357</v>
      </c>
      <c r="FJ50">
        <v>2.4462899999999999</v>
      </c>
      <c r="FK50">
        <v>2.2497600000000002</v>
      </c>
      <c r="FL50">
        <v>29.346399999999999</v>
      </c>
      <c r="FM50">
        <v>24.148800000000001</v>
      </c>
      <c r="FN50">
        <v>19</v>
      </c>
      <c r="FO50">
        <v>863.49</v>
      </c>
      <c r="FP50">
        <v>596.93899999999996</v>
      </c>
      <c r="FQ50">
        <v>18.3565</v>
      </c>
      <c r="FR50">
        <v>24.761299999999999</v>
      </c>
      <c r="FS50">
        <v>30.0001</v>
      </c>
      <c r="FT50">
        <v>24.749400000000001</v>
      </c>
      <c r="FU50">
        <v>24.750800000000002</v>
      </c>
      <c r="FV50">
        <v>24.695699999999999</v>
      </c>
      <c r="FW50">
        <v>36.988700000000001</v>
      </c>
      <c r="FX50">
        <v>57.181800000000003</v>
      </c>
      <c r="FY50">
        <v>18.355699999999999</v>
      </c>
      <c r="FZ50">
        <v>410</v>
      </c>
      <c r="GA50">
        <v>14.791600000000001</v>
      </c>
      <c r="GB50">
        <v>99.894000000000005</v>
      </c>
      <c r="GC50">
        <v>99.482600000000005</v>
      </c>
    </row>
    <row r="51" spans="1:185" x14ac:dyDescent="0.2">
      <c r="A51">
        <v>36</v>
      </c>
      <c r="B51">
        <v>1769183395</v>
      </c>
      <c r="C51">
        <v>532</v>
      </c>
      <c r="D51" t="s">
        <v>365</v>
      </c>
      <c r="E51" t="s">
        <v>366</v>
      </c>
      <c r="F51">
        <v>15</v>
      </c>
      <c r="G51">
        <v>1769183386.9333301</v>
      </c>
      <c r="H51">
        <f t="shared" si="0"/>
        <v>5.1548341336524661E-4</v>
      </c>
      <c r="I51">
        <v>0</v>
      </c>
      <c r="J51">
        <f t="shared" si="12"/>
        <v>-8.0869937101743332E-4</v>
      </c>
      <c r="K51">
        <f t="shared" si="1"/>
        <v>-2.1179570999260204E-2</v>
      </c>
      <c r="L51">
        <f t="shared" si="2"/>
        <v>69.875658553911961</v>
      </c>
      <c r="M51">
        <f t="shared" si="3"/>
        <v>1.5408991249621691</v>
      </c>
      <c r="N51">
        <f t="shared" si="4"/>
        <v>2.2052015778474581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26248.095888535827</v>
      </c>
      <c r="T51">
        <f t="shared" si="8"/>
        <v>300.00126666666699</v>
      </c>
      <c r="U51">
        <f t="shared" si="9"/>
        <v>252.90127780088693</v>
      </c>
      <c r="V51">
        <f t="shared" si="10"/>
        <v>0.84300069999999994</v>
      </c>
      <c r="W51">
        <f t="shared" si="11"/>
        <v>0.15870174999999997</v>
      </c>
      <c r="X51">
        <v>1</v>
      </c>
      <c r="Y51">
        <v>1769183386.9333301</v>
      </c>
      <c r="Z51">
        <v>409.72739999999999</v>
      </c>
      <c r="AA51">
        <v>409.96493333333302</v>
      </c>
      <c r="AB51">
        <v>15.3788933333333</v>
      </c>
      <c r="AC51">
        <v>14.744453333333301</v>
      </c>
      <c r="AD51">
        <v>410.93246666666698</v>
      </c>
      <c r="AE51">
        <v>15.249560000000001</v>
      </c>
      <c r="AF51">
        <v>800.00606666666704</v>
      </c>
      <c r="AG51">
        <v>100.12966666666701</v>
      </c>
      <c r="AH51">
        <v>6.6042580000000004E-2</v>
      </c>
      <c r="AI51">
        <v>19.000153333333301</v>
      </c>
      <c r="AJ51">
        <v>999.9</v>
      </c>
      <c r="AK51">
        <v>999.9</v>
      </c>
      <c r="AL51">
        <v>0</v>
      </c>
      <c r="AM51">
        <v>0</v>
      </c>
      <c r="AN51">
        <v>4998.6666666666697</v>
      </c>
      <c r="AO51">
        <v>0</v>
      </c>
      <c r="AP51">
        <v>2.0325500000000001</v>
      </c>
      <c r="AQ51">
        <v>-0.237579333333333</v>
      </c>
      <c r="AR51">
        <v>416.126933333333</v>
      </c>
      <c r="AS51">
        <v>416.09993333333301</v>
      </c>
      <c r="AT51">
        <v>0.63443846666666703</v>
      </c>
      <c r="AU51">
        <v>409.96493333333302</v>
      </c>
      <c r="AV51">
        <v>14.744453333333301</v>
      </c>
      <c r="AW51">
        <v>1.5398813333333301</v>
      </c>
      <c r="AX51">
        <v>1.4763566666666701</v>
      </c>
      <c r="AY51">
        <v>13.370013333333301</v>
      </c>
      <c r="AZ51">
        <v>12.7254466666667</v>
      </c>
      <c r="BA51">
        <v>300.00126666666699</v>
      </c>
      <c r="BB51">
        <v>0.89997666666666698</v>
      </c>
      <c r="BC51">
        <v>0</v>
      </c>
      <c r="BD51">
        <v>0.10002333333333301</v>
      </c>
      <c r="BE51">
        <v>0</v>
      </c>
      <c r="BF51">
        <v>24</v>
      </c>
      <c r="BG51">
        <v>4946.6226666666698</v>
      </c>
      <c r="BH51">
        <v>1769182883</v>
      </c>
      <c r="BI51" t="s">
        <v>289</v>
      </c>
      <c r="BJ51">
        <v>1769182883</v>
      </c>
      <c r="BK51">
        <v>1769182883</v>
      </c>
      <c r="BL51">
        <v>1</v>
      </c>
      <c r="BM51">
        <v>-0.45</v>
      </c>
      <c r="BN51">
        <v>3.0000000000000001E-3</v>
      </c>
      <c r="BO51">
        <v>-1.2050000000000001</v>
      </c>
      <c r="BP51">
        <v>0.129</v>
      </c>
      <c r="BQ51">
        <v>410</v>
      </c>
      <c r="BR51">
        <v>15</v>
      </c>
      <c r="BS51">
        <v>0.1</v>
      </c>
      <c r="BT51">
        <v>0.06</v>
      </c>
      <c r="BU51">
        <v>-0.26169404761904802</v>
      </c>
      <c r="BV51">
        <v>0.35617761038960999</v>
      </c>
      <c r="BW51">
        <v>5.4657478651338701E-2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0.63929790476190496</v>
      </c>
      <c r="CD51">
        <v>-0.17341519480519399</v>
      </c>
      <c r="CE51">
        <v>2.4531466348936899E-2</v>
      </c>
      <c r="CF51">
        <v>0</v>
      </c>
      <c r="CG51">
        <v>1</v>
      </c>
      <c r="CH51">
        <v>2</v>
      </c>
      <c r="CI51" t="s">
        <v>301</v>
      </c>
      <c r="CJ51">
        <v>3.5325099999999998</v>
      </c>
      <c r="CK51">
        <v>2.7040000000000002</v>
      </c>
      <c r="CL51">
        <v>9.8193600000000006E-2</v>
      </c>
      <c r="CM51">
        <v>9.6806799999999998E-2</v>
      </c>
      <c r="CN51">
        <v>8.7104699999999993E-2</v>
      </c>
      <c r="CO51">
        <v>8.3924399999999996E-2</v>
      </c>
      <c r="CP51">
        <v>31638.5</v>
      </c>
      <c r="CQ51">
        <v>27753.9</v>
      </c>
      <c r="CR51">
        <v>32468.2</v>
      </c>
      <c r="CS51">
        <v>30652.5</v>
      </c>
      <c r="CT51">
        <v>40118.300000000003</v>
      </c>
      <c r="CU51">
        <v>39466.6</v>
      </c>
      <c r="CV51">
        <v>47399.9</v>
      </c>
      <c r="CW51">
        <v>46724.2</v>
      </c>
      <c r="CX51">
        <v>2.6337799999999998</v>
      </c>
      <c r="CY51">
        <v>2.16764</v>
      </c>
      <c r="CZ51">
        <v>0</v>
      </c>
      <c r="DA51">
        <v>0</v>
      </c>
      <c r="DB51">
        <v>999.9</v>
      </c>
      <c r="DC51">
        <v>999.9</v>
      </c>
      <c r="DD51">
        <v>74.741</v>
      </c>
      <c r="DE51">
        <v>23.826000000000001</v>
      </c>
      <c r="DF51">
        <v>22.1205</v>
      </c>
      <c r="DG51">
        <v>30.6401</v>
      </c>
      <c r="DH51">
        <v>17.335699999999999</v>
      </c>
      <c r="DI51">
        <v>2</v>
      </c>
      <c r="DJ51">
        <v>-0.17560200000000001</v>
      </c>
      <c r="DK51">
        <v>1.82396</v>
      </c>
      <c r="DL51">
        <v>20.221</v>
      </c>
      <c r="DM51">
        <v>5.2520300000000004</v>
      </c>
      <c r="DN51">
        <v>12.033899999999999</v>
      </c>
      <c r="DO51">
        <v>4.9676799999999997</v>
      </c>
      <c r="DP51">
        <v>3.2909999999999999</v>
      </c>
      <c r="DQ51">
        <v>9999</v>
      </c>
      <c r="DR51">
        <v>9999</v>
      </c>
      <c r="DS51">
        <v>534.1</v>
      </c>
      <c r="DT51">
        <v>9999</v>
      </c>
      <c r="DU51">
        <v>1.8709</v>
      </c>
      <c r="DV51">
        <v>1.87602</v>
      </c>
      <c r="DW51">
        <v>1.8762099999999999</v>
      </c>
      <c r="DX51">
        <v>1.8827499999999999</v>
      </c>
      <c r="DY51">
        <v>1.87547</v>
      </c>
      <c r="DZ51">
        <v>1.8745400000000001</v>
      </c>
      <c r="EA51">
        <v>1.8707</v>
      </c>
      <c r="EB51">
        <v>1.8745499999999999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-1.2050000000000001</v>
      </c>
      <c r="EQ51">
        <v>0.12939999999999999</v>
      </c>
      <c r="ER51">
        <v>-1.20520000000005</v>
      </c>
      <c r="ES51">
        <v>0</v>
      </c>
      <c r="ET51">
        <v>0</v>
      </c>
      <c r="EU51">
        <v>0</v>
      </c>
      <c r="EV51">
        <v>0.12931999999999799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8.5</v>
      </c>
      <c r="FE51">
        <v>8.5</v>
      </c>
      <c r="FF51">
        <v>1.23047</v>
      </c>
      <c r="FG51">
        <v>2.5451700000000002</v>
      </c>
      <c r="FH51">
        <v>2.19604</v>
      </c>
      <c r="FI51">
        <v>2.66357</v>
      </c>
      <c r="FJ51">
        <v>2.4462899999999999</v>
      </c>
      <c r="FK51">
        <v>2.2985799999999998</v>
      </c>
      <c r="FL51">
        <v>29.367599999999999</v>
      </c>
      <c r="FM51">
        <v>24.157499999999999</v>
      </c>
      <c r="FN51">
        <v>19</v>
      </c>
      <c r="FO51">
        <v>863.40899999999999</v>
      </c>
      <c r="FP51">
        <v>596.94100000000003</v>
      </c>
      <c r="FQ51">
        <v>18.355499999999999</v>
      </c>
      <c r="FR51">
        <v>24.765499999999999</v>
      </c>
      <c r="FS51">
        <v>30.0002</v>
      </c>
      <c r="FT51">
        <v>24.753599999999999</v>
      </c>
      <c r="FU51">
        <v>24.754999999999999</v>
      </c>
      <c r="FV51">
        <v>24.700099999999999</v>
      </c>
      <c r="FW51">
        <v>36.716500000000003</v>
      </c>
      <c r="FX51">
        <v>56.803899999999999</v>
      </c>
      <c r="FY51">
        <v>18.361699999999999</v>
      </c>
      <c r="FZ51">
        <v>410</v>
      </c>
      <c r="GA51">
        <v>14.794</v>
      </c>
      <c r="GB51">
        <v>99.893000000000001</v>
      </c>
      <c r="GC51">
        <v>99.484399999999994</v>
      </c>
    </row>
    <row r="52" spans="1:185" x14ac:dyDescent="0.2">
      <c r="A52">
        <v>37</v>
      </c>
      <c r="B52">
        <v>1769183410</v>
      </c>
      <c r="C52">
        <v>547</v>
      </c>
      <c r="D52" t="s">
        <v>367</v>
      </c>
      <c r="E52" t="s">
        <v>368</v>
      </c>
      <c r="F52">
        <v>15</v>
      </c>
      <c r="G52">
        <v>1769183401.9333301</v>
      </c>
      <c r="H52">
        <f t="shared" si="0"/>
        <v>4.8323568692442846E-4</v>
      </c>
      <c r="I52">
        <v>0</v>
      </c>
      <c r="J52">
        <f t="shared" si="12"/>
        <v>6.4062118781353455E-4</v>
      </c>
      <c r="K52">
        <f t="shared" si="1"/>
        <v>1.6777658567802535E-2</v>
      </c>
      <c r="L52">
        <f t="shared" si="2"/>
        <v>69.978825422646253</v>
      </c>
      <c r="M52">
        <f t="shared" si="3"/>
        <v>1.5432402884539607</v>
      </c>
      <c r="N52">
        <f t="shared" si="4"/>
        <v>2.20529607225237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26303.689503205598</v>
      </c>
      <c r="T52">
        <f t="shared" si="8"/>
        <v>300</v>
      </c>
      <c r="U52">
        <f t="shared" si="9"/>
        <v>252.9001974</v>
      </c>
      <c r="V52">
        <f t="shared" si="10"/>
        <v>0.84300065800000001</v>
      </c>
      <c r="W52">
        <f t="shared" si="11"/>
        <v>0.15870164499999997</v>
      </c>
      <c r="X52">
        <v>1</v>
      </c>
      <c r="Y52">
        <v>1769183401.9333301</v>
      </c>
      <c r="Z52">
        <v>409.72966666666701</v>
      </c>
      <c r="AA52">
        <v>409.99813333333299</v>
      </c>
      <c r="AB52">
        <v>15.402366666666699</v>
      </c>
      <c r="AC52">
        <v>14.8076266666667</v>
      </c>
      <c r="AD52">
        <v>410.93493333333299</v>
      </c>
      <c r="AE52">
        <v>15.273059999999999</v>
      </c>
      <c r="AF52">
        <v>800.00120000000004</v>
      </c>
      <c r="AG52">
        <v>100.12893333333299</v>
      </c>
      <c r="AH52">
        <v>6.6077073333333305E-2</v>
      </c>
      <c r="AI52">
        <v>19.00084</v>
      </c>
      <c r="AJ52">
        <v>999.9</v>
      </c>
      <c r="AK52">
        <v>999.9</v>
      </c>
      <c r="AL52">
        <v>0</v>
      </c>
      <c r="AM52">
        <v>0</v>
      </c>
      <c r="AN52">
        <v>5007.8666666666704</v>
      </c>
      <c r="AO52">
        <v>0</v>
      </c>
      <c r="AP52">
        <v>2.0325500000000001</v>
      </c>
      <c r="AQ52">
        <v>-0.26845493333333298</v>
      </c>
      <c r="AR52">
        <v>416.13913333333301</v>
      </c>
      <c r="AS52">
        <v>416.16039999999998</v>
      </c>
      <c r="AT52">
        <v>0.59475773333333304</v>
      </c>
      <c r="AU52">
        <v>409.99813333333299</v>
      </c>
      <c r="AV52">
        <v>14.8076266666667</v>
      </c>
      <c r="AW52">
        <v>1.542224</v>
      </c>
      <c r="AX52">
        <v>1.482672</v>
      </c>
      <c r="AY52">
        <v>13.393333333333301</v>
      </c>
      <c r="AZ52">
        <v>12.790620000000001</v>
      </c>
      <c r="BA52">
        <v>300</v>
      </c>
      <c r="BB52">
        <v>0.89997806666666702</v>
      </c>
      <c r="BC52">
        <v>0</v>
      </c>
      <c r="BD52">
        <v>0.10002193333333299</v>
      </c>
      <c r="BE52">
        <v>0</v>
      </c>
      <c r="BF52">
        <v>24</v>
      </c>
      <c r="BG52">
        <v>4946.6033333333298</v>
      </c>
      <c r="BH52">
        <v>1769182883</v>
      </c>
      <c r="BI52" t="s">
        <v>289</v>
      </c>
      <c r="BJ52">
        <v>1769182883</v>
      </c>
      <c r="BK52">
        <v>1769182883</v>
      </c>
      <c r="BL52">
        <v>1</v>
      </c>
      <c r="BM52">
        <v>-0.45</v>
      </c>
      <c r="BN52">
        <v>3.0000000000000001E-3</v>
      </c>
      <c r="BO52">
        <v>-1.2050000000000001</v>
      </c>
      <c r="BP52">
        <v>0.129</v>
      </c>
      <c r="BQ52">
        <v>410</v>
      </c>
      <c r="BR52">
        <v>15</v>
      </c>
      <c r="BS52">
        <v>0.1</v>
      </c>
      <c r="BT52">
        <v>0.06</v>
      </c>
      <c r="BU52">
        <v>-0.26380920000000002</v>
      </c>
      <c r="BV52">
        <v>-8.9714796992481194E-2</v>
      </c>
      <c r="BW52">
        <v>5.8027347586806E-2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0.59602915000000001</v>
      </c>
      <c r="CD52">
        <v>2.22721353383462E-2</v>
      </c>
      <c r="CE52">
        <v>1.31750853252455E-2</v>
      </c>
      <c r="CF52">
        <v>1</v>
      </c>
      <c r="CG52">
        <v>2</v>
      </c>
      <c r="CH52">
        <v>2</v>
      </c>
      <c r="CI52" t="s">
        <v>310</v>
      </c>
      <c r="CJ52">
        <v>3.5325099999999998</v>
      </c>
      <c r="CK52">
        <v>2.7037900000000001</v>
      </c>
      <c r="CL52">
        <v>9.8173300000000005E-2</v>
      </c>
      <c r="CM52">
        <v>9.6796199999999999E-2</v>
      </c>
      <c r="CN52">
        <v>8.7207300000000001E-2</v>
      </c>
      <c r="CO52">
        <v>8.38787E-2</v>
      </c>
      <c r="CP52">
        <v>31638.799999999999</v>
      </c>
      <c r="CQ52">
        <v>27754</v>
      </c>
      <c r="CR52">
        <v>32467.8</v>
      </c>
      <c r="CS52">
        <v>30652.3</v>
      </c>
      <c r="CT52">
        <v>40113.300000000003</v>
      </c>
      <c r="CU52">
        <v>39468.400000000001</v>
      </c>
      <c r="CV52">
        <v>47399.6</v>
      </c>
      <c r="CW52">
        <v>46723.9</v>
      </c>
      <c r="CX52">
        <v>2.6338400000000002</v>
      </c>
      <c r="CY52">
        <v>2.1671399999999998</v>
      </c>
      <c r="CZ52">
        <v>0</v>
      </c>
      <c r="DA52">
        <v>0</v>
      </c>
      <c r="DB52">
        <v>999.9</v>
      </c>
      <c r="DC52">
        <v>999.9</v>
      </c>
      <c r="DD52">
        <v>74.631</v>
      </c>
      <c r="DE52">
        <v>23.837</v>
      </c>
      <c r="DF52">
        <v>22.106100000000001</v>
      </c>
      <c r="DG52">
        <v>30.100100000000001</v>
      </c>
      <c r="DH52">
        <v>17.395800000000001</v>
      </c>
      <c r="DI52">
        <v>2</v>
      </c>
      <c r="DJ52">
        <v>-0.17541100000000001</v>
      </c>
      <c r="DK52">
        <v>1.8475999999999999</v>
      </c>
      <c r="DL52">
        <v>20.220800000000001</v>
      </c>
      <c r="DM52">
        <v>5.25251</v>
      </c>
      <c r="DN52">
        <v>12.033899999999999</v>
      </c>
      <c r="DO52">
        <v>4.9677600000000002</v>
      </c>
      <c r="DP52">
        <v>3.2909999999999999</v>
      </c>
      <c r="DQ52">
        <v>9999</v>
      </c>
      <c r="DR52">
        <v>9999</v>
      </c>
      <c r="DS52">
        <v>534.1</v>
      </c>
      <c r="DT52">
        <v>9999</v>
      </c>
      <c r="DU52">
        <v>1.871</v>
      </c>
      <c r="DV52">
        <v>1.8760600000000001</v>
      </c>
      <c r="DW52">
        <v>1.87622</v>
      </c>
      <c r="DX52">
        <v>1.8827799999999999</v>
      </c>
      <c r="DY52">
        <v>1.87548</v>
      </c>
      <c r="DZ52">
        <v>1.8745400000000001</v>
      </c>
      <c r="EA52">
        <v>1.8707199999999999</v>
      </c>
      <c r="EB52">
        <v>1.87456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-1.206</v>
      </c>
      <c r="EQ52">
        <v>0.1293</v>
      </c>
      <c r="ER52">
        <v>-1.20520000000005</v>
      </c>
      <c r="ES52">
        <v>0</v>
      </c>
      <c r="ET52">
        <v>0</v>
      </c>
      <c r="EU52">
        <v>0</v>
      </c>
      <c r="EV52">
        <v>0.12931999999999799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8.8000000000000007</v>
      </c>
      <c r="FE52">
        <v>8.8000000000000007</v>
      </c>
      <c r="FF52">
        <v>1.23047</v>
      </c>
      <c r="FG52">
        <v>2.5463900000000002</v>
      </c>
      <c r="FH52">
        <v>2.19604</v>
      </c>
      <c r="FI52">
        <v>2.66357</v>
      </c>
      <c r="FJ52">
        <v>2.4462899999999999</v>
      </c>
      <c r="FK52">
        <v>2.3083499999999999</v>
      </c>
      <c r="FL52">
        <v>29.3889</v>
      </c>
      <c r="FM52">
        <v>24.157499999999999</v>
      </c>
      <c r="FN52">
        <v>19</v>
      </c>
      <c r="FO52">
        <v>863.53300000000002</v>
      </c>
      <c r="FP52">
        <v>596.596</v>
      </c>
      <c r="FQ52">
        <v>18.362400000000001</v>
      </c>
      <c r="FR52">
        <v>24.7697</v>
      </c>
      <c r="FS52">
        <v>30.0002</v>
      </c>
      <c r="FT52">
        <v>24.7578</v>
      </c>
      <c r="FU52">
        <v>24.7591</v>
      </c>
      <c r="FV52">
        <v>24.699000000000002</v>
      </c>
      <c r="FW52">
        <v>36.716500000000003</v>
      </c>
      <c r="FX52">
        <v>56.422899999999998</v>
      </c>
      <c r="FY52">
        <v>18.360800000000001</v>
      </c>
      <c r="FZ52">
        <v>410</v>
      </c>
      <c r="GA52">
        <v>14.794</v>
      </c>
      <c r="GB52">
        <v>99.892099999999999</v>
      </c>
      <c r="GC52">
        <v>99.483800000000002</v>
      </c>
    </row>
    <row r="53" spans="1:185" x14ac:dyDescent="0.2">
      <c r="A53">
        <v>38</v>
      </c>
      <c r="B53">
        <v>1769183425</v>
      </c>
      <c r="C53">
        <v>562</v>
      </c>
      <c r="D53" t="s">
        <v>369</v>
      </c>
      <c r="E53" t="s">
        <v>370</v>
      </c>
      <c r="F53">
        <v>15</v>
      </c>
      <c r="G53">
        <v>1769183416.9333301</v>
      </c>
      <c r="H53">
        <f t="shared" si="0"/>
        <v>5.0013562879235994E-4</v>
      </c>
      <c r="I53">
        <v>0</v>
      </c>
      <c r="J53">
        <f t="shared" si="12"/>
        <v>3.5827624672431533E-4</v>
      </c>
      <c r="K53">
        <f t="shared" si="1"/>
        <v>9.3831372655816293E-3</v>
      </c>
      <c r="L53">
        <f t="shared" si="2"/>
        <v>70.050448726464083</v>
      </c>
      <c r="M53">
        <f t="shared" si="3"/>
        <v>1.5447471741595278</v>
      </c>
      <c r="N53">
        <f t="shared" si="4"/>
        <v>2.2051924038224522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26206.641463850698</v>
      </c>
      <c r="T53">
        <f t="shared" si="8"/>
        <v>300.00026666666702</v>
      </c>
      <c r="U53">
        <f t="shared" si="9"/>
        <v>252.90048820023466</v>
      </c>
      <c r="V53">
        <f t="shared" si="10"/>
        <v>0.84300087800000079</v>
      </c>
      <c r="W53">
        <f t="shared" si="11"/>
        <v>0.15870219500000018</v>
      </c>
      <c r="X53">
        <v>1</v>
      </c>
      <c r="Y53">
        <v>1769183416.9333301</v>
      </c>
      <c r="Z53">
        <v>409.71193333333298</v>
      </c>
      <c r="AA53">
        <v>409.97980000000001</v>
      </c>
      <c r="AB53">
        <v>15.418253333333301</v>
      </c>
      <c r="AC53">
        <v>14.8027266666667</v>
      </c>
      <c r="AD53">
        <v>410.91713333333303</v>
      </c>
      <c r="AE53">
        <v>15.28894</v>
      </c>
      <c r="AF53">
        <v>800.005</v>
      </c>
      <c r="AG53">
        <v>100.1236</v>
      </c>
      <c r="AH53">
        <v>6.5905306666666705E-2</v>
      </c>
      <c r="AI53">
        <v>19.0000866666667</v>
      </c>
      <c r="AJ53">
        <v>999.9</v>
      </c>
      <c r="AK53">
        <v>999.9</v>
      </c>
      <c r="AL53">
        <v>0</v>
      </c>
      <c r="AM53">
        <v>0</v>
      </c>
      <c r="AN53">
        <v>4992.1000000000004</v>
      </c>
      <c r="AO53">
        <v>0</v>
      </c>
      <c r="AP53">
        <v>2.0325500000000001</v>
      </c>
      <c r="AQ53">
        <v>-0.267765266666667</v>
      </c>
      <c r="AR53">
        <v>416.128066666667</v>
      </c>
      <c r="AS53">
        <v>416.13979999999998</v>
      </c>
      <c r="AT53">
        <v>0.61553593333333301</v>
      </c>
      <c r="AU53">
        <v>409.97980000000001</v>
      </c>
      <c r="AV53">
        <v>14.8027266666667</v>
      </c>
      <c r="AW53">
        <v>1.5437320000000001</v>
      </c>
      <c r="AX53">
        <v>1.4821013333333299</v>
      </c>
      <c r="AY53">
        <v>13.408333333333299</v>
      </c>
      <c r="AZ53">
        <v>12.7847666666667</v>
      </c>
      <c r="BA53">
        <v>300.00026666666702</v>
      </c>
      <c r="BB53">
        <v>0.89997073333333399</v>
      </c>
      <c r="BC53">
        <v>0</v>
      </c>
      <c r="BD53">
        <v>0.100029266666667</v>
      </c>
      <c r="BE53">
        <v>0</v>
      </c>
      <c r="BF53">
        <v>24</v>
      </c>
      <c r="BG53">
        <v>4946.59666666667</v>
      </c>
      <c r="BH53">
        <v>1769182883</v>
      </c>
      <c r="BI53" t="s">
        <v>289</v>
      </c>
      <c r="BJ53">
        <v>1769182883</v>
      </c>
      <c r="BK53">
        <v>1769182883</v>
      </c>
      <c r="BL53">
        <v>1</v>
      </c>
      <c r="BM53">
        <v>-0.45</v>
      </c>
      <c r="BN53">
        <v>3.0000000000000001E-3</v>
      </c>
      <c r="BO53">
        <v>-1.2050000000000001</v>
      </c>
      <c r="BP53">
        <v>0.129</v>
      </c>
      <c r="BQ53">
        <v>410</v>
      </c>
      <c r="BR53">
        <v>15</v>
      </c>
      <c r="BS53">
        <v>0.1</v>
      </c>
      <c r="BT53">
        <v>0.06</v>
      </c>
      <c r="BU53">
        <v>-0.26180152380952398</v>
      </c>
      <c r="BV53">
        <v>-4.1033064935065498E-2</v>
      </c>
      <c r="BW53">
        <v>2.14905142654216E-2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0.61207185714285695</v>
      </c>
      <c r="CD53">
        <v>5.9361350649350698E-2</v>
      </c>
      <c r="CE53">
        <v>6.3593575692736E-3</v>
      </c>
      <c r="CF53">
        <v>1</v>
      </c>
      <c r="CG53">
        <v>2</v>
      </c>
      <c r="CH53">
        <v>2</v>
      </c>
      <c r="CI53" t="s">
        <v>310</v>
      </c>
      <c r="CJ53">
        <v>3.5324900000000001</v>
      </c>
      <c r="CK53">
        <v>2.70364</v>
      </c>
      <c r="CL53">
        <v>9.8174499999999998E-2</v>
      </c>
      <c r="CM53">
        <v>9.6795699999999998E-2</v>
      </c>
      <c r="CN53">
        <v>8.7229100000000004E-2</v>
      </c>
      <c r="CO53">
        <v>8.3865400000000007E-2</v>
      </c>
      <c r="CP53">
        <v>31639.9</v>
      </c>
      <c r="CQ53">
        <v>27754.3</v>
      </c>
      <c r="CR53">
        <v>32468.9</v>
      </c>
      <c r="CS53">
        <v>30652.6</v>
      </c>
      <c r="CT53">
        <v>40114</v>
      </c>
      <c r="CU53">
        <v>39469.4</v>
      </c>
      <c r="CV53">
        <v>47401.5</v>
      </c>
      <c r="CW53">
        <v>46724.4</v>
      </c>
      <c r="CX53">
        <v>2.6338599999999999</v>
      </c>
      <c r="CY53">
        <v>2.1669399999999999</v>
      </c>
      <c r="CZ53">
        <v>0</v>
      </c>
      <c r="DA53">
        <v>0</v>
      </c>
      <c r="DB53">
        <v>999.9</v>
      </c>
      <c r="DC53">
        <v>999.9</v>
      </c>
      <c r="DD53">
        <v>74.533000000000001</v>
      </c>
      <c r="DE53">
        <v>23.867000000000001</v>
      </c>
      <c r="DF53">
        <v>22.117699999999999</v>
      </c>
      <c r="DG53">
        <v>30.430099999999999</v>
      </c>
      <c r="DH53">
        <v>17.335699999999999</v>
      </c>
      <c r="DI53">
        <v>2</v>
      </c>
      <c r="DJ53">
        <v>-0.17482900000000001</v>
      </c>
      <c r="DK53">
        <v>1.8471</v>
      </c>
      <c r="DL53">
        <v>20.220800000000001</v>
      </c>
      <c r="DM53">
        <v>5.25251</v>
      </c>
      <c r="DN53">
        <v>12.033899999999999</v>
      </c>
      <c r="DO53">
        <v>4.9676799999999997</v>
      </c>
      <c r="DP53">
        <v>3.2909999999999999</v>
      </c>
      <c r="DQ53">
        <v>9999</v>
      </c>
      <c r="DR53">
        <v>9999</v>
      </c>
      <c r="DS53">
        <v>534.1</v>
      </c>
      <c r="DT53">
        <v>9999</v>
      </c>
      <c r="DU53">
        <v>1.87097</v>
      </c>
      <c r="DV53">
        <v>1.8760300000000001</v>
      </c>
      <c r="DW53">
        <v>1.8762099999999999</v>
      </c>
      <c r="DX53">
        <v>1.8827400000000001</v>
      </c>
      <c r="DY53">
        <v>1.87547</v>
      </c>
      <c r="DZ53">
        <v>1.8745400000000001</v>
      </c>
      <c r="EA53">
        <v>1.87069</v>
      </c>
      <c r="EB53">
        <v>1.8745499999999999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-1.2050000000000001</v>
      </c>
      <c r="EQ53">
        <v>0.12939999999999999</v>
      </c>
      <c r="ER53">
        <v>-1.20520000000005</v>
      </c>
      <c r="ES53">
        <v>0</v>
      </c>
      <c r="ET53">
        <v>0</v>
      </c>
      <c r="EU53">
        <v>0</v>
      </c>
      <c r="EV53">
        <v>0.12931999999999799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</v>
      </c>
      <c r="FE53">
        <v>9</v>
      </c>
      <c r="FF53">
        <v>1.23047</v>
      </c>
      <c r="FG53">
        <v>2.5500500000000001</v>
      </c>
      <c r="FH53">
        <v>2.19604</v>
      </c>
      <c r="FI53">
        <v>2.66357</v>
      </c>
      <c r="FJ53">
        <v>2.4462899999999999</v>
      </c>
      <c r="FK53">
        <v>2.3034699999999999</v>
      </c>
      <c r="FL53">
        <v>29.4101</v>
      </c>
      <c r="FM53">
        <v>24.157499999999999</v>
      </c>
      <c r="FN53">
        <v>19</v>
      </c>
      <c r="FO53">
        <v>863.61900000000003</v>
      </c>
      <c r="FP53">
        <v>596.48800000000006</v>
      </c>
      <c r="FQ53">
        <v>18.3597</v>
      </c>
      <c r="FR53">
        <v>24.7743</v>
      </c>
      <c r="FS53">
        <v>30.0002</v>
      </c>
      <c r="FT53">
        <v>24.761900000000001</v>
      </c>
      <c r="FU53">
        <v>24.763300000000001</v>
      </c>
      <c r="FV53">
        <v>24.700700000000001</v>
      </c>
      <c r="FW53">
        <v>36.716500000000003</v>
      </c>
      <c r="FX53">
        <v>56.045499999999997</v>
      </c>
      <c r="FY53">
        <v>18.360700000000001</v>
      </c>
      <c r="FZ53">
        <v>410</v>
      </c>
      <c r="GA53">
        <v>14.794</v>
      </c>
      <c r="GB53">
        <v>99.895899999999997</v>
      </c>
      <c r="GC53">
        <v>99.484700000000004</v>
      </c>
    </row>
    <row r="54" spans="1:185" x14ac:dyDescent="0.2">
      <c r="A54">
        <v>39</v>
      </c>
      <c r="B54">
        <v>1769183440</v>
      </c>
      <c r="C54">
        <v>577</v>
      </c>
      <c r="D54" t="s">
        <v>371</v>
      </c>
      <c r="E54" t="s">
        <v>372</v>
      </c>
      <c r="F54">
        <v>15</v>
      </c>
      <c r="G54">
        <v>1769183431.9333301</v>
      </c>
      <c r="H54">
        <f t="shared" si="0"/>
        <v>5.0605641573094593E-4</v>
      </c>
      <c r="I54">
        <v>0</v>
      </c>
      <c r="J54">
        <f t="shared" si="12"/>
        <v>2.2892794699134572E-4</v>
      </c>
      <c r="K54">
        <f t="shared" si="1"/>
        <v>5.9955477656895087E-3</v>
      </c>
      <c r="L54">
        <f t="shared" si="2"/>
        <v>70.055520370311058</v>
      </c>
      <c r="M54">
        <f t="shared" si="3"/>
        <v>1.5450074812911854</v>
      </c>
      <c r="N54">
        <f t="shared" si="4"/>
        <v>2.2054043323414474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26266.988161369274</v>
      </c>
      <c r="T54">
        <f t="shared" si="8"/>
        <v>299.99973333333298</v>
      </c>
      <c r="U54">
        <f t="shared" si="9"/>
        <v>252.90002479977773</v>
      </c>
      <c r="V54">
        <f t="shared" si="10"/>
        <v>0.84300083199999964</v>
      </c>
      <c r="W54">
        <f t="shared" si="11"/>
        <v>0.15870182015999998</v>
      </c>
      <c r="X54">
        <v>1</v>
      </c>
      <c r="Y54">
        <v>1769183431.9333301</v>
      </c>
      <c r="Z54">
        <v>409.718866666667</v>
      </c>
      <c r="AA54">
        <v>409.98553333333302</v>
      </c>
      <c r="AB54">
        <v>15.421006666666701</v>
      </c>
      <c r="AC54">
        <v>14.7982</v>
      </c>
      <c r="AD54">
        <v>410.92419999999998</v>
      </c>
      <c r="AE54">
        <v>15.2917066666667</v>
      </c>
      <c r="AF54">
        <v>800.01153333333298</v>
      </c>
      <c r="AG54">
        <v>100.122733333333</v>
      </c>
      <c r="AH54">
        <v>6.5763740000000001E-2</v>
      </c>
      <c r="AI54">
        <v>19.001626666666699</v>
      </c>
      <c r="AJ54">
        <v>999.9</v>
      </c>
      <c r="AK54">
        <v>999.9</v>
      </c>
      <c r="AL54">
        <v>0</v>
      </c>
      <c r="AM54">
        <v>0</v>
      </c>
      <c r="AN54">
        <v>5002.1000000000004</v>
      </c>
      <c r="AO54">
        <v>0</v>
      </c>
      <c r="AP54">
        <v>2.0325500000000001</v>
      </c>
      <c r="AQ54">
        <v>-0.26647553333333301</v>
      </c>
      <c r="AR54">
        <v>416.13600000000002</v>
      </c>
      <c r="AS54">
        <v>416.14359999999999</v>
      </c>
      <c r="AT54">
        <v>0.62282273333333305</v>
      </c>
      <c r="AU54">
        <v>409.98553333333302</v>
      </c>
      <c r="AV54">
        <v>14.7982</v>
      </c>
      <c r="AW54">
        <v>1.5439940000000001</v>
      </c>
      <c r="AX54">
        <v>1.4816339999999999</v>
      </c>
      <c r="AY54">
        <v>13.4109266666667</v>
      </c>
      <c r="AZ54">
        <v>12.7799333333333</v>
      </c>
      <c r="BA54">
        <v>299.99973333333298</v>
      </c>
      <c r="BB54">
        <v>0.89997613333333304</v>
      </c>
      <c r="BC54">
        <v>0</v>
      </c>
      <c r="BD54">
        <v>0.100024</v>
      </c>
      <c r="BE54">
        <v>0</v>
      </c>
      <c r="BF54">
        <v>24</v>
      </c>
      <c r="BG54">
        <v>4946.59533333333</v>
      </c>
      <c r="BH54">
        <v>1769182883</v>
      </c>
      <c r="BI54" t="s">
        <v>289</v>
      </c>
      <c r="BJ54">
        <v>1769182883</v>
      </c>
      <c r="BK54">
        <v>1769182883</v>
      </c>
      <c r="BL54">
        <v>1</v>
      </c>
      <c r="BM54">
        <v>-0.45</v>
      </c>
      <c r="BN54">
        <v>3.0000000000000001E-3</v>
      </c>
      <c r="BO54">
        <v>-1.2050000000000001</v>
      </c>
      <c r="BP54">
        <v>0.129</v>
      </c>
      <c r="BQ54">
        <v>410</v>
      </c>
      <c r="BR54">
        <v>15</v>
      </c>
      <c r="BS54">
        <v>0.1</v>
      </c>
      <c r="BT54">
        <v>0.06</v>
      </c>
      <c r="BU54">
        <v>-0.26564949999999998</v>
      </c>
      <c r="BV54">
        <v>6.0185774436090002E-2</v>
      </c>
      <c r="BW54">
        <v>2.24624053375857E-2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0.62174114999999996</v>
      </c>
      <c r="CD54">
        <v>2.4922872180450899E-2</v>
      </c>
      <c r="CE54">
        <v>2.75507158300833E-3</v>
      </c>
      <c r="CF54">
        <v>1</v>
      </c>
      <c r="CG54">
        <v>2</v>
      </c>
      <c r="CH54">
        <v>2</v>
      </c>
      <c r="CI54" t="s">
        <v>310</v>
      </c>
      <c r="CJ54">
        <v>3.5324499999999999</v>
      </c>
      <c r="CK54">
        <v>2.7038199999999999</v>
      </c>
      <c r="CL54">
        <v>9.8173200000000002E-2</v>
      </c>
      <c r="CM54">
        <v>9.6787100000000001E-2</v>
      </c>
      <c r="CN54">
        <v>8.7224599999999999E-2</v>
      </c>
      <c r="CO54">
        <v>8.3842600000000003E-2</v>
      </c>
      <c r="CP54">
        <v>31638.799999999999</v>
      </c>
      <c r="CQ54">
        <v>27754.5</v>
      </c>
      <c r="CR54">
        <v>32467.8</v>
      </c>
      <c r="CS54">
        <v>30652.6</v>
      </c>
      <c r="CT54">
        <v>40113</v>
      </c>
      <c r="CU54">
        <v>39470.5</v>
      </c>
      <c r="CV54">
        <v>47400.1</v>
      </c>
      <c r="CW54">
        <v>46724.6</v>
      </c>
      <c r="CX54">
        <v>2.63368</v>
      </c>
      <c r="CY54">
        <v>2.1665999999999999</v>
      </c>
      <c r="CZ54">
        <v>0</v>
      </c>
      <c r="DA54">
        <v>0</v>
      </c>
      <c r="DB54">
        <v>999.9</v>
      </c>
      <c r="DC54">
        <v>999.9</v>
      </c>
      <c r="DD54">
        <v>74.417000000000002</v>
      </c>
      <c r="DE54">
        <v>23.876999999999999</v>
      </c>
      <c r="DF54">
        <v>22.096499999999999</v>
      </c>
      <c r="DG54">
        <v>30.3401</v>
      </c>
      <c r="DH54">
        <v>17.3598</v>
      </c>
      <c r="DI54">
        <v>2</v>
      </c>
      <c r="DJ54">
        <v>-0.17475599999999999</v>
      </c>
      <c r="DK54">
        <v>1.8587100000000001</v>
      </c>
      <c r="DL54">
        <v>20.220800000000001</v>
      </c>
      <c r="DM54">
        <v>5.2520300000000004</v>
      </c>
      <c r="DN54">
        <v>12.033899999999999</v>
      </c>
      <c r="DO54">
        <v>4.9676400000000003</v>
      </c>
      <c r="DP54">
        <v>3.2909999999999999</v>
      </c>
      <c r="DQ54">
        <v>9999</v>
      </c>
      <c r="DR54">
        <v>9999</v>
      </c>
      <c r="DS54">
        <v>534.1</v>
      </c>
      <c r="DT54">
        <v>9999</v>
      </c>
      <c r="DU54">
        <v>1.87096</v>
      </c>
      <c r="DV54">
        <v>1.8760600000000001</v>
      </c>
      <c r="DW54">
        <v>1.87622</v>
      </c>
      <c r="DX54">
        <v>1.8827700000000001</v>
      </c>
      <c r="DY54">
        <v>1.8754900000000001</v>
      </c>
      <c r="DZ54">
        <v>1.8745400000000001</v>
      </c>
      <c r="EA54">
        <v>1.8707199999999999</v>
      </c>
      <c r="EB54">
        <v>1.8745799999999999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-1.206</v>
      </c>
      <c r="EQ54">
        <v>0.1293</v>
      </c>
      <c r="ER54">
        <v>-1.20520000000005</v>
      </c>
      <c r="ES54">
        <v>0</v>
      </c>
      <c r="ET54">
        <v>0</v>
      </c>
      <c r="EU54">
        <v>0</v>
      </c>
      <c r="EV54">
        <v>0.12931999999999799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9.3000000000000007</v>
      </c>
      <c r="FE54">
        <v>9.3000000000000007</v>
      </c>
      <c r="FF54">
        <v>1.23047</v>
      </c>
      <c r="FG54">
        <v>2.5549300000000001</v>
      </c>
      <c r="FH54">
        <v>2.19604</v>
      </c>
      <c r="FI54">
        <v>2.66357</v>
      </c>
      <c r="FJ54">
        <v>2.4462899999999999</v>
      </c>
      <c r="FK54">
        <v>2.2546400000000002</v>
      </c>
      <c r="FL54">
        <v>29.4101</v>
      </c>
      <c r="FM54">
        <v>24.148800000000001</v>
      </c>
      <c r="FN54">
        <v>19</v>
      </c>
      <c r="FO54">
        <v>863.52599999999995</v>
      </c>
      <c r="FP54">
        <v>596.27300000000002</v>
      </c>
      <c r="FQ54">
        <v>18.3583</v>
      </c>
      <c r="FR54">
        <v>24.779299999999999</v>
      </c>
      <c r="FS54">
        <v>30.0002</v>
      </c>
      <c r="FT54">
        <v>24.766500000000001</v>
      </c>
      <c r="FU54">
        <v>24.767800000000001</v>
      </c>
      <c r="FV54">
        <v>24.703499999999998</v>
      </c>
      <c r="FW54">
        <v>36.716500000000003</v>
      </c>
      <c r="FX54">
        <v>55.290199999999999</v>
      </c>
      <c r="FY54">
        <v>18.357199999999999</v>
      </c>
      <c r="FZ54">
        <v>410</v>
      </c>
      <c r="GA54">
        <v>14.794</v>
      </c>
      <c r="GB54">
        <v>99.892799999999994</v>
      </c>
      <c r="GC54">
        <v>99.484999999999999</v>
      </c>
    </row>
    <row r="55" spans="1:185" x14ac:dyDescent="0.2">
      <c r="A55">
        <v>40</v>
      </c>
      <c r="B55">
        <v>1769183569.0999999</v>
      </c>
      <c r="C55">
        <v>706.09999990463302</v>
      </c>
      <c r="D55" t="s">
        <v>373</v>
      </c>
      <c r="E55" t="s">
        <v>374</v>
      </c>
      <c r="F55">
        <v>15</v>
      </c>
      <c r="G55">
        <v>1769183560.5999999</v>
      </c>
      <c r="H55">
        <f t="shared" si="0"/>
        <v>-1.0910566761630058E-3</v>
      </c>
      <c r="I55">
        <v>0</v>
      </c>
      <c r="J55">
        <f t="shared" si="12"/>
        <v>-0.24876438511808788</v>
      </c>
      <c r="K55">
        <f t="shared" si="1"/>
        <v>-6.5150575671491051</v>
      </c>
      <c r="L55">
        <f t="shared" si="2"/>
        <v>69.905746080840316</v>
      </c>
      <c r="M55">
        <f t="shared" si="3"/>
        <v>1.5396147693025015</v>
      </c>
      <c r="N55">
        <f t="shared" si="4"/>
        <v>2.2024151884768703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26278.816373877573</v>
      </c>
      <c r="T55">
        <f t="shared" si="8"/>
        <v>99.999087500000002</v>
      </c>
      <c r="U55">
        <f t="shared" si="9"/>
        <v>84.298802478908115</v>
      </c>
      <c r="V55">
        <f t="shared" si="10"/>
        <v>0.84299571712499988</v>
      </c>
      <c r="W55">
        <f t="shared" si="11"/>
        <v>0.15868939025249998</v>
      </c>
      <c r="X55">
        <v>1</v>
      </c>
      <c r="Y55">
        <v>1769183560.5999999</v>
      </c>
      <c r="Z55">
        <v>418.71837499999998</v>
      </c>
      <c r="AA55">
        <v>410.00337500000001</v>
      </c>
      <c r="AB55">
        <v>15.367318750000001</v>
      </c>
      <c r="AC55">
        <v>16.7102</v>
      </c>
      <c r="AD55">
        <v>419.82737500000002</v>
      </c>
      <c r="AE55">
        <v>15.21531875</v>
      </c>
      <c r="AF55">
        <v>799.98887500000001</v>
      </c>
      <c r="AG55">
        <v>100.1221875</v>
      </c>
      <c r="AH55">
        <v>6.5411543749999995E-2</v>
      </c>
      <c r="AI55">
        <v>18.979893749999999</v>
      </c>
      <c r="AJ55">
        <v>999.9</v>
      </c>
      <c r="AK55">
        <v>999.9</v>
      </c>
      <c r="AL55">
        <v>0</v>
      </c>
      <c r="AM55">
        <v>0</v>
      </c>
      <c r="AN55">
        <v>5003.75</v>
      </c>
      <c r="AO55">
        <v>0</v>
      </c>
      <c r="AP55">
        <v>1.968328125</v>
      </c>
      <c r="AQ55">
        <v>8.6187950000000004</v>
      </c>
      <c r="AR55">
        <v>425.1448125</v>
      </c>
      <c r="AS55">
        <v>416.971</v>
      </c>
      <c r="AT55">
        <v>-1.3655619375000001</v>
      </c>
      <c r="AU55">
        <v>410.00337500000001</v>
      </c>
      <c r="AV55">
        <v>16.7102</v>
      </c>
      <c r="AW55">
        <v>1.5363374999999999</v>
      </c>
      <c r="AX55">
        <v>1.6730612499999999</v>
      </c>
      <c r="AY55">
        <v>13.3311625</v>
      </c>
      <c r="AZ55">
        <v>14.648306249999999</v>
      </c>
      <c r="BA55">
        <v>99.999087500000002</v>
      </c>
      <c r="BB55">
        <v>0.90014131249999996</v>
      </c>
      <c r="BC55">
        <v>0</v>
      </c>
      <c r="BD55">
        <v>9.98586375E-2</v>
      </c>
      <c r="BE55">
        <v>0</v>
      </c>
      <c r="BF55">
        <v>24.231243750000001</v>
      </c>
      <c r="BG55">
        <v>1648.930625</v>
      </c>
      <c r="BH55">
        <v>1769183593.0999999</v>
      </c>
      <c r="BI55" t="s">
        <v>375</v>
      </c>
      <c r="BJ55">
        <v>1769183593.0999999</v>
      </c>
      <c r="BK55">
        <v>1769183589.0999999</v>
      </c>
      <c r="BL55">
        <v>2</v>
      </c>
      <c r="BM55">
        <v>9.6000000000000002E-2</v>
      </c>
      <c r="BN55">
        <v>2.3E-2</v>
      </c>
      <c r="BO55">
        <v>-1.109</v>
      </c>
      <c r="BP55">
        <v>0.152</v>
      </c>
      <c r="BQ55">
        <v>410</v>
      </c>
      <c r="BR55">
        <v>16</v>
      </c>
      <c r="BS55">
        <v>0.26</v>
      </c>
      <c r="BT55">
        <v>7.0000000000000007E-2</v>
      </c>
      <c r="BU55">
        <v>12.1271014285714</v>
      </c>
      <c r="BV55">
        <v>-57.378677922077898</v>
      </c>
      <c r="BW55">
        <v>5.9286930063911498</v>
      </c>
      <c r="BX55">
        <v>0</v>
      </c>
      <c r="BY55">
        <v>0</v>
      </c>
      <c r="BZ55">
        <v>0</v>
      </c>
      <c r="CA55">
        <v>0</v>
      </c>
      <c r="CB55">
        <v>-1</v>
      </c>
      <c r="CC55">
        <v>-1.6304929523809499</v>
      </c>
      <c r="CD55">
        <v>4.8328603636363603</v>
      </c>
      <c r="CE55">
        <v>0.51213267708312804</v>
      </c>
      <c r="CF55">
        <v>0</v>
      </c>
      <c r="CG55">
        <v>0</v>
      </c>
      <c r="CH55">
        <v>2</v>
      </c>
      <c r="CI55" t="s">
        <v>290</v>
      </c>
      <c r="CJ55">
        <v>3.5324800000000001</v>
      </c>
      <c r="CK55">
        <v>2.7031900000000002</v>
      </c>
      <c r="CL55">
        <v>9.8965399999999995E-2</v>
      </c>
      <c r="CM55">
        <v>9.6823900000000004E-2</v>
      </c>
      <c r="CN55">
        <v>8.89982E-2</v>
      </c>
      <c r="CO55">
        <v>9.0352299999999997E-2</v>
      </c>
      <c r="CP55">
        <v>31609.7</v>
      </c>
      <c r="CQ55">
        <v>27753.9</v>
      </c>
      <c r="CR55">
        <v>32466.6</v>
      </c>
      <c r="CS55">
        <v>30653.3</v>
      </c>
      <c r="CT55">
        <v>40031.9</v>
      </c>
      <c r="CU55">
        <v>39183</v>
      </c>
      <c r="CV55">
        <v>47399.1</v>
      </c>
      <c r="CW55">
        <v>46727.3</v>
      </c>
      <c r="CX55">
        <v>2.6311599999999999</v>
      </c>
      <c r="CY55">
        <v>2.1672799999999999</v>
      </c>
      <c r="CZ55">
        <v>0</v>
      </c>
      <c r="DA55">
        <v>0</v>
      </c>
      <c r="DB55">
        <v>999.9</v>
      </c>
      <c r="DC55">
        <v>999.9</v>
      </c>
      <c r="DD55">
        <v>73.611000000000004</v>
      </c>
      <c r="DE55">
        <v>24.058</v>
      </c>
      <c r="DF55">
        <v>22.094200000000001</v>
      </c>
      <c r="DG55">
        <v>30.430099999999999</v>
      </c>
      <c r="DH55">
        <v>17.451899999999998</v>
      </c>
      <c r="DI55">
        <v>2</v>
      </c>
      <c r="DJ55">
        <v>-0.170709</v>
      </c>
      <c r="DK55">
        <v>1.73786</v>
      </c>
      <c r="DL55">
        <v>20.2362</v>
      </c>
      <c r="DM55">
        <v>5.2493999999999996</v>
      </c>
      <c r="DN55">
        <v>12.033899999999999</v>
      </c>
      <c r="DO55">
        <v>4.9669600000000003</v>
      </c>
      <c r="DP55">
        <v>3.2906200000000001</v>
      </c>
      <c r="DQ55">
        <v>9999</v>
      </c>
      <c r="DR55">
        <v>9999</v>
      </c>
      <c r="DS55">
        <v>534.20000000000005</v>
      </c>
      <c r="DT55">
        <v>9999</v>
      </c>
      <c r="DU55">
        <v>1.8709199999999999</v>
      </c>
      <c r="DV55">
        <v>1.8760300000000001</v>
      </c>
      <c r="DW55">
        <v>1.87619</v>
      </c>
      <c r="DX55">
        <v>1.88273</v>
      </c>
      <c r="DY55">
        <v>1.8754599999999999</v>
      </c>
      <c r="DZ55">
        <v>1.8745400000000001</v>
      </c>
      <c r="EA55">
        <v>1.8707</v>
      </c>
      <c r="EB55">
        <v>1.8745499999999999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-1.109</v>
      </c>
      <c r="EQ55">
        <v>0.152</v>
      </c>
      <c r="ER55">
        <v>-1.20520000000005</v>
      </c>
      <c r="ES55">
        <v>0</v>
      </c>
      <c r="ET55">
        <v>0</v>
      </c>
      <c r="EU55">
        <v>0</v>
      </c>
      <c r="EV55">
        <v>0.12931999999999799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11.4</v>
      </c>
      <c r="FE55">
        <v>11.4</v>
      </c>
      <c r="FF55">
        <v>1.23291</v>
      </c>
      <c r="FG55">
        <v>2.5524900000000001</v>
      </c>
      <c r="FH55">
        <v>2.19604</v>
      </c>
      <c r="FI55">
        <v>2.66235</v>
      </c>
      <c r="FJ55">
        <v>2.4462899999999999</v>
      </c>
      <c r="FK55">
        <v>2.2766099999999998</v>
      </c>
      <c r="FL55">
        <v>29.559100000000001</v>
      </c>
      <c r="FM55">
        <v>24.157499999999999</v>
      </c>
      <c r="FN55">
        <v>19</v>
      </c>
      <c r="FO55">
        <v>862.14099999999996</v>
      </c>
      <c r="FP55">
        <v>597.48500000000001</v>
      </c>
      <c r="FQ55">
        <v>17.792300000000001</v>
      </c>
      <c r="FR55">
        <v>24.8428</v>
      </c>
      <c r="FS55">
        <v>29.9983</v>
      </c>
      <c r="FT55">
        <v>24.8249</v>
      </c>
      <c r="FU55">
        <v>24.825600000000001</v>
      </c>
      <c r="FV55">
        <v>24.745000000000001</v>
      </c>
      <c r="FW55">
        <v>31.0533</v>
      </c>
      <c r="FX55">
        <v>52.652900000000002</v>
      </c>
      <c r="FY55">
        <v>17.865600000000001</v>
      </c>
      <c r="FZ55">
        <v>410</v>
      </c>
      <c r="GA55">
        <v>16.0151</v>
      </c>
      <c r="GB55">
        <v>99.890199999999993</v>
      </c>
      <c r="GC55">
        <v>99.489400000000003</v>
      </c>
    </row>
    <row r="56" spans="1:185" x14ac:dyDescent="0.2">
      <c r="A56">
        <v>41</v>
      </c>
      <c r="B56">
        <v>1769183595.0999999</v>
      </c>
      <c r="C56">
        <v>732.09999990463302</v>
      </c>
      <c r="D56" t="s">
        <v>376</v>
      </c>
      <c r="E56" t="s">
        <v>377</v>
      </c>
      <c r="F56">
        <v>15</v>
      </c>
      <c r="G56">
        <v>1769183594.0999999</v>
      </c>
      <c r="H56">
        <f t="shared" si="0"/>
        <v>8.9443533583020635E-7</v>
      </c>
      <c r="I56">
        <v>0</v>
      </c>
      <c r="J56">
        <f t="shared" si="12"/>
        <v>1.5438738430180643E-3</v>
      </c>
      <c r="K56">
        <f t="shared" si="1"/>
        <v>4.0433549034375231E-2</v>
      </c>
      <c r="L56">
        <f t="shared" si="2"/>
        <v>73.810346898580391</v>
      </c>
      <c r="M56">
        <f t="shared" si="3"/>
        <v>1.6164617394330298</v>
      </c>
      <c r="N56">
        <f t="shared" si="4"/>
        <v>2.1900205152187402</v>
      </c>
      <c r="O56">
        <v>503</v>
      </c>
      <c r="P56">
        <v>63</v>
      </c>
      <c r="Q56">
        <f t="shared" si="5"/>
        <v>1</v>
      </c>
      <c r="R56">
        <f t="shared" si="6"/>
        <v>0</v>
      </c>
      <c r="S56">
        <f t="shared" si="7"/>
        <v>26236.541163055488</v>
      </c>
      <c r="T56">
        <f t="shared" si="8"/>
        <v>99.997200000000007</v>
      </c>
      <c r="U56">
        <f t="shared" si="9"/>
        <v>84.297237011272813</v>
      </c>
      <c r="V56">
        <f t="shared" si="10"/>
        <v>0.84299597400000004</v>
      </c>
      <c r="W56">
        <f t="shared" si="11"/>
        <v>0.15868954524000001</v>
      </c>
      <c r="X56">
        <v>1</v>
      </c>
      <c r="Y56">
        <v>1769183594.0999999</v>
      </c>
      <c r="Z56">
        <v>409.98599999999999</v>
      </c>
      <c r="AA56">
        <v>410.03699999999998</v>
      </c>
      <c r="AB56">
        <v>16.132899999999999</v>
      </c>
      <c r="AC56">
        <v>16.131799999999998</v>
      </c>
      <c r="AD56">
        <v>411.096</v>
      </c>
      <c r="AE56">
        <v>15.9809</v>
      </c>
      <c r="AF56">
        <v>800.005</v>
      </c>
      <c r="AG56">
        <v>100.121</v>
      </c>
      <c r="AH56">
        <v>7.5600700000000007E-2</v>
      </c>
      <c r="AI56">
        <v>18.889500000000002</v>
      </c>
      <c r="AJ56">
        <v>999.9</v>
      </c>
      <c r="AK56">
        <v>999.9</v>
      </c>
      <c r="AL56">
        <v>0</v>
      </c>
      <c r="AM56">
        <v>0</v>
      </c>
      <c r="AN56">
        <v>4995.5</v>
      </c>
      <c r="AO56">
        <v>0</v>
      </c>
      <c r="AP56">
        <v>1.99868</v>
      </c>
      <c r="AQ56">
        <v>-5.0689699999999997E-2</v>
      </c>
      <c r="AR56">
        <v>416.709</v>
      </c>
      <c r="AS56">
        <v>416.76</v>
      </c>
      <c r="AT56">
        <v>1.08719E-3</v>
      </c>
      <c r="AU56">
        <v>410.03699999999998</v>
      </c>
      <c r="AV56">
        <v>16.131799999999998</v>
      </c>
      <c r="AW56">
        <v>1.61524</v>
      </c>
      <c r="AX56">
        <v>1.61513</v>
      </c>
      <c r="AY56">
        <v>14.104900000000001</v>
      </c>
      <c r="AZ56">
        <v>14.103899999999999</v>
      </c>
      <c r="BA56">
        <v>99.997200000000007</v>
      </c>
      <c r="BB56">
        <v>0.90014000000000005</v>
      </c>
      <c r="BC56">
        <v>0</v>
      </c>
      <c r="BD56">
        <v>9.9860199999999996E-2</v>
      </c>
      <c r="BE56">
        <v>0</v>
      </c>
      <c r="BF56">
        <v>24.7</v>
      </c>
      <c r="BG56">
        <v>1648.9</v>
      </c>
      <c r="BH56">
        <v>1769183593.0999999</v>
      </c>
      <c r="BI56" t="s">
        <v>375</v>
      </c>
      <c r="BJ56">
        <v>1769183593.0999999</v>
      </c>
      <c r="BK56">
        <v>1769183589.0999999</v>
      </c>
      <c r="BL56">
        <v>2</v>
      </c>
      <c r="BM56">
        <v>9.6000000000000002E-2</v>
      </c>
      <c r="BN56">
        <v>2.3E-2</v>
      </c>
      <c r="BO56">
        <v>-1.109</v>
      </c>
      <c r="BP56">
        <v>0.152</v>
      </c>
      <c r="BQ56">
        <v>410</v>
      </c>
      <c r="BR56">
        <v>16</v>
      </c>
      <c r="BS56">
        <v>0.26</v>
      </c>
      <c r="BT56">
        <v>7.0000000000000007E-2</v>
      </c>
      <c r="BU56">
        <v>-6.3926650000000002E-2</v>
      </c>
      <c r="BV56">
        <v>-0.57231018947368495</v>
      </c>
      <c r="BW56">
        <v>0.14164702929358799</v>
      </c>
      <c r="BX56">
        <v>0</v>
      </c>
      <c r="BY56">
        <v>0</v>
      </c>
      <c r="BZ56">
        <v>0</v>
      </c>
      <c r="CA56">
        <v>0</v>
      </c>
      <c r="CB56">
        <v>-1</v>
      </c>
      <c r="CC56">
        <v>-2.0021723285000001E-2</v>
      </c>
      <c r="CD56">
        <v>0.131153560118797</v>
      </c>
      <c r="CE56">
        <v>1.6201976607624301E-2</v>
      </c>
      <c r="CF56">
        <v>0</v>
      </c>
      <c r="CG56">
        <v>0</v>
      </c>
      <c r="CH56">
        <v>2</v>
      </c>
      <c r="CI56" t="s">
        <v>290</v>
      </c>
      <c r="CJ56">
        <v>3.53288</v>
      </c>
      <c r="CK56">
        <v>2.7131699999999999</v>
      </c>
      <c r="CL56">
        <v>9.8187200000000002E-2</v>
      </c>
      <c r="CM56">
        <v>9.6790899999999999E-2</v>
      </c>
      <c r="CN56">
        <v>9.0155299999999994E-2</v>
      </c>
      <c r="CO56">
        <v>8.9312600000000006E-2</v>
      </c>
      <c r="CP56">
        <v>31635.599999999999</v>
      </c>
      <c r="CQ56">
        <v>27754.2</v>
      </c>
      <c r="CR56">
        <v>32465.200000000001</v>
      </c>
      <c r="CS56">
        <v>30652.6</v>
      </c>
      <c r="CT56">
        <v>39977.800000000003</v>
      </c>
      <c r="CU56">
        <v>39228.400000000001</v>
      </c>
      <c r="CV56">
        <v>47397.4</v>
      </c>
      <c r="CW56">
        <v>46726.2</v>
      </c>
      <c r="CX56">
        <v>1.6619200000000001</v>
      </c>
      <c r="CY56">
        <v>1.59676</v>
      </c>
      <c r="CZ56">
        <v>0</v>
      </c>
      <c r="DA56">
        <v>0</v>
      </c>
      <c r="DB56">
        <v>999.9</v>
      </c>
      <c r="DC56">
        <v>999.9</v>
      </c>
      <c r="DD56">
        <v>73.471000000000004</v>
      </c>
      <c r="DE56">
        <v>24.088000000000001</v>
      </c>
      <c r="DF56">
        <v>22.0945</v>
      </c>
      <c r="DG56">
        <v>30.360099999999999</v>
      </c>
      <c r="DH56">
        <v>18.0929</v>
      </c>
      <c r="DI56">
        <v>2</v>
      </c>
      <c r="DJ56">
        <v>-0.16864599999999999</v>
      </c>
      <c r="DK56">
        <v>1.6984999999999999</v>
      </c>
      <c r="DL56">
        <v>20.235600000000002</v>
      </c>
      <c r="DM56">
        <v>5.2453200000000004</v>
      </c>
      <c r="DN56">
        <v>12.033899999999999</v>
      </c>
      <c r="DO56">
        <v>4.9661200000000001</v>
      </c>
      <c r="DP56">
        <v>3.2901400000000001</v>
      </c>
      <c r="DQ56">
        <v>9999</v>
      </c>
      <c r="DR56">
        <v>9999</v>
      </c>
      <c r="DS56">
        <v>534.20000000000005</v>
      </c>
      <c r="DT56">
        <v>9999</v>
      </c>
      <c r="DU56">
        <v>1.8709199999999999</v>
      </c>
      <c r="DV56">
        <v>1.87605</v>
      </c>
      <c r="DW56">
        <v>1.87622</v>
      </c>
      <c r="DX56">
        <v>1.88276</v>
      </c>
      <c r="DY56">
        <v>1.87547</v>
      </c>
      <c r="DZ56">
        <v>1.8745400000000001</v>
      </c>
      <c r="EA56">
        <v>1.8707</v>
      </c>
      <c r="EB56">
        <v>1.8745400000000001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-1.109</v>
      </c>
      <c r="EQ56">
        <v>0.152</v>
      </c>
      <c r="ER56">
        <v>-1.10929999999996</v>
      </c>
      <c r="ES56">
        <v>0</v>
      </c>
      <c r="ET56">
        <v>0</v>
      </c>
      <c r="EU56">
        <v>0</v>
      </c>
      <c r="EV56">
        <v>0.15201999999999699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0</v>
      </c>
      <c r="FE56">
        <v>0.1</v>
      </c>
      <c r="FF56">
        <v>1.23291</v>
      </c>
      <c r="FG56">
        <v>2.5549300000000001</v>
      </c>
      <c r="FH56">
        <v>2.19604</v>
      </c>
      <c r="FI56">
        <v>2.66235</v>
      </c>
      <c r="FJ56">
        <v>2.4462899999999999</v>
      </c>
      <c r="FK56">
        <v>2.2692899999999998</v>
      </c>
      <c r="FL56">
        <v>29.601700000000001</v>
      </c>
      <c r="FM56">
        <v>24.157499999999999</v>
      </c>
      <c r="FN56">
        <v>19</v>
      </c>
      <c r="FO56">
        <v>274.101</v>
      </c>
      <c r="FP56">
        <v>267.90699999999998</v>
      </c>
      <c r="FQ56">
        <v>18.157599999999999</v>
      </c>
      <c r="FR56">
        <v>24.864000000000001</v>
      </c>
      <c r="FS56">
        <v>30.000299999999999</v>
      </c>
      <c r="FT56">
        <v>24.861499999999999</v>
      </c>
      <c r="FU56">
        <v>24.855899999999998</v>
      </c>
      <c r="FV56">
        <v>24.746700000000001</v>
      </c>
      <c r="FW56">
        <v>31.709599999999998</v>
      </c>
      <c r="FX56">
        <v>52.652900000000002</v>
      </c>
      <c r="FY56">
        <v>18.1906</v>
      </c>
      <c r="FZ56">
        <v>410</v>
      </c>
      <c r="GA56">
        <v>15.744300000000001</v>
      </c>
      <c r="GB56">
        <v>99.886300000000006</v>
      </c>
      <c r="GC56">
        <v>99.486999999999995</v>
      </c>
    </row>
    <row r="57" spans="1:185" x14ac:dyDescent="0.2">
      <c r="A57">
        <v>42</v>
      </c>
      <c r="B57">
        <v>1769183610.0999999</v>
      </c>
      <c r="C57">
        <v>747.09999990463302</v>
      </c>
      <c r="D57" t="s">
        <v>378</v>
      </c>
      <c r="E57" t="s">
        <v>379</v>
      </c>
      <c r="F57">
        <v>15</v>
      </c>
      <c r="G57">
        <v>1769183602.03333</v>
      </c>
      <c r="H57">
        <f t="shared" si="0"/>
        <v>2.8353801736219394E-4</v>
      </c>
      <c r="I57">
        <v>0</v>
      </c>
      <c r="J57">
        <f t="shared" si="12"/>
        <v>-9.0197323257059179E-3</v>
      </c>
      <c r="K57">
        <f t="shared" si="1"/>
        <v>-0.23622382807874434</v>
      </c>
      <c r="L57">
        <f t="shared" si="2"/>
        <v>73.9953252222397</v>
      </c>
      <c r="M57">
        <f t="shared" si="3"/>
        <v>1.6210546960794838</v>
      </c>
      <c r="N57">
        <f t="shared" si="4"/>
        <v>2.1907528498736388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26226.349078709729</v>
      </c>
      <c r="T57">
        <f t="shared" si="8"/>
        <v>100.00006</v>
      </c>
      <c r="U57">
        <f t="shared" si="9"/>
        <v>84.299631579748549</v>
      </c>
      <c r="V57">
        <f t="shared" si="10"/>
        <v>0.84299580999999946</v>
      </c>
      <c r="W57">
        <f t="shared" si="11"/>
        <v>0.15868952499999989</v>
      </c>
      <c r="X57">
        <v>1</v>
      </c>
      <c r="Y57">
        <v>1769183602.03333</v>
      </c>
      <c r="Z57">
        <v>410.27426666666702</v>
      </c>
      <c r="AA57">
        <v>410.12446666666699</v>
      </c>
      <c r="AB57">
        <v>16.1798866666667</v>
      </c>
      <c r="AC57">
        <v>15.83136</v>
      </c>
      <c r="AD57">
        <v>411.3836</v>
      </c>
      <c r="AE57">
        <v>16.027853333333301</v>
      </c>
      <c r="AF57">
        <v>800.37033333333295</v>
      </c>
      <c r="AG57">
        <v>100.12179999999999</v>
      </c>
      <c r="AH57">
        <v>6.7696346666666699E-2</v>
      </c>
      <c r="AI57">
        <v>18.894853333333302</v>
      </c>
      <c r="AJ57">
        <v>999.9</v>
      </c>
      <c r="AK57">
        <v>999.9</v>
      </c>
      <c r="AL57">
        <v>0</v>
      </c>
      <c r="AM57">
        <v>0</v>
      </c>
      <c r="AN57">
        <v>4993.8666666666704</v>
      </c>
      <c r="AO57">
        <v>0</v>
      </c>
      <c r="AP57">
        <v>2.0158406666666702</v>
      </c>
      <c r="AQ57">
        <v>0.14991454000000001</v>
      </c>
      <c r="AR57">
        <v>417.02179999999998</v>
      </c>
      <c r="AS57">
        <v>416.72166666666698</v>
      </c>
      <c r="AT57">
        <v>0.34851163266666702</v>
      </c>
      <c r="AU57">
        <v>410.12446666666699</v>
      </c>
      <c r="AV57">
        <v>15.83136</v>
      </c>
      <c r="AW57">
        <v>1.619958</v>
      </c>
      <c r="AX57">
        <v>1.5850646666666699</v>
      </c>
      <c r="AY57">
        <v>14.149940000000001</v>
      </c>
      <c r="AZ57">
        <v>13.812939999999999</v>
      </c>
      <c r="BA57">
        <v>100.00006</v>
      </c>
      <c r="BB57">
        <v>0.90013966666666601</v>
      </c>
      <c r="BC57">
        <v>0</v>
      </c>
      <c r="BD57">
        <v>9.9860333333333301E-2</v>
      </c>
      <c r="BE57">
        <v>0</v>
      </c>
      <c r="BF57">
        <v>24.726666666666699</v>
      </c>
      <c r="BG57">
        <v>1648.9486666666701</v>
      </c>
      <c r="BH57">
        <v>1769183593.0999999</v>
      </c>
      <c r="BI57" t="s">
        <v>375</v>
      </c>
      <c r="BJ57">
        <v>1769183593.0999999</v>
      </c>
      <c r="BK57">
        <v>1769183589.0999999</v>
      </c>
      <c r="BL57">
        <v>2</v>
      </c>
      <c r="BM57">
        <v>9.6000000000000002E-2</v>
      </c>
      <c r="BN57">
        <v>2.3E-2</v>
      </c>
      <c r="BO57">
        <v>-1.109</v>
      </c>
      <c r="BP57">
        <v>0.152</v>
      </c>
      <c r="BQ57">
        <v>410</v>
      </c>
      <c r="BR57">
        <v>16</v>
      </c>
      <c r="BS57">
        <v>0.26</v>
      </c>
      <c r="BT57">
        <v>7.0000000000000007E-2</v>
      </c>
      <c r="BU57">
        <v>8.0910780952380995E-2</v>
      </c>
      <c r="BV57">
        <v>1.0191626415584401</v>
      </c>
      <c r="BW57">
        <v>0.129900754681713</v>
      </c>
      <c r="BX57">
        <v>0</v>
      </c>
      <c r="BY57">
        <v>0</v>
      </c>
      <c r="BZ57">
        <v>0</v>
      </c>
      <c r="CA57">
        <v>0</v>
      </c>
      <c r="CB57">
        <v>-1</v>
      </c>
      <c r="CC57">
        <v>0.24794079249047599</v>
      </c>
      <c r="CD57">
        <v>2.3810913308026</v>
      </c>
      <c r="CE57">
        <v>0.250477979335548</v>
      </c>
      <c r="CF57">
        <v>0</v>
      </c>
      <c r="CG57">
        <v>0</v>
      </c>
      <c r="CH57">
        <v>2</v>
      </c>
      <c r="CI57" t="s">
        <v>290</v>
      </c>
      <c r="CJ57">
        <v>3.5325000000000002</v>
      </c>
      <c r="CK57">
        <v>2.7037900000000001</v>
      </c>
      <c r="CL57">
        <v>9.8230600000000001E-2</v>
      </c>
      <c r="CM57">
        <v>9.6798999999999996E-2</v>
      </c>
      <c r="CN57">
        <v>9.01034E-2</v>
      </c>
      <c r="CO57">
        <v>8.6528800000000003E-2</v>
      </c>
      <c r="CP57">
        <v>31633.599999999999</v>
      </c>
      <c r="CQ57">
        <v>27754.7</v>
      </c>
      <c r="CR57">
        <v>32464.799999999999</v>
      </c>
      <c r="CS57">
        <v>30653.599999999999</v>
      </c>
      <c r="CT57">
        <v>39980</v>
      </c>
      <c r="CU57">
        <v>39353.4</v>
      </c>
      <c r="CV57">
        <v>47397.2</v>
      </c>
      <c r="CW57">
        <v>46727.4</v>
      </c>
      <c r="CX57">
        <v>2.6296200000000001</v>
      </c>
      <c r="CY57">
        <v>2.16344</v>
      </c>
      <c r="CZ57">
        <v>0</v>
      </c>
      <c r="DA57">
        <v>0</v>
      </c>
      <c r="DB57">
        <v>999.9</v>
      </c>
      <c r="DC57">
        <v>999.9</v>
      </c>
      <c r="DD57">
        <v>73.397999999999996</v>
      </c>
      <c r="DE57">
        <v>24.108000000000001</v>
      </c>
      <c r="DF57">
        <v>22.098199999999999</v>
      </c>
      <c r="DG57">
        <v>30.4801</v>
      </c>
      <c r="DH57">
        <v>17.387799999999999</v>
      </c>
      <c r="DI57">
        <v>2</v>
      </c>
      <c r="DJ57">
        <v>-0.16839599999999999</v>
      </c>
      <c r="DK57">
        <v>1.4794499999999999</v>
      </c>
      <c r="DL57">
        <v>20.2394</v>
      </c>
      <c r="DM57">
        <v>5.2519099999999996</v>
      </c>
      <c r="DN57">
        <v>12.033899999999999</v>
      </c>
      <c r="DO57">
        <v>4.9675200000000004</v>
      </c>
      <c r="DP57">
        <v>3.2909999999999999</v>
      </c>
      <c r="DQ57">
        <v>9999</v>
      </c>
      <c r="DR57">
        <v>9999</v>
      </c>
      <c r="DS57">
        <v>534.20000000000005</v>
      </c>
      <c r="DT57">
        <v>9999</v>
      </c>
      <c r="DU57">
        <v>1.871</v>
      </c>
      <c r="DV57">
        <v>1.8760600000000001</v>
      </c>
      <c r="DW57">
        <v>1.87622</v>
      </c>
      <c r="DX57">
        <v>1.8827799999999999</v>
      </c>
      <c r="DY57">
        <v>1.87548</v>
      </c>
      <c r="DZ57">
        <v>1.8745400000000001</v>
      </c>
      <c r="EA57">
        <v>1.8707199999999999</v>
      </c>
      <c r="EB57">
        <v>1.87456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-1.109</v>
      </c>
      <c r="EQ57">
        <v>0.152</v>
      </c>
      <c r="ER57">
        <v>-1.10929999999996</v>
      </c>
      <c r="ES57">
        <v>0</v>
      </c>
      <c r="ET57">
        <v>0</v>
      </c>
      <c r="EU57">
        <v>0</v>
      </c>
      <c r="EV57">
        <v>0.15201999999999699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0.3</v>
      </c>
      <c r="FE57">
        <v>0.3</v>
      </c>
      <c r="FF57">
        <v>1.23169</v>
      </c>
      <c r="FG57">
        <v>2.5537100000000001</v>
      </c>
      <c r="FH57">
        <v>2.19604</v>
      </c>
      <c r="FI57">
        <v>2.66235</v>
      </c>
      <c r="FJ57">
        <v>2.4462899999999999</v>
      </c>
      <c r="FK57">
        <v>2.2729499999999998</v>
      </c>
      <c r="FL57">
        <v>29.623000000000001</v>
      </c>
      <c r="FM57">
        <v>24.157499999999999</v>
      </c>
      <c r="FN57">
        <v>19</v>
      </c>
      <c r="FO57">
        <v>861.101</v>
      </c>
      <c r="FP57">
        <v>594.72</v>
      </c>
      <c r="FQ57">
        <v>18.387</v>
      </c>
      <c r="FR57">
        <v>24.875399999999999</v>
      </c>
      <c r="FS57">
        <v>30.000299999999999</v>
      </c>
      <c r="FT57">
        <v>24.848600000000001</v>
      </c>
      <c r="FU57">
        <v>24.847300000000001</v>
      </c>
      <c r="FV57">
        <v>24.729900000000001</v>
      </c>
      <c r="FW57">
        <v>34.851799999999997</v>
      </c>
      <c r="FX57">
        <v>51.901699999999998</v>
      </c>
      <c r="FY57">
        <v>18.415500000000002</v>
      </c>
      <c r="FZ57">
        <v>410</v>
      </c>
      <c r="GA57">
        <v>15.1755</v>
      </c>
      <c r="GB57">
        <v>99.885499999999993</v>
      </c>
      <c r="GC57">
        <v>99.489800000000002</v>
      </c>
    </row>
    <row r="58" spans="1:185" x14ac:dyDescent="0.2">
      <c r="A58">
        <v>43</v>
      </c>
      <c r="B58">
        <v>1769183625.0999999</v>
      </c>
      <c r="C58">
        <v>762.09999990463302</v>
      </c>
      <c r="D58" t="s">
        <v>380</v>
      </c>
      <c r="E58" t="s">
        <v>381</v>
      </c>
      <c r="F58">
        <v>15</v>
      </c>
      <c r="G58">
        <v>1769183617.03333</v>
      </c>
      <c r="H58">
        <f t="shared" si="0"/>
        <v>6.1872996261469275E-4</v>
      </c>
      <c r="I58">
        <v>0</v>
      </c>
      <c r="J58">
        <f t="shared" si="12"/>
        <v>-1.1336018206187962E-2</v>
      </c>
      <c r="K58">
        <f t="shared" si="1"/>
        <v>-0.29688659476116808</v>
      </c>
      <c r="L58">
        <f t="shared" si="2"/>
        <v>73.131426990604382</v>
      </c>
      <c r="M58">
        <f t="shared" si="3"/>
        <v>1.6037611664671254</v>
      </c>
      <c r="N58">
        <f t="shared" si="4"/>
        <v>2.1929849210698018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26270.068456530204</v>
      </c>
      <c r="T58">
        <f t="shared" si="8"/>
        <v>100.001286666667</v>
      </c>
      <c r="U58">
        <f t="shared" si="9"/>
        <v>84.300700655059444</v>
      </c>
      <c r="V58">
        <f t="shared" si="10"/>
        <v>0.84299615999999966</v>
      </c>
      <c r="W58">
        <f t="shared" si="11"/>
        <v>0.15869027007999995</v>
      </c>
      <c r="X58">
        <v>1</v>
      </c>
      <c r="Y58">
        <v>1769183617.03333</v>
      </c>
      <c r="Z58">
        <v>410.09873333333297</v>
      </c>
      <c r="AA58">
        <v>410.04480000000001</v>
      </c>
      <c r="AB58">
        <v>16.007393333333301</v>
      </c>
      <c r="AC58">
        <v>15.2463533333333</v>
      </c>
      <c r="AD58">
        <v>411.20806666666698</v>
      </c>
      <c r="AE58">
        <v>15.85538</v>
      </c>
      <c r="AF58">
        <v>799.99173333333295</v>
      </c>
      <c r="AG58">
        <v>100.122733333333</v>
      </c>
      <c r="AH58">
        <v>6.6044006666666696E-2</v>
      </c>
      <c r="AI58">
        <v>18.911159999999999</v>
      </c>
      <c r="AJ58">
        <v>999.9</v>
      </c>
      <c r="AK58">
        <v>999.9</v>
      </c>
      <c r="AL58">
        <v>0</v>
      </c>
      <c r="AM58">
        <v>0</v>
      </c>
      <c r="AN58">
        <v>5001.2666666666701</v>
      </c>
      <c r="AO58">
        <v>0</v>
      </c>
      <c r="AP58">
        <v>2.0325500000000001</v>
      </c>
      <c r="AQ58">
        <v>5.4022156000000002E-2</v>
      </c>
      <c r="AR58">
        <v>416.77013333333298</v>
      </c>
      <c r="AS58">
        <v>416.39339999999999</v>
      </c>
      <c r="AT58">
        <v>0.76102993333333302</v>
      </c>
      <c r="AU58">
        <v>410.04480000000001</v>
      </c>
      <c r="AV58">
        <v>15.2463533333333</v>
      </c>
      <c r="AW58">
        <v>1.60270466666667</v>
      </c>
      <c r="AX58">
        <v>1.5265073333333301</v>
      </c>
      <c r="AY58">
        <v>13.9846866666667</v>
      </c>
      <c r="AZ58">
        <v>13.235846666666699</v>
      </c>
      <c r="BA58">
        <v>100.001286666667</v>
      </c>
      <c r="BB58">
        <v>0.90012993333333302</v>
      </c>
      <c r="BC58">
        <v>0</v>
      </c>
      <c r="BD58">
        <v>9.9870133333333305E-2</v>
      </c>
      <c r="BE58">
        <v>0</v>
      </c>
      <c r="BF58">
        <v>24.98</v>
      </c>
      <c r="BG58">
        <v>1648.96133333333</v>
      </c>
      <c r="BH58">
        <v>1769183593.0999999</v>
      </c>
      <c r="BI58" t="s">
        <v>375</v>
      </c>
      <c r="BJ58">
        <v>1769183593.0999999</v>
      </c>
      <c r="BK58">
        <v>1769183589.0999999</v>
      </c>
      <c r="BL58">
        <v>2</v>
      </c>
      <c r="BM58">
        <v>9.6000000000000002E-2</v>
      </c>
      <c r="BN58">
        <v>2.3E-2</v>
      </c>
      <c r="BO58">
        <v>-1.109</v>
      </c>
      <c r="BP58">
        <v>0.152</v>
      </c>
      <c r="BQ58">
        <v>410</v>
      </c>
      <c r="BR58">
        <v>16</v>
      </c>
      <c r="BS58">
        <v>0.26</v>
      </c>
      <c r="BT58">
        <v>7.0000000000000007E-2</v>
      </c>
      <c r="BU58">
        <v>7.6223716999999996E-2</v>
      </c>
      <c r="BV58">
        <v>-0.693930793082707</v>
      </c>
      <c r="BW58">
        <v>7.1156554483457701E-2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0.72096505</v>
      </c>
      <c r="CD58">
        <v>0.86546945864661595</v>
      </c>
      <c r="CE58">
        <v>8.5488159828993299E-2</v>
      </c>
      <c r="CF58">
        <v>0</v>
      </c>
      <c r="CG58">
        <v>0</v>
      </c>
      <c r="CH58">
        <v>2</v>
      </c>
      <c r="CI58" t="s">
        <v>290</v>
      </c>
      <c r="CJ58">
        <v>3.5325099999999998</v>
      </c>
      <c r="CK58">
        <v>2.70391</v>
      </c>
      <c r="CL58">
        <v>9.8181500000000005E-2</v>
      </c>
      <c r="CM58">
        <v>9.6784599999999998E-2</v>
      </c>
      <c r="CN58">
        <v>8.9061500000000002E-2</v>
      </c>
      <c r="CO58">
        <v>8.4865999999999997E-2</v>
      </c>
      <c r="CP58">
        <v>31635.5</v>
      </c>
      <c r="CQ58">
        <v>27754.5</v>
      </c>
      <c r="CR58">
        <v>32465</v>
      </c>
      <c r="CS58">
        <v>30653</v>
      </c>
      <c r="CT58">
        <v>40027.5</v>
      </c>
      <c r="CU58">
        <v>39426.699999999997</v>
      </c>
      <c r="CV58">
        <v>47397.4</v>
      </c>
      <c r="CW58">
        <v>46726.6</v>
      </c>
      <c r="CX58">
        <v>2.6316600000000001</v>
      </c>
      <c r="CY58">
        <v>2.1631800000000001</v>
      </c>
      <c r="CZ58">
        <v>0</v>
      </c>
      <c r="DA58">
        <v>0</v>
      </c>
      <c r="DB58">
        <v>999.9</v>
      </c>
      <c r="DC58">
        <v>999.9</v>
      </c>
      <c r="DD58">
        <v>73.317999999999998</v>
      </c>
      <c r="DE58">
        <v>24.129000000000001</v>
      </c>
      <c r="DF58">
        <v>22.102399999999999</v>
      </c>
      <c r="DG58">
        <v>30.420100000000001</v>
      </c>
      <c r="DH58">
        <v>17.375800000000002</v>
      </c>
      <c r="DI58">
        <v>2</v>
      </c>
      <c r="DJ58">
        <v>-0.167878</v>
      </c>
      <c r="DK58">
        <v>1.35182</v>
      </c>
      <c r="DL58">
        <v>20.2408</v>
      </c>
      <c r="DM58">
        <v>5.2509499999999996</v>
      </c>
      <c r="DN58">
        <v>12.033899999999999</v>
      </c>
      <c r="DO58">
        <v>4.9673999999999996</v>
      </c>
      <c r="DP58">
        <v>3.2907999999999999</v>
      </c>
      <c r="DQ58">
        <v>9999</v>
      </c>
      <c r="DR58">
        <v>9999</v>
      </c>
      <c r="DS58">
        <v>534.20000000000005</v>
      </c>
      <c r="DT58">
        <v>9999</v>
      </c>
      <c r="DU58">
        <v>1.8709899999999999</v>
      </c>
      <c r="DV58">
        <v>1.8760600000000001</v>
      </c>
      <c r="DW58">
        <v>1.8762099999999999</v>
      </c>
      <c r="DX58">
        <v>1.88276</v>
      </c>
      <c r="DY58">
        <v>1.8754900000000001</v>
      </c>
      <c r="DZ58">
        <v>1.8745400000000001</v>
      </c>
      <c r="EA58">
        <v>1.8707100000000001</v>
      </c>
      <c r="EB58">
        <v>1.8745499999999999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-1.109</v>
      </c>
      <c r="EQ58">
        <v>0.15210000000000001</v>
      </c>
      <c r="ER58">
        <v>-1.10929999999996</v>
      </c>
      <c r="ES58">
        <v>0</v>
      </c>
      <c r="ET58">
        <v>0</v>
      </c>
      <c r="EU58">
        <v>0</v>
      </c>
      <c r="EV58">
        <v>0.15201999999999699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0.5</v>
      </c>
      <c r="FE58">
        <v>0.6</v>
      </c>
      <c r="FF58">
        <v>1.23169</v>
      </c>
      <c r="FG58">
        <v>2.5512700000000001</v>
      </c>
      <c r="FH58">
        <v>2.19604</v>
      </c>
      <c r="FI58">
        <v>2.66235</v>
      </c>
      <c r="FJ58">
        <v>2.4462899999999999</v>
      </c>
      <c r="FK58">
        <v>2.2619600000000002</v>
      </c>
      <c r="FL58">
        <v>29.623000000000001</v>
      </c>
      <c r="FM58">
        <v>24.157499999999999</v>
      </c>
      <c r="FN58">
        <v>19</v>
      </c>
      <c r="FO58">
        <v>863.10299999999995</v>
      </c>
      <c r="FP58">
        <v>594.61300000000006</v>
      </c>
      <c r="FQ58">
        <v>18.5901</v>
      </c>
      <c r="FR58">
        <v>24.8858</v>
      </c>
      <c r="FS58">
        <v>30.000299999999999</v>
      </c>
      <c r="FT58">
        <v>24.855699999999999</v>
      </c>
      <c r="FU58">
        <v>24.855599999999999</v>
      </c>
      <c r="FV58">
        <v>24.724399999999999</v>
      </c>
      <c r="FW58">
        <v>36.020600000000002</v>
      </c>
      <c r="FX58">
        <v>51.531700000000001</v>
      </c>
      <c r="FY58">
        <v>18.610600000000002</v>
      </c>
      <c r="FZ58">
        <v>410</v>
      </c>
      <c r="GA58">
        <v>14.902900000000001</v>
      </c>
      <c r="GB58">
        <v>99.885900000000007</v>
      </c>
      <c r="GC58">
        <v>99.488</v>
      </c>
    </row>
    <row r="59" spans="1:185" x14ac:dyDescent="0.2">
      <c r="A59">
        <v>44</v>
      </c>
      <c r="B59">
        <v>1769183640.0999999</v>
      </c>
      <c r="C59">
        <v>777.09999990463302</v>
      </c>
      <c r="D59" t="s">
        <v>382</v>
      </c>
      <c r="E59" t="s">
        <v>383</v>
      </c>
      <c r="F59">
        <v>15</v>
      </c>
      <c r="G59">
        <v>1769183632.03333</v>
      </c>
      <c r="H59">
        <f t="shared" si="0"/>
        <v>6.6948515324315573E-4</v>
      </c>
      <c r="I59">
        <v>0</v>
      </c>
      <c r="J59">
        <f t="shared" si="12"/>
        <v>-7.8686540269699984E-3</v>
      </c>
      <c r="K59">
        <f t="shared" si="1"/>
        <v>-0.20607746537895252</v>
      </c>
      <c r="L59">
        <f t="shared" si="2"/>
        <v>71.926165160343132</v>
      </c>
      <c r="M59">
        <f t="shared" si="3"/>
        <v>1.5803136075408724</v>
      </c>
      <c r="N59">
        <f t="shared" si="4"/>
        <v>2.1971331350947465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26219.777525815018</v>
      </c>
      <c r="T59">
        <f t="shared" si="8"/>
        <v>99.998800000000003</v>
      </c>
      <c r="U59">
        <f t="shared" si="9"/>
        <v>84.298630924289753</v>
      </c>
      <c r="V59">
        <f t="shared" si="10"/>
        <v>0.84299642519999995</v>
      </c>
      <c r="W59">
        <f t="shared" si="11"/>
        <v>0.15869114095199999</v>
      </c>
      <c r="X59">
        <v>1</v>
      </c>
      <c r="Y59">
        <v>1769183632.03333</v>
      </c>
      <c r="Z59">
        <v>409.94173333333299</v>
      </c>
      <c r="AA59">
        <v>410.02719999999999</v>
      </c>
      <c r="AB59">
        <v>15.7739733333333</v>
      </c>
      <c r="AC59">
        <v>14.9503066666667</v>
      </c>
      <c r="AD59">
        <v>411.051066666667</v>
      </c>
      <c r="AE59">
        <v>15.621966666666699</v>
      </c>
      <c r="AF59">
        <v>799.98953333333304</v>
      </c>
      <c r="AG59">
        <v>100.118866666667</v>
      </c>
      <c r="AH59">
        <v>6.6012193333333302E-2</v>
      </c>
      <c r="AI59">
        <v>18.9414266666667</v>
      </c>
      <c r="AJ59">
        <v>999.9</v>
      </c>
      <c r="AK59">
        <v>999.9</v>
      </c>
      <c r="AL59">
        <v>0</v>
      </c>
      <c r="AM59">
        <v>0</v>
      </c>
      <c r="AN59">
        <v>4993.6000000000004</v>
      </c>
      <c r="AO59">
        <v>0</v>
      </c>
      <c r="AP59">
        <v>2.0325500000000001</v>
      </c>
      <c r="AQ59">
        <v>-8.5654739999999993E-2</v>
      </c>
      <c r="AR59">
        <v>416.51153333333298</v>
      </c>
      <c r="AS59">
        <v>416.25026666666702</v>
      </c>
      <c r="AT59">
        <v>0.82368600000000003</v>
      </c>
      <c r="AU59">
        <v>410.02719999999999</v>
      </c>
      <c r="AV59">
        <v>14.9503066666667</v>
      </c>
      <c r="AW59">
        <v>1.5792726666666701</v>
      </c>
      <c r="AX59">
        <v>1.4968066666666699</v>
      </c>
      <c r="AY59">
        <v>13.7579333333333</v>
      </c>
      <c r="AZ59">
        <v>12.935473333333301</v>
      </c>
      <c r="BA59">
        <v>99.998800000000003</v>
      </c>
      <c r="BB59">
        <v>0.90011799999999997</v>
      </c>
      <c r="BC59">
        <v>0</v>
      </c>
      <c r="BD59">
        <v>9.9881960000000006E-2</v>
      </c>
      <c r="BE59">
        <v>0</v>
      </c>
      <c r="BF59">
        <v>25</v>
      </c>
      <c r="BG59">
        <v>1648.91533333333</v>
      </c>
      <c r="BH59">
        <v>1769183593.0999999</v>
      </c>
      <c r="BI59" t="s">
        <v>375</v>
      </c>
      <c r="BJ59">
        <v>1769183593.0999999</v>
      </c>
      <c r="BK59">
        <v>1769183589.0999999</v>
      </c>
      <c r="BL59">
        <v>2</v>
      </c>
      <c r="BM59">
        <v>9.6000000000000002E-2</v>
      </c>
      <c r="BN59">
        <v>2.3E-2</v>
      </c>
      <c r="BO59">
        <v>-1.109</v>
      </c>
      <c r="BP59">
        <v>0.152</v>
      </c>
      <c r="BQ59">
        <v>410</v>
      </c>
      <c r="BR59">
        <v>16</v>
      </c>
      <c r="BS59">
        <v>0.26</v>
      </c>
      <c r="BT59">
        <v>7.0000000000000007E-2</v>
      </c>
      <c r="BU59">
        <v>-6.5867131428571396E-2</v>
      </c>
      <c r="BV59">
        <v>-0.30980990805194802</v>
      </c>
      <c r="BW59">
        <v>3.9767605315019702E-2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0.81982580952381001</v>
      </c>
      <c r="CD59">
        <v>4.75890389610404E-2</v>
      </c>
      <c r="CE59">
        <v>1.18499500767245E-2</v>
      </c>
      <c r="CF59">
        <v>1</v>
      </c>
      <c r="CG59">
        <v>2</v>
      </c>
      <c r="CH59">
        <v>2</v>
      </c>
      <c r="CI59" t="s">
        <v>310</v>
      </c>
      <c r="CJ59">
        <v>3.5325099999999998</v>
      </c>
      <c r="CK59">
        <v>2.7039</v>
      </c>
      <c r="CL59">
        <v>9.8159399999999994E-2</v>
      </c>
      <c r="CM59">
        <v>9.6764600000000006E-2</v>
      </c>
      <c r="CN59">
        <v>8.81628E-2</v>
      </c>
      <c r="CO59">
        <v>8.4089899999999995E-2</v>
      </c>
      <c r="CP59">
        <v>31636</v>
      </c>
      <c r="CQ59">
        <v>27755</v>
      </c>
      <c r="CR59">
        <v>32464.799999999999</v>
      </c>
      <c r="CS59">
        <v>30652.9</v>
      </c>
      <c r="CT59">
        <v>40068.5</v>
      </c>
      <c r="CU59">
        <v>39461.1</v>
      </c>
      <c r="CV59">
        <v>47397.4</v>
      </c>
      <c r="CW59">
        <v>46726.6</v>
      </c>
      <c r="CX59">
        <v>2.6321400000000001</v>
      </c>
      <c r="CY59">
        <v>2.1625399999999999</v>
      </c>
      <c r="CZ59">
        <v>0</v>
      </c>
      <c r="DA59">
        <v>0</v>
      </c>
      <c r="DB59">
        <v>999.9</v>
      </c>
      <c r="DC59">
        <v>999.9</v>
      </c>
      <c r="DD59">
        <v>73.183999999999997</v>
      </c>
      <c r="DE59">
        <v>24.158999999999999</v>
      </c>
      <c r="DF59">
        <v>22.103300000000001</v>
      </c>
      <c r="DG59">
        <v>30.450099999999999</v>
      </c>
      <c r="DH59">
        <v>17.447900000000001</v>
      </c>
      <c r="DI59">
        <v>2</v>
      </c>
      <c r="DJ59">
        <v>-0.167213</v>
      </c>
      <c r="DK59">
        <v>1.3329899999999999</v>
      </c>
      <c r="DL59">
        <v>20.241</v>
      </c>
      <c r="DM59">
        <v>5.2523900000000001</v>
      </c>
      <c r="DN59">
        <v>12.033899999999999</v>
      </c>
      <c r="DO59">
        <v>4.9676799999999997</v>
      </c>
      <c r="DP59">
        <v>3.2909999999999999</v>
      </c>
      <c r="DQ59">
        <v>9999</v>
      </c>
      <c r="DR59">
        <v>9999</v>
      </c>
      <c r="DS59">
        <v>534.20000000000005</v>
      </c>
      <c r="DT59">
        <v>9999</v>
      </c>
      <c r="DU59">
        <v>1.87093</v>
      </c>
      <c r="DV59">
        <v>1.8760600000000001</v>
      </c>
      <c r="DW59">
        <v>1.8762099999999999</v>
      </c>
      <c r="DX59">
        <v>1.8827400000000001</v>
      </c>
      <c r="DY59">
        <v>1.8754599999999999</v>
      </c>
      <c r="DZ59">
        <v>1.8745499999999999</v>
      </c>
      <c r="EA59">
        <v>1.8707100000000001</v>
      </c>
      <c r="EB59">
        <v>1.8745499999999999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-1.1100000000000001</v>
      </c>
      <c r="EQ59">
        <v>0.152</v>
      </c>
      <c r="ER59">
        <v>-1.10929999999996</v>
      </c>
      <c r="ES59">
        <v>0</v>
      </c>
      <c r="ET59">
        <v>0</v>
      </c>
      <c r="EU59">
        <v>0</v>
      </c>
      <c r="EV59">
        <v>0.15201999999999699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0.8</v>
      </c>
      <c r="FE59">
        <v>0.8</v>
      </c>
      <c r="FF59">
        <v>1.23169</v>
      </c>
      <c r="FG59">
        <v>2.5488300000000002</v>
      </c>
      <c r="FH59">
        <v>2.19604</v>
      </c>
      <c r="FI59">
        <v>2.66357</v>
      </c>
      <c r="FJ59">
        <v>2.4462899999999999</v>
      </c>
      <c r="FK59">
        <v>2.323</v>
      </c>
      <c r="FL59">
        <v>29.644300000000001</v>
      </c>
      <c r="FM59">
        <v>24.1663</v>
      </c>
      <c r="FN59">
        <v>19</v>
      </c>
      <c r="FO59">
        <v>863.67700000000002</v>
      </c>
      <c r="FP59">
        <v>594.20799999999997</v>
      </c>
      <c r="FQ59">
        <v>18.739999999999998</v>
      </c>
      <c r="FR59">
        <v>24.895800000000001</v>
      </c>
      <c r="FS59">
        <v>30.000299999999999</v>
      </c>
      <c r="FT59">
        <v>24.863700000000001</v>
      </c>
      <c r="FU59">
        <v>24.863900000000001</v>
      </c>
      <c r="FV59">
        <v>24.723600000000001</v>
      </c>
      <c r="FW59">
        <v>36.625700000000002</v>
      </c>
      <c r="FX59">
        <v>51.153399999999998</v>
      </c>
      <c r="FY59">
        <v>18.748100000000001</v>
      </c>
      <c r="FZ59">
        <v>410</v>
      </c>
      <c r="GA59">
        <v>14.7555</v>
      </c>
      <c r="GB59">
        <v>99.8857</v>
      </c>
      <c r="GC59">
        <v>99.487799999999993</v>
      </c>
    </row>
    <row r="60" spans="1:185" x14ac:dyDescent="0.2">
      <c r="A60">
        <v>45</v>
      </c>
      <c r="B60">
        <v>1769183655.0999999</v>
      </c>
      <c r="C60">
        <v>792.09999990463302</v>
      </c>
      <c r="D60" t="s">
        <v>384</v>
      </c>
      <c r="E60" t="s">
        <v>385</v>
      </c>
      <c r="F60">
        <v>15</v>
      </c>
      <c r="G60">
        <v>1769183647.03333</v>
      </c>
      <c r="H60">
        <f t="shared" si="0"/>
        <v>6.2826610601408146E-4</v>
      </c>
      <c r="I60">
        <v>0</v>
      </c>
      <c r="J60">
        <f t="shared" si="12"/>
        <v>-5.3826694201613724E-3</v>
      </c>
      <c r="K60">
        <f t="shared" si="1"/>
        <v>-0.14097034477277584</v>
      </c>
      <c r="L60">
        <f t="shared" si="2"/>
        <v>70.940277826584165</v>
      </c>
      <c r="M60">
        <f t="shared" si="3"/>
        <v>1.5621302968422333</v>
      </c>
      <c r="N60">
        <f t="shared" si="4"/>
        <v>2.2020357753051263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26256.915158498818</v>
      </c>
      <c r="T60">
        <f t="shared" si="8"/>
        <v>100.000953333333</v>
      </c>
      <c r="U60">
        <f t="shared" si="9"/>
        <v>84.30048745698528</v>
      </c>
      <c r="V60">
        <f t="shared" si="10"/>
        <v>0.84299683800000003</v>
      </c>
      <c r="W60">
        <f t="shared" si="11"/>
        <v>0.15869170523999998</v>
      </c>
      <c r="X60">
        <v>1</v>
      </c>
      <c r="Y60">
        <v>1769183647.03333</v>
      </c>
      <c r="Z60">
        <v>409.86419999999998</v>
      </c>
      <c r="AA60">
        <v>410.00986666666699</v>
      </c>
      <c r="AB60">
        <v>15.592446666666699</v>
      </c>
      <c r="AC60">
        <v>14.81936</v>
      </c>
      <c r="AD60">
        <v>410.97320000000002</v>
      </c>
      <c r="AE60">
        <v>15.4404133333333</v>
      </c>
      <c r="AF60">
        <v>800.00073333333398</v>
      </c>
      <c r="AG60">
        <v>100.119133333333</v>
      </c>
      <c r="AH60">
        <v>6.5932566666666706E-2</v>
      </c>
      <c r="AI60">
        <v>18.977133333333299</v>
      </c>
      <c r="AJ60">
        <v>999.9</v>
      </c>
      <c r="AK60">
        <v>999.9</v>
      </c>
      <c r="AL60">
        <v>0</v>
      </c>
      <c r="AM60">
        <v>0</v>
      </c>
      <c r="AN60">
        <v>5000.2333333333299</v>
      </c>
      <c r="AO60">
        <v>0</v>
      </c>
      <c r="AP60">
        <v>2.0325500000000001</v>
      </c>
      <c r="AQ60">
        <v>-0.14597576666666701</v>
      </c>
      <c r="AR60">
        <v>416.35599999999999</v>
      </c>
      <c r="AS60">
        <v>416.17733333333302</v>
      </c>
      <c r="AT60">
        <v>0.77309340000000004</v>
      </c>
      <c r="AU60">
        <v>410.00986666666699</v>
      </c>
      <c r="AV60">
        <v>14.81936</v>
      </c>
      <c r="AW60">
        <v>1.56110066666667</v>
      </c>
      <c r="AX60">
        <v>1.4837006666666701</v>
      </c>
      <c r="AY60">
        <v>13.58006</v>
      </c>
      <c r="AZ60">
        <v>12.801206666666699</v>
      </c>
      <c r="BA60">
        <v>100.000953333333</v>
      </c>
      <c r="BB60">
        <v>0.9001112</v>
      </c>
      <c r="BC60">
        <v>0</v>
      </c>
      <c r="BD60">
        <v>9.9889000000000006E-2</v>
      </c>
      <c r="BE60">
        <v>0</v>
      </c>
      <c r="BF60">
        <v>25</v>
      </c>
      <c r="BG60">
        <v>1648.9480000000001</v>
      </c>
      <c r="BH60">
        <v>1769183593.0999999</v>
      </c>
      <c r="BI60" t="s">
        <v>375</v>
      </c>
      <c r="BJ60">
        <v>1769183593.0999999</v>
      </c>
      <c r="BK60">
        <v>1769183589.0999999</v>
      </c>
      <c r="BL60">
        <v>2</v>
      </c>
      <c r="BM60">
        <v>9.6000000000000002E-2</v>
      </c>
      <c r="BN60">
        <v>2.3E-2</v>
      </c>
      <c r="BO60">
        <v>-1.109</v>
      </c>
      <c r="BP60">
        <v>0.152</v>
      </c>
      <c r="BQ60">
        <v>410</v>
      </c>
      <c r="BR60">
        <v>16</v>
      </c>
      <c r="BS60">
        <v>0.26</v>
      </c>
      <c r="BT60">
        <v>7.0000000000000007E-2</v>
      </c>
      <c r="BU60">
        <v>-0.132841505</v>
      </c>
      <c r="BV60">
        <v>-0.415020383458646</v>
      </c>
      <c r="BW60">
        <v>4.3795874261515502E-2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0.78502919999999998</v>
      </c>
      <c r="CD60">
        <v>-0.31289783458646597</v>
      </c>
      <c r="CE60">
        <v>3.0300250562660402E-2</v>
      </c>
      <c r="CF60">
        <v>0</v>
      </c>
      <c r="CG60">
        <v>1</v>
      </c>
      <c r="CH60">
        <v>2</v>
      </c>
      <c r="CI60" t="s">
        <v>301</v>
      </c>
      <c r="CJ60">
        <v>3.5325500000000001</v>
      </c>
      <c r="CK60">
        <v>2.7037599999999999</v>
      </c>
      <c r="CL60">
        <v>9.8148299999999994E-2</v>
      </c>
      <c r="CM60">
        <v>9.6771999999999997E-2</v>
      </c>
      <c r="CN60">
        <v>8.7542599999999998E-2</v>
      </c>
      <c r="CO60">
        <v>8.3835199999999999E-2</v>
      </c>
      <c r="CP60">
        <v>31635.599999999999</v>
      </c>
      <c r="CQ60">
        <v>27754.6</v>
      </c>
      <c r="CR60">
        <v>32464</v>
      </c>
      <c r="CS60">
        <v>30652.799999999999</v>
      </c>
      <c r="CT60">
        <v>40095.599999999999</v>
      </c>
      <c r="CU60">
        <v>39472.300000000003</v>
      </c>
      <c r="CV60">
        <v>47396.2</v>
      </c>
      <c r="CW60">
        <v>46726.400000000001</v>
      </c>
      <c r="CX60">
        <v>2.6319599999999999</v>
      </c>
      <c r="CY60">
        <v>2.1620400000000002</v>
      </c>
      <c r="CZ60">
        <v>0</v>
      </c>
      <c r="DA60">
        <v>0</v>
      </c>
      <c r="DB60">
        <v>999.9</v>
      </c>
      <c r="DC60">
        <v>999.9</v>
      </c>
      <c r="DD60">
        <v>73.067999999999998</v>
      </c>
      <c r="DE60">
        <v>24.158999999999999</v>
      </c>
      <c r="DF60">
        <v>22.067</v>
      </c>
      <c r="DG60">
        <v>30.690100000000001</v>
      </c>
      <c r="DH60">
        <v>17.512</v>
      </c>
      <c r="DI60">
        <v>2</v>
      </c>
      <c r="DJ60">
        <v>-0.16645499999999999</v>
      </c>
      <c r="DK60">
        <v>1.3967700000000001</v>
      </c>
      <c r="DL60">
        <v>20.239799999999999</v>
      </c>
      <c r="DM60">
        <v>5.2497600000000002</v>
      </c>
      <c r="DN60">
        <v>12.033899999999999</v>
      </c>
      <c r="DO60">
        <v>4.96732</v>
      </c>
      <c r="DP60">
        <v>3.2907199999999999</v>
      </c>
      <c r="DQ60">
        <v>9999</v>
      </c>
      <c r="DR60">
        <v>9999</v>
      </c>
      <c r="DS60">
        <v>534.20000000000005</v>
      </c>
      <c r="DT60">
        <v>9999</v>
      </c>
      <c r="DU60">
        <v>1.8709199999999999</v>
      </c>
      <c r="DV60">
        <v>1.8760300000000001</v>
      </c>
      <c r="DW60">
        <v>1.87618</v>
      </c>
      <c r="DX60">
        <v>1.8827100000000001</v>
      </c>
      <c r="DY60">
        <v>1.8754599999999999</v>
      </c>
      <c r="DZ60">
        <v>1.8745400000000001</v>
      </c>
      <c r="EA60">
        <v>1.8706700000000001</v>
      </c>
      <c r="EB60">
        <v>1.8745400000000001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-1.109</v>
      </c>
      <c r="EQ60">
        <v>0.152</v>
      </c>
      <c r="ER60">
        <v>-1.10929999999996</v>
      </c>
      <c r="ES60">
        <v>0</v>
      </c>
      <c r="ET60">
        <v>0</v>
      </c>
      <c r="EU60">
        <v>0</v>
      </c>
      <c r="EV60">
        <v>0.15201999999999699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1</v>
      </c>
      <c r="FE60">
        <v>1.1000000000000001</v>
      </c>
      <c r="FF60">
        <v>1.23169</v>
      </c>
      <c r="FG60">
        <v>2.5488300000000002</v>
      </c>
      <c r="FH60">
        <v>2.19604</v>
      </c>
      <c r="FI60">
        <v>2.66235</v>
      </c>
      <c r="FJ60">
        <v>2.4462899999999999</v>
      </c>
      <c r="FK60">
        <v>2.3083499999999999</v>
      </c>
      <c r="FL60">
        <v>29.665700000000001</v>
      </c>
      <c r="FM60">
        <v>24.1663</v>
      </c>
      <c r="FN60">
        <v>19</v>
      </c>
      <c r="FO60">
        <v>863.64499999999998</v>
      </c>
      <c r="FP60">
        <v>593.91399999999999</v>
      </c>
      <c r="FQ60">
        <v>18.813400000000001</v>
      </c>
      <c r="FR60">
        <v>24.903700000000001</v>
      </c>
      <c r="FS60">
        <v>30.000399999999999</v>
      </c>
      <c r="FT60">
        <v>24.872</v>
      </c>
      <c r="FU60">
        <v>24.872299999999999</v>
      </c>
      <c r="FV60">
        <v>24.7227</v>
      </c>
      <c r="FW60">
        <v>36.625700000000002</v>
      </c>
      <c r="FX60">
        <v>50.393999999999998</v>
      </c>
      <c r="FY60">
        <v>18.8108</v>
      </c>
      <c r="FZ60">
        <v>410</v>
      </c>
      <c r="GA60">
        <v>14.7804</v>
      </c>
      <c r="GB60">
        <v>99.883200000000002</v>
      </c>
      <c r="GC60">
        <v>99.487399999999994</v>
      </c>
    </row>
    <row r="61" spans="1:185" x14ac:dyDescent="0.2">
      <c r="A61">
        <v>46</v>
      </c>
      <c r="B61">
        <v>1769183670.0999999</v>
      </c>
      <c r="C61">
        <v>807.09999990463302</v>
      </c>
      <c r="D61" t="s">
        <v>386</v>
      </c>
      <c r="E61" t="s">
        <v>387</v>
      </c>
      <c r="F61">
        <v>15</v>
      </c>
      <c r="G61">
        <v>1769183662.03333</v>
      </c>
      <c r="H61">
        <f t="shared" si="0"/>
        <v>5.6267839784910115E-4</v>
      </c>
      <c r="I61">
        <v>0</v>
      </c>
      <c r="J61">
        <f t="shared" si="12"/>
        <v>-3.8241095170437967E-3</v>
      </c>
      <c r="K61">
        <f t="shared" si="1"/>
        <v>-0.1001521726464033</v>
      </c>
      <c r="L61">
        <f t="shared" si="2"/>
        <v>70.296405269440527</v>
      </c>
      <c r="M61">
        <f t="shared" si="3"/>
        <v>1.5511444108098329</v>
      </c>
      <c r="N61">
        <f t="shared" si="4"/>
        <v>2.2065771426923182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26251.543482660007</v>
      </c>
      <c r="T61">
        <f t="shared" si="8"/>
        <v>99.999666666666698</v>
      </c>
      <c r="U61">
        <f t="shared" si="9"/>
        <v>84.299377041139877</v>
      </c>
      <c r="V61">
        <f t="shared" si="10"/>
        <v>0.84299658039999981</v>
      </c>
      <c r="W61">
        <f t="shared" si="11"/>
        <v>0.15869134706399998</v>
      </c>
      <c r="X61">
        <v>1</v>
      </c>
      <c r="Y61">
        <v>1769183662.03333</v>
      </c>
      <c r="Z61">
        <v>409.83926666666702</v>
      </c>
      <c r="AA61">
        <v>410.00233333333301</v>
      </c>
      <c r="AB61">
        <v>15.4826266666667</v>
      </c>
      <c r="AC61">
        <v>14.790179999999999</v>
      </c>
      <c r="AD61">
        <v>410.94866666666701</v>
      </c>
      <c r="AE61">
        <v>15.330626666666699</v>
      </c>
      <c r="AF61">
        <v>800.013466666667</v>
      </c>
      <c r="AG61">
        <v>100.12</v>
      </c>
      <c r="AH61">
        <v>6.6127599999999995E-2</v>
      </c>
      <c r="AI61">
        <v>19.010146666666699</v>
      </c>
      <c r="AJ61">
        <v>999.9</v>
      </c>
      <c r="AK61">
        <v>999.9</v>
      </c>
      <c r="AL61">
        <v>0</v>
      </c>
      <c r="AM61">
        <v>0</v>
      </c>
      <c r="AN61">
        <v>4999.8</v>
      </c>
      <c r="AO61">
        <v>0</v>
      </c>
      <c r="AP61">
        <v>2.0325500000000001</v>
      </c>
      <c r="AQ61">
        <v>-0.1629862</v>
      </c>
      <c r="AR61">
        <v>416.28446666666702</v>
      </c>
      <c r="AS61">
        <v>416.15733333333299</v>
      </c>
      <c r="AT61">
        <v>0.69246133333333304</v>
      </c>
      <c r="AU61">
        <v>410.00233333333301</v>
      </c>
      <c r="AV61">
        <v>14.790179999999999</v>
      </c>
      <c r="AW61">
        <v>1.5501240000000001</v>
      </c>
      <c r="AX61">
        <v>1.4807933333333301</v>
      </c>
      <c r="AY61">
        <v>13.4717</v>
      </c>
      <c r="AZ61">
        <v>12.771266666666699</v>
      </c>
      <c r="BA61">
        <v>99.999666666666698</v>
      </c>
      <c r="BB61">
        <v>0.90011553333333305</v>
      </c>
      <c r="BC61">
        <v>0</v>
      </c>
      <c r="BD61">
        <v>9.9884520000000004E-2</v>
      </c>
      <c r="BE61">
        <v>0</v>
      </c>
      <c r="BF61">
        <v>25</v>
      </c>
      <c r="BG61">
        <v>1648.9293333333301</v>
      </c>
      <c r="BH61">
        <v>1769183593.0999999</v>
      </c>
      <c r="BI61" t="s">
        <v>375</v>
      </c>
      <c r="BJ61">
        <v>1769183593.0999999</v>
      </c>
      <c r="BK61">
        <v>1769183589.0999999</v>
      </c>
      <c r="BL61">
        <v>2</v>
      </c>
      <c r="BM61">
        <v>9.6000000000000002E-2</v>
      </c>
      <c r="BN61">
        <v>2.3E-2</v>
      </c>
      <c r="BO61">
        <v>-1.109</v>
      </c>
      <c r="BP61">
        <v>0.152</v>
      </c>
      <c r="BQ61">
        <v>410</v>
      </c>
      <c r="BR61">
        <v>16</v>
      </c>
      <c r="BS61">
        <v>0.26</v>
      </c>
      <c r="BT61">
        <v>7.0000000000000007E-2</v>
      </c>
      <c r="BU61">
        <v>-0.17067715</v>
      </c>
      <c r="BV61">
        <v>0.150599954887218</v>
      </c>
      <c r="BW61">
        <v>2.6113986835171299E-2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0.71006775</v>
      </c>
      <c r="CD61">
        <v>-0.29828720300751899</v>
      </c>
      <c r="CE61">
        <v>2.8881130763657802E-2</v>
      </c>
      <c r="CF61">
        <v>0</v>
      </c>
      <c r="CG61">
        <v>1</v>
      </c>
      <c r="CH61">
        <v>2</v>
      </c>
      <c r="CI61" t="s">
        <v>301</v>
      </c>
      <c r="CJ61">
        <v>3.5324900000000001</v>
      </c>
      <c r="CK61">
        <v>2.7037599999999999</v>
      </c>
      <c r="CL61">
        <v>9.8142099999999996E-2</v>
      </c>
      <c r="CM61">
        <v>9.6765000000000004E-2</v>
      </c>
      <c r="CN61">
        <v>8.7177599999999994E-2</v>
      </c>
      <c r="CO61">
        <v>8.37614E-2</v>
      </c>
      <c r="CP61">
        <v>31634.5</v>
      </c>
      <c r="CQ61">
        <v>27754.3</v>
      </c>
      <c r="CR61">
        <v>32462.7</v>
      </c>
      <c r="CS61">
        <v>30652.2</v>
      </c>
      <c r="CT61">
        <v>40110.6</v>
      </c>
      <c r="CU61">
        <v>39475</v>
      </c>
      <c r="CV61">
        <v>47394.2</v>
      </c>
      <c r="CW61">
        <v>46725.8</v>
      </c>
      <c r="CX61">
        <v>2.63164</v>
      </c>
      <c r="CY61">
        <v>2.16188</v>
      </c>
      <c r="CZ61">
        <v>0</v>
      </c>
      <c r="DA61">
        <v>0</v>
      </c>
      <c r="DB61">
        <v>999.9</v>
      </c>
      <c r="DC61">
        <v>999.9</v>
      </c>
      <c r="DD61">
        <v>72.951999999999998</v>
      </c>
      <c r="DE61">
        <v>24.189</v>
      </c>
      <c r="DF61">
        <v>22.073799999999999</v>
      </c>
      <c r="DG61">
        <v>30.3901</v>
      </c>
      <c r="DH61">
        <v>17.451899999999998</v>
      </c>
      <c r="DI61">
        <v>2</v>
      </c>
      <c r="DJ61">
        <v>-0.16090599999999999</v>
      </c>
      <c r="DK61">
        <v>2.7125300000000001</v>
      </c>
      <c r="DL61">
        <v>20.2195</v>
      </c>
      <c r="DM61">
        <v>5.25251</v>
      </c>
      <c r="DN61">
        <v>12.033899999999999</v>
      </c>
      <c r="DO61">
        <v>4.9678000000000004</v>
      </c>
      <c r="DP61">
        <v>3.2909999999999999</v>
      </c>
      <c r="DQ61">
        <v>9999</v>
      </c>
      <c r="DR61">
        <v>9999</v>
      </c>
      <c r="DS61">
        <v>534.20000000000005</v>
      </c>
      <c r="DT61">
        <v>9999</v>
      </c>
      <c r="DU61">
        <v>1.8709199999999999</v>
      </c>
      <c r="DV61">
        <v>1.8760300000000001</v>
      </c>
      <c r="DW61">
        <v>1.8762099999999999</v>
      </c>
      <c r="DX61">
        <v>1.88273</v>
      </c>
      <c r="DY61">
        <v>1.8754599999999999</v>
      </c>
      <c r="DZ61">
        <v>1.8745400000000001</v>
      </c>
      <c r="EA61">
        <v>1.87069</v>
      </c>
      <c r="EB61">
        <v>1.8745400000000001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-1.109</v>
      </c>
      <c r="EQ61">
        <v>0.152</v>
      </c>
      <c r="ER61">
        <v>-1.10929999999996</v>
      </c>
      <c r="ES61">
        <v>0</v>
      </c>
      <c r="ET61">
        <v>0</v>
      </c>
      <c r="EU61">
        <v>0</v>
      </c>
      <c r="EV61">
        <v>0.15201999999999699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1.3</v>
      </c>
      <c r="FE61">
        <v>1.4</v>
      </c>
      <c r="FF61">
        <v>1.23169</v>
      </c>
      <c r="FG61">
        <v>2.5524900000000001</v>
      </c>
      <c r="FH61">
        <v>2.19604</v>
      </c>
      <c r="FI61">
        <v>2.66235</v>
      </c>
      <c r="FJ61">
        <v>2.4462899999999999</v>
      </c>
      <c r="FK61">
        <v>2.2656200000000002</v>
      </c>
      <c r="FL61">
        <v>29.687000000000001</v>
      </c>
      <c r="FM61">
        <v>24.157499999999999</v>
      </c>
      <c r="FN61">
        <v>19</v>
      </c>
      <c r="FO61">
        <v>863.47799999999995</v>
      </c>
      <c r="FP61">
        <v>593.88499999999999</v>
      </c>
      <c r="FQ61">
        <v>18.3294</v>
      </c>
      <c r="FR61">
        <v>24.910900000000002</v>
      </c>
      <c r="FS61">
        <v>30.0016</v>
      </c>
      <c r="FT61">
        <v>24.879899999999999</v>
      </c>
      <c r="FU61">
        <v>24.880600000000001</v>
      </c>
      <c r="FV61">
        <v>24.7212</v>
      </c>
      <c r="FW61">
        <v>36.625700000000002</v>
      </c>
      <c r="FX61">
        <v>50.018300000000004</v>
      </c>
      <c r="FY61">
        <v>18.3125</v>
      </c>
      <c r="FZ61">
        <v>410</v>
      </c>
      <c r="GA61">
        <v>14.793100000000001</v>
      </c>
      <c r="GB61">
        <v>99.879099999999994</v>
      </c>
      <c r="GC61">
        <v>99.486000000000004</v>
      </c>
    </row>
    <row r="62" spans="1:185" x14ac:dyDescent="0.2">
      <c r="A62">
        <v>47</v>
      </c>
      <c r="B62">
        <v>1769183685.0999999</v>
      </c>
      <c r="C62">
        <v>822.09999990463302</v>
      </c>
      <c r="D62" t="s">
        <v>388</v>
      </c>
      <c r="E62" t="s">
        <v>389</v>
      </c>
      <c r="F62">
        <v>15</v>
      </c>
      <c r="G62">
        <v>1769183677.03333</v>
      </c>
      <c r="H62">
        <f t="shared" si="0"/>
        <v>5.1262041937089791E-4</v>
      </c>
      <c r="I62">
        <v>0</v>
      </c>
      <c r="J62">
        <f t="shared" si="12"/>
        <v>-2.2016329067104808E-3</v>
      </c>
      <c r="K62">
        <f t="shared" si="1"/>
        <v>-5.7660042944409608E-2</v>
      </c>
      <c r="L62">
        <f t="shared" si="2"/>
        <v>70.004381807161892</v>
      </c>
      <c r="M62">
        <f t="shared" si="3"/>
        <v>1.5437146122933212</v>
      </c>
      <c r="N62">
        <f t="shared" si="4"/>
        <v>2.2051685515139989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26242.840576152186</v>
      </c>
      <c r="T62">
        <f t="shared" si="8"/>
        <v>99.999386666666695</v>
      </c>
      <c r="U62">
        <f t="shared" si="9"/>
        <v>84.299130922159165</v>
      </c>
      <c r="V62">
        <f t="shared" si="10"/>
        <v>0.84299647959999968</v>
      </c>
      <c r="W62">
        <f t="shared" si="11"/>
        <v>0.15869117301599997</v>
      </c>
      <c r="X62">
        <v>1</v>
      </c>
      <c r="Y62">
        <v>1769183677.03333</v>
      </c>
      <c r="Z62">
        <v>409.82993333333297</v>
      </c>
      <c r="AA62">
        <v>410.02046666666701</v>
      </c>
      <c r="AB62">
        <v>15.408713333333299</v>
      </c>
      <c r="AC62">
        <v>14.777813333333301</v>
      </c>
      <c r="AD62">
        <v>410.93920000000003</v>
      </c>
      <c r="AE62">
        <v>15.256686666666701</v>
      </c>
      <c r="AF62">
        <v>800.00253333333296</v>
      </c>
      <c r="AG62">
        <v>100.11879999999999</v>
      </c>
      <c r="AH62">
        <v>6.5724099999999994E-2</v>
      </c>
      <c r="AI62">
        <v>18.9999133333333</v>
      </c>
      <c r="AJ62">
        <v>999.9</v>
      </c>
      <c r="AK62">
        <v>999.9</v>
      </c>
      <c r="AL62">
        <v>0</v>
      </c>
      <c r="AM62">
        <v>0</v>
      </c>
      <c r="AN62">
        <v>4998.2666666666701</v>
      </c>
      <c r="AO62">
        <v>0</v>
      </c>
      <c r="AP62">
        <v>2.0325500000000001</v>
      </c>
      <c r="AQ62">
        <v>-0.19046833333333299</v>
      </c>
      <c r="AR62">
        <v>416.24366666666702</v>
      </c>
      <c r="AS62">
        <v>416.17026666666698</v>
      </c>
      <c r="AT62">
        <v>0.630908466666667</v>
      </c>
      <c r="AU62">
        <v>410.02046666666701</v>
      </c>
      <c r="AV62">
        <v>14.777813333333301</v>
      </c>
      <c r="AW62">
        <v>1.5427040000000001</v>
      </c>
      <c r="AX62">
        <v>1.4795366666666701</v>
      </c>
      <c r="AY62">
        <v>13.3980933333333</v>
      </c>
      <c r="AZ62">
        <v>12.758326666666701</v>
      </c>
      <c r="BA62">
        <v>99.999386666666695</v>
      </c>
      <c r="BB62">
        <v>0.900117733333333</v>
      </c>
      <c r="BC62">
        <v>0</v>
      </c>
      <c r="BD62">
        <v>9.9882280000000004E-2</v>
      </c>
      <c r="BE62">
        <v>0</v>
      </c>
      <c r="BF62">
        <v>25</v>
      </c>
      <c r="BG62">
        <v>1648.924</v>
      </c>
      <c r="BH62">
        <v>1769183593.0999999</v>
      </c>
      <c r="BI62" t="s">
        <v>375</v>
      </c>
      <c r="BJ62">
        <v>1769183593.0999999</v>
      </c>
      <c r="BK62">
        <v>1769183589.0999999</v>
      </c>
      <c r="BL62">
        <v>2</v>
      </c>
      <c r="BM62">
        <v>9.6000000000000002E-2</v>
      </c>
      <c r="BN62">
        <v>2.3E-2</v>
      </c>
      <c r="BO62">
        <v>-1.109</v>
      </c>
      <c r="BP62">
        <v>0.152</v>
      </c>
      <c r="BQ62">
        <v>410</v>
      </c>
      <c r="BR62">
        <v>16</v>
      </c>
      <c r="BS62">
        <v>0.26</v>
      </c>
      <c r="BT62">
        <v>7.0000000000000007E-2</v>
      </c>
      <c r="BU62">
        <v>-0.17780755000000001</v>
      </c>
      <c r="BV62">
        <v>-0.13316891729323299</v>
      </c>
      <c r="BW62">
        <v>2.8028452166459401E-2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0.64025145000000006</v>
      </c>
      <c r="CD62">
        <v>-0.21433971428571399</v>
      </c>
      <c r="CE62">
        <v>2.0862062576540701E-2</v>
      </c>
      <c r="CF62">
        <v>0</v>
      </c>
      <c r="CG62">
        <v>1</v>
      </c>
      <c r="CH62">
        <v>2</v>
      </c>
      <c r="CI62" t="s">
        <v>301</v>
      </c>
      <c r="CJ62">
        <v>3.5325299999999999</v>
      </c>
      <c r="CK62">
        <v>2.7035100000000001</v>
      </c>
      <c r="CL62">
        <v>9.8133200000000004E-2</v>
      </c>
      <c r="CM62">
        <v>9.6760399999999996E-2</v>
      </c>
      <c r="CN62">
        <v>8.6941199999999996E-2</v>
      </c>
      <c r="CO62">
        <v>8.3703399999999997E-2</v>
      </c>
      <c r="CP62">
        <v>31635.599999999999</v>
      </c>
      <c r="CQ62">
        <v>27754.7</v>
      </c>
      <c r="CR62">
        <v>32463.599999999999</v>
      </c>
      <c r="CS62">
        <v>30652.6</v>
      </c>
      <c r="CT62">
        <v>40122.9</v>
      </c>
      <c r="CU62">
        <v>39478.199999999997</v>
      </c>
      <c r="CV62">
        <v>47396.1</v>
      </c>
      <c r="CW62">
        <v>46726.400000000001</v>
      </c>
      <c r="CX62">
        <v>2.6314199999999999</v>
      </c>
      <c r="CY62">
        <v>2.1614599999999999</v>
      </c>
      <c r="CZ62">
        <v>0</v>
      </c>
      <c r="DA62">
        <v>0</v>
      </c>
      <c r="DB62">
        <v>999.9</v>
      </c>
      <c r="DC62">
        <v>999.9</v>
      </c>
      <c r="DD62">
        <v>72.86</v>
      </c>
      <c r="DE62">
        <v>24.199000000000002</v>
      </c>
      <c r="DF62">
        <v>22.057700000000001</v>
      </c>
      <c r="DG62">
        <v>30.630099999999999</v>
      </c>
      <c r="DH62">
        <v>17.3718</v>
      </c>
      <c r="DI62">
        <v>2</v>
      </c>
      <c r="DJ62">
        <v>-0.163713</v>
      </c>
      <c r="DK62">
        <v>1.98715</v>
      </c>
      <c r="DL62">
        <v>20.232800000000001</v>
      </c>
      <c r="DM62">
        <v>5.2517899999999997</v>
      </c>
      <c r="DN62">
        <v>12.033899999999999</v>
      </c>
      <c r="DO62">
        <v>4.9674800000000001</v>
      </c>
      <c r="DP62">
        <v>3.2909999999999999</v>
      </c>
      <c r="DQ62">
        <v>9999</v>
      </c>
      <c r="DR62">
        <v>9999</v>
      </c>
      <c r="DS62">
        <v>534.20000000000005</v>
      </c>
      <c r="DT62">
        <v>9999</v>
      </c>
      <c r="DU62">
        <v>1.87093</v>
      </c>
      <c r="DV62">
        <v>1.8760699999999999</v>
      </c>
      <c r="DW62">
        <v>1.87622</v>
      </c>
      <c r="DX62">
        <v>1.8827499999999999</v>
      </c>
      <c r="DY62">
        <v>1.8754599999999999</v>
      </c>
      <c r="DZ62">
        <v>1.8745400000000001</v>
      </c>
      <c r="EA62">
        <v>1.8706799999999999</v>
      </c>
      <c r="EB62">
        <v>1.8745499999999999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-1.109</v>
      </c>
      <c r="EQ62">
        <v>0.152</v>
      </c>
      <c r="ER62">
        <v>-1.10929999999996</v>
      </c>
      <c r="ES62">
        <v>0</v>
      </c>
      <c r="ET62">
        <v>0</v>
      </c>
      <c r="EU62">
        <v>0</v>
      </c>
      <c r="EV62">
        <v>0.15201999999999699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1.5</v>
      </c>
      <c r="FE62">
        <v>1.6</v>
      </c>
      <c r="FF62">
        <v>1.23169</v>
      </c>
      <c r="FG62">
        <v>2.5488300000000002</v>
      </c>
      <c r="FH62">
        <v>2.19604</v>
      </c>
      <c r="FI62">
        <v>2.66235</v>
      </c>
      <c r="FJ62">
        <v>2.4462899999999999</v>
      </c>
      <c r="FK62">
        <v>2.2595200000000002</v>
      </c>
      <c r="FL62">
        <v>29.687000000000001</v>
      </c>
      <c r="FM62">
        <v>24.157499999999999</v>
      </c>
      <c r="FN62">
        <v>19</v>
      </c>
      <c r="FO62">
        <v>863.39599999999996</v>
      </c>
      <c r="FP62">
        <v>593.65300000000002</v>
      </c>
      <c r="FQ62">
        <v>18.258900000000001</v>
      </c>
      <c r="FR62">
        <v>24.918399999999998</v>
      </c>
      <c r="FS62">
        <v>29.999600000000001</v>
      </c>
      <c r="FT62">
        <v>24.887499999999999</v>
      </c>
      <c r="FU62">
        <v>24.8889</v>
      </c>
      <c r="FV62">
        <v>24.718399999999999</v>
      </c>
      <c r="FW62">
        <v>36.625700000000002</v>
      </c>
      <c r="FX62">
        <v>49.634999999999998</v>
      </c>
      <c r="FY62">
        <v>18.287600000000001</v>
      </c>
      <c r="FZ62">
        <v>410</v>
      </c>
      <c r="GA62">
        <v>14.8066</v>
      </c>
      <c r="GB62">
        <v>99.882499999999993</v>
      </c>
      <c r="GC62">
        <v>99.487200000000001</v>
      </c>
    </row>
    <row r="63" spans="1:185" x14ac:dyDescent="0.2">
      <c r="A63">
        <v>48</v>
      </c>
      <c r="B63">
        <v>1769183700.0999999</v>
      </c>
      <c r="C63">
        <v>837.09999990463302</v>
      </c>
      <c r="D63" t="s">
        <v>390</v>
      </c>
      <c r="E63" t="s">
        <v>391</v>
      </c>
      <c r="F63">
        <v>15</v>
      </c>
      <c r="G63">
        <v>1769183692.03333</v>
      </c>
      <c r="H63">
        <f t="shared" si="0"/>
        <v>4.896137414550167E-4</v>
      </c>
      <c r="I63">
        <v>0</v>
      </c>
      <c r="J63">
        <f t="shared" si="12"/>
        <v>-1.9860493319550404E-3</v>
      </c>
      <c r="K63">
        <f t="shared" si="1"/>
        <v>-5.2013979906098254E-2</v>
      </c>
      <c r="L63">
        <f t="shared" si="2"/>
        <v>69.928312384065222</v>
      </c>
      <c r="M63">
        <f t="shared" si="3"/>
        <v>1.5397599609987707</v>
      </c>
      <c r="N63">
        <f t="shared" si="4"/>
        <v>2.2019120846817981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26270.591270061184</v>
      </c>
      <c r="T63">
        <f t="shared" si="8"/>
        <v>100.001033333333</v>
      </c>
      <c r="U63">
        <f t="shared" si="9"/>
        <v>84.300522736399998</v>
      </c>
      <c r="V63">
        <f t="shared" si="10"/>
        <v>0.84299651639999995</v>
      </c>
      <c r="W63">
        <f t="shared" si="11"/>
        <v>0.158691446904</v>
      </c>
      <c r="X63">
        <v>1</v>
      </c>
      <c r="Y63">
        <v>1769183692.03333</v>
      </c>
      <c r="Z63">
        <v>409.81973333333298</v>
      </c>
      <c r="AA63">
        <v>410.00553333333301</v>
      </c>
      <c r="AB63">
        <v>15.369346666666701</v>
      </c>
      <c r="AC63">
        <v>14.766733333333301</v>
      </c>
      <c r="AD63">
        <v>410.92880000000002</v>
      </c>
      <c r="AE63">
        <v>15.217320000000001</v>
      </c>
      <c r="AF63">
        <v>799.99673333333305</v>
      </c>
      <c r="AG63">
        <v>100.11773333333301</v>
      </c>
      <c r="AH63">
        <v>6.6093239999999998E-2</v>
      </c>
      <c r="AI63">
        <v>18.976233333333301</v>
      </c>
      <c r="AJ63">
        <v>999.9</v>
      </c>
      <c r="AK63">
        <v>999.9</v>
      </c>
      <c r="AL63">
        <v>0</v>
      </c>
      <c r="AM63">
        <v>0</v>
      </c>
      <c r="AN63">
        <v>5002.5333333333301</v>
      </c>
      <c r="AO63">
        <v>0</v>
      </c>
      <c r="AP63">
        <v>2.0062046666666702</v>
      </c>
      <c r="AQ63">
        <v>-0.18603313333333299</v>
      </c>
      <c r="AR63">
        <v>416.21653333333302</v>
      </c>
      <c r="AS63">
        <v>416.1506</v>
      </c>
      <c r="AT63">
        <v>0.6026106</v>
      </c>
      <c r="AU63">
        <v>410.00553333333301</v>
      </c>
      <c r="AV63">
        <v>14.766733333333301</v>
      </c>
      <c r="AW63">
        <v>1.5387426666666699</v>
      </c>
      <c r="AX63">
        <v>1.47841</v>
      </c>
      <c r="AY63">
        <v>13.3586666666667</v>
      </c>
      <c r="AZ63">
        <v>12.746700000000001</v>
      </c>
      <c r="BA63">
        <v>100.001033333333</v>
      </c>
      <c r="BB63">
        <v>0.90011379999999996</v>
      </c>
      <c r="BC63">
        <v>0</v>
      </c>
      <c r="BD63">
        <v>9.9886119999999995E-2</v>
      </c>
      <c r="BE63">
        <v>0</v>
      </c>
      <c r="BF63">
        <v>25</v>
      </c>
      <c r="BG63">
        <v>1648.95133333333</v>
      </c>
      <c r="BH63">
        <v>1769183593.0999999</v>
      </c>
      <c r="BI63" t="s">
        <v>375</v>
      </c>
      <c r="BJ63">
        <v>1769183593.0999999</v>
      </c>
      <c r="BK63">
        <v>1769183589.0999999</v>
      </c>
      <c r="BL63">
        <v>2</v>
      </c>
      <c r="BM63">
        <v>9.6000000000000002E-2</v>
      </c>
      <c r="BN63">
        <v>2.3E-2</v>
      </c>
      <c r="BO63">
        <v>-1.109</v>
      </c>
      <c r="BP63">
        <v>0.152</v>
      </c>
      <c r="BQ63">
        <v>410</v>
      </c>
      <c r="BR63">
        <v>16</v>
      </c>
      <c r="BS63">
        <v>0.26</v>
      </c>
      <c r="BT63">
        <v>7.0000000000000007E-2</v>
      </c>
      <c r="BU63">
        <v>-0.18472147619047599</v>
      </c>
      <c r="BV63">
        <v>2.8233974025973999E-2</v>
      </c>
      <c r="BW63">
        <v>1.44162890232478E-2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0.60660504761904799</v>
      </c>
      <c r="CD63">
        <v>-7.6495792207792193E-2</v>
      </c>
      <c r="CE63">
        <v>7.9139725108502996E-3</v>
      </c>
      <c r="CF63">
        <v>1</v>
      </c>
      <c r="CG63">
        <v>2</v>
      </c>
      <c r="CH63">
        <v>2</v>
      </c>
      <c r="CI63" t="s">
        <v>310</v>
      </c>
      <c r="CJ63">
        <v>3.5325099999999998</v>
      </c>
      <c r="CK63">
        <v>2.70383</v>
      </c>
      <c r="CL63">
        <v>9.8133600000000001E-2</v>
      </c>
      <c r="CM63">
        <v>9.6757300000000004E-2</v>
      </c>
      <c r="CN63">
        <v>8.6813399999999999E-2</v>
      </c>
      <c r="CO63">
        <v>8.3665500000000004E-2</v>
      </c>
      <c r="CP63">
        <v>31635.8</v>
      </c>
      <c r="CQ63">
        <v>27755.1</v>
      </c>
      <c r="CR63">
        <v>32463.9</v>
      </c>
      <c r="CS63">
        <v>30652.9</v>
      </c>
      <c r="CT63">
        <v>40129</v>
      </c>
      <c r="CU63">
        <v>39480.300000000003</v>
      </c>
      <c r="CV63">
        <v>47396.4</v>
      </c>
      <c r="CW63">
        <v>46727</v>
      </c>
      <c r="CX63">
        <v>2.63158</v>
      </c>
      <c r="CY63">
        <v>2.16092</v>
      </c>
      <c r="CZ63">
        <v>0</v>
      </c>
      <c r="DA63">
        <v>0</v>
      </c>
      <c r="DB63">
        <v>999.9</v>
      </c>
      <c r="DC63">
        <v>999.9</v>
      </c>
      <c r="DD63">
        <v>72.738</v>
      </c>
      <c r="DE63">
        <v>24.219000000000001</v>
      </c>
      <c r="DF63">
        <v>22.047999999999998</v>
      </c>
      <c r="DG63">
        <v>30.5701</v>
      </c>
      <c r="DH63">
        <v>17.451899999999998</v>
      </c>
      <c r="DI63">
        <v>2</v>
      </c>
      <c r="DJ63">
        <v>-0.16378899999999999</v>
      </c>
      <c r="DK63">
        <v>1.8540099999999999</v>
      </c>
      <c r="DL63">
        <v>20.2348</v>
      </c>
      <c r="DM63">
        <v>5.2517899999999997</v>
      </c>
      <c r="DN63">
        <v>12.033899999999999</v>
      </c>
      <c r="DO63">
        <v>4.9676400000000003</v>
      </c>
      <c r="DP63">
        <v>3.2909999999999999</v>
      </c>
      <c r="DQ63">
        <v>9999</v>
      </c>
      <c r="DR63">
        <v>9999</v>
      </c>
      <c r="DS63">
        <v>534.20000000000005</v>
      </c>
      <c r="DT63">
        <v>9999</v>
      </c>
      <c r="DU63">
        <v>1.87093</v>
      </c>
      <c r="DV63">
        <v>1.8760600000000001</v>
      </c>
      <c r="DW63">
        <v>1.87622</v>
      </c>
      <c r="DX63">
        <v>1.88276</v>
      </c>
      <c r="DY63">
        <v>1.87548</v>
      </c>
      <c r="DZ63">
        <v>1.8745400000000001</v>
      </c>
      <c r="EA63">
        <v>1.8707100000000001</v>
      </c>
      <c r="EB63">
        <v>1.8745400000000001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-1.109</v>
      </c>
      <c r="EQ63">
        <v>0.15210000000000001</v>
      </c>
      <c r="ER63">
        <v>-1.10929999999996</v>
      </c>
      <c r="ES63">
        <v>0</v>
      </c>
      <c r="ET63">
        <v>0</v>
      </c>
      <c r="EU63">
        <v>0</v>
      </c>
      <c r="EV63">
        <v>0.15201999999999699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1.8</v>
      </c>
      <c r="FE63">
        <v>1.9</v>
      </c>
      <c r="FF63">
        <v>1.23169</v>
      </c>
      <c r="FG63">
        <v>2.5512700000000001</v>
      </c>
      <c r="FH63">
        <v>2.19604</v>
      </c>
      <c r="FI63">
        <v>2.66235</v>
      </c>
      <c r="FJ63">
        <v>2.4462899999999999</v>
      </c>
      <c r="FK63">
        <v>2.3083499999999999</v>
      </c>
      <c r="FL63">
        <v>29.708300000000001</v>
      </c>
      <c r="FM63">
        <v>24.1663</v>
      </c>
      <c r="FN63">
        <v>19</v>
      </c>
      <c r="FO63">
        <v>863.66600000000005</v>
      </c>
      <c r="FP63">
        <v>593.31299999999999</v>
      </c>
      <c r="FQ63">
        <v>18.3186</v>
      </c>
      <c r="FR63">
        <v>24.9255</v>
      </c>
      <c r="FS63">
        <v>30.0001</v>
      </c>
      <c r="FT63">
        <v>24.895</v>
      </c>
      <c r="FU63">
        <v>24.896100000000001</v>
      </c>
      <c r="FV63">
        <v>24.718399999999999</v>
      </c>
      <c r="FW63">
        <v>36.625700000000002</v>
      </c>
      <c r="FX63">
        <v>49.2468</v>
      </c>
      <c r="FY63">
        <v>18.3307</v>
      </c>
      <c r="FZ63">
        <v>410</v>
      </c>
      <c r="GA63">
        <v>14.8066</v>
      </c>
      <c r="GB63">
        <v>99.883300000000006</v>
      </c>
      <c r="GC63">
        <v>99.488399999999999</v>
      </c>
    </row>
    <row r="64" spans="1:185" x14ac:dyDescent="0.2">
      <c r="A64">
        <v>49</v>
      </c>
      <c r="B64">
        <v>1769183715.0999999</v>
      </c>
      <c r="C64">
        <v>852.09999990463302</v>
      </c>
      <c r="D64" t="s">
        <v>392</v>
      </c>
      <c r="E64" t="s">
        <v>393</v>
      </c>
      <c r="F64">
        <v>15</v>
      </c>
      <c r="G64">
        <v>1769183707.03333</v>
      </c>
      <c r="H64">
        <f t="shared" si="0"/>
        <v>4.8308535327006583E-4</v>
      </c>
      <c r="I64">
        <v>0</v>
      </c>
      <c r="J64">
        <f t="shared" si="12"/>
        <v>-1.5193375272121036E-3</v>
      </c>
      <c r="K64">
        <f t="shared" si="1"/>
        <v>-3.9790950979650873E-2</v>
      </c>
      <c r="L64">
        <f t="shared" si="2"/>
        <v>69.878177181019481</v>
      </c>
      <c r="M64">
        <f t="shared" si="3"/>
        <v>1.5376780338875127</v>
      </c>
      <c r="N64">
        <f t="shared" si="4"/>
        <v>2.2005125146641369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26257.335211262118</v>
      </c>
      <c r="T64">
        <f t="shared" si="8"/>
        <v>100.000446666667</v>
      </c>
      <c r="U64">
        <f t="shared" si="9"/>
        <v>84.300068978626513</v>
      </c>
      <c r="V64">
        <f t="shared" si="10"/>
        <v>0.84299692439999996</v>
      </c>
      <c r="W64">
        <f t="shared" si="11"/>
        <v>0.15869207714399999</v>
      </c>
      <c r="X64">
        <v>1</v>
      </c>
      <c r="Y64">
        <v>1769183707.03333</v>
      </c>
      <c r="Z64">
        <v>409.82</v>
      </c>
      <c r="AA64">
        <v>410.01773333333301</v>
      </c>
      <c r="AB64">
        <v>15.348739999999999</v>
      </c>
      <c r="AC64">
        <v>14.754153333333299</v>
      </c>
      <c r="AD64">
        <v>410.92926666666699</v>
      </c>
      <c r="AE64">
        <v>15.196733333333301</v>
      </c>
      <c r="AF64">
        <v>800.00213333333295</v>
      </c>
      <c r="AG64">
        <v>100.11693333333299</v>
      </c>
      <c r="AH64">
        <v>6.5754880000000002E-2</v>
      </c>
      <c r="AI64">
        <v>18.966046666666699</v>
      </c>
      <c r="AJ64">
        <v>999.9</v>
      </c>
      <c r="AK64">
        <v>999.9</v>
      </c>
      <c r="AL64">
        <v>0</v>
      </c>
      <c r="AM64">
        <v>0</v>
      </c>
      <c r="AN64">
        <v>5000.2333333333299</v>
      </c>
      <c r="AO64">
        <v>0</v>
      </c>
      <c r="AP64">
        <v>1.9760899999999999</v>
      </c>
      <c r="AQ64">
        <v>-0.1976888</v>
      </c>
      <c r="AR64">
        <v>416.20833333333297</v>
      </c>
      <c r="AS64">
        <v>416.15753333333299</v>
      </c>
      <c r="AT64">
        <v>0.59460233333333301</v>
      </c>
      <c r="AU64">
        <v>410.01773333333301</v>
      </c>
      <c r="AV64">
        <v>14.754153333333299</v>
      </c>
      <c r="AW64">
        <v>1.536672</v>
      </c>
      <c r="AX64">
        <v>1.477142</v>
      </c>
      <c r="AY64">
        <v>13.33802</v>
      </c>
      <c r="AZ64">
        <v>12.7335933333333</v>
      </c>
      <c r="BA64">
        <v>100.000446666667</v>
      </c>
      <c r="BB64">
        <v>0.90010599999999996</v>
      </c>
      <c r="BC64">
        <v>0</v>
      </c>
      <c r="BD64">
        <v>9.9894120000000003E-2</v>
      </c>
      <c r="BE64">
        <v>0</v>
      </c>
      <c r="BF64">
        <v>25</v>
      </c>
      <c r="BG64">
        <v>1648.94133333333</v>
      </c>
      <c r="BH64">
        <v>1769183593.0999999</v>
      </c>
      <c r="BI64" t="s">
        <v>375</v>
      </c>
      <c r="BJ64">
        <v>1769183593.0999999</v>
      </c>
      <c r="BK64">
        <v>1769183589.0999999</v>
      </c>
      <c r="BL64">
        <v>2</v>
      </c>
      <c r="BM64">
        <v>9.6000000000000002E-2</v>
      </c>
      <c r="BN64">
        <v>2.3E-2</v>
      </c>
      <c r="BO64">
        <v>-1.109</v>
      </c>
      <c r="BP64">
        <v>0.152</v>
      </c>
      <c r="BQ64">
        <v>410</v>
      </c>
      <c r="BR64">
        <v>16</v>
      </c>
      <c r="BS64">
        <v>0.26</v>
      </c>
      <c r="BT64">
        <v>7.0000000000000007E-2</v>
      </c>
      <c r="BU64">
        <v>-0.19159699999999999</v>
      </c>
      <c r="BV64">
        <v>-0.17015440601503801</v>
      </c>
      <c r="BW64">
        <v>2.1729388371512001E-2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0.59536809999999996</v>
      </c>
      <c r="CD64">
        <v>-1.04210526315255E-4</v>
      </c>
      <c r="CE64">
        <v>2.83079776564842E-3</v>
      </c>
      <c r="CF64">
        <v>1</v>
      </c>
      <c r="CG64">
        <v>2</v>
      </c>
      <c r="CH64">
        <v>2</v>
      </c>
      <c r="CI64" t="s">
        <v>310</v>
      </c>
      <c r="CJ64">
        <v>3.5325299999999999</v>
      </c>
      <c r="CK64">
        <v>2.7035900000000002</v>
      </c>
      <c r="CL64">
        <v>9.8129800000000003E-2</v>
      </c>
      <c r="CM64">
        <v>9.6762899999999999E-2</v>
      </c>
      <c r="CN64">
        <v>8.6765900000000007E-2</v>
      </c>
      <c r="CO64">
        <v>8.3614900000000006E-2</v>
      </c>
      <c r="CP64">
        <v>31635.4</v>
      </c>
      <c r="CQ64">
        <v>27754.7</v>
      </c>
      <c r="CR64">
        <v>32463.4</v>
      </c>
      <c r="CS64">
        <v>30652.7</v>
      </c>
      <c r="CT64">
        <v>40130.699999999997</v>
      </c>
      <c r="CU64">
        <v>39482.5</v>
      </c>
      <c r="CV64">
        <v>47395.8</v>
      </c>
      <c r="CW64">
        <v>46726.9</v>
      </c>
      <c r="CX64">
        <v>2.6314199999999999</v>
      </c>
      <c r="CY64">
        <v>2.1606000000000001</v>
      </c>
      <c r="CZ64">
        <v>0</v>
      </c>
      <c r="DA64">
        <v>0</v>
      </c>
      <c r="DB64">
        <v>999.9</v>
      </c>
      <c r="DC64">
        <v>999.9</v>
      </c>
      <c r="DD64">
        <v>72.635000000000005</v>
      </c>
      <c r="DE64">
        <v>24.228999999999999</v>
      </c>
      <c r="DF64">
        <v>22.033300000000001</v>
      </c>
      <c r="DG64">
        <v>30.600100000000001</v>
      </c>
      <c r="DH64">
        <v>17.515999999999998</v>
      </c>
      <c r="DI64">
        <v>2</v>
      </c>
      <c r="DJ64">
        <v>-0.163663</v>
      </c>
      <c r="DK64">
        <v>1.7636000000000001</v>
      </c>
      <c r="DL64">
        <v>20.235600000000002</v>
      </c>
      <c r="DM64">
        <v>5.2496400000000003</v>
      </c>
      <c r="DN64">
        <v>12.033899999999999</v>
      </c>
      <c r="DO64">
        <v>4.9672799999999997</v>
      </c>
      <c r="DP64">
        <v>3.2907000000000002</v>
      </c>
      <c r="DQ64">
        <v>9999</v>
      </c>
      <c r="DR64">
        <v>9999</v>
      </c>
      <c r="DS64">
        <v>534.20000000000005</v>
      </c>
      <c r="DT64">
        <v>9999</v>
      </c>
      <c r="DU64">
        <v>1.8709499999999999</v>
      </c>
      <c r="DV64">
        <v>1.8760600000000001</v>
      </c>
      <c r="DW64">
        <v>1.8762099999999999</v>
      </c>
      <c r="DX64">
        <v>1.8827499999999999</v>
      </c>
      <c r="DY64">
        <v>1.8754599999999999</v>
      </c>
      <c r="DZ64">
        <v>1.8745400000000001</v>
      </c>
      <c r="EA64">
        <v>1.87069</v>
      </c>
      <c r="EB64">
        <v>1.8745400000000001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-1.109</v>
      </c>
      <c r="EQ64">
        <v>0.152</v>
      </c>
      <c r="ER64">
        <v>-1.10929999999996</v>
      </c>
      <c r="ES64">
        <v>0</v>
      </c>
      <c r="ET64">
        <v>0</v>
      </c>
      <c r="EU64">
        <v>0</v>
      </c>
      <c r="EV64">
        <v>0.15201999999999699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2</v>
      </c>
      <c r="FE64">
        <v>2.1</v>
      </c>
      <c r="FF64">
        <v>1.23169</v>
      </c>
      <c r="FG64">
        <v>2.5512700000000001</v>
      </c>
      <c r="FH64">
        <v>2.19604</v>
      </c>
      <c r="FI64">
        <v>2.66235</v>
      </c>
      <c r="FJ64">
        <v>2.4462899999999999</v>
      </c>
      <c r="FK64">
        <v>2.2692899999999998</v>
      </c>
      <c r="FL64">
        <v>29.729700000000001</v>
      </c>
      <c r="FM64">
        <v>24.157499999999999</v>
      </c>
      <c r="FN64">
        <v>19</v>
      </c>
      <c r="FO64">
        <v>863.62599999999998</v>
      </c>
      <c r="FP64">
        <v>593.14</v>
      </c>
      <c r="FQ64">
        <v>18.387799999999999</v>
      </c>
      <c r="FR64">
        <v>24.9331</v>
      </c>
      <c r="FS64">
        <v>30.0002</v>
      </c>
      <c r="FT64">
        <v>24.901700000000002</v>
      </c>
      <c r="FU64">
        <v>24.902699999999999</v>
      </c>
      <c r="FV64">
        <v>24.715599999999998</v>
      </c>
      <c r="FW64">
        <v>36.625700000000002</v>
      </c>
      <c r="FX64">
        <v>48.493600000000001</v>
      </c>
      <c r="FY64">
        <v>18.3994</v>
      </c>
      <c r="FZ64">
        <v>410</v>
      </c>
      <c r="GA64">
        <v>14.8109</v>
      </c>
      <c r="GB64">
        <v>99.881900000000002</v>
      </c>
      <c r="GC64">
        <v>99.488100000000003</v>
      </c>
    </row>
    <row r="65" spans="1:185" x14ac:dyDescent="0.2">
      <c r="A65">
        <v>50</v>
      </c>
      <c r="B65">
        <v>1769183730.0999999</v>
      </c>
      <c r="C65">
        <v>867.09999990463302</v>
      </c>
      <c r="D65" t="s">
        <v>394</v>
      </c>
      <c r="E65" t="s">
        <v>395</v>
      </c>
      <c r="F65">
        <v>15</v>
      </c>
      <c r="G65">
        <v>1769183722.03333</v>
      </c>
      <c r="H65">
        <f t="shared" si="0"/>
        <v>4.7658165740058266E-4</v>
      </c>
      <c r="I65">
        <v>0</v>
      </c>
      <c r="J65">
        <f t="shared" si="12"/>
        <v>-2.3954561761496181E-3</v>
      </c>
      <c r="K65">
        <f t="shared" si="1"/>
        <v>-6.2736210731247743E-2</v>
      </c>
      <c r="L65">
        <f t="shared" si="2"/>
        <v>69.805103835672128</v>
      </c>
      <c r="M65">
        <f t="shared" si="3"/>
        <v>1.5360553442185074</v>
      </c>
      <c r="N65">
        <f t="shared" si="4"/>
        <v>2.2004914537976026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26278.968109176611</v>
      </c>
      <c r="T65">
        <f t="shared" si="8"/>
        <v>99.998013333333304</v>
      </c>
      <c r="U65">
        <f t="shared" si="9"/>
        <v>84.297965047155913</v>
      </c>
      <c r="V65">
        <f t="shared" si="10"/>
        <v>0.84299639799999959</v>
      </c>
      <c r="W65">
        <f t="shared" si="11"/>
        <v>0.15869073515999996</v>
      </c>
      <c r="X65">
        <v>1</v>
      </c>
      <c r="Y65">
        <v>1769183722.03333</v>
      </c>
      <c r="Z65">
        <v>409.844333333333</v>
      </c>
      <c r="AA65">
        <v>410.010066666667</v>
      </c>
      <c r="AB65">
        <v>15.3327733333333</v>
      </c>
      <c r="AC65">
        <v>14.7461866666667</v>
      </c>
      <c r="AD65">
        <v>410.9538</v>
      </c>
      <c r="AE65">
        <v>15.18074</v>
      </c>
      <c r="AF65">
        <v>800.00853333333305</v>
      </c>
      <c r="AG65">
        <v>100.115266666667</v>
      </c>
      <c r="AH65">
        <v>6.5914573333333296E-2</v>
      </c>
      <c r="AI65">
        <v>18.965893333333302</v>
      </c>
      <c r="AJ65">
        <v>999.9</v>
      </c>
      <c r="AK65">
        <v>999.9</v>
      </c>
      <c r="AL65">
        <v>0</v>
      </c>
      <c r="AM65">
        <v>0</v>
      </c>
      <c r="AN65">
        <v>5003.8666666666704</v>
      </c>
      <c r="AO65">
        <v>0</v>
      </c>
      <c r="AP65">
        <v>1.9760899999999999</v>
      </c>
      <c r="AQ65">
        <v>-0.16566972666666699</v>
      </c>
      <c r="AR65">
        <v>416.226333333333</v>
      </c>
      <c r="AS65">
        <v>416.14659999999998</v>
      </c>
      <c r="AT65">
        <v>0.58657946666666705</v>
      </c>
      <c r="AU65">
        <v>410.010066666667</v>
      </c>
      <c r="AV65">
        <v>14.7461866666667</v>
      </c>
      <c r="AW65">
        <v>1.5350473333333301</v>
      </c>
      <c r="AX65">
        <v>1.47632133333333</v>
      </c>
      <c r="AY65">
        <v>13.321773333333301</v>
      </c>
      <c r="AZ65">
        <v>12.725106666666701</v>
      </c>
      <c r="BA65">
        <v>99.998013333333304</v>
      </c>
      <c r="BB65">
        <v>0.90012393333333296</v>
      </c>
      <c r="BC65">
        <v>0</v>
      </c>
      <c r="BD65">
        <v>9.9876199999999998E-2</v>
      </c>
      <c r="BE65">
        <v>0</v>
      </c>
      <c r="BF65">
        <v>25</v>
      </c>
      <c r="BG65">
        <v>1648.9059999999999</v>
      </c>
      <c r="BH65">
        <v>1769183593.0999999</v>
      </c>
      <c r="BI65" t="s">
        <v>375</v>
      </c>
      <c r="BJ65">
        <v>1769183593.0999999</v>
      </c>
      <c r="BK65">
        <v>1769183589.0999999</v>
      </c>
      <c r="BL65">
        <v>2</v>
      </c>
      <c r="BM65">
        <v>9.6000000000000002E-2</v>
      </c>
      <c r="BN65">
        <v>2.3E-2</v>
      </c>
      <c r="BO65">
        <v>-1.109</v>
      </c>
      <c r="BP65">
        <v>0.152</v>
      </c>
      <c r="BQ65">
        <v>410</v>
      </c>
      <c r="BR65">
        <v>16</v>
      </c>
      <c r="BS65">
        <v>0.26</v>
      </c>
      <c r="BT65">
        <v>7.0000000000000007E-2</v>
      </c>
      <c r="BU65">
        <v>-0.17605009047619</v>
      </c>
      <c r="BV65">
        <v>4.9588363636363701E-2</v>
      </c>
      <c r="BW65">
        <v>6.3717359385760799E-2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0.58949557142857101</v>
      </c>
      <c r="CD65">
        <v>-9.3783584415583501E-2</v>
      </c>
      <c r="CE65">
        <v>1.19862870400639E-2</v>
      </c>
      <c r="CF65">
        <v>1</v>
      </c>
      <c r="CG65">
        <v>2</v>
      </c>
      <c r="CH65">
        <v>2</v>
      </c>
      <c r="CI65" t="s">
        <v>310</v>
      </c>
      <c r="CJ65">
        <v>3.5325199999999999</v>
      </c>
      <c r="CK65">
        <v>2.7034199999999999</v>
      </c>
      <c r="CL65">
        <v>9.8129900000000006E-2</v>
      </c>
      <c r="CM65">
        <v>9.6752400000000002E-2</v>
      </c>
      <c r="CN65">
        <v>8.6697899999999994E-2</v>
      </c>
      <c r="CO65">
        <v>8.3696800000000002E-2</v>
      </c>
      <c r="CP65">
        <v>31635.1</v>
      </c>
      <c r="CQ65">
        <v>27755.5</v>
      </c>
      <c r="CR65">
        <v>32463.1</v>
      </c>
      <c r="CS65">
        <v>30653.200000000001</v>
      </c>
      <c r="CT65">
        <v>40133.5</v>
      </c>
      <c r="CU65">
        <v>39479.599999999999</v>
      </c>
      <c r="CV65">
        <v>47395.4</v>
      </c>
      <c r="CW65">
        <v>46727.8</v>
      </c>
      <c r="CX65">
        <v>2.6313200000000001</v>
      </c>
      <c r="CY65">
        <v>2.1602399999999999</v>
      </c>
      <c r="CZ65">
        <v>0</v>
      </c>
      <c r="DA65">
        <v>0</v>
      </c>
      <c r="DB65">
        <v>999.9</v>
      </c>
      <c r="DC65">
        <v>999.9</v>
      </c>
      <c r="DD65">
        <v>72.513000000000005</v>
      </c>
      <c r="DE65">
        <v>24.248999999999999</v>
      </c>
      <c r="DF65">
        <v>22.020600000000002</v>
      </c>
      <c r="DG65">
        <v>30.330100000000002</v>
      </c>
      <c r="DH65">
        <v>17.488</v>
      </c>
      <c r="DI65">
        <v>2</v>
      </c>
      <c r="DJ65">
        <v>-0.163244</v>
      </c>
      <c r="DK65">
        <v>1.6939299999999999</v>
      </c>
      <c r="DL65">
        <v>20.236999999999998</v>
      </c>
      <c r="DM65">
        <v>5.2526299999999999</v>
      </c>
      <c r="DN65">
        <v>12.033899999999999</v>
      </c>
      <c r="DO65">
        <v>4.9676799999999997</v>
      </c>
      <c r="DP65">
        <v>3.2909999999999999</v>
      </c>
      <c r="DQ65">
        <v>9999</v>
      </c>
      <c r="DR65">
        <v>9999</v>
      </c>
      <c r="DS65">
        <v>534.20000000000005</v>
      </c>
      <c r="DT65">
        <v>9999</v>
      </c>
      <c r="DU65">
        <v>1.87093</v>
      </c>
      <c r="DV65">
        <v>1.8760600000000001</v>
      </c>
      <c r="DW65">
        <v>1.8762099999999999</v>
      </c>
      <c r="DX65">
        <v>1.8827199999999999</v>
      </c>
      <c r="DY65">
        <v>1.87547</v>
      </c>
      <c r="DZ65">
        <v>1.8745400000000001</v>
      </c>
      <c r="EA65">
        <v>1.87069</v>
      </c>
      <c r="EB65">
        <v>1.8745400000000001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-1.1100000000000001</v>
      </c>
      <c r="EQ65">
        <v>0.152</v>
      </c>
      <c r="ER65">
        <v>-1.10929999999996</v>
      </c>
      <c r="ES65">
        <v>0</v>
      </c>
      <c r="ET65">
        <v>0</v>
      </c>
      <c r="EU65">
        <v>0</v>
      </c>
      <c r="EV65">
        <v>0.15201999999999699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2.2999999999999998</v>
      </c>
      <c r="FE65">
        <v>2.4</v>
      </c>
      <c r="FF65">
        <v>1.23169</v>
      </c>
      <c r="FG65">
        <v>2.5561500000000001</v>
      </c>
      <c r="FH65">
        <v>2.19604</v>
      </c>
      <c r="FI65">
        <v>2.66235</v>
      </c>
      <c r="FJ65">
        <v>2.4462899999999999</v>
      </c>
      <c r="FK65">
        <v>2.2546400000000002</v>
      </c>
      <c r="FL65">
        <v>29.751000000000001</v>
      </c>
      <c r="FM65">
        <v>24.157499999999999</v>
      </c>
      <c r="FN65">
        <v>19</v>
      </c>
      <c r="FO65">
        <v>863.65499999999997</v>
      </c>
      <c r="FP65">
        <v>592.94500000000005</v>
      </c>
      <c r="FQ65">
        <v>18.463100000000001</v>
      </c>
      <c r="FR65">
        <v>24.940200000000001</v>
      </c>
      <c r="FS65">
        <v>30.0001</v>
      </c>
      <c r="FT65">
        <v>24.909199999999998</v>
      </c>
      <c r="FU65">
        <v>24.9102</v>
      </c>
      <c r="FV65">
        <v>24.7148</v>
      </c>
      <c r="FW65">
        <v>36.353999999999999</v>
      </c>
      <c r="FX65">
        <v>48.113599999999998</v>
      </c>
      <c r="FY65">
        <v>18.4724</v>
      </c>
      <c r="FZ65">
        <v>410</v>
      </c>
      <c r="GA65">
        <v>14.834899999999999</v>
      </c>
      <c r="GB65">
        <v>99.881100000000004</v>
      </c>
      <c r="GC65">
        <v>99.489800000000002</v>
      </c>
    </row>
    <row r="66" spans="1:185" x14ac:dyDescent="0.2">
      <c r="A66">
        <v>51</v>
      </c>
      <c r="B66">
        <v>1769183745.0999999</v>
      </c>
      <c r="C66">
        <v>882.09999990463302</v>
      </c>
      <c r="D66" t="s">
        <v>396</v>
      </c>
      <c r="E66" t="s">
        <v>397</v>
      </c>
      <c r="F66">
        <v>15</v>
      </c>
      <c r="G66">
        <v>1769183737.03333</v>
      </c>
      <c r="H66">
        <f t="shared" si="0"/>
        <v>4.5108625210629559E-4</v>
      </c>
      <c r="I66">
        <v>0</v>
      </c>
      <c r="J66">
        <f t="shared" si="12"/>
        <v>-1.7189420430641046E-3</v>
      </c>
      <c r="K66">
        <f t="shared" si="1"/>
        <v>-4.5018527711832207E-2</v>
      </c>
      <c r="L66">
        <f t="shared" si="2"/>
        <v>69.760352425456745</v>
      </c>
      <c r="M66">
        <f t="shared" si="3"/>
        <v>1.5357433639117448</v>
      </c>
      <c r="N66">
        <f t="shared" si="4"/>
        <v>2.2014558563946212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26248.410611621977</v>
      </c>
      <c r="T66">
        <f t="shared" si="8"/>
        <v>100.000406666667</v>
      </c>
      <c r="U66">
        <f t="shared" si="9"/>
        <v>84.300031578734547</v>
      </c>
      <c r="V66">
        <f t="shared" si="10"/>
        <v>0.84299688759999969</v>
      </c>
      <c r="W66">
        <f t="shared" si="11"/>
        <v>0.15869180325599994</v>
      </c>
      <c r="X66">
        <v>1</v>
      </c>
      <c r="Y66">
        <v>1769183737.03333</v>
      </c>
      <c r="Z66">
        <v>409.811733333333</v>
      </c>
      <c r="AA66">
        <v>409.986533333333</v>
      </c>
      <c r="AB66">
        <v>15.329326666666701</v>
      </c>
      <c r="AC66">
        <v>14.77412</v>
      </c>
      <c r="AD66">
        <v>410.92099999999999</v>
      </c>
      <c r="AE66">
        <v>15.1773066666667</v>
      </c>
      <c r="AF66">
        <v>800.01093333333301</v>
      </c>
      <c r="AG66">
        <v>100.11766666666701</v>
      </c>
      <c r="AH66">
        <v>6.56875866666667E-2</v>
      </c>
      <c r="AI66">
        <v>18.972913333333299</v>
      </c>
      <c r="AJ66">
        <v>999.9</v>
      </c>
      <c r="AK66">
        <v>999.9</v>
      </c>
      <c r="AL66">
        <v>0</v>
      </c>
      <c r="AM66">
        <v>0</v>
      </c>
      <c r="AN66">
        <v>4998.8333333333303</v>
      </c>
      <c r="AO66">
        <v>0</v>
      </c>
      <c r="AP66">
        <v>1.9760899999999999</v>
      </c>
      <c r="AQ66">
        <v>-0.174831133333333</v>
      </c>
      <c r="AR66">
        <v>416.19173333333299</v>
      </c>
      <c r="AS66">
        <v>416.13446666666698</v>
      </c>
      <c r="AT66">
        <v>0.55520266666666696</v>
      </c>
      <c r="AU66">
        <v>409.986533333333</v>
      </c>
      <c r="AV66">
        <v>14.77412</v>
      </c>
      <c r="AW66">
        <v>1.5347360000000001</v>
      </c>
      <c r="AX66">
        <v>1.4791513333333299</v>
      </c>
      <c r="AY66">
        <v>13.318673333333299</v>
      </c>
      <c r="AZ66">
        <v>12.7543333333333</v>
      </c>
      <c r="BA66">
        <v>100.000406666667</v>
      </c>
      <c r="BB66">
        <v>0.900109933333333</v>
      </c>
      <c r="BC66">
        <v>0</v>
      </c>
      <c r="BD66">
        <v>9.9890279999999998E-2</v>
      </c>
      <c r="BE66">
        <v>0</v>
      </c>
      <c r="BF66">
        <v>25</v>
      </c>
      <c r="BG66">
        <v>1648.9386666666701</v>
      </c>
      <c r="BH66">
        <v>1769183593.0999999</v>
      </c>
      <c r="BI66" t="s">
        <v>375</v>
      </c>
      <c r="BJ66">
        <v>1769183593.0999999</v>
      </c>
      <c r="BK66">
        <v>1769183589.0999999</v>
      </c>
      <c r="BL66">
        <v>2</v>
      </c>
      <c r="BM66">
        <v>9.6000000000000002E-2</v>
      </c>
      <c r="BN66">
        <v>2.3E-2</v>
      </c>
      <c r="BO66">
        <v>-1.109</v>
      </c>
      <c r="BP66">
        <v>0.152</v>
      </c>
      <c r="BQ66">
        <v>410</v>
      </c>
      <c r="BR66">
        <v>16</v>
      </c>
      <c r="BS66">
        <v>0.26</v>
      </c>
      <c r="BT66">
        <v>7.0000000000000007E-2</v>
      </c>
      <c r="BU66">
        <v>-0.17893519999999999</v>
      </c>
      <c r="BV66">
        <v>0.20297251127819599</v>
      </c>
      <c r="BW66">
        <v>3.0728063189208701E-2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0.55885819999999997</v>
      </c>
      <c r="CD66">
        <v>-0.113324210526316</v>
      </c>
      <c r="CE66">
        <v>1.2896461400709901E-2</v>
      </c>
      <c r="CF66">
        <v>0</v>
      </c>
      <c r="CG66">
        <v>1</v>
      </c>
      <c r="CH66">
        <v>2</v>
      </c>
      <c r="CI66" t="s">
        <v>301</v>
      </c>
      <c r="CJ66">
        <v>3.5325199999999999</v>
      </c>
      <c r="CK66">
        <v>2.7036199999999999</v>
      </c>
      <c r="CL66">
        <v>9.8131499999999997E-2</v>
      </c>
      <c r="CM66">
        <v>9.6748100000000004E-2</v>
      </c>
      <c r="CN66">
        <v>8.6737400000000006E-2</v>
      </c>
      <c r="CO66">
        <v>8.3831500000000003E-2</v>
      </c>
      <c r="CP66">
        <v>31636</v>
      </c>
      <c r="CQ66">
        <v>27755.7</v>
      </c>
      <c r="CR66">
        <v>32464</v>
      </c>
      <c r="CS66">
        <v>30653.4</v>
      </c>
      <c r="CT66">
        <v>40133</v>
      </c>
      <c r="CU66">
        <v>39474.1</v>
      </c>
      <c r="CV66">
        <v>47397</v>
      </c>
      <c r="CW66">
        <v>46728.3</v>
      </c>
      <c r="CX66">
        <v>2.6310199999999999</v>
      </c>
      <c r="CY66">
        <v>2.1600600000000001</v>
      </c>
      <c r="CZ66">
        <v>0</v>
      </c>
      <c r="DA66">
        <v>0</v>
      </c>
      <c r="DB66">
        <v>999.9</v>
      </c>
      <c r="DC66">
        <v>999.9</v>
      </c>
      <c r="DD66">
        <v>72.415000000000006</v>
      </c>
      <c r="DE66">
        <v>24.27</v>
      </c>
      <c r="DF66">
        <v>22.013999999999999</v>
      </c>
      <c r="DG66">
        <v>30.5701</v>
      </c>
      <c r="DH66">
        <v>17.472000000000001</v>
      </c>
      <c r="DI66">
        <v>2</v>
      </c>
      <c r="DJ66">
        <v>-0.16315199999999999</v>
      </c>
      <c r="DK66">
        <v>1.6590100000000001</v>
      </c>
      <c r="DL66">
        <v>20.237400000000001</v>
      </c>
      <c r="DM66">
        <v>5.2526299999999999</v>
      </c>
      <c r="DN66">
        <v>12.033899999999999</v>
      </c>
      <c r="DO66">
        <v>4.9676</v>
      </c>
      <c r="DP66">
        <v>3.2909999999999999</v>
      </c>
      <c r="DQ66">
        <v>9999</v>
      </c>
      <c r="DR66">
        <v>9999</v>
      </c>
      <c r="DS66">
        <v>534.20000000000005</v>
      </c>
      <c r="DT66">
        <v>9999</v>
      </c>
      <c r="DU66">
        <v>1.8709800000000001</v>
      </c>
      <c r="DV66">
        <v>1.8760699999999999</v>
      </c>
      <c r="DW66">
        <v>1.87622</v>
      </c>
      <c r="DX66">
        <v>1.88276</v>
      </c>
      <c r="DY66">
        <v>1.87547</v>
      </c>
      <c r="DZ66">
        <v>1.8745400000000001</v>
      </c>
      <c r="EA66">
        <v>1.87073</v>
      </c>
      <c r="EB66">
        <v>1.87456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-1.109</v>
      </c>
      <c r="EQ66">
        <v>0.15210000000000001</v>
      </c>
      <c r="ER66">
        <v>-1.10929999999996</v>
      </c>
      <c r="ES66">
        <v>0</v>
      </c>
      <c r="ET66">
        <v>0</v>
      </c>
      <c r="EU66">
        <v>0</v>
      </c>
      <c r="EV66">
        <v>0.15201999999999699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2.5</v>
      </c>
      <c r="FE66">
        <v>2.6</v>
      </c>
      <c r="FF66">
        <v>1.23169</v>
      </c>
      <c r="FG66">
        <v>2.5488300000000002</v>
      </c>
      <c r="FH66">
        <v>2.19604</v>
      </c>
      <c r="FI66">
        <v>2.66235</v>
      </c>
      <c r="FJ66">
        <v>2.4462899999999999</v>
      </c>
      <c r="FK66">
        <v>2.2753899999999998</v>
      </c>
      <c r="FL66">
        <v>29.772400000000001</v>
      </c>
      <c r="FM66">
        <v>24.157499999999999</v>
      </c>
      <c r="FN66">
        <v>19</v>
      </c>
      <c r="FO66">
        <v>863.48599999999999</v>
      </c>
      <c r="FP66">
        <v>592.88199999999995</v>
      </c>
      <c r="FQ66">
        <v>18.5275</v>
      </c>
      <c r="FR66">
        <v>24.946899999999999</v>
      </c>
      <c r="FS66">
        <v>30.0002</v>
      </c>
      <c r="FT66">
        <v>24.915900000000001</v>
      </c>
      <c r="FU66">
        <v>24.916899999999998</v>
      </c>
      <c r="FV66">
        <v>24.7164</v>
      </c>
      <c r="FW66">
        <v>36.079599999999999</v>
      </c>
      <c r="FX66">
        <v>47.732700000000001</v>
      </c>
      <c r="FY66">
        <v>18.533100000000001</v>
      </c>
      <c r="FZ66">
        <v>410</v>
      </c>
      <c r="GA66">
        <v>14.8399</v>
      </c>
      <c r="GB66">
        <v>99.884200000000007</v>
      </c>
      <c r="GC66">
        <v>99.490799999999993</v>
      </c>
    </row>
    <row r="67" spans="1:185" x14ac:dyDescent="0.2">
      <c r="A67">
        <v>52</v>
      </c>
      <c r="B67">
        <v>1769183760.0999999</v>
      </c>
      <c r="C67">
        <v>897.09999990463302</v>
      </c>
      <c r="D67" t="s">
        <v>398</v>
      </c>
      <c r="E67" t="s">
        <v>399</v>
      </c>
      <c r="F67">
        <v>15</v>
      </c>
      <c r="G67">
        <v>1769183752.03333</v>
      </c>
      <c r="H67">
        <f t="shared" si="0"/>
        <v>4.3998466313742017E-4</v>
      </c>
      <c r="I67">
        <v>0</v>
      </c>
      <c r="J67">
        <f t="shared" si="12"/>
        <v>-8.3050584936147497E-4</v>
      </c>
      <c r="K67">
        <f t="shared" si="1"/>
        <v>-2.1750675507169491E-2</v>
      </c>
      <c r="L67">
        <f t="shared" si="2"/>
        <v>69.771107376463419</v>
      </c>
      <c r="M67">
        <f t="shared" si="3"/>
        <v>1.5369889664956242</v>
      </c>
      <c r="N67">
        <f t="shared" si="4"/>
        <v>2.2029017802491007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26248.508940299453</v>
      </c>
      <c r="T67">
        <f t="shared" si="8"/>
        <v>99.998693333333307</v>
      </c>
      <c r="U67">
        <f t="shared" si="9"/>
        <v>84.29850994507693</v>
      </c>
      <c r="V67">
        <f t="shared" si="10"/>
        <v>0.84299611460000023</v>
      </c>
      <c r="W67">
        <f t="shared" si="11"/>
        <v>0.15869019555600006</v>
      </c>
      <c r="X67">
        <v>1</v>
      </c>
      <c r="Y67">
        <v>1769183752.03333</v>
      </c>
      <c r="Z67">
        <v>409.81346666666701</v>
      </c>
      <c r="AA67">
        <v>410.011666666667</v>
      </c>
      <c r="AB67">
        <v>15.341506666666699</v>
      </c>
      <c r="AC67">
        <v>14.7999666666667</v>
      </c>
      <c r="AD67">
        <v>410.92273333333299</v>
      </c>
      <c r="AE67">
        <v>15.18948</v>
      </c>
      <c r="AF67">
        <v>800.004866666667</v>
      </c>
      <c r="AG67">
        <v>100.119333333333</v>
      </c>
      <c r="AH67">
        <v>6.5674560000000007E-2</v>
      </c>
      <c r="AI67">
        <v>18.983433333333299</v>
      </c>
      <c r="AJ67">
        <v>999.9</v>
      </c>
      <c r="AK67">
        <v>999.9</v>
      </c>
      <c r="AL67">
        <v>0</v>
      </c>
      <c r="AM67">
        <v>0</v>
      </c>
      <c r="AN67">
        <v>4998.9333333333298</v>
      </c>
      <c r="AO67">
        <v>0</v>
      </c>
      <c r="AP67">
        <v>1.9760899999999999</v>
      </c>
      <c r="AQ67">
        <v>-0.19836419999999999</v>
      </c>
      <c r="AR67">
        <v>416.198466666667</v>
      </c>
      <c r="AS67">
        <v>416.171066666667</v>
      </c>
      <c r="AT67">
        <v>0.54153533333333304</v>
      </c>
      <c r="AU67">
        <v>410.011666666667</v>
      </c>
      <c r="AV67">
        <v>14.7999666666667</v>
      </c>
      <c r="AW67">
        <v>1.53598066666667</v>
      </c>
      <c r="AX67">
        <v>1.48176333333333</v>
      </c>
      <c r="AY67">
        <v>13.331113333333301</v>
      </c>
      <c r="AZ67">
        <v>12.781273333333299</v>
      </c>
      <c r="BA67">
        <v>99.998693333333307</v>
      </c>
      <c r="BB67">
        <v>0.90013086666666697</v>
      </c>
      <c r="BC67">
        <v>0</v>
      </c>
      <c r="BD67">
        <v>9.9869180000000002E-2</v>
      </c>
      <c r="BE67">
        <v>0</v>
      </c>
      <c r="BF67">
        <v>25</v>
      </c>
      <c r="BG67">
        <v>1648.9206666666701</v>
      </c>
      <c r="BH67">
        <v>1769183593.0999999</v>
      </c>
      <c r="BI67" t="s">
        <v>375</v>
      </c>
      <c r="BJ67">
        <v>1769183593.0999999</v>
      </c>
      <c r="BK67">
        <v>1769183589.0999999</v>
      </c>
      <c r="BL67">
        <v>2</v>
      </c>
      <c r="BM67">
        <v>9.6000000000000002E-2</v>
      </c>
      <c r="BN67">
        <v>2.3E-2</v>
      </c>
      <c r="BO67">
        <v>-1.109</v>
      </c>
      <c r="BP67">
        <v>0.152</v>
      </c>
      <c r="BQ67">
        <v>410</v>
      </c>
      <c r="BR67">
        <v>16</v>
      </c>
      <c r="BS67">
        <v>0.26</v>
      </c>
      <c r="BT67">
        <v>7.0000000000000007E-2</v>
      </c>
      <c r="BU67">
        <v>-0.18128654999999999</v>
      </c>
      <c r="BV67">
        <v>-0.25353604511278199</v>
      </c>
      <c r="BW67">
        <v>3.3905542462074001E-2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0.54147769999999995</v>
      </c>
      <c r="CD67">
        <v>9.4681804511281692E-3</v>
      </c>
      <c r="CE67">
        <v>5.5905682725461798E-3</v>
      </c>
      <c r="CF67">
        <v>1</v>
      </c>
      <c r="CG67">
        <v>2</v>
      </c>
      <c r="CH67">
        <v>2</v>
      </c>
      <c r="CI67" t="s">
        <v>310</v>
      </c>
      <c r="CJ67">
        <v>3.5325099999999998</v>
      </c>
      <c r="CK67">
        <v>2.7033900000000002</v>
      </c>
      <c r="CL67">
        <v>9.8130300000000004E-2</v>
      </c>
      <c r="CM67">
        <v>9.6765599999999993E-2</v>
      </c>
      <c r="CN67">
        <v>8.6770600000000003E-2</v>
      </c>
      <c r="CO67">
        <v>8.3811700000000003E-2</v>
      </c>
      <c r="CP67">
        <v>31635.8</v>
      </c>
      <c r="CQ67">
        <v>27755.599999999999</v>
      </c>
      <c r="CR67">
        <v>32463.9</v>
      </c>
      <c r="CS67">
        <v>30653.9</v>
      </c>
      <c r="CT67">
        <v>40131.4</v>
      </c>
      <c r="CU67">
        <v>39475.300000000003</v>
      </c>
      <c r="CV67">
        <v>47396.9</v>
      </c>
      <c r="CW67">
        <v>46728.800000000003</v>
      </c>
      <c r="CX67">
        <v>2.6311599999999999</v>
      </c>
      <c r="CY67">
        <v>2.1598000000000002</v>
      </c>
      <c r="CZ67">
        <v>0</v>
      </c>
      <c r="DA67">
        <v>0</v>
      </c>
      <c r="DB67">
        <v>999.9</v>
      </c>
      <c r="DC67">
        <v>999.9</v>
      </c>
      <c r="DD67">
        <v>72.293000000000006</v>
      </c>
      <c r="DE67">
        <v>24.29</v>
      </c>
      <c r="DF67">
        <v>22.006399999999999</v>
      </c>
      <c r="DG67">
        <v>30.600100000000001</v>
      </c>
      <c r="DH67">
        <v>17.419899999999998</v>
      </c>
      <c r="DI67">
        <v>2</v>
      </c>
      <c r="DJ67">
        <v>-0.162689</v>
      </c>
      <c r="DK67">
        <v>1.6600999999999999</v>
      </c>
      <c r="DL67">
        <v>20.237300000000001</v>
      </c>
      <c r="DM67">
        <v>5.2521500000000003</v>
      </c>
      <c r="DN67">
        <v>12.033899999999999</v>
      </c>
      <c r="DO67">
        <v>4.9674399999999999</v>
      </c>
      <c r="DP67">
        <v>3.2909999999999999</v>
      </c>
      <c r="DQ67">
        <v>9999</v>
      </c>
      <c r="DR67">
        <v>9999</v>
      </c>
      <c r="DS67">
        <v>534.20000000000005</v>
      </c>
      <c r="DT67">
        <v>9999</v>
      </c>
      <c r="DU67">
        <v>1.87096</v>
      </c>
      <c r="DV67">
        <v>1.8760699999999999</v>
      </c>
      <c r="DW67">
        <v>1.87622</v>
      </c>
      <c r="DX67">
        <v>1.8827400000000001</v>
      </c>
      <c r="DY67">
        <v>1.87548</v>
      </c>
      <c r="DZ67">
        <v>1.8745400000000001</v>
      </c>
      <c r="EA67">
        <v>1.8707100000000001</v>
      </c>
      <c r="EB67">
        <v>1.8745499999999999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-1.1100000000000001</v>
      </c>
      <c r="EQ67">
        <v>0.152</v>
      </c>
      <c r="ER67">
        <v>-1.10929999999996</v>
      </c>
      <c r="ES67">
        <v>0</v>
      </c>
      <c r="ET67">
        <v>0</v>
      </c>
      <c r="EU67">
        <v>0</v>
      </c>
      <c r="EV67">
        <v>0.15201999999999699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2.8</v>
      </c>
      <c r="FE67">
        <v>2.9</v>
      </c>
      <c r="FF67">
        <v>1.23047</v>
      </c>
      <c r="FG67">
        <v>2.5488300000000002</v>
      </c>
      <c r="FH67">
        <v>2.19604</v>
      </c>
      <c r="FI67">
        <v>2.66235</v>
      </c>
      <c r="FJ67">
        <v>2.4462899999999999</v>
      </c>
      <c r="FK67">
        <v>2.2558600000000002</v>
      </c>
      <c r="FL67">
        <v>29.793700000000001</v>
      </c>
      <c r="FM67">
        <v>24.157499999999999</v>
      </c>
      <c r="FN67">
        <v>19</v>
      </c>
      <c r="FO67">
        <v>863.71799999999996</v>
      </c>
      <c r="FP67">
        <v>592.75099999999998</v>
      </c>
      <c r="FQ67">
        <v>18.569600000000001</v>
      </c>
      <c r="FR67">
        <v>24.9528</v>
      </c>
      <c r="FS67">
        <v>30.0001</v>
      </c>
      <c r="FT67">
        <v>24.9222</v>
      </c>
      <c r="FU67">
        <v>24.923200000000001</v>
      </c>
      <c r="FV67">
        <v>24.713999999999999</v>
      </c>
      <c r="FW67">
        <v>36.079599999999999</v>
      </c>
      <c r="FX67">
        <v>47.3538</v>
      </c>
      <c r="FY67">
        <v>18.571999999999999</v>
      </c>
      <c r="FZ67">
        <v>410</v>
      </c>
      <c r="GA67">
        <v>14.8422</v>
      </c>
      <c r="GB67">
        <v>99.883899999999997</v>
      </c>
      <c r="GC67">
        <v>99.492000000000004</v>
      </c>
    </row>
    <row r="68" spans="1:185" x14ac:dyDescent="0.2">
      <c r="A68">
        <v>53</v>
      </c>
      <c r="B68">
        <v>1769183775.0999999</v>
      </c>
      <c r="C68">
        <v>912.09999990463302</v>
      </c>
      <c r="D68" t="s">
        <v>400</v>
      </c>
      <c r="E68" t="s">
        <v>401</v>
      </c>
      <c r="F68">
        <v>15</v>
      </c>
      <c r="G68">
        <v>1769183767.03333</v>
      </c>
      <c r="H68">
        <f t="shared" si="0"/>
        <v>4.4619492275274879E-4</v>
      </c>
      <c r="I68">
        <v>0</v>
      </c>
      <c r="J68">
        <f t="shared" si="12"/>
        <v>-1.2699310937434405E-3</v>
      </c>
      <c r="K68">
        <f t="shared" si="1"/>
        <v>-3.3259078377009831E-2</v>
      </c>
      <c r="L68">
        <f t="shared" si="2"/>
        <v>69.722643283139945</v>
      </c>
      <c r="M68">
        <f t="shared" si="3"/>
        <v>1.5372146325904268</v>
      </c>
      <c r="N68">
        <f t="shared" si="4"/>
        <v>2.2047566761745965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26256.057642651824</v>
      </c>
      <c r="T68">
        <f t="shared" si="8"/>
        <v>100.000526666667</v>
      </c>
      <c r="U68">
        <f t="shared" si="9"/>
        <v>84.300015977746142</v>
      </c>
      <c r="V68">
        <f t="shared" si="10"/>
        <v>0.84299571999999989</v>
      </c>
      <c r="W68">
        <f t="shared" si="11"/>
        <v>0.15868917008000002</v>
      </c>
      <c r="X68">
        <v>1</v>
      </c>
      <c r="Y68">
        <v>1769183767.03333</v>
      </c>
      <c r="Z68">
        <v>409.82240000000002</v>
      </c>
      <c r="AA68">
        <v>410.00940000000003</v>
      </c>
      <c r="AB68">
        <v>15.3436</v>
      </c>
      <c r="AC68">
        <v>14.794420000000001</v>
      </c>
      <c r="AD68">
        <v>410.93193333333301</v>
      </c>
      <c r="AE68">
        <v>15.191573333333301</v>
      </c>
      <c r="AF68">
        <v>800.00853333333305</v>
      </c>
      <c r="AG68">
        <v>100.12033333333299</v>
      </c>
      <c r="AH68">
        <v>6.5713786666666704E-2</v>
      </c>
      <c r="AI68">
        <v>18.996919999999999</v>
      </c>
      <c r="AJ68">
        <v>999.9</v>
      </c>
      <c r="AK68">
        <v>999.9</v>
      </c>
      <c r="AL68">
        <v>0</v>
      </c>
      <c r="AM68">
        <v>0</v>
      </c>
      <c r="AN68">
        <v>5000.3333333333303</v>
      </c>
      <c r="AO68">
        <v>0</v>
      </c>
      <c r="AP68">
        <v>1.97684333333333</v>
      </c>
      <c r="AQ68">
        <v>-0.18701173333333301</v>
      </c>
      <c r="AR68">
        <v>416.20873333333299</v>
      </c>
      <c r="AS68">
        <v>416.16646666666702</v>
      </c>
      <c r="AT68">
        <v>0.549173466666667</v>
      </c>
      <c r="AU68">
        <v>410.00940000000003</v>
      </c>
      <c r="AV68">
        <v>14.794420000000001</v>
      </c>
      <c r="AW68">
        <v>1.536206</v>
      </c>
      <c r="AX68">
        <v>1.48122333333333</v>
      </c>
      <c r="AY68">
        <v>13.333360000000001</v>
      </c>
      <c r="AZ68">
        <v>12.775693333333299</v>
      </c>
      <c r="BA68">
        <v>100.000526666667</v>
      </c>
      <c r="BB68">
        <v>0.90014459999999996</v>
      </c>
      <c r="BC68">
        <v>0</v>
      </c>
      <c r="BD68">
        <v>9.9855466666666698E-2</v>
      </c>
      <c r="BE68">
        <v>0</v>
      </c>
      <c r="BF68">
        <v>25</v>
      </c>
      <c r="BG68">
        <v>1648.9566666666699</v>
      </c>
      <c r="BH68">
        <v>1769183593.0999999</v>
      </c>
      <c r="BI68" t="s">
        <v>375</v>
      </c>
      <c r="BJ68">
        <v>1769183593.0999999</v>
      </c>
      <c r="BK68">
        <v>1769183589.0999999</v>
      </c>
      <c r="BL68">
        <v>2</v>
      </c>
      <c r="BM68">
        <v>9.6000000000000002E-2</v>
      </c>
      <c r="BN68">
        <v>2.3E-2</v>
      </c>
      <c r="BO68">
        <v>-1.109</v>
      </c>
      <c r="BP68">
        <v>0.152</v>
      </c>
      <c r="BQ68">
        <v>410</v>
      </c>
      <c r="BR68">
        <v>16</v>
      </c>
      <c r="BS68">
        <v>0.26</v>
      </c>
      <c r="BT68">
        <v>7.0000000000000007E-2</v>
      </c>
      <c r="BU68">
        <v>-0.19150845</v>
      </c>
      <c r="BV68">
        <v>9.1366150375939606E-2</v>
      </c>
      <c r="BW68">
        <v>2.2524728718621701E-2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0.54866930000000003</v>
      </c>
      <c r="CD68">
        <v>1.1842285714285699E-2</v>
      </c>
      <c r="CE68">
        <v>1.6648990690129001E-3</v>
      </c>
      <c r="CF68">
        <v>1</v>
      </c>
      <c r="CG68">
        <v>2</v>
      </c>
      <c r="CH68">
        <v>2</v>
      </c>
      <c r="CI68" t="s">
        <v>310</v>
      </c>
      <c r="CJ68">
        <v>3.53254</v>
      </c>
      <c r="CK68">
        <v>2.7034500000000001</v>
      </c>
      <c r="CL68">
        <v>9.8130800000000004E-2</v>
      </c>
      <c r="CM68">
        <v>9.6763799999999997E-2</v>
      </c>
      <c r="CN68">
        <v>8.6753300000000005E-2</v>
      </c>
      <c r="CO68">
        <v>8.3797700000000003E-2</v>
      </c>
      <c r="CP68">
        <v>31635.1</v>
      </c>
      <c r="CQ68">
        <v>27755.200000000001</v>
      </c>
      <c r="CR68">
        <v>32463.200000000001</v>
      </c>
      <c r="CS68">
        <v>30653.3</v>
      </c>
      <c r="CT68">
        <v>40131.699999999997</v>
      </c>
      <c r="CU68">
        <v>39475.599999999999</v>
      </c>
      <c r="CV68">
        <v>47396.3</v>
      </c>
      <c r="CW68">
        <v>46728.3</v>
      </c>
      <c r="CX68">
        <v>2.6309</v>
      </c>
      <c r="CY68">
        <v>2.1598600000000001</v>
      </c>
      <c r="CZ68">
        <v>0</v>
      </c>
      <c r="DA68">
        <v>0</v>
      </c>
      <c r="DB68">
        <v>999.9</v>
      </c>
      <c r="DC68">
        <v>999.9</v>
      </c>
      <c r="DD68">
        <v>72.165000000000006</v>
      </c>
      <c r="DE68">
        <v>24.31</v>
      </c>
      <c r="DF68">
        <v>21.993300000000001</v>
      </c>
      <c r="DG68">
        <v>30.450099999999999</v>
      </c>
      <c r="DH68">
        <v>17.395800000000001</v>
      </c>
      <c r="DI68">
        <v>2</v>
      </c>
      <c r="DJ68">
        <v>-0.16227</v>
      </c>
      <c r="DK68">
        <v>1.69719</v>
      </c>
      <c r="DL68">
        <v>20.236799999999999</v>
      </c>
      <c r="DM68">
        <v>5.2521500000000003</v>
      </c>
      <c r="DN68">
        <v>12.033899999999999</v>
      </c>
      <c r="DO68">
        <v>4.9676400000000003</v>
      </c>
      <c r="DP68">
        <v>3.2909999999999999</v>
      </c>
      <c r="DQ68">
        <v>9999</v>
      </c>
      <c r="DR68">
        <v>9999</v>
      </c>
      <c r="DS68">
        <v>534.20000000000005</v>
      </c>
      <c r="DT68">
        <v>9999</v>
      </c>
      <c r="DU68">
        <v>1.8709800000000001</v>
      </c>
      <c r="DV68">
        <v>1.8760600000000001</v>
      </c>
      <c r="DW68">
        <v>1.87622</v>
      </c>
      <c r="DX68">
        <v>1.8827400000000001</v>
      </c>
      <c r="DY68">
        <v>1.87548</v>
      </c>
      <c r="DZ68">
        <v>1.8745400000000001</v>
      </c>
      <c r="EA68">
        <v>1.8707100000000001</v>
      </c>
      <c r="EB68">
        <v>1.8745400000000001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-1.109</v>
      </c>
      <c r="EQ68">
        <v>0.152</v>
      </c>
      <c r="ER68">
        <v>-1.10929999999996</v>
      </c>
      <c r="ES68">
        <v>0</v>
      </c>
      <c r="ET68">
        <v>0</v>
      </c>
      <c r="EU68">
        <v>0</v>
      </c>
      <c r="EV68">
        <v>0.15201999999999699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3</v>
      </c>
      <c r="FE68">
        <v>3.1</v>
      </c>
      <c r="FF68">
        <v>1.23047</v>
      </c>
      <c r="FG68">
        <v>2.5500500000000001</v>
      </c>
      <c r="FH68">
        <v>2.19604</v>
      </c>
      <c r="FI68">
        <v>2.66235</v>
      </c>
      <c r="FJ68">
        <v>2.4462899999999999</v>
      </c>
      <c r="FK68">
        <v>2.2753899999999998</v>
      </c>
      <c r="FL68">
        <v>29.793700000000001</v>
      </c>
      <c r="FM68">
        <v>24.157499999999999</v>
      </c>
      <c r="FN68">
        <v>19</v>
      </c>
      <c r="FO68">
        <v>863.57899999999995</v>
      </c>
      <c r="FP68">
        <v>592.87099999999998</v>
      </c>
      <c r="FQ68">
        <v>18.587199999999999</v>
      </c>
      <c r="FR68">
        <v>24.957799999999999</v>
      </c>
      <c r="FS68">
        <v>30.000299999999999</v>
      </c>
      <c r="FT68">
        <v>24.9285</v>
      </c>
      <c r="FU68">
        <v>24.929400000000001</v>
      </c>
      <c r="FV68">
        <v>24.712700000000002</v>
      </c>
      <c r="FW68">
        <v>36.079599999999999</v>
      </c>
      <c r="FX68">
        <v>46.596600000000002</v>
      </c>
      <c r="FY68">
        <v>18.584199999999999</v>
      </c>
      <c r="FZ68">
        <v>410</v>
      </c>
      <c r="GA68">
        <v>14.8483</v>
      </c>
      <c r="GB68">
        <v>99.882300000000001</v>
      </c>
      <c r="GC68">
        <v>99.490700000000004</v>
      </c>
    </row>
    <row r="69" spans="1:185" x14ac:dyDescent="0.2">
      <c r="A69">
        <v>54</v>
      </c>
      <c r="B69">
        <v>1769183790.0999999</v>
      </c>
      <c r="C69">
        <v>927.09999990463302</v>
      </c>
      <c r="D69" t="s">
        <v>402</v>
      </c>
      <c r="E69" t="s">
        <v>403</v>
      </c>
      <c r="F69">
        <v>15</v>
      </c>
      <c r="G69">
        <v>1769183782.03333</v>
      </c>
      <c r="H69">
        <f t="shared" si="0"/>
        <v>4.4769529307910598E-4</v>
      </c>
      <c r="I69">
        <v>0</v>
      </c>
      <c r="J69">
        <f t="shared" si="12"/>
        <v>-1.167292407961938E-3</v>
      </c>
      <c r="K69">
        <f t="shared" si="1"/>
        <v>-3.0571004896693951E-2</v>
      </c>
      <c r="L69">
        <f t="shared" si="2"/>
        <v>69.668091997816489</v>
      </c>
      <c r="M69">
        <f t="shared" si="3"/>
        <v>1.5368249377830683</v>
      </c>
      <c r="N69">
        <f t="shared" si="4"/>
        <v>2.2059236785632583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26235.938985525274</v>
      </c>
      <c r="T69">
        <f t="shared" si="8"/>
        <v>100.000266666667</v>
      </c>
      <c r="U69">
        <f t="shared" si="9"/>
        <v>84.299836598965072</v>
      </c>
      <c r="V69">
        <f t="shared" si="10"/>
        <v>0.84299611799999996</v>
      </c>
      <c r="W69">
        <f t="shared" si="11"/>
        <v>0.15868990524000001</v>
      </c>
      <c r="X69">
        <v>1</v>
      </c>
      <c r="Y69">
        <v>1769183782.03333</v>
      </c>
      <c r="Z69">
        <v>409.82799999999997</v>
      </c>
      <c r="AA69">
        <v>410.019133333333</v>
      </c>
      <c r="AB69">
        <v>15.339646666666701</v>
      </c>
      <c r="AC69">
        <v>14.7886133333333</v>
      </c>
      <c r="AD69">
        <v>410.93740000000003</v>
      </c>
      <c r="AE69">
        <v>15.1876266666667</v>
      </c>
      <c r="AF69">
        <v>800.00206666666702</v>
      </c>
      <c r="AG69">
        <v>100.1206</v>
      </c>
      <c r="AH69">
        <v>6.5862646666666705E-2</v>
      </c>
      <c r="AI69">
        <v>19.005400000000002</v>
      </c>
      <c r="AJ69">
        <v>999.9</v>
      </c>
      <c r="AK69">
        <v>999.9</v>
      </c>
      <c r="AL69">
        <v>0</v>
      </c>
      <c r="AM69">
        <v>0</v>
      </c>
      <c r="AN69">
        <v>4997.1333333333296</v>
      </c>
      <c r="AO69">
        <v>0</v>
      </c>
      <c r="AP69">
        <v>2.0054539999999998</v>
      </c>
      <c r="AQ69">
        <v>-0.19110513333333301</v>
      </c>
      <c r="AR69">
        <v>416.212533333333</v>
      </c>
      <c r="AS69">
        <v>416.17380000000003</v>
      </c>
      <c r="AT69">
        <v>0.55104493333333304</v>
      </c>
      <c r="AU69">
        <v>410.019133333333</v>
      </c>
      <c r="AV69">
        <v>14.7886133333333</v>
      </c>
      <c r="AW69">
        <v>1.53581533333333</v>
      </c>
      <c r="AX69">
        <v>1.48064333333333</v>
      </c>
      <c r="AY69">
        <v>13.3294533333333</v>
      </c>
      <c r="AZ69">
        <v>12.769740000000001</v>
      </c>
      <c r="BA69">
        <v>100.000266666667</v>
      </c>
      <c r="BB69">
        <v>0.90013520000000002</v>
      </c>
      <c r="BC69">
        <v>0</v>
      </c>
      <c r="BD69">
        <v>9.9864999999999995E-2</v>
      </c>
      <c r="BE69">
        <v>0</v>
      </c>
      <c r="BF69">
        <v>25</v>
      </c>
      <c r="BG69">
        <v>1648.95066666667</v>
      </c>
      <c r="BH69">
        <v>1769183593.0999999</v>
      </c>
      <c r="BI69" t="s">
        <v>375</v>
      </c>
      <c r="BJ69">
        <v>1769183593.0999999</v>
      </c>
      <c r="BK69">
        <v>1769183589.0999999</v>
      </c>
      <c r="BL69">
        <v>2</v>
      </c>
      <c r="BM69">
        <v>9.6000000000000002E-2</v>
      </c>
      <c r="BN69">
        <v>2.3E-2</v>
      </c>
      <c r="BO69">
        <v>-1.109</v>
      </c>
      <c r="BP69">
        <v>0.152</v>
      </c>
      <c r="BQ69">
        <v>410</v>
      </c>
      <c r="BR69">
        <v>16</v>
      </c>
      <c r="BS69">
        <v>0.26</v>
      </c>
      <c r="BT69">
        <v>7.0000000000000007E-2</v>
      </c>
      <c r="BU69">
        <v>-0.188280380952381</v>
      </c>
      <c r="BV69">
        <v>-7.4597454545454495E-2</v>
      </c>
      <c r="BW69">
        <v>2.1207525244538401E-2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0.55070138095238097</v>
      </c>
      <c r="CD69">
        <v>5.9781038961045198E-3</v>
      </c>
      <c r="CE69">
        <v>1.5800850030236E-3</v>
      </c>
      <c r="CF69">
        <v>1</v>
      </c>
      <c r="CG69">
        <v>2</v>
      </c>
      <c r="CH69">
        <v>2</v>
      </c>
      <c r="CI69" t="s">
        <v>310</v>
      </c>
      <c r="CJ69">
        <v>3.5325600000000001</v>
      </c>
      <c r="CK69">
        <v>2.7039800000000001</v>
      </c>
      <c r="CL69">
        <v>9.8127000000000006E-2</v>
      </c>
      <c r="CM69">
        <v>9.6750699999999995E-2</v>
      </c>
      <c r="CN69">
        <v>8.6722599999999997E-2</v>
      </c>
      <c r="CO69">
        <v>8.3752199999999999E-2</v>
      </c>
      <c r="CP69">
        <v>31635.9</v>
      </c>
      <c r="CQ69">
        <v>27756.7</v>
      </c>
      <c r="CR69">
        <v>32463.9</v>
      </c>
      <c r="CS69">
        <v>30654.6</v>
      </c>
      <c r="CT69">
        <v>40134.199999999997</v>
      </c>
      <c r="CU69">
        <v>39479.199999999997</v>
      </c>
      <c r="CV69">
        <v>47397.5</v>
      </c>
      <c r="CW69">
        <v>46730.2</v>
      </c>
      <c r="CX69">
        <v>2.6309999999999998</v>
      </c>
      <c r="CY69">
        <v>2.1596199999999999</v>
      </c>
      <c r="CZ69">
        <v>0</v>
      </c>
      <c r="DA69">
        <v>0</v>
      </c>
      <c r="DB69">
        <v>999.9</v>
      </c>
      <c r="DC69">
        <v>999.9</v>
      </c>
      <c r="DD69">
        <v>72.061000000000007</v>
      </c>
      <c r="DE69">
        <v>24.33</v>
      </c>
      <c r="DF69">
        <v>21.988700000000001</v>
      </c>
      <c r="DG69">
        <v>30.540099999999999</v>
      </c>
      <c r="DH69">
        <v>17.415900000000001</v>
      </c>
      <c r="DI69">
        <v>2</v>
      </c>
      <c r="DJ69">
        <v>-0.161079</v>
      </c>
      <c r="DK69">
        <v>1.9643900000000001</v>
      </c>
      <c r="DL69">
        <v>20.2331</v>
      </c>
      <c r="DM69">
        <v>5.2521500000000003</v>
      </c>
      <c r="DN69">
        <v>12.033899999999999</v>
      </c>
      <c r="DO69">
        <v>4.9677600000000002</v>
      </c>
      <c r="DP69">
        <v>3.2909999999999999</v>
      </c>
      <c r="DQ69">
        <v>9999</v>
      </c>
      <c r="DR69">
        <v>9999</v>
      </c>
      <c r="DS69">
        <v>534.20000000000005</v>
      </c>
      <c r="DT69">
        <v>9999</v>
      </c>
      <c r="DU69">
        <v>1.8709100000000001</v>
      </c>
      <c r="DV69">
        <v>1.8760600000000001</v>
      </c>
      <c r="DW69">
        <v>1.8762000000000001</v>
      </c>
      <c r="DX69">
        <v>1.88273</v>
      </c>
      <c r="DY69">
        <v>1.8754599999999999</v>
      </c>
      <c r="DZ69">
        <v>1.8745400000000001</v>
      </c>
      <c r="EA69">
        <v>1.87069</v>
      </c>
      <c r="EB69">
        <v>1.8745400000000001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-1.109</v>
      </c>
      <c r="EQ69">
        <v>0.152</v>
      </c>
      <c r="ER69">
        <v>-1.10929999999996</v>
      </c>
      <c r="ES69">
        <v>0</v>
      </c>
      <c r="ET69">
        <v>0</v>
      </c>
      <c r="EU69">
        <v>0</v>
      </c>
      <c r="EV69">
        <v>0.15201999999999699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3.3</v>
      </c>
      <c r="FE69">
        <v>3.4</v>
      </c>
      <c r="FF69">
        <v>1.23047</v>
      </c>
      <c r="FG69">
        <v>2.5488300000000002</v>
      </c>
      <c r="FH69">
        <v>2.19604</v>
      </c>
      <c r="FI69">
        <v>2.66235</v>
      </c>
      <c r="FJ69">
        <v>2.4462899999999999</v>
      </c>
      <c r="FK69">
        <v>2.2875999999999999</v>
      </c>
      <c r="FL69">
        <v>29.815100000000001</v>
      </c>
      <c r="FM69">
        <v>24.157499999999999</v>
      </c>
      <c r="FN69">
        <v>19</v>
      </c>
      <c r="FO69">
        <v>863.76599999999996</v>
      </c>
      <c r="FP69">
        <v>592.75</v>
      </c>
      <c r="FQ69">
        <v>18.412600000000001</v>
      </c>
      <c r="FR69">
        <v>24.9633</v>
      </c>
      <c r="FS69">
        <v>30</v>
      </c>
      <c r="FT69">
        <v>24.9344</v>
      </c>
      <c r="FU69">
        <v>24.935300000000002</v>
      </c>
      <c r="FV69">
        <v>24.712599999999998</v>
      </c>
      <c r="FW69">
        <v>35.804299999999998</v>
      </c>
      <c r="FX69">
        <v>46.220599999999997</v>
      </c>
      <c r="FY69">
        <v>18.424499999999998</v>
      </c>
      <c r="FZ69">
        <v>410</v>
      </c>
      <c r="GA69">
        <v>14.8634</v>
      </c>
      <c r="GB69">
        <v>99.884699999999995</v>
      </c>
      <c r="GC69">
        <v>99.494699999999995</v>
      </c>
    </row>
    <row r="70" spans="1:185" x14ac:dyDescent="0.2">
      <c r="A70">
        <v>55</v>
      </c>
      <c r="B70">
        <v>1769183805.0999999</v>
      </c>
      <c r="C70">
        <v>942.09999990463302</v>
      </c>
      <c r="D70" t="s">
        <v>404</v>
      </c>
      <c r="E70" t="s">
        <v>405</v>
      </c>
      <c r="F70">
        <v>15</v>
      </c>
      <c r="G70">
        <v>1769183797.03333</v>
      </c>
      <c r="H70">
        <f t="shared" si="0"/>
        <v>4.0999535484628286E-4</v>
      </c>
      <c r="I70">
        <v>0</v>
      </c>
      <c r="J70">
        <f t="shared" si="12"/>
        <v>-1.5097494027640579E-3</v>
      </c>
      <c r="K70">
        <f t="shared" si="1"/>
        <v>-3.9539841148513451E-2</v>
      </c>
      <c r="L70">
        <f t="shared" si="2"/>
        <v>69.711206627353306</v>
      </c>
      <c r="M70">
        <f t="shared" si="3"/>
        <v>1.5372067577676733</v>
      </c>
      <c r="N70">
        <f t="shared" si="4"/>
        <v>2.2051070869923857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26275.842620482039</v>
      </c>
      <c r="T70">
        <f t="shared" si="8"/>
        <v>100.00039333333299</v>
      </c>
      <c r="U70">
        <f t="shared" si="9"/>
        <v>84.29992937841773</v>
      </c>
      <c r="V70">
        <f t="shared" si="10"/>
        <v>0.84299597800000003</v>
      </c>
      <c r="W70">
        <f t="shared" si="11"/>
        <v>0.15868981508000002</v>
      </c>
      <c r="X70">
        <v>1</v>
      </c>
      <c r="Y70">
        <v>1769183797.03333</v>
      </c>
      <c r="Z70">
        <v>409.81166666666701</v>
      </c>
      <c r="AA70">
        <v>409.972266666667</v>
      </c>
      <c r="AB70">
        <v>15.343486666666699</v>
      </c>
      <c r="AC70">
        <v>14.83886</v>
      </c>
      <c r="AD70">
        <v>410.921066666667</v>
      </c>
      <c r="AE70">
        <v>15.191473333333301</v>
      </c>
      <c r="AF70">
        <v>800.00646666666705</v>
      </c>
      <c r="AG70">
        <v>100.12026666666701</v>
      </c>
      <c r="AH70">
        <v>6.6007233333333304E-2</v>
      </c>
      <c r="AI70">
        <v>18.999466666666699</v>
      </c>
      <c r="AJ70">
        <v>999.9</v>
      </c>
      <c r="AK70">
        <v>999.9</v>
      </c>
      <c r="AL70">
        <v>0</v>
      </c>
      <c r="AM70">
        <v>0</v>
      </c>
      <c r="AN70">
        <v>5003.6333333333296</v>
      </c>
      <c r="AO70">
        <v>0</v>
      </c>
      <c r="AP70">
        <v>1.98889266666667</v>
      </c>
      <c r="AQ70">
        <v>-0.16042673333333299</v>
      </c>
      <c r="AR70">
        <v>416.19773333333302</v>
      </c>
      <c r="AS70">
        <v>416.1472</v>
      </c>
      <c r="AT70">
        <v>0.50463846666666701</v>
      </c>
      <c r="AU70">
        <v>409.972266666667</v>
      </c>
      <c r="AV70">
        <v>14.83886</v>
      </c>
      <c r="AW70">
        <v>1.5361940000000001</v>
      </c>
      <c r="AX70">
        <v>1.48567</v>
      </c>
      <c r="AY70">
        <v>13.3332333333333</v>
      </c>
      <c r="AZ70">
        <v>12.8214466666667</v>
      </c>
      <c r="BA70">
        <v>100.00039333333299</v>
      </c>
      <c r="BB70">
        <v>0.90013600000000005</v>
      </c>
      <c r="BC70">
        <v>0</v>
      </c>
      <c r="BD70">
        <v>9.9864066666666695E-2</v>
      </c>
      <c r="BE70">
        <v>0</v>
      </c>
      <c r="BF70">
        <v>25</v>
      </c>
      <c r="BG70">
        <v>1648.95266666667</v>
      </c>
      <c r="BH70">
        <v>1769183593.0999999</v>
      </c>
      <c r="BI70" t="s">
        <v>375</v>
      </c>
      <c r="BJ70">
        <v>1769183593.0999999</v>
      </c>
      <c r="BK70">
        <v>1769183589.0999999</v>
      </c>
      <c r="BL70">
        <v>2</v>
      </c>
      <c r="BM70">
        <v>9.6000000000000002E-2</v>
      </c>
      <c r="BN70">
        <v>2.3E-2</v>
      </c>
      <c r="BO70">
        <v>-1.109</v>
      </c>
      <c r="BP70">
        <v>0.152</v>
      </c>
      <c r="BQ70">
        <v>410</v>
      </c>
      <c r="BR70">
        <v>16</v>
      </c>
      <c r="BS70">
        <v>0.26</v>
      </c>
      <c r="BT70">
        <v>7.0000000000000007E-2</v>
      </c>
      <c r="BU70">
        <v>-0.16910395</v>
      </c>
      <c r="BV70">
        <v>1.7421879699248199E-2</v>
      </c>
      <c r="BW70">
        <v>3.2869673172203899E-2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0.51618615000000001</v>
      </c>
      <c r="CD70">
        <v>-0.23385288721804501</v>
      </c>
      <c r="CE70">
        <v>2.6794614653461599E-2</v>
      </c>
      <c r="CF70">
        <v>0</v>
      </c>
      <c r="CG70">
        <v>1</v>
      </c>
      <c r="CH70">
        <v>2</v>
      </c>
      <c r="CI70" t="s">
        <v>301</v>
      </c>
      <c r="CJ70">
        <v>3.5325099999999998</v>
      </c>
      <c r="CK70">
        <v>2.7036699999999998</v>
      </c>
      <c r="CL70">
        <v>9.8125299999999999E-2</v>
      </c>
      <c r="CM70">
        <v>9.6754699999999999E-2</v>
      </c>
      <c r="CN70">
        <v>8.6824399999999996E-2</v>
      </c>
      <c r="CO70">
        <v>8.4037500000000001E-2</v>
      </c>
      <c r="CP70">
        <v>31635.1</v>
      </c>
      <c r="CQ70">
        <v>27756.7</v>
      </c>
      <c r="CR70">
        <v>32463</v>
      </c>
      <c r="CS70">
        <v>30654.7</v>
      </c>
      <c r="CT70">
        <v>40128.5</v>
      </c>
      <c r="CU70">
        <v>39467.1</v>
      </c>
      <c r="CV70">
        <v>47396.3</v>
      </c>
      <c r="CW70">
        <v>46730.9</v>
      </c>
      <c r="CX70">
        <v>2.6307399999999999</v>
      </c>
      <c r="CY70">
        <v>2.1591800000000001</v>
      </c>
      <c r="CZ70">
        <v>0</v>
      </c>
      <c r="DA70">
        <v>0</v>
      </c>
      <c r="DB70">
        <v>999.9</v>
      </c>
      <c r="DC70">
        <v>999.9</v>
      </c>
      <c r="DD70">
        <v>71.92</v>
      </c>
      <c r="DE70">
        <v>24.36</v>
      </c>
      <c r="DF70">
        <v>21.982900000000001</v>
      </c>
      <c r="DG70">
        <v>30.4801</v>
      </c>
      <c r="DH70">
        <v>17.451899999999998</v>
      </c>
      <c r="DI70">
        <v>2</v>
      </c>
      <c r="DJ70">
        <v>-0.161051</v>
      </c>
      <c r="DK70">
        <v>1.84581</v>
      </c>
      <c r="DL70">
        <v>20.2347</v>
      </c>
      <c r="DM70">
        <v>5.2519099999999996</v>
      </c>
      <c r="DN70">
        <v>12.033899999999999</v>
      </c>
      <c r="DO70">
        <v>4.9676</v>
      </c>
      <c r="DP70">
        <v>3.2909999999999999</v>
      </c>
      <c r="DQ70">
        <v>9999</v>
      </c>
      <c r="DR70">
        <v>9999</v>
      </c>
      <c r="DS70">
        <v>534.20000000000005</v>
      </c>
      <c r="DT70">
        <v>9999</v>
      </c>
      <c r="DU70">
        <v>1.87093</v>
      </c>
      <c r="DV70">
        <v>1.8760600000000001</v>
      </c>
      <c r="DW70">
        <v>1.8762000000000001</v>
      </c>
      <c r="DX70">
        <v>1.8827499999999999</v>
      </c>
      <c r="DY70">
        <v>1.87547</v>
      </c>
      <c r="DZ70">
        <v>1.8745400000000001</v>
      </c>
      <c r="EA70">
        <v>1.8707199999999999</v>
      </c>
      <c r="EB70">
        <v>1.8745400000000001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-1.109</v>
      </c>
      <c r="EQ70">
        <v>0.152</v>
      </c>
      <c r="ER70">
        <v>-1.10929999999996</v>
      </c>
      <c r="ES70">
        <v>0</v>
      </c>
      <c r="ET70">
        <v>0</v>
      </c>
      <c r="EU70">
        <v>0</v>
      </c>
      <c r="EV70">
        <v>0.15201999999999699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3.5</v>
      </c>
      <c r="FE70">
        <v>3.6</v>
      </c>
      <c r="FF70">
        <v>1.23169</v>
      </c>
      <c r="FG70">
        <v>2.5463900000000002</v>
      </c>
      <c r="FH70">
        <v>2.19604</v>
      </c>
      <c r="FI70">
        <v>2.66235</v>
      </c>
      <c r="FJ70">
        <v>2.4462899999999999</v>
      </c>
      <c r="FK70">
        <v>2.3046899999999999</v>
      </c>
      <c r="FL70">
        <v>29.836400000000001</v>
      </c>
      <c r="FM70">
        <v>24.157499999999999</v>
      </c>
      <c r="FN70">
        <v>19</v>
      </c>
      <c r="FO70">
        <v>863.62</v>
      </c>
      <c r="FP70">
        <v>592.46900000000005</v>
      </c>
      <c r="FQ70">
        <v>18.418900000000001</v>
      </c>
      <c r="FR70">
        <v>24.9682</v>
      </c>
      <c r="FS70">
        <v>30</v>
      </c>
      <c r="FT70">
        <v>24.940100000000001</v>
      </c>
      <c r="FU70">
        <v>24.9407</v>
      </c>
      <c r="FV70">
        <v>24.7151</v>
      </c>
      <c r="FW70">
        <v>35.804299999999998</v>
      </c>
      <c r="FX70">
        <v>45.846200000000003</v>
      </c>
      <c r="FY70">
        <v>18.425699999999999</v>
      </c>
      <c r="FZ70">
        <v>410</v>
      </c>
      <c r="GA70">
        <v>14.8543</v>
      </c>
      <c r="GB70">
        <v>99.882000000000005</v>
      </c>
      <c r="GC70">
        <v>99.495800000000003</v>
      </c>
    </row>
    <row r="71" spans="1:185" x14ac:dyDescent="0.2">
      <c r="A71">
        <v>56</v>
      </c>
      <c r="B71">
        <v>1769183820.0999999</v>
      </c>
      <c r="C71">
        <v>957.09999990463302</v>
      </c>
      <c r="D71" t="s">
        <v>406</v>
      </c>
      <c r="E71" t="s">
        <v>407</v>
      </c>
      <c r="F71">
        <v>15</v>
      </c>
      <c r="G71">
        <v>1769183812.03333</v>
      </c>
      <c r="H71">
        <f t="shared" si="0"/>
        <v>4.178090907083023E-4</v>
      </c>
      <c r="I71">
        <v>0</v>
      </c>
      <c r="J71">
        <f t="shared" si="12"/>
        <v>-9.5797095324429268E-4</v>
      </c>
      <c r="K71">
        <f t="shared" si="1"/>
        <v>-2.508894472607311E-2</v>
      </c>
      <c r="L71">
        <f t="shared" si="2"/>
        <v>69.821380405776395</v>
      </c>
      <c r="M71">
        <f t="shared" si="3"/>
        <v>1.5393012474504459</v>
      </c>
      <c r="N71">
        <f t="shared" si="4"/>
        <v>2.2046273483918375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26245.996753114821</v>
      </c>
      <c r="T71">
        <f t="shared" si="8"/>
        <v>100.00082</v>
      </c>
      <c r="U71">
        <f t="shared" si="9"/>
        <v>84.300277596607955</v>
      </c>
      <c r="V71">
        <f t="shared" si="10"/>
        <v>0.84299586339999966</v>
      </c>
      <c r="W71">
        <f t="shared" si="11"/>
        <v>0.15868974944399994</v>
      </c>
      <c r="X71">
        <v>1</v>
      </c>
      <c r="Y71">
        <v>1769183812.03333</v>
      </c>
      <c r="Z71">
        <v>409.81246666666698</v>
      </c>
      <c r="AA71">
        <v>409.995133333333</v>
      </c>
      <c r="AB71">
        <v>15.3642866666667</v>
      </c>
      <c r="AC71">
        <v>14.8500533333333</v>
      </c>
      <c r="AD71">
        <v>410.92173333333301</v>
      </c>
      <c r="AE71">
        <v>15.2122666666667</v>
      </c>
      <c r="AF71">
        <v>800.00599999999997</v>
      </c>
      <c r="AG71">
        <v>100.121</v>
      </c>
      <c r="AH71">
        <v>6.5964800000000004E-2</v>
      </c>
      <c r="AI71">
        <v>18.995979999999999</v>
      </c>
      <c r="AJ71">
        <v>999.9</v>
      </c>
      <c r="AK71">
        <v>999.9</v>
      </c>
      <c r="AL71">
        <v>0</v>
      </c>
      <c r="AM71">
        <v>0</v>
      </c>
      <c r="AN71">
        <v>4998.6333333333296</v>
      </c>
      <c r="AO71">
        <v>0</v>
      </c>
      <c r="AP71">
        <v>1.97834933333333</v>
      </c>
      <c r="AQ71">
        <v>-0.182755466666667</v>
      </c>
      <c r="AR71">
        <v>416.207066666667</v>
      </c>
      <c r="AS71">
        <v>416.17546666666698</v>
      </c>
      <c r="AT71">
        <v>0.51423693333333298</v>
      </c>
      <c r="AU71">
        <v>409.995133333333</v>
      </c>
      <c r="AV71">
        <v>14.8500533333333</v>
      </c>
      <c r="AW71">
        <v>1.5382880000000001</v>
      </c>
      <c r="AX71">
        <v>1.4868033333333299</v>
      </c>
      <c r="AY71">
        <v>13.35416</v>
      </c>
      <c r="AZ71">
        <v>12.833133333333301</v>
      </c>
      <c r="BA71">
        <v>100.00082</v>
      </c>
      <c r="BB71">
        <v>0.90013653333333299</v>
      </c>
      <c r="BC71">
        <v>0</v>
      </c>
      <c r="BD71">
        <v>9.9863419999999994E-2</v>
      </c>
      <c r="BE71">
        <v>0</v>
      </c>
      <c r="BF71">
        <v>25</v>
      </c>
      <c r="BG71">
        <v>1648.9580000000001</v>
      </c>
      <c r="BH71">
        <v>1769183593.0999999</v>
      </c>
      <c r="BI71" t="s">
        <v>375</v>
      </c>
      <c r="BJ71">
        <v>1769183593.0999999</v>
      </c>
      <c r="BK71">
        <v>1769183589.0999999</v>
      </c>
      <c r="BL71">
        <v>2</v>
      </c>
      <c r="BM71">
        <v>9.6000000000000002E-2</v>
      </c>
      <c r="BN71">
        <v>2.3E-2</v>
      </c>
      <c r="BO71">
        <v>-1.109</v>
      </c>
      <c r="BP71">
        <v>0.152</v>
      </c>
      <c r="BQ71">
        <v>410</v>
      </c>
      <c r="BR71">
        <v>16</v>
      </c>
      <c r="BS71">
        <v>0.26</v>
      </c>
      <c r="BT71">
        <v>7.0000000000000007E-2</v>
      </c>
      <c r="BU71">
        <v>-0.18534190476190501</v>
      </c>
      <c r="BV71">
        <v>0.10282651948052</v>
      </c>
      <c r="BW71">
        <v>2.2709918353221299E-2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0.50932133333333296</v>
      </c>
      <c r="CD71">
        <v>9.4065038961040001E-2</v>
      </c>
      <c r="CE71">
        <v>9.75561615702333E-3</v>
      </c>
      <c r="CF71">
        <v>1</v>
      </c>
      <c r="CG71">
        <v>2</v>
      </c>
      <c r="CH71">
        <v>2</v>
      </c>
      <c r="CI71" t="s">
        <v>310</v>
      </c>
      <c r="CJ71">
        <v>3.5325299999999999</v>
      </c>
      <c r="CK71">
        <v>2.70357</v>
      </c>
      <c r="CL71">
        <v>9.8125599999999993E-2</v>
      </c>
      <c r="CM71">
        <v>9.6752900000000003E-2</v>
      </c>
      <c r="CN71">
        <v>8.6867700000000006E-2</v>
      </c>
      <c r="CO71">
        <v>8.4007999999999999E-2</v>
      </c>
      <c r="CP71">
        <v>31635.3</v>
      </c>
      <c r="CQ71">
        <v>27756.9</v>
      </c>
      <c r="CR71">
        <v>32463.200000000001</v>
      </c>
      <c r="CS71">
        <v>30655</v>
      </c>
      <c r="CT71">
        <v>40126.6</v>
      </c>
      <c r="CU71">
        <v>39468.9</v>
      </c>
      <c r="CV71">
        <v>47396.3</v>
      </c>
      <c r="CW71">
        <v>46731.5</v>
      </c>
      <c r="CX71">
        <v>2.6307200000000002</v>
      </c>
      <c r="CY71">
        <v>2.1591800000000001</v>
      </c>
      <c r="CZ71">
        <v>0</v>
      </c>
      <c r="DA71">
        <v>0</v>
      </c>
      <c r="DB71">
        <v>999.9</v>
      </c>
      <c r="DC71">
        <v>999.9</v>
      </c>
      <c r="DD71">
        <v>71.804000000000002</v>
      </c>
      <c r="DE71">
        <v>24.37</v>
      </c>
      <c r="DF71">
        <v>21.9603</v>
      </c>
      <c r="DG71">
        <v>30.540099999999999</v>
      </c>
      <c r="DH71">
        <v>17.484000000000002</v>
      </c>
      <c r="DI71">
        <v>2</v>
      </c>
      <c r="DJ71">
        <v>-0.16075600000000001</v>
      </c>
      <c r="DK71">
        <v>1.8420000000000001</v>
      </c>
      <c r="DL71">
        <v>20.2347</v>
      </c>
      <c r="DM71">
        <v>5.2519099999999996</v>
      </c>
      <c r="DN71">
        <v>12.033899999999999</v>
      </c>
      <c r="DO71">
        <v>4.9676400000000003</v>
      </c>
      <c r="DP71">
        <v>3.2909999999999999</v>
      </c>
      <c r="DQ71">
        <v>9999</v>
      </c>
      <c r="DR71">
        <v>9999</v>
      </c>
      <c r="DS71">
        <v>534.20000000000005</v>
      </c>
      <c r="DT71">
        <v>9999</v>
      </c>
      <c r="DU71">
        <v>1.8709</v>
      </c>
      <c r="DV71">
        <v>1.87605</v>
      </c>
      <c r="DW71">
        <v>1.8762000000000001</v>
      </c>
      <c r="DX71">
        <v>1.8827100000000001</v>
      </c>
      <c r="DY71">
        <v>1.8754599999999999</v>
      </c>
      <c r="DZ71">
        <v>1.8745400000000001</v>
      </c>
      <c r="EA71">
        <v>1.8707</v>
      </c>
      <c r="EB71">
        <v>1.8745400000000001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-1.109</v>
      </c>
      <c r="EQ71">
        <v>0.152</v>
      </c>
      <c r="ER71">
        <v>-1.10929999999996</v>
      </c>
      <c r="ES71">
        <v>0</v>
      </c>
      <c r="ET71">
        <v>0</v>
      </c>
      <c r="EU71">
        <v>0</v>
      </c>
      <c r="EV71">
        <v>0.15201999999999699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3.8</v>
      </c>
      <c r="FE71">
        <v>3.9</v>
      </c>
      <c r="FF71">
        <v>1.23169</v>
      </c>
      <c r="FG71">
        <v>2.5500500000000001</v>
      </c>
      <c r="FH71">
        <v>2.19604</v>
      </c>
      <c r="FI71">
        <v>2.66235</v>
      </c>
      <c r="FJ71">
        <v>2.4462899999999999</v>
      </c>
      <c r="FK71">
        <v>2.3107899999999999</v>
      </c>
      <c r="FL71">
        <v>29.836400000000001</v>
      </c>
      <c r="FM71">
        <v>24.157499999999999</v>
      </c>
      <c r="FN71">
        <v>19</v>
      </c>
      <c r="FO71">
        <v>863.68299999999999</v>
      </c>
      <c r="FP71">
        <v>592.53200000000004</v>
      </c>
      <c r="FQ71">
        <v>18.432099999999998</v>
      </c>
      <c r="FR71">
        <v>24.9725</v>
      </c>
      <c r="FS71">
        <v>30.0002</v>
      </c>
      <c r="FT71">
        <v>24.9452</v>
      </c>
      <c r="FU71">
        <v>24.946200000000001</v>
      </c>
      <c r="FV71">
        <v>24.715299999999999</v>
      </c>
      <c r="FW71">
        <v>35.804299999999998</v>
      </c>
      <c r="FX71">
        <v>45.466500000000003</v>
      </c>
      <c r="FY71">
        <v>18.433299999999999</v>
      </c>
      <c r="FZ71">
        <v>410</v>
      </c>
      <c r="GA71">
        <v>14.8543</v>
      </c>
      <c r="GB71">
        <v>99.882300000000001</v>
      </c>
      <c r="GC71">
        <v>99.496899999999997</v>
      </c>
    </row>
    <row r="72" spans="1:185" x14ac:dyDescent="0.2">
      <c r="A72">
        <v>57</v>
      </c>
      <c r="B72">
        <v>1769183835.0999999</v>
      </c>
      <c r="C72">
        <v>972.09999990463302</v>
      </c>
      <c r="D72" t="s">
        <v>408</v>
      </c>
      <c r="E72" t="s">
        <v>409</v>
      </c>
      <c r="F72">
        <v>15</v>
      </c>
      <c r="G72">
        <v>1769183827.03333</v>
      </c>
      <c r="H72">
        <f t="shared" si="0"/>
        <v>4.3135127703420304E-4</v>
      </c>
      <c r="I72">
        <v>0</v>
      </c>
      <c r="J72">
        <f t="shared" si="12"/>
        <v>-8.0533743467291348E-4</v>
      </c>
      <c r="K72">
        <f t="shared" si="1"/>
        <v>-2.1091522990252645E-2</v>
      </c>
      <c r="L72">
        <f t="shared" si="2"/>
        <v>69.858064474388399</v>
      </c>
      <c r="M72">
        <f t="shared" si="3"/>
        <v>1.539949177464855</v>
      </c>
      <c r="N72">
        <f t="shared" si="4"/>
        <v>2.2043971430520184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26238.109178330003</v>
      </c>
      <c r="T72">
        <f t="shared" si="8"/>
        <v>99.999466666666706</v>
      </c>
      <c r="U72">
        <f t="shared" si="9"/>
        <v>84.299235321680428</v>
      </c>
      <c r="V72">
        <f t="shared" si="10"/>
        <v>0.84299684919999962</v>
      </c>
      <c r="W72">
        <f t="shared" si="11"/>
        <v>0.15869155135199997</v>
      </c>
      <c r="X72">
        <v>1</v>
      </c>
      <c r="Y72">
        <v>1769183827.03333</v>
      </c>
      <c r="Z72">
        <v>409.81433333333302</v>
      </c>
      <c r="AA72">
        <v>410.008933333333</v>
      </c>
      <c r="AB72">
        <v>15.370366666666699</v>
      </c>
      <c r="AC72">
        <v>14.8394733333333</v>
      </c>
      <c r="AD72">
        <v>410.92366666666697</v>
      </c>
      <c r="AE72">
        <v>15.2183333333333</v>
      </c>
      <c r="AF72">
        <v>800.01239999999996</v>
      </c>
      <c r="AG72">
        <v>100.123533333333</v>
      </c>
      <c r="AH72">
        <v>6.5955366666666695E-2</v>
      </c>
      <c r="AI72">
        <v>18.994306666666699</v>
      </c>
      <c r="AJ72">
        <v>999.9</v>
      </c>
      <c r="AK72">
        <v>999.9</v>
      </c>
      <c r="AL72">
        <v>0</v>
      </c>
      <c r="AM72">
        <v>0</v>
      </c>
      <c r="AN72">
        <v>4997.2</v>
      </c>
      <c r="AO72">
        <v>0</v>
      </c>
      <c r="AP72">
        <v>1.9760899999999999</v>
      </c>
      <c r="AQ72">
        <v>-0.19462886666666701</v>
      </c>
      <c r="AR72">
        <v>416.21166666666699</v>
      </c>
      <c r="AS72">
        <v>416.18493333333299</v>
      </c>
      <c r="AT72">
        <v>0.53090573333333302</v>
      </c>
      <c r="AU72">
        <v>410.008933333333</v>
      </c>
      <c r="AV72">
        <v>14.8394733333333</v>
      </c>
      <c r="AW72">
        <v>1.53893533333333</v>
      </c>
      <c r="AX72">
        <v>1.4857786666666699</v>
      </c>
      <c r="AY72">
        <v>13.360566666666699</v>
      </c>
      <c r="AZ72">
        <v>12.8225866666667</v>
      </c>
      <c r="BA72">
        <v>99.999466666666706</v>
      </c>
      <c r="BB72">
        <v>0.90011353333333299</v>
      </c>
      <c r="BC72">
        <v>0</v>
      </c>
      <c r="BD72">
        <v>9.9886760000000005E-2</v>
      </c>
      <c r="BE72">
        <v>0</v>
      </c>
      <c r="BF72">
        <v>25</v>
      </c>
      <c r="BG72">
        <v>1648.924</v>
      </c>
      <c r="BH72">
        <v>1769183593.0999999</v>
      </c>
      <c r="BI72" t="s">
        <v>375</v>
      </c>
      <c r="BJ72">
        <v>1769183593.0999999</v>
      </c>
      <c r="BK72">
        <v>1769183589.0999999</v>
      </c>
      <c r="BL72">
        <v>2</v>
      </c>
      <c r="BM72">
        <v>9.6000000000000002E-2</v>
      </c>
      <c r="BN72">
        <v>2.3E-2</v>
      </c>
      <c r="BO72">
        <v>-1.109</v>
      </c>
      <c r="BP72">
        <v>0.152</v>
      </c>
      <c r="BQ72">
        <v>410</v>
      </c>
      <c r="BR72">
        <v>16</v>
      </c>
      <c r="BS72">
        <v>0.26</v>
      </c>
      <c r="BT72">
        <v>7.0000000000000007E-2</v>
      </c>
      <c r="BU72">
        <v>-0.18912045</v>
      </c>
      <c r="BV72">
        <v>-0.100448887218045</v>
      </c>
      <c r="BW72">
        <v>1.7250084183780101E-2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0.52859274999999994</v>
      </c>
      <c r="CD72">
        <v>5.4473729323307497E-2</v>
      </c>
      <c r="CE72">
        <v>5.4618325667764598E-3</v>
      </c>
      <c r="CF72">
        <v>1</v>
      </c>
      <c r="CG72">
        <v>2</v>
      </c>
      <c r="CH72">
        <v>2</v>
      </c>
      <c r="CI72" t="s">
        <v>310</v>
      </c>
      <c r="CJ72">
        <v>3.5324900000000001</v>
      </c>
      <c r="CK72">
        <v>2.7036799999999999</v>
      </c>
      <c r="CL72">
        <v>9.8126900000000003E-2</v>
      </c>
      <c r="CM72">
        <v>9.6754599999999996E-2</v>
      </c>
      <c r="CN72">
        <v>8.6876599999999998E-2</v>
      </c>
      <c r="CO72">
        <v>8.3975300000000003E-2</v>
      </c>
      <c r="CP72">
        <v>31635.3</v>
      </c>
      <c r="CQ72">
        <v>27756.6</v>
      </c>
      <c r="CR72">
        <v>32463.3</v>
      </c>
      <c r="CS72">
        <v>30654.7</v>
      </c>
      <c r="CT72">
        <v>40126.5</v>
      </c>
      <c r="CU72">
        <v>39470</v>
      </c>
      <c r="CV72">
        <v>47396.6</v>
      </c>
      <c r="CW72">
        <v>46731.1</v>
      </c>
      <c r="CX72">
        <v>2.6303999999999998</v>
      </c>
      <c r="CY72">
        <v>2.15924</v>
      </c>
      <c r="CZ72">
        <v>0</v>
      </c>
      <c r="DA72">
        <v>0</v>
      </c>
      <c r="DB72">
        <v>999.9</v>
      </c>
      <c r="DC72">
        <v>999.9</v>
      </c>
      <c r="DD72">
        <v>71.706999999999994</v>
      </c>
      <c r="DE72">
        <v>24.38</v>
      </c>
      <c r="DF72">
        <v>21.9436</v>
      </c>
      <c r="DG72">
        <v>30.5701</v>
      </c>
      <c r="DH72">
        <v>17.4679</v>
      </c>
      <c r="DI72">
        <v>2</v>
      </c>
      <c r="DJ72">
        <v>-0.16059300000000001</v>
      </c>
      <c r="DK72">
        <v>1.8261499999999999</v>
      </c>
      <c r="DL72">
        <v>20.2347</v>
      </c>
      <c r="DM72">
        <v>5.2519099999999996</v>
      </c>
      <c r="DN72">
        <v>12.033899999999999</v>
      </c>
      <c r="DO72">
        <v>4.9675200000000004</v>
      </c>
      <c r="DP72">
        <v>3.2909999999999999</v>
      </c>
      <c r="DQ72">
        <v>9999</v>
      </c>
      <c r="DR72">
        <v>9999</v>
      </c>
      <c r="DS72">
        <v>534.20000000000005</v>
      </c>
      <c r="DT72">
        <v>9999</v>
      </c>
      <c r="DU72">
        <v>1.87096</v>
      </c>
      <c r="DV72">
        <v>1.8760600000000001</v>
      </c>
      <c r="DW72">
        <v>1.87622</v>
      </c>
      <c r="DX72">
        <v>1.8827499999999999</v>
      </c>
      <c r="DY72">
        <v>1.87548</v>
      </c>
      <c r="DZ72">
        <v>1.8745400000000001</v>
      </c>
      <c r="EA72">
        <v>1.87073</v>
      </c>
      <c r="EB72">
        <v>1.8745400000000001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-1.109</v>
      </c>
      <c r="EQ72">
        <v>0.152</v>
      </c>
      <c r="ER72">
        <v>-1.10929999999996</v>
      </c>
      <c r="ES72">
        <v>0</v>
      </c>
      <c r="ET72">
        <v>0</v>
      </c>
      <c r="EU72">
        <v>0</v>
      </c>
      <c r="EV72">
        <v>0.15201999999999699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4</v>
      </c>
      <c r="FE72">
        <v>4.0999999999999996</v>
      </c>
      <c r="FF72">
        <v>1.23169</v>
      </c>
      <c r="FG72">
        <v>2.5524900000000001</v>
      </c>
      <c r="FH72">
        <v>2.19604</v>
      </c>
      <c r="FI72">
        <v>2.66235</v>
      </c>
      <c r="FJ72">
        <v>2.4462899999999999</v>
      </c>
      <c r="FK72">
        <v>2.3107899999999999</v>
      </c>
      <c r="FL72">
        <v>29.836400000000001</v>
      </c>
      <c r="FM72">
        <v>24.1663</v>
      </c>
      <c r="FN72">
        <v>19</v>
      </c>
      <c r="FO72">
        <v>863.46799999999996</v>
      </c>
      <c r="FP72">
        <v>592.63300000000004</v>
      </c>
      <c r="FQ72">
        <v>18.442699999999999</v>
      </c>
      <c r="FR72">
        <v>24.9771</v>
      </c>
      <c r="FS72">
        <v>30.0002</v>
      </c>
      <c r="FT72">
        <v>24.950299999999999</v>
      </c>
      <c r="FU72">
        <v>24.950700000000001</v>
      </c>
      <c r="FV72">
        <v>24.715199999999999</v>
      </c>
      <c r="FW72">
        <v>35.804299999999998</v>
      </c>
      <c r="FX72">
        <v>44.723700000000001</v>
      </c>
      <c r="FY72">
        <v>18.444600000000001</v>
      </c>
      <c r="FZ72">
        <v>410</v>
      </c>
      <c r="GA72">
        <v>14.8543</v>
      </c>
      <c r="GB72">
        <v>99.882800000000003</v>
      </c>
      <c r="GC72">
        <v>99.495999999999995</v>
      </c>
    </row>
    <row r="73" spans="1:185" x14ac:dyDescent="0.2">
      <c r="A73">
        <v>58</v>
      </c>
      <c r="B73">
        <v>1769183850.0999999</v>
      </c>
      <c r="C73">
        <v>987.09999990463302</v>
      </c>
      <c r="D73" t="s">
        <v>410</v>
      </c>
      <c r="E73" t="s">
        <v>411</v>
      </c>
      <c r="F73">
        <v>15</v>
      </c>
      <c r="G73">
        <v>1769183842.03333</v>
      </c>
      <c r="H73">
        <f t="shared" si="0"/>
        <v>4.3596958035923655E-4</v>
      </c>
      <c r="I73">
        <v>0</v>
      </c>
      <c r="J73">
        <f t="shared" si="12"/>
        <v>-2.0693554787560814E-3</v>
      </c>
      <c r="K73">
        <f t="shared" si="1"/>
        <v>-5.4195740538145791E-2</v>
      </c>
      <c r="L73">
        <f t="shared" si="2"/>
        <v>69.838155444005309</v>
      </c>
      <c r="M73">
        <f t="shared" si="3"/>
        <v>1.539579478000509</v>
      </c>
      <c r="N73">
        <f t="shared" si="4"/>
        <v>2.2044961929656202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26275.893071673687</v>
      </c>
      <c r="T73">
        <f t="shared" si="8"/>
        <v>100.00155333333301</v>
      </c>
      <c r="U73">
        <f t="shared" si="9"/>
        <v>84.300962054603445</v>
      </c>
      <c r="V73">
        <f t="shared" si="10"/>
        <v>0.84299652599999997</v>
      </c>
      <c r="W73">
        <f t="shared" si="11"/>
        <v>0.158691315</v>
      </c>
      <c r="X73">
        <v>1</v>
      </c>
      <c r="Y73">
        <v>1769183842.03333</v>
      </c>
      <c r="Z73">
        <v>409.835933333333</v>
      </c>
      <c r="AA73">
        <v>409.991533333333</v>
      </c>
      <c r="AB73">
        <v>15.36656</v>
      </c>
      <c r="AC73">
        <v>14.829973333333299</v>
      </c>
      <c r="AD73">
        <v>410.9452</v>
      </c>
      <c r="AE73">
        <v>15.214553333333299</v>
      </c>
      <c r="AF73">
        <v>800.00166666666701</v>
      </c>
      <c r="AG73">
        <v>100.124333333333</v>
      </c>
      <c r="AH73">
        <v>6.5916013333333301E-2</v>
      </c>
      <c r="AI73">
        <v>18.9950266666667</v>
      </c>
      <c r="AJ73">
        <v>999.9</v>
      </c>
      <c r="AK73">
        <v>999.9</v>
      </c>
      <c r="AL73">
        <v>0</v>
      </c>
      <c r="AM73">
        <v>0</v>
      </c>
      <c r="AN73">
        <v>5003.3999999999996</v>
      </c>
      <c r="AO73">
        <v>0</v>
      </c>
      <c r="AP73">
        <v>1.9760899999999999</v>
      </c>
      <c r="AQ73">
        <v>-0.155745313333333</v>
      </c>
      <c r="AR73">
        <v>416.23186666666697</v>
      </c>
      <c r="AS73">
        <v>416.16326666666703</v>
      </c>
      <c r="AT73">
        <v>0.53659313333333303</v>
      </c>
      <c r="AU73">
        <v>409.991533333333</v>
      </c>
      <c r="AV73">
        <v>14.829973333333299</v>
      </c>
      <c r="AW73">
        <v>1.5385646666666699</v>
      </c>
      <c r="AX73">
        <v>1.484842</v>
      </c>
      <c r="AY73">
        <v>13.3569333333333</v>
      </c>
      <c r="AZ73">
        <v>12.812953333333301</v>
      </c>
      <c r="BA73">
        <v>100.00155333333301</v>
      </c>
      <c r="BB73">
        <v>0.90011580000000002</v>
      </c>
      <c r="BC73">
        <v>0</v>
      </c>
      <c r="BD73">
        <v>9.9884200000000006E-2</v>
      </c>
      <c r="BE73">
        <v>0</v>
      </c>
      <c r="BF73">
        <v>25</v>
      </c>
      <c r="BG73">
        <v>1648.96</v>
      </c>
      <c r="BH73">
        <v>1769183593.0999999</v>
      </c>
      <c r="BI73" t="s">
        <v>375</v>
      </c>
      <c r="BJ73">
        <v>1769183593.0999999</v>
      </c>
      <c r="BK73">
        <v>1769183589.0999999</v>
      </c>
      <c r="BL73">
        <v>2</v>
      </c>
      <c r="BM73">
        <v>9.6000000000000002E-2</v>
      </c>
      <c r="BN73">
        <v>2.3E-2</v>
      </c>
      <c r="BO73">
        <v>-1.109</v>
      </c>
      <c r="BP73">
        <v>0.152</v>
      </c>
      <c r="BQ73">
        <v>410</v>
      </c>
      <c r="BR73">
        <v>16</v>
      </c>
      <c r="BS73">
        <v>0.26</v>
      </c>
      <c r="BT73">
        <v>7.0000000000000007E-2</v>
      </c>
      <c r="BU73">
        <v>-0.1647207</v>
      </c>
      <c r="BV73">
        <v>0.108907535064935</v>
      </c>
      <c r="BW73">
        <v>4.31240254629984E-2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0.53603014285714301</v>
      </c>
      <c r="CD73">
        <v>7.2041298701300801E-3</v>
      </c>
      <c r="CE73">
        <v>1.4529594523138101E-3</v>
      </c>
      <c r="CF73">
        <v>1</v>
      </c>
      <c r="CG73">
        <v>2</v>
      </c>
      <c r="CH73">
        <v>2</v>
      </c>
      <c r="CI73" t="s">
        <v>310</v>
      </c>
      <c r="CJ73">
        <v>3.5325299999999999</v>
      </c>
      <c r="CK73">
        <v>2.7036899999999999</v>
      </c>
      <c r="CL73">
        <v>9.8126599999999994E-2</v>
      </c>
      <c r="CM73">
        <v>9.6743599999999999E-2</v>
      </c>
      <c r="CN73">
        <v>8.68424E-2</v>
      </c>
      <c r="CO73">
        <v>8.3924799999999994E-2</v>
      </c>
      <c r="CP73">
        <v>31635.8</v>
      </c>
      <c r="CQ73">
        <v>27757.9</v>
      </c>
      <c r="CR73">
        <v>32463.8</v>
      </c>
      <c r="CS73">
        <v>30655.8</v>
      </c>
      <c r="CT73">
        <v>40128.800000000003</v>
      </c>
      <c r="CU73">
        <v>39473.800000000003</v>
      </c>
      <c r="CV73">
        <v>47397.5</v>
      </c>
      <c r="CW73">
        <v>46732.9</v>
      </c>
      <c r="CX73">
        <v>2.6306400000000001</v>
      </c>
      <c r="CY73">
        <v>2.1588400000000001</v>
      </c>
      <c r="CZ73">
        <v>0</v>
      </c>
      <c r="DA73">
        <v>0</v>
      </c>
      <c r="DB73">
        <v>999.9</v>
      </c>
      <c r="DC73">
        <v>999.9</v>
      </c>
      <c r="DD73">
        <v>71.602999999999994</v>
      </c>
      <c r="DE73">
        <v>24.431000000000001</v>
      </c>
      <c r="DF73">
        <v>21.979299999999999</v>
      </c>
      <c r="DG73">
        <v>30.540099999999999</v>
      </c>
      <c r="DH73">
        <v>17.495999999999999</v>
      </c>
      <c r="DI73">
        <v>2</v>
      </c>
      <c r="DJ73">
        <v>-0.16037399999999999</v>
      </c>
      <c r="DK73">
        <v>1.8214600000000001</v>
      </c>
      <c r="DL73">
        <v>20.234999999999999</v>
      </c>
      <c r="DM73">
        <v>5.2508299999999997</v>
      </c>
      <c r="DN73">
        <v>12.033899999999999</v>
      </c>
      <c r="DO73">
        <v>4.96732</v>
      </c>
      <c r="DP73">
        <v>3.2909999999999999</v>
      </c>
      <c r="DQ73">
        <v>9999</v>
      </c>
      <c r="DR73">
        <v>9999</v>
      </c>
      <c r="DS73">
        <v>534.20000000000005</v>
      </c>
      <c r="DT73">
        <v>9999</v>
      </c>
      <c r="DU73">
        <v>1.8709</v>
      </c>
      <c r="DV73">
        <v>1.87605</v>
      </c>
      <c r="DW73">
        <v>1.8762000000000001</v>
      </c>
      <c r="DX73">
        <v>1.8827400000000001</v>
      </c>
      <c r="DY73">
        <v>1.8754599999999999</v>
      </c>
      <c r="DZ73">
        <v>1.8745400000000001</v>
      </c>
      <c r="EA73">
        <v>1.87069</v>
      </c>
      <c r="EB73">
        <v>1.8745400000000001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-1.1100000000000001</v>
      </c>
      <c r="EQ73">
        <v>0.15210000000000001</v>
      </c>
      <c r="ER73">
        <v>-1.10929999999996</v>
      </c>
      <c r="ES73">
        <v>0</v>
      </c>
      <c r="ET73">
        <v>0</v>
      </c>
      <c r="EU73">
        <v>0</v>
      </c>
      <c r="EV73">
        <v>0.15201999999999699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4.3</v>
      </c>
      <c r="FE73">
        <v>4.3</v>
      </c>
      <c r="FF73">
        <v>1.23169</v>
      </c>
      <c r="FG73">
        <v>2.5524900000000001</v>
      </c>
      <c r="FH73">
        <v>2.19604</v>
      </c>
      <c r="FI73">
        <v>2.66235</v>
      </c>
      <c r="FJ73">
        <v>2.4462899999999999</v>
      </c>
      <c r="FK73">
        <v>2.3022499999999999</v>
      </c>
      <c r="FL73">
        <v>29.879200000000001</v>
      </c>
      <c r="FM73">
        <v>24.1663</v>
      </c>
      <c r="FN73">
        <v>19</v>
      </c>
      <c r="FO73">
        <v>863.76499999999999</v>
      </c>
      <c r="FP73">
        <v>592.37800000000004</v>
      </c>
      <c r="FQ73">
        <v>18.454499999999999</v>
      </c>
      <c r="FR73">
        <v>24.981300000000001</v>
      </c>
      <c r="FS73">
        <v>30.0001</v>
      </c>
      <c r="FT73">
        <v>24.954899999999999</v>
      </c>
      <c r="FU73">
        <v>24.9558</v>
      </c>
      <c r="FV73">
        <v>24.715900000000001</v>
      </c>
      <c r="FW73">
        <v>35.804299999999998</v>
      </c>
      <c r="FX73">
        <v>44.347099999999998</v>
      </c>
      <c r="FY73">
        <v>18.4557</v>
      </c>
      <c r="FZ73">
        <v>410</v>
      </c>
      <c r="GA73">
        <v>14.8543</v>
      </c>
      <c r="GB73">
        <v>99.884600000000006</v>
      </c>
      <c r="GC73">
        <v>99.499700000000004</v>
      </c>
    </row>
    <row r="74" spans="1:185" x14ac:dyDescent="0.2">
      <c r="A74">
        <v>59</v>
      </c>
      <c r="B74">
        <v>1769183865.0999999</v>
      </c>
      <c r="C74">
        <v>1002.09999990463</v>
      </c>
      <c r="D74" t="s">
        <v>412</v>
      </c>
      <c r="E74" t="s">
        <v>413</v>
      </c>
      <c r="F74">
        <v>15</v>
      </c>
      <c r="G74">
        <v>1769183857.03333</v>
      </c>
      <c r="H74">
        <f t="shared" si="0"/>
        <v>4.3779772483107398E-4</v>
      </c>
      <c r="I74">
        <v>0</v>
      </c>
      <c r="J74">
        <f t="shared" si="12"/>
        <v>-1.2911876818688436E-3</v>
      </c>
      <c r="K74">
        <f t="shared" si="1"/>
        <v>-3.3815781440643469E-2</v>
      </c>
      <c r="L74">
        <f t="shared" si="2"/>
        <v>69.800194538227871</v>
      </c>
      <c r="M74">
        <f t="shared" si="3"/>
        <v>1.5388290563982947</v>
      </c>
      <c r="N74">
        <f t="shared" si="4"/>
        <v>2.2046200108446912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26241.149202863096</v>
      </c>
      <c r="T74">
        <f t="shared" si="8"/>
        <v>99.998826666666702</v>
      </c>
      <c r="U74">
        <f t="shared" si="9"/>
        <v>84.298705243586198</v>
      </c>
      <c r="V74">
        <f t="shared" si="10"/>
        <v>0.84299694359999999</v>
      </c>
      <c r="W74">
        <f t="shared" si="11"/>
        <v>0.15869181333599999</v>
      </c>
      <c r="X74">
        <v>1</v>
      </c>
      <c r="Y74">
        <v>1769183857.03333</v>
      </c>
      <c r="Z74">
        <v>409.81546666666702</v>
      </c>
      <c r="AA74">
        <v>409.99746666666698</v>
      </c>
      <c r="AB74">
        <v>15.3592666666667</v>
      </c>
      <c r="AC74">
        <v>14.8204266666667</v>
      </c>
      <c r="AD74">
        <v>410.9248</v>
      </c>
      <c r="AE74">
        <v>15.207226666666701</v>
      </c>
      <c r="AF74">
        <v>800.00273333333303</v>
      </c>
      <c r="AG74">
        <v>100.12333333333299</v>
      </c>
      <c r="AH74">
        <v>6.5633353333333297E-2</v>
      </c>
      <c r="AI74">
        <v>18.995926666666701</v>
      </c>
      <c r="AJ74">
        <v>999.9</v>
      </c>
      <c r="AK74">
        <v>999.9</v>
      </c>
      <c r="AL74">
        <v>0</v>
      </c>
      <c r="AM74">
        <v>0</v>
      </c>
      <c r="AN74">
        <v>4997.7333333333299</v>
      </c>
      <c r="AO74">
        <v>0</v>
      </c>
      <c r="AP74">
        <v>1.9760899999999999</v>
      </c>
      <c r="AQ74">
        <v>-0.18194979999999999</v>
      </c>
      <c r="AR74">
        <v>416.20806666666698</v>
      </c>
      <c r="AS74">
        <v>416.16506666666697</v>
      </c>
      <c r="AT74">
        <v>0.53882739999999996</v>
      </c>
      <c r="AU74">
        <v>409.99746666666698</v>
      </c>
      <c r="AV74">
        <v>14.8204266666667</v>
      </c>
      <c r="AW74">
        <v>1.5378166666666699</v>
      </c>
      <c r="AX74">
        <v>1.483868</v>
      </c>
      <c r="AY74">
        <v>13.34944</v>
      </c>
      <c r="AZ74">
        <v>12.80294</v>
      </c>
      <c r="BA74">
        <v>99.998826666666702</v>
      </c>
      <c r="BB74">
        <v>0.90010999999999997</v>
      </c>
      <c r="BC74">
        <v>0</v>
      </c>
      <c r="BD74">
        <v>9.9890279999999998E-2</v>
      </c>
      <c r="BE74">
        <v>0</v>
      </c>
      <c r="BF74">
        <v>25</v>
      </c>
      <c r="BG74">
        <v>1648.914</v>
      </c>
      <c r="BH74">
        <v>1769183593.0999999</v>
      </c>
      <c r="BI74" t="s">
        <v>375</v>
      </c>
      <c r="BJ74">
        <v>1769183593.0999999</v>
      </c>
      <c r="BK74">
        <v>1769183589.0999999</v>
      </c>
      <c r="BL74">
        <v>2</v>
      </c>
      <c r="BM74">
        <v>9.6000000000000002E-2</v>
      </c>
      <c r="BN74">
        <v>2.3E-2</v>
      </c>
      <c r="BO74">
        <v>-1.109</v>
      </c>
      <c r="BP74">
        <v>0.152</v>
      </c>
      <c r="BQ74">
        <v>410</v>
      </c>
      <c r="BR74">
        <v>16</v>
      </c>
      <c r="BS74">
        <v>0.26</v>
      </c>
      <c r="BT74">
        <v>7.0000000000000007E-2</v>
      </c>
      <c r="BU74">
        <v>-0.17423849999999999</v>
      </c>
      <c r="BV74">
        <v>-0.24684974436090201</v>
      </c>
      <c r="BW74">
        <v>4.1049110257714502E-2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0.53820290000000004</v>
      </c>
      <c r="CD74">
        <v>4.7527218045117598E-3</v>
      </c>
      <c r="CE74">
        <v>1.8037166324010099E-3</v>
      </c>
      <c r="CF74">
        <v>1</v>
      </c>
      <c r="CG74">
        <v>2</v>
      </c>
      <c r="CH74">
        <v>2</v>
      </c>
      <c r="CI74" t="s">
        <v>310</v>
      </c>
      <c r="CJ74">
        <v>3.53254</v>
      </c>
      <c r="CK74">
        <v>2.7033700000000001</v>
      </c>
      <c r="CL74">
        <v>9.8125000000000004E-2</v>
      </c>
      <c r="CM74">
        <v>9.6747299999999994E-2</v>
      </c>
      <c r="CN74">
        <v>8.6798399999999998E-2</v>
      </c>
      <c r="CO74">
        <v>8.3878900000000006E-2</v>
      </c>
      <c r="CP74">
        <v>31635.7</v>
      </c>
      <c r="CQ74">
        <v>27758.400000000001</v>
      </c>
      <c r="CR74">
        <v>32463.7</v>
      </c>
      <c r="CS74">
        <v>30656.400000000001</v>
      </c>
      <c r="CT74">
        <v>40130.5</v>
      </c>
      <c r="CU74">
        <v>39476.6</v>
      </c>
      <c r="CV74">
        <v>47397.1</v>
      </c>
      <c r="CW74">
        <v>46733.9</v>
      </c>
      <c r="CX74">
        <v>2.6305200000000002</v>
      </c>
      <c r="CY74">
        <v>2.1584599999999998</v>
      </c>
      <c r="CZ74">
        <v>0</v>
      </c>
      <c r="DA74">
        <v>0</v>
      </c>
      <c r="DB74">
        <v>999.9</v>
      </c>
      <c r="DC74">
        <v>999.9</v>
      </c>
      <c r="DD74">
        <v>71.468999999999994</v>
      </c>
      <c r="DE74">
        <v>24.440999999999999</v>
      </c>
      <c r="DF74">
        <v>21.951599999999999</v>
      </c>
      <c r="DG74">
        <v>30.5701</v>
      </c>
      <c r="DH74">
        <v>17.527999999999999</v>
      </c>
      <c r="DI74">
        <v>2</v>
      </c>
      <c r="DJ74">
        <v>-0.16020899999999999</v>
      </c>
      <c r="DK74">
        <v>1.8202799999999999</v>
      </c>
      <c r="DL74">
        <v>20.234999999999999</v>
      </c>
      <c r="DM74">
        <v>5.2513100000000001</v>
      </c>
      <c r="DN74">
        <v>12.033899999999999</v>
      </c>
      <c r="DO74">
        <v>4.96732</v>
      </c>
      <c r="DP74">
        <v>3.2909999999999999</v>
      </c>
      <c r="DQ74">
        <v>9999</v>
      </c>
      <c r="DR74">
        <v>9999</v>
      </c>
      <c r="DS74">
        <v>534.20000000000005</v>
      </c>
      <c r="DT74">
        <v>9999</v>
      </c>
      <c r="DU74">
        <v>1.87097</v>
      </c>
      <c r="DV74">
        <v>1.8760600000000001</v>
      </c>
      <c r="DW74">
        <v>1.87622</v>
      </c>
      <c r="DX74">
        <v>1.8827700000000001</v>
      </c>
      <c r="DY74">
        <v>1.87548</v>
      </c>
      <c r="DZ74">
        <v>1.8745499999999999</v>
      </c>
      <c r="EA74">
        <v>1.87073</v>
      </c>
      <c r="EB74">
        <v>1.8745400000000001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-1.1100000000000001</v>
      </c>
      <c r="EQ74">
        <v>0.152</v>
      </c>
      <c r="ER74">
        <v>-1.10929999999996</v>
      </c>
      <c r="ES74">
        <v>0</v>
      </c>
      <c r="ET74">
        <v>0</v>
      </c>
      <c r="EU74">
        <v>0</v>
      </c>
      <c r="EV74">
        <v>0.15201999999999699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4.5</v>
      </c>
      <c r="FE74">
        <v>4.5999999999999996</v>
      </c>
      <c r="FF74">
        <v>1.23169</v>
      </c>
      <c r="FG74">
        <v>2.5524900000000001</v>
      </c>
      <c r="FH74">
        <v>2.19604</v>
      </c>
      <c r="FI74">
        <v>2.66235</v>
      </c>
      <c r="FJ74">
        <v>2.4462899999999999</v>
      </c>
      <c r="FK74">
        <v>2.3132299999999999</v>
      </c>
      <c r="FL74">
        <v>29.900600000000001</v>
      </c>
      <c r="FM74">
        <v>24.157499999999999</v>
      </c>
      <c r="FN74">
        <v>19</v>
      </c>
      <c r="FO74">
        <v>863.72900000000004</v>
      </c>
      <c r="FP74">
        <v>592.13400000000001</v>
      </c>
      <c r="FQ74">
        <v>18.464099999999998</v>
      </c>
      <c r="FR74">
        <v>24.985099999999999</v>
      </c>
      <c r="FS74">
        <v>30.0001</v>
      </c>
      <c r="FT74">
        <v>24.959499999999998</v>
      </c>
      <c r="FU74">
        <v>24.9604</v>
      </c>
      <c r="FV74">
        <v>24.717099999999999</v>
      </c>
      <c r="FW74">
        <v>35.804299999999998</v>
      </c>
      <c r="FX74">
        <v>43.972499999999997</v>
      </c>
      <c r="FY74">
        <v>18.464700000000001</v>
      </c>
      <c r="FZ74">
        <v>410</v>
      </c>
      <c r="GA74">
        <v>14.8543</v>
      </c>
      <c r="GB74">
        <v>99.884</v>
      </c>
      <c r="GC74">
        <v>99.501900000000006</v>
      </c>
    </row>
    <row r="75" spans="1:185" x14ac:dyDescent="0.2">
      <c r="A75">
        <v>60</v>
      </c>
      <c r="B75">
        <v>1769183880.0999999</v>
      </c>
      <c r="C75">
        <v>1017.09999990463</v>
      </c>
      <c r="D75" t="s">
        <v>414</v>
      </c>
      <c r="E75" t="s">
        <v>415</v>
      </c>
      <c r="F75">
        <v>15</v>
      </c>
      <c r="G75">
        <v>1769183872.03333</v>
      </c>
      <c r="H75">
        <f t="shared" si="0"/>
        <v>4.4069970504308388E-4</v>
      </c>
      <c r="I75">
        <v>0</v>
      </c>
      <c r="J75">
        <f t="shared" si="12"/>
        <v>-1.9028203159553829E-3</v>
      </c>
      <c r="K75">
        <f t="shared" si="1"/>
        <v>-4.9834239304413892E-2</v>
      </c>
      <c r="L75">
        <f t="shared" si="2"/>
        <v>69.766242841697647</v>
      </c>
      <c r="M75">
        <f t="shared" si="3"/>
        <v>1.5382750879804612</v>
      </c>
      <c r="N75">
        <f t="shared" si="4"/>
        <v>2.2048988526884958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26274.850031167607</v>
      </c>
      <c r="T75">
        <f t="shared" si="8"/>
        <v>100.000133333333</v>
      </c>
      <c r="U75">
        <f t="shared" si="9"/>
        <v>84.29974451950919</v>
      </c>
      <c r="V75">
        <f t="shared" si="10"/>
        <v>0.84299632119999979</v>
      </c>
      <c r="W75">
        <f t="shared" si="11"/>
        <v>0.15869101087199997</v>
      </c>
      <c r="X75">
        <v>1</v>
      </c>
      <c r="Y75">
        <v>1769183872.03333</v>
      </c>
      <c r="Z75">
        <v>409.8218</v>
      </c>
      <c r="AA75">
        <v>409.98526666666697</v>
      </c>
      <c r="AB75">
        <v>15.3539266666667</v>
      </c>
      <c r="AC75">
        <v>14.8115133333333</v>
      </c>
      <c r="AD75">
        <v>410.93106666666699</v>
      </c>
      <c r="AE75">
        <v>15.2019</v>
      </c>
      <c r="AF75">
        <v>800.00473333333298</v>
      </c>
      <c r="AG75">
        <v>100.122133333333</v>
      </c>
      <c r="AH75">
        <v>6.5598533333333306E-2</v>
      </c>
      <c r="AI75">
        <v>18.997953333333299</v>
      </c>
      <c r="AJ75">
        <v>999.9</v>
      </c>
      <c r="AK75">
        <v>999.9</v>
      </c>
      <c r="AL75">
        <v>0</v>
      </c>
      <c r="AM75">
        <v>0</v>
      </c>
      <c r="AN75">
        <v>5003.3666666666704</v>
      </c>
      <c r="AO75">
        <v>0</v>
      </c>
      <c r="AP75">
        <v>1.9760899999999999</v>
      </c>
      <c r="AQ75">
        <v>-0.16353953333333299</v>
      </c>
      <c r="AR75">
        <v>416.2124</v>
      </c>
      <c r="AS75">
        <v>416.14920000000001</v>
      </c>
      <c r="AT75">
        <v>0.54240733333333302</v>
      </c>
      <c r="AU75">
        <v>409.98526666666697</v>
      </c>
      <c r="AV75">
        <v>14.8115133333333</v>
      </c>
      <c r="AW75">
        <v>1.53726733333333</v>
      </c>
      <c r="AX75">
        <v>1.4829606666666699</v>
      </c>
      <c r="AY75">
        <v>13.343966666666701</v>
      </c>
      <c r="AZ75">
        <v>12.793613333333299</v>
      </c>
      <c r="BA75">
        <v>100.000133333333</v>
      </c>
      <c r="BB75">
        <v>0.90011953333333306</v>
      </c>
      <c r="BC75">
        <v>0</v>
      </c>
      <c r="BD75">
        <v>9.9880360000000001E-2</v>
      </c>
      <c r="BE75">
        <v>0</v>
      </c>
      <c r="BF75">
        <v>25</v>
      </c>
      <c r="BG75">
        <v>1648.9380000000001</v>
      </c>
      <c r="BH75">
        <v>1769183593.0999999</v>
      </c>
      <c r="BI75" t="s">
        <v>375</v>
      </c>
      <c r="BJ75">
        <v>1769183593.0999999</v>
      </c>
      <c r="BK75">
        <v>1769183589.0999999</v>
      </c>
      <c r="BL75">
        <v>2</v>
      </c>
      <c r="BM75">
        <v>9.6000000000000002E-2</v>
      </c>
      <c r="BN75">
        <v>2.3E-2</v>
      </c>
      <c r="BO75">
        <v>-1.109</v>
      </c>
      <c r="BP75">
        <v>0.152</v>
      </c>
      <c r="BQ75">
        <v>410</v>
      </c>
      <c r="BR75">
        <v>16</v>
      </c>
      <c r="BS75">
        <v>0.26</v>
      </c>
      <c r="BT75">
        <v>7.0000000000000007E-2</v>
      </c>
      <c r="BU75">
        <v>-0.174647619047619</v>
      </c>
      <c r="BV75">
        <v>9.8201454545454606E-2</v>
      </c>
      <c r="BW75">
        <v>2.9169004386548701E-2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0.54098523809523802</v>
      </c>
      <c r="CD75">
        <v>3.7575662337662498E-2</v>
      </c>
      <c r="CE75">
        <v>4.2907550440537297E-3</v>
      </c>
      <c r="CF75">
        <v>1</v>
      </c>
      <c r="CG75">
        <v>2</v>
      </c>
      <c r="CH75">
        <v>2</v>
      </c>
      <c r="CI75" t="s">
        <v>310</v>
      </c>
      <c r="CJ75">
        <v>3.5325000000000002</v>
      </c>
      <c r="CK75">
        <v>2.7033700000000001</v>
      </c>
      <c r="CL75">
        <v>9.8118800000000006E-2</v>
      </c>
      <c r="CM75">
        <v>9.6744999999999998E-2</v>
      </c>
      <c r="CN75">
        <v>8.6806599999999998E-2</v>
      </c>
      <c r="CO75">
        <v>8.3846199999999996E-2</v>
      </c>
      <c r="CP75">
        <v>31635.8</v>
      </c>
      <c r="CQ75">
        <v>27758.1</v>
      </c>
      <c r="CR75">
        <v>32463.5</v>
      </c>
      <c r="CS75">
        <v>30656</v>
      </c>
      <c r="CT75">
        <v>40130.300000000003</v>
      </c>
      <c r="CU75">
        <v>39477.800000000003</v>
      </c>
      <c r="CV75">
        <v>47397.4</v>
      </c>
      <c r="CW75">
        <v>46733.599999999999</v>
      </c>
      <c r="CX75">
        <v>2.63042</v>
      </c>
      <c r="CY75">
        <v>2.1580400000000002</v>
      </c>
      <c r="CZ75">
        <v>0</v>
      </c>
      <c r="DA75">
        <v>0</v>
      </c>
      <c r="DB75">
        <v>999.9</v>
      </c>
      <c r="DC75">
        <v>999.9</v>
      </c>
      <c r="DD75">
        <v>71.382999999999996</v>
      </c>
      <c r="DE75">
        <v>24.451000000000001</v>
      </c>
      <c r="DF75">
        <v>21.9375</v>
      </c>
      <c r="DG75">
        <v>30.5701</v>
      </c>
      <c r="DH75">
        <v>17.540099999999999</v>
      </c>
      <c r="DI75">
        <v>2</v>
      </c>
      <c r="DJ75">
        <v>-0.159715</v>
      </c>
      <c r="DK75">
        <v>1.82413</v>
      </c>
      <c r="DL75">
        <v>20.2348</v>
      </c>
      <c r="DM75">
        <v>5.2511900000000002</v>
      </c>
      <c r="DN75">
        <v>12.033899999999999</v>
      </c>
      <c r="DO75">
        <v>4.9672799999999997</v>
      </c>
      <c r="DP75">
        <v>3.2909999999999999</v>
      </c>
      <c r="DQ75">
        <v>9999</v>
      </c>
      <c r="DR75">
        <v>9999</v>
      </c>
      <c r="DS75">
        <v>534.20000000000005</v>
      </c>
      <c r="DT75">
        <v>9999</v>
      </c>
      <c r="DU75">
        <v>1.87096</v>
      </c>
      <c r="DV75">
        <v>1.8760600000000001</v>
      </c>
      <c r="DW75">
        <v>1.8762000000000001</v>
      </c>
      <c r="DX75">
        <v>1.88273</v>
      </c>
      <c r="DY75">
        <v>1.8754900000000001</v>
      </c>
      <c r="DZ75">
        <v>1.8745400000000001</v>
      </c>
      <c r="EA75">
        <v>1.8707199999999999</v>
      </c>
      <c r="EB75">
        <v>1.87453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-1.109</v>
      </c>
      <c r="EQ75">
        <v>0.152</v>
      </c>
      <c r="ER75">
        <v>-1.10929999999996</v>
      </c>
      <c r="ES75">
        <v>0</v>
      </c>
      <c r="ET75">
        <v>0</v>
      </c>
      <c r="EU75">
        <v>0</v>
      </c>
      <c r="EV75">
        <v>0.15201999999999699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4.8</v>
      </c>
      <c r="FE75">
        <v>4.8</v>
      </c>
      <c r="FF75">
        <v>1.23169</v>
      </c>
      <c r="FG75">
        <v>2.5524900000000001</v>
      </c>
      <c r="FH75">
        <v>2.19604</v>
      </c>
      <c r="FI75">
        <v>2.66235</v>
      </c>
      <c r="FJ75">
        <v>2.4462899999999999</v>
      </c>
      <c r="FK75">
        <v>2.2839399999999999</v>
      </c>
      <c r="FL75">
        <v>29.900600000000001</v>
      </c>
      <c r="FM75">
        <v>24.157499999999999</v>
      </c>
      <c r="FN75">
        <v>19</v>
      </c>
      <c r="FO75">
        <v>863.71100000000001</v>
      </c>
      <c r="FP75">
        <v>591.86400000000003</v>
      </c>
      <c r="FQ75">
        <v>18.4695</v>
      </c>
      <c r="FR75">
        <v>24.9892</v>
      </c>
      <c r="FS75">
        <v>30.0002</v>
      </c>
      <c r="FT75">
        <v>24.964099999999998</v>
      </c>
      <c r="FU75">
        <v>24.965399999999999</v>
      </c>
      <c r="FV75">
        <v>24.718399999999999</v>
      </c>
      <c r="FW75">
        <v>35.804299999999998</v>
      </c>
      <c r="FX75">
        <v>43.599800000000002</v>
      </c>
      <c r="FY75">
        <v>18.4694</v>
      </c>
      <c r="FZ75">
        <v>410</v>
      </c>
      <c r="GA75">
        <v>14.8543</v>
      </c>
      <c r="GB75">
        <v>99.884100000000004</v>
      </c>
      <c r="GC75">
        <v>99.500900000000001</v>
      </c>
    </row>
    <row r="76" spans="1:185" x14ac:dyDescent="0.2">
      <c r="A76">
        <v>61</v>
      </c>
      <c r="B76">
        <v>1769183895.0999999</v>
      </c>
      <c r="C76">
        <v>1032.0999999046301</v>
      </c>
      <c r="D76" t="s">
        <v>416</v>
      </c>
      <c r="E76" t="s">
        <v>417</v>
      </c>
      <c r="F76">
        <v>15</v>
      </c>
      <c r="G76">
        <v>1769183887.03333</v>
      </c>
      <c r="H76">
        <f t="shared" si="0"/>
        <v>4.4403647530791312E-4</v>
      </c>
      <c r="I76">
        <v>0</v>
      </c>
      <c r="J76">
        <f t="shared" si="12"/>
        <v>-1.6798507836363647E-3</v>
      </c>
      <c r="K76">
        <f t="shared" si="1"/>
        <v>-4.3994740462611669E-2</v>
      </c>
      <c r="L76">
        <f t="shared" si="2"/>
        <v>69.731905789331691</v>
      </c>
      <c r="M76">
        <f t="shared" si="3"/>
        <v>1.5377137334346911</v>
      </c>
      <c r="N76">
        <f t="shared" si="4"/>
        <v>2.2051795602436357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26250.754795707293</v>
      </c>
      <c r="T76">
        <f t="shared" si="8"/>
        <v>100.00104666666699</v>
      </c>
      <c r="U76">
        <f t="shared" si="9"/>
        <v>84.300556376588503</v>
      </c>
      <c r="V76">
        <f t="shared" si="10"/>
        <v>0.84299674039999939</v>
      </c>
      <c r="W76">
        <f t="shared" si="11"/>
        <v>0.15869148722399992</v>
      </c>
      <c r="X76">
        <v>1</v>
      </c>
      <c r="Y76">
        <v>1769183887.03333</v>
      </c>
      <c r="Z76">
        <v>409.808066666667</v>
      </c>
      <c r="AA76">
        <v>409.98053333333303</v>
      </c>
      <c r="AB76">
        <v>15.3483533333333</v>
      </c>
      <c r="AC76">
        <v>14.801833333333301</v>
      </c>
      <c r="AD76">
        <v>410.91733333333298</v>
      </c>
      <c r="AE76">
        <v>15.196339999999999</v>
      </c>
      <c r="AF76">
        <v>800.00959999999998</v>
      </c>
      <c r="AG76">
        <v>100.122</v>
      </c>
      <c r="AH76">
        <v>6.5538040000000006E-2</v>
      </c>
      <c r="AI76">
        <v>18.9999933333333</v>
      </c>
      <c r="AJ76">
        <v>999.9</v>
      </c>
      <c r="AK76">
        <v>999.9</v>
      </c>
      <c r="AL76">
        <v>0</v>
      </c>
      <c r="AM76">
        <v>0</v>
      </c>
      <c r="AN76">
        <v>4999.4333333333298</v>
      </c>
      <c r="AO76">
        <v>0</v>
      </c>
      <c r="AP76">
        <v>1.9760899999999999</v>
      </c>
      <c r="AQ76">
        <v>-0.1724446</v>
      </c>
      <c r="AR76">
        <v>416.19600000000003</v>
      </c>
      <c r="AS76">
        <v>416.14033333333299</v>
      </c>
      <c r="AT76">
        <v>0.54653086666666695</v>
      </c>
      <c r="AU76">
        <v>409.98053333333303</v>
      </c>
      <c r="AV76">
        <v>14.801833333333301</v>
      </c>
      <c r="AW76">
        <v>1.5367073333333301</v>
      </c>
      <c r="AX76">
        <v>1.48198733333333</v>
      </c>
      <c r="AY76">
        <v>13.338373333333299</v>
      </c>
      <c r="AZ76">
        <v>12.7835866666667</v>
      </c>
      <c r="BA76">
        <v>100.00104666666699</v>
      </c>
      <c r="BB76">
        <v>0.90011406666666605</v>
      </c>
      <c r="BC76">
        <v>0</v>
      </c>
      <c r="BD76">
        <v>9.9886119999999995E-2</v>
      </c>
      <c r="BE76">
        <v>0</v>
      </c>
      <c r="BF76">
        <v>25</v>
      </c>
      <c r="BG76">
        <v>1648.95</v>
      </c>
      <c r="BH76">
        <v>1769183593.0999999</v>
      </c>
      <c r="BI76" t="s">
        <v>375</v>
      </c>
      <c r="BJ76">
        <v>1769183593.0999999</v>
      </c>
      <c r="BK76">
        <v>1769183589.0999999</v>
      </c>
      <c r="BL76">
        <v>2</v>
      </c>
      <c r="BM76">
        <v>9.6000000000000002E-2</v>
      </c>
      <c r="BN76">
        <v>2.3E-2</v>
      </c>
      <c r="BO76">
        <v>-1.109</v>
      </c>
      <c r="BP76">
        <v>0.152</v>
      </c>
      <c r="BQ76">
        <v>410</v>
      </c>
      <c r="BR76">
        <v>16</v>
      </c>
      <c r="BS76">
        <v>0.26</v>
      </c>
      <c r="BT76">
        <v>7.0000000000000007E-2</v>
      </c>
      <c r="BU76">
        <v>-0.17484430000000001</v>
      </c>
      <c r="BV76">
        <v>0.129123067669173</v>
      </c>
      <c r="BW76">
        <v>2.2291917566912001E-2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0.54689374999999996</v>
      </c>
      <c r="CD76">
        <v>-7.88900751879687E-3</v>
      </c>
      <c r="CE76">
        <v>1.47119114580669E-3</v>
      </c>
      <c r="CF76">
        <v>1</v>
      </c>
      <c r="CG76">
        <v>2</v>
      </c>
      <c r="CH76">
        <v>2</v>
      </c>
      <c r="CI76" t="s">
        <v>310</v>
      </c>
      <c r="CJ76">
        <v>3.5325199999999999</v>
      </c>
      <c r="CK76">
        <v>2.70356</v>
      </c>
      <c r="CL76">
        <v>9.8119899999999996E-2</v>
      </c>
      <c r="CM76">
        <v>9.6739800000000001E-2</v>
      </c>
      <c r="CN76">
        <v>8.6752399999999993E-2</v>
      </c>
      <c r="CO76">
        <v>8.3809999999999996E-2</v>
      </c>
      <c r="CP76">
        <v>31635.8</v>
      </c>
      <c r="CQ76">
        <v>27758.400000000001</v>
      </c>
      <c r="CR76">
        <v>32463.7</v>
      </c>
      <c r="CS76">
        <v>30656.3</v>
      </c>
      <c r="CT76">
        <v>40133.1</v>
      </c>
      <c r="CU76">
        <v>39480</v>
      </c>
      <c r="CV76">
        <v>47397.7</v>
      </c>
      <c r="CW76">
        <v>46734.3</v>
      </c>
      <c r="CX76">
        <v>2.63028</v>
      </c>
      <c r="CY76">
        <v>2.1581800000000002</v>
      </c>
      <c r="CZ76">
        <v>0</v>
      </c>
      <c r="DA76">
        <v>0</v>
      </c>
      <c r="DB76">
        <v>999.9</v>
      </c>
      <c r="DC76">
        <v>999.9</v>
      </c>
      <c r="DD76">
        <v>71.260999999999996</v>
      </c>
      <c r="DE76">
        <v>24.471</v>
      </c>
      <c r="DF76">
        <v>21.926200000000001</v>
      </c>
      <c r="DG76">
        <v>30.510100000000001</v>
      </c>
      <c r="DH76">
        <v>17.5321</v>
      </c>
      <c r="DI76">
        <v>2</v>
      </c>
      <c r="DJ76">
        <v>-0.15950400000000001</v>
      </c>
      <c r="DK76">
        <v>1.90334</v>
      </c>
      <c r="DL76">
        <v>20.233899999999998</v>
      </c>
      <c r="DM76">
        <v>5.2513100000000001</v>
      </c>
      <c r="DN76">
        <v>12.033899999999999</v>
      </c>
      <c r="DO76">
        <v>4.9673600000000002</v>
      </c>
      <c r="DP76">
        <v>3.2910200000000001</v>
      </c>
      <c r="DQ76">
        <v>9999</v>
      </c>
      <c r="DR76">
        <v>9999</v>
      </c>
      <c r="DS76">
        <v>534.20000000000005</v>
      </c>
      <c r="DT76">
        <v>9999</v>
      </c>
      <c r="DU76">
        <v>1.8709899999999999</v>
      </c>
      <c r="DV76">
        <v>1.8760699999999999</v>
      </c>
      <c r="DW76">
        <v>1.87622</v>
      </c>
      <c r="DX76">
        <v>1.8827700000000001</v>
      </c>
      <c r="DY76">
        <v>1.87554</v>
      </c>
      <c r="DZ76">
        <v>1.87456</v>
      </c>
      <c r="EA76">
        <v>1.87073</v>
      </c>
      <c r="EB76">
        <v>1.8745499999999999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-1.109</v>
      </c>
      <c r="EQ76">
        <v>0.152</v>
      </c>
      <c r="ER76">
        <v>-1.10929999999996</v>
      </c>
      <c r="ES76">
        <v>0</v>
      </c>
      <c r="ET76">
        <v>0</v>
      </c>
      <c r="EU76">
        <v>0</v>
      </c>
      <c r="EV76">
        <v>0.15201999999999699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5</v>
      </c>
      <c r="FE76">
        <v>5.0999999999999996</v>
      </c>
      <c r="FF76">
        <v>1.23169</v>
      </c>
      <c r="FG76">
        <v>2.5561500000000001</v>
      </c>
      <c r="FH76">
        <v>2.19604</v>
      </c>
      <c r="FI76">
        <v>2.66235</v>
      </c>
      <c r="FJ76">
        <v>2.4462899999999999</v>
      </c>
      <c r="FK76">
        <v>2.2888199999999999</v>
      </c>
      <c r="FL76">
        <v>29.922000000000001</v>
      </c>
      <c r="FM76">
        <v>24.157499999999999</v>
      </c>
      <c r="FN76">
        <v>19</v>
      </c>
      <c r="FO76">
        <v>863.66300000000001</v>
      </c>
      <c r="FP76">
        <v>592.02599999999995</v>
      </c>
      <c r="FQ76">
        <v>18.4648</v>
      </c>
      <c r="FR76">
        <v>24.993099999999998</v>
      </c>
      <c r="FS76">
        <v>30.0002</v>
      </c>
      <c r="FT76">
        <v>24.969200000000001</v>
      </c>
      <c r="FU76">
        <v>24.97</v>
      </c>
      <c r="FV76">
        <v>24.7209</v>
      </c>
      <c r="FW76">
        <v>35.804299999999998</v>
      </c>
      <c r="FX76">
        <v>42.8294</v>
      </c>
      <c r="FY76">
        <v>18.449000000000002</v>
      </c>
      <c r="FZ76">
        <v>410</v>
      </c>
      <c r="GA76">
        <v>14.8599</v>
      </c>
      <c r="GB76">
        <v>99.884600000000006</v>
      </c>
      <c r="GC76">
        <v>99.502200000000002</v>
      </c>
    </row>
    <row r="77" spans="1:185" x14ac:dyDescent="0.2">
      <c r="A77">
        <v>62</v>
      </c>
      <c r="B77">
        <v>1769183910.0999999</v>
      </c>
      <c r="C77">
        <v>1047.0999999046301</v>
      </c>
      <c r="D77" t="s">
        <v>418</v>
      </c>
      <c r="E77" t="s">
        <v>419</v>
      </c>
      <c r="F77">
        <v>15</v>
      </c>
      <c r="G77">
        <v>1769183902.03333</v>
      </c>
      <c r="H77">
        <f t="shared" si="0"/>
        <v>4.3631620184640961E-4</v>
      </c>
      <c r="I77">
        <v>0</v>
      </c>
      <c r="J77">
        <f t="shared" si="12"/>
        <v>-1.7321185711089758E-3</v>
      </c>
      <c r="K77">
        <f t="shared" si="1"/>
        <v>-4.5363616654957001E-2</v>
      </c>
      <c r="L77">
        <f t="shared" si="2"/>
        <v>69.694549268732857</v>
      </c>
      <c r="M77">
        <f t="shared" si="3"/>
        <v>1.5370472484108326</v>
      </c>
      <c r="N77">
        <f t="shared" si="4"/>
        <v>2.2054052498197301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26253.527730920956</v>
      </c>
      <c r="T77">
        <f t="shared" si="8"/>
        <v>99.999399999999994</v>
      </c>
      <c r="U77">
        <f t="shared" si="9"/>
        <v>84.299142482110312</v>
      </c>
      <c r="V77">
        <f t="shared" si="10"/>
        <v>0.84299648279999995</v>
      </c>
      <c r="W77">
        <f t="shared" si="11"/>
        <v>0.15869112904800001</v>
      </c>
      <c r="X77">
        <v>1</v>
      </c>
      <c r="Y77">
        <v>1769183902.03333</v>
      </c>
      <c r="Z77">
        <v>409.80360000000002</v>
      </c>
      <c r="AA77">
        <v>409.97039999999998</v>
      </c>
      <c r="AB77">
        <v>15.341613333333299</v>
      </c>
      <c r="AC77">
        <v>14.804586666666699</v>
      </c>
      <c r="AD77">
        <v>410.912933333333</v>
      </c>
      <c r="AE77">
        <v>15.1896133333333</v>
      </c>
      <c r="AF77">
        <v>800.00199999999995</v>
      </c>
      <c r="AG77">
        <v>100.122333333333</v>
      </c>
      <c r="AH77">
        <v>6.5776940000000006E-2</v>
      </c>
      <c r="AI77">
        <v>19.001633333333299</v>
      </c>
      <c r="AJ77">
        <v>999.9</v>
      </c>
      <c r="AK77">
        <v>999.9</v>
      </c>
      <c r="AL77">
        <v>0</v>
      </c>
      <c r="AM77">
        <v>0</v>
      </c>
      <c r="AN77">
        <v>4999.8999999999996</v>
      </c>
      <c r="AO77">
        <v>0</v>
      </c>
      <c r="AP77">
        <v>1.9760899999999999</v>
      </c>
      <c r="AQ77">
        <v>-0.166766466666667</v>
      </c>
      <c r="AR77">
        <v>416.18880000000001</v>
      </c>
      <c r="AS77">
        <v>416.13099999999997</v>
      </c>
      <c r="AT77">
        <v>0.53702926666666695</v>
      </c>
      <c r="AU77">
        <v>409.97039999999998</v>
      </c>
      <c r="AV77">
        <v>14.804586666666699</v>
      </c>
      <c r="AW77">
        <v>1.5360353333333301</v>
      </c>
      <c r="AX77">
        <v>1.4822660000000001</v>
      </c>
      <c r="AY77">
        <v>13.331673333333301</v>
      </c>
      <c r="AZ77">
        <v>12.78646</v>
      </c>
      <c r="BA77">
        <v>99.999399999999994</v>
      </c>
      <c r="BB77">
        <v>0.90011839999999999</v>
      </c>
      <c r="BC77">
        <v>0</v>
      </c>
      <c r="BD77">
        <v>9.9881639999999994E-2</v>
      </c>
      <c r="BE77">
        <v>0</v>
      </c>
      <c r="BF77">
        <v>25</v>
      </c>
      <c r="BG77">
        <v>1648.9259999999999</v>
      </c>
      <c r="BH77">
        <v>1769183593.0999999</v>
      </c>
      <c r="BI77" t="s">
        <v>375</v>
      </c>
      <c r="BJ77">
        <v>1769183593.0999999</v>
      </c>
      <c r="BK77">
        <v>1769183589.0999999</v>
      </c>
      <c r="BL77">
        <v>2</v>
      </c>
      <c r="BM77">
        <v>9.6000000000000002E-2</v>
      </c>
      <c r="BN77">
        <v>2.3E-2</v>
      </c>
      <c r="BO77">
        <v>-1.109</v>
      </c>
      <c r="BP77">
        <v>0.152</v>
      </c>
      <c r="BQ77">
        <v>410</v>
      </c>
      <c r="BR77">
        <v>16</v>
      </c>
      <c r="BS77">
        <v>0.26</v>
      </c>
      <c r="BT77">
        <v>7.0000000000000007E-2</v>
      </c>
      <c r="BU77">
        <v>-0.16525861904761899</v>
      </c>
      <c r="BV77">
        <v>-0.134188051948052</v>
      </c>
      <c r="BW77">
        <v>2.25959472735313E-2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0.539634619047619</v>
      </c>
      <c r="CD77">
        <v>-9.5090649350648607E-2</v>
      </c>
      <c r="CE77">
        <v>1.3278800682635501E-2</v>
      </c>
      <c r="CF77">
        <v>1</v>
      </c>
      <c r="CG77">
        <v>2</v>
      </c>
      <c r="CH77">
        <v>2</v>
      </c>
      <c r="CI77" t="s">
        <v>310</v>
      </c>
      <c r="CJ77">
        <v>3.5325099999999998</v>
      </c>
      <c r="CK77">
        <v>2.7039599999999999</v>
      </c>
      <c r="CL77">
        <v>9.8114699999999999E-2</v>
      </c>
      <c r="CM77">
        <v>9.6742499999999995E-2</v>
      </c>
      <c r="CN77">
        <v>8.6759500000000003E-2</v>
      </c>
      <c r="CO77">
        <v>8.3953700000000006E-2</v>
      </c>
      <c r="CP77">
        <v>31635.8</v>
      </c>
      <c r="CQ77">
        <v>27758.5</v>
      </c>
      <c r="CR77">
        <v>32463.4</v>
      </c>
      <c r="CS77">
        <v>30656.5</v>
      </c>
      <c r="CT77">
        <v>40132.400000000001</v>
      </c>
      <c r="CU77">
        <v>39474</v>
      </c>
      <c r="CV77">
        <v>47397.3</v>
      </c>
      <c r="CW77">
        <v>46734.7</v>
      </c>
      <c r="CX77">
        <v>2.63042</v>
      </c>
      <c r="CY77">
        <v>2.1577999999999999</v>
      </c>
      <c r="CZ77">
        <v>0</v>
      </c>
      <c r="DA77">
        <v>0</v>
      </c>
      <c r="DB77">
        <v>999.9</v>
      </c>
      <c r="DC77">
        <v>999.9</v>
      </c>
      <c r="DD77">
        <v>71.144999999999996</v>
      </c>
      <c r="DE77">
        <v>24.501000000000001</v>
      </c>
      <c r="DF77">
        <v>21.932099999999998</v>
      </c>
      <c r="DG77">
        <v>30.6601</v>
      </c>
      <c r="DH77">
        <v>17.52</v>
      </c>
      <c r="DI77">
        <v>2</v>
      </c>
      <c r="DJ77">
        <v>-0.159161</v>
      </c>
      <c r="DK77">
        <v>1.8653999999999999</v>
      </c>
      <c r="DL77">
        <v>20.234400000000001</v>
      </c>
      <c r="DM77">
        <v>5.2513100000000001</v>
      </c>
      <c r="DN77">
        <v>12.033899999999999</v>
      </c>
      <c r="DO77">
        <v>4.9676</v>
      </c>
      <c r="DP77">
        <v>3.2909999999999999</v>
      </c>
      <c r="DQ77">
        <v>9999</v>
      </c>
      <c r="DR77">
        <v>9999</v>
      </c>
      <c r="DS77">
        <v>534.29999999999995</v>
      </c>
      <c r="DT77">
        <v>9999</v>
      </c>
      <c r="DU77">
        <v>1.8709899999999999</v>
      </c>
      <c r="DV77">
        <v>1.8760600000000001</v>
      </c>
      <c r="DW77">
        <v>1.87622</v>
      </c>
      <c r="DX77">
        <v>1.88276</v>
      </c>
      <c r="DY77">
        <v>1.8755299999999999</v>
      </c>
      <c r="DZ77">
        <v>1.8745499999999999</v>
      </c>
      <c r="EA77">
        <v>1.87073</v>
      </c>
      <c r="EB77">
        <v>1.8745400000000001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-1.109</v>
      </c>
      <c r="EQ77">
        <v>0.152</v>
      </c>
      <c r="ER77">
        <v>-1.10929999999996</v>
      </c>
      <c r="ES77">
        <v>0</v>
      </c>
      <c r="ET77">
        <v>0</v>
      </c>
      <c r="EU77">
        <v>0</v>
      </c>
      <c r="EV77">
        <v>0.15201999999999699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5.3</v>
      </c>
      <c r="FE77">
        <v>5.3</v>
      </c>
      <c r="FF77">
        <v>1.23169</v>
      </c>
      <c r="FG77">
        <v>2.5549300000000001</v>
      </c>
      <c r="FH77">
        <v>2.19604</v>
      </c>
      <c r="FI77">
        <v>2.66235</v>
      </c>
      <c r="FJ77">
        <v>2.4462899999999999</v>
      </c>
      <c r="FK77">
        <v>2.2839399999999999</v>
      </c>
      <c r="FL77">
        <v>29.943300000000001</v>
      </c>
      <c r="FM77">
        <v>24.157499999999999</v>
      </c>
      <c r="FN77">
        <v>19</v>
      </c>
      <c r="FO77">
        <v>863.86599999999999</v>
      </c>
      <c r="FP77">
        <v>591.78700000000003</v>
      </c>
      <c r="FQ77">
        <v>18.442699999999999</v>
      </c>
      <c r="FR77">
        <v>24.996500000000001</v>
      </c>
      <c r="FS77">
        <v>30.0001</v>
      </c>
      <c r="FT77">
        <v>24.973700000000001</v>
      </c>
      <c r="FU77">
        <v>24.975000000000001</v>
      </c>
      <c r="FV77">
        <v>24.724399999999999</v>
      </c>
      <c r="FW77">
        <v>35.528500000000001</v>
      </c>
      <c r="FX77">
        <v>42.448</v>
      </c>
      <c r="FY77">
        <v>18.4437</v>
      </c>
      <c r="FZ77">
        <v>410</v>
      </c>
      <c r="GA77">
        <v>14.865399999999999</v>
      </c>
      <c r="GB77">
        <v>99.883899999999997</v>
      </c>
      <c r="GC77">
        <v>99.502899999999997</v>
      </c>
    </row>
    <row r="78" spans="1:185" x14ac:dyDescent="0.2">
      <c r="A78">
        <v>63</v>
      </c>
      <c r="B78">
        <v>1769183925.0999999</v>
      </c>
      <c r="C78">
        <v>1062.0999999046301</v>
      </c>
      <c r="D78" t="s">
        <v>420</v>
      </c>
      <c r="E78" t="s">
        <v>421</v>
      </c>
      <c r="F78">
        <v>15</v>
      </c>
      <c r="G78">
        <v>1769183917.03333</v>
      </c>
      <c r="H78">
        <f t="shared" si="0"/>
        <v>4.2456377588070103E-4</v>
      </c>
      <c r="I78">
        <v>0</v>
      </c>
      <c r="J78">
        <f t="shared" si="12"/>
        <v>-1.1245994355198476E-3</v>
      </c>
      <c r="K78">
        <f t="shared" si="1"/>
        <v>-2.9452889966211065E-2</v>
      </c>
      <c r="L78">
        <f t="shared" si="2"/>
        <v>69.725015505432879</v>
      </c>
      <c r="M78">
        <f t="shared" si="3"/>
        <v>1.5376532632962716</v>
      </c>
      <c r="N78">
        <f t="shared" si="4"/>
        <v>2.2053107513134358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26249.712446282942</v>
      </c>
      <c r="T78">
        <f t="shared" si="8"/>
        <v>100.000273333333</v>
      </c>
      <c r="U78">
        <f t="shared" si="9"/>
        <v>84.299886379059345</v>
      </c>
      <c r="V78">
        <f t="shared" si="10"/>
        <v>0.84299655959999997</v>
      </c>
      <c r="W78">
        <f t="shared" si="11"/>
        <v>0.15869163285599999</v>
      </c>
      <c r="X78">
        <v>1</v>
      </c>
      <c r="Y78">
        <v>1769183917.03333</v>
      </c>
      <c r="Z78">
        <v>409.80399999999997</v>
      </c>
      <c r="AA78">
        <v>409.98466666666701</v>
      </c>
      <c r="AB78">
        <v>15.347899999999999</v>
      </c>
      <c r="AC78">
        <v>14.8253466666667</v>
      </c>
      <c r="AD78">
        <v>410.91320000000002</v>
      </c>
      <c r="AE78">
        <v>15.195866666666699</v>
      </c>
      <c r="AF78">
        <v>800.00946666666698</v>
      </c>
      <c r="AG78">
        <v>100.12066666666701</v>
      </c>
      <c r="AH78">
        <v>6.5890666666666695E-2</v>
      </c>
      <c r="AI78">
        <v>19.0009466666667</v>
      </c>
      <c r="AJ78">
        <v>999.9</v>
      </c>
      <c r="AK78">
        <v>999.9</v>
      </c>
      <c r="AL78">
        <v>0</v>
      </c>
      <c r="AM78">
        <v>0</v>
      </c>
      <c r="AN78">
        <v>4999.3333333333303</v>
      </c>
      <c r="AO78">
        <v>0</v>
      </c>
      <c r="AP78">
        <v>1.9760899999999999</v>
      </c>
      <c r="AQ78">
        <v>-0.18070666666666699</v>
      </c>
      <c r="AR78">
        <v>416.19159999999999</v>
      </c>
      <c r="AS78">
        <v>416.15426666666701</v>
      </c>
      <c r="AT78">
        <v>0.52252986666666701</v>
      </c>
      <c r="AU78">
        <v>409.98466666666701</v>
      </c>
      <c r="AV78">
        <v>14.8253466666667</v>
      </c>
      <c r="AW78">
        <v>1.53663866666667</v>
      </c>
      <c r="AX78">
        <v>1.4843233333333301</v>
      </c>
      <c r="AY78">
        <v>13.3376866666667</v>
      </c>
      <c r="AZ78">
        <v>12.8076333333333</v>
      </c>
      <c r="BA78">
        <v>100.000273333333</v>
      </c>
      <c r="BB78">
        <v>0.9001112</v>
      </c>
      <c r="BC78">
        <v>0</v>
      </c>
      <c r="BD78">
        <v>9.9888679999999994E-2</v>
      </c>
      <c r="BE78">
        <v>0</v>
      </c>
      <c r="BF78">
        <v>25</v>
      </c>
      <c r="BG78">
        <v>1648.9380000000001</v>
      </c>
      <c r="BH78">
        <v>1769183593.0999999</v>
      </c>
      <c r="BI78" t="s">
        <v>375</v>
      </c>
      <c r="BJ78">
        <v>1769183593.0999999</v>
      </c>
      <c r="BK78">
        <v>1769183589.0999999</v>
      </c>
      <c r="BL78">
        <v>2</v>
      </c>
      <c r="BM78">
        <v>9.6000000000000002E-2</v>
      </c>
      <c r="BN78">
        <v>2.3E-2</v>
      </c>
      <c r="BO78">
        <v>-1.109</v>
      </c>
      <c r="BP78">
        <v>0.152</v>
      </c>
      <c r="BQ78">
        <v>410</v>
      </c>
      <c r="BR78">
        <v>16</v>
      </c>
      <c r="BS78">
        <v>0.26</v>
      </c>
      <c r="BT78">
        <v>7.0000000000000007E-2</v>
      </c>
      <c r="BU78">
        <v>-0.18460840000000001</v>
      </c>
      <c r="BV78">
        <v>6.1306015037594003E-2</v>
      </c>
      <c r="BW78">
        <v>1.40804563754162E-2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0.52129515000000004</v>
      </c>
      <c r="CD78">
        <v>3.1613007518796497E-2</v>
      </c>
      <c r="CE78">
        <v>5.7430907556384704E-3</v>
      </c>
      <c r="CF78">
        <v>1</v>
      </c>
      <c r="CG78">
        <v>2</v>
      </c>
      <c r="CH78">
        <v>2</v>
      </c>
      <c r="CI78" t="s">
        <v>310</v>
      </c>
      <c r="CJ78">
        <v>3.5324900000000001</v>
      </c>
      <c r="CK78">
        <v>2.7035999999999998</v>
      </c>
      <c r="CL78">
        <v>9.8109600000000005E-2</v>
      </c>
      <c r="CM78">
        <v>9.6736699999999995E-2</v>
      </c>
      <c r="CN78">
        <v>8.6766999999999997E-2</v>
      </c>
      <c r="CO78">
        <v>8.3878999999999995E-2</v>
      </c>
      <c r="CP78">
        <v>31635.8</v>
      </c>
      <c r="CQ78">
        <v>27758.6</v>
      </c>
      <c r="CR78">
        <v>32463.3</v>
      </c>
      <c r="CS78">
        <v>30656.400000000001</v>
      </c>
      <c r="CT78">
        <v>40131.9</v>
      </c>
      <c r="CU78">
        <v>39477</v>
      </c>
      <c r="CV78">
        <v>47397.1</v>
      </c>
      <c r="CW78">
        <v>46734.400000000001</v>
      </c>
      <c r="CX78">
        <v>2.63022</v>
      </c>
      <c r="CY78">
        <v>2.1577799999999998</v>
      </c>
      <c r="CZ78">
        <v>0</v>
      </c>
      <c r="DA78">
        <v>0</v>
      </c>
      <c r="DB78">
        <v>999.9</v>
      </c>
      <c r="DC78">
        <v>999.9</v>
      </c>
      <c r="DD78">
        <v>71.022999999999996</v>
      </c>
      <c r="DE78">
        <v>24.501000000000001</v>
      </c>
      <c r="DF78">
        <v>21.894100000000002</v>
      </c>
      <c r="DG78">
        <v>30.5701</v>
      </c>
      <c r="DH78">
        <v>17.4559</v>
      </c>
      <c r="DI78">
        <v>2</v>
      </c>
      <c r="DJ78">
        <v>-0.15882499999999999</v>
      </c>
      <c r="DK78">
        <v>1.86432</v>
      </c>
      <c r="DL78">
        <v>20.234400000000001</v>
      </c>
      <c r="DM78">
        <v>5.2519099999999996</v>
      </c>
      <c r="DN78">
        <v>12.033899999999999</v>
      </c>
      <c r="DO78">
        <v>4.9675200000000004</v>
      </c>
      <c r="DP78">
        <v>3.2909999999999999</v>
      </c>
      <c r="DQ78">
        <v>9999</v>
      </c>
      <c r="DR78">
        <v>9999</v>
      </c>
      <c r="DS78">
        <v>534.29999999999995</v>
      </c>
      <c r="DT78">
        <v>9999</v>
      </c>
      <c r="DU78">
        <v>1.8709800000000001</v>
      </c>
      <c r="DV78">
        <v>1.8760699999999999</v>
      </c>
      <c r="DW78">
        <v>1.87622</v>
      </c>
      <c r="DX78">
        <v>1.88276</v>
      </c>
      <c r="DY78">
        <v>1.8755200000000001</v>
      </c>
      <c r="DZ78">
        <v>1.8745499999999999</v>
      </c>
      <c r="EA78">
        <v>1.87073</v>
      </c>
      <c r="EB78">
        <v>1.8745400000000001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-1.1100000000000001</v>
      </c>
      <c r="EQ78">
        <v>0.152</v>
      </c>
      <c r="ER78">
        <v>-1.10929999999996</v>
      </c>
      <c r="ES78">
        <v>0</v>
      </c>
      <c r="ET78">
        <v>0</v>
      </c>
      <c r="EU78">
        <v>0</v>
      </c>
      <c r="EV78">
        <v>0.15201999999999699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5.5</v>
      </c>
      <c r="FE78">
        <v>5.6</v>
      </c>
      <c r="FF78">
        <v>1.23169</v>
      </c>
      <c r="FG78">
        <v>2.5537100000000001</v>
      </c>
      <c r="FH78">
        <v>2.19604</v>
      </c>
      <c r="FI78">
        <v>2.66235</v>
      </c>
      <c r="FJ78">
        <v>2.4462899999999999</v>
      </c>
      <c r="FK78">
        <v>2.2424300000000001</v>
      </c>
      <c r="FL78">
        <v>29.964700000000001</v>
      </c>
      <c r="FM78">
        <v>24.148800000000001</v>
      </c>
      <c r="FN78">
        <v>19</v>
      </c>
      <c r="FO78">
        <v>863.75</v>
      </c>
      <c r="FP78">
        <v>591.82899999999995</v>
      </c>
      <c r="FQ78">
        <v>18.4419</v>
      </c>
      <c r="FR78">
        <v>25.0002</v>
      </c>
      <c r="FS78">
        <v>30.000299999999999</v>
      </c>
      <c r="FT78">
        <v>24.978000000000002</v>
      </c>
      <c r="FU78">
        <v>24.98</v>
      </c>
      <c r="FV78">
        <v>24.726800000000001</v>
      </c>
      <c r="FW78">
        <v>35.528500000000001</v>
      </c>
      <c r="FX78">
        <v>42.075299999999999</v>
      </c>
      <c r="FY78">
        <v>18.441400000000002</v>
      </c>
      <c r="FZ78">
        <v>410</v>
      </c>
      <c r="GA78">
        <v>14.8649</v>
      </c>
      <c r="GB78">
        <v>99.883300000000006</v>
      </c>
      <c r="GC78">
        <v>99.502399999999994</v>
      </c>
    </row>
    <row r="79" spans="1:185" x14ac:dyDescent="0.2">
      <c r="A79">
        <v>64</v>
      </c>
      <c r="B79">
        <v>1769183940.0999999</v>
      </c>
      <c r="C79">
        <v>1077.0999999046301</v>
      </c>
      <c r="D79" t="s">
        <v>422</v>
      </c>
      <c r="E79" t="s">
        <v>423</v>
      </c>
      <c r="F79">
        <v>15</v>
      </c>
      <c r="G79">
        <v>1769183932.03333</v>
      </c>
      <c r="H79">
        <f t="shared" si="0"/>
        <v>4.3432045328074722E-4</v>
      </c>
      <c r="I79">
        <v>0</v>
      </c>
      <c r="J79">
        <f t="shared" si="12"/>
        <v>-5.1737301680124942E-4</v>
      </c>
      <c r="K79">
        <f t="shared" si="1"/>
        <v>-1.3549829436193895E-2</v>
      </c>
      <c r="L79">
        <f t="shared" si="2"/>
        <v>69.706488619117863</v>
      </c>
      <c r="M79">
        <f t="shared" si="3"/>
        <v>1.5373924227601861</v>
      </c>
      <c r="N79">
        <f t="shared" si="4"/>
        <v>2.2055226898038547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26269.68349978462</v>
      </c>
      <c r="T79">
        <f t="shared" si="8"/>
        <v>99.998646666666701</v>
      </c>
      <c r="U79">
        <f t="shared" si="9"/>
        <v>84.2984975048942</v>
      </c>
      <c r="V79">
        <f t="shared" si="10"/>
        <v>0.84299638359999973</v>
      </c>
      <c r="W79">
        <f t="shared" si="11"/>
        <v>0.15869093301599993</v>
      </c>
      <c r="X79">
        <v>1</v>
      </c>
      <c r="Y79">
        <v>1769183932.03333</v>
      </c>
      <c r="Z79">
        <v>409.78366666666699</v>
      </c>
      <c r="AA79">
        <v>409.98919999999998</v>
      </c>
      <c r="AB79">
        <v>15.3451133333333</v>
      </c>
      <c r="AC79">
        <v>14.810546666666699</v>
      </c>
      <c r="AD79">
        <v>410.89286666666698</v>
      </c>
      <c r="AE79">
        <v>15.1930933333333</v>
      </c>
      <c r="AF79">
        <v>800.00453333333303</v>
      </c>
      <c r="AG79">
        <v>100.121733333333</v>
      </c>
      <c r="AH79">
        <v>6.6019560000000005E-2</v>
      </c>
      <c r="AI79">
        <v>19.002486666666702</v>
      </c>
      <c r="AJ79">
        <v>999.9</v>
      </c>
      <c r="AK79">
        <v>999.9</v>
      </c>
      <c r="AL79">
        <v>0</v>
      </c>
      <c r="AM79">
        <v>0</v>
      </c>
      <c r="AN79">
        <v>5002.6000000000004</v>
      </c>
      <c r="AO79">
        <v>0</v>
      </c>
      <c r="AP79">
        <v>1.9760899999999999</v>
      </c>
      <c r="AQ79">
        <v>-0.20550119999999999</v>
      </c>
      <c r="AR79">
        <v>416.16986666666702</v>
      </c>
      <c r="AS79">
        <v>416.15266666666702</v>
      </c>
      <c r="AT79">
        <v>0.53455520000000001</v>
      </c>
      <c r="AU79">
        <v>409.98919999999998</v>
      </c>
      <c r="AV79">
        <v>14.810546666666699</v>
      </c>
      <c r="AW79">
        <v>1.5363806666666699</v>
      </c>
      <c r="AX79">
        <v>1.4828606666666699</v>
      </c>
      <c r="AY79">
        <v>13.335100000000001</v>
      </c>
      <c r="AZ79">
        <v>12.79256</v>
      </c>
      <c r="BA79">
        <v>99.998646666666701</v>
      </c>
      <c r="BB79">
        <v>0.90012093333333298</v>
      </c>
      <c r="BC79">
        <v>0</v>
      </c>
      <c r="BD79">
        <v>9.9879079999999995E-2</v>
      </c>
      <c r="BE79">
        <v>0</v>
      </c>
      <c r="BF79">
        <v>25</v>
      </c>
      <c r="BG79">
        <v>1648.9159999999999</v>
      </c>
      <c r="BH79">
        <v>1769183593.0999999</v>
      </c>
      <c r="BI79" t="s">
        <v>375</v>
      </c>
      <c r="BJ79">
        <v>1769183593.0999999</v>
      </c>
      <c r="BK79">
        <v>1769183589.0999999</v>
      </c>
      <c r="BL79">
        <v>2</v>
      </c>
      <c r="BM79">
        <v>9.6000000000000002E-2</v>
      </c>
      <c r="BN79">
        <v>2.3E-2</v>
      </c>
      <c r="BO79">
        <v>-1.109</v>
      </c>
      <c r="BP79">
        <v>0.152</v>
      </c>
      <c r="BQ79">
        <v>410</v>
      </c>
      <c r="BR79">
        <v>16</v>
      </c>
      <c r="BS79">
        <v>0.26</v>
      </c>
      <c r="BT79">
        <v>7.0000000000000007E-2</v>
      </c>
      <c r="BU79">
        <v>-0.197888952380952</v>
      </c>
      <c r="BV79">
        <v>-0.15811963636363699</v>
      </c>
      <c r="BW79">
        <v>1.8640269223163499E-2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0.53187328571428605</v>
      </c>
      <c r="CD79">
        <v>4.5218727272727403E-2</v>
      </c>
      <c r="CE79">
        <v>5.2463905155999196E-3</v>
      </c>
      <c r="CF79">
        <v>1</v>
      </c>
      <c r="CG79">
        <v>2</v>
      </c>
      <c r="CH79">
        <v>2</v>
      </c>
      <c r="CI79" t="s">
        <v>310</v>
      </c>
      <c r="CJ79">
        <v>3.5324800000000001</v>
      </c>
      <c r="CK79">
        <v>2.7038199999999999</v>
      </c>
      <c r="CL79">
        <v>9.8115499999999994E-2</v>
      </c>
      <c r="CM79">
        <v>9.6742999999999996E-2</v>
      </c>
      <c r="CN79">
        <v>8.6742299999999994E-2</v>
      </c>
      <c r="CO79">
        <v>8.3815799999999996E-2</v>
      </c>
      <c r="CP79">
        <v>31636.400000000001</v>
      </c>
      <c r="CQ79">
        <v>27758.9</v>
      </c>
      <c r="CR79">
        <v>32464.2</v>
      </c>
      <c r="CS79">
        <v>30657</v>
      </c>
      <c r="CT79">
        <v>40134.300000000003</v>
      </c>
      <c r="CU79">
        <v>39480.400000000001</v>
      </c>
      <c r="CV79">
        <v>47398.6</v>
      </c>
      <c r="CW79">
        <v>46735</v>
      </c>
      <c r="CX79">
        <v>2.6301800000000002</v>
      </c>
      <c r="CY79">
        <v>2.1575000000000002</v>
      </c>
      <c r="CZ79">
        <v>0</v>
      </c>
      <c r="DA79">
        <v>0</v>
      </c>
      <c r="DB79">
        <v>999.9</v>
      </c>
      <c r="DC79">
        <v>999.9</v>
      </c>
      <c r="DD79">
        <v>70.87</v>
      </c>
      <c r="DE79">
        <v>24.521000000000001</v>
      </c>
      <c r="DF79">
        <v>21.872299999999999</v>
      </c>
      <c r="DG79">
        <v>30.600100000000001</v>
      </c>
      <c r="DH79">
        <v>17.4239</v>
      </c>
      <c r="DI79">
        <v>2</v>
      </c>
      <c r="DJ79">
        <v>-0.158388</v>
      </c>
      <c r="DK79">
        <v>1.88527</v>
      </c>
      <c r="DL79">
        <v>20.234100000000002</v>
      </c>
      <c r="DM79">
        <v>5.2526299999999999</v>
      </c>
      <c r="DN79">
        <v>12.033899999999999</v>
      </c>
      <c r="DO79">
        <v>4.9678000000000004</v>
      </c>
      <c r="DP79">
        <v>3.2909999999999999</v>
      </c>
      <c r="DQ79">
        <v>9999</v>
      </c>
      <c r="DR79">
        <v>9999</v>
      </c>
      <c r="DS79">
        <v>534.29999999999995</v>
      </c>
      <c r="DT79">
        <v>9999</v>
      </c>
      <c r="DU79">
        <v>1.87097</v>
      </c>
      <c r="DV79">
        <v>1.8760699999999999</v>
      </c>
      <c r="DW79">
        <v>1.87622</v>
      </c>
      <c r="DX79">
        <v>1.8827700000000001</v>
      </c>
      <c r="DY79">
        <v>1.87554</v>
      </c>
      <c r="DZ79">
        <v>1.8745499999999999</v>
      </c>
      <c r="EA79">
        <v>1.87073</v>
      </c>
      <c r="EB79">
        <v>1.8745400000000001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-1.1100000000000001</v>
      </c>
      <c r="EQ79">
        <v>0.152</v>
      </c>
      <c r="ER79">
        <v>-1.10929999999996</v>
      </c>
      <c r="ES79">
        <v>0</v>
      </c>
      <c r="ET79">
        <v>0</v>
      </c>
      <c r="EU79">
        <v>0</v>
      </c>
      <c r="EV79">
        <v>0.15201999999999699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5.8</v>
      </c>
      <c r="FE79">
        <v>5.8</v>
      </c>
      <c r="FF79">
        <v>1.23169</v>
      </c>
      <c r="FG79">
        <v>2.5463900000000002</v>
      </c>
      <c r="FH79">
        <v>2.19604</v>
      </c>
      <c r="FI79">
        <v>2.66235</v>
      </c>
      <c r="FJ79">
        <v>2.4462899999999999</v>
      </c>
      <c r="FK79">
        <v>2.2790499999999998</v>
      </c>
      <c r="FL79">
        <v>29.9861</v>
      </c>
      <c r="FM79">
        <v>24.157499999999999</v>
      </c>
      <c r="FN79">
        <v>19</v>
      </c>
      <c r="FO79">
        <v>863.79399999999998</v>
      </c>
      <c r="FP79">
        <v>591.66</v>
      </c>
      <c r="FQ79">
        <v>18.434999999999999</v>
      </c>
      <c r="FR79">
        <v>25.0044</v>
      </c>
      <c r="FS79">
        <v>30.0001</v>
      </c>
      <c r="FT79">
        <v>24.983000000000001</v>
      </c>
      <c r="FU79">
        <v>24.984200000000001</v>
      </c>
      <c r="FV79">
        <v>24.727</v>
      </c>
      <c r="FW79">
        <v>35.528500000000001</v>
      </c>
      <c r="FX79">
        <v>41.696899999999999</v>
      </c>
      <c r="FY79">
        <v>18.433599999999998</v>
      </c>
      <c r="FZ79">
        <v>410</v>
      </c>
      <c r="GA79">
        <v>14.8748</v>
      </c>
      <c r="GB79">
        <v>99.886300000000006</v>
      </c>
      <c r="GC79">
        <v>99.504000000000005</v>
      </c>
    </row>
    <row r="80" spans="1:185" x14ac:dyDescent="0.2">
      <c r="A80">
        <v>65</v>
      </c>
      <c r="B80">
        <v>1769184111.0999999</v>
      </c>
      <c r="C80">
        <v>1248.0999999046301</v>
      </c>
      <c r="D80" t="s">
        <v>424</v>
      </c>
      <c r="E80" t="s">
        <v>425</v>
      </c>
      <c r="F80">
        <v>15</v>
      </c>
      <c r="G80">
        <v>1769184102.5999999</v>
      </c>
      <c r="H80">
        <f t="shared" ref="H80:H143" si="13">AF80*Q80*(AB80-AC80)/(1000*X80*(1000-Q80*AB80))</f>
        <v>-1.9162358041363398E-3</v>
      </c>
      <c r="I80">
        <v>0</v>
      </c>
      <c r="J80">
        <f t="shared" si="12"/>
        <v>-0.65763547455540639</v>
      </c>
      <c r="K80">
        <f t="shared" ref="K80:K143" si="14">AF80*Q80*(AA80-Z80*(1000-Q80*AC80)/(1000-Q80*AB80))/(1000*X80)</f>
        <v>-17.223257151115241</v>
      </c>
      <c r="L80">
        <f t="shared" ref="L80:L143" si="15">(M80/N80*100)</f>
        <v>58.79737018188392</v>
      </c>
      <c r="M80">
        <f t="shared" ref="M80:M143" si="16">AB80*(AG80+AH80)/1000</f>
        <v>1.3122324226280893</v>
      </c>
      <c r="N80">
        <f t="shared" ref="N80:N143" si="17">0.61365*EXP(17.502*AI80/(240.97+AI80))</f>
        <v>2.2317876098349747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26253.599601071128</v>
      </c>
      <c r="T80">
        <f t="shared" ref="T80:T143" si="21">$B$11*AO80+$C$11*AP80+$D$11*BA80</f>
        <v>1.5800966249999999E-2</v>
      </c>
      <c r="U80">
        <f t="shared" ref="U80:U143" si="22">T80*V80</f>
        <v>1.3314464553430173E-2</v>
      </c>
      <c r="V80">
        <f t="shared" ref="V80:V143" si="23">($B$11*$D$9+$C$11*$D$9+$D$11*(BB80*$E$9+BC80*$F$9+BD80*$G$9+BE80*$H$9))/($B$11+$C$11+$D$11)</f>
        <v>0.84263609849999987</v>
      </c>
      <c r="W80">
        <f t="shared" ref="W80:W143" si="24">($B$11*$L$9+$C$11*$L$9+$D$11*(BB80*$M$9+BC80*$N$9+BD80*$O$9+BE80*$P$9))/($B$11+$C$11+$D$11)</f>
        <v>0.15779051420999998</v>
      </c>
      <c r="X80">
        <v>1</v>
      </c>
      <c r="Y80">
        <v>1769184102.5999999</v>
      </c>
      <c r="Z80">
        <v>432.55131249999999</v>
      </c>
      <c r="AA80">
        <v>409.99087500000002</v>
      </c>
      <c r="AB80">
        <v>13.098637500000001</v>
      </c>
      <c r="AC80">
        <v>15.4620625</v>
      </c>
      <c r="AD80">
        <v>433.66068749999999</v>
      </c>
      <c r="AE80">
        <v>12.946631249999999</v>
      </c>
      <c r="AF80">
        <v>800.16743750000001</v>
      </c>
      <c r="AG80">
        <v>100.12418750000001</v>
      </c>
      <c r="AH80">
        <v>5.6646012500000002E-2</v>
      </c>
      <c r="AI80">
        <v>19.192337500000001</v>
      </c>
      <c r="AJ80">
        <v>999.9</v>
      </c>
      <c r="AK80">
        <v>999.9</v>
      </c>
      <c r="AL80">
        <v>0</v>
      </c>
      <c r="AM80">
        <v>0</v>
      </c>
      <c r="AN80">
        <v>5002.65625</v>
      </c>
      <c r="AO80">
        <v>0</v>
      </c>
      <c r="AP80">
        <v>1.8843462499999999</v>
      </c>
      <c r="AQ80">
        <v>22.560463189375</v>
      </c>
      <c r="AR80">
        <v>438.26156250000003</v>
      </c>
      <c r="AS80">
        <v>416.4296875</v>
      </c>
      <c r="AT80">
        <v>-2.3634121937499999</v>
      </c>
      <c r="AU80">
        <v>409.99087500000002</v>
      </c>
      <c r="AV80">
        <v>15.4620625</v>
      </c>
      <c r="AW80">
        <v>1.311490625</v>
      </c>
      <c r="AX80">
        <v>1.5481287500000001</v>
      </c>
      <c r="AY80">
        <v>10.801375</v>
      </c>
      <c r="AZ80">
        <v>13.451924999999999</v>
      </c>
      <c r="BA80">
        <v>1.5800966249999999E-2</v>
      </c>
      <c r="BB80">
        <v>0.91212606249999995</v>
      </c>
      <c r="BC80">
        <v>0</v>
      </c>
      <c r="BD80">
        <v>8.7873800000000002E-2</v>
      </c>
      <c r="BE80">
        <v>0</v>
      </c>
      <c r="BF80">
        <v>25</v>
      </c>
      <c r="BG80">
        <v>0.26041664375000001</v>
      </c>
      <c r="BH80">
        <v>1769183593.0999999</v>
      </c>
      <c r="BI80" t="s">
        <v>375</v>
      </c>
      <c r="BJ80">
        <v>1769183593.0999999</v>
      </c>
      <c r="BK80">
        <v>1769183589.0999999</v>
      </c>
      <c r="BL80">
        <v>2</v>
      </c>
      <c r="BM80">
        <v>9.6000000000000002E-2</v>
      </c>
      <c r="BN80">
        <v>2.3E-2</v>
      </c>
      <c r="BO80">
        <v>-1.109</v>
      </c>
      <c r="BP80">
        <v>0.152</v>
      </c>
      <c r="BQ80">
        <v>410</v>
      </c>
      <c r="BR80">
        <v>16</v>
      </c>
      <c r="BS80">
        <v>0.26</v>
      </c>
      <c r="BT80">
        <v>7.0000000000000007E-2</v>
      </c>
      <c r="BU80">
        <v>15.816782688619</v>
      </c>
      <c r="BV80">
        <v>154.22245608483101</v>
      </c>
      <c r="BW80">
        <v>17.9218600824905</v>
      </c>
      <c r="BX80">
        <v>0</v>
      </c>
      <c r="BY80">
        <v>0</v>
      </c>
      <c r="BZ80">
        <v>0</v>
      </c>
      <c r="CA80">
        <v>0</v>
      </c>
      <c r="CB80">
        <v>-1</v>
      </c>
      <c r="CC80">
        <v>-1.66624816619048</v>
      </c>
      <c r="CD80">
        <v>-16.098565713506499</v>
      </c>
      <c r="CE80">
        <v>1.8903572425794599</v>
      </c>
      <c r="CF80">
        <v>0</v>
      </c>
      <c r="CG80">
        <v>0</v>
      </c>
      <c r="CH80">
        <v>2</v>
      </c>
      <c r="CI80" t="s">
        <v>290</v>
      </c>
      <c r="CJ80">
        <v>3.5325899999999999</v>
      </c>
      <c r="CK80">
        <v>2.7034099999999999</v>
      </c>
      <c r="CL80">
        <v>0.10288700000000001</v>
      </c>
      <c r="CM80">
        <v>9.6737400000000001E-2</v>
      </c>
      <c r="CN80">
        <v>7.5507199999999997E-2</v>
      </c>
      <c r="CO80">
        <v>8.6393499999999998E-2</v>
      </c>
      <c r="CP80">
        <v>31466.3</v>
      </c>
      <c r="CQ80">
        <v>27760.3</v>
      </c>
      <c r="CR80">
        <v>32461.8</v>
      </c>
      <c r="CS80">
        <v>30658.5</v>
      </c>
      <c r="CT80">
        <v>40642</v>
      </c>
      <c r="CU80">
        <v>39368.5</v>
      </c>
      <c r="CV80">
        <v>47396.3</v>
      </c>
      <c r="CW80">
        <v>46738.2</v>
      </c>
      <c r="CX80">
        <v>2.6280399999999999</v>
      </c>
      <c r="CY80">
        <v>2.1562399999999999</v>
      </c>
      <c r="CZ80">
        <v>0</v>
      </c>
      <c r="DA80">
        <v>0</v>
      </c>
      <c r="DB80">
        <v>999.9</v>
      </c>
      <c r="DC80">
        <v>999.9</v>
      </c>
      <c r="DD80">
        <v>69.674000000000007</v>
      </c>
      <c r="DE80">
        <v>24.753</v>
      </c>
      <c r="DF80">
        <v>21.8018</v>
      </c>
      <c r="DG80">
        <v>30.6601</v>
      </c>
      <c r="DH80">
        <v>17.451899999999998</v>
      </c>
      <c r="DI80">
        <v>2</v>
      </c>
      <c r="DJ80">
        <v>-0.149646</v>
      </c>
      <c r="DK80">
        <v>3.5460699999999998</v>
      </c>
      <c r="DL80">
        <v>20.203499999999998</v>
      </c>
      <c r="DM80">
        <v>5.2481999999999998</v>
      </c>
      <c r="DN80">
        <v>12.033899999999999</v>
      </c>
      <c r="DO80">
        <v>4.9669999999999996</v>
      </c>
      <c r="DP80">
        <v>3.2906</v>
      </c>
      <c r="DQ80">
        <v>9999</v>
      </c>
      <c r="DR80">
        <v>9999</v>
      </c>
      <c r="DS80">
        <v>534.29999999999995</v>
      </c>
      <c r="DT80">
        <v>9999</v>
      </c>
      <c r="DU80">
        <v>1.87103</v>
      </c>
      <c r="DV80">
        <v>1.8760699999999999</v>
      </c>
      <c r="DW80">
        <v>1.87622</v>
      </c>
      <c r="DX80">
        <v>1.8827799999999999</v>
      </c>
      <c r="DY80">
        <v>1.8754900000000001</v>
      </c>
      <c r="DZ80">
        <v>1.8745799999999999</v>
      </c>
      <c r="EA80">
        <v>1.87073</v>
      </c>
      <c r="EB80">
        <v>1.8745799999999999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-1.109</v>
      </c>
      <c r="EQ80">
        <v>0.152</v>
      </c>
      <c r="ER80">
        <v>-1.10929999999996</v>
      </c>
      <c r="ES80">
        <v>0</v>
      </c>
      <c r="ET80">
        <v>0</v>
      </c>
      <c r="EU80">
        <v>0</v>
      </c>
      <c r="EV80">
        <v>0.15201999999999699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8.6</v>
      </c>
      <c r="FE80">
        <v>8.6999999999999993</v>
      </c>
      <c r="FF80">
        <v>1.2341299999999999</v>
      </c>
      <c r="FG80">
        <v>2.5524900000000001</v>
      </c>
      <c r="FH80">
        <v>2.19604</v>
      </c>
      <c r="FI80">
        <v>2.66113</v>
      </c>
      <c r="FJ80">
        <v>2.4462899999999999</v>
      </c>
      <c r="FK80">
        <v>2.2717299999999998</v>
      </c>
      <c r="FL80">
        <v>30.136099999999999</v>
      </c>
      <c r="FM80">
        <v>24.148800000000001</v>
      </c>
      <c r="FN80">
        <v>19</v>
      </c>
      <c r="FO80">
        <v>862.69600000000003</v>
      </c>
      <c r="FP80">
        <v>591.35699999999997</v>
      </c>
      <c r="FQ80">
        <v>18.048999999999999</v>
      </c>
      <c r="FR80">
        <v>25.0608</v>
      </c>
      <c r="FS80">
        <v>30.002300000000002</v>
      </c>
      <c r="FT80">
        <v>25.037800000000001</v>
      </c>
      <c r="FU80">
        <v>25.043399999999998</v>
      </c>
      <c r="FV80">
        <v>24.769400000000001</v>
      </c>
      <c r="FW80">
        <v>32.552100000000003</v>
      </c>
      <c r="FX80">
        <v>37.941099999999999</v>
      </c>
      <c r="FY80">
        <v>17.6981</v>
      </c>
      <c r="FZ80">
        <v>410</v>
      </c>
      <c r="GA80">
        <v>15.443300000000001</v>
      </c>
      <c r="GB80">
        <v>99.880499999999998</v>
      </c>
      <c r="GC80">
        <v>99.510099999999994</v>
      </c>
    </row>
    <row r="81" spans="1:185" x14ac:dyDescent="0.2">
      <c r="A81">
        <v>66</v>
      </c>
      <c r="B81">
        <v>1769184126.0999999</v>
      </c>
      <c r="C81">
        <v>1263.0999999046301</v>
      </c>
      <c r="D81" t="s">
        <v>426</v>
      </c>
      <c r="E81" t="s">
        <v>427</v>
      </c>
      <c r="F81">
        <v>15</v>
      </c>
      <c r="G81">
        <v>1769184118.03333</v>
      </c>
      <c r="H81">
        <f t="shared" si="13"/>
        <v>-1.4860926637876414E-3</v>
      </c>
      <c r="I81">
        <v>0</v>
      </c>
      <c r="J81">
        <f t="shared" ref="J81:J144" si="25">K81*(0.0003137/0.0082157)</f>
        <v>-0.47721389403108</v>
      </c>
      <c r="K81">
        <f t="shared" si="14"/>
        <v>-12.498075196656499</v>
      </c>
      <c r="L81">
        <f t="shared" si="15"/>
        <v>63.136732034068913</v>
      </c>
      <c r="M81">
        <f t="shared" si="16"/>
        <v>1.4007434079265864</v>
      </c>
      <c r="N81">
        <f t="shared" si="17"/>
        <v>2.2185871247988223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26228.239305938234</v>
      </c>
      <c r="T81">
        <f t="shared" si="21"/>
        <v>0</v>
      </c>
      <c r="U81">
        <f t="shared" si="22"/>
        <v>0</v>
      </c>
      <c r="V81">
        <f t="shared" si="23"/>
        <v>0.84248416500000001</v>
      </c>
      <c r="W81">
        <f t="shared" si="24"/>
        <v>0.15741138690000001</v>
      </c>
      <c r="X81">
        <v>1</v>
      </c>
      <c r="Y81">
        <v>1769184118.03333</v>
      </c>
      <c r="Z81">
        <v>426.22946666666701</v>
      </c>
      <c r="AA81">
        <v>409.81586666666698</v>
      </c>
      <c r="AB81">
        <v>13.980560000000001</v>
      </c>
      <c r="AC81">
        <v>15.81212</v>
      </c>
      <c r="AD81">
        <v>427.338866666667</v>
      </c>
      <c r="AE81">
        <v>13.8285533333333</v>
      </c>
      <c r="AF81">
        <v>800.03726666666603</v>
      </c>
      <c r="AG81">
        <v>100.126533333333</v>
      </c>
      <c r="AH81">
        <v>6.5691293333333303E-2</v>
      </c>
      <c r="AI81">
        <v>19.097166666666698</v>
      </c>
      <c r="AJ81">
        <v>999.9</v>
      </c>
      <c r="AK81">
        <v>999.9</v>
      </c>
      <c r="AL81">
        <v>0</v>
      </c>
      <c r="AM81">
        <v>0</v>
      </c>
      <c r="AN81">
        <v>4996.9666666666699</v>
      </c>
      <c r="AO81">
        <v>0</v>
      </c>
      <c r="AP81">
        <v>1.9828699999999999</v>
      </c>
      <c r="AQ81">
        <v>16.413598</v>
      </c>
      <c r="AR81">
        <v>432.26920000000001</v>
      </c>
      <c r="AS81">
        <v>416.40013333333297</v>
      </c>
      <c r="AT81">
        <v>-1.8315473333333301</v>
      </c>
      <c r="AU81">
        <v>409.81586666666698</v>
      </c>
      <c r="AV81">
        <v>15.81212</v>
      </c>
      <c r="AW81">
        <v>1.3998280000000001</v>
      </c>
      <c r="AX81">
        <v>1.5832139999999999</v>
      </c>
      <c r="AY81">
        <v>11.90038</v>
      </c>
      <c r="AZ81">
        <v>13.792260000000001</v>
      </c>
      <c r="BA81">
        <v>0</v>
      </c>
      <c r="BB81">
        <v>0.91718</v>
      </c>
      <c r="BC81">
        <v>0</v>
      </c>
      <c r="BD81">
        <v>8.2819500000000004E-2</v>
      </c>
      <c r="BE81">
        <v>0</v>
      </c>
      <c r="BF81">
        <v>25</v>
      </c>
      <c r="BG81">
        <v>0</v>
      </c>
      <c r="BH81">
        <v>1769183593.0999999</v>
      </c>
      <c r="BI81" t="s">
        <v>375</v>
      </c>
      <c r="BJ81">
        <v>1769183593.0999999</v>
      </c>
      <c r="BK81">
        <v>1769183589.0999999</v>
      </c>
      <c r="BL81">
        <v>2</v>
      </c>
      <c r="BM81">
        <v>9.6000000000000002E-2</v>
      </c>
      <c r="BN81">
        <v>2.3E-2</v>
      </c>
      <c r="BO81">
        <v>-1.109</v>
      </c>
      <c r="BP81">
        <v>0.152</v>
      </c>
      <c r="BQ81">
        <v>410</v>
      </c>
      <c r="BR81">
        <v>16</v>
      </c>
      <c r="BS81">
        <v>0.26</v>
      </c>
      <c r="BT81">
        <v>7.0000000000000007E-2</v>
      </c>
      <c r="BU81">
        <v>21.837427142857099</v>
      </c>
      <c r="BV81">
        <v>-99.831906233766205</v>
      </c>
      <c r="BW81">
        <v>10.3036835778303</v>
      </c>
      <c r="BX81">
        <v>0</v>
      </c>
      <c r="BY81">
        <v>0</v>
      </c>
      <c r="BZ81">
        <v>0</v>
      </c>
      <c r="CA81">
        <v>0</v>
      </c>
      <c r="CB81">
        <v>-1</v>
      </c>
      <c r="CC81">
        <v>-2.3537499999999998</v>
      </c>
      <c r="CD81">
        <v>8.41804519480519</v>
      </c>
      <c r="CE81">
        <v>0.95242385327922097</v>
      </c>
      <c r="CF81">
        <v>0</v>
      </c>
      <c r="CG81">
        <v>0</v>
      </c>
      <c r="CH81">
        <v>2</v>
      </c>
      <c r="CI81" t="s">
        <v>290</v>
      </c>
      <c r="CJ81">
        <v>3.5324399999999998</v>
      </c>
      <c r="CK81">
        <v>2.7035999999999998</v>
      </c>
      <c r="CL81">
        <v>9.9549299999999993E-2</v>
      </c>
      <c r="CM81">
        <v>9.6729999999999997E-2</v>
      </c>
      <c r="CN81">
        <v>8.5317100000000007E-2</v>
      </c>
      <c r="CO81">
        <v>9.0044799999999994E-2</v>
      </c>
      <c r="CP81">
        <v>31583.1</v>
      </c>
      <c r="CQ81">
        <v>27759.3</v>
      </c>
      <c r="CR81">
        <v>32461.3</v>
      </c>
      <c r="CS81">
        <v>30657.1</v>
      </c>
      <c r="CT81">
        <v>40196.699999999997</v>
      </c>
      <c r="CU81">
        <v>39204.800000000003</v>
      </c>
      <c r="CV81">
        <v>47395.5</v>
      </c>
      <c r="CW81">
        <v>46736.9</v>
      </c>
      <c r="CX81">
        <v>2.6273</v>
      </c>
      <c r="CY81">
        <v>2.1577000000000002</v>
      </c>
      <c r="CZ81">
        <v>0</v>
      </c>
      <c r="DA81">
        <v>0</v>
      </c>
      <c r="DB81">
        <v>999.9</v>
      </c>
      <c r="DC81">
        <v>999.9</v>
      </c>
      <c r="DD81">
        <v>69.552000000000007</v>
      </c>
      <c r="DE81">
        <v>24.763000000000002</v>
      </c>
      <c r="DF81">
        <v>21.7775</v>
      </c>
      <c r="DG81">
        <v>30.510100000000001</v>
      </c>
      <c r="DH81">
        <v>17.548100000000002</v>
      </c>
      <c r="DI81">
        <v>2</v>
      </c>
      <c r="DJ81">
        <v>-0.148205</v>
      </c>
      <c r="DK81">
        <v>3.33026</v>
      </c>
      <c r="DL81">
        <v>20.21</v>
      </c>
      <c r="DM81">
        <v>5.24892</v>
      </c>
      <c r="DN81">
        <v>12.033899999999999</v>
      </c>
      <c r="DO81">
        <v>4.9672799999999997</v>
      </c>
      <c r="DP81">
        <v>3.2906399999999998</v>
      </c>
      <c r="DQ81">
        <v>9999</v>
      </c>
      <c r="DR81">
        <v>9999</v>
      </c>
      <c r="DS81">
        <v>534.29999999999995</v>
      </c>
      <c r="DT81">
        <v>9999</v>
      </c>
      <c r="DU81">
        <v>1.87103</v>
      </c>
      <c r="DV81">
        <v>1.8760699999999999</v>
      </c>
      <c r="DW81">
        <v>1.8762300000000001</v>
      </c>
      <c r="DX81">
        <v>1.8827799999999999</v>
      </c>
      <c r="DY81">
        <v>1.87554</v>
      </c>
      <c r="DZ81">
        <v>1.8746</v>
      </c>
      <c r="EA81">
        <v>1.8707400000000001</v>
      </c>
      <c r="EB81">
        <v>1.87459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-1.109</v>
      </c>
      <c r="EQ81">
        <v>0.15210000000000001</v>
      </c>
      <c r="ER81">
        <v>-1.10929999999996</v>
      </c>
      <c r="ES81">
        <v>0</v>
      </c>
      <c r="ET81">
        <v>0</v>
      </c>
      <c r="EU81">
        <v>0</v>
      </c>
      <c r="EV81">
        <v>0.15201999999999699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8.9</v>
      </c>
      <c r="FE81">
        <v>8.9</v>
      </c>
      <c r="FF81">
        <v>1.2353499999999999</v>
      </c>
      <c r="FG81">
        <v>2.5573700000000001</v>
      </c>
      <c r="FH81">
        <v>2.19604</v>
      </c>
      <c r="FI81">
        <v>2.66113</v>
      </c>
      <c r="FJ81">
        <v>2.4462899999999999</v>
      </c>
      <c r="FK81">
        <v>2.2668499999999998</v>
      </c>
      <c r="FL81">
        <v>30.157599999999999</v>
      </c>
      <c r="FM81">
        <v>24.148800000000001</v>
      </c>
      <c r="FN81">
        <v>19</v>
      </c>
      <c r="FO81">
        <v>862.19200000000001</v>
      </c>
      <c r="FP81">
        <v>592.59199999999998</v>
      </c>
      <c r="FQ81">
        <v>17.454499999999999</v>
      </c>
      <c r="FR81">
        <v>25.065000000000001</v>
      </c>
      <c r="FS81">
        <v>29.9999</v>
      </c>
      <c r="FT81">
        <v>25.048999999999999</v>
      </c>
      <c r="FU81">
        <v>25.051400000000001</v>
      </c>
      <c r="FV81">
        <v>24.793299999999999</v>
      </c>
      <c r="FW81">
        <v>29.225200000000001</v>
      </c>
      <c r="FX81">
        <v>37.564900000000002</v>
      </c>
      <c r="FY81">
        <v>17.440000000000001</v>
      </c>
      <c r="FZ81">
        <v>410</v>
      </c>
      <c r="GA81">
        <v>16.181000000000001</v>
      </c>
      <c r="GB81">
        <v>99.878900000000002</v>
      </c>
      <c r="GC81">
        <v>99.506500000000003</v>
      </c>
    </row>
    <row r="82" spans="1:185" x14ac:dyDescent="0.2">
      <c r="A82">
        <v>67</v>
      </c>
      <c r="B82">
        <v>1769184141.0999999</v>
      </c>
      <c r="C82">
        <v>1278.0999999046301</v>
      </c>
      <c r="D82" t="s">
        <v>428</v>
      </c>
      <c r="E82" t="s">
        <v>429</v>
      </c>
      <c r="F82">
        <v>15</v>
      </c>
      <c r="G82">
        <v>1769184133.03333</v>
      </c>
      <c r="H82">
        <f t="shared" si="13"/>
        <v>-5.7737871123483104E-4</v>
      </c>
      <c r="I82">
        <v>0</v>
      </c>
      <c r="J82">
        <f t="shared" si="25"/>
        <v>-0.13716626908595142</v>
      </c>
      <c r="K82">
        <f t="shared" si="14"/>
        <v>-3.5923395503010869</v>
      </c>
      <c r="L82">
        <f t="shared" si="15"/>
        <v>70.391612810669272</v>
      </c>
      <c r="M82">
        <f t="shared" si="16"/>
        <v>1.5476598801403971</v>
      </c>
      <c r="N82">
        <f t="shared" si="17"/>
        <v>2.1986424494962247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26256.420190262033</v>
      </c>
      <c r="T82">
        <f t="shared" si="21"/>
        <v>0</v>
      </c>
      <c r="U82">
        <f t="shared" si="22"/>
        <v>0</v>
      </c>
      <c r="V82">
        <f t="shared" si="23"/>
        <v>0.84248416500000001</v>
      </c>
      <c r="W82">
        <f t="shared" si="24"/>
        <v>0.15741138690000001</v>
      </c>
      <c r="X82">
        <v>1</v>
      </c>
      <c r="Y82">
        <v>1769184133.03333</v>
      </c>
      <c r="Z82">
        <v>414.85353333333302</v>
      </c>
      <c r="AA82">
        <v>410.06366666666702</v>
      </c>
      <c r="AB82">
        <v>15.4467</v>
      </c>
      <c r="AC82">
        <v>16.15728</v>
      </c>
      <c r="AD82">
        <v>415.96293333333301</v>
      </c>
      <c r="AE82">
        <v>15.294700000000001</v>
      </c>
      <c r="AF82">
        <v>799.99453333333304</v>
      </c>
      <c r="AG82">
        <v>100.128066666667</v>
      </c>
      <c r="AH82">
        <v>6.5494426666666702E-2</v>
      </c>
      <c r="AI82">
        <v>18.9524266666667</v>
      </c>
      <c r="AJ82">
        <v>999.9</v>
      </c>
      <c r="AK82">
        <v>999.9</v>
      </c>
      <c r="AL82">
        <v>0</v>
      </c>
      <c r="AM82">
        <v>0</v>
      </c>
      <c r="AN82">
        <v>4999.3999999999996</v>
      </c>
      <c r="AO82">
        <v>0</v>
      </c>
      <c r="AP82">
        <v>1.9760899999999999</v>
      </c>
      <c r="AQ82">
        <v>4.7899373333333397</v>
      </c>
      <c r="AR82">
        <v>421.36193333333301</v>
      </c>
      <c r="AS82">
        <v>416.79806666666701</v>
      </c>
      <c r="AT82">
        <v>-0.71057420000000004</v>
      </c>
      <c r="AU82">
        <v>410.06366666666702</v>
      </c>
      <c r="AV82">
        <v>16.15728</v>
      </c>
      <c r="AW82">
        <v>1.5466500000000001</v>
      </c>
      <c r="AX82">
        <v>1.6177980000000001</v>
      </c>
      <c r="AY82">
        <v>13.43566</v>
      </c>
      <c r="AZ82">
        <v>14.1288</v>
      </c>
      <c r="BA82">
        <v>0</v>
      </c>
      <c r="BB82">
        <v>0.91718</v>
      </c>
      <c r="BC82">
        <v>0</v>
      </c>
      <c r="BD82">
        <v>8.2819500000000004E-2</v>
      </c>
      <c r="BE82">
        <v>0</v>
      </c>
      <c r="BF82">
        <v>25</v>
      </c>
      <c r="BG82">
        <v>0</v>
      </c>
      <c r="BH82">
        <v>1769183593.0999999</v>
      </c>
      <c r="BI82" t="s">
        <v>375</v>
      </c>
      <c r="BJ82">
        <v>1769183593.0999999</v>
      </c>
      <c r="BK82">
        <v>1769183589.0999999</v>
      </c>
      <c r="BL82">
        <v>2</v>
      </c>
      <c r="BM82">
        <v>9.6000000000000002E-2</v>
      </c>
      <c r="BN82">
        <v>2.3E-2</v>
      </c>
      <c r="BO82">
        <v>-1.109</v>
      </c>
      <c r="BP82">
        <v>0.152</v>
      </c>
      <c r="BQ82">
        <v>410</v>
      </c>
      <c r="BR82">
        <v>16</v>
      </c>
      <c r="BS82">
        <v>0.26</v>
      </c>
      <c r="BT82">
        <v>7.0000000000000007E-2</v>
      </c>
      <c r="BU82">
        <v>7.04685047619048</v>
      </c>
      <c r="BV82">
        <v>-33.730839740259697</v>
      </c>
      <c r="BW82">
        <v>3.4966060362292799</v>
      </c>
      <c r="BX82">
        <v>0</v>
      </c>
      <c r="BY82">
        <v>0</v>
      </c>
      <c r="BZ82">
        <v>0</v>
      </c>
      <c r="CA82">
        <v>0</v>
      </c>
      <c r="CB82">
        <v>-1</v>
      </c>
      <c r="CC82">
        <v>-1.0410704761904801</v>
      </c>
      <c r="CD82">
        <v>5.04463394805195</v>
      </c>
      <c r="CE82">
        <v>0.51323651681096305</v>
      </c>
      <c r="CF82">
        <v>0</v>
      </c>
      <c r="CG82">
        <v>0</v>
      </c>
      <c r="CH82">
        <v>2</v>
      </c>
      <c r="CI82" t="s">
        <v>290</v>
      </c>
      <c r="CJ82">
        <v>3.5325500000000001</v>
      </c>
      <c r="CK82">
        <v>2.70343</v>
      </c>
      <c r="CL82">
        <v>9.8584099999999994E-2</v>
      </c>
      <c r="CM82">
        <v>9.6761399999999997E-2</v>
      </c>
      <c r="CN82">
        <v>8.8569300000000004E-2</v>
      </c>
      <c r="CO82">
        <v>8.8223800000000005E-2</v>
      </c>
      <c r="CP82">
        <v>31617.7</v>
      </c>
      <c r="CQ82">
        <v>27759.7</v>
      </c>
      <c r="CR82">
        <v>32462</v>
      </c>
      <c r="CS82">
        <v>30658.6</v>
      </c>
      <c r="CT82">
        <v>40050</v>
      </c>
      <c r="CU82">
        <v>39287.699999999997</v>
      </c>
      <c r="CV82">
        <v>47396.7</v>
      </c>
      <c r="CW82">
        <v>46739.1</v>
      </c>
      <c r="CX82">
        <v>2.62826</v>
      </c>
      <c r="CY82">
        <v>2.1565799999999999</v>
      </c>
      <c r="CZ82">
        <v>0</v>
      </c>
      <c r="DA82">
        <v>0</v>
      </c>
      <c r="DB82">
        <v>999.9</v>
      </c>
      <c r="DC82">
        <v>999.9</v>
      </c>
      <c r="DD82">
        <v>69.472999999999999</v>
      </c>
      <c r="DE82">
        <v>24.773</v>
      </c>
      <c r="DF82">
        <v>21.7638</v>
      </c>
      <c r="DG82">
        <v>30.3001</v>
      </c>
      <c r="DH82">
        <v>17.5441</v>
      </c>
      <c r="DI82">
        <v>2</v>
      </c>
      <c r="DJ82">
        <v>-0.15462999999999999</v>
      </c>
      <c r="DK82">
        <v>1.6659299999999999</v>
      </c>
      <c r="DL82">
        <v>20.241900000000001</v>
      </c>
      <c r="DM82">
        <v>5.2516699999999998</v>
      </c>
      <c r="DN82">
        <v>12.033899999999999</v>
      </c>
      <c r="DO82">
        <v>4.9672799999999997</v>
      </c>
      <c r="DP82">
        <v>3.2909999999999999</v>
      </c>
      <c r="DQ82">
        <v>9999</v>
      </c>
      <c r="DR82">
        <v>9999</v>
      </c>
      <c r="DS82">
        <v>534.29999999999995</v>
      </c>
      <c r="DT82">
        <v>9999</v>
      </c>
      <c r="DU82">
        <v>1.8710199999999999</v>
      </c>
      <c r="DV82">
        <v>1.8760699999999999</v>
      </c>
      <c r="DW82">
        <v>1.8762399999999999</v>
      </c>
      <c r="DX82">
        <v>1.8827799999999999</v>
      </c>
      <c r="DY82">
        <v>1.8755500000000001</v>
      </c>
      <c r="DZ82">
        <v>1.8745700000000001</v>
      </c>
      <c r="EA82">
        <v>1.87073</v>
      </c>
      <c r="EB82">
        <v>1.87456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-1.1100000000000001</v>
      </c>
      <c r="EQ82">
        <v>0.152</v>
      </c>
      <c r="ER82">
        <v>-1.10929999999996</v>
      </c>
      <c r="ES82">
        <v>0</v>
      </c>
      <c r="ET82">
        <v>0</v>
      </c>
      <c r="EU82">
        <v>0</v>
      </c>
      <c r="EV82">
        <v>0.15201999999999699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9.1</v>
      </c>
      <c r="FE82">
        <v>9.1999999999999993</v>
      </c>
      <c r="FF82">
        <v>1.2341299999999999</v>
      </c>
      <c r="FG82">
        <v>2.5561500000000001</v>
      </c>
      <c r="FH82">
        <v>2.19604</v>
      </c>
      <c r="FI82">
        <v>2.66113</v>
      </c>
      <c r="FJ82">
        <v>2.4462899999999999</v>
      </c>
      <c r="FK82">
        <v>2.3059099999999999</v>
      </c>
      <c r="FL82">
        <v>30.178999999999998</v>
      </c>
      <c r="FM82">
        <v>24.157499999999999</v>
      </c>
      <c r="FN82">
        <v>19</v>
      </c>
      <c r="FO82">
        <v>863.17700000000002</v>
      </c>
      <c r="FP82">
        <v>591.75400000000002</v>
      </c>
      <c r="FQ82">
        <v>17.887699999999999</v>
      </c>
      <c r="FR82">
        <v>25.071000000000002</v>
      </c>
      <c r="FS82">
        <v>29.9983</v>
      </c>
      <c r="FT82">
        <v>25.0549</v>
      </c>
      <c r="FU82">
        <v>25.0547</v>
      </c>
      <c r="FV82">
        <v>24.7806</v>
      </c>
      <c r="FW82">
        <v>31.430199999999999</v>
      </c>
      <c r="FX82">
        <v>37.190300000000001</v>
      </c>
      <c r="FY82">
        <v>17.981000000000002</v>
      </c>
      <c r="FZ82">
        <v>410</v>
      </c>
      <c r="GA82">
        <v>15.6035</v>
      </c>
      <c r="GB82">
        <v>99.881299999999996</v>
      </c>
      <c r="GC82">
        <v>99.511300000000006</v>
      </c>
    </row>
    <row r="83" spans="1:185" x14ac:dyDescent="0.2">
      <c r="A83">
        <v>68</v>
      </c>
      <c r="B83">
        <v>1769184156.0999999</v>
      </c>
      <c r="C83">
        <v>1293.0999999046301</v>
      </c>
      <c r="D83" t="s">
        <v>430</v>
      </c>
      <c r="E83" t="s">
        <v>431</v>
      </c>
      <c r="F83">
        <v>15</v>
      </c>
      <c r="G83">
        <v>1769184148.03333</v>
      </c>
      <c r="H83">
        <f t="shared" si="13"/>
        <v>1.76750823467757E-4</v>
      </c>
      <c r="I83">
        <v>0</v>
      </c>
      <c r="J83">
        <f t="shared" si="25"/>
        <v>-4.8032545266938315E-2</v>
      </c>
      <c r="K83">
        <f t="shared" si="14"/>
        <v>-1.2579565895747054</v>
      </c>
      <c r="L83">
        <f t="shared" si="15"/>
        <v>72.513629899408386</v>
      </c>
      <c r="M83">
        <f t="shared" si="16"/>
        <v>1.5878279899081524</v>
      </c>
      <c r="N83">
        <f t="shared" si="17"/>
        <v>2.1896959124936966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26281.188524986908</v>
      </c>
      <c r="T83">
        <f t="shared" si="21"/>
        <v>0</v>
      </c>
      <c r="U83">
        <f t="shared" si="22"/>
        <v>0</v>
      </c>
      <c r="V83">
        <f t="shared" si="23"/>
        <v>0.84248416500000001</v>
      </c>
      <c r="W83">
        <f t="shared" si="24"/>
        <v>0.15741138690000001</v>
      </c>
      <c r="X83">
        <v>1</v>
      </c>
      <c r="Y83">
        <v>1769184148.03333</v>
      </c>
      <c r="Z83">
        <v>411.56773333333302</v>
      </c>
      <c r="AA83">
        <v>410.08620000000002</v>
      </c>
      <c r="AB83">
        <v>15.84732</v>
      </c>
      <c r="AC83">
        <v>15.62988</v>
      </c>
      <c r="AD83">
        <v>412.67713333333302</v>
      </c>
      <c r="AE83">
        <v>15.6952866666667</v>
      </c>
      <c r="AF83">
        <v>799.98986666666701</v>
      </c>
      <c r="AG83">
        <v>100.129866666667</v>
      </c>
      <c r="AH83">
        <v>6.5496960000000007E-2</v>
      </c>
      <c r="AI83">
        <v>18.887126666666699</v>
      </c>
      <c r="AJ83">
        <v>999.9</v>
      </c>
      <c r="AK83">
        <v>999.9</v>
      </c>
      <c r="AL83">
        <v>0</v>
      </c>
      <c r="AM83">
        <v>0</v>
      </c>
      <c r="AN83">
        <v>5002.4333333333298</v>
      </c>
      <c r="AO83">
        <v>0</v>
      </c>
      <c r="AP83">
        <v>1.9760899999999999</v>
      </c>
      <c r="AQ83">
        <v>1.4815977333333299</v>
      </c>
      <c r="AR83">
        <v>418.195066666667</v>
      </c>
      <c r="AS83">
        <v>416.5976</v>
      </c>
      <c r="AT83">
        <v>0.21743203999999999</v>
      </c>
      <c r="AU83">
        <v>410.08620000000002</v>
      </c>
      <c r="AV83">
        <v>15.62988</v>
      </c>
      <c r="AW83">
        <v>1.5867880000000001</v>
      </c>
      <c r="AX83">
        <v>1.565018</v>
      </c>
      <c r="AY83">
        <v>13.831060000000001</v>
      </c>
      <c r="AZ83">
        <v>13.6179666666667</v>
      </c>
      <c r="BA83">
        <v>0</v>
      </c>
      <c r="BB83">
        <v>0.91718</v>
      </c>
      <c r="BC83">
        <v>0</v>
      </c>
      <c r="BD83">
        <v>8.2819500000000004E-2</v>
      </c>
      <c r="BE83">
        <v>0</v>
      </c>
      <c r="BF83">
        <v>25</v>
      </c>
      <c r="BG83">
        <v>0</v>
      </c>
      <c r="BH83">
        <v>1769183593.0999999</v>
      </c>
      <c r="BI83" t="s">
        <v>375</v>
      </c>
      <c r="BJ83">
        <v>1769183593.0999999</v>
      </c>
      <c r="BK83">
        <v>1769183589.0999999</v>
      </c>
      <c r="BL83">
        <v>2</v>
      </c>
      <c r="BM83">
        <v>9.6000000000000002E-2</v>
      </c>
      <c r="BN83">
        <v>2.3E-2</v>
      </c>
      <c r="BO83">
        <v>-1.109</v>
      </c>
      <c r="BP83">
        <v>0.152</v>
      </c>
      <c r="BQ83">
        <v>410</v>
      </c>
      <c r="BR83">
        <v>16</v>
      </c>
      <c r="BS83">
        <v>0.26</v>
      </c>
      <c r="BT83">
        <v>7.0000000000000007E-2</v>
      </c>
      <c r="BU83">
        <v>1.9878172000000001</v>
      </c>
      <c r="BV83">
        <v>-8.6171986466165293</v>
      </c>
      <c r="BW83">
        <v>0.84813869094250105</v>
      </c>
      <c r="BX83">
        <v>0</v>
      </c>
      <c r="BY83">
        <v>0</v>
      </c>
      <c r="BZ83">
        <v>0</v>
      </c>
      <c r="CA83">
        <v>0</v>
      </c>
      <c r="CB83">
        <v>-1</v>
      </c>
      <c r="CC83">
        <v>4.5513230000000002E-2</v>
      </c>
      <c r="CD83">
        <v>2.9699885233082699</v>
      </c>
      <c r="CE83">
        <v>0.287653689587344</v>
      </c>
      <c r="CF83">
        <v>0</v>
      </c>
      <c r="CG83">
        <v>0</v>
      </c>
      <c r="CH83">
        <v>2</v>
      </c>
      <c r="CI83" t="s">
        <v>290</v>
      </c>
      <c r="CJ83">
        <v>3.5325500000000001</v>
      </c>
      <c r="CK83">
        <v>2.7037499999999999</v>
      </c>
      <c r="CL83">
        <v>9.8283700000000002E-2</v>
      </c>
      <c r="CM83">
        <v>9.6739900000000004E-2</v>
      </c>
      <c r="CN83">
        <v>8.9016499999999998E-2</v>
      </c>
      <c r="CO83">
        <v>8.6159100000000002E-2</v>
      </c>
      <c r="CP83">
        <v>31627.7</v>
      </c>
      <c r="CQ83">
        <v>27759.8</v>
      </c>
      <c r="CR83">
        <v>32461.599999999999</v>
      </c>
      <c r="CS83">
        <v>30658.1</v>
      </c>
      <c r="CT83">
        <v>40029.1</v>
      </c>
      <c r="CU83">
        <v>39379</v>
      </c>
      <c r="CV83">
        <v>47396</v>
      </c>
      <c r="CW83">
        <v>46738.400000000001</v>
      </c>
      <c r="CX83">
        <v>2.62886</v>
      </c>
      <c r="CY83">
        <v>2.1555599999999999</v>
      </c>
      <c r="CZ83">
        <v>0</v>
      </c>
      <c r="DA83">
        <v>0</v>
      </c>
      <c r="DB83">
        <v>999.9</v>
      </c>
      <c r="DC83">
        <v>999.9</v>
      </c>
      <c r="DD83">
        <v>69.350999999999999</v>
      </c>
      <c r="DE83">
        <v>24.824000000000002</v>
      </c>
      <c r="DF83">
        <v>21.794499999999999</v>
      </c>
      <c r="DG83">
        <v>30.420100000000001</v>
      </c>
      <c r="DH83">
        <v>17.568100000000001</v>
      </c>
      <c r="DI83">
        <v>2</v>
      </c>
      <c r="DJ83">
        <v>-0.15318699999999999</v>
      </c>
      <c r="DK83">
        <v>1.74553</v>
      </c>
      <c r="DL83">
        <v>20.240300000000001</v>
      </c>
      <c r="DM83">
        <v>5.2511900000000002</v>
      </c>
      <c r="DN83">
        <v>12.033899999999999</v>
      </c>
      <c r="DO83">
        <v>4.9672400000000003</v>
      </c>
      <c r="DP83">
        <v>3.2909999999999999</v>
      </c>
      <c r="DQ83">
        <v>9999</v>
      </c>
      <c r="DR83">
        <v>9999</v>
      </c>
      <c r="DS83">
        <v>534.29999999999995</v>
      </c>
      <c r="DT83">
        <v>9999</v>
      </c>
      <c r="DU83">
        <v>1.8710199999999999</v>
      </c>
      <c r="DV83">
        <v>1.8760699999999999</v>
      </c>
      <c r="DW83">
        <v>1.8762300000000001</v>
      </c>
      <c r="DX83">
        <v>1.8827799999999999</v>
      </c>
      <c r="DY83">
        <v>1.87554</v>
      </c>
      <c r="DZ83">
        <v>1.8745799999999999</v>
      </c>
      <c r="EA83">
        <v>1.87073</v>
      </c>
      <c r="EB83">
        <v>1.87459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-1.109</v>
      </c>
      <c r="EQ83">
        <v>0.152</v>
      </c>
      <c r="ER83">
        <v>-1.10929999999996</v>
      </c>
      <c r="ES83">
        <v>0</v>
      </c>
      <c r="ET83">
        <v>0</v>
      </c>
      <c r="EU83">
        <v>0</v>
      </c>
      <c r="EV83">
        <v>0.15201999999999699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9.4</v>
      </c>
      <c r="FE83">
        <v>9.4</v>
      </c>
      <c r="FF83">
        <v>1.2341299999999999</v>
      </c>
      <c r="FG83">
        <v>2.5549300000000001</v>
      </c>
      <c r="FH83">
        <v>2.19604</v>
      </c>
      <c r="FI83">
        <v>2.66113</v>
      </c>
      <c r="FJ83">
        <v>2.4462899999999999</v>
      </c>
      <c r="FK83">
        <v>2.33887</v>
      </c>
      <c r="FL83">
        <v>30.200500000000002</v>
      </c>
      <c r="FM83">
        <v>24.1663</v>
      </c>
      <c r="FN83">
        <v>19</v>
      </c>
      <c r="FO83">
        <v>863.82100000000003</v>
      </c>
      <c r="FP83">
        <v>591.02</v>
      </c>
      <c r="FQ83">
        <v>18.1264</v>
      </c>
      <c r="FR83">
        <v>25.078499999999998</v>
      </c>
      <c r="FS83">
        <v>30.000399999999999</v>
      </c>
      <c r="FT83">
        <v>25.060400000000001</v>
      </c>
      <c r="FU83">
        <v>25.060199999999998</v>
      </c>
      <c r="FV83">
        <v>24.7712</v>
      </c>
      <c r="FW83">
        <v>33.558</v>
      </c>
      <c r="FX83">
        <v>36.813499999999998</v>
      </c>
      <c r="FY83">
        <v>18.2224</v>
      </c>
      <c r="FZ83">
        <v>410</v>
      </c>
      <c r="GA83">
        <v>15.1347</v>
      </c>
      <c r="GB83">
        <v>99.879900000000006</v>
      </c>
      <c r="GC83">
        <v>99.509699999999995</v>
      </c>
    </row>
    <row r="84" spans="1:185" x14ac:dyDescent="0.2">
      <c r="A84">
        <v>69</v>
      </c>
      <c r="B84">
        <v>1769184171.0999999</v>
      </c>
      <c r="C84">
        <v>1308.0999999046301</v>
      </c>
      <c r="D84" t="s">
        <v>432</v>
      </c>
      <c r="E84" t="s">
        <v>433</v>
      </c>
      <c r="F84">
        <v>15</v>
      </c>
      <c r="G84">
        <v>1769184163.03333</v>
      </c>
      <c r="H84">
        <f t="shared" si="13"/>
        <v>5.1468185740723464E-4</v>
      </c>
      <c r="I84">
        <v>0</v>
      </c>
      <c r="J84">
        <f t="shared" si="25"/>
        <v>-2.081838563610252E-2</v>
      </c>
      <c r="K84">
        <f t="shared" si="14"/>
        <v>-0.54522668431790711</v>
      </c>
      <c r="L84">
        <f t="shared" si="15"/>
        <v>72.516656450995058</v>
      </c>
      <c r="M84">
        <f t="shared" si="16"/>
        <v>1.5862685194847417</v>
      </c>
      <c r="N84">
        <f t="shared" si="17"/>
        <v>2.1874540238306523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26259.633195847218</v>
      </c>
      <c r="T84">
        <f t="shared" si="21"/>
        <v>0</v>
      </c>
      <c r="U84">
        <f t="shared" si="22"/>
        <v>0</v>
      </c>
      <c r="V84">
        <f t="shared" si="23"/>
        <v>0.84248416500000001</v>
      </c>
      <c r="W84">
        <f t="shared" si="24"/>
        <v>0.15741138690000001</v>
      </c>
      <c r="X84">
        <v>1</v>
      </c>
      <c r="Y84">
        <v>1769184163.03333</v>
      </c>
      <c r="Z84">
        <v>410.46100000000001</v>
      </c>
      <c r="AA84">
        <v>410.04353333333302</v>
      </c>
      <c r="AB84">
        <v>15.832046666666701</v>
      </c>
      <c r="AC84">
        <v>15.198873333333299</v>
      </c>
      <c r="AD84">
        <v>411.57026666666701</v>
      </c>
      <c r="AE84">
        <v>15.680020000000001</v>
      </c>
      <c r="AF84">
        <v>799.99166666666702</v>
      </c>
      <c r="AG84">
        <v>100.127733333333</v>
      </c>
      <c r="AH84">
        <v>6.5788886666666699E-2</v>
      </c>
      <c r="AI84">
        <v>18.870726666666702</v>
      </c>
      <c r="AJ84">
        <v>999.9</v>
      </c>
      <c r="AK84">
        <v>999.9</v>
      </c>
      <c r="AL84">
        <v>0</v>
      </c>
      <c r="AM84">
        <v>0</v>
      </c>
      <c r="AN84">
        <v>4998.7333333333299</v>
      </c>
      <c r="AO84">
        <v>0</v>
      </c>
      <c r="AP84">
        <v>1.9760899999999999</v>
      </c>
      <c r="AQ84">
        <v>0.41741533333333303</v>
      </c>
      <c r="AR84">
        <v>417.06400000000002</v>
      </c>
      <c r="AS84">
        <v>416.37186666666702</v>
      </c>
      <c r="AT84">
        <v>0.63316779999999995</v>
      </c>
      <c r="AU84">
        <v>410.04353333333302</v>
      </c>
      <c r="AV84">
        <v>15.198873333333299</v>
      </c>
      <c r="AW84">
        <v>1.585226</v>
      </c>
      <c r="AX84">
        <v>1.52182666666667</v>
      </c>
      <c r="AY84">
        <v>13.815899999999999</v>
      </c>
      <c r="AZ84">
        <v>13.1889466666667</v>
      </c>
      <c r="BA84">
        <v>0</v>
      </c>
      <c r="BB84">
        <v>0.91718</v>
      </c>
      <c r="BC84">
        <v>0</v>
      </c>
      <c r="BD84">
        <v>8.2819500000000004E-2</v>
      </c>
      <c r="BE84">
        <v>0</v>
      </c>
      <c r="BF84">
        <v>25</v>
      </c>
      <c r="BG84">
        <v>0</v>
      </c>
      <c r="BH84">
        <v>1769183593.0999999</v>
      </c>
      <c r="BI84" t="s">
        <v>375</v>
      </c>
      <c r="BJ84">
        <v>1769183593.0999999</v>
      </c>
      <c r="BK84">
        <v>1769183589.0999999</v>
      </c>
      <c r="BL84">
        <v>2</v>
      </c>
      <c r="BM84">
        <v>9.6000000000000002E-2</v>
      </c>
      <c r="BN84">
        <v>2.3E-2</v>
      </c>
      <c r="BO84">
        <v>-1.109</v>
      </c>
      <c r="BP84">
        <v>0.152</v>
      </c>
      <c r="BQ84">
        <v>410</v>
      </c>
      <c r="BR84">
        <v>16</v>
      </c>
      <c r="BS84">
        <v>0.26</v>
      </c>
      <c r="BT84">
        <v>7.0000000000000007E-2</v>
      </c>
      <c r="BU84">
        <v>0.63641528571428596</v>
      </c>
      <c r="BV84">
        <v>-3.2231896363636401</v>
      </c>
      <c r="BW84">
        <v>0.332404758582514</v>
      </c>
      <c r="BX84">
        <v>0</v>
      </c>
      <c r="BY84">
        <v>0</v>
      </c>
      <c r="BZ84">
        <v>0</v>
      </c>
      <c r="CA84">
        <v>0</v>
      </c>
      <c r="CB84">
        <v>-1</v>
      </c>
      <c r="CC84">
        <v>0.54771090476190498</v>
      </c>
      <c r="CD84">
        <v>1.2882163636363599</v>
      </c>
      <c r="CE84">
        <v>0.132438512437139</v>
      </c>
      <c r="CF84">
        <v>0</v>
      </c>
      <c r="CG84">
        <v>0</v>
      </c>
      <c r="CH84">
        <v>2</v>
      </c>
      <c r="CI84" t="s">
        <v>290</v>
      </c>
      <c r="CJ84">
        <v>3.5324900000000001</v>
      </c>
      <c r="CK84">
        <v>2.7038000000000002</v>
      </c>
      <c r="CL84">
        <v>9.8167699999999997E-2</v>
      </c>
      <c r="CM84">
        <v>9.6732499999999999E-2</v>
      </c>
      <c r="CN84">
        <v>8.8571899999999995E-2</v>
      </c>
      <c r="CO84">
        <v>8.47749E-2</v>
      </c>
      <c r="CP84">
        <v>31631.4</v>
      </c>
      <c r="CQ84">
        <v>27760.2</v>
      </c>
      <c r="CR84">
        <v>32461.200000000001</v>
      </c>
      <c r="CS84">
        <v>30658.3</v>
      </c>
      <c r="CT84">
        <v>40049</v>
      </c>
      <c r="CU84">
        <v>39441</v>
      </c>
      <c r="CV84">
        <v>47395.7</v>
      </c>
      <c r="CW84">
        <v>46738.9</v>
      </c>
      <c r="CX84">
        <v>2.6289199999999999</v>
      </c>
      <c r="CY84">
        <v>2.15448</v>
      </c>
      <c r="CZ84">
        <v>0</v>
      </c>
      <c r="DA84">
        <v>0</v>
      </c>
      <c r="DB84">
        <v>999.9</v>
      </c>
      <c r="DC84">
        <v>999.9</v>
      </c>
      <c r="DD84">
        <v>69.259</v>
      </c>
      <c r="DE84">
        <v>24.824000000000002</v>
      </c>
      <c r="DF84">
        <v>21.766300000000001</v>
      </c>
      <c r="DG84">
        <v>30.450099999999999</v>
      </c>
      <c r="DH84">
        <v>17.524000000000001</v>
      </c>
      <c r="DI84">
        <v>2</v>
      </c>
      <c r="DJ84">
        <v>-0.15288599999999999</v>
      </c>
      <c r="DK84">
        <v>1.4384699999999999</v>
      </c>
      <c r="DL84">
        <v>20.2438</v>
      </c>
      <c r="DM84">
        <v>5.2516699999999998</v>
      </c>
      <c r="DN84">
        <v>12.033899999999999</v>
      </c>
      <c r="DO84">
        <v>4.96732</v>
      </c>
      <c r="DP84">
        <v>3.2909999999999999</v>
      </c>
      <c r="DQ84">
        <v>9999</v>
      </c>
      <c r="DR84">
        <v>9999</v>
      </c>
      <c r="DS84">
        <v>534.29999999999995</v>
      </c>
      <c r="DT84">
        <v>9999</v>
      </c>
      <c r="DU84">
        <v>1.8710199999999999</v>
      </c>
      <c r="DV84">
        <v>1.8760699999999999</v>
      </c>
      <c r="DW84">
        <v>1.8762300000000001</v>
      </c>
      <c r="DX84">
        <v>1.8827799999999999</v>
      </c>
      <c r="DY84">
        <v>1.8755299999999999</v>
      </c>
      <c r="DZ84">
        <v>1.87459</v>
      </c>
      <c r="EA84">
        <v>1.87073</v>
      </c>
      <c r="EB84">
        <v>1.8746100000000001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-1.109</v>
      </c>
      <c r="EQ84">
        <v>0.152</v>
      </c>
      <c r="ER84">
        <v>-1.10929999999996</v>
      </c>
      <c r="ES84">
        <v>0</v>
      </c>
      <c r="ET84">
        <v>0</v>
      </c>
      <c r="EU84">
        <v>0</v>
      </c>
      <c r="EV84">
        <v>0.15201999999999699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9.6</v>
      </c>
      <c r="FE84">
        <v>9.6999999999999993</v>
      </c>
      <c r="FF84">
        <v>1.2341299999999999</v>
      </c>
      <c r="FG84">
        <v>2.5512700000000001</v>
      </c>
      <c r="FH84">
        <v>2.19604</v>
      </c>
      <c r="FI84">
        <v>2.66235</v>
      </c>
      <c r="FJ84">
        <v>2.4462899999999999</v>
      </c>
      <c r="FK84">
        <v>2.323</v>
      </c>
      <c r="FL84">
        <v>30.200500000000002</v>
      </c>
      <c r="FM84">
        <v>24.1663</v>
      </c>
      <c r="FN84">
        <v>19</v>
      </c>
      <c r="FO84">
        <v>863.971</v>
      </c>
      <c r="FP84">
        <v>590.245</v>
      </c>
      <c r="FQ84">
        <v>18.383099999999999</v>
      </c>
      <c r="FR84">
        <v>25.086600000000001</v>
      </c>
      <c r="FS84">
        <v>30.0001</v>
      </c>
      <c r="FT84">
        <v>25.066199999999998</v>
      </c>
      <c r="FU84">
        <v>25.065999999999999</v>
      </c>
      <c r="FV84">
        <v>24.767099999999999</v>
      </c>
      <c r="FW84">
        <v>34.738900000000001</v>
      </c>
      <c r="FX84">
        <v>36.438400000000001</v>
      </c>
      <c r="FY84">
        <v>18.4941</v>
      </c>
      <c r="FZ84">
        <v>410</v>
      </c>
      <c r="GA84">
        <v>14.872199999999999</v>
      </c>
      <c r="GB84">
        <v>99.879000000000005</v>
      </c>
      <c r="GC84">
        <v>99.5107</v>
      </c>
    </row>
    <row r="85" spans="1:185" x14ac:dyDescent="0.2">
      <c r="A85">
        <v>70</v>
      </c>
      <c r="B85">
        <v>1769184186.0999999</v>
      </c>
      <c r="C85">
        <v>1323.0999999046301</v>
      </c>
      <c r="D85" t="s">
        <v>434</v>
      </c>
      <c r="E85" t="s">
        <v>435</v>
      </c>
      <c r="F85">
        <v>15</v>
      </c>
      <c r="G85">
        <v>1769184178.03333</v>
      </c>
      <c r="H85">
        <f t="shared" si="13"/>
        <v>6.4159084667686939E-4</v>
      </c>
      <c r="I85">
        <v>0</v>
      </c>
      <c r="J85">
        <f t="shared" si="25"/>
        <v>-1.088584840720336E-2</v>
      </c>
      <c r="K85">
        <f t="shared" si="14"/>
        <v>-0.28509679553414291</v>
      </c>
      <c r="L85">
        <f t="shared" si="15"/>
        <v>71.914826201840711</v>
      </c>
      <c r="M85">
        <f t="shared" si="16"/>
        <v>1.5742446372884051</v>
      </c>
      <c r="N85">
        <f t="shared" si="17"/>
        <v>2.1890404530354148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26265.46224735185</v>
      </c>
      <c r="T85">
        <f t="shared" si="21"/>
        <v>0</v>
      </c>
      <c r="U85">
        <f t="shared" si="22"/>
        <v>0</v>
      </c>
      <c r="V85">
        <f t="shared" si="23"/>
        <v>0.84248416500000001</v>
      </c>
      <c r="W85">
        <f t="shared" si="24"/>
        <v>0.15741138690000001</v>
      </c>
      <c r="X85">
        <v>1</v>
      </c>
      <c r="Y85">
        <v>1769184178.03333</v>
      </c>
      <c r="Z85">
        <v>410.027533333333</v>
      </c>
      <c r="AA85">
        <v>410</v>
      </c>
      <c r="AB85">
        <v>15.71194</v>
      </c>
      <c r="AC85">
        <v>14.922560000000001</v>
      </c>
      <c r="AD85">
        <v>411.13679999999999</v>
      </c>
      <c r="AE85">
        <v>15.55992</v>
      </c>
      <c r="AF85">
        <v>800.00786666666704</v>
      </c>
      <c r="AG85">
        <v>100.12846666666699</v>
      </c>
      <c r="AH85">
        <v>6.5693779999999993E-2</v>
      </c>
      <c r="AI85">
        <v>18.8823333333333</v>
      </c>
      <c r="AJ85">
        <v>999.9</v>
      </c>
      <c r="AK85">
        <v>999.9</v>
      </c>
      <c r="AL85">
        <v>0</v>
      </c>
      <c r="AM85">
        <v>0</v>
      </c>
      <c r="AN85">
        <v>4999.8333333333303</v>
      </c>
      <c r="AO85">
        <v>0</v>
      </c>
      <c r="AP85">
        <v>1.9760899999999999</v>
      </c>
      <c r="AQ85">
        <v>2.74494866666667E-2</v>
      </c>
      <c r="AR85">
        <v>416.57266666666698</v>
      </c>
      <c r="AS85">
        <v>416.21100000000001</v>
      </c>
      <c r="AT85">
        <v>0.78937293333333303</v>
      </c>
      <c r="AU85">
        <v>410</v>
      </c>
      <c r="AV85">
        <v>14.922560000000001</v>
      </c>
      <c r="AW85">
        <v>1.5732126666666699</v>
      </c>
      <c r="AX85">
        <v>1.4941739999999999</v>
      </c>
      <c r="AY85">
        <v>13.69886</v>
      </c>
      <c r="AZ85">
        <v>12.9085466666667</v>
      </c>
      <c r="BA85">
        <v>0</v>
      </c>
      <c r="BB85">
        <v>0.91718</v>
      </c>
      <c r="BC85">
        <v>0</v>
      </c>
      <c r="BD85">
        <v>8.2819500000000004E-2</v>
      </c>
      <c r="BE85">
        <v>0</v>
      </c>
      <c r="BF85">
        <v>25</v>
      </c>
      <c r="BG85">
        <v>0</v>
      </c>
      <c r="BH85">
        <v>1769183593.0999999</v>
      </c>
      <c r="BI85" t="s">
        <v>375</v>
      </c>
      <c r="BJ85">
        <v>1769183593.0999999</v>
      </c>
      <c r="BK85">
        <v>1769183589.0999999</v>
      </c>
      <c r="BL85">
        <v>2</v>
      </c>
      <c r="BM85">
        <v>9.6000000000000002E-2</v>
      </c>
      <c r="BN85">
        <v>2.3E-2</v>
      </c>
      <c r="BO85">
        <v>-1.109</v>
      </c>
      <c r="BP85">
        <v>0.152</v>
      </c>
      <c r="BQ85">
        <v>410</v>
      </c>
      <c r="BR85">
        <v>16</v>
      </c>
      <c r="BS85">
        <v>0.26</v>
      </c>
      <c r="BT85">
        <v>7.0000000000000007E-2</v>
      </c>
      <c r="BU85">
        <v>8.9737680952380994E-2</v>
      </c>
      <c r="BV85">
        <v>-1.2007679688311701</v>
      </c>
      <c r="BW85">
        <v>0.124026024924294</v>
      </c>
      <c r="BX85">
        <v>0</v>
      </c>
      <c r="BY85">
        <v>0</v>
      </c>
      <c r="BZ85">
        <v>0</v>
      </c>
      <c r="CA85">
        <v>0</v>
      </c>
      <c r="CB85">
        <v>-1</v>
      </c>
      <c r="CC85">
        <v>0.76533395238095203</v>
      </c>
      <c r="CD85">
        <v>0.45434236363636299</v>
      </c>
      <c r="CE85">
        <v>4.7082594067665698E-2</v>
      </c>
      <c r="CF85">
        <v>0</v>
      </c>
      <c r="CG85">
        <v>0</v>
      </c>
      <c r="CH85">
        <v>2</v>
      </c>
      <c r="CI85" t="s">
        <v>290</v>
      </c>
      <c r="CJ85">
        <v>3.5324900000000001</v>
      </c>
      <c r="CK85">
        <v>2.7035300000000002</v>
      </c>
      <c r="CL85">
        <v>9.8120600000000002E-2</v>
      </c>
      <c r="CM85">
        <v>9.6725599999999995E-2</v>
      </c>
      <c r="CN85">
        <v>8.80277E-2</v>
      </c>
      <c r="CO85">
        <v>8.3926100000000003E-2</v>
      </c>
      <c r="CP85">
        <v>31631.9</v>
      </c>
      <c r="CQ85">
        <v>27760.3</v>
      </c>
      <c r="CR85">
        <v>32460</v>
      </c>
      <c r="CS85">
        <v>30658.3</v>
      </c>
      <c r="CT85">
        <v>40072.300000000003</v>
      </c>
      <c r="CU85">
        <v>39478.9</v>
      </c>
      <c r="CV85">
        <v>47393.9</v>
      </c>
      <c r="CW85">
        <v>46739.1</v>
      </c>
      <c r="CX85">
        <v>2.6291199999999999</v>
      </c>
      <c r="CY85">
        <v>2.1539000000000001</v>
      </c>
      <c r="CZ85">
        <v>0</v>
      </c>
      <c r="DA85">
        <v>0</v>
      </c>
      <c r="DB85">
        <v>999.9</v>
      </c>
      <c r="DC85">
        <v>999.9</v>
      </c>
      <c r="DD85">
        <v>69.155000000000001</v>
      </c>
      <c r="DE85">
        <v>24.844000000000001</v>
      </c>
      <c r="DF85">
        <v>21.756499999999999</v>
      </c>
      <c r="DG85">
        <v>30.450099999999999</v>
      </c>
      <c r="DH85">
        <v>17.556100000000001</v>
      </c>
      <c r="DI85">
        <v>2</v>
      </c>
      <c r="DJ85">
        <v>-0.15268300000000001</v>
      </c>
      <c r="DK85">
        <v>1.22925</v>
      </c>
      <c r="DL85">
        <v>20.245699999999999</v>
      </c>
      <c r="DM85">
        <v>5.2516699999999998</v>
      </c>
      <c r="DN85">
        <v>12.033899999999999</v>
      </c>
      <c r="DO85">
        <v>4.9675599999999998</v>
      </c>
      <c r="DP85">
        <v>3.2909999999999999</v>
      </c>
      <c r="DQ85">
        <v>9999</v>
      </c>
      <c r="DR85">
        <v>9999</v>
      </c>
      <c r="DS85">
        <v>534.29999999999995</v>
      </c>
      <c r="DT85">
        <v>9999</v>
      </c>
      <c r="DU85">
        <v>1.8710199999999999</v>
      </c>
      <c r="DV85">
        <v>1.8760699999999999</v>
      </c>
      <c r="DW85">
        <v>1.87625</v>
      </c>
      <c r="DX85">
        <v>1.8827799999999999</v>
      </c>
      <c r="DY85">
        <v>1.8755500000000001</v>
      </c>
      <c r="DZ85">
        <v>1.87459</v>
      </c>
      <c r="EA85">
        <v>1.87073</v>
      </c>
      <c r="EB85">
        <v>1.87459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-1.1100000000000001</v>
      </c>
      <c r="EQ85">
        <v>0.152</v>
      </c>
      <c r="ER85">
        <v>-1.10929999999996</v>
      </c>
      <c r="ES85">
        <v>0</v>
      </c>
      <c r="ET85">
        <v>0</v>
      </c>
      <c r="EU85">
        <v>0</v>
      </c>
      <c r="EV85">
        <v>0.15201999999999699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9.9</v>
      </c>
      <c r="FE85">
        <v>9.9</v>
      </c>
      <c r="FF85">
        <v>1.2341299999999999</v>
      </c>
      <c r="FG85">
        <v>2.5524900000000001</v>
      </c>
      <c r="FH85">
        <v>2.19604</v>
      </c>
      <c r="FI85">
        <v>2.66235</v>
      </c>
      <c r="FJ85">
        <v>2.4462899999999999</v>
      </c>
      <c r="FK85">
        <v>2.3107899999999999</v>
      </c>
      <c r="FL85">
        <v>30.222000000000001</v>
      </c>
      <c r="FM85">
        <v>24.1663</v>
      </c>
      <c r="FN85">
        <v>19</v>
      </c>
      <c r="FO85">
        <v>864.23900000000003</v>
      </c>
      <c r="FP85">
        <v>589.86</v>
      </c>
      <c r="FQ85">
        <v>18.650300000000001</v>
      </c>
      <c r="FR85">
        <v>25.093299999999999</v>
      </c>
      <c r="FS85">
        <v>30.0002</v>
      </c>
      <c r="FT85">
        <v>25.071300000000001</v>
      </c>
      <c r="FU85">
        <v>25.071899999999999</v>
      </c>
      <c r="FV85">
        <v>24.768000000000001</v>
      </c>
      <c r="FW85">
        <v>35.321300000000001</v>
      </c>
      <c r="FX85">
        <v>35.681100000000001</v>
      </c>
      <c r="FY85">
        <v>18.737200000000001</v>
      </c>
      <c r="FZ85">
        <v>410</v>
      </c>
      <c r="GA85">
        <v>14.703900000000001</v>
      </c>
      <c r="GB85">
        <v>99.875299999999996</v>
      </c>
      <c r="GC85">
        <v>99.510800000000003</v>
      </c>
    </row>
    <row r="86" spans="1:185" x14ac:dyDescent="0.2">
      <c r="A86">
        <v>71</v>
      </c>
      <c r="B86">
        <v>1769184201.0999999</v>
      </c>
      <c r="C86">
        <v>1338.0999999046301</v>
      </c>
      <c r="D86" t="s">
        <v>436</v>
      </c>
      <c r="E86" t="s">
        <v>437</v>
      </c>
      <c r="F86">
        <v>15</v>
      </c>
      <c r="G86">
        <v>1769184193.03333</v>
      </c>
      <c r="H86">
        <f t="shared" si="13"/>
        <v>6.4272537514037083E-4</v>
      </c>
      <c r="I86">
        <v>0</v>
      </c>
      <c r="J86">
        <f t="shared" si="25"/>
        <v>-7.4170384659300271E-3</v>
      </c>
      <c r="K86">
        <f t="shared" si="14"/>
        <v>-0.19424980211839757</v>
      </c>
      <c r="L86">
        <f t="shared" si="15"/>
        <v>70.977673513381646</v>
      </c>
      <c r="M86">
        <f t="shared" si="16"/>
        <v>1.5571700054307258</v>
      </c>
      <c r="N86">
        <f t="shared" si="17"/>
        <v>2.1938870751196822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26236.185976730652</v>
      </c>
      <c r="T86">
        <f t="shared" si="21"/>
        <v>0</v>
      </c>
      <c r="U86">
        <f t="shared" si="22"/>
        <v>0</v>
      </c>
      <c r="V86">
        <f t="shared" si="23"/>
        <v>0.84248416500000001</v>
      </c>
      <c r="W86">
        <f t="shared" si="24"/>
        <v>0.15741138690000001</v>
      </c>
      <c r="X86">
        <v>1</v>
      </c>
      <c r="Y86">
        <v>1769184193.03333</v>
      </c>
      <c r="Z86">
        <v>409.93639999999999</v>
      </c>
      <c r="AA86">
        <v>410.02293333333301</v>
      </c>
      <c r="AB86">
        <v>15.5413933333333</v>
      </c>
      <c r="AC86">
        <v>14.7504733333333</v>
      </c>
      <c r="AD86">
        <v>410.98239999999998</v>
      </c>
      <c r="AE86">
        <v>15.4383933333333</v>
      </c>
      <c r="AF86">
        <v>800.00066666666703</v>
      </c>
      <c r="AG86">
        <v>100.12933333333299</v>
      </c>
      <c r="AH86">
        <v>6.5673126666666706E-2</v>
      </c>
      <c r="AI86">
        <v>18.917746666666702</v>
      </c>
      <c r="AJ86">
        <v>999.9</v>
      </c>
      <c r="AK86">
        <v>999.9</v>
      </c>
      <c r="AL86">
        <v>0</v>
      </c>
      <c r="AM86">
        <v>0</v>
      </c>
      <c r="AN86">
        <v>4995.5</v>
      </c>
      <c r="AO86">
        <v>0</v>
      </c>
      <c r="AP86">
        <v>1.9760899999999999</v>
      </c>
      <c r="AQ86">
        <v>-0.14994500666666699</v>
      </c>
      <c r="AR86">
        <v>416.36439999999999</v>
      </c>
      <c r="AS86">
        <v>416.16153333333301</v>
      </c>
      <c r="AT86">
        <v>0.83993693333333297</v>
      </c>
      <c r="AU86">
        <v>410.02293333333301</v>
      </c>
      <c r="AV86">
        <v>14.7504733333333</v>
      </c>
      <c r="AW86">
        <v>1.56105733333333</v>
      </c>
      <c r="AX86">
        <v>1.47695466666667</v>
      </c>
      <c r="AY86">
        <v>13.5796333333333</v>
      </c>
      <c r="AZ86">
        <v>12.731579999999999</v>
      </c>
      <c r="BA86">
        <v>0</v>
      </c>
      <c r="BB86">
        <v>0.91718</v>
      </c>
      <c r="BC86">
        <v>0</v>
      </c>
      <c r="BD86">
        <v>8.2819500000000004E-2</v>
      </c>
      <c r="BE86">
        <v>0</v>
      </c>
      <c r="BF86">
        <v>25</v>
      </c>
      <c r="BG86">
        <v>0</v>
      </c>
      <c r="BH86">
        <v>1769184227.0999999</v>
      </c>
      <c r="BI86" t="s">
        <v>438</v>
      </c>
      <c r="BJ86">
        <v>1769184227.0999999</v>
      </c>
      <c r="BK86">
        <v>1769184226.0999999</v>
      </c>
      <c r="BL86">
        <v>3</v>
      </c>
      <c r="BM86">
        <v>6.3E-2</v>
      </c>
      <c r="BN86">
        <v>-4.9000000000000002E-2</v>
      </c>
      <c r="BO86">
        <v>-1.046</v>
      </c>
      <c r="BP86">
        <v>0.10299999999999999</v>
      </c>
      <c r="BQ86">
        <v>410</v>
      </c>
      <c r="BR86">
        <v>15</v>
      </c>
      <c r="BS86">
        <v>0.22</v>
      </c>
      <c r="BT86">
        <v>0.08</v>
      </c>
      <c r="BU86">
        <v>-0.12524562</v>
      </c>
      <c r="BV86">
        <v>-0.37283433383458597</v>
      </c>
      <c r="BW86">
        <v>5.27933911544958E-2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0.83488804999999999</v>
      </c>
      <c r="CD86">
        <v>0.14231174436090199</v>
      </c>
      <c r="CE86">
        <v>1.7393960240482901E-2</v>
      </c>
      <c r="CF86">
        <v>0</v>
      </c>
      <c r="CG86">
        <v>1</v>
      </c>
      <c r="CH86">
        <v>2</v>
      </c>
      <c r="CI86" t="s">
        <v>301</v>
      </c>
      <c r="CJ86">
        <v>3.5325199999999999</v>
      </c>
      <c r="CK86">
        <v>2.7037200000000001</v>
      </c>
      <c r="CL86">
        <v>9.8104200000000003E-2</v>
      </c>
      <c r="CM86">
        <v>9.6724099999999993E-2</v>
      </c>
      <c r="CN86">
        <v>8.7527199999999999E-2</v>
      </c>
      <c r="CO86">
        <v>8.3347400000000002E-2</v>
      </c>
      <c r="CP86">
        <v>31632.6</v>
      </c>
      <c r="CQ86">
        <v>27759.9</v>
      </c>
      <c r="CR86">
        <v>32460.2</v>
      </c>
      <c r="CS86">
        <v>30657.9</v>
      </c>
      <c r="CT86">
        <v>40095.300000000003</v>
      </c>
      <c r="CU86">
        <v>39503.800000000003</v>
      </c>
      <c r="CV86">
        <v>47394.3</v>
      </c>
      <c r="CW86">
        <v>46738.2</v>
      </c>
      <c r="CX86">
        <v>2.6291799999999999</v>
      </c>
      <c r="CY86">
        <v>2.1533000000000002</v>
      </c>
      <c r="CZ86">
        <v>0</v>
      </c>
      <c r="DA86">
        <v>0</v>
      </c>
      <c r="DB86">
        <v>999.9</v>
      </c>
      <c r="DC86">
        <v>999.9</v>
      </c>
      <c r="DD86">
        <v>69.027000000000001</v>
      </c>
      <c r="DE86">
        <v>24.864000000000001</v>
      </c>
      <c r="DF86">
        <v>21.742699999999999</v>
      </c>
      <c r="DG86">
        <v>30.600100000000001</v>
      </c>
      <c r="DH86">
        <v>17.580100000000002</v>
      </c>
      <c r="DI86">
        <v>2</v>
      </c>
      <c r="DJ86">
        <v>-0.15230099999999999</v>
      </c>
      <c r="DK86">
        <v>1.1756</v>
      </c>
      <c r="DL86">
        <v>20.246400000000001</v>
      </c>
      <c r="DM86">
        <v>5.2519099999999996</v>
      </c>
      <c r="DN86">
        <v>12.033899999999999</v>
      </c>
      <c r="DO86">
        <v>4.9673999999999996</v>
      </c>
      <c r="DP86">
        <v>3.2909999999999999</v>
      </c>
      <c r="DQ86">
        <v>9999</v>
      </c>
      <c r="DR86">
        <v>9999</v>
      </c>
      <c r="DS86">
        <v>534.29999999999995</v>
      </c>
      <c r="DT86">
        <v>9999</v>
      </c>
      <c r="DU86">
        <v>1.87103</v>
      </c>
      <c r="DV86">
        <v>1.8760699999999999</v>
      </c>
      <c r="DW86">
        <v>1.8762799999999999</v>
      </c>
      <c r="DX86">
        <v>1.8827799999999999</v>
      </c>
      <c r="DY86">
        <v>1.87554</v>
      </c>
      <c r="DZ86">
        <v>1.8746499999999999</v>
      </c>
      <c r="EA86">
        <v>1.8707400000000001</v>
      </c>
      <c r="EB86">
        <v>1.8746499999999999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-1.046</v>
      </c>
      <c r="EQ86">
        <v>0.10299999999999999</v>
      </c>
      <c r="ER86">
        <v>-1.10929999999996</v>
      </c>
      <c r="ES86">
        <v>0</v>
      </c>
      <c r="ET86">
        <v>0</v>
      </c>
      <c r="EU86">
        <v>0</v>
      </c>
      <c r="EV86">
        <v>0.15201999999999699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10.1</v>
      </c>
      <c r="FE86">
        <v>10.199999999999999</v>
      </c>
      <c r="FF86">
        <v>1.2341299999999999</v>
      </c>
      <c r="FG86">
        <v>2.5500500000000001</v>
      </c>
      <c r="FH86">
        <v>2.19604</v>
      </c>
      <c r="FI86">
        <v>2.66235</v>
      </c>
      <c r="FJ86">
        <v>2.4462899999999999</v>
      </c>
      <c r="FK86">
        <v>2.2936999999999999</v>
      </c>
      <c r="FL86">
        <v>30.222000000000001</v>
      </c>
      <c r="FM86">
        <v>24.1663</v>
      </c>
      <c r="FN86">
        <v>19</v>
      </c>
      <c r="FO86">
        <v>864.38300000000004</v>
      </c>
      <c r="FP86">
        <v>589.45500000000004</v>
      </c>
      <c r="FQ86">
        <v>18.854500000000002</v>
      </c>
      <c r="FR86">
        <v>25.098800000000001</v>
      </c>
      <c r="FS86">
        <v>30.0001</v>
      </c>
      <c r="FT86">
        <v>25.076699999999999</v>
      </c>
      <c r="FU86">
        <v>25.077400000000001</v>
      </c>
      <c r="FV86">
        <v>24.765599999999999</v>
      </c>
      <c r="FW86">
        <v>35.612900000000003</v>
      </c>
      <c r="FX86">
        <v>35.299100000000003</v>
      </c>
      <c r="FY86">
        <v>18.904</v>
      </c>
      <c r="FZ86">
        <v>410</v>
      </c>
      <c r="GA86">
        <v>14.6196</v>
      </c>
      <c r="GB86">
        <v>99.876000000000005</v>
      </c>
      <c r="GC86">
        <v>99.509200000000007</v>
      </c>
    </row>
    <row r="87" spans="1:185" x14ac:dyDescent="0.2">
      <c r="A87">
        <v>72</v>
      </c>
      <c r="B87">
        <v>1769184229.0999999</v>
      </c>
      <c r="C87">
        <v>1366.0999999046301</v>
      </c>
      <c r="D87" t="s">
        <v>439</v>
      </c>
      <c r="E87" t="s">
        <v>440</v>
      </c>
      <c r="F87">
        <v>15</v>
      </c>
      <c r="G87">
        <v>1769184228.0999999</v>
      </c>
      <c r="H87">
        <f t="shared" si="13"/>
        <v>9.7434832568462306E-7</v>
      </c>
      <c r="I87">
        <v>0</v>
      </c>
      <c r="J87">
        <f t="shared" si="25"/>
        <v>8.4008528770938167E-4</v>
      </c>
      <c r="K87">
        <f t="shared" si="14"/>
        <v>2.2001557852196259E-2</v>
      </c>
      <c r="L87">
        <f t="shared" si="15"/>
        <v>66.663070209374339</v>
      </c>
      <c r="M87">
        <f t="shared" si="16"/>
        <v>1.4714726821853801</v>
      </c>
      <c r="N87">
        <f t="shared" si="17"/>
        <v>2.2073281016967887</v>
      </c>
      <c r="O87">
        <v>477</v>
      </c>
      <c r="P87">
        <v>60</v>
      </c>
      <c r="Q87">
        <f t="shared" si="18"/>
        <v>1</v>
      </c>
      <c r="R87">
        <f t="shared" si="19"/>
        <v>0</v>
      </c>
      <c r="S87">
        <f t="shared" si="20"/>
        <v>26225.056922766245</v>
      </c>
      <c r="T87">
        <f t="shared" si="21"/>
        <v>0</v>
      </c>
      <c r="U87">
        <f t="shared" si="22"/>
        <v>0</v>
      </c>
      <c r="V87">
        <f t="shared" si="23"/>
        <v>0.84248416500000001</v>
      </c>
      <c r="W87">
        <f t="shared" si="24"/>
        <v>0.15741138690000001</v>
      </c>
      <c r="X87">
        <v>1</v>
      </c>
      <c r="Y87">
        <v>1769184228.0999999</v>
      </c>
      <c r="Z87">
        <v>409.90899999999999</v>
      </c>
      <c r="AA87">
        <v>409.93700000000001</v>
      </c>
      <c r="AB87">
        <v>14.684200000000001</v>
      </c>
      <c r="AC87">
        <v>14.683</v>
      </c>
      <c r="AD87">
        <v>410.95499999999998</v>
      </c>
      <c r="AE87">
        <v>14.581300000000001</v>
      </c>
      <c r="AF87">
        <v>800.03399999999999</v>
      </c>
      <c r="AG87">
        <v>100.13200000000001</v>
      </c>
      <c r="AH87">
        <v>7.5888899999999995E-2</v>
      </c>
      <c r="AI87">
        <v>19.015599999999999</v>
      </c>
      <c r="AJ87">
        <v>999.9</v>
      </c>
      <c r="AK87">
        <v>999.9</v>
      </c>
      <c r="AL87">
        <v>0</v>
      </c>
      <c r="AM87">
        <v>0</v>
      </c>
      <c r="AN87">
        <v>4995</v>
      </c>
      <c r="AO87">
        <v>0</v>
      </c>
      <c r="AP87">
        <v>1.9760899999999999</v>
      </c>
      <c r="AQ87">
        <v>-2.7618400000000001E-2</v>
      </c>
      <c r="AR87">
        <v>416.01799999999997</v>
      </c>
      <c r="AS87">
        <v>416.04599999999999</v>
      </c>
      <c r="AT87">
        <v>1.20735E-3</v>
      </c>
      <c r="AU87">
        <v>409.93700000000001</v>
      </c>
      <c r="AV87">
        <v>14.683</v>
      </c>
      <c r="AW87">
        <v>1.4703599999999999</v>
      </c>
      <c r="AX87">
        <v>1.4702299999999999</v>
      </c>
      <c r="AY87">
        <v>12.6633</v>
      </c>
      <c r="AZ87">
        <v>12.662100000000001</v>
      </c>
      <c r="BA87">
        <v>0</v>
      </c>
      <c r="BB87">
        <v>0.91718</v>
      </c>
      <c r="BC87">
        <v>0</v>
      </c>
      <c r="BD87">
        <v>8.2819500000000004E-2</v>
      </c>
      <c r="BE87">
        <v>0</v>
      </c>
      <c r="BF87">
        <v>25</v>
      </c>
      <c r="BG87">
        <v>0</v>
      </c>
      <c r="BH87">
        <v>1769184227.0999999</v>
      </c>
      <c r="BI87" t="s">
        <v>438</v>
      </c>
      <c r="BJ87">
        <v>1769184227.0999999</v>
      </c>
      <c r="BK87">
        <v>1769184226.0999999</v>
      </c>
      <c r="BL87">
        <v>3</v>
      </c>
      <c r="BM87">
        <v>6.3E-2</v>
      </c>
      <c r="BN87">
        <v>-4.9000000000000002E-2</v>
      </c>
      <c r="BO87">
        <v>-1.046</v>
      </c>
      <c r="BP87">
        <v>0.10299999999999999</v>
      </c>
      <c r="BQ87">
        <v>410</v>
      </c>
      <c r="BR87">
        <v>15</v>
      </c>
      <c r="BS87">
        <v>0.22</v>
      </c>
      <c r="BT87">
        <v>0.08</v>
      </c>
      <c r="BU87">
        <v>-7.5125104999999998E-2</v>
      </c>
      <c r="BV87">
        <v>0.18396164661654099</v>
      </c>
      <c r="BW87">
        <v>2.1313212995427901E-2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4.5636080500000002E-2</v>
      </c>
      <c r="CD87">
        <v>-9.5308760751879704E-2</v>
      </c>
      <c r="CE87">
        <v>1.49618781150036E-2</v>
      </c>
      <c r="CF87">
        <v>1</v>
      </c>
      <c r="CG87">
        <v>2</v>
      </c>
      <c r="CH87">
        <v>2</v>
      </c>
      <c r="CI87" t="s">
        <v>310</v>
      </c>
      <c r="CJ87">
        <v>3.5336400000000001</v>
      </c>
      <c r="CK87">
        <v>2.7126999999999999</v>
      </c>
      <c r="CL87">
        <v>9.8094500000000001E-2</v>
      </c>
      <c r="CM87">
        <v>9.6710299999999999E-2</v>
      </c>
      <c r="CN87">
        <v>8.4188600000000002E-2</v>
      </c>
      <c r="CO87">
        <v>8.3309499999999995E-2</v>
      </c>
      <c r="CP87">
        <v>31632.799999999999</v>
      </c>
      <c r="CQ87">
        <v>27760.400000000001</v>
      </c>
      <c r="CR87">
        <v>32460.1</v>
      </c>
      <c r="CS87">
        <v>30657.9</v>
      </c>
      <c r="CT87">
        <v>40247</v>
      </c>
      <c r="CU87">
        <v>39505.800000000003</v>
      </c>
      <c r="CV87">
        <v>47394.5</v>
      </c>
      <c r="CW87">
        <v>46738.6</v>
      </c>
      <c r="CX87">
        <v>1.6954</v>
      </c>
      <c r="CY87">
        <v>1.62276</v>
      </c>
      <c r="CZ87">
        <v>0</v>
      </c>
      <c r="DA87">
        <v>0</v>
      </c>
      <c r="DB87">
        <v>999.9</v>
      </c>
      <c r="DC87">
        <v>999.9</v>
      </c>
      <c r="DD87">
        <v>68.855999999999995</v>
      </c>
      <c r="DE87">
        <v>24.893999999999998</v>
      </c>
      <c r="DF87">
        <v>21.726700000000001</v>
      </c>
      <c r="DG87">
        <v>30.7301</v>
      </c>
      <c r="DH87">
        <v>17.980799999999999</v>
      </c>
      <c r="DI87">
        <v>2</v>
      </c>
      <c r="DJ87">
        <v>-0.149254</v>
      </c>
      <c r="DK87">
        <v>2.8626800000000001</v>
      </c>
      <c r="DL87">
        <v>20.211600000000001</v>
      </c>
      <c r="DM87">
        <v>5.24221</v>
      </c>
      <c r="DN87">
        <v>12.033899999999999</v>
      </c>
      <c r="DO87">
        <v>4.9655199999999997</v>
      </c>
      <c r="DP87">
        <v>3.2895599999999998</v>
      </c>
      <c r="DQ87">
        <v>9999</v>
      </c>
      <c r="DR87">
        <v>9999</v>
      </c>
      <c r="DS87">
        <v>534.29999999999995</v>
      </c>
      <c r="DT87">
        <v>9999</v>
      </c>
      <c r="DU87">
        <v>1.8710199999999999</v>
      </c>
      <c r="DV87">
        <v>1.8760600000000001</v>
      </c>
      <c r="DW87">
        <v>1.87622</v>
      </c>
      <c r="DX87">
        <v>1.8827799999999999</v>
      </c>
      <c r="DY87">
        <v>1.8754999999999999</v>
      </c>
      <c r="DZ87">
        <v>1.87456</v>
      </c>
      <c r="EA87">
        <v>1.8707199999999999</v>
      </c>
      <c r="EB87">
        <v>1.87456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-1.046</v>
      </c>
      <c r="EQ87">
        <v>0.10290000000000001</v>
      </c>
      <c r="ER87">
        <v>-1.04590000000007</v>
      </c>
      <c r="ES87">
        <v>0</v>
      </c>
      <c r="ET87">
        <v>0</v>
      </c>
      <c r="EU87">
        <v>0</v>
      </c>
      <c r="EV87">
        <v>0.102854545454546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0</v>
      </c>
      <c r="FE87">
        <v>0.1</v>
      </c>
      <c r="FF87">
        <v>1.2341299999999999</v>
      </c>
      <c r="FG87">
        <v>2.5512700000000001</v>
      </c>
      <c r="FH87">
        <v>2.19604</v>
      </c>
      <c r="FI87">
        <v>2.66235</v>
      </c>
      <c r="FJ87">
        <v>2.4462899999999999</v>
      </c>
      <c r="FK87">
        <v>2.2961399999999998</v>
      </c>
      <c r="FL87">
        <v>30.243400000000001</v>
      </c>
      <c r="FM87">
        <v>24.148800000000001</v>
      </c>
      <c r="FN87">
        <v>19</v>
      </c>
      <c r="FO87">
        <v>298.726</v>
      </c>
      <c r="FP87">
        <v>284.12599999999998</v>
      </c>
      <c r="FQ87">
        <v>18.901</v>
      </c>
      <c r="FR87">
        <v>25.107099999999999</v>
      </c>
      <c r="FS87">
        <v>30.001899999999999</v>
      </c>
      <c r="FT87">
        <v>25.106200000000001</v>
      </c>
      <c r="FU87">
        <v>25.102599999999999</v>
      </c>
      <c r="FV87">
        <v>24.7666</v>
      </c>
      <c r="FW87">
        <v>34.457999999999998</v>
      </c>
      <c r="FX87">
        <v>35.299100000000003</v>
      </c>
      <c r="FY87">
        <v>18.433800000000002</v>
      </c>
      <c r="FZ87">
        <v>410</v>
      </c>
      <c r="GA87">
        <v>15.2247</v>
      </c>
      <c r="GB87">
        <v>99.876199999999997</v>
      </c>
      <c r="GC87">
        <v>99.509799999999998</v>
      </c>
    </row>
    <row r="88" spans="1:185" x14ac:dyDescent="0.2">
      <c r="A88">
        <v>73</v>
      </c>
      <c r="B88">
        <v>1769184244.0999999</v>
      </c>
      <c r="C88">
        <v>1381.0999999046301</v>
      </c>
      <c r="D88" t="s">
        <v>441</v>
      </c>
      <c r="E88" t="s">
        <v>442</v>
      </c>
      <c r="F88">
        <v>15</v>
      </c>
      <c r="G88">
        <v>1769184236.03333</v>
      </c>
      <c r="H88">
        <f t="shared" si="13"/>
        <v>3.8459495458370449E-4</v>
      </c>
      <c r="I88">
        <v>0</v>
      </c>
      <c r="J88">
        <f t="shared" si="25"/>
        <v>-2.0556139989892173E-3</v>
      </c>
      <c r="K88">
        <f t="shared" si="14"/>
        <v>-5.3835855694917785E-2</v>
      </c>
      <c r="L88">
        <f t="shared" si="15"/>
        <v>69.23848764241481</v>
      </c>
      <c r="M88">
        <f t="shared" si="16"/>
        <v>1.5280555140990773</v>
      </c>
      <c r="N88">
        <f t="shared" si="17"/>
        <v>2.2069452498598561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26274.13288997595</v>
      </c>
      <c r="T88">
        <f t="shared" si="21"/>
        <v>0</v>
      </c>
      <c r="U88">
        <f t="shared" si="22"/>
        <v>0</v>
      </c>
      <c r="V88">
        <f t="shared" si="23"/>
        <v>0.84248416500000001</v>
      </c>
      <c r="W88">
        <f t="shared" si="24"/>
        <v>0.15741138690000001</v>
      </c>
      <c r="X88">
        <v>1</v>
      </c>
      <c r="Y88">
        <v>1769184236.03333</v>
      </c>
      <c r="Z88">
        <v>409.82639999999998</v>
      </c>
      <c r="AA88">
        <v>409.95606666666703</v>
      </c>
      <c r="AB88">
        <v>15.250346666666699</v>
      </c>
      <c r="AC88">
        <v>14.777153333333301</v>
      </c>
      <c r="AD88">
        <v>410.87233333333302</v>
      </c>
      <c r="AE88">
        <v>15.147500000000001</v>
      </c>
      <c r="AF88">
        <v>800.37</v>
      </c>
      <c r="AG88">
        <v>100.130666666667</v>
      </c>
      <c r="AH88">
        <v>6.7417186666666698E-2</v>
      </c>
      <c r="AI88">
        <v>19.012820000000001</v>
      </c>
      <c r="AJ88">
        <v>999.9</v>
      </c>
      <c r="AK88">
        <v>999.9</v>
      </c>
      <c r="AL88">
        <v>0</v>
      </c>
      <c r="AM88">
        <v>0</v>
      </c>
      <c r="AN88">
        <v>5003.1000000000004</v>
      </c>
      <c r="AO88">
        <v>0</v>
      </c>
      <c r="AP88">
        <v>1.9760899999999999</v>
      </c>
      <c r="AQ88">
        <v>-0.12951663333333299</v>
      </c>
      <c r="AR88">
        <v>416.17320000000001</v>
      </c>
      <c r="AS88">
        <v>416.10486666666702</v>
      </c>
      <c r="AT88">
        <v>0.47319575666666702</v>
      </c>
      <c r="AU88">
        <v>409.95606666666703</v>
      </c>
      <c r="AV88">
        <v>14.777153333333301</v>
      </c>
      <c r="AW88">
        <v>1.5270286666666699</v>
      </c>
      <c r="AX88">
        <v>1.479646</v>
      </c>
      <c r="AY88">
        <v>13.240019999999999</v>
      </c>
      <c r="AZ88">
        <v>12.7593666666667</v>
      </c>
      <c r="BA88">
        <v>0</v>
      </c>
      <c r="BB88">
        <v>0.91718</v>
      </c>
      <c r="BC88">
        <v>0</v>
      </c>
      <c r="BD88">
        <v>8.2819500000000004E-2</v>
      </c>
      <c r="BE88">
        <v>0</v>
      </c>
      <c r="BF88">
        <v>25</v>
      </c>
      <c r="BG88">
        <v>0</v>
      </c>
      <c r="BH88">
        <v>1769184227.0999999</v>
      </c>
      <c r="BI88" t="s">
        <v>438</v>
      </c>
      <c r="BJ88">
        <v>1769184227.0999999</v>
      </c>
      <c r="BK88">
        <v>1769184226.0999999</v>
      </c>
      <c r="BL88">
        <v>3</v>
      </c>
      <c r="BM88">
        <v>6.3E-2</v>
      </c>
      <c r="BN88">
        <v>-4.9000000000000002E-2</v>
      </c>
      <c r="BO88">
        <v>-1.046</v>
      </c>
      <c r="BP88">
        <v>0.10299999999999999</v>
      </c>
      <c r="BQ88">
        <v>410</v>
      </c>
      <c r="BR88">
        <v>15</v>
      </c>
      <c r="BS88">
        <v>0.22</v>
      </c>
      <c r="BT88">
        <v>0.08</v>
      </c>
      <c r="BU88">
        <v>-0.10855104761904801</v>
      </c>
      <c r="BV88">
        <v>-0.52987649610389598</v>
      </c>
      <c r="BW88">
        <v>6.4233877112779295E-2</v>
      </c>
      <c r="BX88">
        <v>0</v>
      </c>
      <c r="BY88">
        <v>0</v>
      </c>
      <c r="BZ88">
        <v>0</v>
      </c>
      <c r="CA88">
        <v>0</v>
      </c>
      <c r="CB88">
        <v>-1</v>
      </c>
      <c r="CC88">
        <v>0.34864737666666701</v>
      </c>
      <c r="CD88">
        <v>2.3053268797402602</v>
      </c>
      <c r="CE88">
        <v>0.25041043158762799</v>
      </c>
      <c r="CF88">
        <v>0</v>
      </c>
      <c r="CG88">
        <v>0</v>
      </c>
      <c r="CH88">
        <v>2</v>
      </c>
      <c r="CI88" t="s">
        <v>290</v>
      </c>
      <c r="CJ88">
        <v>3.5325299999999999</v>
      </c>
      <c r="CK88">
        <v>2.7035999999999998</v>
      </c>
      <c r="CL88">
        <v>9.8086000000000007E-2</v>
      </c>
      <c r="CM88">
        <v>9.6718999999999999E-2</v>
      </c>
      <c r="CN88">
        <v>8.7128200000000003E-2</v>
      </c>
      <c r="CO88">
        <v>8.3631399999999995E-2</v>
      </c>
      <c r="CP88">
        <v>31631.9</v>
      </c>
      <c r="CQ88">
        <v>27759.1</v>
      </c>
      <c r="CR88">
        <v>32458.9</v>
      </c>
      <c r="CS88">
        <v>30656.799999999999</v>
      </c>
      <c r="CT88">
        <v>40112</v>
      </c>
      <c r="CU88">
        <v>39490.300000000003</v>
      </c>
      <c r="CV88">
        <v>47392.5</v>
      </c>
      <c r="CW88">
        <v>46737.2</v>
      </c>
      <c r="CX88">
        <v>2.6257799999999998</v>
      </c>
      <c r="CY88">
        <v>2.1509999999999998</v>
      </c>
      <c r="CZ88">
        <v>0</v>
      </c>
      <c r="DA88">
        <v>0</v>
      </c>
      <c r="DB88">
        <v>999.9</v>
      </c>
      <c r="DC88">
        <v>999.9</v>
      </c>
      <c r="DD88">
        <v>68.763999999999996</v>
      </c>
      <c r="DE88">
        <v>24.904</v>
      </c>
      <c r="DF88">
        <v>21.711200000000002</v>
      </c>
      <c r="DG88">
        <v>30.580100000000002</v>
      </c>
      <c r="DH88">
        <v>17.524000000000001</v>
      </c>
      <c r="DI88">
        <v>2</v>
      </c>
      <c r="DJ88">
        <v>-0.14834800000000001</v>
      </c>
      <c r="DK88">
        <v>2.0746500000000001</v>
      </c>
      <c r="DL88">
        <v>20.235199999999999</v>
      </c>
      <c r="DM88">
        <v>5.2520300000000004</v>
      </c>
      <c r="DN88">
        <v>12.033899999999999</v>
      </c>
      <c r="DO88">
        <v>4.9673600000000002</v>
      </c>
      <c r="DP88">
        <v>3.2910200000000001</v>
      </c>
      <c r="DQ88">
        <v>9999</v>
      </c>
      <c r="DR88">
        <v>9999</v>
      </c>
      <c r="DS88">
        <v>534.29999999999995</v>
      </c>
      <c r="DT88">
        <v>9999</v>
      </c>
      <c r="DU88">
        <v>1.8710199999999999</v>
      </c>
      <c r="DV88">
        <v>1.8760699999999999</v>
      </c>
      <c r="DW88">
        <v>1.8762300000000001</v>
      </c>
      <c r="DX88">
        <v>1.8827799999999999</v>
      </c>
      <c r="DY88">
        <v>1.8755200000000001</v>
      </c>
      <c r="DZ88">
        <v>1.8745499999999999</v>
      </c>
      <c r="EA88">
        <v>1.87073</v>
      </c>
      <c r="EB88">
        <v>1.8745700000000001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-1.046</v>
      </c>
      <c r="EQ88">
        <v>0.1028</v>
      </c>
      <c r="ER88">
        <v>-1.04590000000007</v>
      </c>
      <c r="ES88">
        <v>0</v>
      </c>
      <c r="ET88">
        <v>0</v>
      </c>
      <c r="EU88">
        <v>0</v>
      </c>
      <c r="EV88">
        <v>0.102854545454546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0.3</v>
      </c>
      <c r="FE88">
        <v>0.3</v>
      </c>
      <c r="FF88">
        <v>1.2341299999999999</v>
      </c>
      <c r="FG88">
        <v>2.5524900000000001</v>
      </c>
      <c r="FH88">
        <v>2.19604</v>
      </c>
      <c r="FI88">
        <v>2.66235</v>
      </c>
      <c r="FJ88">
        <v>2.4462899999999999</v>
      </c>
      <c r="FK88">
        <v>2.2961399999999998</v>
      </c>
      <c r="FL88">
        <v>30.264900000000001</v>
      </c>
      <c r="FM88">
        <v>24.157499999999999</v>
      </c>
      <c r="FN88">
        <v>19</v>
      </c>
      <c r="FO88">
        <v>861.505</v>
      </c>
      <c r="FP88">
        <v>587.83699999999999</v>
      </c>
      <c r="FQ88">
        <v>18.337900000000001</v>
      </c>
      <c r="FR88">
        <v>25.110600000000002</v>
      </c>
      <c r="FS88">
        <v>29.999099999999999</v>
      </c>
      <c r="FT88">
        <v>25.093599999999999</v>
      </c>
      <c r="FU88">
        <v>25.092500000000001</v>
      </c>
      <c r="FV88">
        <v>24.770499999999998</v>
      </c>
      <c r="FW88">
        <v>35.1571</v>
      </c>
      <c r="FX88">
        <v>34.921500000000002</v>
      </c>
      <c r="FY88">
        <v>18.3888</v>
      </c>
      <c r="FZ88">
        <v>410</v>
      </c>
      <c r="GA88">
        <v>14.7822</v>
      </c>
      <c r="GB88">
        <v>99.872200000000007</v>
      </c>
      <c r="GC88">
        <v>99.506500000000003</v>
      </c>
    </row>
    <row r="89" spans="1:185" x14ac:dyDescent="0.2">
      <c r="A89">
        <v>74</v>
      </c>
      <c r="B89">
        <v>1769184259.0999999</v>
      </c>
      <c r="C89">
        <v>1396.0999999046301</v>
      </c>
      <c r="D89" t="s">
        <v>443</v>
      </c>
      <c r="E89" t="s">
        <v>444</v>
      </c>
      <c r="F89">
        <v>15</v>
      </c>
      <c r="G89">
        <v>1769184251.03333</v>
      </c>
      <c r="H89">
        <f t="shared" si="13"/>
        <v>5.1079932977046651E-4</v>
      </c>
      <c r="I89">
        <v>0</v>
      </c>
      <c r="J89">
        <f t="shared" si="25"/>
        <v>-2.681928169727957E-3</v>
      </c>
      <c r="K89">
        <f t="shared" si="14"/>
        <v>-7.0238818183085666E-2</v>
      </c>
      <c r="L89">
        <f t="shared" si="15"/>
        <v>69.965153008340593</v>
      </c>
      <c r="M89">
        <f t="shared" si="16"/>
        <v>1.5412373090421514</v>
      </c>
      <c r="N89">
        <f t="shared" si="17"/>
        <v>2.2028642013523783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26241.154962445904</v>
      </c>
      <c r="T89">
        <f t="shared" si="21"/>
        <v>0</v>
      </c>
      <c r="U89">
        <f t="shared" si="22"/>
        <v>0</v>
      </c>
      <c r="V89">
        <f t="shared" si="23"/>
        <v>0.84248416500000001</v>
      </c>
      <c r="W89">
        <f t="shared" si="24"/>
        <v>0.15741138690000001</v>
      </c>
      <c r="X89">
        <v>1</v>
      </c>
      <c r="Y89">
        <v>1769184251.03333</v>
      </c>
      <c r="Z89">
        <v>409.81479999999999</v>
      </c>
      <c r="AA89">
        <v>409.98866666666697</v>
      </c>
      <c r="AB89">
        <v>15.3820533333333</v>
      </c>
      <c r="AC89">
        <v>14.75338</v>
      </c>
      <c r="AD89">
        <v>410.86066666666699</v>
      </c>
      <c r="AE89">
        <v>15.2791866666667</v>
      </c>
      <c r="AF89">
        <v>800.00559999999996</v>
      </c>
      <c r="AG89">
        <v>100.131333333333</v>
      </c>
      <c r="AH89">
        <v>6.5777913333333299E-2</v>
      </c>
      <c r="AI89">
        <v>18.983160000000002</v>
      </c>
      <c r="AJ89">
        <v>999.9</v>
      </c>
      <c r="AK89">
        <v>999.9</v>
      </c>
      <c r="AL89">
        <v>0</v>
      </c>
      <c r="AM89">
        <v>0</v>
      </c>
      <c r="AN89">
        <v>4997.2</v>
      </c>
      <c r="AO89">
        <v>0</v>
      </c>
      <c r="AP89">
        <v>1.9760899999999999</v>
      </c>
      <c r="AQ89">
        <v>-0.17396446666666701</v>
      </c>
      <c r="AR89">
        <v>416.21699999999998</v>
      </c>
      <c r="AS89">
        <v>416.12799999999999</v>
      </c>
      <c r="AT89">
        <v>0.62865800000000005</v>
      </c>
      <c r="AU89">
        <v>409.98866666666697</v>
      </c>
      <c r="AV89">
        <v>14.75338</v>
      </c>
      <c r="AW89">
        <v>1.540224</v>
      </c>
      <c r="AX89">
        <v>1.47727733333333</v>
      </c>
      <c r="AY89">
        <v>13.373433333333301</v>
      </c>
      <c r="AZ89">
        <v>12.734973333333301</v>
      </c>
      <c r="BA89">
        <v>0</v>
      </c>
      <c r="BB89">
        <v>0.91718</v>
      </c>
      <c r="BC89">
        <v>0</v>
      </c>
      <c r="BD89">
        <v>8.2819500000000004E-2</v>
      </c>
      <c r="BE89">
        <v>0</v>
      </c>
      <c r="BF89">
        <v>25</v>
      </c>
      <c r="BG89">
        <v>0</v>
      </c>
      <c r="BH89">
        <v>1769184227.0999999</v>
      </c>
      <c r="BI89" t="s">
        <v>438</v>
      </c>
      <c r="BJ89">
        <v>1769184227.0999999</v>
      </c>
      <c r="BK89">
        <v>1769184226.0999999</v>
      </c>
      <c r="BL89">
        <v>3</v>
      </c>
      <c r="BM89">
        <v>6.3E-2</v>
      </c>
      <c r="BN89">
        <v>-4.9000000000000002E-2</v>
      </c>
      <c r="BO89">
        <v>-1.046</v>
      </c>
      <c r="BP89">
        <v>0.10299999999999999</v>
      </c>
      <c r="BQ89">
        <v>410</v>
      </c>
      <c r="BR89">
        <v>15</v>
      </c>
      <c r="BS89">
        <v>0.22</v>
      </c>
      <c r="BT89">
        <v>0.08</v>
      </c>
      <c r="BU89">
        <v>-0.17829100000000001</v>
      </c>
      <c r="BV89">
        <v>1.8712285714285799E-2</v>
      </c>
      <c r="BW89">
        <v>1.45217679889127E-2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0.61671166666666699</v>
      </c>
      <c r="CD89">
        <v>0.17414407792207801</v>
      </c>
      <c r="CE89">
        <v>2.2565582219142701E-2</v>
      </c>
      <c r="CF89">
        <v>0</v>
      </c>
      <c r="CG89">
        <v>1</v>
      </c>
      <c r="CH89">
        <v>2</v>
      </c>
      <c r="CI89" t="s">
        <v>301</v>
      </c>
      <c r="CJ89">
        <v>3.5325000000000002</v>
      </c>
      <c r="CK89">
        <v>2.7031900000000002</v>
      </c>
      <c r="CL89">
        <v>9.8088999999999996E-2</v>
      </c>
      <c r="CM89">
        <v>9.6714800000000004E-2</v>
      </c>
      <c r="CN89">
        <v>8.7101999999999999E-2</v>
      </c>
      <c r="CO89">
        <v>8.3568900000000002E-2</v>
      </c>
      <c r="CP89">
        <v>31633.1</v>
      </c>
      <c r="CQ89">
        <v>27760.7</v>
      </c>
      <c r="CR89">
        <v>32460.3</v>
      </c>
      <c r="CS89">
        <v>30658.5</v>
      </c>
      <c r="CT89">
        <v>40115.1</v>
      </c>
      <c r="CU89">
        <v>39495.5</v>
      </c>
      <c r="CV89">
        <v>47394.8</v>
      </c>
      <c r="CW89">
        <v>46740.1</v>
      </c>
      <c r="CX89">
        <v>2.6276600000000001</v>
      </c>
      <c r="CY89">
        <v>2.1518199999999998</v>
      </c>
      <c r="CZ89">
        <v>0</v>
      </c>
      <c r="DA89">
        <v>0</v>
      </c>
      <c r="DB89">
        <v>999.9</v>
      </c>
      <c r="DC89">
        <v>999.9</v>
      </c>
      <c r="DD89">
        <v>68.667000000000002</v>
      </c>
      <c r="DE89">
        <v>24.934000000000001</v>
      </c>
      <c r="DF89">
        <v>21.720600000000001</v>
      </c>
      <c r="DG89">
        <v>30.700099999999999</v>
      </c>
      <c r="DH89">
        <v>17.495999999999999</v>
      </c>
      <c r="DI89">
        <v>2</v>
      </c>
      <c r="DJ89">
        <v>-0.149453</v>
      </c>
      <c r="DK89">
        <v>1.8156099999999999</v>
      </c>
      <c r="DL89">
        <v>20.239000000000001</v>
      </c>
      <c r="DM89">
        <v>5.2502399999999998</v>
      </c>
      <c r="DN89">
        <v>12.033899999999999</v>
      </c>
      <c r="DO89">
        <v>4.9674399999999999</v>
      </c>
      <c r="DP89">
        <v>3.2907600000000001</v>
      </c>
      <c r="DQ89">
        <v>9999</v>
      </c>
      <c r="DR89">
        <v>9999</v>
      </c>
      <c r="DS89">
        <v>534.4</v>
      </c>
      <c r="DT89">
        <v>9999</v>
      </c>
      <c r="DU89">
        <v>1.8710199999999999</v>
      </c>
      <c r="DV89">
        <v>1.8760699999999999</v>
      </c>
      <c r="DW89">
        <v>1.8762300000000001</v>
      </c>
      <c r="DX89">
        <v>1.8827799999999999</v>
      </c>
      <c r="DY89">
        <v>1.8755200000000001</v>
      </c>
      <c r="DZ89">
        <v>1.8745499999999999</v>
      </c>
      <c r="EA89">
        <v>1.87073</v>
      </c>
      <c r="EB89">
        <v>1.87459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-1.046</v>
      </c>
      <c r="EQ89">
        <v>0.1028</v>
      </c>
      <c r="ER89">
        <v>-1.04590000000007</v>
      </c>
      <c r="ES89">
        <v>0</v>
      </c>
      <c r="ET89">
        <v>0</v>
      </c>
      <c r="EU89">
        <v>0</v>
      </c>
      <c r="EV89">
        <v>0.102854545454546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0.5</v>
      </c>
      <c r="FE89">
        <v>0.6</v>
      </c>
      <c r="FF89">
        <v>1.2341299999999999</v>
      </c>
      <c r="FG89">
        <v>2.5537100000000001</v>
      </c>
      <c r="FH89">
        <v>2.19604</v>
      </c>
      <c r="FI89">
        <v>2.66235</v>
      </c>
      <c r="FJ89">
        <v>2.4462899999999999</v>
      </c>
      <c r="FK89">
        <v>2.3095699999999999</v>
      </c>
      <c r="FL89">
        <v>30.2864</v>
      </c>
      <c r="FM89">
        <v>24.157499999999999</v>
      </c>
      <c r="FN89">
        <v>19</v>
      </c>
      <c r="FO89">
        <v>863.28</v>
      </c>
      <c r="FP89">
        <v>588.51900000000001</v>
      </c>
      <c r="FQ89">
        <v>18.392299999999999</v>
      </c>
      <c r="FR89">
        <v>25.113600000000002</v>
      </c>
      <c r="FS89">
        <v>29.9998</v>
      </c>
      <c r="FT89">
        <v>25.095700000000001</v>
      </c>
      <c r="FU89">
        <v>25.096299999999999</v>
      </c>
      <c r="FV89">
        <v>24.7715</v>
      </c>
      <c r="FW89">
        <v>35.1571</v>
      </c>
      <c r="FX89">
        <v>34.549300000000002</v>
      </c>
      <c r="FY89">
        <v>18.413399999999999</v>
      </c>
      <c r="FZ89">
        <v>410</v>
      </c>
      <c r="GA89">
        <v>14.790699999999999</v>
      </c>
      <c r="GB89">
        <v>99.876800000000003</v>
      </c>
      <c r="GC89">
        <v>99.512500000000003</v>
      </c>
    </row>
    <row r="90" spans="1:185" x14ac:dyDescent="0.2">
      <c r="A90">
        <v>75</v>
      </c>
      <c r="B90">
        <v>1769184274.0999999</v>
      </c>
      <c r="C90">
        <v>1411.0999999046301</v>
      </c>
      <c r="D90" t="s">
        <v>445</v>
      </c>
      <c r="E90" t="s">
        <v>446</v>
      </c>
      <c r="F90">
        <v>15</v>
      </c>
      <c r="G90">
        <v>1769184266.03333</v>
      </c>
      <c r="H90">
        <f t="shared" si="13"/>
        <v>5.2067483006738087E-4</v>
      </c>
      <c r="I90">
        <v>0</v>
      </c>
      <c r="J90">
        <f t="shared" si="25"/>
        <v>-2.5859830604192456E-3</v>
      </c>
      <c r="K90">
        <f t="shared" si="14"/>
        <v>-6.7726047272828799E-2</v>
      </c>
      <c r="L90">
        <f t="shared" si="15"/>
        <v>70.011039949984877</v>
      </c>
      <c r="M90">
        <f t="shared" si="16"/>
        <v>1.5406952968934025</v>
      </c>
      <c r="N90">
        <f t="shared" si="17"/>
        <v>2.200646209503613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26292.233156114951</v>
      </c>
      <c r="T90">
        <f t="shared" si="21"/>
        <v>0</v>
      </c>
      <c r="U90">
        <f t="shared" si="22"/>
        <v>0</v>
      </c>
      <c r="V90">
        <f t="shared" si="23"/>
        <v>0.84248416500000001</v>
      </c>
      <c r="W90">
        <f t="shared" si="24"/>
        <v>0.15741138690000001</v>
      </c>
      <c r="X90">
        <v>1</v>
      </c>
      <c r="Y90">
        <v>1769184266.03333</v>
      </c>
      <c r="Z90">
        <v>409.81420000000003</v>
      </c>
      <c r="AA90">
        <v>409.996266666667</v>
      </c>
      <c r="AB90">
        <v>15.376580000000001</v>
      </c>
      <c r="AC90">
        <v>14.735746666666699</v>
      </c>
      <c r="AD90">
        <v>410.86013333333301</v>
      </c>
      <c r="AE90">
        <v>15.27374</v>
      </c>
      <c r="AF90">
        <v>800.003066666667</v>
      </c>
      <c r="AG90">
        <v>100.13226666666699</v>
      </c>
      <c r="AH90">
        <v>6.5260799999999994E-2</v>
      </c>
      <c r="AI90">
        <v>18.967020000000002</v>
      </c>
      <c r="AJ90">
        <v>999.9</v>
      </c>
      <c r="AK90">
        <v>999.9</v>
      </c>
      <c r="AL90">
        <v>0</v>
      </c>
      <c r="AM90">
        <v>0</v>
      </c>
      <c r="AN90">
        <v>5005.3333333333303</v>
      </c>
      <c r="AO90">
        <v>0</v>
      </c>
      <c r="AP90">
        <v>1.9760899999999999</v>
      </c>
      <c r="AQ90">
        <v>-0.182108566666667</v>
      </c>
      <c r="AR90">
        <v>416.21426666666702</v>
      </c>
      <c r="AS90">
        <v>416.12819999999999</v>
      </c>
      <c r="AT90">
        <v>0.64084053333333302</v>
      </c>
      <c r="AU90">
        <v>409.996266666667</v>
      </c>
      <c r="AV90">
        <v>14.735746666666699</v>
      </c>
      <c r="AW90">
        <v>1.5396906666666701</v>
      </c>
      <c r="AX90">
        <v>1.475522</v>
      </c>
      <c r="AY90">
        <v>13.3681066666667</v>
      </c>
      <c r="AZ90">
        <v>12.7168333333333</v>
      </c>
      <c r="BA90">
        <v>0</v>
      </c>
      <c r="BB90">
        <v>0.91718</v>
      </c>
      <c r="BC90">
        <v>0</v>
      </c>
      <c r="BD90">
        <v>8.2819500000000004E-2</v>
      </c>
      <c r="BE90">
        <v>0</v>
      </c>
      <c r="BF90">
        <v>25</v>
      </c>
      <c r="BG90">
        <v>0</v>
      </c>
      <c r="BH90">
        <v>1769184227.0999999</v>
      </c>
      <c r="BI90" t="s">
        <v>438</v>
      </c>
      <c r="BJ90">
        <v>1769184227.0999999</v>
      </c>
      <c r="BK90">
        <v>1769184226.0999999</v>
      </c>
      <c r="BL90">
        <v>3</v>
      </c>
      <c r="BM90">
        <v>6.3E-2</v>
      </c>
      <c r="BN90">
        <v>-4.9000000000000002E-2</v>
      </c>
      <c r="BO90">
        <v>-1.046</v>
      </c>
      <c r="BP90">
        <v>0.10299999999999999</v>
      </c>
      <c r="BQ90">
        <v>410</v>
      </c>
      <c r="BR90">
        <v>15</v>
      </c>
      <c r="BS90">
        <v>0.22</v>
      </c>
      <c r="BT90">
        <v>0.08</v>
      </c>
      <c r="BU90">
        <v>-0.17804392857142901</v>
      </c>
      <c r="BV90">
        <v>-9.3623298701298596E-2</v>
      </c>
      <c r="BW90">
        <v>5.4445471106045001E-2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0.63862823809523805</v>
      </c>
      <c r="CD90">
        <v>5.6533870129870503E-2</v>
      </c>
      <c r="CE90">
        <v>6.4526587647098501E-3</v>
      </c>
      <c r="CF90">
        <v>1</v>
      </c>
      <c r="CG90">
        <v>2</v>
      </c>
      <c r="CH90">
        <v>2</v>
      </c>
      <c r="CI90" t="s">
        <v>310</v>
      </c>
      <c r="CJ90">
        <v>3.53261</v>
      </c>
      <c r="CK90">
        <v>2.70322</v>
      </c>
      <c r="CL90">
        <v>9.8085400000000003E-2</v>
      </c>
      <c r="CM90">
        <v>9.6716099999999999E-2</v>
      </c>
      <c r="CN90">
        <v>8.7063100000000004E-2</v>
      </c>
      <c r="CO90">
        <v>8.3491800000000005E-2</v>
      </c>
      <c r="CP90">
        <v>31632.9</v>
      </c>
      <c r="CQ90">
        <v>27760.9</v>
      </c>
      <c r="CR90">
        <v>32459.9</v>
      </c>
      <c r="CS90">
        <v>30658.7</v>
      </c>
      <c r="CT90">
        <v>40116.300000000003</v>
      </c>
      <c r="CU90">
        <v>39498.9</v>
      </c>
      <c r="CV90">
        <v>47394.1</v>
      </c>
      <c r="CW90">
        <v>46740</v>
      </c>
      <c r="CX90">
        <v>2.6284399999999999</v>
      </c>
      <c r="CY90">
        <v>2.15198</v>
      </c>
      <c r="CZ90">
        <v>0</v>
      </c>
      <c r="DA90">
        <v>0</v>
      </c>
      <c r="DB90">
        <v>999.9</v>
      </c>
      <c r="DC90">
        <v>999.9</v>
      </c>
      <c r="DD90">
        <v>68.551000000000002</v>
      </c>
      <c r="DE90">
        <v>24.943999999999999</v>
      </c>
      <c r="DF90">
        <v>21.694900000000001</v>
      </c>
      <c r="DG90">
        <v>30.610099999999999</v>
      </c>
      <c r="DH90">
        <v>17.459900000000001</v>
      </c>
      <c r="DI90">
        <v>2</v>
      </c>
      <c r="DJ90">
        <v>-0.149697</v>
      </c>
      <c r="DK90">
        <v>1.7185699999999999</v>
      </c>
      <c r="DL90">
        <v>20.2408</v>
      </c>
      <c r="DM90">
        <v>5.2519099999999996</v>
      </c>
      <c r="DN90">
        <v>12.033899999999999</v>
      </c>
      <c r="DO90">
        <v>4.9676400000000003</v>
      </c>
      <c r="DP90">
        <v>3.2909999999999999</v>
      </c>
      <c r="DQ90">
        <v>9999</v>
      </c>
      <c r="DR90">
        <v>9999</v>
      </c>
      <c r="DS90">
        <v>534.4</v>
      </c>
      <c r="DT90">
        <v>9999</v>
      </c>
      <c r="DU90">
        <v>1.8710100000000001</v>
      </c>
      <c r="DV90">
        <v>1.8760699999999999</v>
      </c>
      <c r="DW90">
        <v>1.8762300000000001</v>
      </c>
      <c r="DX90">
        <v>1.8827799999999999</v>
      </c>
      <c r="DY90">
        <v>1.8754999999999999</v>
      </c>
      <c r="DZ90">
        <v>1.8745400000000001</v>
      </c>
      <c r="EA90">
        <v>1.87073</v>
      </c>
      <c r="EB90">
        <v>1.8745700000000001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-1.046</v>
      </c>
      <c r="EQ90">
        <v>0.1028</v>
      </c>
      <c r="ER90">
        <v>-1.04590000000007</v>
      </c>
      <c r="ES90">
        <v>0</v>
      </c>
      <c r="ET90">
        <v>0</v>
      </c>
      <c r="EU90">
        <v>0</v>
      </c>
      <c r="EV90">
        <v>0.102854545454546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0.8</v>
      </c>
      <c r="FE90">
        <v>0.8</v>
      </c>
      <c r="FF90">
        <v>1.2341299999999999</v>
      </c>
      <c r="FG90">
        <v>2.5549300000000001</v>
      </c>
      <c r="FH90">
        <v>2.19604</v>
      </c>
      <c r="FI90">
        <v>2.66235</v>
      </c>
      <c r="FJ90">
        <v>2.4462899999999999</v>
      </c>
      <c r="FK90">
        <v>2.2631800000000002</v>
      </c>
      <c r="FL90">
        <v>30.2864</v>
      </c>
      <c r="FM90">
        <v>24.157499999999999</v>
      </c>
      <c r="FN90">
        <v>19</v>
      </c>
      <c r="FO90">
        <v>864.07100000000003</v>
      </c>
      <c r="FP90">
        <v>588.69200000000001</v>
      </c>
      <c r="FQ90">
        <v>18.463799999999999</v>
      </c>
      <c r="FR90">
        <v>25.117699999999999</v>
      </c>
      <c r="FS90">
        <v>30.0001</v>
      </c>
      <c r="FT90">
        <v>25.099900000000002</v>
      </c>
      <c r="FU90">
        <v>25.1005</v>
      </c>
      <c r="FV90">
        <v>24.773800000000001</v>
      </c>
      <c r="FW90">
        <v>34.8735</v>
      </c>
      <c r="FX90">
        <v>34.166400000000003</v>
      </c>
      <c r="FY90">
        <v>18.480599999999999</v>
      </c>
      <c r="FZ90">
        <v>410</v>
      </c>
      <c r="GA90">
        <v>14.8041</v>
      </c>
      <c r="GB90">
        <v>99.875399999999999</v>
      </c>
      <c r="GC90">
        <v>99.512600000000006</v>
      </c>
    </row>
    <row r="91" spans="1:185" x14ac:dyDescent="0.2">
      <c r="A91">
        <v>76</v>
      </c>
      <c r="B91">
        <v>1769184289.0999999</v>
      </c>
      <c r="C91">
        <v>1426.0999999046301</v>
      </c>
      <c r="D91" t="s">
        <v>447</v>
      </c>
      <c r="E91" t="s">
        <v>448</v>
      </c>
      <c r="F91">
        <v>15</v>
      </c>
      <c r="G91">
        <v>1769184281.03333</v>
      </c>
      <c r="H91">
        <f t="shared" si="13"/>
        <v>4.9431037154669313E-4</v>
      </c>
      <c r="I91">
        <v>0</v>
      </c>
      <c r="J91">
        <f t="shared" si="25"/>
        <v>-3.5503064208824119E-3</v>
      </c>
      <c r="K91">
        <f t="shared" si="14"/>
        <v>-9.2981359458220045E-2</v>
      </c>
      <c r="L91">
        <f t="shared" si="15"/>
        <v>70.021547533895728</v>
      </c>
      <c r="M91">
        <f t="shared" si="16"/>
        <v>1.5407745697701665</v>
      </c>
      <c r="N91">
        <f t="shared" si="17"/>
        <v>2.2004291879214968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26246.642943900719</v>
      </c>
      <c r="T91">
        <f t="shared" si="21"/>
        <v>0</v>
      </c>
      <c r="U91">
        <f t="shared" si="22"/>
        <v>0</v>
      </c>
      <c r="V91">
        <f t="shared" si="23"/>
        <v>0.84248416500000001</v>
      </c>
      <c r="W91">
        <f t="shared" si="24"/>
        <v>0.15741138690000001</v>
      </c>
      <c r="X91">
        <v>1</v>
      </c>
      <c r="Y91">
        <v>1769184281.03333</v>
      </c>
      <c r="Z91">
        <v>409.82619999999997</v>
      </c>
      <c r="AA91">
        <v>409.96319999999997</v>
      </c>
      <c r="AB91">
        <v>15.377219999999999</v>
      </c>
      <c r="AC91">
        <v>14.7688333333333</v>
      </c>
      <c r="AD91">
        <v>410.87206666666702</v>
      </c>
      <c r="AE91">
        <v>15.274366666666699</v>
      </c>
      <c r="AF91">
        <v>799.999866666667</v>
      </c>
      <c r="AG91">
        <v>100.13306666666701</v>
      </c>
      <c r="AH91">
        <v>6.5445793333333294E-2</v>
      </c>
      <c r="AI91">
        <v>18.965440000000001</v>
      </c>
      <c r="AJ91">
        <v>999.9</v>
      </c>
      <c r="AK91">
        <v>999.9</v>
      </c>
      <c r="AL91">
        <v>0</v>
      </c>
      <c r="AM91">
        <v>0</v>
      </c>
      <c r="AN91">
        <v>4997.7666666666701</v>
      </c>
      <c r="AO91">
        <v>0</v>
      </c>
      <c r="AP91">
        <v>1.9760899999999999</v>
      </c>
      <c r="AQ91">
        <v>-0.137148046666667</v>
      </c>
      <c r="AR91">
        <v>416.22673333333302</v>
      </c>
      <c r="AS91">
        <v>416.10873333333302</v>
      </c>
      <c r="AT91">
        <v>0.60836673333333302</v>
      </c>
      <c r="AU91">
        <v>409.96319999999997</v>
      </c>
      <c r="AV91">
        <v>14.7688333333333</v>
      </c>
      <c r="AW91">
        <v>1.5397686666666699</v>
      </c>
      <c r="AX91">
        <v>1.4788493333333299</v>
      </c>
      <c r="AY91">
        <v>13.368873333333299</v>
      </c>
      <c r="AZ91">
        <v>12.751193333333299</v>
      </c>
      <c r="BA91">
        <v>0</v>
      </c>
      <c r="BB91">
        <v>0.91718</v>
      </c>
      <c r="BC91">
        <v>0</v>
      </c>
      <c r="BD91">
        <v>8.2819500000000004E-2</v>
      </c>
      <c r="BE91">
        <v>0</v>
      </c>
      <c r="BF91">
        <v>25</v>
      </c>
      <c r="BG91">
        <v>0</v>
      </c>
      <c r="BH91">
        <v>1769184227.0999999</v>
      </c>
      <c r="BI91" t="s">
        <v>438</v>
      </c>
      <c r="BJ91">
        <v>1769184227.0999999</v>
      </c>
      <c r="BK91">
        <v>1769184226.0999999</v>
      </c>
      <c r="BL91">
        <v>3</v>
      </c>
      <c r="BM91">
        <v>6.3E-2</v>
      </c>
      <c r="BN91">
        <v>-4.9000000000000002E-2</v>
      </c>
      <c r="BO91">
        <v>-1.046</v>
      </c>
      <c r="BP91">
        <v>0.10299999999999999</v>
      </c>
      <c r="BQ91">
        <v>410</v>
      </c>
      <c r="BR91">
        <v>15</v>
      </c>
      <c r="BS91">
        <v>0.22</v>
      </c>
      <c r="BT91">
        <v>0.08</v>
      </c>
      <c r="BU91">
        <v>-0.15823973499999999</v>
      </c>
      <c r="BV91">
        <v>0.78187367368421001</v>
      </c>
      <c r="BW91">
        <v>0.137027311990151</v>
      </c>
      <c r="BX91">
        <v>0</v>
      </c>
      <c r="BY91">
        <v>0</v>
      </c>
      <c r="BZ91">
        <v>0</v>
      </c>
      <c r="CA91">
        <v>0</v>
      </c>
      <c r="CB91">
        <v>-1</v>
      </c>
      <c r="CC91">
        <v>0.61822540000000004</v>
      </c>
      <c r="CD91">
        <v>-0.24105239097744399</v>
      </c>
      <c r="CE91">
        <v>2.49761550872027E-2</v>
      </c>
      <c r="CF91">
        <v>0</v>
      </c>
      <c r="CG91">
        <v>0</v>
      </c>
      <c r="CH91">
        <v>2</v>
      </c>
      <c r="CI91" t="s">
        <v>290</v>
      </c>
      <c r="CJ91">
        <v>3.5325299999999999</v>
      </c>
      <c r="CK91">
        <v>2.7033900000000002</v>
      </c>
      <c r="CL91">
        <v>9.8116400000000006E-2</v>
      </c>
      <c r="CM91">
        <v>9.6723000000000003E-2</v>
      </c>
      <c r="CN91">
        <v>8.7145899999999998E-2</v>
      </c>
      <c r="CO91">
        <v>8.3766699999999999E-2</v>
      </c>
      <c r="CP91">
        <v>31631.8</v>
      </c>
      <c r="CQ91">
        <v>27761.599999999999</v>
      </c>
      <c r="CR91">
        <v>32459.9</v>
      </c>
      <c r="CS91">
        <v>30659.7</v>
      </c>
      <c r="CT91">
        <v>40112.5</v>
      </c>
      <c r="CU91">
        <v>39488.1</v>
      </c>
      <c r="CV91">
        <v>47394</v>
      </c>
      <c r="CW91">
        <v>46741.599999999999</v>
      </c>
      <c r="CX91">
        <v>2.6286200000000002</v>
      </c>
      <c r="CY91">
        <v>2.1517400000000002</v>
      </c>
      <c r="CZ91">
        <v>0</v>
      </c>
      <c r="DA91">
        <v>0</v>
      </c>
      <c r="DB91">
        <v>999.9</v>
      </c>
      <c r="DC91">
        <v>999.9</v>
      </c>
      <c r="DD91">
        <v>68.435000000000002</v>
      </c>
      <c r="DE91">
        <v>24.954999999999998</v>
      </c>
      <c r="DF91">
        <v>21.672699999999999</v>
      </c>
      <c r="DG91">
        <v>30.580100000000002</v>
      </c>
      <c r="DH91">
        <v>17.475999999999999</v>
      </c>
      <c r="DI91">
        <v>2</v>
      </c>
      <c r="DJ91">
        <v>-0.14943300000000001</v>
      </c>
      <c r="DK91">
        <v>1.64402</v>
      </c>
      <c r="DL91">
        <v>20.241700000000002</v>
      </c>
      <c r="DM91">
        <v>5.2522700000000002</v>
      </c>
      <c r="DN91">
        <v>12.033899999999999</v>
      </c>
      <c r="DO91">
        <v>4.9676400000000003</v>
      </c>
      <c r="DP91">
        <v>3.2909999999999999</v>
      </c>
      <c r="DQ91">
        <v>9999</v>
      </c>
      <c r="DR91">
        <v>9999</v>
      </c>
      <c r="DS91">
        <v>534.4</v>
      </c>
      <c r="DT91">
        <v>9999</v>
      </c>
      <c r="DU91">
        <v>1.87103</v>
      </c>
      <c r="DV91">
        <v>1.8760699999999999</v>
      </c>
      <c r="DW91">
        <v>1.8762300000000001</v>
      </c>
      <c r="DX91">
        <v>1.8827799999999999</v>
      </c>
      <c r="DY91">
        <v>1.8755599999999999</v>
      </c>
      <c r="DZ91">
        <v>1.87456</v>
      </c>
      <c r="EA91">
        <v>1.87073</v>
      </c>
      <c r="EB91">
        <v>1.8746100000000001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-1.046</v>
      </c>
      <c r="EQ91">
        <v>0.1028</v>
      </c>
      <c r="ER91">
        <v>-1.04590000000007</v>
      </c>
      <c r="ES91">
        <v>0</v>
      </c>
      <c r="ET91">
        <v>0</v>
      </c>
      <c r="EU91">
        <v>0</v>
      </c>
      <c r="EV91">
        <v>0.102854545454546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1</v>
      </c>
      <c r="FE91">
        <v>1.1000000000000001</v>
      </c>
      <c r="FF91">
        <v>1.2341299999999999</v>
      </c>
      <c r="FG91">
        <v>2.5585900000000001</v>
      </c>
      <c r="FH91">
        <v>2.19604</v>
      </c>
      <c r="FI91">
        <v>2.66235</v>
      </c>
      <c r="FJ91">
        <v>2.4462899999999999</v>
      </c>
      <c r="FK91">
        <v>2.2473100000000001</v>
      </c>
      <c r="FL91">
        <v>30.3079</v>
      </c>
      <c r="FM91">
        <v>24.148800000000001</v>
      </c>
      <c r="FN91">
        <v>19</v>
      </c>
      <c r="FO91">
        <v>864.30700000000002</v>
      </c>
      <c r="FP91">
        <v>588.55799999999999</v>
      </c>
      <c r="FQ91">
        <v>18.538799999999998</v>
      </c>
      <c r="FR91">
        <v>25.121600000000001</v>
      </c>
      <c r="FS91">
        <v>30.0001</v>
      </c>
      <c r="FT91">
        <v>25.104199999999999</v>
      </c>
      <c r="FU91">
        <v>25.1051</v>
      </c>
      <c r="FV91">
        <v>24.776599999999998</v>
      </c>
      <c r="FW91">
        <v>34.8735</v>
      </c>
      <c r="FX91">
        <v>33.406100000000002</v>
      </c>
      <c r="FY91">
        <v>18.5534</v>
      </c>
      <c r="FZ91">
        <v>410</v>
      </c>
      <c r="GA91">
        <v>14.7986</v>
      </c>
      <c r="GB91">
        <v>99.875299999999996</v>
      </c>
      <c r="GC91">
        <v>99.516000000000005</v>
      </c>
    </row>
    <row r="92" spans="1:185" x14ac:dyDescent="0.2">
      <c r="A92">
        <v>77</v>
      </c>
      <c r="B92">
        <v>1769184304.0999999</v>
      </c>
      <c r="C92">
        <v>1441.0999999046301</v>
      </c>
      <c r="D92" t="s">
        <v>449</v>
      </c>
      <c r="E92" t="s">
        <v>450</v>
      </c>
      <c r="F92">
        <v>15</v>
      </c>
      <c r="G92">
        <v>1769184296.03333</v>
      </c>
      <c r="H92">
        <f t="shared" si="13"/>
        <v>4.9838478976335079E-4</v>
      </c>
      <c r="I92">
        <v>0</v>
      </c>
      <c r="J92">
        <f t="shared" si="25"/>
        <v>-3.3660978807440235E-3</v>
      </c>
      <c r="K92">
        <f t="shared" si="14"/>
        <v>-8.8156998274876219E-2</v>
      </c>
      <c r="L92">
        <f t="shared" si="15"/>
        <v>70.077919264310324</v>
      </c>
      <c r="M92">
        <f t="shared" si="16"/>
        <v>1.5424122331796766</v>
      </c>
      <c r="N92">
        <f t="shared" si="17"/>
        <v>2.2009960475028048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26273.088294193087</v>
      </c>
      <c r="T92">
        <f t="shared" si="21"/>
        <v>0</v>
      </c>
      <c r="U92">
        <f t="shared" si="22"/>
        <v>0</v>
      </c>
      <c r="V92">
        <f t="shared" si="23"/>
        <v>0.84248416500000001</v>
      </c>
      <c r="W92">
        <f t="shared" si="24"/>
        <v>0.15741138690000001</v>
      </c>
      <c r="X92">
        <v>1</v>
      </c>
      <c r="Y92">
        <v>1769184296.03333</v>
      </c>
      <c r="Z92">
        <v>409.852933333333</v>
      </c>
      <c r="AA92">
        <v>409.998066666667</v>
      </c>
      <c r="AB92">
        <v>15.393853333333301</v>
      </c>
      <c r="AC92">
        <v>14.780466666666699</v>
      </c>
      <c r="AD92">
        <v>410.89893333333299</v>
      </c>
      <c r="AE92">
        <v>15.2910066666667</v>
      </c>
      <c r="AF92">
        <v>800.00553333333301</v>
      </c>
      <c r="AG92">
        <v>100.131133333333</v>
      </c>
      <c r="AH92">
        <v>6.5497086666666704E-2</v>
      </c>
      <c r="AI92">
        <v>18.969566666666701</v>
      </c>
      <c r="AJ92">
        <v>999.9</v>
      </c>
      <c r="AK92">
        <v>999.9</v>
      </c>
      <c r="AL92">
        <v>0</v>
      </c>
      <c r="AM92">
        <v>0</v>
      </c>
      <c r="AN92">
        <v>5002.2666666666701</v>
      </c>
      <c r="AO92">
        <v>0</v>
      </c>
      <c r="AP92">
        <v>1.9760899999999999</v>
      </c>
      <c r="AQ92">
        <v>-0.14528606666666699</v>
      </c>
      <c r="AR92">
        <v>416.26080000000002</v>
      </c>
      <c r="AS92">
        <v>416.149133333333</v>
      </c>
      <c r="AT92">
        <v>0.61338393333333296</v>
      </c>
      <c r="AU92">
        <v>409.998066666667</v>
      </c>
      <c r="AV92">
        <v>14.780466666666699</v>
      </c>
      <c r="AW92">
        <v>1.5414046666666701</v>
      </c>
      <c r="AX92">
        <v>1.479986</v>
      </c>
      <c r="AY92">
        <v>13.3851866666667</v>
      </c>
      <c r="AZ92">
        <v>12.7629533333333</v>
      </c>
      <c r="BA92">
        <v>0</v>
      </c>
      <c r="BB92">
        <v>0.91718</v>
      </c>
      <c r="BC92">
        <v>0</v>
      </c>
      <c r="BD92">
        <v>8.2819500000000004E-2</v>
      </c>
      <c r="BE92">
        <v>0</v>
      </c>
      <c r="BF92">
        <v>25</v>
      </c>
      <c r="BG92">
        <v>0</v>
      </c>
      <c r="BH92">
        <v>1769184227.0999999</v>
      </c>
      <c r="BI92" t="s">
        <v>438</v>
      </c>
      <c r="BJ92">
        <v>1769184227.0999999</v>
      </c>
      <c r="BK92">
        <v>1769184226.0999999</v>
      </c>
      <c r="BL92">
        <v>3</v>
      </c>
      <c r="BM92">
        <v>6.3E-2</v>
      </c>
      <c r="BN92">
        <v>-4.9000000000000002E-2</v>
      </c>
      <c r="BO92">
        <v>-1.046</v>
      </c>
      <c r="BP92">
        <v>0.10299999999999999</v>
      </c>
      <c r="BQ92">
        <v>410</v>
      </c>
      <c r="BR92">
        <v>15</v>
      </c>
      <c r="BS92">
        <v>0.22</v>
      </c>
      <c r="BT92">
        <v>0.08</v>
      </c>
      <c r="BU92">
        <v>-0.119085419047619</v>
      </c>
      <c r="BV92">
        <v>-0.254426836363636</v>
      </c>
      <c r="BW92">
        <v>7.1243442569321497E-2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0.60749128571428601</v>
      </c>
      <c r="CD92">
        <v>0.10717114285714301</v>
      </c>
      <c r="CE92">
        <v>1.13042143179851E-2</v>
      </c>
      <c r="CF92">
        <v>0</v>
      </c>
      <c r="CG92">
        <v>1</v>
      </c>
      <c r="CH92">
        <v>2</v>
      </c>
      <c r="CI92" t="s">
        <v>301</v>
      </c>
      <c r="CJ92">
        <v>3.5325299999999999</v>
      </c>
      <c r="CK92">
        <v>2.7033299999999998</v>
      </c>
      <c r="CL92">
        <v>9.8086599999999996E-2</v>
      </c>
      <c r="CM92">
        <v>9.6717999999999998E-2</v>
      </c>
      <c r="CN92">
        <v>8.7174600000000005E-2</v>
      </c>
      <c r="CO92">
        <v>8.3692100000000005E-2</v>
      </c>
      <c r="CP92">
        <v>31632.7</v>
      </c>
      <c r="CQ92">
        <v>27761.5</v>
      </c>
      <c r="CR92">
        <v>32459.8</v>
      </c>
      <c r="CS92">
        <v>30659.599999999999</v>
      </c>
      <c r="CT92">
        <v>40111.599999999999</v>
      </c>
      <c r="CU92">
        <v>39491.4</v>
      </c>
      <c r="CV92">
        <v>47394.5</v>
      </c>
      <c r="CW92">
        <v>46741.7</v>
      </c>
      <c r="CX92">
        <v>2.6284800000000001</v>
      </c>
      <c r="CY92">
        <v>2.1517599999999999</v>
      </c>
      <c r="CZ92">
        <v>0</v>
      </c>
      <c r="DA92">
        <v>0</v>
      </c>
      <c r="DB92">
        <v>999.9</v>
      </c>
      <c r="DC92">
        <v>999.9</v>
      </c>
      <c r="DD92">
        <v>68.313000000000002</v>
      </c>
      <c r="DE92">
        <v>24.984999999999999</v>
      </c>
      <c r="DF92">
        <v>21.676200000000001</v>
      </c>
      <c r="DG92">
        <v>30.580100000000002</v>
      </c>
      <c r="DH92">
        <v>17.5321</v>
      </c>
      <c r="DI92">
        <v>2</v>
      </c>
      <c r="DJ92">
        <v>-0.14933099999999999</v>
      </c>
      <c r="DK92">
        <v>1.5941700000000001</v>
      </c>
      <c r="DL92">
        <v>20.2424</v>
      </c>
      <c r="DM92">
        <v>5.2521500000000003</v>
      </c>
      <c r="DN92">
        <v>12.033899999999999</v>
      </c>
      <c r="DO92">
        <v>4.9676</v>
      </c>
      <c r="DP92">
        <v>3.2909999999999999</v>
      </c>
      <c r="DQ92">
        <v>9999</v>
      </c>
      <c r="DR92">
        <v>9999</v>
      </c>
      <c r="DS92">
        <v>534.4</v>
      </c>
      <c r="DT92">
        <v>9999</v>
      </c>
      <c r="DU92">
        <v>1.8710199999999999</v>
      </c>
      <c r="DV92">
        <v>1.8760699999999999</v>
      </c>
      <c r="DW92">
        <v>1.87625</v>
      </c>
      <c r="DX92">
        <v>1.8827799999999999</v>
      </c>
      <c r="DY92">
        <v>1.87557</v>
      </c>
      <c r="DZ92">
        <v>1.8745700000000001</v>
      </c>
      <c r="EA92">
        <v>1.87073</v>
      </c>
      <c r="EB92">
        <v>1.87462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-1.046</v>
      </c>
      <c r="EQ92">
        <v>0.10290000000000001</v>
      </c>
      <c r="ER92">
        <v>-1.04590000000007</v>
      </c>
      <c r="ES92">
        <v>0</v>
      </c>
      <c r="ET92">
        <v>0</v>
      </c>
      <c r="EU92">
        <v>0</v>
      </c>
      <c r="EV92">
        <v>0.102854545454546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1.3</v>
      </c>
      <c r="FE92">
        <v>1.3</v>
      </c>
      <c r="FF92">
        <v>1.2341299999999999</v>
      </c>
      <c r="FG92">
        <v>2.5561500000000001</v>
      </c>
      <c r="FH92">
        <v>2.19604</v>
      </c>
      <c r="FI92">
        <v>2.66235</v>
      </c>
      <c r="FJ92">
        <v>2.4462899999999999</v>
      </c>
      <c r="FK92">
        <v>2.2692899999999998</v>
      </c>
      <c r="FL92">
        <v>30.3294</v>
      </c>
      <c r="FM92">
        <v>24.157499999999999</v>
      </c>
      <c r="FN92">
        <v>19</v>
      </c>
      <c r="FO92">
        <v>864.24400000000003</v>
      </c>
      <c r="FP92">
        <v>588.61699999999996</v>
      </c>
      <c r="FQ92">
        <v>18.608799999999999</v>
      </c>
      <c r="FR92">
        <v>25.124099999999999</v>
      </c>
      <c r="FS92">
        <v>30</v>
      </c>
      <c r="FT92">
        <v>25.1083</v>
      </c>
      <c r="FU92">
        <v>25.108899999999998</v>
      </c>
      <c r="FV92">
        <v>24.777200000000001</v>
      </c>
      <c r="FW92">
        <v>34.8735</v>
      </c>
      <c r="FX92">
        <v>33.026499999999999</v>
      </c>
      <c r="FY92">
        <v>18.619800000000001</v>
      </c>
      <c r="FZ92">
        <v>410</v>
      </c>
      <c r="GA92">
        <v>14.7987</v>
      </c>
      <c r="GB92">
        <v>99.875799999999998</v>
      </c>
      <c r="GC92">
        <v>99.515900000000002</v>
      </c>
    </row>
    <row r="93" spans="1:185" x14ac:dyDescent="0.2">
      <c r="A93">
        <v>78</v>
      </c>
      <c r="B93">
        <v>1769184319.0999999</v>
      </c>
      <c r="C93">
        <v>1456.0999999046301</v>
      </c>
      <c r="D93" t="s">
        <v>451</v>
      </c>
      <c r="E93" t="s">
        <v>452</v>
      </c>
      <c r="F93">
        <v>15</v>
      </c>
      <c r="G93">
        <v>1769184311.03333</v>
      </c>
      <c r="H93">
        <f t="shared" si="13"/>
        <v>5.1274355631705521E-4</v>
      </c>
      <c r="I93">
        <v>0</v>
      </c>
      <c r="J93">
        <f t="shared" si="25"/>
        <v>-3.2219012111608116E-3</v>
      </c>
      <c r="K93">
        <f t="shared" si="14"/>
        <v>-8.4380534843907798E-2</v>
      </c>
      <c r="L93">
        <f t="shared" si="15"/>
        <v>70.044335322224654</v>
      </c>
      <c r="M93">
        <f t="shared" si="16"/>
        <v>1.5427350800423896</v>
      </c>
      <c r="N93">
        <f t="shared" si="17"/>
        <v>2.2025122701862356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26265.12731204207</v>
      </c>
      <c r="T93">
        <f t="shared" si="21"/>
        <v>0</v>
      </c>
      <c r="U93">
        <f t="shared" si="22"/>
        <v>0</v>
      </c>
      <c r="V93">
        <f t="shared" si="23"/>
        <v>0.84248416500000001</v>
      </c>
      <c r="W93">
        <f t="shared" si="24"/>
        <v>0.15741138690000001</v>
      </c>
      <c r="X93">
        <v>1</v>
      </c>
      <c r="Y93">
        <v>1769184311.03333</v>
      </c>
      <c r="Z93">
        <v>409.835933333333</v>
      </c>
      <c r="AA93">
        <v>409.99313333333299</v>
      </c>
      <c r="AB93">
        <v>15.3970866666667</v>
      </c>
      <c r="AC93">
        <v>14.766026666666701</v>
      </c>
      <c r="AD93">
        <v>410.8818</v>
      </c>
      <c r="AE93">
        <v>15.2942466666667</v>
      </c>
      <c r="AF93">
        <v>800.00126666666699</v>
      </c>
      <c r="AG93">
        <v>100.13079999999999</v>
      </c>
      <c r="AH93">
        <v>6.5757533333333298E-2</v>
      </c>
      <c r="AI93">
        <v>18.980599999999999</v>
      </c>
      <c r="AJ93">
        <v>999.9</v>
      </c>
      <c r="AK93">
        <v>999.9</v>
      </c>
      <c r="AL93">
        <v>0</v>
      </c>
      <c r="AM93">
        <v>0</v>
      </c>
      <c r="AN93">
        <v>5001.1333333333296</v>
      </c>
      <c r="AO93">
        <v>0</v>
      </c>
      <c r="AP93">
        <v>1.9760899999999999</v>
      </c>
      <c r="AQ93">
        <v>-0.157249</v>
      </c>
      <c r="AR93">
        <v>416.24493333333299</v>
      </c>
      <c r="AS93">
        <v>416.13799999999998</v>
      </c>
      <c r="AT93">
        <v>0.63107513333333298</v>
      </c>
      <c r="AU93">
        <v>409.99313333333299</v>
      </c>
      <c r="AV93">
        <v>14.766026666666701</v>
      </c>
      <c r="AW93">
        <v>1.5417226666666699</v>
      </c>
      <c r="AX93">
        <v>1.4785333333333299</v>
      </c>
      <c r="AY93">
        <v>13.388353333333299</v>
      </c>
      <c r="AZ93">
        <v>12.747973333333301</v>
      </c>
      <c r="BA93">
        <v>0</v>
      </c>
      <c r="BB93">
        <v>0.91718</v>
      </c>
      <c r="BC93">
        <v>0</v>
      </c>
      <c r="BD93">
        <v>8.2819500000000004E-2</v>
      </c>
      <c r="BE93">
        <v>0</v>
      </c>
      <c r="BF93">
        <v>25</v>
      </c>
      <c r="BG93">
        <v>0</v>
      </c>
      <c r="BH93">
        <v>1769184227.0999999</v>
      </c>
      <c r="BI93" t="s">
        <v>438</v>
      </c>
      <c r="BJ93">
        <v>1769184227.0999999</v>
      </c>
      <c r="BK93">
        <v>1769184226.0999999</v>
      </c>
      <c r="BL93">
        <v>3</v>
      </c>
      <c r="BM93">
        <v>6.3E-2</v>
      </c>
      <c r="BN93">
        <v>-4.9000000000000002E-2</v>
      </c>
      <c r="BO93">
        <v>-1.046</v>
      </c>
      <c r="BP93">
        <v>0.10299999999999999</v>
      </c>
      <c r="BQ93">
        <v>410</v>
      </c>
      <c r="BR93">
        <v>15</v>
      </c>
      <c r="BS93">
        <v>0.22</v>
      </c>
      <c r="BT93">
        <v>0.08</v>
      </c>
      <c r="BU93">
        <v>-0.15359195</v>
      </c>
      <c r="BV93">
        <v>4.5785413533833202E-3</v>
      </c>
      <c r="BW93">
        <v>1.9222515252887699E-2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0.62812884999999996</v>
      </c>
      <c r="CD93">
        <v>6.23713533834587E-2</v>
      </c>
      <c r="CE93">
        <v>6.3826394953420398E-3</v>
      </c>
      <c r="CF93">
        <v>1</v>
      </c>
      <c r="CG93">
        <v>2</v>
      </c>
      <c r="CH93">
        <v>2</v>
      </c>
      <c r="CI93" t="s">
        <v>310</v>
      </c>
      <c r="CJ93">
        <v>3.5324599999999999</v>
      </c>
      <c r="CK93">
        <v>2.7036899999999999</v>
      </c>
      <c r="CL93">
        <v>9.8084299999999999E-2</v>
      </c>
      <c r="CM93">
        <v>9.6712599999999996E-2</v>
      </c>
      <c r="CN93">
        <v>8.7176400000000001E-2</v>
      </c>
      <c r="CO93">
        <v>8.3615700000000001E-2</v>
      </c>
      <c r="CP93">
        <v>31632.5</v>
      </c>
      <c r="CQ93">
        <v>27761.599999999999</v>
      </c>
      <c r="CR93">
        <v>32459.5</v>
      </c>
      <c r="CS93">
        <v>30659.5</v>
      </c>
      <c r="CT93">
        <v>40111.1</v>
      </c>
      <c r="CU93">
        <v>39494.9</v>
      </c>
      <c r="CV93">
        <v>47394</v>
      </c>
      <c r="CW93">
        <v>46741.8</v>
      </c>
      <c r="CX93">
        <v>2.6284399999999999</v>
      </c>
      <c r="CY93">
        <v>2.1512600000000002</v>
      </c>
      <c r="CZ93">
        <v>0</v>
      </c>
      <c r="DA93">
        <v>0</v>
      </c>
      <c r="DB93">
        <v>999.9</v>
      </c>
      <c r="DC93">
        <v>999.9</v>
      </c>
      <c r="DD93">
        <v>68.197000000000003</v>
      </c>
      <c r="DE93">
        <v>25.004999999999999</v>
      </c>
      <c r="DF93">
        <v>21.662299999999998</v>
      </c>
      <c r="DG93">
        <v>30.580100000000002</v>
      </c>
      <c r="DH93">
        <v>17.584099999999999</v>
      </c>
      <c r="DI93">
        <v>2</v>
      </c>
      <c r="DJ93">
        <v>-0.14923600000000001</v>
      </c>
      <c r="DK93">
        <v>1.5955999999999999</v>
      </c>
      <c r="DL93">
        <v>20.2423</v>
      </c>
      <c r="DM93">
        <v>5.2521500000000003</v>
      </c>
      <c r="DN93">
        <v>12.033899999999999</v>
      </c>
      <c r="DO93">
        <v>4.9676400000000003</v>
      </c>
      <c r="DP93">
        <v>3.2909999999999999</v>
      </c>
      <c r="DQ93">
        <v>9999</v>
      </c>
      <c r="DR93">
        <v>9999</v>
      </c>
      <c r="DS93">
        <v>534.4</v>
      </c>
      <c r="DT93">
        <v>9999</v>
      </c>
      <c r="DU93">
        <v>1.8710100000000001</v>
      </c>
      <c r="DV93">
        <v>1.8760600000000001</v>
      </c>
      <c r="DW93">
        <v>1.8762300000000001</v>
      </c>
      <c r="DX93">
        <v>1.8827799999999999</v>
      </c>
      <c r="DY93">
        <v>1.8755200000000001</v>
      </c>
      <c r="DZ93">
        <v>1.87456</v>
      </c>
      <c r="EA93">
        <v>1.87073</v>
      </c>
      <c r="EB93">
        <v>1.8745499999999999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-1.046</v>
      </c>
      <c r="EQ93">
        <v>0.10290000000000001</v>
      </c>
      <c r="ER93">
        <v>-1.04590000000007</v>
      </c>
      <c r="ES93">
        <v>0</v>
      </c>
      <c r="ET93">
        <v>0</v>
      </c>
      <c r="EU93">
        <v>0</v>
      </c>
      <c r="EV93">
        <v>0.102854545454546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1.5</v>
      </c>
      <c r="FE93">
        <v>1.6</v>
      </c>
      <c r="FF93">
        <v>1.2341299999999999</v>
      </c>
      <c r="FG93">
        <v>2.5549300000000001</v>
      </c>
      <c r="FH93">
        <v>2.19604</v>
      </c>
      <c r="FI93">
        <v>2.66235</v>
      </c>
      <c r="FJ93">
        <v>2.4462899999999999</v>
      </c>
      <c r="FK93">
        <v>2.2997999999999998</v>
      </c>
      <c r="FL93">
        <v>30.350899999999999</v>
      </c>
      <c r="FM93">
        <v>24.157499999999999</v>
      </c>
      <c r="FN93">
        <v>19</v>
      </c>
      <c r="FO93">
        <v>864.255</v>
      </c>
      <c r="FP93">
        <v>588.26800000000003</v>
      </c>
      <c r="FQ93">
        <v>18.658899999999999</v>
      </c>
      <c r="FR93">
        <v>25.1266</v>
      </c>
      <c r="FS93">
        <v>30.0001</v>
      </c>
      <c r="FT93">
        <v>25.1114</v>
      </c>
      <c r="FU93">
        <v>25.112300000000001</v>
      </c>
      <c r="FV93">
        <v>24.778600000000001</v>
      </c>
      <c r="FW93">
        <v>34.8735</v>
      </c>
      <c r="FX93">
        <v>32.648800000000001</v>
      </c>
      <c r="FY93">
        <v>18.6633</v>
      </c>
      <c r="FZ93">
        <v>410</v>
      </c>
      <c r="GA93">
        <v>14.7987</v>
      </c>
      <c r="GB93">
        <v>99.874799999999993</v>
      </c>
      <c r="GC93">
        <v>99.515900000000002</v>
      </c>
    </row>
    <row r="94" spans="1:185" x14ac:dyDescent="0.2">
      <c r="A94">
        <v>79</v>
      </c>
      <c r="B94">
        <v>1769184334.0999999</v>
      </c>
      <c r="C94">
        <v>1471.0999999046301</v>
      </c>
      <c r="D94" t="s">
        <v>453</v>
      </c>
      <c r="E94" t="s">
        <v>454</v>
      </c>
      <c r="F94">
        <v>15</v>
      </c>
      <c r="G94">
        <v>1769184326.03333</v>
      </c>
      <c r="H94">
        <f t="shared" si="13"/>
        <v>5.1888190166416088E-4</v>
      </c>
      <c r="I94">
        <v>0</v>
      </c>
      <c r="J94">
        <f t="shared" si="25"/>
        <v>-3.242520299400131E-3</v>
      </c>
      <c r="K94">
        <f t="shared" si="14"/>
        <v>-8.4920541994841101E-2</v>
      </c>
      <c r="L94">
        <f t="shared" si="15"/>
        <v>69.956048511174856</v>
      </c>
      <c r="M94">
        <f t="shared" si="16"/>
        <v>1.5420013535667969</v>
      </c>
      <c r="N94">
        <f t="shared" si="17"/>
        <v>2.2042430731639677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26251.790051001961</v>
      </c>
      <c r="T94">
        <f t="shared" si="21"/>
        <v>0</v>
      </c>
      <c r="U94">
        <f t="shared" si="22"/>
        <v>0</v>
      </c>
      <c r="V94">
        <f t="shared" si="23"/>
        <v>0.84248416500000001</v>
      </c>
      <c r="W94">
        <f t="shared" si="24"/>
        <v>0.15741138690000001</v>
      </c>
      <c r="X94">
        <v>1</v>
      </c>
      <c r="Y94">
        <v>1769184326.03333</v>
      </c>
      <c r="Z94">
        <v>409.83120000000002</v>
      </c>
      <c r="AA94">
        <v>409.99086666666699</v>
      </c>
      <c r="AB94">
        <v>15.3896933333333</v>
      </c>
      <c r="AC94">
        <v>14.7510733333333</v>
      </c>
      <c r="AD94">
        <v>410.87686666666701</v>
      </c>
      <c r="AE94">
        <v>15.286853333333299</v>
      </c>
      <c r="AF94">
        <v>800.00073333333296</v>
      </c>
      <c r="AG94">
        <v>100.131333333333</v>
      </c>
      <c r="AH94">
        <v>6.5682953333333294E-2</v>
      </c>
      <c r="AI94">
        <v>18.993186666666698</v>
      </c>
      <c r="AJ94">
        <v>999.9</v>
      </c>
      <c r="AK94">
        <v>999.9</v>
      </c>
      <c r="AL94">
        <v>0</v>
      </c>
      <c r="AM94">
        <v>0</v>
      </c>
      <c r="AN94">
        <v>4999.1000000000004</v>
      </c>
      <c r="AO94">
        <v>0</v>
      </c>
      <c r="AP94">
        <v>1.9760899999999999</v>
      </c>
      <c r="AQ94">
        <v>-0.15987953333333299</v>
      </c>
      <c r="AR94">
        <v>416.23686666666703</v>
      </c>
      <c r="AS94">
        <v>416.12926666666698</v>
      </c>
      <c r="AT94">
        <v>0.63862853333333303</v>
      </c>
      <c r="AU94">
        <v>409.99086666666699</v>
      </c>
      <c r="AV94">
        <v>14.7510733333333</v>
      </c>
      <c r="AW94">
        <v>1.54099066666667</v>
      </c>
      <c r="AX94">
        <v>1.4770446666666699</v>
      </c>
      <c r="AY94">
        <v>13.3810533333333</v>
      </c>
      <c r="AZ94">
        <v>12.732566666666701</v>
      </c>
      <c r="BA94">
        <v>0</v>
      </c>
      <c r="BB94">
        <v>0.91718</v>
      </c>
      <c r="BC94">
        <v>0</v>
      </c>
      <c r="BD94">
        <v>8.2819500000000004E-2</v>
      </c>
      <c r="BE94">
        <v>0</v>
      </c>
      <c r="BF94">
        <v>25</v>
      </c>
      <c r="BG94">
        <v>0</v>
      </c>
      <c r="BH94">
        <v>1769184227.0999999</v>
      </c>
      <c r="BI94" t="s">
        <v>438</v>
      </c>
      <c r="BJ94">
        <v>1769184227.0999999</v>
      </c>
      <c r="BK94">
        <v>1769184226.0999999</v>
      </c>
      <c r="BL94">
        <v>3</v>
      </c>
      <c r="BM94">
        <v>6.3E-2</v>
      </c>
      <c r="BN94">
        <v>-4.9000000000000002E-2</v>
      </c>
      <c r="BO94">
        <v>-1.046</v>
      </c>
      <c r="BP94">
        <v>0.10299999999999999</v>
      </c>
      <c r="BQ94">
        <v>410</v>
      </c>
      <c r="BR94">
        <v>15</v>
      </c>
      <c r="BS94">
        <v>0.22</v>
      </c>
      <c r="BT94">
        <v>0.08</v>
      </c>
      <c r="BU94">
        <v>-0.15351795238095201</v>
      </c>
      <c r="BV94">
        <v>-0.111029688311689</v>
      </c>
      <c r="BW94">
        <v>1.7800006617109999E-2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0.63739599999999996</v>
      </c>
      <c r="CD94">
        <v>1.30545974025983E-2</v>
      </c>
      <c r="CE94">
        <v>3.0022283470147698E-3</v>
      </c>
      <c r="CF94">
        <v>1</v>
      </c>
      <c r="CG94">
        <v>2</v>
      </c>
      <c r="CH94">
        <v>2</v>
      </c>
      <c r="CI94" t="s">
        <v>310</v>
      </c>
      <c r="CJ94">
        <v>3.53254</v>
      </c>
      <c r="CK94">
        <v>2.7037599999999999</v>
      </c>
      <c r="CL94">
        <v>9.8081399999999999E-2</v>
      </c>
      <c r="CM94">
        <v>9.6718200000000004E-2</v>
      </c>
      <c r="CN94">
        <v>8.7114999999999998E-2</v>
      </c>
      <c r="CO94">
        <v>8.3555699999999997E-2</v>
      </c>
      <c r="CP94">
        <v>31632.5</v>
      </c>
      <c r="CQ94">
        <v>27761.3</v>
      </c>
      <c r="CR94">
        <v>32459.4</v>
      </c>
      <c r="CS94">
        <v>30659.3</v>
      </c>
      <c r="CT94">
        <v>40113.9</v>
      </c>
      <c r="CU94">
        <v>39497.300000000003</v>
      </c>
      <c r="CV94">
        <v>47394</v>
      </c>
      <c r="CW94">
        <v>46741.5</v>
      </c>
      <c r="CX94">
        <v>2.62846</v>
      </c>
      <c r="CY94">
        <v>2.1510199999999999</v>
      </c>
      <c r="CZ94">
        <v>0</v>
      </c>
      <c r="DA94">
        <v>0</v>
      </c>
      <c r="DB94">
        <v>999.9</v>
      </c>
      <c r="DC94">
        <v>999.9</v>
      </c>
      <c r="DD94">
        <v>68.075000000000003</v>
      </c>
      <c r="DE94">
        <v>25.015000000000001</v>
      </c>
      <c r="DF94">
        <v>21.6374</v>
      </c>
      <c r="DG94">
        <v>30.2501</v>
      </c>
      <c r="DH94">
        <v>17.6082</v>
      </c>
      <c r="DI94">
        <v>2</v>
      </c>
      <c r="DJ94">
        <v>-0.14902599999999999</v>
      </c>
      <c r="DK94">
        <v>1.6208800000000001</v>
      </c>
      <c r="DL94">
        <v>20.241900000000001</v>
      </c>
      <c r="DM94">
        <v>5.2516699999999998</v>
      </c>
      <c r="DN94">
        <v>12.033899999999999</v>
      </c>
      <c r="DO94">
        <v>4.9675200000000004</v>
      </c>
      <c r="DP94">
        <v>3.2909999999999999</v>
      </c>
      <c r="DQ94">
        <v>9999</v>
      </c>
      <c r="DR94">
        <v>9999</v>
      </c>
      <c r="DS94">
        <v>534.4</v>
      </c>
      <c r="DT94">
        <v>9999</v>
      </c>
      <c r="DU94">
        <v>1.87103</v>
      </c>
      <c r="DV94">
        <v>1.8760699999999999</v>
      </c>
      <c r="DW94">
        <v>1.8762300000000001</v>
      </c>
      <c r="DX94">
        <v>1.8827799999999999</v>
      </c>
      <c r="DY94">
        <v>1.87557</v>
      </c>
      <c r="DZ94">
        <v>1.87456</v>
      </c>
      <c r="EA94">
        <v>1.87073</v>
      </c>
      <c r="EB94">
        <v>1.87459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-1.046</v>
      </c>
      <c r="EQ94">
        <v>0.1028</v>
      </c>
      <c r="ER94">
        <v>-1.04590000000007</v>
      </c>
      <c r="ES94">
        <v>0</v>
      </c>
      <c r="ET94">
        <v>0</v>
      </c>
      <c r="EU94">
        <v>0</v>
      </c>
      <c r="EV94">
        <v>0.102854545454546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1.8</v>
      </c>
      <c r="FE94">
        <v>1.8</v>
      </c>
      <c r="FF94">
        <v>1.2341299999999999</v>
      </c>
      <c r="FG94">
        <v>2.5524900000000001</v>
      </c>
      <c r="FH94">
        <v>2.19604</v>
      </c>
      <c r="FI94">
        <v>2.66235</v>
      </c>
      <c r="FJ94">
        <v>2.4462899999999999</v>
      </c>
      <c r="FK94">
        <v>2.2973599999999998</v>
      </c>
      <c r="FL94">
        <v>30.350899999999999</v>
      </c>
      <c r="FM94">
        <v>24.1663</v>
      </c>
      <c r="FN94">
        <v>19</v>
      </c>
      <c r="FO94">
        <v>864.32799999999997</v>
      </c>
      <c r="FP94">
        <v>588.12800000000004</v>
      </c>
      <c r="FQ94">
        <v>18.6829</v>
      </c>
      <c r="FR94">
        <v>25.129200000000001</v>
      </c>
      <c r="FS94">
        <v>30.0002</v>
      </c>
      <c r="FT94">
        <v>25.114699999999999</v>
      </c>
      <c r="FU94">
        <v>25.116499999999998</v>
      </c>
      <c r="FV94">
        <v>24.776800000000001</v>
      </c>
      <c r="FW94">
        <v>34.8735</v>
      </c>
      <c r="FX94">
        <v>32.270400000000002</v>
      </c>
      <c r="FY94">
        <v>18.6816</v>
      </c>
      <c r="FZ94">
        <v>410</v>
      </c>
      <c r="GA94">
        <v>14.8028</v>
      </c>
      <c r="GB94">
        <v>99.874799999999993</v>
      </c>
      <c r="GC94">
        <v>99.515299999999996</v>
      </c>
    </row>
    <row r="95" spans="1:185" x14ac:dyDescent="0.2">
      <c r="A95">
        <v>80</v>
      </c>
      <c r="B95">
        <v>1769184349.0999999</v>
      </c>
      <c r="C95">
        <v>1486.0999999046301</v>
      </c>
      <c r="D95" t="s">
        <v>455</v>
      </c>
      <c r="E95" t="s">
        <v>456</v>
      </c>
      <c r="F95">
        <v>15</v>
      </c>
      <c r="G95">
        <v>1769184341.03333</v>
      </c>
      <c r="H95">
        <f t="shared" si="13"/>
        <v>5.1765396862278243E-4</v>
      </c>
      <c r="I95">
        <v>0</v>
      </c>
      <c r="J95">
        <f t="shared" si="25"/>
        <v>-3.256117725873928E-3</v>
      </c>
      <c r="K95">
        <f t="shared" si="14"/>
        <v>-8.5276654129622015E-2</v>
      </c>
      <c r="L95">
        <f t="shared" si="15"/>
        <v>69.851416834050767</v>
      </c>
      <c r="M95">
        <f t="shared" si="16"/>
        <v>1.5407965118197826</v>
      </c>
      <c r="N95">
        <f t="shared" si="17"/>
        <v>2.2058199842679267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26266.362000367408</v>
      </c>
      <c r="T95">
        <f t="shared" si="21"/>
        <v>0</v>
      </c>
      <c r="U95">
        <f t="shared" si="22"/>
        <v>0</v>
      </c>
      <c r="V95">
        <f t="shared" si="23"/>
        <v>0.84248416500000001</v>
      </c>
      <c r="W95">
        <f t="shared" si="24"/>
        <v>0.15741138690000001</v>
      </c>
      <c r="X95">
        <v>1</v>
      </c>
      <c r="Y95">
        <v>1769184341.03333</v>
      </c>
      <c r="Z95">
        <v>409.84399999999999</v>
      </c>
      <c r="AA95">
        <v>410.00259999999997</v>
      </c>
      <c r="AB95">
        <v>15.3778666666667</v>
      </c>
      <c r="AC95">
        <v>14.7407533333333</v>
      </c>
      <c r="AD95">
        <v>410.88979999999998</v>
      </c>
      <c r="AE95">
        <v>15.2750066666667</v>
      </c>
      <c r="AF95">
        <v>800.00453333333303</v>
      </c>
      <c r="AG95">
        <v>100.129866666667</v>
      </c>
      <c r="AH95">
        <v>6.5859126666666698E-2</v>
      </c>
      <c r="AI95">
        <v>19.004646666666702</v>
      </c>
      <c r="AJ95">
        <v>999.9</v>
      </c>
      <c r="AK95">
        <v>999.9</v>
      </c>
      <c r="AL95">
        <v>0</v>
      </c>
      <c r="AM95">
        <v>0</v>
      </c>
      <c r="AN95">
        <v>5001.7333333333299</v>
      </c>
      <c r="AO95">
        <v>0</v>
      </c>
      <c r="AP95">
        <v>1.9760899999999999</v>
      </c>
      <c r="AQ95">
        <v>-0.15871990666666699</v>
      </c>
      <c r="AR95">
        <v>416.244666666667</v>
      </c>
      <c r="AS95">
        <v>416.13679999999999</v>
      </c>
      <c r="AT95">
        <v>0.63711933333333304</v>
      </c>
      <c r="AU95">
        <v>410.00259999999997</v>
      </c>
      <c r="AV95">
        <v>14.7407533333333</v>
      </c>
      <c r="AW95">
        <v>1.53978333333333</v>
      </c>
      <c r="AX95">
        <v>1.47598933333333</v>
      </c>
      <c r="AY95">
        <v>13.3690266666667</v>
      </c>
      <c r="AZ95">
        <v>12.721686666666701</v>
      </c>
      <c r="BA95">
        <v>0</v>
      </c>
      <c r="BB95">
        <v>0.91718</v>
      </c>
      <c r="BC95">
        <v>0</v>
      </c>
      <c r="BD95">
        <v>8.2819500000000004E-2</v>
      </c>
      <c r="BE95">
        <v>0</v>
      </c>
      <c r="BF95">
        <v>25</v>
      </c>
      <c r="BG95">
        <v>0</v>
      </c>
      <c r="BH95">
        <v>1769184227.0999999</v>
      </c>
      <c r="BI95" t="s">
        <v>438</v>
      </c>
      <c r="BJ95">
        <v>1769184227.0999999</v>
      </c>
      <c r="BK95">
        <v>1769184226.0999999</v>
      </c>
      <c r="BL95">
        <v>3</v>
      </c>
      <c r="BM95">
        <v>6.3E-2</v>
      </c>
      <c r="BN95">
        <v>-4.9000000000000002E-2</v>
      </c>
      <c r="BO95">
        <v>-1.046</v>
      </c>
      <c r="BP95">
        <v>0.10299999999999999</v>
      </c>
      <c r="BQ95">
        <v>410</v>
      </c>
      <c r="BR95">
        <v>15</v>
      </c>
      <c r="BS95">
        <v>0.22</v>
      </c>
      <c r="BT95">
        <v>0.08</v>
      </c>
      <c r="BU95">
        <v>-0.16223903000000001</v>
      </c>
      <c r="BV95">
        <v>-4.6146189473683902E-2</v>
      </c>
      <c r="BW95">
        <v>3.8161512337879101E-2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0.63734639999999998</v>
      </c>
      <c r="CD95">
        <v>-1.21145864661652E-2</v>
      </c>
      <c r="CE95">
        <v>3.2823360796847001E-3</v>
      </c>
      <c r="CF95">
        <v>1</v>
      </c>
      <c r="CG95">
        <v>2</v>
      </c>
      <c r="CH95">
        <v>2</v>
      </c>
      <c r="CI95" t="s">
        <v>310</v>
      </c>
      <c r="CJ95">
        <v>3.5325600000000001</v>
      </c>
      <c r="CK95">
        <v>2.7036899999999999</v>
      </c>
      <c r="CL95">
        <v>9.8079399999999997E-2</v>
      </c>
      <c r="CM95">
        <v>9.6718999999999999E-2</v>
      </c>
      <c r="CN95">
        <v>8.7042400000000006E-2</v>
      </c>
      <c r="CO95">
        <v>8.3585499999999993E-2</v>
      </c>
      <c r="CP95">
        <v>31632.3</v>
      </c>
      <c r="CQ95">
        <v>27761.3</v>
      </c>
      <c r="CR95">
        <v>32459.1</v>
      </c>
      <c r="CS95">
        <v>30659.4</v>
      </c>
      <c r="CT95">
        <v>40117</v>
      </c>
      <c r="CU95">
        <v>39496.1</v>
      </c>
      <c r="CV95">
        <v>47393.8</v>
      </c>
      <c r="CW95">
        <v>46741.7</v>
      </c>
      <c r="CX95">
        <v>2.6282399999999999</v>
      </c>
      <c r="CY95">
        <v>2.1510199999999999</v>
      </c>
      <c r="CZ95">
        <v>0</v>
      </c>
      <c r="DA95">
        <v>0</v>
      </c>
      <c r="DB95">
        <v>999.9</v>
      </c>
      <c r="DC95">
        <v>999.9</v>
      </c>
      <c r="DD95">
        <v>67.965000000000003</v>
      </c>
      <c r="DE95">
        <v>25.024999999999999</v>
      </c>
      <c r="DF95">
        <v>21.6157</v>
      </c>
      <c r="DG95">
        <v>30.310099999999998</v>
      </c>
      <c r="DH95">
        <v>17.552099999999999</v>
      </c>
      <c r="DI95">
        <v>2</v>
      </c>
      <c r="DJ95">
        <v>-0.147927</v>
      </c>
      <c r="DK95">
        <v>1.90859</v>
      </c>
      <c r="DL95">
        <v>20.2377</v>
      </c>
      <c r="DM95">
        <v>5.2523900000000001</v>
      </c>
      <c r="DN95">
        <v>12.033899999999999</v>
      </c>
      <c r="DO95">
        <v>4.9677199999999999</v>
      </c>
      <c r="DP95">
        <v>3.2909999999999999</v>
      </c>
      <c r="DQ95">
        <v>9999</v>
      </c>
      <c r="DR95">
        <v>9999</v>
      </c>
      <c r="DS95">
        <v>534.4</v>
      </c>
      <c r="DT95">
        <v>9999</v>
      </c>
      <c r="DU95">
        <v>1.8710199999999999</v>
      </c>
      <c r="DV95">
        <v>1.8760699999999999</v>
      </c>
      <c r="DW95">
        <v>1.87622</v>
      </c>
      <c r="DX95">
        <v>1.8827799999999999</v>
      </c>
      <c r="DY95">
        <v>1.8755299999999999</v>
      </c>
      <c r="DZ95">
        <v>1.8745799999999999</v>
      </c>
      <c r="EA95">
        <v>1.87073</v>
      </c>
      <c r="EB95">
        <v>1.8745799999999999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-1.046</v>
      </c>
      <c r="EQ95">
        <v>0.10290000000000001</v>
      </c>
      <c r="ER95">
        <v>-1.04590000000007</v>
      </c>
      <c r="ES95">
        <v>0</v>
      </c>
      <c r="ET95">
        <v>0</v>
      </c>
      <c r="EU95">
        <v>0</v>
      </c>
      <c r="EV95">
        <v>0.102854545454546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2</v>
      </c>
      <c r="FE95">
        <v>2</v>
      </c>
      <c r="FF95">
        <v>1.2341299999999999</v>
      </c>
      <c r="FG95">
        <v>2.5524900000000001</v>
      </c>
      <c r="FH95">
        <v>2.19604</v>
      </c>
      <c r="FI95">
        <v>2.66235</v>
      </c>
      <c r="FJ95">
        <v>2.4462899999999999</v>
      </c>
      <c r="FK95">
        <v>2.32056</v>
      </c>
      <c r="FL95">
        <v>30.350899999999999</v>
      </c>
      <c r="FM95">
        <v>24.1663</v>
      </c>
      <c r="FN95">
        <v>19</v>
      </c>
      <c r="FO95">
        <v>864.17200000000003</v>
      </c>
      <c r="FP95">
        <v>588.15700000000004</v>
      </c>
      <c r="FQ95">
        <v>18.5167</v>
      </c>
      <c r="FR95">
        <v>25.130400000000002</v>
      </c>
      <c r="FS95">
        <v>30.0001</v>
      </c>
      <c r="FT95">
        <v>25.117699999999999</v>
      </c>
      <c r="FU95">
        <v>25.119</v>
      </c>
      <c r="FV95">
        <v>24.777000000000001</v>
      </c>
      <c r="FW95">
        <v>34.594700000000003</v>
      </c>
      <c r="FX95">
        <v>31.8949</v>
      </c>
      <c r="FY95">
        <v>18.525099999999998</v>
      </c>
      <c r="FZ95">
        <v>410</v>
      </c>
      <c r="GA95">
        <v>14.823399999999999</v>
      </c>
      <c r="GB95">
        <v>99.874099999999999</v>
      </c>
      <c r="GC95">
        <v>99.515600000000006</v>
      </c>
    </row>
    <row r="96" spans="1:185" x14ac:dyDescent="0.2">
      <c r="A96">
        <v>81</v>
      </c>
      <c r="B96">
        <v>1769184364.0999999</v>
      </c>
      <c r="C96">
        <v>1501.0999999046301</v>
      </c>
      <c r="D96" t="s">
        <v>457</v>
      </c>
      <c r="E96" t="s">
        <v>458</v>
      </c>
      <c r="F96">
        <v>15</v>
      </c>
      <c r="G96">
        <v>1769184356.03333</v>
      </c>
      <c r="H96">
        <f t="shared" si="13"/>
        <v>4.925566652178153E-4</v>
      </c>
      <c r="I96">
        <v>0</v>
      </c>
      <c r="J96">
        <f t="shared" si="25"/>
        <v>-1.8157138238946134E-3</v>
      </c>
      <c r="K96">
        <f t="shared" si="14"/>
        <v>-4.7552948877816303E-2</v>
      </c>
      <c r="L96">
        <f t="shared" si="15"/>
        <v>69.832738875487962</v>
      </c>
      <c r="M96">
        <f t="shared" si="16"/>
        <v>1.5400071154997155</v>
      </c>
      <c r="N96">
        <f t="shared" si="17"/>
        <v>2.2052795584110685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26225.255149062221</v>
      </c>
      <c r="T96">
        <f t="shared" si="21"/>
        <v>0</v>
      </c>
      <c r="U96">
        <f t="shared" si="22"/>
        <v>0</v>
      </c>
      <c r="V96">
        <f t="shared" si="23"/>
        <v>0.84248416500000001</v>
      </c>
      <c r="W96">
        <f t="shared" si="24"/>
        <v>0.15741138690000001</v>
      </c>
      <c r="X96">
        <v>1</v>
      </c>
      <c r="Y96">
        <v>1769184356.03333</v>
      </c>
      <c r="Z96">
        <v>409.79259999999999</v>
      </c>
      <c r="AA96">
        <v>409.98546666666698</v>
      </c>
      <c r="AB96">
        <v>15.370100000000001</v>
      </c>
      <c r="AC96">
        <v>14.763866666666701</v>
      </c>
      <c r="AD96">
        <v>410.83846666666699</v>
      </c>
      <c r="AE96">
        <v>15.267239999999999</v>
      </c>
      <c r="AF96">
        <v>799.99893333333296</v>
      </c>
      <c r="AG96">
        <v>100.1292</v>
      </c>
      <c r="AH96">
        <v>6.5796486666666695E-2</v>
      </c>
      <c r="AI96">
        <v>19.000720000000001</v>
      </c>
      <c r="AJ96">
        <v>999.9</v>
      </c>
      <c r="AK96">
        <v>999.9</v>
      </c>
      <c r="AL96">
        <v>0</v>
      </c>
      <c r="AM96">
        <v>0</v>
      </c>
      <c r="AN96">
        <v>4994.9333333333298</v>
      </c>
      <c r="AO96">
        <v>0</v>
      </c>
      <c r="AP96">
        <v>1.9760899999999999</v>
      </c>
      <c r="AQ96">
        <v>-0.19295446666666699</v>
      </c>
      <c r="AR96">
        <v>416.18933333333302</v>
      </c>
      <c r="AS96">
        <v>416.12906666666697</v>
      </c>
      <c r="AT96">
        <v>0.60624326666666695</v>
      </c>
      <c r="AU96">
        <v>409.98546666666698</v>
      </c>
      <c r="AV96">
        <v>14.763866666666701</v>
      </c>
      <c r="AW96">
        <v>1.5389966666666699</v>
      </c>
      <c r="AX96">
        <v>1.4782946666666701</v>
      </c>
      <c r="AY96">
        <v>13.3612133333333</v>
      </c>
      <c r="AZ96">
        <v>12.745506666666699</v>
      </c>
      <c r="BA96">
        <v>0</v>
      </c>
      <c r="BB96">
        <v>0.91718</v>
      </c>
      <c r="BC96">
        <v>0</v>
      </c>
      <c r="BD96">
        <v>8.2819500000000004E-2</v>
      </c>
      <c r="BE96">
        <v>0</v>
      </c>
      <c r="BF96">
        <v>25</v>
      </c>
      <c r="BG96">
        <v>0</v>
      </c>
      <c r="BH96">
        <v>1769184227.0999999</v>
      </c>
      <c r="BI96" t="s">
        <v>438</v>
      </c>
      <c r="BJ96">
        <v>1769184227.0999999</v>
      </c>
      <c r="BK96">
        <v>1769184226.0999999</v>
      </c>
      <c r="BL96">
        <v>3</v>
      </c>
      <c r="BM96">
        <v>6.3E-2</v>
      </c>
      <c r="BN96">
        <v>-4.9000000000000002E-2</v>
      </c>
      <c r="BO96">
        <v>-1.046</v>
      </c>
      <c r="BP96">
        <v>0.10299999999999999</v>
      </c>
      <c r="BQ96">
        <v>410</v>
      </c>
      <c r="BR96">
        <v>15</v>
      </c>
      <c r="BS96">
        <v>0.22</v>
      </c>
      <c r="BT96">
        <v>0.08</v>
      </c>
      <c r="BU96">
        <v>-0.19245985714285699</v>
      </c>
      <c r="BV96">
        <v>-0.122158909090909</v>
      </c>
      <c r="BW96">
        <v>4.2866671920631101E-2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0.61441352380952396</v>
      </c>
      <c r="CD96">
        <v>-0.102280285714286</v>
      </c>
      <c r="CE96">
        <v>1.48035776841084E-2</v>
      </c>
      <c r="CF96">
        <v>0</v>
      </c>
      <c r="CG96">
        <v>1</v>
      </c>
      <c r="CH96">
        <v>2</v>
      </c>
      <c r="CI96" t="s">
        <v>301</v>
      </c>
      <c r="CJ96">
        <v>3.5325000000000002</v>
      </c>
      <c r="CK96">
        <v>2.7034799999999999</v>
      </c>
      <c r="CL96">
        <v>9.8075899999999994E-2</v>
      </c>
      <c r="CM96">
        <v>9.6712400000000004E-2</v>
      </c>
      <c r="CN96">
        <v>8.7064900000000001E-2</v>
      </c>
      <c r="CO96">
        <v>8.3626400000000004E-2</v>
      </c>
      <c r="CP96">
        <v>31632.9</v>
      </c>
      <c r="CQ96">
        <v>27762.1</v>
      </c>
      <c r="CR96">
        <v>32459.599999999999</v>
      </c>
      <c r="CS96">
        <v>30660</v>
      </c>
      <c r="CT96">
        <v>40116.699999999997</v>
      </c>
      <c r="CU96">
        <v>39495.5</v>
      </c>
      <c r="CV96">
        <v>47394.6</v>
      </c>
      <c r="CW96">
        <v>46743</v>
      </c>
      <c r="CX96">
        <v>2.62832</v>
      </c>
      <c r="CY96">
        <v>2.1507000000000001</v>
      </c>
      <c r="CZ96">
        <v>0</v>
      </c>
      <c r="DA96">
        <v>0</v>
      </c>
      <c r="DB96">
        <v>999.9</v>
      </c>
      <c r="DC96">
        <v>999.9</v>
      </c>
      <c r="DD96">
        <v>67.843000000000004</v>
      </c>
      <c r="DE96">
        <v>25.045000000000002</v>
      </c>
      <c r="DF96">
        <v>21.601400000000002</v>
      </c>
      <c r="DG96">
        <v>30.520099999999999</v>
      </c>
      <c r="DH96">
        <v>17.536100000000001</v>
      </c>
      <c r="DI96">
        <v>2</v>
      </c>
      <c r="DJ96">
        <v>-0.14816299999999999</v>
      </c>
      <c r="DK96">
        <v>1.78345</v>
      </c>
      <c r="DL96">
        <v>20.2393</v>
      </c>
      <c r="DM96">
        <v>5.2490399999999999</v>
      </c>
      <c r="DN96">
        <v>12.033899999999999</v>
      </c>
      <c r="DO96">
        <v>4.9672000000000001</v>
      </c>
      <c r="DP96">
        <v>3.2906399999999998</v>
      </c>
      <c r="DQ96">
        <v>9999</v>
      </c>
      <c r="DR96">
        <v>9999</v>
      </c>
      <c r="DS96">
        <v>534.4</v>
      </c>
      <c r="DT96">
        <v>9999</v>
      </c>
      <c r="DU96">
        <v>1.87103</v>
      </c>
      <c r="DV96">
        <v>1.8760699999999999</v>
      </c>
      <c r="DW96">
        <v>1.8762399999999999</v>
      </c>
      <c r="DX96">
        <v>1.8827799999999999</v>
      </c>
      <c r="DY96">
        <v>1.8755500000000001</v>
      </c>
      <c r="DZ96">
        <v>1.8745700000000001</v>
      </c>
      <c r="EA96">
        <v>1.87073</v>
      </c>
      <c r="EB96">
        <v>1.8746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-1.046</v>
      </c>
      <c r="EQ96">
        <v>0.1028</v>
      </c>
      <c r="ER96">
        <v>-1.04590000000007</v>
      </c>
      <c r="ES96">
        <v>0</v>
      </c>
      <c r="ET96">
        <v>0</v>
      </c>
      <c r="EU96">
        <v>0</v>
      </c>
      <c r="EV96">
        <v>0.102854545454546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2.2999999999999998</v>
      </c>
      <c r="FE96">
        <v>2.2999999999999998</v>
      </c>
      <c r="FF96">
        <v>1.2341299999999999</v>
      </c>
      <c r="FG96">
        <v>2.5537100000000001</v>
      </c>
      <c r="FH96">
        <v>2.19604</v>
      </c>
      <c r="FI96">
        <v>2.66235</v>
      </c>
      <c r="FJ96">
        <v>2.4462899999999999</v>
      </c>
      <c r="FK96">
        <v>2.3168899999999999</v>
      </c>
      <c r="FL96">
        <v>30.372399999999999</v>
      </c>
      <c r="FM96">
        <v>24.157499999999999</v>
      </c>
      <c r="FN96">
        <v>19</v>
      </c>
      <c r="FO96">
        <v>864.3</v>
      </c>
      <c r="FP96">
        <v>587.952</v>
      </c>
      <c r="FQ96">
        <v>18.514800000000001</v>
      </c>
      <c r="FR96">
        <v>25.1325</v>
      </c>
      <c r="FS96">
        <v>29.9999</v>
      </c>
      <c r="FT96">
        <v>25.120999999999999</v>
      </c>
      <c r="FU96">
        <v>25.122800000000002</v>
      </c>
      <c r="FV96">
        <v>24.7789</v>
      </c>
      <c r="FW96">
        <v>34.594700000000003</v>
      </c>
      <c r="FX96">
        <v>31.513100000000001</v>
      </c>
      <c r="FY96">
        <v>18.523900000000001</v>
      </c>
      <c r="FZ96">
        <v>410</v>
      </c>
      <c r="GA96">
        <v>14.832000000000001</v>
      </c>
      <c r="GB96">
        <v>99.875699999999995</v>
      </c>
      <c r="GC96">
        <v>99.518199999999993</v>
      </c>
    </row>
    <row r="97" spans="1:185" x14ac:dyDescent="0.2">
      <c r="A97">
        <v>82</v>
      </c>
      <c r="B97">
        <v>1769184379.0999999</v>
      </c>
      <c r="C97">
        <v>1516.0999999046301</v>
      </c>
      <c r="D97" t="s">
        <v>459</v>
      </c>
      <c r="E97" t="s">
        <v>460</v>
      </c>
      <c r="F97">
        <v>15</v>
      </c>
      <c r="G97">
        <v>1769184371.03333</v>
      </c>
      <c r="H97">
        <f t="shared" si="13"/>
        <v>4.7633483052479501E-4</v>
      </c>
      <c r="I97">
        <v>0</v>
      </c>
      <c r="J97">
        <f t="shared" si="25"/>
        <v>-1.8999507766607965E-3</v>
      </c>
      <c r="K97">
        <f t="shared" si="14"/>
        <v>-4.9759087012470844E-2</v>
      </c>
      <c r="L97">
        <f t="shared" si="15"/>
        <v>69.905113344371884</v>
      </c>
      <c r="M97">
        <f t="shared" si="16"/>
        <v>1.5410658205161165</v>
      </c>
      <c r="N97">
        <f t="shared" si="17"/>
        <v>2.204510867358731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26270.750442182019</v>
      </c>
      <c r="T97">
        <f t="shared" si="21"/>
        <v>0</v>
      </c>
      <c r="U97">
        <f t="shared" si="22"/>
        <v>0</v>
      </c>
      <c r="V97">
        <f t="shared" si="23"/>
        <v>0.84248416500000001</v>
      </c>
      <c r="W97">
        <f t="shared" si="24"/>
        <v>0.15741138690000001</v>
      </c>
      <c r="X97">
        <v>1</v>
      </c>
      <c r="Y97">
        <v>1769184371.03333</v>
      </c>
      <c r="Z97">
        <v>409.7978</v>
      </c>
      <c r="AA97">
        <v>409.9796</v>
      </c>
      <c r="AB97">
        <v>15.38016</v>
      </c>
      <c r="AC97">
        <v>14.7939066666667</v>
      </c>
      <c r="AD97">
        <v>410.84359999999998</v>
      </c>
      <c r="AE97">
        <v>15.2773066666667</v>
      </c>
      <c r="AF97">
        <v>800.01033333333305</v>
      </c>
      <c r="AG97">
        <v>100.132533333333</v>
      </c>
      <c r="AH97">
        <v>6.5762426666666707E-2</v>
      </c>
      <c r="AI97">
        <v>18.9951333333333</v>
      </c>
      <c r="AJ97">
        <v>999.9</v>
      </c>
      <c r="AK97">
        <v>999.9</v>
      </c>
      <c r="AL97">
        <v>0</v>
      </c>
      <c r="AM97">
        <v>0</v>
      </c>
      <c r="AN97">
        <v>5002.2</v>
      </c>
      <c r="AO97">
        <v>0</v>
      </c>
      <c r="AP97">
        <v>2.0054526666666699</v>
      </c>
      <c r="AQ97">
        <v>-0.18196619999999999</v>
      </c>
      <c r="AR97">
        <v>416.19886666666702</v>
      </c>
      <c r="AS97">
        <v>416.13586666666703</v>
      </c>
      <c r="AT97">
        <v>0.58626366666666696</v>
      </c>
      <c r="AU97">
        <v>409.9796</v>
      </c>
      <c r="AV97">
        <v>14.7939066666667</v>
      </c>
      <c r="AW97">
        <v>1.5400513333333301</v>
      </c>
      <c r="AX97">
        <v>1.48134733333333</v>
      </c>
      <c r="AY97">
        <v>13.3717066666667</v>
      </c>
      <c r="AZ97">
        <v>12.776960000000001</v>
      </c>
      <c r="BA97">
        <v>0</v>
      </c>
      <c r="BB97">
        <v>0.91718</v>
      </c>
      <c r="BC97">
        <v>0</v>
      </c>
      <c r="BD97">
        <v>8.2819500000000004E-2</v>
      </c>
      <c r="BE97">
        <v>0</v>
      </c>
      <c r="BF97">
        <v>25</v>
      </c>
      <c r="BG97">
        <v>0</v>
      </c>
      <c r="BH97">
        <v>1769184227.0999999</v>
      </c>
      <c r="BI97" t="s">
        <v>438</v>
      </c>
      <c r="BJ97">
        <v>1769184227.0999999</v>
      </c>
      <c r="BK97">
        <v>1769184226.0999999</v>
      </c>
      <c r="BL97">
        <v>3</v>
      </c>
      <c r="BM97">
        <v>6.3E-2</v>
      </c>
      <c r="BN97">
        <v>-4.9000000000000002E-2</v>
      </c>
      <c r="BO97">
        <v>-1.046</v>
      </c>
      <c r="BP97">
        <v>0.10299999999999999</v>
      </c>
      <c r="BQ97">
        <v>410</v>
      </c>
      <c r="BR97">
        <v>15</v>
      </c>
      <c r="BS97">
        <v>0.22</v>
      </c>
      <c r="BT97">
        <v>0.08</v>
      </c>
      <c r="BU97">
        <v>-0.19562535</v>
      </c>
      <c r="BV97">
        <v>0.18681252631579001</v>
      </c>
      <c r="BW97">
        <v>3.4506586073204899E-2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0.59224595000000002</v>
      </c>
      <c r="CD97">
        <v>-0.17638362406015101</v>
      </c>
      <c r="CE97">
        <v>1.89292120450773E-2</v>
      </c>
      <c r="CF97">
        <v>0</v>
      </c>
      <c r="CG97">
        <v>1</v>
      </c>
      <c r="CH97">
        <v>2</v>
      </c>
      <c r="CI97" t="s">
        <v>301</v>
      </c>
      <c r="CJ97">
        <v>3.5325500000000001</v>
      </c>
      <c r="CK97">
        <v>2.7035</v>
      </c>
      <c r="CL97">
        <v>9.8075700000000002E-2</v>
      </c>
      <c r="CM97">
        <v>9.6718200000000004E-2</v>
      </c>
      <c r="CN97">
        <v>8.7161799999999998E-2</v>
      </c>
      <c r="CO97">
        <v>8.3879800000000004E-2</v>
      </c>
      <c r="CP97">
        <v>31633</v>
      </c>
      <c r="CQ97">
        <v>27761.5</v>
      </c>
      <c r="CR97">
        <v>32459.8</v>
      </c>
      <c r="CS97">
        <v>30659.599999999999</v>
      </c>
      <c r="CT97">
        <v>40112.1</v>
      </c>
      <c r="CU97">
        <v>39483.5</v>
      </c>
      <c r="CV97">
        <v>47394.400000000001</v>
      </c>
      <c r="CW97">
        <v>46742.1</v>
      </c>
      <c r="CX97">
        <v>2.6281599999999998</v>
      </c>
      <c r="CY97">
        <v>2.1506400000000001</v>
      </c>
      <c r="CZ97">
        <v>0</v>
      </c>
      <c r="DA97">
        <v>0</v>
      </c>
      <c r="DB97">
        <v>999.9</v>
      </c>
      <c r="DC97">
        <v>999.9</v>
      </c>
      <c r="DD97">
        <v>67.721000000000004</v>
      </c>
      <c r="DE97">
        <v>25.055</v>
      </c>
      <c r="DF97">
        <v>21.575900000000001</v>
      </c>
      <c r="DG97">
        <v>30.520099999999999</v>
      </c>
      <c r="DH97">
        <v>17.5</v>
      </c>
      <c r="DI97">
        <v>2</v>
      </c>
      <c r="DJ97">
        <v>-0.148171</v>
      </c>
      <c r="DK97">
        <v>1.7613700000000001</v>
      </c>
      <c r="DL97">
        <v>20.240100000000002</v>
      </c>
      <c r="DM97">
        <v>5.2522700000000002</v>
      </c>
      <c r="DN97">
        <v>12.033899999999999</v>
      </c>
      <c r="DO97">
        <v>4.9675599999999998</v>
      </c>
      <c r="DP97">
        <v>3.2909999999999999</v>
      </c>
      <c r="DQ97">
        <v>9999</v>
      </c>
      <c r="DR97">
        <v>9999</v>
      </c>
      <c r="DS97">
        <v>534.4</v>
      </c>
      <c r="DT97">
        <v>9999</v>
      </c>
      <c r="DU97">
        <v>1.87103</v>
      </c>
      <c r="DV97">
        <v>1.87608</v>
      </c>
      <c r="DW97">
        <v>1.87625</v>
      </c>
      <c r="DX97">
        <v>1.8827799999999999</v>
      </c>
      <c r="DY97">
        <v>1.87557</v>
      </c>
      <c r="DZ97">
        <v>1.8746499999999999</v>
      </c>
      <c r="EA97">
        <v>1.87073</v>
      </c>
      <c r="EB97">
        <v>1.87463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-1.046</v>
      </c>
      <c r="EQ97">
        <v>0.1028</v>
      </c>
      <c r="ER97">
        <v>-1.04590000000007</v>
      </c>
      <c r="ES97">
        <v>0</v>
      </c>
      <c r="ET97">
        <v>0</v>
      </c>
      <c r="EU97">
        <v>0</v>
      </c>
      <c r="EV97">
        <v>0.102854545454546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2.5</v>
      </c>
      <c r="FE97">
        <v>2.5</v>
      </c>
      <c r="FF97">
        <v>1.2341299999999999</v>
      </c>
      <c r="FG97">
        <v>2.5573700000000001</v>
      </c>
      <c r="FH97">
        <v>2.19604</v>
      </c>
      <c r="FI97">
        <v>2.66235</v>
      </c>
      <c r="FJ97">
        <v>2.4462899999999999</v>
      </c>
      <c r="FK97">
        <v>2.2558600000000002</v>
      </c>
      <c r="FL97">
        <v>30.372399999999999</v>
      </c>
      <c r="FM97">
        <v>24.148800000000001</v>
      </c>
      <c r="FN97">
        <v>19</v>
      </c>
      <c r="FO97">
        <v>864.20699999999999</v>
      </c>
      <c r="FP97">
        <v>587.93799999999999</v>
      </c>
      <c r="FQ97">
        <v>18.530200000000001</v>
      </c>
      <c r="FR97">
        <v>25.134599999999999</v>
      </c>
      <c r="FS97">
        <v>30.0001</v>
      </c>
      <c r="FT97">
        <v>25.124500000000001</v>
      </c>
      <c r="FU97">
        <v>25.125800000000002</v>
      </c>
      <c r="FV97">
        <v>24.780200000000001</v>
      </c>
      <c r="FW97">
        <v>34.322499999999998</v>
      </c>
      <c r="FX97">
        <v>31.142700000000001</v>
      </c>
      <c r="FY97">
        <v>18.5336</v>
      </c>
      <c r="FZ97">
        <v>410</v>
      </c>
      <c r="GA97">
        <v>14.826000000000001</v>
      </c>
      <c r="GB97">
        <v>99.875699999999995</v>
      </c>
      <c r="GC97">
        <v>99.516499999999994</v>
      </c>
    </row>
    <row r="98" spans="1:185" x14ac:dyDescent="0.2">
      <c r="A98">
        <v>83</v>
      </c>
      <c r="B98">
        <v>1769184394.0999999</v>
      </c>
      <c r="C98">
        <v>1531.0999999046301</v>
      </c>
      <c r="D98" t="s">
        <v>461</v>
      </c>
      <c r="E98" t="s">
        <v>462</v>
      </c>
      <c r="F98">
        <v>15</v>
      </c>
      <c r="G98">
        <v>1769184386.03333</v>
      </c>
      <c r="H98">
        <f t="shared" si="13"/>
        <v>4.7958082649475535E-4</v>
      </c>
      <c r="I98">
        <v>0</v>
      </c>
      <c r="J98">
        <f t="shared" si="25"/>
        <v>-1.6434257962231441E-3</v>
      </c>
      <c r="K98">
        <f t="shared" si="14"/>
        <v>-4.3040782002009829E-2</v>
      </c>
      <c r="L98">
        <f t="shared" si="15"/>
        <v>70.005434926053141</v>
      </c>
      <c r="M98">
        <f t="shared" si="16"/>
        <v>1.5433345646353833</v>
      </c>
      <c r="N98">
        <f t="shared" si="17"/>
        <v>2.2045924952335634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26268.983183209955</v>
      </c>
      <c r="T98">
        <f t="shared" si="21"/>
        <v>0</v>
      </c>
      <c r="U98">
        <f t="shared" si="22"/>
        <v>0</v>
      </c>
      <c r="V98">
        <f t="shared" si="23"/>
        <v>0.84248416500000001</v>
      </c>
      <c r="W98">
        <f t="shared" si="24"/>
        <v>0.15741138690000001</v>
      </c>
      <c r="X98">
        <v>1</v>
      </c>
      <c r="Y98">
        <v>1769184386.03333</v>
      </c>
      <c r="Z98">
        <v>409.80520000000001</v>
      </c>
      <c r="AA98">
        <v>409.99706666666702</v>
      </c>
      <c r="AB98">
        <v>15.402986666666701</v>
      </c>
      <c r="AC98">
        <v>14.812746666666699</v>
      </c>
      <c r="AD98">
        <v>410.851</v>
      </c>
      <c r="AE98">
        <v>15.300140000000001</v>
      </c>
      <c r="AF98">
        <v>800.00313333333304</v>
      </c>
      <c r="AG98">
        <v>100.1314</v>
      </c>
      <c r="AH98">
        <v>6.5698006666666697E-2</v>
      </c>
      <c r="AI98">
        <v>18.995726666666702</v>
      </c>
      <c r="AJ98">
        <v>999.9</v>
      </c>
      <c r="AK98">
        <v>999.9</v>
      </c>
      <c r="AL98">
        <v>0</v>
      </c>
      <c r="AM98">
        <v>0</v>
      </c>
      <c r="AN98">
        <v>5001.9666666666699</v>
      </c>
      <c r="AO98">
        <v>0</v>
      </c>
      <c r="AP98">
        <v>1.9843740000000001</v>
      </c>
      <c r="AQ98">
        <v>-0.19198426666666699</v>
      </c>
      <c r="AR98">
        <v>416.21600000000001</v>
      </c>
      <c r="AS98">
        <v>416.16166666666697</v>
      </c>
      <c r="AT98">
        <v>0.59024586666666701</v>
      </c>
      <c r="AU98">
        <v>409.99706666666702</v>
      </c>
      <c r="AV98">
        <v>14.812746666666699</v>
      </c>
      <c r="AW98">
        <v>1.542324</v>
      </c>
      <c r="AX98">
        <v>1.483222</v>
      </c>
      <c r="AY98">
        <v>13.39432</v>
      </c>
      <c r="AZ98">
        <v>12.796293333333301</v>
      </c>
      <c r="BA98">
        <v>0</v>
      </c>
      <c r="BB98">
        <v>0.91718</v>
      </c>
      <c r="BC98">
        <v>0</v>
      </c>
      <c r="BD98">
        <v>8.2819500000000004E-2</v>
      </c>
      <c r="BE98">
        <v>0</v>
      </c>
      <c r="BF98">
        <v>25</v>
      </c>
      <c r="BG98">
        <v>0</v>
      </c>
      <c r="BH98">
        <v>1769184227.0999999</v>
      </c>
      <c r="BI98" t="s">
        <v>438</v>
      </c>
      <c r="BJ98">
        <v>1769184227.0999999</v>
      </c>
      <c r="BK98">
        <v>1769184226.0999999</v>
      </c>
      <c r="BL98">
        <v>3</v>
      </c>
      <c r="BM98">
        <v>6.3E-2</v>
      </c>
      <c r="BN98">
        <v>-4.9000000000000002E-2</v>
      </c>
      <c r="BO98">
        <v>-1.046</v>
      </c>
      <c r="BP98">
        <v>0.10299999999999999</v>
      </c>
      <c r="BQ98">
        <v>410</v>
      </c>
      <c r="BR98">
        <v>15</v>
      </c>
      <c r="BS98">
        <v>0.22</v>
      </c>
      <c r="BT98">
        <v>0.08</v>
      </c>
      <c r="BU98">
        <v>-0.191877285714286</v>
      </c>
      <c r="BV98">
        <v>7.7374987012987007E-2</v>
      </c>
      <c r="BW98">
        <v>1.8293766115271899E-2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0.58447938095238094</v>
      </c>
      <c r="CD98">
        <v>0.118745610389611</v>
      </c>
      <c r="CE98">
        <v>1.23302622977399E-2</v>
      </c>
      <c r="CF98">
        <v>0</v>
      </c>
      <c r="CG98">
        <v>1</v>
      </c>
      <c r="CH98">
        <v>2</v>
      </c>
      <c r="CI98" t="s">
        <v>301</v>
      </c>
      <c r="CJ98">
        <v>3.5325099999999998</v>
      </c>
      <c r="CK98">
        <v>2.7036199999999999</v>
      </c>
      <c r="CL98">
        <v>9.8075700000000002E-2</v>
      </c>
      <c r="CM98">
        <v>9.6708100000000005E-2</v>
      </c>
      <c r="CN98">
        <v>8.7207400000000004E-2</v>
      </c>
      <c r="CO98">
        <v>8.3825999999999998E-2</v>
      </c>
      <c r="CP98">
        <v>31632.7</v>
      </c>
      <c r="CQ98">
        <v>27762</v>
      </c>
      <c r="CR98">
        <v>32459.4</v>
      </c>
      <c r="CS98">
        <v>30659.8</v>
      </c>
      <c r="CT98">
        <v>40109.800000000003</v>
      </c>
      <c r="CU98">
        <v>39486.199999999997</v>
      </c>
      <c r="CV98">
        <v>47394.1</v>
      </c>
      <c r="CW98">
        <v>46742.6</v>
      </c>
      <c r="CX98">
        <v>2.6280800000000002</v>
      </c>
      <c r="CY98">
        <v>2.15056</v>
      </c>
      <c r="CZ98">
        <v>0</v>
      </c>
      <c r="DA98">
        <v>0</v>
      </c>
      <c r="DB98">
        <v>999.9</v>
      </c>
      <c r="DC98">
        <v>999.9</v>
      </c>
      <c r="DD98">
        <v>67.591999999999999</v>
      </c>
      <c r="DE98">
        <v>25.074999999999999</v>
      </c>
      <c r="DF98">
        <v>21.5593</v>
      </c>
      <c r="DG98">
        <v>30.520099999999999</v>
      </c>
      <c r="DH98">
        <v>17.568100000000001</v>
      </c>
      <c r="DI98">
        <v>2</v>
      </c>
      <c r="DJ98">
        <v>-0.14815200000000001</v>
      </c>
      <c r="DK98">
        <v>1.7646999999999999</v>
      </c>
      <c r="DL98">
        <v>20.239999999999998</v>
      </c>
      <c r="DM98">
        <v>5.2519099999999996</v>
      </c>
      <c r="DN98">
        <v>12.033899999999999</v>
      </c>
      <c r="DO98">
        <v>4.9674800000000001</v>
      </c>
      <c r="DP98">
        <v>3.2909999999999999</v>
      </c>
      <c r="DQ98">
        <v>9999</v>
      </c>
      <c r="DR98">
        <v>9999</v>
      </c>
      <c r="DS98">
        <v>534.4</v>
      </c>
      <c r="DT98">
        <v>9999</v>
      </c>
      <c r="DU98">
        <v>1.87103</v>
      </c>
      <c r="DV98">
        <v>1.8760699999999999</v>
      </c>
      <c r="DW98">
        <v>1.87625</v>
      </c>
      <c r="DX98">
        <v>1.8827799999999999</v>
      </c>
      <c r="DY98">
        <v>1.8755900000000001</v>
      </c>
      <c r="DZ98">
        <v>1.87466</v>
      </c>
      <c r="EA98">
        <v>1.8707499999999999</v>
      </c>
      <c r="EB98">
        <v>1.87463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-1.046</v>
      </c>
      <c r="EQ98">
        <v>0.10290000000000001</v>
      </c>
      <c r="ER98">
        <v>-1.04590000000007</v>
      </c>
      <c r="ES98">
        <v>0</v>
      </c>
      <c r="ET98">
        <v>0</v>
      </c>
      <c r="EU98">
        <v>0</v>
      </c>
      <c r="EV98">
        <v>0.102854545454546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2.8</v>
      </c>
      <c r="FE98">
        <v>2.8</v>
      </c>
      <c r="FF98">
        <v>1.2341299999999999</v>
      </c>
      <c r="FG98">
        <v>2.5573700000000001</v>
      </c>
      <c r="FH98">
        <v>2.19604</v>
      </c>
      <c r="FI98">
        <v>2.66235</v>
      </c>
      <c r="FJ98">
        <v>2.4462899999999999</v>
      </c>
      <c r="FK98">
        <v>2.2570800000000002</v>
      </c>
      <c r="FL98">
        <v>30.415400000000002</v>
      </c>
      <c r="FM98">
        <v>24.157499999999999</v>
      </c>
      <c r="FN98">
        <v>19</v>
      </c>
      <c r="FO98">
        <v>864.18</v>
      </c>
      <c r="FP98">
        <v>587.91499999999996</v>
      </c>
      <c r="FQ98">
        <v>18.542400000000001</v>
      </c>
      <c r="FR98">
        <v>25.136700000000001</v>
      </c>
      <c r="FS98">
        <v>30</v>
      </c>
      <c r="FT98">
        <v>25.127400000000002</v>
      </c>
      <c r="FU98">
        <v>25.129100000000001</v>
      </c>
      <c r="FV98">
        <v>24.783000000000001</v>
      </c>
      <c r="FW98">
        <v>34.322499999999998</v>
      </c>
      <c r="FX98">
        <v>30.3932</v>
      </c>
      <c r="FY98">
        <v>18.542999999999999</v>
      </c>
      <c r="FZ98">
        <v>410</v>
      </c>
      <c r="GA98">
        <v>14.826000000000001</v>
      </c>
      <c r="GB98">
        <v>99.874799999999993</v>
      </c>
      <c r="GC98">
        <v>99.517300000000006</v>
      </c>
    </row>
    <row r="99" spans="1:185" x14ac:dyDescent="0.2">
      <c r="A99">
        <v>84</v>
      </c>
      <c r="B99">
        <v>1769184409.0999999</v>
      </c>
      <c r="C99">
        <v>1546.0999999046301</v>
      </c>
      <c r="D99" t="s">
        <v>463</v>
      </c>
      <c r="E99" t="s">
        <v>464</v>
      </c>
      <c r="F99">
        <v>15</v>
      </c>
      <c r="G99">
        <v>1769184401.03333</v>
      </c>
      <c r="H99">
        <f t="shared" si="13"/>
        <v>4.9436549240865495E-4</v>
      </c>
      <c r="I99">
        <v>0</v>
      </c>
      <c r="J99">
        <f t="shared" si="25"/>
        <v>-2.0926206718759428E-3</v>
      </c>
      <c r="K99">
        <f t="shared" si="14"/>
        <v>-5.4805048307080592E-2</v>
      </c>
      <c r="L99">
        <f t="shared" si="15"/>
        <v>70.014522074537723</v>
      </c>
      <c r="M99">
        <f t="shared" si="16"/>
        <v>1.543591410269286</v>
      </c>
      <c r="N99">
        <f t="shared" si="17"/>
        <v>2.2046732085466112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26239.04400798642</v>
      </c>
      <c r="T99">
        <f t="shared" si="21"/>
        <v>0</v>
      </c>
      <c r="U99">
        <f t="shared" si="22"/>
        <v>0</v>
      </c>
      <c r="V99">
        <f t="shared" si="23"/>
        <v>0.84248416500000001</v>
      </c>
      <c r="W99">
        <f t="shared" si="24"/>
        <v>0.15741138690000001</v>
      </c>
      <c r="X99">
        <v>1</v>
      </c>
      <c r="Y99">
        <v>1769184401.03333</v>
      </c>
      <c r="Z99">
        <v>409.80313333333299</v>
      </c>
      <c r="AA99">
        <v>409.987866666667</v>
      </c>
      <c r="AB99">
        <v>15.4059066666667</v>
      </c>
      <c r="AC99">
        <v>14.797473333333301</v>
      </c>
      <c r="AD99">
        <v>410.84913333333299</v>
      </c>
      <c r="AE99">
        <v>15.303046666666701</v>
      </c>
      <c r="AF99">
        <v>800.00440000000003</v>
      </c>
      <c r="AG99">
        <v>100.12933333333299</v>
      </c>
      <c r="AH99">
        <v>6.5445439999999994E-2</v>
      </c>
      <c r="AI99">
        <v>18.996313333333301</v>
      </c>
      <c r="AJ99">
        <v>999.9</v>
      </c>
      <c r="AK99">
        <v>999.9</v>
      </c>
      <c r="AL99">
        <v>0</v>
      </c>
      <c r="AM99">
        <v>0</v>
      </c>
      <c r="AN99">
        <v>4997.1333333333296</v>
      </c>
      <c r="AO99">
        <v>0</v>
      </c>
      <c r="AP99">
        <v>1.9760899999999999</v>
      </c>
      <c r="AQ99">
        <v>-0.184606933333333</v>
      </c>
      <c r="AR99">
        <v>416.21539999999999</v>
      </c>
      <c r="AS99">
        <v>416.145733333333</v>
      </c>
      <c r="AT99">
        <v>0.60841979999999996</v>
      </c>
      <c r="AU99">
        <v>409.987866666667</v>
      </c>
      <c r="AV99">
        <v>14.797473333333301</v>
      </c>
      <c r="AW99">
        <v>1.5425819999999999</v>
      </c>
      <c r="AX99">
        <v>1.4816606666666701</v>
      </c>
      <c r="AY99">
        <v>13.396886666666701</v>
      </c>
      <c r="AZ99">
        <v>12.78022</v>
      </c>
      <c r="BA99">
        <v>0</v>
      </c>
      <c r="BB99">
        <v>0.91718</v>
      </c>
      <c r="BC99">
        <v>0</v>
      </c>
      <c r="BD99">
        <v>8.2819500000000004E-2</v>
      </c>
      <c r="BE99">
        <v>0</v>
      </c>
      <c r="BF99">
        <v>25</v>
      </c>
      <c r="BG99">
        <v>0</v>
      </c>
      <c r="BH99">
        <v>1769184227.0999999</v>
      </c>
      <c r="BI99" t="s">
        <v>438</v>
      </c>
      <c r="BJ99">
        <v>1769184227.0999999</v>
      </c>
      <c r="BK99">
        <v>1769184226.0999999</v>
      </c>
      <c r="BL99">
        <v>3</v>
      </c>
      <c r="BM99">
        <v>6.3E-2</v>
      </c>
      <c r="BN99">
        <v>-4.9000000000000002E-2</v>
      </c>
      <c r="BO99">
        <v>-1.046</v>
      </c>
      <c r="BP99">
        <v>0.10299999999999999</v>
      </c>
      <c r="BQ99">
        <v>410</v>
      </c>
      <c r="BR99">
        <v>15</v>
      </c>
      <c r="BS99">
        <v>0.22</v>
      </c>
      <c r="BT99">
        <v>0.08</v>
      </c>
      <c r="BU99">
        <v>-0.18142705000000001</v>
      </c>
      <c r="BV99">
        <v>-0.113783413533835</v>
      </c>
      <c r="BW99">
        <v>1.5521975423492301E-2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0.60612334999999995</v>
      </c>
      <c r="CD99">
        <v>5.6550631578947297E-2</v>
      </c>
      <c r="CE99">
        <v>5.9535380680314897E-3</v>
      </c>
      <c r="CF99">
        <v>1</v>
      </c>
      <c r="CG99">
        <v>2</v>
      </c>
      <c r="CH99">
        <v>2</v>
      </c>
      <c r="CI99" t="s">
        <v>310</v>
      </c>
      <c r="CJ99">
        <v>3.5324800000000001</v>
      </c>
      <c r="CK99">
        <v>2.7031200000000002</v>
      </c>
      <c r="CL99">
        <v>9.8070400000000002E-2</v>
      </c>
      <c r="CM99">
        <v>9.6710400000000002E-2</v>
      </c>
      <c r="CN99">
        <v>8.7211200000000003E-2</v>
      </c>
      <c r="CO99">
        <v>8.3756999999999998E-2</v>
      </c>
      <c r="CP99">
        <v>31633.3</v>
      </c>
      <c r="CQ99">
        <v>27762.6</v>
      </c>
      <c r="CR99">
        <v>32459.8</v>
      </c>
      <c r="CS99">
        <v>30660.6</v>
      </c>
      <c r="CT99">
        <v>40110</v>
      </c>
      <c r="CU99">
        <v>39490.199999999997</v>
      </c>
      <c r="CV99">
        <v>47394.6</v>
      </c>
      <c r="CW99">
        <v>46743.7</v>
      </c>
      <c r="CX99">
        <v>2.6281599999999998</v>
      </c>
      <c r="CY99">
        <v>2.1503800000000002</v>
      </c>
      <c r="CZ99">
        <v>0</v>
      </c>
      <c r="DA99">
        <v>0</v>
      </c>
      <c r="DB99">
        <v>999.9</v>
      </c>
      <c r="DC99">
        <v>999.9</v>
      </c>
      <c r="DD99">
        <v>67.475999999999999</v>
      </c>
      <c r="DE99">
        <v>25.096</v>
      </c>
      <c r="DF99">
        <v>21.550699999999999</v>
      </c>
      <c r="DG99">
        <v>30.610099999999999</v>
      </c>
      <c r="DH99">
        <v>17.612200000000001</v>
      </c>
      <c r="DI99">
        <v>2</v>
      </c>
      <c r="DJ99">
        <v>-0.14799399999999999</v>
      </c>
      <c r="DK99">
        <v>1.75726</v>
      </c>
      <c r="DL99">
        <v>20.239899999999999</v>
      </c>
      <c r="DM99">
        <v>5.2523900000000001</v>
      </c>
      <c r="DN99">
        <v>12.033899999999999</v>
      </c>
      <c r="DO99">
        <v>4.9673999999999996</v>
      </c>
      <c r="DP99">
        <v>3.2909999999999999</v>
      </c>
      <c r="DQ99">
        <v>9999</v>
      </c>
      <c r="DR99">
        <v>9999</v>
      </c>
      <c r="DS99">
        <v>534.4</v>
      </c>
      <c r="DT99">
        <v>9999</v>
      </c>
      <c r="DU99">
        <v>1.87103</v>
      </c>
      <c r="DV99">
        <v>1.8760699999999999</v>
      </c>
      <c r="DW99">
        <v>1.8762700000000001</v>
      </c>
      <c r="DX99">
        <v>1.88279</v>
      </c>
      <c r="DY99">
        <v>1.8755900000000001</v>
      </c>
      <c r="DZ99">
        <v>1.8746499999999999</v>
      </c>
      <c r="EA99">
        <v>1.8707499999999999</v>
      </c>
      <c r="EB99">
        <v>1.87466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-1.046</v>
      </c>
      <c r="EQ99">
        <v>0.10290000000000001</v>
      </c>
      <c r="ER99">
        <v>-1.04590000000007</v>
      </c>
      <c r="ES99">
        <v>0</v>
      </c>
      <c r="ET99">
        <v>0</v>
      </c>
      <c r="EU99">
        <v>0</v>
      </c>
      <c r="EV99">
        <v>0.102854545454546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3</v>
      </c>
      <c r="FE99">
        <v>3</v>
      </c>
      <c r="FF99">
        <v>1.2341299999999999</v>
      </c>
      <c r="FG99">
        <v>2.5610400000000002</v>
      </c>
      <c r="FH99">
        <v>2.19604</v>
      </c>
      <c r="FI99">
        <v>2.66235</v>
      </c>
      <c r="FJ99">
        <v>2.4462899999999999</v>
      </c>
      <c r="FK99">
        <v>2.3059099999999999</v>
      </c>
      <c r="FL99">
        <v>30.415400000000002</v>
      </c>
      <c r="FM99">
        <v>24.157499999999999</v>
      </c>
      <c r="FN99">
        <v>19</v>
      </c>
      <c r="FO99">
        <v>864.28899999999999</v>
      </c>
      <c r="FP99">
        <v>587.79899999999998</v>
      </c>
      <c r="FQ99">
        <v>18.548500000000001</v>
      </c>
      <c r="FR99">
        <v>25.1389</v>
      </c>
      <c r="FS99">
        <v>30.0001</v>
      </c>
      <c r="FT99">
        <v>25.1295</v>
      </c>
      <c r="FU99">
        <v>25.1312</v>
      </c>
      <c r="FV99">
        <v>24.783300000000001</v>
      </c>
      <c r="FW99">
        <v>34.322499999999998</v>
      </c>
      <c r="FX99">
        <v>30.015499999999999</v>
      </c>
      <c r="FY99">
        <v>18.5504</v>
      </c>
      <c r="FZ99">
        <v>410</v>
      </c>
      <c r="GA99">
        <v>14.826000000000001</v>
      </c>
      <c r="GB99">
        <v>99.876000000000005</v>
      </c>
      <c r="GC99">
        <v>99.519800000000004</v>
      </c>
    </row>
    <row r="100" spans="1:185" x14ac:dyDescent="0.2">
      <c r="A100">
        <v>85</v>
      </c>
      <c r="B100">
        <v>1769184424.0999999</v>
      </c>
      <c r="C100">
        <v>1561.0999999046301</v>
      </c>
      <c r="D100" t="s">
        <v>465</v>
      </c>
      <c r="E100" t="s">
        <v>466</v>
      </c>
      <c r="F100">
        <v>15</v>
      </c>
      <c r="G100">
        <v>1769184416.03333</v>
      </c>
      <c r="H100">
        <f t="shared" si="13"/>
        <v>5.0330930979224715E-4</v>
      </c>
      <c r="I100">
        <v>0</v>
      </c>
      <c r="J100">
        <f t="shared" si="25"/>
        <v>-2.1065526739685457E-3</v>
      </c>
      <c r="K100">
        <f t="shared" si="14"/>
        <v>-5.516992286746375E-2</v>
      </c>
      <c r="L100">
        <f t="shared" si="15"/>
        <v>69.998696480133603</v>
      </c>
      <c r="M100">
        <f t="shared" si="16"/>
        <v>1.543390824208587</v>
      </c>
      <c r="N100">
        <f t="shared" si="17"/>
        <v>2.2048850933197279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26271.267532370788</v>
      </c>
      <c r="T100">
        <f t="shared" si="21"/>
        <v>0</v>
      </c>
      <c r="U100">
        <f t="shared" si="22"/>
        <v>0</v>
      </c>
      <c r="V100">
        <f t="shared" si="23"/>
        <v>0.84248416500000001</v>
      </c>
      <c r="W100">
        <f t="shared" si="24"/>
        <v>0.15741138690000001</v>
      </c>
      <c r="X100">
        <v>1</v>
      </c>
      <c r="Y100">
        <v>1769184416.03333</v>
      </c>
      <c r="Z100">
        <v>409.813533333333</v>
      </c>
      <c r="AA100">
        <v>410.00240000000002</v>
      </c>
      <c r="AB100">
        <v>15.4039</v>
      </c>
      <c r="AC100">
        <v>14.7844533333333</v>
      </c>
      <c r="AD100">
        <v>410.85933333333298</v>
      </c>
      <c r="AE100">
        <v>15.3010466666667</v>
      </c>
      <c r="AF100">
        <v>799.99846666666701</v>
      </c>
      <c r="AG100">
        <v>100.12926666666699</v>
      </c>
      <c r="AH100">
        <v>6.5542713333333294E-2</v>
      </c>
      <c r="AI100">
        <v>18.9978533333333</v>
      </c>
      <c r="AJ100">
        <v>999.9</v>
      </c>
      <c r="AK100">
        <v>999.9</v>
      </c>
      <c r="AL100">
        <v>0</v>
      </c>
      <c r="AM100">
        <v>0</v>
      </c>
      <c r="AN100">
        <v>5002.4666666666699</v>
      </c>
      <c r="AO100">
        <v>0</v>
      </c>
      <c r="AP100">
        <v>1.9760899999999999</v>
      </c>
      <c r="AQ100">
        <v>-0.18881020000000001</v>
      </c>
      <c r="AR100">
        <v>416.22486666666703</v>
      </c>
      <c r="AS100">
        <v>416.15486666666698</v>
      </c>
      <c r="AT100">
        <v>0.61944333333333301</v>
      </c>
      <c r="AU100">
        <v>410.00240000000002</v>
      </c>
      <c r="AV100">
        <v>14.7844533333333</v>
      </c>
      <c r="AW100">
        <v>1.54238266666667</v>
      </c>
      <c r="AX100">
        <v>1.4803566666666701</v>
      </c>
      <c r="AY100">
        <v>13.3948933333333</v>
      </c>
      <c r="AZ100">
        <v>12.76676</v>
      </c>
      <c r="BA100">
        <v>0</v>
      </c>
      <c r="BB100">
        <v>0.91718</v>
      </c>
      <c r="BC100">
        <v>0</v>
      </c>
      <c r="BD100">
        <v>8.2819500000000004E-2</v>
      </c>
      <c r="BE100">
        <v>0</v>
      </c>
      <c r="BF100">
        <v>25</v>
      </c>
      <c r="BG100">
        <v>0</v>
      </c>
      <c r="BH100">
        <v>1769184227.0999999</v>
      </c>
      <c r="BI100" t="s">
        <v>438</v>
      </c>
      <c r="BJ100">
        <v>1769184227.0999999</v>
      </c>
      <c r="BK100">
        <v>1769184226.0999999</v>
      </c>
      <c r="BL100">
        <v>3</v>
      </c>
      <c r="BM100">
        <v>6.3E-2</v>
      </c>
      <c r="BN100">
        <v>-4.9000000000000002E-2</v>
      </c>
      <c r="BO100">
        <v>-1.046</v>
      </c>
      <c r="BP100">
        <v>0.10299999999999999</v>
      </c>
      <c r="BQ100">
        <v>410</v>
      </c>
      <c r="BR100">
        <v>15</v>
      </c>
      <c r="BS100">
        <v>0.22</v>
      </c>
      <c r="BT100">
        <v>0.08</v>
      </c>
      <c r="BU100">
        <v>-0.19125219047618999</v>
      </c>
      <c r="BV100">
        <v>1.2699740259740199E-3</v>
      </c>
      <c r="BW100">
        <v>2.14926364812719E-2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0.61745319047619096</v>
      </c>
      <c r="CD100">
        <v>2.19388831168832E-2</v>
      </c>
      <c r="CE100">
        <v>4.0596390482177201E-3</v>
      </c>
      <c r="CF100">
        <v>1</v>
      </c>
      <c r="CG100">
        <v>2</v>
      </c>
      <c r="CH100">
        <v>2</v>
      </c>
      <c r="CI100" t="s">
        <v>310</v>
      </c>
      <c r="CJ100">
        <v>3.5325600000000001</v>
      </c>
      <c r="CK100">
        <v>2.7034799999999999</v>
      </c>
      <c r="CL100">
        <v>9.8074099999999997E-2</v>
      </c>
      <c r="CM100">
        <v>9.6704899999999996E-2</v>
      </c>
      <c r="CN100">
        <v>8.7180199999999999E-2</v>
      </c>
      <c r="CO100">
        <v>8.37059E-2</v>
      </c>
      <c r="CP100">
        <v>31633.4</v>
      </c>
      <c r="CQ100">
        <v>27762.9</v>
      </c>
      <c r="CR100">
        <v>32460.1</v>
      </c>
      <c r="CS100">
        <v>30660.7</v>
      </c>
      <c r="CT100">
        <v>40111.800000000003</v>
      </c>
      <c r="CU100">
        <v>39493.1</v>
      </c>
      <c r="CV100">
        <v>47395</v>
      </c>
      <c r="CW100">
        <v>46744.4</v>
      </c>
      <c r="CX100">
        <v>2.6282000000000001</v>
      </c>
      <c r="CY100">
        <v>2.1501800000000002</v>
      </c>
      <c r="CZ100">
        <v>0</v>
      </c>
      <c r="DA100">
        <v>0</v>
      </c>
      <c r="DB100">
        <v>999.9</v>
      </c>
      <c r="DC100">
        <v>999.9</v>
      </c>
      <c r="DD100">
        <v>67.373000000000005</v>
      </c>
      <c r="DE100">
        <v>25.126000000000001</v>
      </c>
      <c r="DF100">
        <v>21.554400000000001</v>
      </c>
      <c r="DG100">
        <v>30.520099999999999</v>
      </c>
      <c r="DH100">
        <v>17.568100000000001</v>
      </c>
      <c r="DI100">
        <v>2</v>
      </c>
      <c r="DJ100">
        <v>-0.14796300000000001</v>
      </c>
      <c r="DK100">
        <v>1.75274</v>
      </c>
      <c r="DL100">
        <v>20.239699999999999</v>
      </c>
      <c r="DM100">
        <v>5.2521500000000003</v>
      </c>
      <c r="DN100">
        <v>12.033899999999999</v>
      </c>
      <c r="DO100">
        <v>4.9673600000000002</v>
      </c>
      <c r="DP100">
        <v>3.2909999999999999</v>
      </c>
      <c r="DQ100">
        <v>9999</v>
      </c>
      <c r="DR100">
        <v>9999</v>
      </c>
      <c r="DS100">
        <v>534.4</v>
      </c>
      <c r="DT100">
        <v>9999</v>
      </c>
      <c r="DU100">
        <v>1.8710199999999999</v>
      </c>
      <c r="DV100">
        <v>1.8760699999999999</v>
      </c>
      <c r="DW100">
        <v>1.87622</v>
      </c>
      <c r="DX100">
        <v>1.8827799999999999</v>
      </c>
      <c r="DY100">
        <v>1.87554</v>
      </c>
      <c r="DZ100">
        <v>1.87456</v>
      </c>
      <c r="EA100">
        <v>1.87073</v>
      </c>
      <c r="EB100">
        <v>1.8746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-1.046</v>
      </c>
      <c r="EQ100">
        <v>0.10290000000000001</v>
      </c>
      <c r="ER100">
        <v>-1.04590000000007</v>
      </c>
      <c r="ES100">
        <v>0</v>
      </c>
      <c r="ET100">
        <v>0</v>
      </c>
      <c r="EU100">
        <v>0</v>
      </c>
      <c r="EV100">
        <v>0.102854545454546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3.3</v>
      </c>
      <c r="FE100">
        <v>3.3</v>
      </c>
      <c r="FF100">
        <v>1.2353499999999999</v>
      </c>
      <c r="FG100">
        <v>2.5561500000000001</v>
      </c>
      <c r="FH100">
        <v>2.19604</v>
      </c>
      <c r="FI100">
        <v>2.66235</v>
      </c>
      <c r="FJ100">
        <v>2.4462899999999999</v>
      </c>
      <c r="FK100">
        <v>2.3010299999999999</v>
      </c>
      <c r="FL100">
        <v>30.415400000000002</v>
      </c>
      <c r="FM100">
        <v>24.1663</v>
      </c>
      <c r="FN100">
        <v>19</v>
      </c>
      <c r="FO100">
        <v>864.36</v>
      </c>
      <c r="FP100">
        <v>587.66800000000001</v>
      </c>
      <c r="FQ100">
        <v>18.555700000000002</v>
      </c>
      <c r="FR100">
        <v>25.1389</v>
      </c>
      <c r="FS100">
        <v>30.0002</v>
      </c>
      <c r="FT100">
        <v>25.131599999999999</v>
      </c>
      <c r="FU100">
        <v>25.133400000000002</v>
      </c>
      <c r="FV100">
        <v>24.783799999999999</v>
      </c>
      <c r="FW100">
        <v>34.322499999999998</v>
      </c>
      <c r="FX100">
        <v>29.633900000000001</v>
      </c>
      <c r="FY100">
        <v>18.556100000000001</v>
      </c>
      <c r="FZ100">
        <v>410</v>
      </c>
      <c r="GA100">
        <v>14.826000000000001</v>
      </c>
      <c r="GB100">
        <v>99.876800000000003</v>
      </c>
      <c r="GC100">
        <v>99.520799999999994</v>
      </c>
    </row>
    <row r="101" spans="1:185" x14ac:dyDescent="0.2">
      <c r="A101">
        <v>86</v>
      </c>
      <c r="B101">
        <v>1769184439.0999999</v>
      </c>
      <c r="C101">
        <v>1576.0999999046301</v>
      </c>
      <c r="D101" t="s">
        <v>467</v>
      </c>
      <c r="E101" t="s">
        <v>468</v>
      </c>
      <c r="F101">
        <v>15</v>
      </c>
      <c r="G101">
        <v>1769184431.03333</v>
      </c>
      <c r="H101">
        <f t="shared" si="13"/>
        <v>5.037445903072101E-4</v>
      </c>
      <c r="I101">
        <v>0</v>
      </c>
      <c r="J101">
        <f t="shared" si="25"/>
        <v>-2.3108046266730555E-3</v>
      </c>
      <c r="K101">
        <f t="shared" si="14"/>
        <v>-6.05192144448767E-2</v>
      </c>
      <c r="L101">
        <f t="shared" si="15"/>
        <v>69.941180849273692</v>
      </c>
      <c r="M101">
        <f t="shared" si="16"/>
        <v>1.5423741811475205</v>
      </c>
      <c r="N101">
        <f t="shared" si="17"/>
        <v>2.205244696213243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26264.571993264737</v>
      </c>
      <c r="T101">
        <f t="shared" si="21"/>
        <v>0</v>
      </c>
      <c r="U101">
        <f t="shared" si="22"/>
        <v>0</v>
      </c>
      <c r="V101">
        <f t="shared" si="23"/>
        <v>0.84248416500000001</v>
      </c>
      <c r="W101">
        <f t="shared" si="24"/>
        <v>0.15741138690000001</v>
      </c>
      <c r="X101">
        <v>1</v>
      </c>
      <c r="Y101">
        <v>1769184431.03333</v>
      </c>
      <c r="Z101">
        <v>409.8098</v>
      </c>
      <c r="AA101">
        <v>409.99220000000003</v>
      </c>
      <c r="AB101">
        <v>15.3934933333333</v>
      </c>
      <c r="AC101">
        <v>14.7735066666667</v>
      </c>
      <c r="AD101">
        <v>410.85579999999999</v>
      </c>
      <c r="AE101">
        <v>15.2906333333333</v>
      </c>
      <c r="AF101">
        <v>800.00139999999999</v>
      </c>
      <c r="AG101">
        <v>100.130866666667</v>
      </c>
      <c r="AH101">
        <v>6.5635046666666697E-2</v>
      </c>
      <c r="AI101">
        <v>19.0004666666667</v>
      </c>
      <c r="AJ101">
        <v>999.9</v>
      </c>
      <c r="AK101">
        <v>999.9</v>
      </c>
      <c r="AL101">
        <v>0</v>
      </c>
      <c r="AM101">
        <v>0</v>
      </c>
      <c r="AN101">
        <v>5001.3333333333303</v>
      </c>
      <c r="AO101">
        <v>0</v>
      </c>
      <c r="AP101">
        <v>1.9811353333333299</v>
      </c>
      <c r="AQ101">
        <v>-0.18241979999999999</v>
      </c>
      <c r="AR101">
        <v>416.21673333333302</v>
      </c>
      <c r="AS101">
        <v>416.14013333333298</v>
      </c>
      <c r="AT101">
        <v>0.61998833333333303</v>
      </c>
      <c r="AU101">
        <v>409.99220000000003</v>
      </c>
      <c r="AV101">
        <v>14.7735066666667</v>
      </c>
      <c r="AW101">
        <v>1.5413653333333299</v>
      </c>
      <c r="AX101">
        <v>1.4792860000000001</v>
      </c>
      <c r="AY101">
        <v>13.384786666666701</v>
      </c>
      <c r="AZ101">
        <v>12.7557333333333</v>
      </c>
      <c r="BA101">
        <v>0</v>
      </c>
      <c r="BB101">
        <v>0.91718</v>
      </c>
      <c r="BC101">
        <v>0</v>
      </c>
      <c r="BD101">
        <v>8.2819500000000004E-2</v>
      </c>
      <c r="BE101">
        <v>0</v>
      </c>
      <c r="BF101">
        <v>25</v>
      </c>
      <c r="BG101">
        <v>0</v>
      </c>
      <c r="BH101">
        <v>1769184227.0999999</v>
      </c>
      <c r="BI101" t="s">
        <v>438</v>
      </c>
      <c r="BJ101">
        <v>1769184227.0999999</v>
      </c>
      <c r="BK101">
        <v>1769184226.0999999</v>
      </c>
      <c r="BL101">
        <v>3</v>
      </c>
      <c r="BM101">
        <v>6.3E-2</v>
      </c>
      <c r="BN101">
        <v>-4.9000000000000002E-2</v>
      </c>
      <c r="BO101">
        <v>-1.046</v>
      </c>
      <c r="BP101">
        <v>0.10299999999999999</v>
      </c>
      <c r="BQ101">
        <v>410</v>
      </c>
      <c r="BR101">
        <v>15</v>
      </c>
      <c r="BS101">
        <v>0.22</v>
      </c>
      <c r="BT101">
        <v>0.08</v>
      </c>
      <c r="BU101">
        <v>-0.18407589999999999</v>
      </c>
      <c r="BV101">
        <v>-5.8481503759399596E-3</v>
      </c>
      <c r="BW101">
        <v>1.7456356624164199E-2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0.61944494999999999</v>
      </c>
      <c r="CD101">
        <v>2.8147218045116999E-3</v>
      </c>
      <c r="CE101">
        <v>2.3684545061073E-3</v>
      </c>
      <c r="CF101">
        <v>1</v>
      </c>
      <c r="CG101">
        <v>2</v>
      </c>
      <c r="CH101">
        <v>2</v>
      </c>
      <c r="CI101" t="s">
        <v>310</v>
      </c>
      <c r="CJ101">
        <v>3.5325199999999999</v>
      </c>
      <c r="CK101">
        <v>2.70343</v>
      </c>
      <c r="CL101">
        <v>9.8074700000000001E-2</v>
      </c>
      <c r="CM101">
        <v>9.67108E-2</v>
      </c>
      <c r="CN101">
        <v>8.7133699999999994E-2</v>
      </c>
      <c r="CO101">
        <v>8.36504E-2</v>
      </c>
      <c r="CP101">
        <v>31632.5</v>
      </c>
      <c r="CQ101">
        <v>27762.7</v>
      </c>
      <c r="CR101">
        <v>32459.200000000001</v>
      </c>
      <c r="CS101">
        <v>30660.7</v>
      </c>
      <c r="CT101">
        <v>40113</v>
      </c>
      <c r="CU101">
        <v>39495.699999999997</v>
      </c>
      <c r="CV101">
        <v>47394</v>
      </c>
      <c r="CW101">
        <v>46744.6</v>
      </c>
      <c r="CX101">
        <v>2.6281400000000001</v>
      </c>
      <c r="CY101">
        <v>2.1498400000000002</v>
      </c>
      <c r="CZ101">
        <v>0</v>
      </c>
      <c r="DA101">
        <v>0</v>
      </c>
      <c r="DB101">
        <v>999.9</v>
      </c>
      <c r="DC101">
        <v>999.9</v>
      </c>
      <c r="DD101">
        <v>67.251000000000005</v>
      </c>
      <c r="DE101">
        <v>25.146000000000001</v>
      </c>
      <c r="DF101">
        <v>21.540700000000001</v>
      </c>
      <c r="DG101">
        <v>30.5501</v>
      </c>
      <c r="DH101">
        <v>17.552099999999999</v>
      </c>
      <c r="DI101">
        <v>2</v>
      </c>
      <c r="DJ101">
        <v>-0.14746500000000001</v>
      </c>
      <c r="DK101">
        <v>1.8035699999999999</v>
      </c>
      <c r="DL101">
        <v>20.239100000000001</v>
      </c>
      <c r="DM101">
        <v>5.2509499999999996</v>
      </c>
      <c r="DN101">
        <v>12.033899999999999</v>
      </c>
      <c r="DO101">
        <v>4.9672400000000003</v>
      </c>
      <c r="DP101">
        <v>3.2909999999999999</v>
      </c>
      <c r="DQ101">
        <v>9999</v>
      </c>
      <c r="DR101">
        <v>9999</v>
      </c>
      <c r="DS101">
        <v>534.4</v>
      </c>
      <c r="DT101">
        <v>9999</v>
      </c>
      <c r="DU101">
        <v>1.8710199999999999</v>
      </c>
      <c r="DV101">
        <v>1.87608</v>
      </c>
      <c r="DW101">
        <v>1.87622</v>
      </c>
      <c r="DX101">
        <v>1.8827700000000001</v>
      </c>
      <c r="DY101">
        <v>1.8755599999999999</v>
      </c>
      <c r="DZ101">
        <v>1.87459</v>
      </c>
      <c r="EA101">
        <v>1.87073</v>
      </c>
      <c r="EB101">
        <v>1.8746100000000001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-1.046</v>
      </c>
      <c r="EQ101">
        <v>0.10290000000000001</v>
      </c>
      <c r="ER101">
        <v>-1.04590000000007</v>
      </c>
      <c r="ES101">
        <v>0</v>
      </c>
      <c r="ET101">
        <v>0</v>
      </c>
      <c r="EU101">
        <v>0</v>
      </c>
      <c r="EV101">
        <v>0.102854545454546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3.5</v>
      </c>
      <c r="FE101">
        <v>3.5</v>
      </c>
      <c r="FF101">
        <v>1.2341299999999999</v>
      </c>
      <c r="FG101">
        <v>2.5512700000000001</v>
      </c>
      <c r="FH101">
        <v>2.19604</v>
      </c>
      <c r="FI101">
        <v>2.66235</v>
      </c>
      <c r="FJ101">
        <v>2.4462899999999999</v>
      </c>
      <c r="FK101">
        <v>2.3059099999999999</v>
      </c>
      <c r="FL101">
        <v>30.436900000000001</v>
      </c>
      <c r="FM101">
        <v>24.157499999999999</v>
      </c>
      <c r="FN101">
        <v>19</v>
      </c>
      <c r="FO101">
        <v>864.33900000000006</v>
      </c>
      <c r="FP101">
        <v>587.428</v>
      </c>
      <c r="FQ101">
        <v>18.541399999999999</v>
      </c>
      <c r="FR101">
        <v>25.140899999999998</v>
      </c>
      <c r="FS101">
        <v>30.000299999999999</v>
      </c>
      <c r="FT101">
        <v>25.133800000000001</v>
      </c>
      <c r="FU101">
        <v>25.1355</v>
      </c>
      <c r="FV101">
        <v>24.785699999999999</v>
      </c>
      <c r="FW101">
        <v>34.322499999999998</v>
      </c>
      <c r="FX101">
        <v>29.2576</v>
      </c>
      <c r="FY101">
        <v>18.539300000000001</v>
      </c>
      <c r="FZ101">
        <v>410</v>
      </c>
      <c r="GA101">
        <v>14.827299999999999</v>
      </c>
      <c r="GB101">
        <v>99.874399999999994</v>
      </c>
      <c r="GC101">
        <v>99.521100000000004</v>
      </c>
    </row>
    <row r="102" spans="1:185" x14ac:dyDescent="0.2">
      <c r="A102">
        <v>87</v>
      </c>
      <c r="B102">
        <v>1769184454.0999999</v>
      </c>
      <c r="C102">
        <v>1591.0999999046301</v>
      </c>
      <c r="D102" t="s">
        <v>469</v>
      </c>
      <c r="E102" t="s">
        <v>470</v>
      </c>
      <c r="F102">
        <v>15</v>
      </c>
      <c r="G102">
        <v>1769184446.03333</v>
      </c>
      <c r="H102">
        <f t="shared" si="13"/>
        <v>5.0707056848266392E-4</v>
      </c>
      <c r="I102">
        <v>0</v>
      </c>
      <c r="J102">
        <f t="shared" si="25"/>
        <v>-2.3178516822878288E-3</v>
      </c>
      <c r="K102">
        <f t="shared" si="14"/>
        <v>-6.0703774517603171E-2</v>
      </c>
      <c r="L102">
        <f t="shared" si="15"/>
        <v>69.912528467922314</v>
      </c>
      <c r="M102">
        <f t="shared" si="16"/>
        <v>1.5417076912302314</v>
      </c>
      <c r="N102">
        <f t="shared" si="17"/>
        <v>2.2051951560264436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26254.570645580618</v>
      </c>
      <c r="T102">
        <f t="shared" si="21"/>
        <v>0</v>
      </c>
      <c r="U102">
        <f t="shared" si="22"/>
        <v>0</v>
      </c>
      <c r="V102">
        <f t="shared" si="23"/>
        <v>0.84248416500000001</v>
      </c>
      <c r="W102">
        <f t="shared" si="24"/>
        <v>0.15741138690000001</v>
      </c>
      <c r="X102">
        <v>1</v>
      </c>
      <c r="Y102">
        <v>1769184446.03333</v>
      </c>
      <c r="Z102">
        <v>409.80180000000001</v>
      </c>
      <c r="AA102">
        <v>409.98566666666699</v>
      </c>
      <c r="AB102">
        <v>15.386566666666701</v>
      </c>
      <c r="AC102">
        <v>14.7624866666667</v>
      </c>
      <c r="AD102">
        <v>410.84766666666701</v>
      </c>
      <c r="AE102">
        <v>15.2837</v>
      </c>
      <c r="AF102">
        <v>800.00720000000001</v>
      </c>
      <c r="AG102">
        <v>100.13273333333299</v>
      </c>
      <c r="AH102">
        <v>6.5558113333333307E-2</v>
      </c>
      <c r="AI102">
        <v>19.000106666666699</v>
      </c>
      <c r="AJ102">
        <v>999.9</v>
      </c>
      <c r="AK102">
        <v>999.9</v>
      </c>
      <c r="AL102">
        <v>0</v>
      </c>
      <c r="AM102">
        <v>0</v>
      </c>
      <c r="AN102">
        <v>4999.6000000000004</v>
      </c>
      <c r="AO102">
        <v>0</v>
      </c>
      <c r="AP102">
        <v>2.0191520000000001</v>
      </c>
      <c r="AQ102">
        <v>-0.18394766666666701</v>
      </c>
      <c r="AR102">
        <v>416.20580000000001</v>
      </c>
      <c r="AS102">
        <v>416.12880000000001</v>
      </c>
      <c r="AT102">
        <v>0.62406226666666698</v>
      </c>
      <c r="AU102">
        <v>409.98566666666699</v>
      </c>
      <c r="AV102">
        <v>14.7624866666667</v>
      </c>
      <c r="AW102">
        <v>1.54069866666667</v>
      </c>
      <c r="AX102">
        <v>1.4782106666666699</v>
      </c>
      <c r="AY102">
        <v>13.3781466666667</v>
      </c>
      <c r="AZ102">
        <v>12.7446066666667</v>
      </c>
      <c r="BA102">
        <v>0</v>
      </c>
      <c r="BB102">
        <v>0.91718</v>
      </c>
      <c r="BC102">
        <v>0</v>
      </c>
      <c r="BD102">
        <v>8.2819500000000004E-2</v>
      </c>
      <c r="BE102">
        <v>0</v>
      </c>
      <c r="BF102">
        <v>25</v>
      </c>
      <c r="BG102">
        <v>0</v>
      </c>
      <c r="BH102">
        <v>1769184227.0999999</v>
      </c>
      <c r="BI102" t="s">
        <v>438</v>
      </c>
      <c r="BJ102">
        <v>1769184227.0999999</v>
      </c>
      <c r="BK102">
        <v>1769184226.0999999</v>
      </c>
      <c r="BL102">
        <v>3</v>
      </c>
      <c r="BM102">
        <v>6.3E-2</v>
      </c>
      <c r="BN102">
        <v>-4.9000000000000002E-2</v>
      </c>
      <c r="BO102">
        <v>-1.046</v>
      </c>
      <c r="BP102">
        <v>0.10299999999999999</v>
      </c>
      <c r="BQ102">
        <v>410</v>
      </c>
      <c r="BR102">
        <v>15</v>
      </c>
      <c r="BS102">
        <v>0.22</v>
      </c>
      <c r="BT102">
        <v>0.08</v>
      </c>
      <c r="BU102">
        <v>-0.18551042857142899</v>
      </c>
      <c r="BV102">
        <v>5.5008155844155998E-2</v>
      </c>
      <c r="BW102">
        <v>1.95427192034257E-2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0.62259257142857105</v>
      </c>
      <c r="CD102">
        <v>2.7708233766233901E-2</v>
      </c>
      <c r="CE102">
        <v>3.3028353990880899E-3</v>
      </c>
      <c r="CF102">
        <v>1</v>
      </c>
      <c r="CG102">
        <v>2</v>
      </c>
      <c r="CH102">
        <v>2</v>
      </c>
      <c r="CI102" t="s">
        <v>310</v>
      </c>
      <c r="CJ102">
        <v>3.5325199999999999</v>
      </c>
      <c r="CK102">
        <v>2.7035</v>
      </c>
      <c r="CL102">
        <v>9.8077300000000006E-2</v>
      </c>
      <c r="CM102">
        <v>9.6709699999999996E-2</v>
      </c>
      <c r="CN102">
        <v>8.7104200000000007E-2</v>
      </c>
      <c r="CO102">
        <v>8.3631399999999995E-2</v>
      </c>
      <c r="CP102">
        <v>31632.400000000001</v>
      </c>
      <c r="CQ102">
        <v>27763.599999999999</v>
      </c>
      <c r="CR102">
        <v>32459.200000000001</v>
      </c>
      <c r="CS102">
        <v>30661.599999999999</v>
      </c>
      <c r="CT102">
        <v>40114.5</v>
      </c>
      <c r="CU102">
        <v>39497.699999999997</v>
      </c>
      <c r="CV102">
        <v>47394.1</v>
      </c>
      <c r="CW102">
        <v>46745.9</v>
      </c>
      <c r="CX102">
        <v>2.6280800000000002</v>
      </c>
      <c r="CY102">
        <v>2.1499600000000001</v>
      </c>
      <c r="CZ102">
        <v>0</v>
      </c>
      <c r="DA102">
        <v>0</v>
      </c>
      <c r="DB102">
        <v>999.9</v>
      </c>
      <c r="DC102">
        <v>999.9</v>
      </c>
      <c r="DD102">
        <v>67.159000000000006</v>
      </c>
      <c r="DE102">
        <v>25.166</v>
      </c>
      <c r="DF102">
        <v>21.537400000000002</v>
      </c>
      <c r="DG102">
        <v>30.520099999999999</v>
      </c>
      <c r="DH102">
        <v>17.540099999999999</v>
      </c>
      <c r="DI102">
        <v>2</v>
      </c>
      <c r="DJ102">
        <v>-0.147596</v>
      </c>
      <c r="DK102">
        <v>1.7743899999999999</v>
      </c>
      <c r="DL102">
        <v>20.239599999999999</v>
      </c>
      <c r="DM102">
        <v>5.2511900000000002</v>
      </c>
      <c r="DN102">
        <v>12.033899999999999</v>
      </c>
      <c r="DO102">
        <v>4.9670399999999999</v>
      </c>
      <c r="DP102">
        <v>3.2910200000000001</v>
      </c>
      <c r="DQ102">
        <v>9999</v>
      </c>
      <c r="DR102">
        <v>9999</v>
      </c>
      <c r="DS102">
        <v>534.4</v>
      </c>
      <c r="DT102">
        <v>9999</v>
      </c>
      <c r="DU102">
        <v>1.8710199999999999</v>
      </c>
      <c r="DV102">
        <v>1.8760699999999999</v>
      </c>
      <c r="DW102">
        <v>1.87622</v>
      </c>
      <c r="DX102">
        <v>1.8827799999999999</v>
      </c>
      <c r="DY102">
        <v>1.8755599999999999</v>
      </c>
      <c r="DZ102">
        <v>1.8745700000000001</v>
      </c>
      <c r="EA102">
        <v>1.87073</v>
      </c>
      <c r="EB102">
        <v>1.8746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-1.046</v>
      </c>
      <c r="EQ102">
        <v>0.10290000000000001</v>
      </c>
      <c r="ER102">
        <v>-1.04590000000007</v>
      </c>
      <c r="ES102">
        <v>0</v>
      </c>
      <c r="ET102">
        <v>0</v>
      </c>
      <c r="EU102">
        <v>0</v>
      </c>
      <c r="EV102">
        <v>0.102854545454546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3.8</v>
      </c>
      <c r="FE102">
        <v>3.8</v>
      </c>
      <c r="FF102">
        <v>1.2353499999999999</v>
      </c>
      <c r="FG102">
        <v>2.5573700000000001</v>
      </c>
      <c r="FH102">
        <v>2.19604</v>
      </c>
      <c r="FI102">
        <v>2.66235</v>
      </c>
      <c r="FJ102">
        <v>2.4462899999999999</v>
      </c>
      <c r="FK102">
        <v>2.2497600000000002</v>
      </c>
      <c r="FL102">
        <v>30.48</v>
      </c>
      <c r="FM102">
        <v>24.157499999999999</v>
      </c>
      <c r="FN102">
        <v>19</v>
      </c>
      <c r="FO102">
        <v>864.33100000000002</v>
      </c>
      <c r="FP102">
        <v>587.54899999999998</v>
      </c>
      <c r="FQ102">
        <v>18.537199999999999</v>
      </c>
      <c r="FR102">
        <v>25.141400000000001</v>
      </c>
      <c r="FS102">
        <v>30.0002</v>
      </c>
      <c r="FT102">
        <v>25.136700000000001</v>
      </c>
      <c r="FU102">
        <v>25.138000000000002</v>
      </c>
      <c r="FV102">
        <v>24.7867</v>
      </c>
      <c r="FW102">
        <v>34.0319</v>
      </c>
      <c r="FX102">
        <v>28.882000000000001</v>
      </c>
      <c r="FY102">
        <v>18.538699999999999</v>
      </c>
      <c r="FZ102">
        <v>410</v>
      </c>
      <c r="GA102">
        <v>14.833500000000001</v>
      </c>
      <c r="GB102">
        <v>99.874600000000001</v>
      </c>
      <c r="GC102">
        <v>99.523899999999998</v>
      </c>
    </row>
    <row r="103" spans="1:185" x14ac:dyDescent="0.2">
      <c r="A103">
        <v>88</v>
      </c>
      <c r="B103">
        <v>1769184469.0999999</v>
      </c>
      <c r="C103">
        <v>1606.0999999046301</v>
      </c>
      <c r="D103" t="s">
        <v>471</v>
      </c>
      <c r="E103" t="s">
        <v>472</v>
      </c>
      <c r="F103">
        <v>15</v>
      </c>
      <c r="G103">
        <v>1769184461.03333</v>
      </c>
      <c r="H103">
        <f t="shared" si="13"/>
        <v>4.9097307882946261E-4</v>
      </c>
      <c r="I103">
        <v>0</v>
      </c>
      <c r="J103">
        <f t="shared" si="25"/>
        <v>-1.9723739117720428E-3</v>
      </c>
      <c r="K103">
        <f t="shared" si="14"/>
        <v>-5.1655825141681766E-2</v>
      </c>
      <c r="L103">
        <f t="shared" si="15"/>
        <v>69.900965386294189</v>
      </c>
      <c r="M103">
        <f t="shared" si="16"/>
        <v>1.5414488550820671</v>
      </c>
      <c r="N103">
        <f t="shared" si="17"/>
        <v>2.2051896516214726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26269.916908911116</v>
      </c>
      <c r="T103">
        <f t="shared" si="21"/>
        <v>0</v>
      </c>
      <c r="U103">
        <f t="shared" si="22"/>
        <v>0</v>
      </c>
      <c r="V103">
        <f t="shared" si="23"/>
        <v>0.84248416500000001</v>
      </c>
      <c r="W103">
        <f t="shared" si="24"/>
        <v>0.15741138690000001</v>
      </c>
      <c r="X103">
        <v>1</v>
      </c>
      <c r="Y103">
        <v>1769184461.03333</v>
      </c>
      <c r="Z103">
        <v>409.80439999999999</v>
      </c>
      <c r="AA103">
        <v>409.99133333333299</v>
      </c>
      <c r="AB103">
        <v>15.38374</v>
      </c>
      <c r="AC103">
        <v>14.7794666666667</v>
      </c>
      <c r="AD103">
        <v>410.85026666666698</v>
      </c>
      <c r="AE103">
        <v>15.280893333333299</v>
      </c>
      <c r="AF103">
        <v>800.00233333333301</v>
      </c>
      <c r="AG103">
        <v>100.134133333333</v>
      </c>
      <c r="AH103">
        <v>6.5743620000000003E-2</v>
      </c>
      <c r="AI103">
        <v>19.000066666666701</v>
      </c>
      <c r="AJ103">
        <v>999.9</v>
      </c>
      <c r="AK103">
        <v>999.9</v>
      </c>
      <c r="AL103">
        <v>0</v>
      </c>
      <c r="AM103">
        <v>0</v>
      </c>
      <c r="AN103">
        <v>5002.0666666666702</v>
      </c>
      <c r="AO103">
        <v>0</v>
      </c>
      <c r="AP103">
        <v>2.0247966666666701</v>
      </c>
      <c r="AQ103">
        <v>-0.18710133333333301</v>
      </c>
      <c r="AR103">
        <v>416.20713333333299</v>
      </c>
      <c r="AS103">
        <v>416.14166666666699</v>
      </c>
      <c r="AT103">
        <v>0.60426279999999999</v>
      </c>
      <c r="AU103">
        <v>409.99133333333299</v>
      </c>
      <c r="AV103">
        <v>14.7794666666667</v>
      </c>
      <c r="AW103">
        <v>1.5404406666666699</v>
      </c>
      <c r="AX103">
        <v>1.4799313333333299</v>
      </c>
      <c r="AY103">
        <v>13.37556</v>
      </c>
      <c r="AZ103">
        <v>12.762373333333301</v>
      </c>
      <c r="BA103">
        <v>0</v>
      </c>
      <c r="BB103">
        <v>0.91718</v>
      </c>
      <c r="BC103">
        <v>0</v>
      </c>
      <c r="BD103">
        <v>8.2819500000000004E-2</v>
      </c>
      <c r="BE103">
        <v>0</v>
      </c>
      <c r="BF103">
        <v>25</v>
      </c>
      <c r="BG103">
        <v>0</v>
      </c>
      <c r="BH103">
        <v>1769184227.0999999</v>
      </c>
      <c r="BI103" t="s">
        <v>438</v>
      </c>
      <c r="BJ103">
        <v>1769184227.0999999</v>
      </c>
      <c r="BK103">
        <v>1769184226.0999999</v>
      </c>
      <c r="BL103">
        <v>3</v>
      </c>
      <c r="BM103">
        <v>6.3E-2</v>
      </c>
      <c r="BN103">
        <v>-4.9000000000000002E-2</v>
      </c>
      <c r="BO103">
        <v>-1.046</v>
      </c>
      <c r="BP103">
        <v>0.10299999999999999</v>
      </c>
      <c r="BQ103">
        <v>410</v>
      </c>
      <c r="BR103">
        <v>15</v>
      </c>
      <c r="BS103">
        <v>0.22</v>
      </c>
      <c r="BT103">
        <v>0.08</v>
      </c>
      <c r="BU103">
        <v>-0.18235475000000001</v>
      </c>
      <c r="BV103">
        <v>-9.0358781954887099E-2</v>
      </c>
      <c r="BW103">
        <v>1.9521971209063401E-2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0.60961849999999995</v>
      </c>
      <c r="CD103">
        <v>-7.6987578947368795E-2</v>
      </c>
      <c r="CE103">
        <v>1.1942250564696799E-2</v>
      </c>
      <c r="CF103">
        <v>1</v>
      </c>
      <c r="CG103">
        <v>2</v>
      </c>
      <c r="CH103">
        <v>2</v>
      </c>
      <c r="CI103" t="s">
        <v>310</v>
      </c>
      <c r="CJ103">
        <v>3.5324599999999999</v>
      </c>
      <c r="CK103">
        <v>2.70364</v>
      </c>
      <c r="CL103">
        <v>9.8069900000000002E-2</v>
      </c>
      <c r="CM103">
        <v>9.6715300000000004E-2</v>
      </c>
      <c r="CN103">
        <v>8.7127899999999994E-2</v>
      </c>
      <c r="CO103">
        <v>8.3691000000000002E-2</v>
      </c>
      <c r="CP103">
        <v>31633.7</v>
      </c>
      <c r="CQ103">
        <v>27763.5</v>
      </c>
      <c r="CR103">
        <v>32460.3</v>
      </c>
      <c r="CS103">
        <v>30661.7</v>
      </c>
      <c r="CT103">
        <v>40114.800000000003</v>
      </c>
      <c r="CU103">
        <v>39495</v>
      </c>
      <c r="CV103">
        <v>47395.7</v>
      </c>
      <c r="CW103">
        <v>46745.9</v>
      </c>
      <c r="CX103">
        <v>2.6280600000000001</v>
      </c>
      <c r="CY103">
        <v>2.1496</v>
      </c>
      <c r="CZ103">
        <v>0</v>
      </c>
      <c r="DA103">
        <v>0</v>
      </c>
      <c r="DB103">
        <v>999.9</v>
      </c>
      <c r="DC103">
        <v>999.9</v>
      </c>
      <c r="DD103">
        <v>67</v>
      </c>
      <c r="DE103">
        <v>25.166</v>
      </c>
      <c r="DF103">
        <v>21.4876</v>
      </c>
      <c r="DG103">
        <v>30.490100000000002</v>
      </c>
      <c r="DH103">
        <v>17.588100000000001</v>
      </c>
      <c r="DI103">
        <v>2</v>
      </c>
      <c r="DJ103">
        <v>-0.147614</v>
      </c>
      <c r="DK103">
        <v>1.7746299999999999</v>
      </c>
      <c r="DL103">
        <v>20.239699999999999</v>
      </c>
      <c r="DM103">
        <v>5.2508299999999997</v>
      </c>
      <c r="DN103">
        <v>12.033899999999999</v>
      </c>
      <c r="DO103">
        <v>4.9672000000000001</v>
      </c>
      <c r="DP103">
        <v>3.2909999999999999</v>
      </c>
      <c r="DQ103">
        <v>9999</v>
      </c>
      <c r="DR103">
        <v>9999</v>
      </c>
      <c r="DS103">
        <v>534.4</v>
      </c>
      <c r="DT103">
        <v>9999</v>
      </c>
      <c r="DU103">
        <v>1.87103</v>
      </c>
      <c r="DV103">
        <v>1.8760699999999999</v>
      </c>
      <c r="DW103">
        <v>1.87622</v>
      </c>
      <c r="DX103">
        <v>1.8827799999999999</v>
      </c>
      <c r="DY103">
        <v>1.87554</v>
      </c>
      <c r="DZ103">
        <v>1.8745700000000001</v>
      </c>
      <c r="EA103">
        <v>1.87073</v>
      </c>
      <c r="EB103">
        <v>1.8746100000000001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-1.046</v>
      </c>
      <c r="EQ103">
        <v>0.10290000000000001</v>
      </c>
      <c r="ER103">
        <v>-1.04590000000007</v>
      </c>
      <c r="ES103">
        <v>0</v>
      </c>
      <c r="ET103">
        <v>0</v>
      </c>
      <c r="EU103">
        <v>0</v>
      </c>
      <c r="EV103">
        <v>0.102854545454546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4</v>
      </c>
      <c r="FE103">
        <v>4</v>
      </c>
      <c r="FF103">
        <v>1.2353499999999999</v>
      </c>
      <c r="FG103">
        <v>2.5598100000000001</v>
      </c>
      <c r="FH103">
        <v>2.19604</v>
      </c>
      <c r="FI103">
        <v>2.66235</v>
      </c>
      <c r="FJ103">
        <v>2.4462899999999999</v>
      </c>
      <c r="FK103">
        <v>2.2888199999999999</v>
      </c>
      <c r="FL103">
        <v>30.48</v>
      </c>
      <c r="FM103">
        <v>24.157499999999999</v>
      </c>
      <c r="FN103">
        <v>19</v>
      </c>
      <c r="FO103">
        <v>864.33900000000006</v>
      </c>
      <c r="FP103">
        <v>587.29399999999998</v>
      </c>
      <c r="FQ103">
        <v>18.538599999999999</v>
      </c>
      <c r="FR103">
        <v>25.1431</v>
      </c>
      <c r="FS103">
        <v>30</v>
      </c>
      <c r="FT103">
        <v>25.138400000000001</v>
      </c>
      <c r="FU103">
        <v>25.1401</v>
      </c>
      <c r="FV103">
        <v>24.787299999999998</v>
      </c>
      <c r="FW103">
        <v>34.0319</v>
      </c>
      <c r="FX103">
        <v>28.507400000000001</v>
      </c>
      <c r="FY103">
        <v>18.5382</v>
      </c>
      <c r="FZ103">
        <v>410</v>
      </c>
      <c r="GA103">
        <v>14.8308</v>
      </c>
      <c r="GB103">
        <v>99.877899999999997</v>
      </c>
      <c r="GC103">
        <v>99.524000000000001</v>
      </c>
    </row>
    <row r="104" spans="1:185" x14ac:dyDescent="0.2">
      <c r="A104">
        <v>89</v>
      </c>
      <c r="B104">
        <v>1769184582.0999999</v>
      </c>
      <c r="C104">
        <v>1719.0999999046301</v>
      </c>
      <c r="D104" t="s">
        <v>473</v>
      </c>
      <c r="E104" t="s">
        <v>474</v>
      </c>
      <c r="F104">
        <v>15</v>
      </c>
      <c r="G104">
        <v>1769184573.5999999</v>
      </c>
      <c r="H104">
        <f t="shared" si="13"/>
        <v>-5.1255804330938546E-4</v>
      </c>
      <c r="I104">
        <v>0</v>
      </c>
      <c r="J104">
        <f t="shared" si="25"/>
        <v>-9.8000293471192435E-2</v>
      </c>
      <c r="K104">
        <f t="shared" si="14"/>
        <v>-2.5665955086747707</v>
      </c>
      <c r="L104">
        <f t="shared" si="15"/>
        <v>72.752655410032631</v>
      </c>
      <c r="M104">
        <f t="shared" si="16"/>
        <v>1.5961899238663351</v>
      </c>
      <c r="N104">
        <f t="shared" si="17"/>
        <v>2.1939954148343288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26261.601486994819</v>
      </c>
      <c r="T104">
        <f t="shared" si="21"/>
        <v>99.999168749999995</v>
      </c>
      <c r="U104">
        <f t="shared" si="22"/>
        <v>84.298846560013061</v>
      </c>
      <c r="V104">
        <f t="shared" si="23"/>
        <v>0.842995473</v>
      </c>
      <c r="W104">
        <f t="shared" si="24"/>
        <v>0.15868863378000003</v>
      </c>
      <c r="X104">
        <v>1</v>
      </c>
      <c r="Y104">
        <v>1769184573.5999999</v>
      </c>
      <c r="Z104">
        <v>413.64049999999997</v>
      </c>
      <c r="AA104">
        <v>410.16718750000001</v>
      </c>
      <c r="AB104">
        <v>15.930400000000001</v>
      </c>
      <c r="AC104">
        <v>16.5609</v>
      </c>
      <c r="AD104">
        <v>414.68650000000002</v>
      </c>
      <c r="AE104">
        <v>15.82753125</v>
      </c>
      <c r="AF104">
        <v>799.98856249999994</v>
      </c>
      <c r="AG104">
        <v>100.13243749999999</v>
      </c>
      <c r="AH104">
        <v>6.5292868749999997E-2</v>
      </c>
      <c r="AI104">
        <v>18.918537499999999</v>
      </c>
      <c r="AJ104">
        <v>999.9</v>
      </c>
      <c r="AK104">
        <v>999.9</v>
      </c>
      <c r="AL104">
        <v>0</v>
      </c>
      <c r="AM104">
        <v>0</v>
      </c>
      <c r="AN104">
        <v>4999.5625</v>
      </c>
      <c r="AO104">
        <v>0</v>
      </c>
      <c r="AP104">
        <v>2.0237993749999998</v>
      </c>
      <c r="AQ104">
        <v>3.4733787500000002</v>
      </c>
      <c r="AR104">
        <v>420.33637499999998</v>
      </c>
      <c r="AS104">
        <v>417.07418749999999</v>
      </c>
      <c r="AT104">
        <v>-0.63049725000000001</v>
      </c>
      <c r="AU104">
        <v>410.16718750000001</v>
      </c>
      <c r="AV104">
        <v>16.5609</v>
      </c>
      <c r="AW104">
        <v>1.5951481249999999</v>
      </c>
      <c r="AX104">
        <v>1.6582825000000001</v>
      </c>
      <c r="AY104">
        <v>13.911518750000001</v>
      </c>
      <c r="AZ104">
        <v>14.51006875</v>
      </c>
      <c r="BA104">
        <v>99.999168749999995</v>
      </c>
      <c r="BB104">
        <v>0.90015162500000001</v>
      </c>
      <c r="BC104">
        <v>0</v>
      </c>
      <c r="BD104">
        <v>9.9848400000000004E-2</v>
      </c>
      <c r="BE104">
        <v>0</v>
      </c>
      <c r="BF104">
        <v>25</v>
      </c>
      <c r="BG104">
        <v>1648.93625</v>
      </c>
      <c r="BH104">
        <v>1769184227.0999999</v>
      </c>
      <c r="BI104" t="s">
        <v>438</v>
      </c>
      <c r="BJ104">
        <v>1769184227.0999999</v>
      </c>
      <c r="BK104">
        <v>1769184226.0999999</v>
      </c>
      <c r="BL104">
        <v>3</v>
      </c>
      <c r="BM104">
        <v>6.3E-2</v>
      </c>
      <c r="BN104">
        <v>-4.9000000000000002E-2</v>
      </c>
      <c r="BO104">
        <v>-1.046</v>
      </c>
      <c r="BP104">
        <v>0.10299999999999999</v>
      </c>
      <c r="BQ104">
        <v>410</v>
      </c>
      <c r="BR104">
        <v>15</v>
      </c>
      <c r="BS104">
        <v>0.22</v>
      </c>
      <c r="BT104">
        <v>0.08</v>
      </c>
      <c r="BU104">
        <v>4.5841095000000003</v>
      </c>
      <c r="BV104">
        <v>-20.934503007518799</v>
      </c>
      <c r="BW104">
        <v>2.0617884919493399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-0.90235120000000002</v>
      </c>
      <c r="CD104">
        <v>5.3324767218045199</v>
      </c>
      <c r="CE104">
        <v>0.51575406591607198</v>
      </c>
      <c r="CF104">
        <v>0</v>
      </c>
      <c r="CG104">
        <v>0</v>
      </c>
      <c r="CH104">
        <v>2</v>
      </c>
      <c r="CI104" t="s">
        <v>290</v>
      </c>
      <c r="CJ104">
        <v>3.5325000000000002</v>
      </c>
      <c r="CK104">
        <v>2.7030500000000002</v>
      </c>
      <c r="CL104">
        <v>9.8445099999999994E-2</v>
      </c>
      <c r="CM104">
        <v>9.6745200000000003E-2</v>
      </c>
      <c r="CN104">
        <v>9.0132599999999993E-2</v>
      </c>
      <c r="CO104">
        <v>8.9349700000000004E-2</v>
      </c>
      <c r="CP104">
        <v>31620.400000000001</v>
      </c>
      <c r="CQ104">
        <v>27763.1</v>
      </c>
      <c r="CR104">
        <v>32460.2</v>
      </c>
      <c r="CS104">
        <v>30662.2</v>
      </c>
      <c r="CT104">
        <v>39978.5</v>
      </c>
      <c r="CU104">
        <v>39245</v>
      </c>
      <c r="CV104">
        <v>47395.8</v>
      </c>
      <c r="CW104">
        <v>46747.9</v>
      </c>
      <c r="CX104">
        <v>2.6268199999999999</v>
      </c>
      <c r="CY104">
        <v>2.1514799999999998</v>
      </c>
      <c r="CZ104">
        <v>0</v>
      </c>
      <c r="DA104">
        <v>0</v>
      </c>
      <c r="DB104">
        <v>999.9</v>
      </c>
      <c r="DC104">
        <v>999.9</v>
      </c>
      <c r="DD104">
        <v>66.304000000000002</v>
      </c>
      <c r="DE104">
        <v>25.306999999999999</v>
      </c>
      <c r="DF104">
        <v>21.441299999999998</v>
      </c>
      <c r="DG104">
        <v>30.510100000000001</v>
      </c>
      <c r="DH104">
        <v>17.5962</v>
      </c>
      <c r="DI104">
        <v>2</v>
      </c>
      <c r="DJ104">
        <v>-0.14591100000000001</v>
      </c>
      <c r="DK104">
        <v>1.8085100000000001</v>
      </c>
      <c r="DL104">
        <v>20.234999999999999</v>
      </c>
      <c r="DM104">
        <v>5.2481999999999998</v>
      </c>
      <c r="DN104">
        <v>12.033899999999999</v>
      </c>
      <c r="DO104">
        <v>4.9669600000000003</v>
      </c>
      <c r="DP104">
        <v>3.2905799999999998</v>
      </c>
      <c r="DQ104">
        <v>9999</v>
      </c>
      <c r="DR104">
        <v>9999</v>
      </c>
      <c r="DS104">
        <v>534.4</v>
      </c>
      <c r="DT104">
        <v>9999</v>
      </c>
      <c r="DU104">
        <v>1.8710100000000001</v>
      </c>
      <c r="DV104">
        <v>1.8760699999999999</v>
      </c>
      <c r="DW104">
        <v>1.87622</v>
      </c>
      <c r="DX104">
        <v>1.8827799999999999</v>
      </c>
      <c r="DY104">
        <v>1.87551</v>
      </c>
      <c r="DZ104">
        <v>1.87456</v>
      </c>
      <c r="EA104">
        <v>1.87073</v>
      </c>
      <c r="EB104">
        <v>1.87459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-1.046</v>
      </c>
      <c r="EQ104">
        <v>0.1028</v>
      </c>
      <c r="ER104">
        <v>-1.04590000000007</v>
      </c>
      <c r="ES104">
        <v>0</v>
      </c>
      <c r="ET104">
        <v>0</v>
      </c>
      <c r="EU104">
        <v>0</v>
      </c>
      <c r="EV104">
        <v>0.102854545454546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5.9</v>
      </c>
      <c r="FE104">
        <v>5.9</v>
      </c>
      <c r="FF104">
        <v>1.2365699999999999</v>
      </c>
      <c r="FG104">
        <v>2.5585900000000001</v>
      </c>
      <c r="FH104">
        <v>2.19604</v>
      </c>
      <c r="FI104">
        <v>2.66113</v>
      </c>
      <c r="FJ104">
        <v>2.4462899999999999</v>
      </c>
      <c r="FK104">
        <v>2.2778299999999998</v>
      </c>
      <c r="FL104">
        <v>30.566199999999998</v>
      </c>
      <c r="FM104">
        <v>24.157499999999999</v>
      </c>
      <c r="FN104">
        <v>19</v>
      </c>
      <c r="FO104">
        <v>863.59199999999998</v>
      </c>
      <c r="FP104">
        <v>589.01800000000003</v>
      </c>
      <c r="FQ104">
        <v>18.206600000000002</v>
      </c>
      <c r="FR104">
        <v>25.165500000000002</v>
      </c>
      <c r="FS104">
        <v>30.000299999999999</v>
      </c>
      <c r="FT104">
        <v>25.163399999999999</v>
      </c>
      <c r="FU104">
        <v>25.1629</v>
      </c>
      <c r="FV104">
        <v>24.816700000000001</v>
      </c>
      <c r="FW104">
        <v>29.5535</v>
      </c>
      <c r="FX104">
        <v>26.988299999999999</v>
      </c>
      <c r="FY104">
        <v>18.255500000000001</v>
      </c>
      <c r="FZ104">
        <v>410</v>
      </c>
      <c r="GA104">
        <v>15.7684</v>
      </c>
      <c r="GB104">
        <v>99.877899999999997</v>
      </c>
      <c r="GC104">
        <v>99.527199999999993</v>
      </c>
    </row>
    <row r="105" spans="1:185" x14ac:dyDescent="0.2">
      <c r="A105">
        <v>90</v>
      </c>
      <c r="B105">
        <v>1769184597.0999999</v>
      </c>
      <c r="C105">
        <v>1734.0999999046301</v>
      </c>
      <c r="D105" t="s">
        <v>475</v>
      </c>
      <c r="E105" t="s">
        <v>476</v>
      </c>
      <c r="F105">
        <v>15</v>
      </c>
      <c r="G105">
        <v>1769184589.03333</v>
      </c>
      <c r="H105">
        <f t="shared" si="13"/>
        <v>1.9142184412523276E-4</v>
      </c>
      <c r="I105">
        <v>0</v>
      </c>
      <c r="J105">
        <f t="shared" si="25"/>
        <v>-3.6911701144110194E-2</v>
      </c>
      <c r="K105">
        <f t="shared" si="14"/>
        <v>-0.96670533340664999</v>
      </c>
      <c r="L105">
        <f t="shared" si="15"/>
        <v>73.409185823721984</v>
      </c>
      <c r="M105">
        <f t="shared" si="16"/>
        <v>1.6103068186593341</v>
      </c>
      <c r="N105">
        <f t="shared" si="17"/>
        <v>2.193603975565368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26298.406389903324</v>
      </c>
      <c r="T105">
        <f t="shared" si="21"/>
        <v>99.999120000000005</v>
      </c>
      <c r="U105">
        <f t="shared" si="22"/>
        <v>84.298798284046981</v>
      </c>
      <c r="V105">
        <f t="shared" si="23"/>
        <v>0.84299540120000027</v>
      </c>
      <c r="W105">
        <f t="shared" si="24"/>
        <v>0.15868845103200005</v>
      </c>
      <c r="X105">
        <v>1</v>
      </c>
      <c r="Y105">
        <v>1769184589.03333</v>
      </c>
      <c r="Z105">
        <v>411.19186666666701</v>
      </c>
      <c r="AA105">
        <v>410.081866666667</v>
      </c>
      <c r="AB105">
        <v>16.07132</v>
      </c>
      <c r="AC105">
        <v>15.835886666666701</v>
      </c>
      <c r="AD105">
        <v>412.23773333333298</v>
      </c>
      <c r="AE105">
        <v>15.9684733333333</v>
      </c>
      <c r="AF105">
        <v>799.99480000000005</v>
      </c>
      <c r="AG105">
        <v>100.13200000000001</v>
      </c>
      <c r="AH105">
        <v>6.55456066666667E-2</v>
      </c>
      <c r="AI105">
        <v>18.915679999999998</v>
      </c>
      <c r="AJ105">
        <v>999.9</v>
      </c>
      <c r="AK105">
        <v>999.9</v>
      </c>
      <c r="AL105">
        <v>0</v>
      </c>
      <c r="AM105">
        <v>0</v>
      </c>
      <c r="AN105">
        <v>5005.6000000000004</v>
      </c>
      <c r="AO105">
        <v>0</v>
      </c>
      <c r="AP105">
        <v>2.0126019999999998</v>
      </c>
      <c r="AQ105">
        <v>1.1100397333333301</v>
      </c>
      <c r="AR105">
        <v>417.90833333333302</v>
      </c>
      <c r="AS105">
        <v>416.68046666666697</v>
      </c>
      <c r="AT105">
        <v>0.23543934733333299</v>
      </c>
      <c r="AU105">
        <v>410.081866666667</v>
      </c>
      <c r="AV105">
        <v>15.835886666666701</v>
      </c>
      <c r="AW105">
        <v>1.6092533333333301</v>
      </c>
      <c r="AX105">
        <v>1.5856793333333301</v>
      </c>
      <c r="AY105">
        <v>14.047693333333299</v>
      </c>
      <c r="AZ105">
        <v>13.819419999999999</v>
      </c>
      <c r="BA105">
        <v>99.999120000000005</v>
      </c>
      <c r="BB105">
        <v>0.90015406666666697</v>
      </c>
      <c r="BC105">
        <v>0</v>
      </c>
      <c r="BD105">
        <v>9.9845959999999997E-2</v>
      </c>
      <c r="BE105">
        <v>0</v>
      </c>
      <c r="BF105">
        <v>25</v>
      </c>
      <c r="BG105">
        <v>1648.9373333333299</v>
      </c>
      <c r="BH105">
        <v>1769184227.0999999</v>
      </c>
      <c r="BI105" t="s">
        <v>438</v>
      </c>
      <c r="BJ105">
        <v>1769184227.0999999</v>
      </c>
      <c r="BK105">
        <v>1769184226.0999999</v>
      </c>
      <c r="BL105">
        <v>3</v>
      </c>
      <c r="BM105">
        <v>6.3E-2</v>
      </c>
      <c r="BN105">
        <v>-4.9000000000000002E-2</v>
      </c>
      <c r="BO105">
        <v>-1.046</v>
      </c>
      <c r="BP105">
        <v>0.10299999999999999</v>
      </c>
      <c r="BQ105">
        <v>410</v>
      </c>
      <c r="BR105">
        <v>15</v>
      </c>
      <c r="BS105">
        <v>0.22</v>
      </c>
      <c r="BT105">
        <v>0.08</v>
      </c>
      <c r="BU105">
        <v>1.53796219047619</v>
      </c>
      <c r="BV105">
        <v>-6.3523046493506499</v>
      </c>
      <c r="BW105">
        <v>0.65972682174508301</v>
      </c>
      <c r="BX105">
        <v>0</v>
      </c>
      <c r="BY105">
        <v>0</v>
      </c>
      <c r="BZ105">
        <v>0</v>
      </c>
      <c r="CA105">
        <v>0</v>
      </c>
      <c r="CB105">
        <v>-1</v>
      </c>
      <c r="CC105">
        <v>5.4198771904761897E-2</v>
      </c>
      <c r="CD105">
        <v>2.7374562529870099</v>
      </c>
      <c r="CE105">
        <v>0.279286740263964</v>
      </c>
      <c r="CF105">
        <v>0</v>
      </c>
      <c r="CG105">
        <v>0</v>
      </c>
      <c r="CH105">
        <v>2</v>
      </c>
      <c r="CI105" t="s">
        <v>290</v>
      </c>
      <c r="CJ105">
        <v>3.5324800000000001</v>
      </c>
      <c r="CK105">
        <v>2.7033800000000001</v>
      </c>
      <c r="CL105">
        <v>9.82262E-2</v>
      </c>
      <c r="CM105">
        <v>9.6719799999999995E-2</v>
      </c>
      <c r="CN105">
        <v>8.9784600000000006E-2</v>
      </c>
      <c r="CO105">
        <v>8.6910799999999996E-2</v>
      </c>
      <c r="CP105">
        <v>31627.3</v>
      </c>
      <c r="CQ105">
        <v>27763.8</v>
      </c>
      <c r="CR105">
        <v>32459.4</v>
      </c>
      <c r="CS105">
        <v>30662.3</v>
      </c>
      <c r="CT105">
        <v>39993.300000000003</v>
      </c>
      <c r="CU105">
        <v>39353.199999999997</v>
      </c>
      <c r="CV105">
        <v>47394.6</v>
      </c>
      <c r="CW105">
        <v>46747.4</v>
      </c>
      <c r="CX105">
        <v>2.6277400000000002</v>
      </c>
      <c r="CY105">
        <v>2.1501199999999998</v>
      </c>
      <c r="CZ105">
        <v>0</v>
      </c>
      <c r="DA105">
        <v>0</v>
      </c>
      <c r="DB105">
        <v>999.9</v>
      </c>
      <c r="DC105">
        <v>999.9</v>
      </c>
      <c r="DD105">
        <v>66.212999999999994</v>
      </c>
      <c r="DE105">
        <v>25.327000000000002</v>
      </c>
      <c r="DF105">
        <v>21.438199999999998</v>
      </c>
      <c r="DG105">
        <v>30.450099999999999</v>
      </c>
      <c r="DH105">
        <v>17.652200000000001</v>
      </c>
      <c r="DI105">
        <v>2</v>
      </c>
      <c r="DJ105">
        <v>-0.14566100000000001</v>
      </c>
      <c r="DK105">
        <v>1.6288199999999999</v>
      </c>
      <c r="DL105">
        <v>20.2378</v>
      </c>
      <c r="DM105">
        <v>5.2517899999999997</v>
      </c>
      <c r="DN105">
        <v>12.033899999999999</v>
      </c>
      <c r="DO105">
        <v>4.9676400000000003</v>
      </c>
      <c r="DP105">
        <v>3.2909999999999999</v>
      </c>
      <c r="DQ105">
        <v>9999</v>
      </c>
      <c r="DR105">
        <v>9999</v>
      </c>
      <c r="DS105">
        <v>534.4</v>
      </c>
      <c r="DT105">
        <v>9999</v>
      </c>
      <c r="DU105">
        <v>1.87103</v>
      </c>
      <c r="DV105">
        <v>1.8760699999999999</v>
      </c>
      <c r="DW105">
        <v>1.8762300000000001</v>
      </c>
      <c r="DX105">
        <v>1.8827799999999999</v>
      </c>
      <c r="DY105">
        <v>1.8754999999999999</v>
      </c>
      <c r="DZ105">
        <v>1.8745700000000001</v>
      </c>
      <c r="EA105">
        <v>1.87073</v>
      </c>
      <c r="EB105">
        <v>1.87456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-1.046</v>
      </c>
      <c r="EQ105">
        <v>0.10290000000000001</v>
      </c>
      <c r="ER105">
        <v>-1.04590000000007</v>
      </c>
      <c r="ES105">
        <v>0</v>
      </c>
      <c r="ET105">
        <v>0</v>
      </c>
      <c r="EU105">
        <v>0</v>
      </c>
      <c r="EV105">
        <v>0.102854545454546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6.2</v>
      </c>
      <c r="FE105">
        <v>6.2</v>
      </c>
      <c r="FF105">
        <v>1.2365699999999999</v>
      </c>
      <c r="FG105">
        <v>2.5549300000000001</v>
      </c>
      <c r="FH105">
        <v>2.19604</v>
      </c>
      <c r="FI105">
        <v>2.66113</v>
      </c>
      <c r="FJ105">
        <v>2.4462899999999999</v>
      </c>
      <c r="FK105">
        <v>2.323</v>
      </c>
      <c r="FL105">
        <v>30.566199999999998</v>
      </c>
      <c r="FM105">
        <v>24.157499999999999</v>
      </c>
      <c r="FN105">
        <v>19</v>
      </c>
      <c r="FO105">
        <v>864.50699999999995</v>
      </c>
      <c r="FP105">
        <v>588.00699999999995</v>
      </c>
      <c r="FQ105">
        <v>18.375699999999998</v>
      </c>
      <c r="FR105">
        <v>25.171099999999999</v>
      </c>
      <c r="FS105">
        <v>30</v>
      </c>
      <c r="FT105">
        <v>25.167200000000001</v>
      </c>
      <c r="FU105">
        <v>25.167100000000001</v>
      </c>
      <c r="FV105">
        <v>24.811699999999998</v>
      </c>
      <c r="FW105">
        <v>31.299499999999998</v>
      </c>
      <c r="FX105">
        <v>26.613499999999998</v>
      </c>
      <c r="FY105">
        <v>18.432600000000001</v>
      </c>
      <c r="FZ105">
        <v>410</v>
      </c>
      <c r="GA105">
        <v>15.3398</v>
      </c>
      <c r="GB105">
        <v>99.875399999999999</v>
      </c>
      <c r="GC105">
        <v>99.526700000000005</v>
      </c>
    </row>
    <row r="106" spans="1:185" x14ac:dyDescent="0.2">
      <c r="A106">
        <v>91</v>
      </c>
      <c r="B106">
        <v>1769184612.0999999</v>
      </c>
      <c r="C106">
        <v>1749.0999999046301</v>
      </c>
      <c r="D106" t="s">
        <v>477</v>
      </c>
      <c r="E106" t="s">
        <v>478</v>
      </c>
      <c r="F106">
        <v>15</v>
      </c>
      <c r="G106">
        <v>1769184604.03333</v>
      </c>
      <c r="H106">
        <f t="shared" si="13"/>
        <v>4.4280270228378333E-4</v>
      </c>
      <c r="I106">
        <v>0</v>
      </c>
      <c r="J106">
        <f t="shared" si="25"/>
        <v>-1.572102621351008E-2</v>
      </c>
      <c r="K106">
        <f t="shared" si="14"/>
        <v>-0.41172851470301164</v>
      </c>
      <c r="L106">
        <f t="shared" si="15"/>
        <v>72.727327238207025</v>
      </c>
      <c r="M106">
        <f t="shared" si="16"/>
        <v>1.596559981792643</v>
      </c>
      <c r="N106">
        <f t="shared" si="17"/>
        <v>2.1952683295556286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26233.87404041395</v>
      </c>
      <c r="T106">
        <f t="shared" si="21"/>
        <v>100.000353333333</v>
      </c>
      <c r="U106">
        <f t="shared" si="22"/>
        <v>84.299980438878137</v>
      </c>
      <c r="V106">
        <f t="shared" si="23"/>
        <v>0.84299682579999968</v>
      </c>
      <c r="W106">
        <f t="shared" si="24"/>
        <v>0.15869231134799994</v>
      </c>
      <c r="X106">
        <v>1</v>
      </c>
      <c r="Y106">
        <v>1769184604.03333</v>
      </c>
      <c r="Z106">
        <v>410.34766666666701</v>
      </c>
      <c r="AA106">
        <v>410.060133333333</v>
      </c>
      <c r="AB106">
        <v>15.934086666666699</v>
      </c>
      <c r="AC106">
        <v>15.3894</v>
      </c>
      <c r="AD106">
        <v>411.39353333333298</v>
      </c>
      <c r="AE106">
        <v>15.83122</v>
      </c>
      <c r="AF106">
        <v>799.99580000000003</v>
      </c>
      <c r="AG106">
        <v>100.132466666667</v>
      </c>
      <c r="AH106">
        <v>6.5305266666666695E-2</v>
      </c>
      <c r="AI106">
        <v>18.9278266666667</v>
      </c>
      <c r="AJ106">
        <v>999.9</v>
      </c>
      <c r="AK106">
        <v>999.9</v>
      </c>
      <c r="AL106">
        <v>0</v>
      </c>
      <c r="AM106">
        <v>0</v>
      </c>
      <c r="AN106">
        <v>4995.1333333333296</v>
      </c>
      <c r="AO106">
        <v>0</v>
      </c>
      <c r="AP106">
        <v>2.0325500000000001</v>
      </c>
      <c r="AQ106">
        <v>0.28745720000000002</v>
      </c>
      <c r="AR106">
        <v>416.99193333333301</v>
      </c>
      <c r="AS106">
        <v>416.46940000000001</v>
      </c>
      <c r="AT106">
        <v>0.54467719999999997</v>
      </c>
      <c r="AU106">
        <v>410.060133333333</v>
      </c>
      <c r="AV106">
        <v>15.3894</v>
      </c>
      <c r="AW106">
        <v>1.5955159999999999</v>
      </c>
      <c r="AX106">
        <v>1.54097666666667</v>
      </c>
      <c r="AY106">
        <v>13.915506666666699</v>
      </c>
      <c r="AZ106">
        <v>13.380613333333301</v>
      </c>
      <c r="BA106">
        <v>100.000353333333</v>
      </c>
      <c r="BB106">
        <v>0.900102133333333</v>
      </c>
      <c r="BC106">
        <v>0</v>
      </c>
      <c r="BD106">
        <v>9.9897739999999999E-2</v>
      </c>
      <c r="BE106">
        <v>0</v>
      </c>
      <c r="BF106">
        <v>25</v>
      </c>
      <c r="BG106">
        <v>1648.934</v>
      </c>
      <c r="BH106">
        <v>1769184227.0999999</v>
      </c>
      <c r="BI106" t="s">
        <v>438</v>
      </c>
      <c r="BJ106">
        <v>1769184227.0999999</v>
      </c>
      <c r="BK106">
        <v>1769184226.0999999</v>
      </c>
      <c r="BL106">
        <v>3</v>
      </c>
      <c r="BM106">
        <v>6.3E-2</v>
      </c>
      <c r="BN106">
        <v>-4.9000000000000002E-2</v>
      </c>
      <c r="BO106">
        <v>-1.046</v>
      </c>
      <c r="BP106">
        <v>0.10299999999999999</v>
      </c>
      <c r="BQ106">
        <v>410</v>
      </c>
      <c r="BR106">
        <v>15</v>
      </c>
      <c r="BS106">
        <v>0.22</v>
      </c>
      <c r="BT106">
        <v>0.08</v>
      </c>
      <c r="BU106">
        <v>0.42927471428571401</v>
      </c>
      <c r="BV106">
        <v>-2.5581146493506499</v>
      </c>
      <c r="BW106">
        <v>0.26435796516288501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0.50135552380952397</v>
      </c>
      <c r="CD106">
        <v>0.82261137662337702</v>
      </c>
      <c r="CE106">
        <v>8.4501332769212803E-2</v>
      </c>
      <c r="CF106">
        <v>0</v>
      </c>
      <c r="CG106">
        <v>0</v>
      </c>
      <c r="CH106">
        <v>2</v>
      </c>
      <c r="CI106" t="s">
        <v>290</v>
      </c>
      <c r="CJ106">
        <v>3.5325500000000001</v>
      </c>
      <c r="CK106">
        <v>2.7028400000000001</v>
      </c>
      <c r="CL106">
        <v>9.8134399999999997E-2</v>
      </c>
      <c r="CM106">
        <v>9.6717800000000007E-2</v>
      </c>
      <c r="CN106">
        <v>8.9062500000000003E-2</v>
      </c>
      <c r="CO106">
        <v>8.5555699999999998E-2</v>
      </c>
      <c r="CP106">
        <v>31630.6</v>
      </c>
      <c r="CQ106">
        <v>27763.9</v>
      </c>
      <c r="CR106">
        <v>32459.5</v>
      </c>
      <c r="CS106">
        <v>30662.400000000001</v>
      </c>
      <c r="CT106">
        <v>40026.400000000001</v>
      </c>
      <c r="CU106">
        <v>39414</v>
      </c>
      <c r="CV106">
        <v>47394.9</v>
      </c>
      <c r="CW106">
        <v>46748</v>
      </c>
      <c r="CX106">
        <v>2.62792</v>
      </c>
      <c r="CY106">
        <v>2.1491600000000002</v>
      </c>
      <c r="CZ106">
        <v>0</v>
      </c>
      <c r="DA106">
        <v>0</v>
      </c>
      <c r="DB106">
        <v>999.9</v>
      </c>
      <c r="DC106">
        <v>999.9</v>
      </c>
      <c r="DD106">
        <v>66.114999999999995</v>
      </c>
      <c r="DE106">
        <v>25.337</v>
      </c>
      <c r="DF106">
        <v>21.419699999999999</v>
      </c>
      <c r="DG106">
        <v>30.690100000000001</v>
      </c>
      <c r="DH106">
        <v>17.6082</v>
      </c>
      <c r="DI106">
        <v>2</v>
      </c>
      <c r="DJ106">
        <v>-0.145372</v>
      </c>
      <c r="DK106">
        <v>1.5115499999999999</v>
      </c>
      <c r="DL106">
        <v>20.238499999999998</v>
      </c>
      <c r="DM106">
        <v>5.2486800000000002</v>
      </c>
      <c r="DN106">
        <v>12.033899999999999</v>
      </c>
      <c r="DO106">
        <v>4.9671200000000004</v>
      </c>
      <c r="DP106">
        <v>3.2906399999999998</v>
      </c>
      <c r="DQ106">
        <v>9999</v>
      </c>
      <c r="DR106">
        <v>9999</v>
      </c>
      <c r="DS106">
        <v>534.4</v>
      </c>
      <c r="DT106">
        <v>9999</v>
      </c>
      <c r="DU106">
        <v>1.8710100000000001</v>
      </c>
      <c r="DV106">
        <v>1.8760600000000001</v>
      </c>
      <c r="DW106">
        <v>1.87622</v>
      </c>
      <c r="DX106">
        <v>1.8827799999999999</v>
      </c>
      <c r="DY106">
        <v>1.8755200000000001</v>
      </c>
      <c r="DZ106">
        <v>1.8745499999999999</v>
      </c>
      <c r="EA106">
        <v>1.87073</v>
      </c>
      <c r="EB106">
        <v>1.87456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-1.046</v>
      </c>
      <c r="EQ106">
        <v>0.1028</v>
      </c>
      <c r="ER106">
        <v>-1.04590000000007</v>
      </c>
      <c r="ES106">
        <v>0</v>
      </c>
      <c r="ET106">
        <v>0</v>
      </c>
      <c r="EU106">
        <v>0</v>
      </c>
      <c r="EV106">
        <v>0.102854545454546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6.4</v>
      </c>
      <c r="FE106">
        <v>6.4</v>
      </c>
      <c r="FF106">
        <v>1.2353499999999999</v>
      </c>
      <c r="FG106">
        <v>2.5585900000000001</v>
      </c>
      <c r="FH106">
        <v>2.19604</v>
      </c>
      <c r="FI106">
        <v>2.66113</v>
      </c>
      <c r="FJ106">
        <v>2.4462899999999999</v>
      </c>
      <c r="FK106">
        <v>2.2753899999999998</v>
      </c>
      <c r="FL106">
        <v>30.587700000000002</v>
      </c>
      <c r="FM106">
        <v>24.157499999999999</v>
      </c>
      <c r="FN106">
        <v>19</v>
      </c>
      <c r="FO106">
        <v>864.74900000000002</v>
      </c>
      <c r="FP106">
        <v>587.31799999999998</v>
      </c>
      <c r="FQ106">
        <v>18.5396</v>
      </c>
      <c r="FR106">
        <v>25.177</v>
      </c>
      <c r="FS106">
        <v>30.0002</v>
      </c>
      <c r="FT106">
        <v>25.171800000000001</v>
      </c>
      <c r="FU106">
        <v>25.1721</v>
      </c>
      <c r="FV106">
        <v>24.802199999999999</v>
      </c>
      <c r="FW106">
        <v>32.494599999999998</v>
      </c>
      <c r="FX106">
        <v>26.235299999999999</v>
      </c>
      <c r="FY106">
        <v>18.584</v>
      </c>
      <c r="FZ106">
        <v>410</v>
      </c>
      <c r="GA106">
        <v>15.0631</v>
      </c>
      <c r="GB106">
        <v>99.876000000000005</v>
      </c>
      <c r="GC106">
        <v>99.527699999999996</v>
      </c>
    </row>
    <row r="107" spans="1:185" x14ac:dyDescent="0.2">
      <c r="A107">
        <v>92</v>
      </c>
      <c r="B107">
        <v>1769184627.0999999</v>
      </c>
      <c r="C107">
        <v>1764.0999999046301</v>
      </c>
      <c r="D107" t="s">
        <v>479</v>
      </c>
      <c r="E107" t="s">
        <v>480</v>
      </c>
      <c r="F107">
        <v>15</v>
      </c>
      <c r="G107">
        <v>1769184619.03333</v>
      </c>
      <c r="H107">
        <f t="shared" si="13"/>
        <v>5.306916933527151E-4</v>
      </c>
      <c r="I107">
        <v>0</v>
      </c>
      <c r="J107">
        <f t="shared" si="25"/>
        <v>-8.770865696544769E-3</v>
      </c>
      <c r="K107">
        <f t="shared" si="14"/>
        <v>-0.22970609277367818</v>
      </c>
      <c r="L107">
        <f t="shared" si="15"/>
        <v>71.850245036318853</v>
      </c>
      <c r="M107">
        <f t="shared" si="16"/>
        <v>1.5797622021819488</v>
      </c>
      <c r="N107">
        <f t="shared" si="17"/>
        <v>2.1986872854552004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26280.345758945303</v>
      </c>
      <c r="T107">
        <f t="shared" si="21"/>
        <v>100.000046666667</v>
      </c>
      <c r="U107">
        <f t="shared" si="22"/>
        <v>84.299631779810085</v>
      </c>
      <c r="V107">
        <f t="shared" si="23"/>
        <v>0.84299592439999993</v>
      </c>
      <c r="W107">
        <f t="shared" si="24"/>
        <v>0.15869009682400001</v>
      </c>
      <c r="X107">
        <v>1</v>
      </c>
      <c r="Y107">
        <v>1769184619.03333</v>
      </c>
      <c r="Z107">
        <v>410.02986666666698</v>
      </c>
      <c r="AA107">
        <v>410.01473333333303</v>
      </c>
      <c r="AB107">
        <v>15.766486666666699</v>
      </c>
      <c r="AC107">
        <v>15.113580000000001</v>
      </c>
      <c r="AD107">
        <v>411.07586666666703</v>
      </c>
      <c r="AE107">
        <v>15.6636333333333</v>
      </c>
      <c r="AF107">
        <v>799.99879999999996</v>
      </c>
      <c r="AG107">
        <v>100.1322</v>
      </c>
      <c r="AH107">
        <v>6.5278080000000002E-2</v>
      </c>
      <c r="AI107">
        <v>18.952753333333298</v>
      </c>
      <c r="AJ107">
        <v>999.9</v>
      </c>
      <c r="AK107">
        <v>999.9</v>
      </c>
      <c r="AL107">
        <v>0</v>
      </c>
      <c r="AM107">
        <v>0</v>
      </c>
      <c r="AN107">
        <v>5003.1666666666697</v>
      </c>
      <c r="AO107">
        <v>0</v>
      </c>
      <c r="AP107">
        <v>2.0325500000000001</v>
      </c>
      <c r="AQ107">
        <v>1.52628373333333E-2</v>
      </c>
      <c r="AR107">
        <v>416.59826666666697</v>
      </c>
      <c r="AS107">
        <v>416.3066</v>
      </c>
      <c r="AT107">
        <v>0.65290979999999998</v>
      </c>
      <c r="AU107">
        <v>410.01473333333303</v>
      </c>
      <c r="AV107">
        <v>15.113580000000001</v>
      </c>
      <c r="AW107">
        <v>1.5787313333333299</v>
      </c>
      <c r="AX107">
        <v>1.5133553333333301</v>
      </c>
      <c r="AY107">
        <v>13.752700000000001</v>
      </c>
      <c r="AZ107">
        <v>13.103633333333301</v>
      </c>
      <c r="BA107">
        <v>100.000046666667</v>
      </c>
      <c r="BB107">
        <v>0.90013160000000003</v>
      </c>
      <c r="BC107">
        <v>0</v>
      </c>
      <c r="BD107">
        <v>9.9868253333333296E-2</v>
      </c>
      <c r="BE107">
        <v>0</v>
      </c>
      <c r="BF107">
        <v>25</v>
      </c>
      <c r="BG107">
        <v>1648.94066666667</v>
      </c>
      <c r="BH107">
        <v>1769184227.0999999</v>
      </c>
      <c r="BI107" t="s">
        <v>438</v>
      </c>
      <c r="BJ107">
        <v>1769184227.0999999</v>
      </c>
      <c r="BK107">
        <v>1769184226.0999999</v>
      </c>
      <c r="BL107">
        <v>3</v>
      </c>
      <c r="BM107">
        <v>6.3E-2</v>
      </c>
      <c r="BN107">
        <v>-4.9000000000000002E-2</v>
      </c>
      <c r="BO107">
        <v>-1.046</v>
      </c>
      <c r="BP107">
        <v>0.10299999999999999</v>
      </c>
      <c r="BQ107">
        <v>410</v>
      </c>
      <c r="BR107">
        <v>15</v>
      </c>
      <c r="BS107">
        <v>0.22</v>
      </c>
      <c r="BT107">
        <v>0.08</v>
      </c>
      <c r="BU107">
        <v>6.5114317142857106E-2</v>
      </c>
      <c r="BV107">
        <v>-0.79813012987012899</v>
      </c>
      <c r="BW107">
        <v>8.13925050761823E-2</v>
      </c>
      <c r="BX107">
        <v>0</v>
      </c>
      <c r="BY107">
        <v>0</v>
      </c>
      <c r="BZ107">
        <v>0</v>
      </c>
      <c r="CA107">
        <v>0</v>
      </c>
      <c r="CB107">
        <v>-1</v>
      </c>
      <c r="CC107">
        <v>0.63195680952380995</v>
      </c>
      <c r="CD107">
        <v>0.325200077922079</v>
      </c>
      <c r="CE107">
        <v>3.4229190709544798E-2</v>
      </c>
      <c r="CF107">
        <v>0</v>
      </c>
      <c r="CG107">
        <v>0</v>
      </c>
      <c r="CH107">
        <v>2</v>
      </c>
      <c r="CI107" t="s">
        <v>290</v>
      </c>
      <c r="CJ107">
        <v>3.5325299999999999</v>
      </c>
      <c r="CK107">
        <v>2.7031499999999999</v>
      </c>
      <c r="CL107">
        <v>9.8093100000000003E-2</v>
      </c>
      <c r="CM107">
        <v>9.6707799999999997E-2</v>
      </c>
      <c r="CN107">
        <v>8.8386599999999996E-2</v>
      </c>
      <c r="CO107">
        <v>8.4698300000000004E-2</v>
      </c>
      <c r="CP107">
        <v>31631.5</v>
      </c>
      <c r="CQ107">
        <v>27764</v>
      </c>
      <c r="CR107">
        <v>32459</v>
      </c>
      <c r="CS107">
        <v>30662.1</v>
      </c>
      <c r="CT107">
        <v>40056.699999999997</v>
      </c>
      <c r="CU107">
        <v>39451.699999999997</v>
      </c>
      <c r="CV107">
        <v>47394.5</v>
      </c>
      <c r="CW107">
        <v>46747.6</v>
      </c>
      <c r="CX107">
        <v>2.6277200000000001</v>
      </c>
      <c r="CY107">
        <v>2.1480199999999998</v>
      </c>
      <c r="CZ107">
        <v>0</v>
      </c>
      <c r="DA107">
        <v>0</v>
      </c>
      <c r="DB107">
        <v>999.9</v>
      </c>
      <c r="DC107">
        <v>999.9</v>
      </c>
      <c r="DD107">
        <v>66.018000000000001</v>
      </c>
      <c r="DE107">
        <v>25.347000000000001</v>
      </c>
      <c r="DF107">
        <v>21.401199999999999</v>
      </c>
      <c r="DG107">
        <v>30.420100000000001</v>
      </c>
      <c r="DH107">
        <v>17.688300000000002</v>
      </c>
      <c r="DI107">
        <v>2</v>
      </c>
      <c r="DJ107">
        <v>-0.14477000000000001</v>
      </c>
      <c r="DK107">
        <v>1.50454</v>
      </c>
      <c r="DL107">
        <v>20.239100000000001</v>
      </c>
      <c r="DM107">
        <v>5.2516699999999998</v>
      </c>
      <c r="DN107">
        <v>12.033899999999999</v>
      </c>
      <c r="DO107">
        <v>4.9674399999999999</v>
      </c>
      <c r="DP107">
        <v>3.2909999999999999</v>
      </c>
      <c r="DQ107">
        <v>9999</v>
      </c>
      <c r="DR107">
        <v>9999</v>
      </c>
      <c r="DS107">
        <v>534.5</v>
      </c>
      <c r="DT107">
        <v>9999</v>
      </c>
      <c r="DU107">
        <v>1.8710199999999999</v>
      </c>
      <c r="DV107">
        <v>1.8760699999999999</v>
      </c>
      <c r="DW107">
        <v>1.8762300000000001</v>
      </c>
      <c r="DX107">
        <v>1.8827799999999999</v>
      </c>
      <c r="DY107">
        <v>1.87551</v>
      </c>
      <c r="DZ107">
        <v>1.87456</v>
      </c>
      <c r="EA107">
        <v>1.87073</v>
      </c>
      <c r="EB107">
        <v>1.87462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-1.046</v>
      </c>
      <c r="EQ107">
        <v>0.1028</v>
      </c>
      <c r="ER107">
        <v>-1.04590000000007</v>
      </c>
      <c r="ES107">
        <v>0</v>
      </c>
      <c r="ET107">
        <v>0</v>
      </c>
      <c r="EU107">
        <v>0</v>
      </c>
      <c r="EV107">
        <v>0.102854545454546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6.7</v>
      </c>
      <c r="FE107">
        <v>6.7</v>
      </c>
      <c r="FF107">
        <v>1.2353499999999999</v>
      </c>
      <c r="FG107">
        <v>2.5610400000000002</v>
      </c>
      <c r="FH107">
        <v>2.19604</v>
      </c>
      <c r="FI107">
        <v>2.66113</v>
      </c>
      <c r="FJ107">
        <v>2.4462899999999999</v>
      </c>
      <c r="FK107">
        <v>2.2997999999999998</v>
      </c>
      <c r="FL107">
        <v>30.609300000000001</v>
      </c>
      <c r="FM107">
        <v>24.157499999999999</v>
      </c>
      <c r="FN107">
        <v>19</v>
      </c>
      <c r="FO107">
        <v>864.63099999999997</v>
      </c>
      <c r="FP107">
        <v>586.48500000000001</v>
      </c>
      <c r="FQ107">
        <v>18.6631</v>
      </c>
      <c r="FR107">
        <v>25.182500000000001</v>
      </c>
      <c r="FS107">
        <v>30.000299999999999</v>
      </c>
      <c r="FT107">
        <v>25.175999999999998</v>
      </c>
      <c r="FU107">
        <v>25.1768</v>
      </c>
      <c r="FV107">
        <v>24.802199999999999</v>
      </c>
      <c r="FW107">
        <v>33.342599999999997</v>
      </c>
      <c r="FX107">
        <v>25.4709</v>
      </c>
      <c r="FY107">
        <v>18.6829</v>
      </c>
      <c r="FZ107">
        <v>410</v>
      </c>
      <c r="GA107">
        <v>14.8916</v>
      </c>
      <c r="GB107">
        <v>99.874899999999997</v>
      </c>
      <c r="GC107">
        <v>99.526799999999994</v>
      </c>
    </row>
    <row r="108" spans="1:185" x14ac:dyDescent="0.2">
      <c r="A108">
        <v>93</v>
      </c>
      <c r="B108">
        <v>1769184642.0999999</v>
      </c>
      <c r="C108">
        <v>1779.0999999046301</v>
      </c>
      <c r="D108" t="s">
        <v>481</v>
      </c>
      <c r="E108" t="s">
        <v>482</v>
      </c>
      <c r="F108">
        <v>15</v>
      </c>
      <c r="G108">
        <v>1769184634.03333</v>
      </c>
      <c r="H108">
        <f t="shared" si="13"/>
        <v>5.4570860355177529E-4</v>
      </c>
      <c r="I108">
        <v>0</v>
      </c>
      <c r="J108">
        <f t="shared" si="25"/>
        <v>-4.9463341649582512E-3</v>
      </c>
      <c r="K108">
        <f t="shared" si="14"/>
        <v>-0.12954286770496493</v>
      </c>
      <c r="L108">
        <f t="shared" si="15"/>
        <v>71.033493526485401</v>
      </c>
      <c r="M108">
        <f t="shared" si="16"/>
        <v>1.564717362817208</v>
      </c>
      <c r="N108">
        <f t="shared" si="17"/>
        <v>2.2027881287209823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26259.082550728563</v>
      </c>
      <c r="T108">
        <f t="shared" si="21"/>
        <v>100.001973333333</v>
      </c>
      <c r="U108">
        <f t="shared" si="22"/>
        <v>84.301242991701457</v>
      </c>
      <c r="V108">
        <f t="shared" si="23"/>
        <v>0.84299579479999998</v>
      </c>
      <c r="W108">
        <f t="shared" si="24"/>
        <v>0.158689538968</v>
      </c>
      <c r="X108">
        <v>1</v>
      </c>
      <c r="Y108">
        <v>1769184634.03333</v>
      </c>
      <c r="Z108">
        <v>409.88299999999998</v>
      </c>
      <c r="AA108">
        <v>410.00066666666697</v>
      </c>
      <c r="AB108">
        <v>15.616160000000001</v>
      </c>
      <c r="AC108">
        <v>14.94468</v>
      </c>
      <c r="AD108">
        <v>410.92893333333302</v>
      </c>
      <c r="AE108">
        <v>15.513306666666701</v>
      </c>
      <c r="AF108">
        <v>800.00406666666697</v>
      </c>
      <c r="AG108">
        <v>100.13313333333301</v>
      </c>
      <c r="AH108">
        <v>6.54662466666667E-2</v>
      </c>
      <c r="AI108">
        <v>18.982606666666701</v>
      </c>
      <c r="AJ108">
        <v>999.9</v>
      </c>
      <c r="AK108">
        <v>999.9</v>
      </c>
      <c r="AL108">
        <v>0</v>
      </c>
      <c r="AM108">
        <v>0</v>
      </c>
      <c r="AN108">
        <v>5000.0666666666702</v>
      </c>
      <c r="AO108">
        <v>0</v>
      </c>
      <c r="AP108">
        <v>2.0325500000000001</v>
      </c>
      <c r="AQ108">
        <v>-0.11754968</v>
      </c>
      <c r="AR108">
        <v>416.3854</v>
      </c>
      <c r="AS108">
        <v>416.221</v>
      </c>
      <c r="AT108">
        <v>0.67146786666666702</v>
      </c>
      <c r="AU108">
        <v>410.00066666666697</v>
      </c>
      <c r="AV108">
        <v>14.94468</v>
      </c>
      <c r="AW108">
        <v>1.5636973333333299</v>
      </c>
      <c r="AX108">
        <v>1.4964613333333301</v>
      </c>
      <c r="AY108">
        <v>13.60558</v>
      </c>
      <c r="AZ108">
        <v>12.932</v>
      </c>
      <c r="BA108">
        <v>100.001973333333</v>
      </c>
      <c r="BB108">
        <v>0.90013940000000003</v>
      </c>
      <c r="BC108">
        <v>0</v>
      </c>
      <c r="BD108">
        <v>9.98605733333333E-2</v>
      </c>
      <c r="BE108">
        <v>0</v>
      </c>
      <c r="BF108">
        <v>25</v>
      </c>
      <c r="BG108">
        <v>1648.9773333333301</v>
      </c>
      <c r="BH108">
        <v>1769184227.0999999</v>
      </c>
      <c r="BI108" t="s">
        <v>438</v>
      </c>
      <c r="BJ108">
        <v>1769184227.0999999</v>
      </c>
      <c r="BK108">
        <v>1769184226.0999999</v>
      </c>
      <c r="BL108">
        <v>3</v>
      </c>
      <c r="BM108">
        <v>6.3E-2</v>
      </c>
      <c r="BN108">
        <v>-4.9000000000000002E-2</v>
      </c>
      <c r="BO108">
        <v>-1.046</v>
      </c>
      <c r="BP108">
        <v>0.10299999999999999</v>
      </c>
      <c r="BQ108">
        <v>410</v>
      </c>
      <c r="BR108">
        <v>15</v>
      </c>
      <c r="BS108">
        <v>0.22</v>
      </c>
      <c r="BT108">
        <v>0.08</v>
      </c>
      <c r="BU108">
        <v>-9.7455733333333294E-2</v>
      </c>
      <c r="BV108">
        <v>-0.34342701818181798</v>
      </c>
      <c r="BW108">
        <v>4.3299781102958602E-2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0.67033838095238096</v>
      </c>
      <c r="CD108">
        <v>-3.0857922077921901E-2</v>
      </c>
      <c r="CE108">
        <v>1.37374806953413E-2</v>
      </c>
      <c r="CF108">
        <v>1</v>
      </c>
      <c r="CG108">
        <v>2</v>
      </c>
      <c r="CH108">
        <v>2</v>
      </c>
      <c r="CI108" t="s">
        <v>310</v>
      </c>
      <c r="CJ108">
        <v>3.53254</v>
      </c>
      <c r="CK108">
        <v>2.7035999999999998</v>
      </c>
      <c r="CL108">
        <v>9.8072900000000005E-2</v>
      </c>
      <c r="CM108">
        <v>9.6703700000000004E-2</v>
      </c>
      <c r="CN108">
        <v>8.7815400000000002E-2</v>
      </c>
      <c r="CO108">
        <v>8.4220000000000003E-2</v>
      </c>
      <c r="CP108">
        <v>31631.7</v>
      </c>
      <c r="CQ108">
        <v>27764.1</v>
      </c>
      <c r="CR108">
        <v>32458.5</v>
      </c>
      <c r="CS108">
        <v>30662.2</v>
      </c>
      <c r="CT108">
        <v>40082</v>
      </c>
      <c r="CU108">
        <v>39473.1</v>
      </c>
      <c r="CV108">
        <v>47393.8</v>
      </c>
      <c r="CW108">
        <v>46747.8</v>
      </c>
      <c r="CX108">
        <v>2.6276199999999998</v>
      </c>
      <c r="CY108">
        <v>2.1473800000000001</v>
      </c>
      <c r="CZ108">
        <v>0</v>
      </c>
      <c r="DA108">
        <v>0</v>
      </c>
      <c r="DB108">
        <v>999.9</v>
      </c>
      <c r="DC108">
        <v>999.9</v>
      </c>
      <c r="DD108">
        <v>65.926000000000002</v>
      </c>
      <c r="DE108">
        <v>25.367000000000001</v>
      </c>
      <c r="DF108">
        <v>21.396899999999999</v>
      </c>
      <c r="DG108">
        <v>30.360099999999999</v>
      </c>
      <c r="DH108">
        <v>17.660299999999999</v>
      </c>
      <c r="DI108">
        <v>2</v>
      </c>
      <c r="DJ108">
        <v>-0.14410200000000001</v>
      </c>
      <c r="DK108">
        <v>1.56454</v>
      </c>
      <c r="DL108">
        <v>20.238499999999998</v>
      </c>
      <c r="DM108">
        <v>5.2517899999999997</v>
      </c>
      <c r="DN108">
        <v>12.033899999999999</v>
      </c>
      <c r="DO108">
        <v>4.9674800000000001</v>
      </c>
      <c r="DP108">
        <v>3.2909999999999999</v>
      </c>
      <c r="DQ108">
        <v>9999</v>
      </c>
      <c r="DR108">
        <v>9999</v>
      </c>
      <c r="DS108">
        <v>534.5</v>
      </c>
      <c r="DT108">
        <v>9999</v>
      </c>
      <c r="DU108">
        <v>1.87103</v>
      </c>
      <c r="DV108">
        <v>1.8760699999999999</v>
      </c>
      <c r="DW108">
        <v>1.87622</v>
      </c>
      <c r="DX108">
        <v>1.88276</v>
      </c>
      <c r="DY108">
        <v>1.8754900000000001</v>
      </c>
      <c r="DZ108">
        <v>1.8745499999999999</v>
      </c>
      <c r="EA108">
        <v>1.87073</v>
      </c>
      <c r="EB108">
        <v>1.8745499999999999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-1.0449999999999999</v>
      </c>
      <c r="EQ108">
        <v>0.1028</v>
      </c>
      <c r="ER108">
        <v>-1.04590000000007</v>
      </c>
      <c r="ES108">
        <v>0</v>
      </c>
      <c r="ET108">
        <v>0</v>
      </c>
      <c r="EU108">
        <v>0</v>
      </c>
      <c r="EV108">
        <v>0.102854545454546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6.9</v>
      </c>
      <c r="FE108">
        <v>6.9</v>
      </c>
      <c r="FF108">
        <v>1.2353499999999999</v>
      </c>
      <c r="FG108">
        <v>2.5610400000000002</v>
      </c>
      <c r="FH108">
        <v>2.19604</v>
      </c>
      <c r="FI108">
        <v>2.66235</v>
      </c>
      <c r="FJ108">
        <v>2.4462899999999999</v>
      </c>
      <c r="FK108">
        <v>2.3022499999999999</v>
      </c>
      <c r="FL108">
        <v>30.6309</v>
      </c>
      <c r="FM108">
        <v>24.157499999999999</v>
      </c>
      <c r="FN108">
        <v>19</v>
      </c>
      <c r="FO108">
        <v>864.60699999999997</v>
      </c>
      <c r="FP108">
        <v>586.04600000000005</v>
      </c>
      <c r="FQ108">
        <v>18.719200000000001</v>
      </c>
      <c r="FR108">
        <v>25.1875</v>
      </c>
      <c r="FS108">
        <v>30.000399999999999</v>
      </c>
      <c r="FT108">
        <v>25.180199999999999</v>
      </c>
      <c r="FU108">
        <v>25.181799999999999</v>
      </c>
      <c r="FV108">
        <v>24.802499999999998</v>
      </c>
      <c r="FW108">
        <v>33.631900000000002</v>
      </c>
      <c r="FX108">
        <v>25.092199999999998</v>
      </c>
      <c r="FY108">
        <v>18.719100000000001</v>
      </c>
      <c r="FZ108">
        <v>410</v>
      </c>
      <c r="GA108">
        <v>14.8102</v>
      </c>
      <c r="GB108">
        <v>99.873199999999997</v>
      </c>
      <c r="GC108">
        <v>99.527100000000004</v>
      </c>
    </row>
    <row r="109" spans="1:185" x14ac:dyDescent="0.2">
      <c r="A109">
        <v>94</v>
      </c>
      <c r="B109">
        <v>1769184657.0999999</v>
      </c>
      <c r="C109">
        <v>1794.0999999046301</v>
      </c>
      <c r="D109" t="s">
        <v>483</v>
      </c>
      <c r="E109" t="s">
        <v>484</v>
      </c>
      <c r="F109">
        <v>15</v>
      </c>
      <c r="G109">
        <v>1769184649.03333</v>
      </c>
      <c r="H109">
        <f t="shared" si="13"/>
        <v>5.1891775147184355E-4</v>
      </c>
      <c r="I109">
        <v>0</v>
      </c>
      <c r="J109">
        <f t="shared" si="25"/>
        <v>-3.5306501770989845E-3</v>
      </c>
      <c r="K109">
        <f t="shared" si="14"/>
        <v>-9.2466568887447004E-2</v>
      </c>
      <c r="L109">
        <f t="shared" si="15"/>
        <v>70.411889962413795</v>
      </c>
      <c r="M109">
        <f t="shared" si="16"/>
        <v>1.5534005594056508</v>
      </c>
      <c r="N109">
        <f t="shared" si="17"/>
        <v>2.206162283436595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26254.800803018035</v>
      </c>
      <c r="T109">
        <f t="shared" si="21"/>
        <v>99.999880000000005</v>
      </c>
      <c r="U109">
        <f t="shared" si="22"/>
        <v>84.299445580543861</v>
      </c>
      <c r="V109">
        <f t="shared" si="23"/>
        <v>0.84299546739999942</v>
      </c>
      <c r="W109">
        <f t="shared" si="24"/>
        <v>0.1586886295239999</v>
      </c>
      <c r="X109">
        <v>1</v>
      </c>
      <c r="Y109">
        <v>1769184649.03333</v>
      </c>
      <c r="Z109">
        <v>409.8544</v>
      </c>
      <c r="AA109">
        <v>410.00466666666699</v>
      </c>
      <c r="AB109">
        <v>15.50328</v>
      </c>
      <c r="AC109">
        <v>14.8646933333333</v>
      </c>
      <c r="AD109">
        <v>410.90026666666699</v>
      </c>
      <c r="AE109">
        <v>15.4004333333333</v>
      </c>
      <c r="AF109">
        <v>800.00546666666696</v>
      </c>
      <c r="AG109">
        <v>100.132933333333</v>
      </c>
      <c r="AH109">
        <v>6.5254366666666702E-2</v>
      </c>
      <c r="AI109">
        <v>19.0071333333333</v>
      </c>
      <c r="AJ109">
        <v>999.9</v>
      </c>
      <c r="AK109">
        <v>999.9</v>
      </c>
      <c r="AL109">
        <v>0</v>
      </c>
      <c r="AM109">
        <v>0</v>
      </c>
      <c r="AN109">
        <v>4999.7333333333299</v>
      </c>
      <c r="AO109">
        <v>0</v>
      </c>
      <c r="AP109">
        <v>2.0325500000000001</v>
      </c>
      <c r="AQ109">
        <v>-0.15013433333333301</v>
      </c>
      <c r="AR109">
        <v>416.308533333333</v>
      </c>
      <c r="AS109">
        <v>416.19106666666698</v>
      </c>
      <c r="AT109">
        <v>0.63858166666666705</v>
      </c>
      <c r="AU109">
        <v>410.00466666666699</v>
      </c>
      <c r="AV109">
        <v>14.8646933333333</v>
      </c>
      <c r="AW109">
        <v>1.55238866666667</v>
      </c>
      <c r="AX109">
        <v>1.48844466666667</v>
      </c>
      <c r="AY109">
        <v>13.494120000000001</v>
      </c>
      <c r="AZ109">
        <v>12.8499866666667</v>
      </c>
      <c r="BA109">
        <v>99.999880000000005</v>
      </c>
      <c r="BB109">
        <v>0.90015166666666602</v>
      </c>
      <c r="BC109">
        <v>0</v>
      </c>
      <c r="BD109">
        <v>9.9848353333333306E-2</v>
      </c>
      <c r="BE109">
        <v>0</v>
      </c>
      <c r="BF109">
        <v>25</v>
      </c>
      <c r="BG109">
        <v>1648.9480000000001</v>
      </c>
      <c r="BH109">
        <v>1769184227.0999999</v>
      </c>
      <c r="BI109" t="s">
        <v>438</v>
      </c>
      <c r="BJ109">
        <v>1769184227.0999999</v>
      </c>
      <c r="BK109">
        <v>1769184226.0999999</v>
      </c>
      <c r="BL109">
        <v>3</v>
      </c>
      <c r="BM109">
        <v>6.3E-2</v>
      </c>
      <c r="BN109">
        <v>-4.9000000000000002E-2</v>
      </c>
      <c r="BO109">
        <v>-1.046</v>
      </c>
      <c r="BP109">
        <v>0.10299999999999999</v>
      </c>
      <c r="BQ109">
        <v>410</v>
      </c>
      <c r="BR109">
        <v>15</v>
      </c>
      <c r="BS109">
        <v>0.22</v>
      </c>
      <c r="BT109">
        <v>0.08</v>
      </c>
      <c r="BU109">
        <v>-0.139753076190476</v>
      </c>
      <c r="BV109">
        <v>-0.13716080259740299</v>
      </c>
      <c r="BW109">
        <v>2.2839530826490199E-2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0.64797376190476197</v>
      </c>
      <c r="CD109">
        <v>-0.153028753246752</v>
      </c>
      <c r="CE109">
        <v>1.8526999247956699E-2</v>
      </c>
      <c r="CF109">
        <v>0</v>
      </c>
      <c r="CG109">
        <v>1</v>
      </c>
      <c r="CH109">
        <v>2</v>
      </c>
      <c r="CI109" t="s">
        <v>301</v>
      </c>
      <c r="CJ109">
        <v>3.5325500000000001</v>
      </c>
      <c r="CK109">
        <v>2.7033800000000001</v>
      </c>
      <c r="CL109">
        <v>9.8069299999999998E-2</v>
      </c>
      <c r="CM109">
        <v>9.6707299999999996E-2</v>
      </c>
      <c r="CN109">
        <v>8.7387699999999999E-2</v>
      </c>
      <c r="CO109">
        <v>8.3992999999999998E-2</v>
      </c>
      <c r="CP109">
        <v>31630.3</v>
      </c>
      <c r="CQ109">
        <v>27763.200000000001</v>
      </c>
      <c r="CR109">
        <v>32457</v>
      </c>
      <c r="CS109">
        <v>30661.3</v>
      </c>
      <c r="CT109">
        <v>40099.5</v>
      </c>
      <c r="CU109">
        <v>39482.300000000003</v>
      </c>
      <c r="CV109">
        <v>47391.4</v>
      </c>
      <c r="CW109">
        <v>46746.8</v>
      </c>
      <c r="CX109">
        <v>2.6275599999999999</v>
      </c>
      <c r="CY109">
        <v>2.1470199999999999</v>
      </c>
      <c r="CZ109">
        <v>0</v>
      </c>
      <c r="DA109">
        <v>0</v>
      </c>
      <c r="DB109">
        <v>999.9</v>
      </c>
      <c r="DC109">
        <v>999.9</v>
      </c>
      <c r="DD109">
        <v>65.81</v>
      </c>
      <c r="DE109">
        <v>25.398</v>
      </c>
      <c r="DF109">
        <v>21.397400000000001</v>
      </c>
      <c r="DG109">
        <v>30.5701</v>
      </c>
      <c r="DH109">
        <v>17.624199999999998</v>
      </c>
      <c r="DI109">
        <v>2</v>
      </c>
      <c r="DJ109">
        <v>-0.14041500000000001</v>
      </c>
      <c r="DK109">
        <v>2.3749799999999999</v>
      </c>
      <c r="DL109">
        <v>20.226299999999998</v>
      </c>
      <c r="DM109">
        <v>5.2519099999999996</v>
      </c>
      <c r="DN109">
        <v>12.033899999999999</v>
      </c>
      <c r="DO109">
        <v>4.9676400000000003</v>
      </c>
      <c r="DP109">
        <v>3.2909999999999999</v>
      </c>
      <c r="DQ109">
        <v>9999</v>
      </c>
      <c r="DR109">
        <v>9999</v>
      </c>
      <c r="DS109">
        <v>534.5</v>
      </c>
      <c r="DT109">
        <v>9999</v>
      </c>
      <c r="DU109">
        <v>1.87103</v>
      </c>
      <c r="DV109">
        <v>1.8760699999999999</v>
      </c>
      <c r="DW109">
        <v>1.8762399999999999</v>
      </c>
      <c r="DX109">
        <v>1.8827799999999999</v>
      </c>
      <c r="DY109">
        <v>1.87557</v>
      </c>
      <c r="DZ109">
        <v>1.8745799999999999</v>
      </c>
      <c r="EA109">
        <v>1.87073</v>
      </c>
      <c r="EB109">
        <v>1.87463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-1.046</v>
      </c>
      <c r="EQ109">
        <v>0.10290000000000001</v>
      </c>
      <c r="ER109">
        <v>-1.04590000000007</v>
      </c>
      <c r="ES109">
        <v>0</v>
      </c>
      <c r="ET109">
        <v>0</v>
      </c>
      <c r="EU109">
        <v>0</v>
      </c>
      <c r="EV109">
        <v>0.102854545454546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7.2</v>
      </c>
      <c r="FE109">
        <v>7.2</v>
      </c>
      <c r="FF109">
        <v>1.2353499999999999</v>
      </c>
      <c r="FG109">
        <v>2.5585900000000001</v>
      </c>
      <c r="FH109">
        <v>2.19604</v>
      </c>
      <c r="FI109">
        <v>2.66235</v>
      </c>
      <c r="FJ109">
        <v>2.4462899999999999</v>
      </c>
      <c r="FK109">
        <v>2.2558600000000002</v>
      </c>
      <c r="FL109">
        <v>30.609300000000001</v>
      </c>
      <c r="FM109">
        <v>24.148800000000001</v>
      </c>
      <c r="FN109">
        <v>19</v>
      </c>
      <c r="FO109">
        <v>864.61900000000003</v>
      </c>
      <c r="FP109">
        <v>585.81600000000003</v>
      </c>
      <c r="FQ109">
        <v>18.3371</v>
      </c>
      <c r="FR109">
        <v>25.1922</v>
      </c>
      <c r="FS109">
        <v>30.000499999999999</v>
      </c>
      <c r="FT109">
        <v>25.1845</v>
      </c>
      <c r="FU109">
        <v>25.186199999999999</v>
      </c>
      <c r="FV109">
        <v>24.799800000000001</v>
      </c>
      <c r="FW109">
        <v>33.631900000000002</v>
      </c>
      <c r="FX109">
        <v>24.711500000000001</v>
      </c>
      <c r="FY109">
        <v>18.344100000000001</v>
      </c>
      <c r="FZ109">
        <v>410</v>
      </c>
      <c r="GA109">
        <v>14.8886</v>
      </c>
      <c r="GB109">
        <v>99.868399999999994</v>
      </c>
      <c r="GC109">
        <v>99.524699999999996</v>
      </c>
    </row>
    <row r="110" spans="1:185" x14ac:dyDescent="0.2">
      <c r="A110">
        <v>95</v>
      </c>
      <c r="B110">
        <v>1769184672.0999999</v>
      </c>
      <c r="C110">
        <v>1809.0999999046301</v>
      </c>
      <c r="D110" t="s">
        <v>485</v>
      </c>
      <c r="E110" t="s">
        <v>486</v>
      </c>
      <c r="F110">
        <v>15</v>
      </c>
      <c r="G110">
        <v>1769184664.03333</v>
      </c>
      <c r="H110">
        <f t="shared" si="13"/>
        <v>4.7646326530249676E-4</v>
      </c>
      <c r="I110">
        <v>0</v>
      </c>
      <c r="J110">
        <f t="shared" si="25"/>
        <v>-1.0304347614238185E-3</v>
      </c>
      <c r="K110">
        <f t="shared" si="14"/>
        <v>-2.6986748069587708E-2</v>
      </c>
      <c r="L110">
        <f t="shared" si="15"/>
        <v>70.104783286339739</v>
      </c>
      <c r="M110">
        <f t="shared" si="16"/>
        <v>1.545572372919102</v>
      </c>
      <c r="N110">
        <f t="shared" si="17"/>
        <v>2.2046603676189727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26249.567946897612</v>
      </c>
      <c r="T110">
        <f t="shared" si="21"/>
        <v>99.998673333333301</v>
      </c>
      <c r="U110">
        <f t="shared" si="22"/>
        <v>84.298457205630598</v>
      </c>
      <c r="V110">
        <f t="shared" si="23"/>
        <v>0.84299575579999986</v>
      </c>
      <c r="W110">
        <f t="shared" si="24"/>
        <v>0.15868963634799998</v>
      </c>
      <c r="X110">
        <v>1</v>
      </c>
      <c r="Y110">
        <v>1769184664.03333</v>
      </c>
      <c r="Z110">
        <v>409.80079999999998</v>
      </c>
      <c r="AA110">
        <v>410.01113333333302</v>
      </c>
      <c r="AB110">
        <v>15.42498</v>
      </c>
      <c r="AC110">
        <v>14.8385933333333</v>
      </c>
      <c r="AD110">
        <v>410.84666666666698</v>
      </c>
      <c r="AE110">
        <v>15.3221266666667</v>
      </c>
      <c r="AF110">
        <v>800.00766666666698</v>
      </c>
      <c r="AG110">
        <v>100.133933333333</v>
      </c>
      <c r="AH110">
        <v>6.5377973333333297E-2</v>
      </c>
      <c r="AI110">
        <v>18.996220000000001</v>
      </c>
      <c r="AJ110">
        <v>999.9</v>
      </c>
      <c r="AK110">
        <v>999.9</v>
      </c>
      <c r="AL110">
        <v>0</v>
      </c>
      <c r="AM110">
        <v>0</v>
      </c>
      <c r="AN110">
        <v>4998.6666666666697</v>
      </c>
      <c r="AO110">
        <v>0</v>
      </c>
      <c r="AP110">
        <v>2.0325500000000001</v>
      </c>
      <c r="AQ110">
        <v>-0.210264066666667</v>
      </c>
      <c r="AR110">
        <v>416.221</v>
      </c>
      <c r="AS110">
        <v>416.18666666666701</v>
      </c>
      <c r="AT110">
        <v>0.58637933333333303</v>
      </c>
      <c r="AU110">
        <v>410.01113333333302</v>
      </c>
      <c r="AV110">
        <v>14.8385933333333</v>
      </c>
      <c r="AW110">
        <v>1.54456666666667</v>
      </c>
      <c r="AX110">
        <v>1.4858486666666699</v>
      </c>
      <c r="AY110">
        <v>13.416600000000001</v>
      </c>
      <c r="AZ110">
        <v>12.8233266666667</v>
      </c>
      <c r="BA110">
        <v>99.998673333333301</v>
      </c>
      <c r="BB110">
        <v>0.90013779999999999</v>
      </c>
      <c r="BC110">
        <v>0</v>
      </c>
      <c r="BD110">
        <v>9.9862073333333301E-2</v>
      </c>
      <c r="BE110">
        <v>0</v>
      </c>
      <c r="BF110">
        <v>25</v>
      </c>
      <c r="BG110">
        <v>1648.922</v>
      </c>
      <c r="BH110">
        <v>1769184227.0999999</v>
      </c>
      <c r="BI110" t="s">
        <v>438</v>
      </c>
      <c r="BJ110">
        <v>1769184227.0999999</v>
      </c>
      <c r="BK110">
        <v>1769184226.0999999</v>
      </c>
      <c r="BL110">
        <v>3</v>
      </c>
      <c r="BM110">
        <v>6.3E-2</v>
      </c>
      <c r="BN110">
        <v>-4.9000000000000002E-2</v>
      </c>
      <c r="BO110">
        <v>-1.046</v>
      </c>
      <c r="BP110">
        <v>0.10299999999999999</v>
      </c>
      <c r="BQ110">
        <v>410</v>
      </c>
      <c r="BR110">
        <v>15</v>
      </c>
      <c r="BS110">
        <v>0.22</v>
      </c>
      <c r="BT110">
        <v>0.08</v>
      </c>
      <c r="BU110">
        <v>-0.196453285714286</v>
      </c>
      <c r="BV110">
        <v>-0.235803428571428</v>
      </c>
      <c r="BW110">
        <v>2.72341911419536E-2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0.59527985714285703</v>
      </c>
      <c r="CD110">
        <v>-0.17799490909090901</v>
      </c>
      <c r="CE110">
        <v>1.84813370168928E-2</v>
      </c>
      <c r="CF110">
        <v>0</v>
      </c>
      <c r="CG110">
        <v>1</v>
      </c>
      <c r="CH110">
        <v>2</v>
      </c>
      <c r="CI110" t="s">
        <v>301</v>
      </c>
      <c r="CJ110">
        <v>3.5325199999999999</v>
      </c>
      <c r="CK110">
        <v>2.70357</v>
      </c>
      <c r="CL110">
        <v>9.80597E-2</v>
      </c>
      <c r="CM110">
        <v>9.6699900000000005E-2</v>
      </c>
      <c r="CN110">
        <v>8.7176500000000004E-2</v>
      </c>
      <c r="CO110">
        <v>8.3915900000000002E-2</v>
      </c>
      <c r="CP110">
        <v>31630.9</v>
      </c>
      <c r="CQ110">
        <v>27763.8</v>
      </c>
      <c r="CR110">
        <v>32457.3</v>
      </c>
      <c r="CS110">
        <v>30661.8</v>
      </c>
      <c r="CT110">
        <v>40109.5</v>
      </c>
      <c r="CU110">
        <v>39486.1</v>
      </c>
      <c r="CV110">
        <v>47391.9</v>
      </c>
      <c r="CW110">
        <v>46747.199999999997</v>
      </c>
      <c r="CX110">
        <v>2.6273200000000001</v>
      </c>
      <c r="CY110">
        <v>2.1468600000000002</v>
      </c>
      <c r="CZ110">
        <v>0</v>
      </c>
      <c r="DA110">
        <v>0</v>
      </c>
      <c r="DB110">
        <v>999.9</v>
      </c>
      <c r="DC110">
        <v>999.9</v>
      </c>
      <c r="DD110">
        <v>65.712000000000003</v>
      </c>
      <c r="DE110">
        <v>25.408000000000001</v>
      </c>
      <c r="DF110">
        <v>21.380800000000001</v>
      </c>
      <c r="DG110">
        <v>30.360099999999999</v>
      </c>
      <c r="DH110">
        <v>17.692299999999999</v>
      </c>
      <c r="DI110">
        <v>2</v>
      </c>
      <c r="DJ110">
        <v>-0.14214399999999999</v>
      </c>
      <c r="DK110">
        <v>1.9753400000000001</v>
      </c>
      <c r="DL110">
        <v>20.235600000000002</v>
      </c>
      <c r="DM110">
        <v>5.2519099999999996</v>
      </c>
      <c r="DN110">
        <v>12.033899999999999</v>
      </c>
      <c r="DO110">
        <v>4.9676799999999997</v>
      </c>
      <c r="DP110">
        <v>3.2909999999999999</v>
      </c>
      <c r="DQ110">
        <v>9999</v>
      </c>
      <c r="DR110">
        <v>9999</v>
      </c>
      <c r="DS110">
        <v>534.5</v>
      </c>
      <c r="DT110">
        <v>9999</v>
      </c>
      <c r="DU110">
        <v>1.87103</v>
      </c>
      <c r="DV110">
        <v>1.87608</v>
      </c>
      <c r="DW110">
        <v>1.8762300000000001</v>
      </c>
      <c r="DX110">
        <v>1.8827799999999999</v>
      </c>
      <c r="DY110">
        <v>1.87557</v>
      </c>
      <c r="DZ110">
        <v>1.8746100000000001</v>
      </c>
      <c r="EA110">
        <v>1.87073</v>
      </c>
      <c r="EB110">
        <v>1.8746100000000001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-1.046</v>
      </c>
      <c r="EQ110">
        <v>0.10290000000000001</v>
      </c>
      <c r="ER110">
        <v>-1.04590000000007</v>
      </c>
      <c r="ES110">
        <v>0</v>
      </c>
      <c r="ET110">
        <v>0</v>
      </c>
      <c r="EU110">
        <v>0</v>
      </c>
      <c r="EV110">
        <v>0.102854545454546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7.4</v>
      </c>
      <c r="FE110">
        <v>7.4</v>
      </c>
      <c r="FF110">
        <v>1.2353499999999999</v>
      </c>
      <c r="FG110">
        <v>2.5573700000000001</v>
      </c>
      <c r="FH110">
        <v>2.19604</v>
      </c>
      <c r="FI110">
        <v>2.66113</v>
      </c>
      <c r="FJ110">
        <v>2.4462899999999999</v>
      </c>
      <c r="FK110">
        <v>2.3120099999999999</v>
      </c>
      <c r="FL110">
        <v>30.6309</v>
      </c>
      <c r="FM110">
        <v>24.157499999999999</v>
      </c>
      <c r="FN110">
        <v>19</v>
      </c>
      <c r="FO110">
        <v>864.46500000000003</v>
      </c>
      <c r="FP110">
        <v>585.74</v>
      </c>
      <c r="FQ110">
        <v>18.322800000000001</v>
      </c>
      <c r="FR110">
        <v>25.196899999999999</v>
      </c>
      <c r="FS110">
        <v>29.999700000000001</v>
      </c>
      <c r="FT110">
        <v>25.188700000000001</v>
      </c>
      <c r="FU110">
        <v>25.1904</v>
      </c>
      <c r="FV110">
        <v>24.8004</v>
      </c>
      <c r="FW110">
        <v>33.631900000000002</v>
      </c>
      <c r="FX110">
        <v>24.3291</v>
      </c>
      <c r="FY110">
        <v>18.345300000000002</v>
      </c>
      <c r="FZ110">
        <v>410</v>
      </c>
      <c r="GA110">
        <v>14.894</v>
      </c>
      <c r="GB110">
        <v>99.869299999999996</v>
      </c>
      <c r="GC110">
        <v>99.525800000000004</v>
      </c>
    </row>
    <row r="111" spans="1:185" x14ac:dyDescent="0.2">
      <c r="A111">
        <v>96</v>
      </c>
      <c r="B111">
        <v>1769184687.0999999</v>
      </c>
      <c r="C111">
        <v>1824.0999999046301</v>
      </c>
      <c r="D111" t="s">
        <v>487</v>
      </c>
      <c r="E111" t="s">
        <v>488</v>
      </c>
      <c r="F111">
        <v>15</v>
      </c>
      <c r="G111">
        <v>1769184679.03333</v>
      </c>
      <c r="H111">
        <f t="shared" si="13"/>
        <v>4.5402246400245148E-4</v>
      </c>
      <c r="I111">
        <v>0</v>
      </c>
      <c r="J111">
        <f t="shared" si="25"/>
        <v>-7.2175308103990721E-4</v>
      </c>
      <c r="K111">
        <f t="shared" si="14"/>
        <v>-1.890247621262214E-2</v>
      </c>
      <c r="L111">
        <f t="shared" si="15"/>
        <v>70.002166595170408</v>
      </c>
      <c r="M111">
        <f t="shared" si="16"/>
        <v>1.541831969486521</v>
      </c>
      <c r="N111">
        <f t="shared" si="17"/>
        <v>2.2025489273826206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26272.658687936091</v>
      </c>
      <c r="T111">
        <f t="shared" si="21"/>
        <v>99.999740000000003</v>
      </c>
      <c r="U111">
        <f t="shared" si="22"/>
        <v>84.299306401233522</v>
      </c>
      <c r="V111">
        <f t="shared" si="23"/>
        <v>0.84299525580000034</v>
      </c>
      <c r="W111">
        <f t="shared" si="24"/>
        <v>0.15868877610800006</v>
      </c>
      <c r="X111">
        <v>1</v>
      </c>
      <c r="Y111">
        <v>1769184679.03333</v>
      </c>
      <c r="Z111">
        <v>409.78073333333299</v>
      </c>
      <c r="AA111">
        <v>409.98966666666701</v>
      </c>
      <c r="AB111">
        <v>15.387826666666699</v>
      </c>
      <c r="AC111">
        <v>14.8290333333333</v>
      </c>
      <c r="AD111">
        <v>410.82666666666699</v>
      </c>
      <c r="AE111">
        <v>15.2849866666667</v>
      </c>
      <c r="AF111">
        <v>800.00246666666703</v>
      </c>
      <c r="AG111">
        <v>100.1326</v>
      </c>
      <c r="AH111">
        <v>6.5563319999999994E-2</v>
      </c>
      <c r="AI111">
        <v>18.980866666666699</v>
      </c>
      <c r="AJ111">
        <v>999.9</v>
      </c>
      <c r="AK111">
        <v>999.9</v>
      </c>
      <c r="AL111">
        <v>0</v>
      </c>
      <c r="AM111">
        <v>0</v>
      </c>
      <c r="AN111">
        <v>5002.3</v>
      </c>
      <c r="AO111">
        <v>0</v>
      </c>
      <c r="AP111">
        <v>2.0325500000000001</v>
      </c>
      <c r="AQ111">
        <v>-0.20885826666666699</v>
      </c>
      <c r="AR111">
        <v>416.18506666666701</v>
      </c>
      <c r="AS111">
        <v>416.16093333333299</v>
      </c>
      <c r="AT111">
        <v>0.55880453333333302</v>
      </c>
      <c r="AU111">
        <v>409.98966666666701</v>
      </c>
      <c r="AV111">
        <v>14.8290333333333</v>
      </c>
      <c r="AW111">
        <v>1.54082266666667</v>
      </c>
      <c r="AX111">
        <v>1.48486933333333</v>
      </c>
      <c r="AY111">
        <v>13.379393333333301</v>
      </c>
      <c r="AZ111">
        <v>12.813233333333301</v>
      </c>
      <c r="BA111">
        <v>99.999740000000003</v>
      </c>
      <c r="BB111">
        <v>0.90014866666666704</v>
      </c>
      <c r="BC111">
        <v>0</v>
      </c>
      <c r="BD111">
        <v>9.98510066666667E-2</v>
      </c>
      <c r="BE111">
        <v>0</v>
      </c>
      <c r="BF111">
        <v>25</v>
      </c>
      <c r="BG111">
        <v>1648.944</v>
      </c>
      <c r="BH111">
        <v>1769184227.0999999</v>
      </c>
      <c r="BI111" t="s">
        <v>438</v>
      </c>
      <c r="BJ111">
        <v>1769184227.0999999</v>
      </c>
      <c r="BK111">
        <v>1769184226.0999999</v>
      </c>
      <c r="BL111">
        <v>3</v>
      </c>
      <c r="BM111">
        <v>6.3E-2</v>
      </c>
      <c r="BN111">
        <v>-4.9000000000000002E-2</v>
      </c>
      <c r="BO111">
        <v>-1.046</v>
      </c>
      <c r="BP111">
        <v>0.10299999999999999</v>
      </c>
      <c r="BQ111">
        <v>410</v>
      </c>
      <c r="BR111">
        <v>15</v>
      </c>
      <c r="BS111">
        <v>0.22</v>
      </c>
      <c r="BT111">
        <v>0.08</v>
      </c>
      <c r="BU111">
        <v>-0.21304324999999999</v>
      </c>
      <c r="BV111">
        <v>8.1849699248120397E-2</v>
      </c>
      <c r="BW111">
        <v>1.80025162737741E-2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0.56207130000000005</v>
      </c>
      <c r="CD111">
        <v>-0.111060180451128</v>
      </c>
      <c r="CE111">
        <v>1.2075313602967E-2</v>
      </c>
      <c r="CF111">
        <v>0</v>
      </c>
      <c r="CG111">
        <v>1</v>
      </c>
      <c r="CH111">
        <v>2</v>
      </c>
      <c r="CI111" t="s">
        <v>301</v>
      </c>
      <c r="CJ111">
        <v>3.5325299999999999</v>
      </c>
      <c r="CK111">
        <v>2.7033499999999999</v>
      </c>
      <c r="CL111">
        <v>9.8051399999999997E-2</v>
      </c>
      <c r="CM111">
        <v>9.6693500000000002E-2</v>
      </c>
      <c r="CN111">
        <v>8.7095699999999998E-2</v>
      </c>
      <c r="CO111">
        <v>8.3958599999999994E-2</v>
      </c>
      <c r="CP111">
        <v>31631.5</v>
      </c>
      <c r="CQ111">
        <v>27764.400000000001</v>
      </c>
      <c r="CR111">
        <v>32457.599999999999</v>
      </c>
      <c r="CS111">
        <v>30662.3</v>
      </c>
      <c r="CT111">
        <v>40113.699999999997</v>
      </c>
      <c r="CU111">
        <v>39485.1</v>
      </c>
      <c r="CV111">
        <v>47392.4</v>
      </c>
      <c r="CW111">
        <v>46748.3</v>
      </c>
      <c r="CX111">
        <v>2.6274000000000002</v>
      </c>
      <c r="CY111">
        <v>2.1465000000000001</v>
      </c>
      <c r="CZ111">
        <v>0</v>
      </c>
      <c r="DA111">
        <v>0</v>
      </c>
      <c r="DB111">
        <v>999.9</v>
      </c>
      <c r="DC111">
        <v>999.9</v>
      </c>
      <c r="DD111">
        <v>65.596000000000004</v>
      </c>
      <c r="DE111">
        <v>25.437999999999999</v>
      </c>
      <c r="DF111">
        <v>21.380400000000002</v>
      </c>
      <c r="DG111">
        <v>30.4801</v>
      </c>
      <c r="DH111">
        <v>17.676300000000001</v>
      </c>
      <c r="DI111">
        <v>2</v>
      </c>
      <c r="DJ111">
        <v>-0.142067</v>
      </c>
      <c r="DK111">
        <v>1.8831500000000001</v>
      </c>
      <c r="DL111">
        <v>20.2333</v>
      </c>
      <c r="DM111">
        <v>5.2517899999999997</v>
      </c>
      <c r="DN111">
        <v>12.033899999999999</v>
      </c>
      <c r="DO111">
        <v>4.9676</v>
      </c>
      <c r="DP111">
        <v>3.2910200000000001</v>
      </c>
      <c r="DQ111">
        <v>9999</v>
      </c>
      <c r="DR111">
        <v>9999</v>
      </c>
      <c r="DS111">
        <v>534.5</v>
      </c>
      <c r="DT111">
        <v>9999</v>
      </c>
      <c r="DU111">
        <v>1.87104</v>
      </c>
      <c r="DV111">
        <v>1.87609</v>
      </c>
      <c r="DW111">
        <v>1.87626</v>
      </c>
      <c r="DX111">
        <v>1.8827799999999999</v>
      </c>
      <c r="DY111">
        <v>1.87557</v>
      </c>
      <c r="DZ111">
        <v>1.8746</v>
      </c>
      <c r="EA111">
        <v>1.8707499999999999</v>
      </c>
      <c r="EB111">
        <v>1.8746400000000001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-1.046</v>
      </c>
      <c r="EQ111">
        <v>0.10290000000000001</v>
      </c>
      <c r="ER111">
        <v>-1.04590000000007</v>
      </c>
      <c r="ES111">
        <v>0</v>
      </c>
      <c r="ET111">
        <v>0</v>
      </c>
      <c r="EU111">
        <v>0</v>
      </c>
      <c r="EV111">
        <v>0.102854545454546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7.7</v>
      </c>
      <c r="FE111">
        <v>7.7</v>
      </c>
      <c r="FF111">
        <v>1.2353499999999999</v>
      </c>
      <c r="FG111">
        <v>2.5585900000000001</v>
      </c>
      <c r="FH111">
        <v>2.19604</v>
      </c>
      <c r="FI111">
        <v>2.66235</v>
      </c>
      <c r="FJ111">
        <v>2.4462899999999999</v>
      </c>
      <c r="FK111">
        <v>2.3034699999999999</v>
      </c>
      <c r="FL111">
        <v>30.6524</v>
      </c>
      <c r="FM111">
        <v>24.157499999999999</v>
      </c>
      <c r="FN111">
        <v>19</v>
      </c>
      <c r="FO111">
        <v>864.60799999999995</v>
      </c>
      <c r="FP111">
        <v>585.50900000000001</v>
      </c>
      <c r="FQ111">
        <v>18.368099999999998</v>
      </c>
      <c r="FR111">
        <v>25.201599999999999</v>
      </c>
      <c r="FS111">
        <v>30.0001</v>
      </c>
      <c r="FT111">
        <v>25.192900000000002</v>
      </c>
      <c r="FU111">
        <v>25.194600000000001</v>
      </c>
      <c r="FV111">
        <v>24.8018</v>
      </c>
      <c r="FW111">
        <v>33.359000000000002</v>
      </c>
      <c r="FX111">
        <v>23.953399999999998</v>
      </c>
      <c r="FY111">
        <v>18.3857</v>
      </c>
      <c r="FZ111">
        <v>410</v>
      </c>
      <c r="GA111">
        <v>14.894</v>
      </c>
      <c r="GB111">
        <v>99.870400000000004</v>
      </c>
      <c r="GC111">
        <v>99.527799999999999</v>
      </c>
    </row>
    <row r="112" spans="1:185" x14ac:dyDescent="0.2">
      <c r="A112">
        <v>97</v>
      </c>
      <c r="B112">
        <v>1769184702.0999999</v>
      </c>
      <c r="C112">
        <v>1839.0999999046301</v>
      </c>
      <c r="D112" t="s">
        <v>489</v>
      </c>
      <c r="E112" t="s">
        <v>490</v>
      </c>
      <c r="F112">
        <v>15</v>
      </c>
      <c r="G112">
        <v>1769184694.03333</v>
      </c>
      <c r="H112">
        <f t="shared" si="13"/>
        <v>4.417826736560302E-4</v>
      </c>
      <c r="I112">
        <v>0</v>
      </c>
      <c r="J112">
        <f t="shared" si="25"/>
        <v>3.5044871045591403E-6</v>
      </c>
      <c r="K112">
        <f t="shared" si="14"/>
        <v>9.1781366607990203E-5</v>
      </c>
      <c r="L112">
        <f t="shared" si="15"/>
        <v>69.957465922500134</v>
      </c>
      <c r="M112">
        <f t="shared" si="16"/>
        <v>1.5405198356493199</v>
      </c>
      <c r="N112">
        <f t="shared" si="17"/>
        <v>2.2020806719270385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26250.555424802493</v>
      </c>
      <c r="T112">
        <f t="shared" si="21"/>
        <v>100.001993333333</v>
      </c>
      <c r="U112">
        <f t="shared" si="22"/>
        <v>84.301266471749315</v>
      </c>
      <c r="V112">
        <f t="shared" si="23"/>
        <v>0.84299586100000001</v>
      </c>
      <c r="W112">
        <f t="shared" si="24"/>
        <v>0.15868971745999999</v>
      </c>
      <c r="X112">
        <v>1</v>
      </c>
      <c r="Y112">
        <v>1769184694.03333</v>
      </c>
      <c r="Z112">
        <v>409.77100000000002</v>
      </c>
      <c r="AA112">
        <v>409.99740000000003</v>
      </c>
      <c r="AB112">
        <v>15.37494</v>
      </c>
      <c r="AC112">
        <v>14.8312066666667</v>
      </c>
      <c r="AD112">
        <v>410.8168</v>
      </c>
      <c r="AE112">
        <v>15.272080000000001</v>
      </c>
      <c r="AF112">
        <v>800.006666666667</v>
      </c>
      <c r="AG112">
        <v>100.131266666667</v>
      </c>
      <c r="AH112">
        <v>6.5536419999999998E-2</v>
      </c>
      <c r="AI112">
        <v>18.977460000000001</v>
      </c>
      <c r="AJ112">
        <v>999.9</v>
      </c>
      <c r="AK112">
        <v>999.9</v>
      </c>
      <c r="AL112">
        <v>0</v>
      </c>
      <c r="AM112">
        <v>0</v>
      </c>
      <c r="AN112">
        <v>4998.6666666666697</v>
      </c>
      <c r="AO112">
        <v>0</v>
      </c>
      <c r="AP112">
        <v>2.0325500000000001</v>
      </c>
      <c r="AQ112">
        <v>-0.2264302</v>
      </c>
      <c r="AR112">
        <v>416.1696</v>
      </c>
      <c r="AS112">
        <v>416.16966666666701</v>
      </c>
      <c r="AT112">
        <v>0.54373233333333304</v>
      </c>
      <c r="AU112">
        <v>409.99740000000003</v>
      </c>
      <c r="AV112">
        <v>14.8312066666667</v>
      </c>
      <c r="AW112">
        <v>1.539512</v>
      </c>
      <c r="AX112">
        <v>1.4850666666666701</v>
      </c>
      <c r="AY112">
        <v>13.3663266666667</v>
      </c>
      <c r="AZ112">
        <v>12.8152733333333</v>
      </c>
      <c r="BA112">
        <v>100.001993333333</v>
      </c>
      <c r="BB112">
        <v>0.90013699999999996</v>
      </c>
      <c r="BC112">
        <v>0</v>
      </c>
      <c r="BD112">
        <v>9.9862966666666705E-2</v>
      </c>
      <c r="BE112">
        <v>0</v>
      </c>
      <c r="BF112">
        <v>25</v>
      </c>
      <c r="BG112">
        <v>1648.9753333333299</v>
      </c>
      <c r="BH112">
        <v>1769184227.0999999</v>
      </c>
      <c r="BI112" t="s">
        <v>438</v>
      </c>
      <c r="BJ112">
        <v>1769184227.0999999</v>
      </c>
      <c r="BK112">
        <v>1769184226.0999999</v>
      </c>
      <c r="BL112">
        <v>3</v>
      </c>
      <c r="BM112">
        <v>6.3E-2</v>
      </c>
      <c r="BN112">
        <v>-4.9000000000000002E-2</v>
      </c>
      <c r="BO112">
        <v>-1.046</v>
      </c>
      <c r="BP112">
        <v>0.10299999999999999</v>
      </c>
      <c r="BQ112">
        <v>410</v>
      </c>
      <c r="BR112">
        <v>15</v>
      </c>
      <c r="BS112">
        <v>0.22</v>
      </c>
      <c r="BT112">
        <v>0.08</v>
      </c>
      <c r="BU112">
        <v>-0.22227980952380999</v>
      </c>
      <c r="BV112">
        <v>5.3884987012987197E-2</v>
      </c>
      <c r="BW112">
        <v>2.97752244030072E-2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0.54436514285714299</v>
      </c>
      <c r="CD112">
        <v>-2.15156103896104E-2</v>
      </c>
      <c r="CE112">
        <v>5.6524958354755199E-3</v>
      </c>
      <c r="CF112">
        <v>1</v>
      </c>
      <c r="CG112">
        <v>2</v>
      </c>
      <c r="CH112">
        <v>2</v>
      </c>
      <c r="CI112" t="s">
        <v>310</v>
      </c>
      <c r="CJ112">
        <v>3.5325299999999999</v>
      </c>
      <c r="CK112">
        <v>2.7033399999999999</v>
      </c>
      <c r="CL112">
        <v>9.8052399999999998E-2</v>
      </c>
      <c r="CM112">
        <v>9.6690899999999996E-2</v>
      </c>
      <c r="CN112">
        <v>8.7016499999999997E-2</v>
      </c>
      <c r="CO112">
        <v>8.3898899999999998E-2</v>
      </c>
      <c r="CP112">
        <v>31630.799999999999</v>
      </c>
      <c r="CQ112">
        <v>27764.400000000001</v>
      </c>
      <c r="CR112">
        <v>32456.9</v>
      </c>
      <c r="CS112">
        <v>30662.1</v>
      </c>
      <c r="CT112">
        <v>40116.5</v>
      </c>
      <c r="CU112">
        <v>39487.9</v>
      </c>
      <c r="CV112">
        <v>47391.6</v>
      </c>
      <c r="CW112">
        <v>46748.5</v>
      </c>
      <c r="CX112">
        <v>2.6271599999999999</v>
      </c>
      <c r="CY112">
        <v>2.1461600000000001</v>
      </c>
      <c r="CZ112">
        <v>0</v>
      </c>
      <c r="DA112">
        <v>0</v>
      </c>
      <c r="DB112">
        <v>999.9</v>
      </c>
      <c r="DC112">
        <v>999.9</v>
      </c>
      <c r="DD112">
        <v>65.474000000000004</v>
      </c>
      <c r="DE112">
        <v>25.448</v>
      </c>
      <c r="DF112">
        <v>21.354099999999999</v>
      </c>
      <c r="DG112">
        <v>30.420100000000001</v>
      </c>
      <c r="DH112">
        <v>17.632200000000001</v>
      </c>
      <c r="DI112">
        <v>2</v>
      </c>
      <c r="DJ112">
        <v>-0.14194300000000001</v>
      </c>
      <c r="DK112">
        <v>1.83446</v>
      </c>
      <c r="DL112">
        <v>20.235199999999999</v>
      </c>
      <c r="DM112">
        <v>5.2509499999999996</v>
      </c>
      <c r="DN112">
        <v>12.033899999999999</v>
      </c>
      <c r="DO112">
        <v>4.9675599999999998</v>
      </c>
      <c r="DP112">
        <v>3.2909999999999999</v>
      </c>
      <c r="DQ112">
        <v>9999</v>
      </c>
      <c r="DR112">
        <v>9999</v>
      </c>
      <c r="DS112">
        <v>534.5</v>
      </c>
      <c r="DT112">
        <v>9999</v>
      </c>
      <c r="DU112">
        <v>1.87103</v>
      </c>
      <c r="DV112">
        <v>1.8760699999999999</v>
      </c>
      <c r="DW112">
        <v>1.8762300000000001</v>
      </c>
      <c r="DX112">
        <v>1.8827799999999999</v>
      </c>
      <c r="DY112">
        <v>1.8755599999999999</v>
      </c>
      <c r="DZ112">
        <v>1.8745700000000001</v>
      </c>
      <c r="EA112">
        <v>1.87073</v>
      </c>
      <c r="EB112">
        <v>1.87459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-1.046</v>
      </c>
      <c r="EQ112">
        <v>0.10290000000000001</v>
      </c>
      <c r="ER112">
        <v>-1.04590000000007</v>
      </c>
      <c r="ES112">
        <v>0</v>
      </c>
      <c r="ET112">
        <v>0</v>
      </c>
      <c r="EU112">
        <v>0</v>
      </c>
      <c r="EV112">
        <v>0.102854545454546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7.9</v>
      </c>
      <c r="FE112">
        <v>7.9</v>
      </c>
      <c r="FF112">
        <v>1.2353499999999999</v>
      </c>
      <c r="FG112">
        <v>2.5622600000000002</v>
      </c>
      <c r="FH112">
        <v>2.19604</v>
      </c>
      <c r="FI112">
        <v>2.66113</v>
      </c>
      <c r="FJ112">
        <v>2.4462899999999999</v>
      </c>
      <c r="FK112">
        <v>2.2570800000000002</v>
      </c>
      <c r="FL112">
        <v>30.6524</v>
      </c>
      <c r="FM112">
        <v>24.148800000000001</v>
      </c>
      <c r="FN112">
        <v>19</v>
      </c>
      <c r="FO112">
        <v>864.45299999999997</v>
      </c>
      <c r="FP112">
        <v>585.29300000000001</v>
      </c>
      <c r="FQ112">
        <v>18.417300000000001</v>
      </c>
      <c r="FR112">
        <v>25.2058</v>
      </c>
      <c r="FS112">
        <v>30.0001</v>
      </c>
      <c r="FT112">
        <v>25.197199999999999</v>
      </c>
      <c r="FU112">
        <v>25.198799999999999</v>
      </c>
      <c r="FV112">
        <v>24.8032</v>
      </c>
      <c r="FW112">
        <v>33.088099999999997</v>
      </c>
      <c r="FX112">
        <v>23.578399999999998</v>
      </c>
      <c r="FY112">
        <v>18.4331</v>
      </c>
      <c r="FZ112">
        <v>410</v>
      </c>
      <c r="GA112">
        <v>14.904500000000001</v>
      </c>
      <c r="GB112">
        <v>99.868499999999997</v>
      </c>
      <c r="GC112">
        <v>99.527900000000002</v>
      </c>
    </row>
    <row r="113" spans="1:185" x14ac:dyDescent="0.2">
      <c r="A113">
        <v>98</v>
      </c>
      <c r="B113">
        <v>1769184717.0999999</v>
      </c>
      <c r="C113">
        <v>1854.0999999046301</v>
      </c>
      <c r="D113" t="s">
        <v>491</v>
      </c>
      <c r="E113" t="s">
        <v>492</v>
      </c>
      <c r="F113">
        <v>15</v>
      </c>
      <c r="G113">
        <v>1769184709.03333</v>
      </c>
      <c r="H113">
        <f t="shared" si="13"/>
        <v>4.2426678484320206E-4</v>
      </c>
      <c r="I113">
        <v>0</v>
      </c>
      <c r="J113">
        <f t="shared" si="25"/>
        <v>-9.930486599465581E-5</v>
      </c>
      <c r="K113">
        <f t="shared" si="14"/>
        <v>-2.6007618347220073E-3</v>
      </c>
      <c r="L113">
        <f t="shared" si="15"/>
        <v>69.909363160263823</v>
      </c>
      <c r="M113">
        <f t="shared" si="16"/>
        <v>1.5397853657283276</v>
      </c>
      <c r="N113">
        <f t="shared" si="17"/>
        <v>2.2025452616389085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26245.833770882717</v>
      </c>
      <c r="T113">
        <f t="shared" si="21"/>
        <v>99.999586666666701</v>
      </c>
      <c r="U113">
        <f t="shared" si="22"/>
        <v>84.299213941808816</v>
      </c>
      <c r="V113">
        <f t="shared" si="23"/>
        <v>0.84299562379999959</v>
      </c>
      <c r="W113">
        <f t="shared" si="24"/>
        <v>0.15868917642799993</v>
      </c>
      <c r="X113">
        <v>1</v>
      </c>
      <c r="Y113">
        <v>1769184709.03333</v>
      </c>
      <c r="Z113">
        <v>409.77813333333302</v>
      </c>
      <c r="AA113">
        <v>409.99220000000003</v>
      </c>
      <c r="AB113">
        <v>15.367606666666701</v>
      </c>
      <c r="AC113">
        <v>14.8454266666667</v>
      </c>
      <c r="AD113">
        <v>410.82386666666702</v>
      </c>
      <c r="AE113">
        <v>15.2647666666667</v>
      </c>
      <c r="AF113">
        <v>800.00540000000001</v>
      </c>
      <c r="AG113">
        <v>100.1314</v>
      </c>
      <c r="AH113">
        <v>6.5423040000000002E-2</v>
      </c>
      <c r="AI113">
        <v>18.980840000000001</v>
      </c>
      <c r="AJ113">
        <v>999.9</v>
      </c>
      <c r="AK113">
        <v>999.9</v>
      </c>
      <c r="AL113">
        <v>0</v>
      </c>
      <c r="AM113">
        <v>0</v>
      </c>
      <c r="AN113">
        <v>4997.9333333333298</v>
      </c>
      <c r="AO113">
        <v>0</v>
      </c>
      <c r="AP113">
        <v>1.9846726666666701</v>
      </c>
      <c r="AQ113">
        <v>-0.21421299999999999</v>
      </c>
      <c r="AR113">
        <v>416.17366666666697</v>
      </c>
      <c r="AS113">
        <v>416.17046666666698</v>
      </c>
      <c r="AT113">
        <v>0.52218706666666703</v>
      </c>
      <c r="AU113">
        <v>409.99220000000003</v>
      </c>
      <c r="AV113">
        <v>14.8454266666667</v>
      </c>
      <c r="AW113">
        <v>1.5387793333333299</v>
      </c>
      <c r="AX113">
        <v>1.48649066666667</v>
      </c>
      <c r="AY113">
        <v>13.359026666666701</v>
      </c>
      <c r="AZ113">
        <v>12.82992</v>
      </c>
      <c r="BA113">
        <v>99.999586666666701</v>
      </c>
      <c r="BB113">
        <v>0.90014413333333299</v>
      </c>
      <c r="BC113">
        <v>0</v>
      </c>
      <c r="BD113">
        <v>9.9855806666666602E-2</v>
      </c>
      <c r="BE113">
        <v>0</v>
      </c>
      <c r="BF113">
        <v>25</v>
      </c>
      <c r="BG113">
        <v>1648.9393333333301</v>
      </c>
      <c r="BH113">
        <v>1769184227.0999999</v>
      </c>
      <c r="BI113" t="s">
        <v>438</v>
      </c>
      <c r="BJ113">
        <v>1769184227.0999999</v>
      </c>
      <c r="BK113">
        <v>1769184226.0999999</v>
      </c>
      <c r="BL113">
        <v>3</v>
      </c>
      <c r="BM113">
        <v>6.3E-2</v>
      </c>
      <c r="BN113">
        <v>-4.9000000000000002E-2</v>
      </c>
      <c r="BO113">
        <v>-1.046</v>
      </c>
      <c r="BP113">
        <v>0.10299999999999999</v>
      </c>
      <c r="BQ113">
        <v>410</v>
      </c>
      <c r="BR113">
        <v>15</v>
      </c>
      <c r="BS113">
        <v>0.22</v>
      </c>
      <c r="BT113">
        <v>0.08</v>
      </c>
      <c r="BU113">
        <v>-0.21016380000000001</v>
      </c>
      <c r="BV113">
        <v>4.6206857142857001E-2</v>
      </c>
      <c r="BW113">
        <v>2.79098973638385E-2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0.52640810000000005</v>
      </c>
      <c r="CD113">
        <v>-8.5802796992480002E-2</v>
      </c>
      <c r="CE113">
        <v>9.2831157371865199E-3</v>
      </c>
      <c r="CF113">
        <v>1</v>
      </c>
      <c r="CG113">
        <v>2</v>
      </c>
      <c r="CH113">
        <v>2</v>
      </c>
      <c r="CI113" t="s">
        <v>310</v>
      </c>
      <c r="CJ113">
        <v>3.5325199999999999</v>
      </c>
      <c r="CK113">
        <v>2.7033399999999999</v>
      </c>
      <c r="CL113">
        <v>9.8050799999999994E-2</v>
      </c>
      <c r="CM113">
        <v>9.6693200000000007E-2</v>
      </c>
      <c r="CN113">
        <v>8.7040900000000004E-2</v>
      </c>
      <c r="CO113">
        <v>8.3966299999999994E-2</v>
      </c>
      <c r="CP113">
        <v>31631</v>
      </c>
      <c r="CQ113">
        <v>27764.3</v>
      </c>
      <c r="CR113">
        <v>32457.1</v>
      </c>
      <c r="CS113">
        <v>30662.1</v>
      </c>
      <c r="CT113">
        <v>40115.800000000003</v>
      </c>
      <c r="CU113">
        <v>39484.800000000003</v>
      </c>
      <c r="CV113">
        <v>47392</v>
      </c>
      <c r="CW113">
        <v>46748.3</v>
      </c>
      <c r="CX113">
        <v>2.6271800000000001</v>
      </c>
      <c r="CY113">
        <v>2.1459000000000001</v>
      </c>
      <c r="CZ113">
        <v>0</v>
      </c>
      <c r="DA113">
        <v>0</v>
      </c>
      <c r="DB113">
        <v>999.9</v>
      </c>
      <c r="DC113">
        <v>999.9</v>
      </c>
      <c r="DD113">
        <v>65.358000000000004</v>
      </c>
      <c r="DE113">
        <v>25.468</v>
      </c>
      <c r="DF113">
        <v>21.3428</v>
      </c>
      <c r="DG113">
        <v>30.6601</v>
      </c>
      <c r="DH113">
        <v>17.712299999999999</v>
      </c>
      <c r="DI113">
        <v>2</v>
      </c>
      <c r="DJ113">
        <v>-0.141679</v>
      </c>
      <c r="DK113">
        <v>1.81006</v>
      </c>
      <c r="DL113">
        <v>20.235499999999998</v>
      </c>
      <c r="DM113">
        <v>5.2517899999999997</v>
      </c>
      <c r="DN113">
        <v>12.033899999999999</v>
      </c>
      <c r="DO113">
        <v>4.9675200000000004</v>
      </c>
      <c r="DP113">
        <v>3.2909999999999999</v>
      </c>
      <c r="DQ113">
        <v>9999</v>
      </c>
      <c r="DR113">
        <v>9999</v>
      </c>
      <c r="DS113">
        <v>534.5</v>
      </c>
      <c r="DT113">
        <v>9999</v>
      </c>
      <c r="DU113">
        <v>1.87103</v>
      </c>
      <c r="DV113">
        <v>1.8760699999999999</v>
      </c>
      <c r="DW113">
        <v>1.8762399999999999</v>
      </c>
      <c r="DX113">
        <v>1.8827799999999999</v>
      </c>
      <c r="DY113">
        <v>1.8755900000000001</v>
      </c>
      <c r="DZ113">
        <v>1.87463</v>
      </c>
      <c r="EA113">
        <v>1.8707499999999999</v>
      </c>
      <c r="EB113">
        <v>1.87463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-1.046</v>
      </c>
      <c r="EQ113">
        <v>0.10290000000000001</v>
      </c>
      <c r="ER113">
        <v>-1.04590000000007</v>
      </c>
      <c r="ES113">
        <v>0</v>
      </c>
      <c r="ET113">
        <v>0</v>
      </c>
      <c r="EU113">
        <v>0</v>
      </c>
      <c r="EV113">
        <v>0.102854545454546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8.1999999999999993</v>
      </c>
      <c r="FE113">
        <v>8.1999999999999993</v>
      </c>
      <c r="FF113">
        <v>1.2353499999999999</v>
      </c>
      <c r="FG113">
        <v>2.5585900000000001</v>
      </c>
      <c r="FH113">
        <v>2.19604</v>
      </c>
      <c r="FI113">
        <v>2.66235</v>
      </c>
      <c r="FJ113">
        <v>2.4462899999999999</v>
      </c>
      <c r="FK113">
        <v>2.3046899999999999</v>
      </c>
      <c r="FL113">
        <v>30.673999999999999</v>
      </c>
      <c r="FM113">
        <v>24.157499999999999</v>
      </c>
      <c r="FN113">
        <v>19</v>
      </c>
      <c r="FO113">
        <v>864.54</v>
      </c>
      <c r="FP113">
        <v>585.14</v>
      </c>
      <c r="FQ113">
        <v>18.462399999999999</v>
      </c>
      <c r="FR113">
        <v>25.2105</v>
      </c>
      <c r="FS113">
        <v>30.000299999999999</v>
      </c>
      <c r="FT113">
        <v>25.2014</v>
      </c>
      <c r="FU113">
        <v>25.202999999999999</v>
      </c>
      <c r="FV113">
        <v>24.8032</v>
      </c>
      <c r="FW113">
        <v>33.088099999999997</v>
      </c>
      <c r="FX113">
        <v>23.2074</v>
      </c>
      <c r="FY113">
        <v>18.473299999999998</v>
      </c>
      <c r="FZ113">
        <v>410</v>
      </c>
      <c r="GA113">
        <v>14.9078</v>
      </c>
      <c r="GB113">
        <v>99.869200000000006</v>
      </c>
      <c r="GC113">
        <v>99.527600000000007</v>
      </c>
    </row>
    <row r="114" spans="1:185" x14ac:dyDescent="0.2">
      <c r="A114">
        <v>99</v>
      </c>
      <c r="B114">
        <v>1769184732.0999999</v>
      </c>
      <c r="C114">
        <v>1869.0999999046301</v>
      </c>
      <c r="D114" t="s">
        <v>493</v>
      </c>
      <c r="E114" t="s">
        <v>494</v>
      </c>
      <c r="F114">
        <v>15</v>
      </c>
      <c r="G114">
        <v>1769184724.03333</v>
      </c>
      <c r="H114">
        <f t="shared" si="13"/>
        <v>4.1720556772937927E-4</v>
      </c>
      <c r="I114">
        <v>0</v>
      </c>
      <c r="J114">
        <f t="shared" si="25"/>
        <v>-3.2077049585247779E-4</v>
      </c>
      <c r="K114">
        <f t="shared" si="14"/>
        <v>-8.4008739648555996E-3</v>
      </c>
      <c r="L114">
        <f t="shared" si="15"/>
        <v>69.905102007671218</v>
      </c>
      <c r="M114">
        <f t="shared" si="16"/>
        <v>1.5402092212878653</v>
      </c>
      <c r="N114">
        <f t="shared" si="17"/>
        <v>2.2032858504646007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26261.348197625914</v>
      </c>
      <c r="T114">
        <f t="shared" si="21"/>
        <v>100.00002000000001</v>
      </c>
      <c r="U114">
        <f t="shared" si="22"/>
        <v>84.299596039915812</v>
      </c>
      <c r="V114">
        <f t="shared" si="23"/>
        <v>0.84299579179999973</v>
      </c>
      <c r="W114">
        <f t="shared" si="24"/>
        <v>0.15868920666799996</v>
      </c>
      <c r="X114">
        <v>1</v>
      </c>
      <c r="Y114">
        <v>1769184724.03333</v>
      </c>
      <c r="Z114">
        <v>409.77893333333299</v>
      </c>
      <c r="AA114">
        <v>409.98213333333302</v>
      </c>
      <c r="AB114">
        <v>15.371933333333301</v>
      </c>
      <c r="AC114">
        <v>14.858446666666699</v>
      </c>
      <c r="AD114">
        <v>410.82486666666699</v>
      </c>
      <c r="AE114">
        <v>15.269073333333299</v>
      </c>
      <c r="AF114">
        <v>800.00580000000002</v>
      </c>
      <c r="AG114">
        <v>100.130666666667</v>
      </c>
      <c r="AH114">
        <v>6.5527779999999994E-2</v>
      </c>
      <c r="AI114">
        <v>18.986226666666699</v>
      </c>
      <c r="AJ114">
        <v>999.9</v>
      </c>
      <c r="AK114">
        <v>999.9</v>
      </c>
      <c r="AL114">
        <v>0</v>
      </c>
      <c r="AM114">
        <v>0</v>
      </c>
      <c r="AN114">
        <v>5000.6000000000004</v>
      </c>
      <c r="AO114">
        <v>0</v>
      </c>
      <c r="AP114">
        <v>1.9760899999999999</v>
      </c>
      <c r="AQ114">
        <v>-0.203198133333333</v>
      </c>
      <c r="AR114">
        <v>416.1764</v>
      </c>
      <c r="AS114">
        <v>416.16566666666699</v>
      </c>
      <c r="AT114">
        <v>0.51348126666666705</v>
      </c>
      <c r="AU114">
        <v>409.98213333333302</v>
      </c>
      <c r="AV114">
        <v>14.858446666666699</v>
      </c>
      <c r="AW114">
        <v>1.53920066666667</v>
      </c>
      <c r="AX114">
        <v>1.4877860000000001</v>
      </c>
      <c r="AY114">
        <v>13.363246666666701</v>
      </c>
      <c r="AZ114">
        <v>12.8431933333333</v>
      </c>
      <c r="BA114">
        <v>100.00002000000001</v>
      </c>
      <c r="BB114">
        <v>0.90014433333333299</v>
      </c>
      <c r="BC114">
        <v>0</v>
      </c>
      <c r="BD114">
        <v>9.9855806666666699E-2</v>
      </c>
      <c r="BE114">
        <v>0</v>
      </c>
      <c r="BF114">
        <v>25</v>
      </c>
      <c r="BG114">
        <v>1648.9473333333301</v>
      </c>
      <c r="BH114">
        <v>1769184227.0999999</v>
      </c>
      <c r="BI114" t="s">
        <v>438</v>
      </c>
      <c r="BJ114">
        <v>1769184227.0999999</v>
      </c>
      <c r="BK114">
        <v>1769184226.0999999</v>
      </c>
      <c r="BL114">
        <v>3</v>
      </c>
      <c r="BM114">
        <v>6.3E-2</v>
      </c>
      <c r="BN114">
        <v>-4.9000000000000002E-2</v>
      </c>
      <c r="BO114">
        <v>-1.046</v>
      </c>
      <c r="BP114">
        <v>0.10299999999999999</v>
      </c>
      <c r="BQ114">
        <v>410</v>
      </c>
      <c r="BR114">
        <v>15</v>
      </c>
      <c r="BS114">
        <v>0.22</v>
      </c>
      <c r="BT114">
        <v>0.08</v>
      </c>
      <c r="BU114">
        <v>-0.200581809523809</v>
      </c>
      <c r="BV114">
        <v>-5.1923376623376196E-3</v>
      </c>
      <c r="BW114">
        <v>1.8196387212377301E-2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0.51514199999999999</v>
      </c>
      <c r="CD114">
        <v>-0.12006872727272699</v>
      </c>
      <c r="CE114">
        <v>2.04262383782652E-2</v>
      </c>
      <c r="CF114">
        <v>0</v>
      </c>
      <c r="CG114">
        <v>1</v>
      </c>
      <c r="CH114">
        <v>2</v>
      </c>
      <c r="CI114" t="s">
        <v>301</v>
      </c>
      <c r="CJ114">
        <v>3.5325299999999999</v>
      </c>
      <c r="CK114">
        <v>2.7028099999999999</v>
      </c>
      <c r="CL114">
        <v>9.8047599999999999E-2</v>
      </c>
      <c r="CM114">
        <v>9.6685300000000002E-2</v>
      </c>
      <c r="CN114">
        <v>8.70808E-2</v>
      </c>
      <c r="CO114">
        <v>8.4217399999999998E-2</v>
      </c>
      <c r="CP114">
        <v>31630.5</v>
      </c>
      <c r="CQ114">
        <v>27764.799999999999</v>
      </c>
      <c r="CR114">
        <v>32456.5</v>
      </c>
      <c r="CS114">
        <v>30662.400000000001</v>
      </c>
      <c r="CT114">
        <v>40113.4</v>
      </c>
      <c r="CU114">
        <v>39474.300000000003</v>
      </c>
      <c r="CV114">
        <v>47391.199999999997</v>
      </c>
      <c r="CW114">
        <v>46749</v>
      </c>
      <c r="CX114">
        <v>2.6269800000000001</v>
      </c>
      <c r="CY114">
        <v>2.1458599999999999</v>
      </c>
      <c r="CZ114">
        <v>0</v>
      </c>
      <c r="DA114">
        <v>0</v>
      </c>
      <c r="DB114">
        <v>999.9</v>
      </c>
      <c r="DC114">
        <v>999.9</v>
      </c>
      <c r="DD114">
        <v>65.260999999999996</v>
      </c>
      <c r="DE114">
        <v>25.478000000000002</v>
      </c>
      <c r="DF114">
        <v>21.32</v>
      </c>
      <c r="DG114">
        <v>30.330100000000002</v>
      </c>
      <c r="DH114">
        <v>17.6082</v>
      </c>
      <c r="DI114">
        <v>2</v>
      </c>
      <c r="DJ114">
        <v>-0.14139599999999999</v>
      </c>
      <c r="DK114">
        <v>1.7972300000000001</v>
      </c>
      <c r="DL114">
        <v>20.235499999999998</v>
      </c>
      <c r="DM114">
        <v>5.2510700000000003</v>
      </c>
      <c r="DN114">
        <v>12.033899999999999</v>
      </c>
      <c r="DO114">
        <v>4.9672000000000001</v>
      </c>
      <c r="DP114">
        <v>3.2909999999999999</v>
      </c>
      <c r="DQ114">
        <v>9999</v>
      </c>
      <c r="DR114">
        <v>9999</v>
      </c>
      <c r="DS114">
        <v>534.5</v>
      </c>
      <c r="DT114">
        <v>9999</v>
      </c>
      <c r="DU114">
        <v>1.87103</v>
      </c>
      <c r="DV114">
        <v>1.8760699999999999</v>
      </c>
      <c r="DW114">
        <v>1.8762300000000001</v>
      </c>
      <c r="DX114">
        <v>1.8827799999999999</v>
      </c>
      <c r="DY114">
        <v>1.87557</v>
      </c>
      <c r="DZ114">
        <v>1.87463</v>
      </c>
      <c r="EA114">
        <v>1.87073</v>
      </c>
      <c r="EB114">
        <v>1.87459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-1.046</v>
      </c>
      <c r="EQ114">
        <v>0.10290000000000001</v>
      </c>
      <c r="ER114">
        <v>-1.04590000000007</v>
      </c>
      <c r="ES114">
        <v>0</v>
      </c>
      <c r="ET114">
        <v>0</v>
      </c>
      <c r="EU114">
        <v>0</v>
      </c>
      <c r="EV114">
        <v>0.102854545454546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8.4</v>
      </c>
      <c r="FE114">
        <v>8.4</v>
      </c>
      <c r="FF114">
        <v>1.2353499999999999</v>
      </c>
      <c r="FG114">
        <v>2.5561500000000001</v>
      </c>
      <c r="FH114">
        <v>2.19604</v>
      </c>
      <c r="FI114">
        <v>2.66113</v>
      </c>
      <c r="FJ114">
        <v>2.4462899999999999</v>
      </c>
      <c r="FK114">
        <v>2.2949199999999998</v>
      </c>
      <c r="FL114">
        <v>30.673999999999999</v>
      </c>
      <c r="FM114">
        <v>24.157499999999999</v>
      </c>
      <c r="FN114">
        <v>19</v>
      </c>
      <c r="FO114">
        <v>864.42200000000003</v>
      </c>
      <c r="FP114">
        <v>585.15700000000004</v>
      </c>
      <c r="FQ114">
        <v>18.4953</v>
      </c>
      <c r="FR114">
        <v>25.214700000000001</v>
      </c>
      <c r="FS114">
        <v>30</v>
      </c>
      <c r="FT114">
        <v>25.2056</v>
      </c>
      <c r="FU114">
        <v>25.2073</v>
      </c>
      <c r="FV114">
        <v>24.806100000000001</v>
      </c>
      <c r="FW114">
        <v>32.813499999999998</v>
      </c>
      <c r="FX114">
        <v>22.827300000000001</v>
      </c>
      <c r="FY114">
        <v>18.502199999999998</v>
      </c>
      <c r="FZ114">
        <v>410</v>
      </c>
      <c r="GA114">
        <v>14.9055</v>
      </c>
      <c r="GB114">
        <v>99.867599999999996</v>
      </c>
      <c r="GC114">
        <v>99.528999999999996</v>
      </c>
    </row>
    <row r="115" spans="1:185" x14ac:dyDescent="0.2">
      <c r="A115">
        <v>100</v>
      </c>
      <c r="B115">
        <v>1769184747.0999999</v>
      </c>
      <c r="C115">
        <v>1884.0999999046301</v>
      </c>
      <c r="D115" t="s">
        <v>495</v>
      </c>
      <c r="E115" t="s">
        <v>496</v>
      </c>
      <c r="F115">
        <v>15</v>
      </c>
      <c r="G115">
        <v>1769184739.03333</v>
      </c>
      <c r="H115">
        <f t="shared" si="13"/>
        <v>3.9747409775338176E-4</v>
      </c>
      <c r="I115">
        <v>0</v>
      </c>
      <c r="J115">
        <f t="shared" si="25"/>
        <v>2.466939720868531E-4</v>
      </c>
      <c r="K115">
        <f t="shared" si="14"/>
        <v>6.4608341296587789E-3</v>
      </c>
      <c r="L115">
        <f t="shared" si="15"/>
        <v>69.95315558046596</v>
      </c>
      <c r="M115">
        <f t="shared" si="16"/>
        <v>1.5421839429003592</v>
      </c>
      <c r="N115">
        <f t="shared" si="17"/>
        <v>2.2045952467811269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26261.214049366426</v>
      </c>
      <c r="T115">
        <f t="shared" si="21"/>
        <v>99.998633333333302</v>
      </c>
      <c r="U115">
        <f t="shared" si="22"/>
        <v>84.298453525389831</v>
      </c>
      <c r="V115">
        <f t="shared" si="23"/>
        <v>0.84299605619999995</v>
      </c>
      <c r="W115">
        <f t="shared" si="24"/>
        <v>0.15869002357199999</v>
      </c>
      <c r="X115">
        <v>1</v>
      </c>
      <c r="Y115">
        <v>1769184739.03333</v>
      </c>
      <c r="Z115">
        <v>409.77640000000002</v>
      </c>
      <c r="AA115">
        <v>409.98806666666701</v>
      </c>
      <c r="AB115">
        <v>15.39174</v>
      </c>
      <c r="AC115">
        <v>14.9025533333333</v>
      </c>
      <c r="AD115">
        <v>410.82233333333301</v>
      </c>
      <c r="AE115">
        <v>15.288873333333299</v>
      </c>
      <c r="AF115">
        <v>800.01419999999996</v>
      </c>
      <c r="AG115">
        <v>100.130333333333</v>
      </c>
      <c r="AH115">
        <v>6.5222393333333295E-2</v>
      </c>
      <c r="AI115">
        <v>18.995746666666701</v>
      </c>
      <c r="AJ115">
        <v>999.9</v>
      </c>
      <c r="AK115">
        <v>999.9</v>
      </c>
      <c r="AL115">
        <v>0</v>
      </c>
      <c r="AM115">
        <v>0</v>
      </c>
      <c r="AN115">
        <v>5000.7333333333299</v>
      </c>
      <c r="AO115">
        <v>0</v>
      </c>
      <c r="AP115">
        <v>1.9760899999999999</v>
      </c>
      <c r="AQ115">
        <v>-0.21151526666666701</v>
      </c>
      <c r="AR115">
        <v>416.18233333333302</v>
      </c>
      <c r="AS115">
        <v>416.19026666666701</v>
      </c>
      <c r="AT115">
        <v>0.48918640000000002</v>
      </c>
      <c r="AU115">
        <v>409.98806666666701</v>
      </c>
      <c r="AV115">
        <v>14.9025533333333</v>
      </c>
      <c r="AW115">
        <v>1.54118</v>
      </c>
      <c r="AX115">
        <v>1.49219733333333</v>
      </c>
      <c r="AY115">
        <v>13.38294</v>
      </c>
      <c r="AZ115">
        <v>12.888446666666701</v>
      </c>
      <c r="BA115">
        <v>99.998633333333302</v>
      </c>
      <c r="BB115">
        <v>0.90013319999999997</v>
      </c>
      <c r="BC115">
        <v>0</v>
      </c>
      <c r="BD115">
        <v>9.9866860000000002E-2</v>
      </c>
      <c r="BE115">
        <v>0</v>
      </c>
      <c r="BF115">
        <v>25</v>
      </c>
      <c r="BG115">
        <v>1648.92133333333</v>
      </c>
      <c r="BH115">
        <v>1769184227.0999999</v>
      </c>
      <c r="BI115" t="s">
        <v>438</v>
      </c>
      <c r="BJ115">
        <v>1769184227.0999999</v>
      </c>
      <c r="BK115">
        <v>1769184226.0999999</v>
      </c>
      <c r="BL115">
        <v>3</v>
      </c>
      <c r="BM115">
        <v>6.3E-2</v>
      </c>
      <c r="BN115">
        <v>-4.9000000000000002E-2</v>
      </c>
      <c r="BO115">
        <v>-1.046</v>
      </c>
      <c r="BP115">
        <v>0.10299999999999999</v>
      </c>
      <c r="BQ115">
        <v>410</v>
      </c>
      <c r="BR115">
        <v>15</v>
      </c>
      <c r="BS115">
        <v>0.22</v>
      </c>
      <c r="BT115">
        <v>0.08</v>
      </c>
      <c r="BU115">
        <v>-0.20859369999999999</v>
      </c>
      <c r="BV115">
        <v>-5.3456932330827302E-2</v>
      </c>
      <c r="BW115">
        <v>1.8592771907652701E-2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0.48751440000000001</v>
      </c>
      <c r="CD115">
        <v>6.07441804511284E-2</v>
      </c>
      <c r="CE115">
        <v>9.4979549346161807E-3</v>
      </c>
      <c r="CF115">
        <v>1</v>
      </c>
      <c r="CG115">
        <v>2</v>
      </c>
      <c r="CH115">
        <v>2</v>
      </c>
      <c r="CI115" t="s">
        <v>310</v>
      </c>
      <c r="CJ115">
        <v>3.5324800000000001</v>
      </c>
      <c r="CK115">
        <v>2.7029700000000001</v>
      </c>
      <c r="CL115">
        <v>9.8051700000000006E-2</v>
      </c>
      <c r="CM115">
        <v>9.6695600000000007E-2</v>
      </c>
      <c r="CN115">
        <v>8.7169200000000002E-2</v>
      </c>
      <c r="CO115">
        <v>8.4172999999999998E-2</v>
      </c>
      <c r="CP115">
        <v>31630.6</v>
      </c>
      <c r="CQ115">
        <v>27765</v>
      </c>
      <c r="CR115">
        <v>32456.7</v>
      </c>
      <c r="CS115">
        <v>30663.1</v>
      </c>
      <c r="CT115">
        <v>40109.5</v>
      </c>
      <c r="CU115">
        <v>39476.800000000003</v>
      </c>
      <c r="CV115">
        <v>47391.5</v>
      </c>
      <c r="CW115">
        <v>46749.7</v>
      </c>
      <c r="CX115">
        <v>2.6271399999999998</v>
      </c>
      <c r="CY115">
        <v>2.1459000000000001</v>
      </c>
      <c r="CZ115">
        <v>0</v>
      </c>
      <c r="DA115">
        <v>0</v>
      </c>
      <c r="DB115">
        <v>999.9</v>
      </c>
      <c r="DC115">
        <v>999.9</v>
      </c>
      <c r="DD115">
        <v>65.144999999999996</v>
      </c>
      <c r="DE115">
        <v>25.488</v>
      </c>
      <c r="DF115">
        <v>21.2959</v>
      </c>
      <c r="DG115">
        <v>30.7501</v>
      </c>
      <c r="DH115">
        <v>17.624199999999998</v>
      </c>
      <c r="DI115">
        <v>2</v>
      </c>
      <c r="DJ115">
        <v>-0.141043</v>
      </c>
      <c r="DK115">
        <v>1.8224</v>
      </c>
      <c r="DL115">
        <v>20.235199999999999</v>
      </c>
      <c r="DM115">
        <v>5.2508299999999997</v>
      </c>
      <c r="DN115">
        <v>12.033899999999999</v>
      </c>
      <c r="DO115">
        <v>4.9670800000000002</v>
      </c>
      <c r="DP115">
        <v>3.2909999999999999</v>
      </c>
      <c r="DQ115">
        <v>9999</v>
      </c>
      <c r="DR115">
        <v>9999</v>
      </c>
      <c r="DS115">
        <v>534.5</v>
      </c>
      <c r="DT115">
        <v>9999</v>
      </c>
      <c r="DU115">
        <v>1.87103</v>
      </c>
      <c r="DV115">
        <v>1.8760699999999999</v>
      </c>
      <c r="DW115">
        <v>1.8762300000000001</v>
      </c>
      <c r="DX115">
        <v>1.8827799999999999</v>
      </c>
      <c r="DY115">
        <v>1.8755599999999999</v>
      </c>
      <c r="DZ115">
        <v>1.87459</v>
      </c>
      <c r="EA115">
        <v>1.8707400000000001</v>
      </c>
      <c r="EB115">
        <v>1.87459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-1.046</v>
      </c>
      <c r="EQ115">
        <v>0.10290000000000001</v>
      </c>
      <c r="ER115">
        <v>-1.04590000000007</v>
      </c>
      <c r="ES115">
        <v>0</v>
      </c>
      <c r="ET115">
        <v>0</v>
      </c>
      <c r="EU115">
        <v>0</v>
      </c>
      <c r="EV115">
        <v>0.102854545454546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8.6999999999999993</v>
      </c>
      <c r="FE115">
        <v>8.6999999999999993</v>
      </c>
      <c r="FF115">
        <v>1.2353499999999999</v>
      </c>
      <c r="FG115">
        <v>2.5610400000000002</v>
      </c>
      <c r="FH115">
        <v>2.19604</v>
      </c>
      <c r="FI115">
        <v>2.66113</v>
      </c>
      <c r="FJ115">
        <v>2.4462899999999999</v>
      </c>
      <c r="FK115">
        <v>2.2692899999999998</v>
      </c>
      <c r="FL115">
        <v>30.695599999999999</v>
      </c>
      <c r="FM115">
        <v>24.157499999999999</v>
      </c>
      <c r="FN115">
        <v>19</v>
      </c>
      <c r="FO115">
        <v>864.63300000000004</v>
      </c>
      <c r="FP115">
        <v>585.23599999999999</v>
      </c>
      <c r="FQ115">
        <v>18.5124</v>
      </c>
      <c r="FR115">
        <v>25.218499999999999</v>
      </c>
      <c r="FS115">
        <v>30.000299999999999</v>
      </c>
      <c r="FT115">
        <v>25.209499999999998</v>
      </c>
      <c r="FU115">
        <v>25.211500000000001</v>
      </c>
      <c r="FV115">
        <v>24.805499999999999</v>
      </c>
      <c r="FW115">
        <v>32.813499999999998</v>
      </c>
      <c r="FX115">
        <v>22.456</v>
      </c>
      <c r="FY115">
        <v>18.510999999999999</v>
      </c>
      <c r="FZ115">
        <v>410</v>
      </c>
      <c r="GA115">
        <v>14.9055</v>
      </c>
      <c r="GB115">
        <v>99.868099999999998</v>
      </c>
      <c r="GC115">
        <v>99.530699999999996</v>
      </c>
    </row>
    <row r="116" spans="1:185" x14ac:dyDescent="0.2">
      <c r="A116">
        <v>101</v>
      </c>
      <c r="B116">
        <v>1769184762.0999999</v>
      </c>
      <c r="C116">
        <v>1899.0999999046301</v>
      </c>
      <c r="D116" t="s">
        <v>497</v>
      </c>
      <c r="E116" t="s">
        <v>498</v>
      </c>
      <c r="F116">
        <v>15</v>
      </c>
      <c r="G116">
        <v>1769184754.03333</v>
      </c>
      <c r="H116">
        <f t="shared" si="13"/>
        <v>4.1556218842379433E-4</v>
      </c>
      <c r="I116">
        <v>0</v>
      </c>
      <c r="J116">
        <f t="shared" si="25"/>
        <v>-7.7211070227902292E-4</v>
      </c>
      <c r="K116">
        <f t="shared" si="14"/>
        <v>-2.0221325778494639E-2</v>
      </c>
      <c r="L116">
        <f t="shared" si="15"/>
        <v>69.968221309656116</v>
      </c>
      <c r="M116">
        <f t="shared" si="16"/>
        <v>1.5432394671180889</v>
      </c>
      <c r="N116">
        <f t="shared" si="17"/>
        <v>2.2056291245252946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26243.70205601025</v>
      </c>
      <c r="T116">
        <f t="shared" si="21"/>
        <v>100.00142</v>
      </c>
      <c r="U116">
        <f t="shared" si="22"/>
        <v>84.300768273911316</v>
      </c>
      <c r="V116">
        <f t="shared" si="23"/>
        <v>0.84299571219999991</v>
      </c>
      <c r="W116">
        <f t="shared" si="24"/>
        <v>0.15868942341199996</v>
      </c>
      <c r="X116">
        <v>1</v>
      </c>
      <c r="Y116">
        <v>1769184754.03333</v>
      </c>
      <c r="Z116">
        <v>409.80840000000001</v>
      </c>
      <c r="AA116">
        <v>409.99599999999998</v>
      </c>
      <c r="AB116">
        <v>15.4026266666667</v>
      </c>
      <c r="AC116">
        <v>14.891173333333301</v>
      </c>
      <c r="AD116">
        <v>410.85419999999999</v>
      </c>
      <c r="AE116">
        <v>15.2997533333333</v>
      </c>
      <c r="AF116">
        <v>799.99760000000003</v>
      </c>
      <c r="AG116">
        <v>100.127866666667</v>
      </c>
      <c r="AH116">
        <v>6.5399100000000002E-2</v>
      </c>
      <c r="AI116">
        <v>19.003260000000001</v>
      </c>
      <c r="AJ116">
        <v>999.9</v>
      </c>
      <c r="AK116">
        <v>999.9</v>
      </c>
      <c r="AL116">
        <v>0</v>
      </c>
      <c r="AM116">
        <v>0</v>
      </c>
      <c r="AN116">
        <v>4998.0666666666702</v>
      </c>
      <c r="AO116">
        <v>0</v>
      </c>
      <c r="AP116">
        <v>1.9760899999999999</v>
      </c>
      <c r="AQ116">
        <v>-0.18772573333333301</v>
      </c>
      <c r="AR116">
        <v>416.21913333333299</v>
      </c>
      <c r="AS116">
        <v>416.1936</v>
      </c>
      <c r="AT116">
        <v>0.51144533333333297</v>
      </c>
      <c r="AU116">
        <v>409.99599999999998</v>
      </c>
      <c r="AV116">
        <v>14.891173333333301</v>
      </c>
      <c r="AW116">
        <v>1.542232</v>
      </c>
      <c r="AX116">
        <v>1.4910226666666699</v>
      </c>
      <c r="AY116">
        <v>13.393413333333299</v>
      </c>
      <c r="AZ116">
        <v>12.8764066666667</v>
      </c>
      <c r="BA116">
        <v>100.00142</v>
      </c>
      <c r="BB116">
        <v>0.90014079999999996</v>
      </c>
      <c r="BC116">
        <v>0</v>
      </c>
      <c r="BD116">
        <v>9.9859126666666603E-2</v>
      </c>
      <c r="BE116">
        <v>0</v>
      </c>
      <c r="BF116">
        <v>25</v>
      </c>
      <c r="BG116">
        <v>1648.9673333333301</v>
      </c>
      <c r="BH116">
        <v>1769184227.0999999</v>
      </c>
      <c r="BI116" t="s">
        <v>438</v>
      </c>
      <c r="BJ116">
        <v>1769184227.0999999</v>
      </c>
      <c r="BK116">
        <v>1769184226.0999999</v>
      </c>
      <c r="BL116">
        <v>3</v>
      </c>
      <c r="BM116">
        <v>6.3E-2</v>
      </c>
      <c r="BN116">
        <v>-4.9000000000000002E-2</v>
      </c>
      <c r="BO116">
        <v>-1.046</v>
      </c>
      <c r="BP116">
        <v>0.10299999999999999</v>
      </c>
      <c r="BQ116">
        <v>410</v>
      </c>
      <c r="BR116">
        <v>15</v>
      </c>
      <c r="BS116">
        <v>0.22</v>
      </c>
      <c r="BT116">
        <v>0.08</v>
      </c>
      <c r="BU116">
        <v>-0.19351919047619101</v>
      </c>
      <c r="BV116">
        <v>9.9927038961038606E-2</v>
      </c>
      <c r="BW116">
        <v>1.7710063307189799E-2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0.507268904761905</v>
      </c>
      <c r="CD116">
        <v>6.2645298701298605E-2</v>
      </c>
      <c r="CE116">
        <v>7.4275580291670602E-3</v>
      </c>
      <c r="CF116">
        <v>1</v>
      </c>
      <c r="CG116">
        <v>2</v>
      </c>
      <c r="CH116">
        <v>2</v>
      </c>
      <c r="CI116" t="s">
        <v>310</v>
      </c>
      <c r="CJ116">
        <v>3.53247</v>
      </c>
      <c r="CK116">
        <v>2.7031999999999998</v>
      </c>
      <c r="CL116">
        <v>9.8052700000000007E-2</v>
      </c>
      <c r="CM116">
        <v>9.6689800000000006E-2</v>
      </c>
      <c r="CN116">
        <v>8.7167900000000006E-2</v>
      </c>
      <c r="CO116">
        <v>8.4123000000000003E-2</v>
      </c>
      <c r="CP116">
        <v>31630.2</v>
      </c>
      <c r="CQ116">
        <v>27765.1</v>
      </c>
      <c r="CR116">
        <v>32456.400000000001</v>
      </c>
      <c r="CS116">
        <v>30662.9</v>
      </c>
      <c r="CT116">
        <v>40109.300000000003</v>
      </c>
      <c r="CU116">
        <v>39479.1</v>
      </c>
      <c r="CV116">
        <v>47391.1</v>
      </c>
      <c r="CW116">
        <v>46749.8</v>
      </c>
      <c r="CX116">
        <v>2.6267800000000001</v>
      </c>
      <c r="CY116">
        <v>2.1454</v>
      </c>
      <c r="CZ116">
        <v>0</v>
      </c>
      <c r="DA116">
        <v>0</v>
      </c>
      <c r="DB116">
        <v>999.9</v>
      </c>
      <c r="DC116">
        <v>999.9</v>
      </c>
      <c r="DD116">
        <v>65.046999999999997</v>
      </c>
      <c r="DE116">
        <v>25.518999999999998</v>
      </c>
      <c r="DF116">
        <v>21.304300000000001</v>
      </c>
      <c r="DG116">
        <v>30.630099999999999</v>
      </c>
      <c r="DH116">
        <v>17.676300000000001</v>
      </c>
      <c r="DI116">
        <v>2</v>
      </c>
      <c r="DJ116">
        <v>-0.13999800000000001</v>
      </c>
      <c r="DK116">
        <v>2.0248499999999998</v>
      </c>
      <c r="DL116">
        <v>20.233000000000001</v>
      </c>
      <c r="DM116">
        <v>5.2510700000000003</v>
      </c>
      <c r="DN116">
        <v>12.033899999999999</v>
      </c>
      <c r="DO116">
        <v>4.9672400000000003</v>
      </c>
      <c r="DP116">
        <v>3.2909999999999999</v>
      </c>
      <c r="DQ116">
        <v>9999</v>
      </c>
      <c r="DR116">
        <v>9999</v>
      </c>
      <c r="DS116">
        <v>534.5</v>
      </c>
      <c r="DT116">
        <v>9999</v>
      </c>
      <c r="DU116">
        <v>1.87103</v>
      </c>
      <c r="DV116">
        <v>1.8760699999999999</v>
      </c>
      <c r="DW116">
        <v>1.8762300000000001</v>
      </c>
      <c r="DX116">
        <v>1.8827799999999999</v>
      </c>
      <c r="DY116">
        <v>1.8755900000000001</v>
      </c>
      <c r="DZ116">
        <v>1.8746100000000001</v>
      </c>
      <c r="EA116">
        <v>1.87073</v>
      </c>
      <c r="EB116">
        <v>1.8746400000000001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-1.0449999999999999</v>
      </c>
      <c r="EQ116">
        <v>0.1028</v>
      </c>
      <c r="ER116">
        <v>-1.04590000000007</v>
      </c>
      <c r="ES116">
        <v>0</v>
      </c>
      <c r="ET116">
        <v>0</v>
      </c>
      <c r="EU116">
        <v>0</v>
      </c>
      <c r="EV116">
        <v>0.102854545454546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8.9</v>
      </c>
      <c r="FE116">
        <v>8.9</v>
      </c>
      <c r="FF116">
        <v>1.2365699999999999</v>
      </c>
      <c r="FG116">
        <v>2.5573700000000001</v>
      </c>
      <c r="FH116">
        <v>2.19604</v>
      </c>
      <c r="FI116">
        <v>2.66113</v>
      </c>
      <c r="FJ116">
        <v>2.4462899999999999</v>
      </c>
      <c r="FK116">
        <v>2.2900399999999999</v>
      </c>
      <c r="FL116">
        <v>30.695599999999999</v>
      </c>
      <c r="FM116">
        <v>24.157499999999999</v>
      </c>
      <c r="FN116">
        <v>19</v>
      </c>
      <c r="FO116">
        <v>864.36699999999996</v>
      </c>
      <c r="FP116">
        <v>584.89599999999996</v>
      </c>
      <c r="FQ116">
        <v>18.417899999999999</v>
      </c>
      <c r="FR116">
        <v>25.221900000000002</v>
      </c>
      <c r="FS116">
        <v>30.0002</v>
      </c>
      <c r="FT116">
        <v>25.213699999999999</v>
      </c>
      <c r="FU116">
        <v>25.215699999999998</v>
      </c>
      <c r="FV116">
        <v>24.806899999999999</v>
      </c>
      <c r="FW116">
        <v>32.813499999999998</v>
      </c>
      <c r="FX116">
        <v>22.078900000000001</v>
      </c>
      <c r="FY116">
        <v>18.4163</v>
      </c>
      <c r="FZ116">
        <v>410</v>
      </c>
      <c r="GA116">
        <v>14.9055</v>
      </c>
      <c r="GB116">
        <v>99.8673</v>
      </c>
      <c r="GC116">
        <v>99.530600000000007</v>
      </c>
    </row>
    <row r="117" spans="1:185" x14ac:dyDescent="0.2">
      <c r="A117">
        <v>102</v>
      </c>
      <c r="B117">
        <v>1769184777.0999999</v>
      </c>
      <c r="C117">
        <v>1914.0999999046301</v>
      </c>
      <c r="D117" t="s">
        <v>499</v>
      </c>
      <c r="E117" t="s">
        <v>500</v>
      </c>
      <c r="F117">
        <v>15</v>
      </c>
      <c r="G117">
        <v>1769184769.03333</v>
      </c>
      <c r="H117">
        <f t="shared" si="13"/>
        <v>4.2058933125719162E-4</v>
      </c>
      <c r="I117">
        <v>0</v>
      </c>
      <c r="J117">
        <f t="shared" si="25"/>
        <v>-1.1217437852110886E-3</v>
      </c>
      <c r="K117">
        <f t="shared" si="14"/>
        <v>-2.9378101422246537E-2</v>
      </c>
      <c r="L117">
        <f t="shared" si="15"/>
        <v>69.944356999826354</v>
      </c>
      <c r="M117">
        <f t="shared" si="16"/>
        <v>1.5425667888473311</v>
      </c>
      <c r="N117">
        <f t="shared" si="17"/>
        <v>2.2054199295179178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26273.830644832618</v>
      </c>
      <c r="T117">
        <f t="shared" si="21"/>
        <v>99.999546666666703</v>
      </c>
      <c r="U117">
        <f t="shared" si="22"/>
        <v>84.299132542200084</v>
      </c>
      <c r="V117">
        <f t="shared" si="23"/>
        <v>0.84299514700000022</v>
      </c>
      <c r="W117">
        <f t="shared" si="24"/>
        <v>0.15868806238000005</v>
      </c>
      <c r="X117">
        <v>1</v>
      </c>
      <c r="Y117">
        <v>1769184769.03333</v>
      </c>
      <c r="Z117">
        <v>409.81893333333301</v>
      </c>
      <c r="AA117">
        <v>409.99766666666699</v>
      </c>
      <c r="AB117">
        <v>15.395766666666701</v>
      </c>
      <c r="AC117">
        <v>14.8781266666667</v>
      </c>
      <c r="AD117">
        <v>410.8648</v>
      </c>
      <c r="AE117">
        <v>15.292899999999999</v>
      </c>
      <c r="AF117">
        <v>800.00393333333295</v>
      </c>
      <c r="AG117">
        <v>100.1288</v>
      </c>
      <c r="AH117">
        <v>6.5417166666666707E-2</v>
      </c>
      <c r="AI117">
        <v>19.001740000000002</v>
      </c>
      <c r="AJ117">
        <v>999.9</v>
      </c>
      <c r="AK117">
        <v>999.9</v>
      </c>
      <c r="AL117">
        <v>0</v>
      </c>
      <c r="AM117">
        <v>0</v>
      </c>
      <c r="AN117">
        <v>5002.9666666666699</v>
      </c>
      <c r="AO117">
        <v>0</v>
      </c>
      <c r="AP117">
        <v>1.9760899999999999</v>
      </c>
      <c r="AQ117">
        <v>-0.17879639999999999</v>
      </c>
      <c r="AR117">
        <v>416.22699999999998</v>
      </c>
      <c r="AS117">
        <v>416.18993333333299</v>
      </c>
      <c r="AT117">
        <v>0.51761826666666699</v>
      </c>
      <c r="AU117">
        <v>409.99766666666699</v>
      </c>
      <c r="AV117">
        <v>14.8781266666667</v>
      </c>
      <c r="AW117">
        <v>1.5415606666666699</v>
      </c>
      <c r="AX117">
        <v>1.4897320000000001</v>
      </c>
      <c r="AY117">
        <v>13.38672</v>
      </c>
      <c r="AZ117">
        <v>12.8631733333333</v>
      </c>
      <c r="BA117">
        <v>99.999546666666703</v>
      </c>
      <c r="BB117">
        <v>0.900158866666667</v>
      </c>
      <c r="BC117">
        <v>0</v>
      </c>
      <c r="BD117">
        <v>9.9841033333333301E-2</v>
      </c>
      <c r="BE117">
        <v>0</v>
      </c>
      <c r="BF117">
        <v>25</v>
      </c>
      <c r="BG117">
        <v>1648.9466666666699</v>
      </c>
      <c r="BH117">
        <v>1769184227.0999999</v>
      </c>
      <c r="BI117" t="s">
        <v>438</v>
      </c>
      <c r="BJ117">
        <v>1769184227.0999999</v>
      </c>
      <c r="BK117">
        <v>1769184226.0999999</v>
      </c>
      <c r="BL117">
        <v>3</v>
      </c>
      <c r="BM117">
        <v>6.3E-2</v>
      </c>
      <c r="BN117">
        <v>-4.9000000000000002E-2</v>
      </c>
      <c r="BO117">
        <v>-1.046</v>
      </c>
      <c r="BP117">
        <v>0.10299999999999999</v>
      </c>
      <c r="BQ117">
        <v>410</v>
      </c>
      <c r="BR117">
        <v>15</v>
      </c>
      <c r="BS117">
        <v>0.22</v>
      </c>
      <c r="BT117">
        <v>0.08</v>
      </c>
      <c r="BU117">
        <v>-0.18186795</v>
      </c>
      <c r="BV117">
        <v>0.105840586466166</v>
      </c>
      <c r="BW117">
        <v>1.5922067134876001E-2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0.5164318</v>
      </c>
      <c r="CD117">
        <v>6.6893233082692899E-3</v>
      </c>
      <c r="CE117">
        <v>3.3931749085480299E-3</v>
      </c>
      <c r="CF117">
        <v>1</v>
      </c>
      <c r="CG117">
        <v>2</v>
      </c>
      <c r="CH117">
        <v>2</v>
      </c>
      <c r="CI117" t="s">
        <v>310</v>
      </c>
      <c r="CJ117">
        <v>3.5325199999999999</v>
      </c>
      <c r="CK117">
        <v>2.7032799999999999</v>
      </c>
      <c r="CL117">
        <v>9.8049600000000001E-2</v>
      </c>
      <c r="CM117">
        <v>9.6687099999999998E-2</v>
      </c>
      <c r="CN117">
        <v>8.7109199999999998E-2</v>
      </c>
      <c r="CO117">
        <v>8.4062700000000004E-2</v>
      </c>
      <c r="CP117">
        <v>31630.400000000001</v>
      </c>
      <c r="CQ117">
        <v>27765.200000000001</v>
      </c>
      <c r="CR117">
        <v>32456.5</v>
      </c>
      <c r="CS117">
        <v>30663</v>
      </c>
      <c r="CT117">
        <v>40111.800000000003</v>
      </c>
      <c r="CU117">
        <v>39481.9</v>
      </c>
      <c r="CV117">
        <v>47390.9</v>
      </c>
      <c r="CW117">
        <v>46750</v>
      </c>
      <c r="CX117">
        <v>2.62676</v>
      </c>
      <c r="CY117">
        <v>2.1449400000000001</v>
      </c>
      <c r="CZ117">
        <v>0</v>
      </c>
      <c r="DA117">
        <v>0</v>
      </c>
      <c r="DB117">
        <v>999.9</v>
      </c>
      <c r="DC117">
        <v>999.9</v>
      </c>
      <c r="DD117">
        <v>64.930999999999997</v>
      </c>
      <c r="DE117">
        <v>25.518999999999998</v>
      </c>
      <c r="DF117">
        <v>21.265000000000001</v>
      </c>
      <c r="DG117">
        <v>30.450099999999999</v>
      </c>
      <c r="DH117">
        <v>17.588100000000001</v>
      </c>
      <c r="DI117">
        <v>2</v>
      </c>
      <c r="DJ117">
        <v>-0.139957</v>
      </c>
      <c r="DK117">
        <v>1.9388300000000001</v>
      </c>
      <c r="DL117">
        <v>20.235099999999999</v>
      </c>
      <c r="DM117">
        <v>5.2510700000000003</v>
      </c>
      <c r="DN117">
        <v>12.033899999999999</v>
      </c>
      <c r="DO117">
        <v>4.9670399999999999</v>
      </c>
      <c r="DP117">
        <v>3.2909999999999999</v>
      </c>
      <c r="DQ117">
        <v>9999</v>
      </c>
      <c r="DR117">
        <v>9999</v>
      </c>
      <c r="DS117">
        <v>534.5</v>
      </c>
      <c r="DT117">
        <v>9999</v>
      </c>
      <c r="DU117">
        <v>1.87103</v>
      </c>
      <c r="DV117">
        <v>1.87608</v>
      </c>
      <c r="DW117">
        <v>1.87625</v>
      </c>
      <c r="DX117">
        <v>1.8827799999999999</v>
      </c>
      <c r="DY117">
        <v>1.87561</v>
      </c>
      <c r="DZ117">
        <v>1.87462</v>
      </c>
      <c r="EA117">
        <v>1.8707499999999999</v>
      </c>
      <c r="EB117">
        <v>1.87466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-1.046</v>
      </c>
      <c r="EQ117">
        <v>0.10290000000000001</v>
      </c>
      <c r="ER117">
        <v>-1.04590000000007</v>
      </c>
      <c r="ES117">
        <v>0</v>
      </c>
      <c r="ET117">
        <v>0</v>
      </c>
      <c r="EU117">
        <v>0</v>
      </c>
      <c r="EV117">
        <v>0.102854545454546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9.1999999999999993</v>
      </c>
      <c r="FE117">
        <v>9.1999999999999993</v>
      </c>
      <c r="FF117">
        <v>1.2353499999999999</v>
      </c>
      <c r="FG117">
        <v>2.5647000000000002</v>
      </c>
      <c r="FH117">
        <v>2.19604</v>
      </c>
      <c r="FI117">
        <v>2.66113</v>
      </c>
      <c r="FJ117">
        <v>2.4462899999999999</v>
      </c>
      <c r="FK117">
        <v>2.2656200000000002</v>
      </c>
      <c r="FL117">
        <v>30.738800000000001</v>
      </c>
      <c r="FM117">
        <v>24.148800000000001</v>
      </c>
      <c r="FN117">
        <v>19</v>
      </c>
      <c r="FO117">
        <v>864.41</v>
      </c>
      <c r="FP117">
        <v>584.58699999999999</v>
      </c>
      <c r="FQ117">
        <v>18.407900000000001</v>
      </c>
      <c r="FR117">
        <v>25.2257</v>
      </c>
      <c r="FS117">
        <v>30.0001</v>
      </c>
      <c r="FT117">
        <v>25.217600000000001</v>
      </c>
      <c r="FU117">
        <v>25.219899999999999</v>
      </c>
      <c r="FV117">
        <v>24.807400000000001</v>
      </c>
      <c r="FW117">
        <v>32.813499999999998</v>
      </c>
      <c r="FX117">
        <v>21.708100000000002</v>
      </c>
      <c r="FY117">
        <v>18.411200000000001</v>
      </c>
      <c r="FZ117">
        <v>410</v>
      </c>
      <c r="GA117">
        <v>14.9055</v>
      </c>
      <c r="GB117">
        <v>99.867199999999997</v>
      </c>
      <c r="GC117">
        <v>99.530900000000003</v>
      </c>
    </row>
    <row r="118" spans="1:185" x14ac:dyDescent="0.2">
      <c r="A118">
        <v>103</v>
      </c>
      <c r="B118">
        <v>1769184792.0999999</v>
      </c>
      <c r="C118">
        <v>1929.0999999046301</v>
      </c>
      <c r="D118" t="s">
        <v>501</v>
      </c>
      <c r="E118" t="s">
        <v>502</v>
      </c>
      <c r="F118">
        <v>15</v>
      </c>
      <c r="G118">
        <v>1769184784.03333</v>
      </c>
      <c r="H118">
        <f t="shared" si="13"/>
        <v>4.2142677560270757E-4</v>
      </c>
      <c r="I118">
        <v>0</v>
      </c>
      <c r="J118">
        <f t="shared" si="25"/>
        <v>-5.1735880750625803E-4</v>
      </c>
      <c r="K118">
        <f t="shared" si="14"/>
        <v>-1.3549457299423537E-2</v>
      </c>
      <c r="L118">
        <f t="shared" si="15"/>
        <v>69.90140487711534</v>
      </c>
      <c r="M118">
        <f t="shared" si="16"/>
        <v>1.5414335371267842</v>
      </c>
      <c r="N118">
        <f t="shared" si="17"/>
        <v>2.205153873282776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26236.615868658304</v>
      </c>
      <c r="T118">
        <f t="shared" si="21"/>
        <v>99.999619999999993</v>
      </c>
      <c r="U118">
        <f t="shared" si="22"/>
        <v>84.299242401661573</v>
      </c>
      <c r="V118">
        <f t="shared" si="23"/>
        <v>0.84299562739999989</v>
      </c>
      <c r="W118">
        <f t="shared" si="24"/>
        <v>0.158689159444</v>
      </c>
      <c r="X118">
        <v>1</v>
      </c>
      <c r="Y118">
        <v>1769184784.03333</v>
      </c>
      <c r="Z118">
        <v>409.79353333333302</v>
      </c>
      <c r="AA118">
        <v>409.99246666666699</v>
      </c>
      <c r="AB118">
        <v>15.384173333333299</v>
      </c>
      <c r="AC118">
        <v>14.865500000000001</v>
      </c>
      <c r="AD118">
        <v>410.83946666666702</v>
      </c>
      <c r="AE118">
        <v>15.2813266666667</v>
      </c>
      <c r="AF118">
        <v>800.00926666666703</v>
      </c>
      <c r="AG118">
        <v>100.13053333333301</v>
      </c>
      <c r="AH118">
        <v>6.5525546666666698E-2</v>
      </c>
      <c r="AI118">
        <v>18.9998066666667</v>
      </c>
      <c r="AJ118">
        <v>999.9</v>
      </c>
      <c r="AK118">
        <v>999.9</v>
      </c>
      <c r="AL118">
        <v>0</v>
      </c>
      <c r="AM118">
        <v>0</v>
      </c>
      <c r="AN118">
        <v>4996.7333333333299</v>
      </c>
      <c r="AO118">
        <v>0</v>
      </c>
      <c r="AP118">
        <v>2.0013873333333301</v>
      </c>
      <c r="AQ118">
        <v>-0.19895826666666699</v>
      </c>
      <c r="AR118">
        <v>416.19646666666699</v>
      </c>
      <c r="AS118">
        <v>416.17939999999999</v>
      </c>
      <c r="AT118">
        <v>0.51867099999999999</v>
      </c>
      <c r="AU118">
        <v>409.99246666666699</v>
      </c>
      <c r="AV118">
        <v>14.865500000000001</v>
      </c>
      <c r="AW118">
        <v>1.5404260000000001</v>
      </c>
      <c r="AX118">
        <v>1.4884913333333301</v>
      </c>
      <c r="AY118">
        <v>13.3754333333333</v>
      </c>
      <c r="AZ118">
        <v>12.850440000000001</v>
      </c>
      <c r="BA118">
        <v>99.999619999999993</v>
      </c>
      <c r="BB118">
        <v>0.90014439999999996</v>
      </c>
      <c r="BC118">
        <v>0</v>
      </c>
      <c r="BD118">
        <v>9.9855553333333305E-2</v>
      </c>
      <c r="BE118">
        <v>0</v>
      </c>
      <c r="BF118">
        <v>25</v>
      </c>
      <c r="BG118">
        <v>1648.942</v>
      </c>
      <c r="BH118">
        <v>1769184227.0999999</v>
      </c>
      <c r="BI118" t="s">
        <v>438</v>
      </c>
      <c r="BJ118">
        <v>1769184227.0999999</v>
      </c>
      <c r="BK118">
        <v>1769184226.0999999</v>
      </c>
      <c r="BL118">
        <v>3</v>
      </c>
      <c r="BM118">
        <v>6.3E-2</v>
      </c>
      <c r="BN118">
        <v>-4.9000000000000002E-2</v>
      </c>
      <c r="BO118">
        <v>-1.046</v>
      </c>
      <c r="BP118">
        <v>0.10299999999999999</v>
      </c>
      <c r="BQ118">
        <v>410</v>
      </c>
      <c r="BR118">
        <v>15</v>
      </c>
      <c r="BS118">
        <v>0.22</v>
      </c>
      <c r="BT118">
        <v>0.08</v>
      </c>
      <c r="BU118">
        <v>-0.189549</v>
      </c>
      <c r="BV118">
        <v>-5.5040415584415497E-2</v>
      </c>
      <c r="BW118">
        <v>2.92072765150839E-2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0.51766028571428602</v>
      </c>
      <c r="CD118">
        <v>1.0804597402598299E-2</v>
      </c>
      <c r="CE118">
        <v>2.4794149683007899E-3</v>
      </c>
      <c r="CF118">
        <v>1</v>
      </c>
      <c r="CG118">
        <v>2</v>
      </c>
      <c r="CH118">
        <v>2</v>
      </c>
      <c r="CI118" t="s">
        <v>310</v>
      </c>
      <c r="CJ118">
        <v>3.5324800000000001</v>
      </c>
      <c r="CK118">
        <v>2.7033399999999999</v>
      </c>
      <c r="CL118">
        <v>9.8052299999999995E-2</v>
      </c>
      <c r="CM118">
        <v>9.6693500000000002E-2</v>
      </c>
      <c r="CN118">
        <v>8.7085200000000001E-2</v>
      </c>
      <c r="CO118">
        <v>8.4013400000000002E-2</v>
      </c>
      <c r="CP118">
        <v>31630.400000000001</v>
      </c>
      <c r="CQ118">
        <v>27764.9</v>
      </c>
      <c r="CR118">
        <v>32456.6</v>
      </c>
      <c r="CS118">
        <v>30662.9</v>
      </c>
      <c r="CT118">
        <v>40113.4</v>
      </c>
      <c r="CU118">
        <v>39483.699999999997</v>
      </c>
      <c r="CV118">
        <v>47391.5</v>
      </c>
      <c r="CW118">
        <v>46749.5</v>
      </c>
      <c r="CX118">
        <v>2.6267</v>
      </c>
      <c r="CY118">
        <v>2.1448800000000001</v>
      </c>
      <c r="CZ118">
        <v>0</v>
      </c>
      <c r="DA118">
        <v>0</v>
      </c>
      <c r="DB118">
        <v>999.9</v>
      </c>
      <c r="DC118">
        <v>999.9</v>
      </c>
      <c r="DD118">
        <v>64.820999999999998</v>
      </c>
      <c r="DE118">
        <v>25.539000000000001</v>
      </c>
      <c r="DF118">
        <v>21.253499999999999</v>
      </c>
      <c r="DG118">
        <v>30.600100000000001</v>
      </c>
      <c r="DH118">
        <v>17.688300000000002</v>
      </c>
      <c r="DI118">
        <v>2</v>
      </c>
      <c r="DJ118">
        <v>-0.139652</v>
      </c>
      <c r="DK118">
        <v>1.9248400000000001</v>
      </c>
      <c r="DL118">
        <v>20.2347</v>
      </c>
      <c r="DM118">
        <v>5.2511900000000002</v>
      </c>
      <c r="DN118">
        <v>12.033899999999999</v>
      </c>
      <c r="DO118">
        <v>4.9674800000000001</v>
      </c>
      <c r="DP118">
        <v>3.2909999999999999</v>
      </c>
      <c r="DQ118">
        <v>9999</v>
      </c>
      <c r="DR118">
        <v>9999</v>
      </c>
      <c r="DS118">
        <v>534.5</v>
      </c>
      <c r="DT118">
        <v>9999</v>
      </c>
      <c r="DU118">
        <v>1.87103</v>
      </c>
      <c r="DV118">
        <v>1.87608</v>
      </c>
      <c r="DW118">
        <v>1.87625</v>
      </c>
      <c r="DX118">
        <v>1.8827799999999999</v>
      </c>
      <c r="DY118">
        <v>1.87561</v>
      </c>
      <c r="DZ118">
        <v>1.8746700000000001</v>
      </c>
      <c r="EA118">
        <v>1.8707400000000001</v>
      </c>
      <c r="EB118">
        <v>1.8746499999999999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-1.046</v>
      </c>
      <c r="EQ118">
        <v>0.10290000000000001</v>
      </c>
      <c r="ER118">
        <v>-1.04590000000007</v>
      </c>
      <c r="ES118">
        <v>0</v>
      </c>
      <c r="ET118">
        <v>0</v>
      </c>
      <c r="EU118">
        <v>0</v>
      </c>
      <c r="EV118">
        <v>0.102854545454546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9.4</v>
      </c>
      <c r="FE118">
        <v>9.4</v>
      </c>
      <c r="FF118">
        <v>1.2353499999999999</v>
      </c>
      <c r="FG118">
        <v>2.5659200000000002</v>
      </c>
      <c r="FH118">
        <v>2.19604</v>
      </c>
      <c r="FI118">
        <v>2.66113</v>
      </c>
      <c r="FJ118">
        <v>2.4462899999999999</v>
      </c>
      <c r="FK118">
        <v>2.3156699999999999</v>
      </c>
      <c r="FL118">
        <v>30.717199999999998</v>
      </c>
      <c r="FM118">
        <v>24.157499999999999</v>
      </c>
      <c r="FN118">
        <v>19</v>
      </c>
      <c r="FO118">
        <v>864.41600000000005</v>
      </c>
      <c r="FP118">
        <v>584.58399999999995</v>
      </c>
      <c r="FQ118">
        <v>18.418299999999999</v>
      </c>
      <c r="FR118">
        <v>25.229900000000001</v>
      </c>
      <c r="FS118">
        <v>30.000299999999999</v>
      </c>
      <c r="FT118">
        <v>25.221399999999999</v>
      </c>
      <c r="FU118">
        <v>25.223700000000001</v>
      </c>
      <c r="FV118">
        <v>24.8065</v>
      </c>
      <c r="FW118">
        <v>32.813499999999998</v>
      </c>
      <c r="FX118">
        <v>21.338000000000001</v>
      </c>
      <c r="FY118">
        <v>18.4176</v>
      </c>
      <c r="FZ118">
        <v>410</v>
      </c>
      <c r="GA118">
        <v>14.9055</v>
      </c>
      <c r="GB118">
        <v>99.867999999999995</v>
      </c>
      <c r="GC118">
        <v>99.530100000000004</v>
      </c>
    </row>
    <row r="119" spans="1:185" x14ac:dyDescent="0.2">
      <c r="A119">
        <v>104</v>
      </c>
      <c r="B119">
        <v>1769184807.0999999</v>
      </c>
      <c r="C119">
        <v>1944.0999999046301</v>
      </c>
      <c r="D119" t="s">
        <v>503</v>
      </c>
      <c r="E119" t="s">
        <v>504</v>
      </c>
      <c r="F119">
        <v>15</v>
      </c>
      <c r="G119">
        <v>1769184799.03333</v>
      </c>
      <c r="H119">
        <f t="shared" si="13"/>
        <v>4.2508313252627807E-4</v>
      </c>
      <c r="I119">
        <v>0</v>
      </c>
      <c r="J119">
        <f t="shared" si="25"/>
        <v>-4.7064750005980653E-4</v>
      </c>
      <c r="K119">
        <f t="shared" si="14"/>
        <v>-1.2326103494553242E-2</v>
      </c>
      <c r="L119">
        <f t="shared" si="15"/>
        <v>69.861507407102394</v>
      </c>
      <c r="M119">
        <f t="shared" si="16"/>
        <v>1.5407299929238378</v>
      </c>
      <c r="N119">
        <f t="shared" si="17"/>
        <v>2.2054061672983614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26273.75738831082</v>
      </c>
      <c r="T119">
        <f t="shared" si="21"/>
        <v>100.000646666667</v>
      </c>
      <c r="U119">
        <f t="shared" si="22"/>
        <v>84.300113957211991</v>
      </c>
      <c r="V119">
        <f t="shared" si="23"/>
        <v>0.84299568820000015</v>
      </c>
      <c r="W119">
        <f t="shared" si="24"/>
        <v>0.15868910357200006</v>
      </c>
      <c r="X119">
        <v>1</v>
      </c>
      <c r="Y119">
        <v>1769184799.03333</v>
      </c>
      <c r="Z119">
        <v>409.78753333333299</v>
      </c>
      <c r="AA119">
        <v>409.98986666666701</v>
      </c>
      <c r="AB119">
        <v>15.3771133333333</v>
      </c>
      <c r="AC119">
        <v>14.8539333333333</v>
      </c>
      <c r="AD119">
        <v>410.83353333333298</v>
      </c>
      <c r="AE119">
        <v>15.2742466666667</v>
      </c>
      <c r="AF119">
        <v>800.00493333333304</v>
      </c>
      <c r="AG119">
        <v>100.13079999999999</v>
      </c>
      <c r="AH119">
        <v>6.55086E-2</v>
      </c>
      <c r="AI119">
        <v>19.001639999999998</v>
      </c>
      <c r="AJ119">
        <v>999.9</v>
      </c>
      <c r="AK119">
        <v>999.9</v>
      </c>
      <c r="AL119">
        <v>0</v>
      </c>
      <c r="AM119">
        <v>0</v>
      </c>
      <c r="AN119">
        <v>5002.8666666666704</v>
      </c>
      <c r="AO119">
        <v>0</v>
      </c>
      <c r="AP119">
        <v>2.0325500000000001</v>
      </c>
      <c r="AQ119">
        <v>-0.20217479999999999</v>
      </c>
      <c r="AR119">
        <v>416.18726666666703</v>
      </c>
      <c r="AS119">
        <v>416.17140000000001</v>
      </c>
      <c r="AT119">
        <v>0.52317693333333304</v>
      </c>
      <c r="AU119">
        <v>409.98986666666701</v>
      </c>
      <c r="AV119">
        <v>14.8539333333333</v>
      </c>
      <c r="AW119">
        <v>1.5397240000000001</v>
      </c>
      <c r="AX119">
        <v>1.4873366666666701</v>
      </c>
      <c r="AY119">
        <v>13.3684266666667</v>
      </c>
      <c r="AZ119">
        <v>12.838606666666699</v>
      </c>
      <c r="BA119">
        <v>100.000646666667</v>
      </c>
      <c r="BB119">
        <v>0.90014546666666695</v>
      </c>
      <c r="BC119">
        <v>0</v>
      </c>
      <c r="BD119">
        <v>9.9854593333333297E-2</v>
      </c>
      <c r="BE119">
        <v>0</v>
      </c>
      <c r="BF119">
        <v>25</v>
      </c>
      <c r="BG119">
        <v>1648.9586666666701</v>
      </c>
      <c r="BH119">
        <v>1769184227.0999999</v>
      </c>
      <c r="BI119" t="s">
        <v>438</v>
      </c>
      <c r="BJ119">
        <v>1769184227.0999999</v>
      </c>
      <c r="BK119">
        <v>1769184226.0999999</v>
      </c>
      <c r="BL119">
        <v>3</v>
      </c>
      <c r="BM119">
        <v>6.3E-2</v>
      </c>
      <c r="BN119">
        <v>-4.9000000000000002E-2</v>
      </c>
      <c r="BO119">
        <v>-1.046</v>
      </c>
      <c r="BP119">
        <v>0.10299999999999999</v>
      </c>
      <c r="BQ119">
        <v>410</v>
      </c>
      <c r="BR119">
        <v>15</v>
      </c>
      <c r="BS119">
        <v>0.22</v>
      </c>
      <c r="BT119">
        <v>0.08</v>
      </c>
      <c r="BU119">
        <v>-0.19621264999999999</v>
      </c>
      <c r="BV119">
        <v>-7.9536135338345498E-2</v>
      </c>
      <c r="BW119">
        <v>1.7716434077643801E-2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0.52202055000000003</v>
      </c>
      <c r="CD119">
        <v>7.7321052631575101E-3</v>
      </c>
      <c r="CE119">
        <v>3.4916940942041198E-3</v>
      </c>
      <c r="CF119">
        <v>1</v>
      </c>
      <c r="CG119">
        <v>2</v>
      </c>
      <c r="CH119">
        <v>2</v>
      </c>
      <c r="CI119" t="s">
        <v>310</v>
      </c>
      <c r="CJ119">
        <v>3.53254</v>
      </c>
      <c r="CK119">
        <v>2.7034600000000002</v>
      </c>
      <c r="CL119">
        <v>9.8044800000000001E-2</v>
      </c>
      <c r="CM119">
        <v>9.66862E-2</v>
      </c>
      <c r="CN119">
        <v>8.7045399999999995E-2</v>
      </c>
      <c r="CO119">
        <v>8.3968399999999999E-2</v>
      </c>
      <c r="CP119">
        <v>31631</v>
      </c>
      <c r="CQ119">
        <v>27765.599999999999</v>
      </c>
      <c r="CR119">
        <v>32456.9</v>
      </c>
      <c r="CS119">
        <v>30663.5</v>
      </c>
      <c r="CT119">
        <v>40115.699999999997</v>
      </c>
      <c r="CU119">
        <v>39486.699999999997</v>
      </c>
      <c r="CV119">
        <v>47392.1</v>
      </c>
      <c r="CW119">
        <v>46750.7</v>
      </c>
      <c r="CX119">
        <v>2.6265200000000002</v>
      </c>
      <c r="CY119">
        <v>2.14472</v>
      </c>
      <c r="CZ119">
        <v>0</v>
      </c>
      <c r="DA119">
        <v>0</v>
      </c>
      <c r="DB119">
        <v>999.9</v>
      </c>
      <c r="DC119">
        <v>999.9</v>
      </c>
      <c r="DD119">
        <v>64.710999999999999</v>
      </c>
      <c r="DE119">
        <v>25.559000000000001</v>
      </c>
      <c r="DF119">
        <v>21.243400000000001</v>
      </c>
      <c r="DG119">
        <v>30.240100000000002</v>
      </c>
      <c r="DH119">
        <v>17.6082</v>
      </c>
      <c r="DI119">
        <v>2</v>
      </c>
      <c r="DJ119">
        <v>-0.13927200000000001</v>
      </c>
      <c r="DK119">
        <v>1.96363</v>
      </c>
      <c r="DL119">
        <v>20.2334</v>
      </c>
      <c r="DM119">
        <v>5.25143</v>
      </c>
      <c r="DN119">
        <v>12.033899999999999</v>
      </c>
      <c r="DO119">
        <v>4.9676</v>
      </c>
      <c r="DP119">
        <v>3.2909999999999999</v>
      </c>
      <c r="DQ119">
        <v>9999</v>
      </c>
      <c r="DR119">
        <v>9999</v>
      </c>
      <c r="DS119">
        <v>534.5</v>
      </c>
      <c r="DT119">
        <v>9999</v>
      </c>
      <c r="DU119">
        <v>1.87103</v>
      </c>
      <c r="DV119">
        <v>1.8760699999999999</v>
      </c>
      <c r="DW119">
        <v>1.87625</v>
      </c>
      <c r="DX119">
        <v>1.8827799999999999</v>
      </c>
      <c r="DY119">
        <v>1.8755900000000001</v>
      </c>
      <c r="DZ119">
        <v>1.87463</v>
      </c>
      <c r="EA119">
        <v>1.87073</v>
      </c>
      <c r="EB119">
        <v>1.87463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-1.0449999999999999</v>
      </c>
      <c r="EQ119">
        <v>0.1028</v>
      </c>
      <c r="ER119">
        <v>-1.04590000000007</v>
      </c>
      <c r="ES119">
        <v>0</v>
      </c>
      <c r="ET119">
        <v>0</v>
      </c>
      <c r="EU119">
        <v>0</v>
      </c>
      <c r="EV119">
        <v>0.102854545454546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9.6999999999999993</v>
      </c>
      <c r="FE119">
        <v>9.6999999999999993</v>
      </c>
      <c r="FF119">
        <v>1.2365699999999999</v>
      </c>
      <c r="FG119">
        <v>2.5573700000000001</v>
      </c>
      <c r="FH119">
        <v>2.19604</v>
      </c>
      <c r="FI119">
        <v>2.66235</v>
      </c>
      <c r="FJ119">
        <v>2.4462899999999999</v>
      </c>
      <c r="FK119">
        <v>2.2851599999999999</v>
      </c>
      <c r="FL119">
        <v>30.738800000000001</v>
      </c>
      <c r="FM119">
        <v>24.148800000000001</v>
      </c>
      <c r="FN119">
        <v>19</v>
      </c>
      <c r="FO119">
        <v>864.31700000000001</v>
      </c>
      <c r="FP119">
        <v>584.51400000000001</v>
      </c>
      <c r="FQ119">
        <v>18.415800000000001</v>
      </c>
      <c r="FR119">
        <v>25.2346</v>
      </c>
      <c r="FS119">
        <v>30.000299999999999</v>
      </c>
      <c r="FT119">
        <v>25.2256</v>
      </c>
      <c r="FU119">
        <v>25.228400000000001</v>
      </c>
      <c r="FV119">
        <v>24.8096</v>
      </c>
      <c r="FW119">
        <v>32.813499999999998</v>
      </c>
      <c r="FX119">
        <v>20.959099999999999</v>
      </c>
      <c r="FY119">
        <v>18.412600000000001</v>
      </c>
      <c r="FZ119">
        <v>410</v>
      </c>
      <c r="GA119">
        <v>14.9101</v>
      </c>
      <c r="GB119">
        <v>99.869200000000006</v>
      </c>
      <c r="GC119">
        <v>99.532499999999999</v>
      </c>
    </row>
    <row r="120" spans="1:185" x14ac:dyDescent="0.2">
      <c r="A120">
        <v>105</v>
      </c>
      <c r="B120">
        <v>1769184822.0999999</v>
      </c>
      <c r="C120">
        <v>1959.0999999046301</v>
      </c>
      <c r="D120" t="s">
        <v>505</v>
      </c>
      <c r="E120" t="s">
        <v>506</v>
      </c>
      <c r="F120">
        <v>15</v>
      </c>
      <c r="G120">
        <v>1769184814.03333</v>
      </c>
      <c r="H120">
        <f t="shared" si="13"/>
        <v>4.2378220409690104E-4</v>
      </c>
      <c r="I120">
        <v>0</v>
      </c>
      <c r="J120">
        <f t="shared" si="25"/>
        <v>-2.5271593736771782E-4</v>
      </c>
      <c r="K120">
        <f t="shared" si="14"/>
        <v>-6.6185474231174983E-3</v>
      </c>
      <c r="L120">
        <f t="shared" si="15"/>
        <v>69.825383471761725</v>
      </c>
      <c r="M120">
        <f t="shared" si="16"/>
        <v>1.5398980789596206</v>
      </c>
      <c r="N120">
        <f t="shared" si="17"/>
        <v>2.2053557064708067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26253.634103427765</v>
      </c>
      <c r="T120">
        <f t="shared" si="21"/>
        <v>100.000706666667</v>
      </c>
      <c r="U120">
        <f t="shared" si="22"/>
        <v>84.300160696926142</v>
      </c>
      <c r="V120">
        <f t="shared" si="23"/>
        <v>0.84299564979999997</v>
      </c>
      <c r="W120">
        <f t="shared" si="24"/>
        <v>0.158689111508</v>
      </c>
      <c r="X120">
        <v>1</v>
      </c>
      <c r="Y120">
        <v>1769184814.03333</v>
      </c>
      <c r="Z120">
        <v>409.78739999999999</v>
      </c>
      <c r="AA120">
        <v>409.99619999999999</v>
      </c>
      <c r="AB120">
        <v>15.368880000000001</v>
      </c>
      <c r="AC120">
        <v>14.847300000000001</v>
      </c>
      <c r="AD120">
        <v>410.83339999999998</v>
      </c>
      <c r="AE120">
        <v>15.2660066666667</v>
      </c>
      <c r="AF120">
        <v>800.00986666666699</v>
      </c>
      <c r="AG120">
        <v>100.130333333333</v>
      </c>
      <c r="AH120">
        <v>6.5522120000000003E-2</v>
      </c>
      <c r="AI120">
        <v>19.001273333333302</v>
      </c>
      <c r="AJ120">
        <v>999.9</v>
      </c>
      <c r="AK120">
        <v>999.9</v>
      </c>
      <c r="AL120">
        <v>0</v>
      </c>
      <c r="AM120">
        <v>0</v>
      </c>
      <c r="AN120">
        <v>4999.5666666666702</v>
      </c>
      <c r="AO120">
        <v>0</v>
      </c>
      <c r="AP120">
        <v>2.0325500000000001</v>
      </c>
      <c r="AQ120">
        <v>-0.20882366666666699</v>
      </c>
      <c r="AR120">
        <v>416.18360000000001</v>
      </c>
      <c r="AS120">
        <v>416.17546666666698</v>
      </c>
      <c r="AT120">
        <v>0.52157613333333297</v>
      </c>
      <c r="AU120">
        <v>409.99619999999999</v>
      </c>
      <c r="AV120">
        <v>14.847300000000001</v>
      </c>
      <c r="AW120">
        <v>1.53888933333333</v>
      </c>
      <c r="AX120">
        <v>1.4866633333333299</v>
      </c>
      <c r="AY120">
        <v>13.360139999999999</v>
      </c>
      <c r="AZ120">
        <v>12.8317</v>
      </c>
      <c r="BA120">
        <v>100.000706666667</v>
      </c>
      <c r="BB120">
        <v>0.90014519999999998</v>
      </c>
      <c r="BC120">
        <v>0</v>
      </c>
      <c r="BD120">
        <v>9.9854806666666698E-2</v>
      </c>
      <c r="BE120">
        <v>0</v>
      </c>
      <c r="BF120">
        <v>25</v>
      </c>
      <c r="BG120">
        <v>1648.96</v>
      </c>
      <c r="BH120">
        <v>1769184227.0999999</v>
      </c>
      <c r="BI120" t="s">
        <v>438</v>
      </c>
      <c r="BJ120">
        <v>1769184227.0999999</v>
      </c>
      <c r="BK120">
        <v>1769184226.0999999</v>
      </c>
      <c r="BL120">
        <v>3</v>
      </c>
      <c r="BM120">
        <v>6.3E-2</v>
      </c>
      <c r="BN120">
        <v>-4.9000000000000002E-2</v>
      </c>
      <c r="BO120">
        <v>-1.046</v>
      </c>
      <c r="BP120">
        <v>0.10299999999999999</v>
      </c>
      <c r="BQ120">
        <v>410</v>
      </c>
      <c r="BR120">
        <v>15</v>
      </c>
      <c r="BS120">
        <v>0.22</v>
      </c>
      <c r="BT120">
        <v>0.08</v>
      </c>
      <c r="BU120">
        <v>-0.20574514285714299</v>
      </c>
      <c r="BV120">
        <v>1.9805376623376499E-2</v>
      </c>
      <c r="BW120">
        <v>1.4609130195697101E-2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0.52156819047618996</v>
      </c>
      <c r="CD120">
        <v>-2.78421038961034E-2</v>
      </c>
      <c r="CE120">
        <v>5.9445604877308E-3</v>
      </c>
      <c r="CF120">
        <v>1</v>
      </c>
      <c r="CG120">
        <v>2</v>
      </c>
      <c r="CH120">
        <v>2</v>
      </c>
      <c r="CI120" t="s">
        <v>310</v>
      </c>
      <c r="CJ120">
        <v>3.5325299999999999</v>
      </c>
      <c r="CK120">
        <v>2.7032500000000002</v>
      </c>
      <c r="CL120">
        <v>9.8042699999999997E-2</v>
      </c>
      <c r="CM120">
        <v>9.6682000000000004E-2</v>
      </c>
      <c r="CN120">
        <v>8.7021299999999996E-2</v>
      </c>
      <c r="CO120">
        <v>8.4049700000000005E-2</v>
      </c>
      <c r="CP120">
        <v>31630.400000000001</v>
      </c>
      <c r="CQ120">
        <v>27765.9</v>
      </c>
      <c r="CR120">
        <v>32456.3</v>
      </c>
      <c r="CS120">
        <v>30663.599999999999</v>
      </c>
      <c r="CT120">
        <v>40116.1</v>
      </c>
      <c r="CU120">
        <v>39483.199999999997</v>
      </c>
      <c r="CV120">
        <v>47391.199999999997</v>
      </c>
      <c r="CW120">
        <v>46750.9</v>
      </c>
      <c r="CX120">
        <v>2.6266600000000002</v>
      </c>
      <c r="CY120">
        <v>2.1446999999999998</v>
      </c>
      <c r="CZ120">
        <v>0</v>
      </c>
      <c r="DA120">
        <v>0</v>
      </c>
      <c r="DB120">
        <v>999.9</v>
      </c>
      <c r="DC120">
        <v>999.9</v>
      </c>
      <c r="DD120">
        <v>64.626000000000005</v>
      </c>
      <c r="DE120">
        <v>25.579000000000001</v>
      </c>
      <c r="DF120">
        <v>21.241199999999999</v>
      </c>
      <c r="DG120">
        <v>30.3001</v>
      </c>
      <c r="DH120">
        <v>17.664300000000001</v>
      </c>
      <c r="DI120">
        <v>2</v>
      </c>
      <c r="DJ120">
        <v>-0.13886200000000001</v>
      </c>
      <c r="DK120">
        <v>1.9644200000000001</v>
      </c>
      <c r="DL120">
        <v>20.2333</v>
      </c>
      <c r="DM120">
        <v>5.2516699999999998</v>
      </c>
      <c r="DN120">
        <v>12.033899999999999</v>
      </c>
      <c r="DO120">
        <v>4.9674800000000001</v>
      </c>
      <c r="DP120">
        <v>3.2909999999999999</v>
      </c>
      <c r="DQ120">
        <v>9999</v>
      </c>
      <c r="DR120">
        <v>9999</v>
      </c>
      <c r="DS120">
        <v>534.5</v>
      </c>
      <c r="DT120">
        <v>9999</v>
      </c>
      <c r="DU120">
        <v>1.87104</v>
      </c>
      <c r="DV120">
        <v>1.87609</v>
      </c>
      <c r="DW120">
        <v>1.8762799999999999</v>
      </c>
      <c r="DX120">
        <v>1.88279</v>
      </c>
      <c r="DY120">
        <v>1.8755999999999999</v>
      </c>
      <c r="DZ120">
        <v>1.8746400000000001</v>
      </c>
      <c r="EA120">
        <v>1.87073</v>
      </c>
      <c r="EB120">
        <v>1.87466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-1.046</v>
      </c>
      <c r="EQ120">
        <v>0.1028</v>
      </c>
      <c r="ER120">
        <v>-1.04590000000007</v>
      </c>
      <c r="ES120">
        <v>0</v>
      </c>
      <c r="ET120">
        <v>0</v>
      </c>
      <c r="EU120">
        <v>0</v>
      </c>
      <c r="EV120">
        <v>0.102854545454546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9.9</v>
      </c>
      <c r="FE120">
        <v>9.9</v>
      </c>
      <c r="FF120">
        <v>1.2365699999999999</v>
      </c>
      <c r="FG120">
        <v>2.5585900000000001</v>
      </c>
      <c r="FH120">
        <v>2.19604</v>
      </c>
      <c r="FI120">
        <v>2.66113</v>
      </c>
      <c r="FJ120">
        <v>2.4462899999999999</v>
      </c>
      <c r="FK120">
        <v>2.3083499999999999</v>
      </c>
      <c r="FL120">
        <v>30.760400000000001</v>
      </c>
      <c r="FM120">
        <v>24.157499999999999</v>
      </c>
      <c r="FN120">
        <v>19</v>
      </c>
      <c r="FO120">
        <v>864.52200000000005</v>
      </c>
      <c r="FP120">
        <v>584.54600000000005</v>
      </c>
      <c r="FQ120">
        <v>18.408999999999999</v>
      </c>
      <c r="FR120">
        <v>25.239699999999999</v>
      </c>
      <c r="FS120">
        <v>30.0001</v>
      </c>
      <c r="FT120">
        <v>25.2303</v>
      </c>
      <c r="FU120">
        <v>25.232600000000001</v>
      </c>
      <c r="FV120">
        <v>24.810300000000002</v>
      </c>
      <c r="FW120">
        <v>32.539700000000003</v>
      </c>
      <c r="FX120">
        <v>20.588200000000001</v>
      </c>
      <c r="FY120">
        <v>18.408799999999999</v>
      </c>
      <c r="FZ120">
        <v>410</v>
      </c>
      <c r="GA120">
        <v>14.916700000000001</v>
      </c>
      <c r="GB120">
        <v>99.867199999999997</v>
      </c>
      <c r="GC120">
        <v>99.532899999999998</v>
      </c>
    </row>
    <row r="121" spans="1:185" x14ac:dyDescent="0.2">
      <c r="A121">
        <v>106</v>
      </c>
      <c r="B121">
        <v>1769184837.0999999</v>
      </c>
      <c r="C121">
        <v>1974.0999999046301</v>
      </c>
      <c r="D121" t="s">
        <v>507</v>
      </c>
      <c r="E121" t="s">
        <v>508</v>
      </c>
      <c r="F121">
        <v>15</v>
      </c>
      <c r="G121">
        <v>1769184829.03333</v>
      </c>
      <c r="H121">
        <f t="shared" si="13"/>
        <v>4.0979363688190158E-4</v>
      </c>
      <c r="I121">
        <v>0</v>
      </c>
      <c r="J121">
        <f t="shared" si="25"/>
        <v>-6.0423736399066149E-4</v>
      </c>
      <c r="K121">
        <f t="shared" si="14"/>
        <v>-1.5824778168116279E-2</v>
      </c>
      <c r="L121">
        <f t="shared" si="15"/>
        <v>69.849188807713531</v>
      </c>
      <c r="M121">
        <f t="shared" si="16"/>
        <v>1.5404993327475749</v>
      </c>
      <c r="N121">
        <f t="shared" si="17"/>
        <v>2.2054648866265083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26290.575762192329</v>
      </c>
      <c r="T121">
        <f t="shared" si="21"/>
        <v>100.00008</v>
      </c>
      <c r="U121">
        <f t="shared" si="22"/>
        <v>84.299624339645476</v>
      </c>
      <c r="V121">
        <f t="shared" si="23"/>
        <v>0.84299556899999961</v>
      </c>
      <c r="W121">
        <f t="shared" si="24"/>
        <v>0.15868898745999993</v>
      </c>
      <c r="X121">
        <v>1</v>
      </c>
      <c r="Y121">
        <v>1769184829.03333</v>
      </c>
      <c r="Z121">
        <v>409.79493333333301</v>
      </c>
      <c r="AA121">
        <v>409.98506666666702</v>
      </c>
      <c r="AB121">
        <v>15.3749066666667</v>
      </c>
      <c r="AC121">
        <v>14.87054</v>
      </c>
      <c r="AD121">
        <v>410.80293333333299</v>
      </c>
      <c r="AE121">
        <v>15.2679066666667</v>
      </c>
      <c r="AF121">
        <v>799.99953333333303</v>
      </c>
      <c r="AG121">
        <v>100.130266666667</v>
      </c>
      <c r="AH121">
        <v>6.5420119999999998E-2</v>
      </c>
      <c r="AI121">
        <v>19.0020666666667</v>
      </c>
      <c r="AJ121">
        <v>999.9</v>
      </c>
      <c r="AK121">
        <v>999.9</v>
      </c>
      <c r="AL121">
        <v>0</v>
      </c>
      <c r="AM121">
        <v>0</v>
      </c>
      <c r="AN121">
        <v>5005.6666666666697</v>
      </c>
      <c r="AO121">
        <v>0</v>
      </c>
      <c r="AP121">
        <v>2.0325500000000001</v>
      </c>
      <c r="AQ121">
        <v>-0.22815153333333299</v>
      </c>
      <c r="AR121">
        <v>416.15359999999998</v>
      </c>
      <c r="AS121">
        <v>416.17386666666698</v>
      </c>
      <c r="AT121">
        <v>0.50021153333333301</v>
      </c>
      <c r="AU121">
        <v>409.98506666666702</v>
      </c>
      <c r="AV121">
        <v>14.87054</v>
      </c>
      <c r="AW121">
        <v>1.53907666666667</v>
      </c>
      <c r="AX121">
        <v>1.4889906666666699</v>
      </c>
      <c r="AY121">
        <v>13.3620133333333</v>
      </c>
      <c r="AZ121">
        <v>12.8555733333333</v>
      </c>
      <c r="BA121">
        <v>100.00008</v>
      </c>
      <c r="BB121">
        <v>0.90014673333333295</v>
      </c>
      <c r="BC121">
        <v>0</v>
      </c>
      <c r="BD121">
        <v>9.9853233333333305E-2</v>
      </c>
      <c r="BE121">
        <v>0</v>
      </c>
      <c r="BF121">
        <v>25</v>
      </c>
      <c r="BG121">
        <v>1648.95066666667</v>
      </c>
      <c r="BH121">
        <v>1769184857.0999999</v>
      </c>
      <c r="BI121" t="s">
        <v>509</v>
      </c>
      <c r="BJ121">
        <v>1769184855.0999999</v>
      </c>
      <c r="BK121">
        <v>1769184857.0999999</v>
      </c>
      <c r="BL121">
        <v>4</v>
      </c>
      <c r="BM121">
        <v>3.7999999999999999E-2</v>
      </c>
      <c r="BN121">
        <v>4.0000000000000001E-3</v>
      </c>
      <c r="BO121">
        <v>-1.008</v>
      </c>
      <c r="BP121">
        <v>0.107</v>
      </c>
      <c r="BQ121">
        <v>410</v>
      </c>
      <c r="BR121">
        <v>15</v>
      </c>
      <c r="BS121">
        <v>0.25</v>
      </c>
      <c r="BT121">
        <v>7.0000000000000007E-2</v>
      </c>
      <c r="BU121">
        <v>-0.21933295</v>
      </c>
      <c r="BV121">
        <v>-0.218639503759398</v>
      </c>
      <c r="BW121">
        <v>2.87964134806316E-2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0.50339964999999998</v>
      </c>
      <c r="CD121">
        <v>-4.5168676691729699E-2</v>
      </c>
      <c r="CE121">
        <v>7.0848068235838304E-3</v>
      </c>
      <c r="CF121">
        <v>1</v>
      </c>
      <c r="CG121">
        <v>2</v>
      </c>
      <c r="CH121">
        <v>2</v>
      </c>
      <c r="CI121" t="s">
        <v>310</v>
      </c>
      <c r="CJ121">
        <v>3.5325000000000002</v>
      </c>
      <c r="CK121">
        <v>2.7032400000000001</v>
      </c>
      <c r="CL121">
        <v>9.8041199999999995E-2</v>
      </c>
      <c r="CM121">
        <v>9.6685300000000002E-2</v>
      </c>
      <c r="CN121">
        <v>8.7046399999999996E-2</v>
      </c>
      <c r="CO121">
        <v>8.4042699999999998E-2</v>
      </c>
      <c r="CP121">
        <v>31630</v>
      </c>
      <c r="CQ121">
        <v>27765.8</v>
      </c>
      <c r="CR121">
        <v>32455.8</v>
      </c>
      <c r="CS121">
        <v>30663.7</v>
      </c>
      <c r="CT121">
        <v>40114.5</v>
      </c>
      <c r="CU121">
        <v>39483.599999999999</v>
      </c>
      <c r="CV121">
        <v>47390.6</v>
      </c>
      <c r="CW121">
        <v>46751</v>
      </c>
      <c r="CX121">
        <v>2.6263399999999999</v>
      </c>
      <c r="CY121">
        <v>2.1442600000000001</v>
      </c>
      <c r="CZ121">
        <v>0</v>
      </c>
      <c r="DA121">
        <v>0</v>
      </c>
      <c r="DB121">
        <v>999.9</v>
      </c>
      <c r="DC121">
        <v>999.9</v>
      </c>
      <c r="DD121">
        <v>64.528000000000006</v>
      </c>
      <c r="DE121">
        <v>25.588999999999999</v>
      </c>
      <c r="DF121">
        <v>21.2211</v>
      </c>
      <c r="DG121">
        <v>30.600100000000001</v>
      </c>
      <c r="DH121">
        <v>17.688300000000002</v>
      </c>
      <c r="DI121">
        <v>2</v>
      </c>
      <c r="DJ121">
        <v>-0.13844699999999999</v>
      </c>
      <c r="DK121">
        <v>1.96644</v>
      </c>
      <c r="DL121">
        <v>20.2333</v>
      </c>
      <c r="DM121">
        <v>5.2523900000000001</v>
      </c>
      <c r="DN121">
        <v>12.033899999999999</v>
      </c>
      <c r="DO121">
        <v>4.9674800000000001</v>
      </c>
      <c r="DP121">
        <v>3.2909999999999999</v>
      </c>
      <c r="DQ121">
        <v>9999</v>
      </c>
      <c r="DR121">
        <v>9999</v>
      </c>
      <c r="DS121">
        <v>534.5</v>
      </c>
      <c r="DT121">
        <v>9999</v>
      </c>
      <c r="DU121">
        <v>1.87104</v>
      </c>
      <c r="DV121">
        <v>1.87609</v>
      </c>
      <c r="DW121">
        <v>1.8762799999999999</v>
      </c>
      <c r="DX121">
        <v>1.8828</v>
      </c>
      <c r="DY121">
        <v>1.87561</v>
      </c>
      <c r="DZ121">
        <v>1.87466</v>
      </c>
      <c r="EA121">
        <v>1.87076</v>
      </c>
      <c r="EB121">
        <v>1.8746700000000001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-1.008</v>
      </c>
      <c r="EQ121">
        <v>0.107</v>
      </c>
      <c r="ER121">
        <v>-1.04590000000007</v>
      </c>
      <c r="ES121">
        <v>0</v>
      </c>
      <c r="ET121">
        <v>0</v>
      </c>
      <c r="EU121">
        <v>0</v>
      </c>
      <c r="EV121">
        <v>0.102854545454546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10.199999999999999</v>
      </c>
      <c r="FE121">
        <v>10.199999999999999</v>
      </c>
      <c r="FF121">
        <v>1.2365699999999999</v>
      </c>
      <c r="FG121">
        <v>2.5622600000000002</v>
      </c>
      <c r="FH121">
        <v>2.19604</v>
      </c>
      <c r="FI121">
        <v>2.66235</v>
      </c>
      <c r="FJ121">
        <v>2.4462899999999999</v>
      </c>
      <c r="FK121">
        <v>2.3034699999999999</v>
      </c>
      <c r="FL121">
        <v>30.760400000000001</v>
      </c>
      <c r="FM121">
        <v>24.157499999999999</v>
      </c>
      <c r="FN121">
        <v>19</v>
      </c>
      <c r="FO121">
        <v>864.29300000000001</v>
      </c>
      <c r="FP121">
        <v>584.25300000000004</v>
      </c>
      <c r="FQ121">
        <v>18.4055</v>
      </c>
      <c r="FR121">
        <v>25.244399999999999</v>
      </c>
      <c r="FS121">
        <v>30.0002</v>
      </c>
      <c r="FT121">
        <v>25.234500000000001</v>
      </c>
      <c r="FU121">
        <v>25.236799999999999</v>
      </c>
      <c r="FV121">
        <v>24.8124</v>
      </c>
      <c r="FW121">
        <v>32.539700000000003</v>
      </c>
      <c r="FX121">
        <v>20.213100000000001</v>
      </c>
      <c r="FY121">
        <v>18.4026</v>
      </c>
      <c r="FZ121">
        <v>410</v>
      </c>
      <c r="GA121">
        <v>14.9155</v>
      </c>
      <c r="GB121">
        <v>99.866</v>
      </c>
      <c r="GC121">
        <v>99.533199999999994</v>
      </c>
    </row>
    <row r="122" spans="1:185" x14ac:dyDescent="0.2">
      <c r="A122">
        <v>107</v>
      </c>
      <c r="B122">
        <v>1769184859.0999999</v>
      </c>
      <c r="C122">
        <v>1996.0999999046301</v>
      </c>
      <c r="D122" t="s">
        <v>510</v>
      </c>
      <c r="E122" t="s">
        <v>511</v>
      </c>
      <c r="F122">
        <v>15</v>
      </c>
      <c r="G122">
        <v>1769184858.0999999</v>
      </c>
      <c r="H122">
        <f t="shared" si="13"/>
        <v>7.3089876799487814E-7</v>
      </c>
      <c r="I122">
        <v>0</v>
      </c>
      <c r="J122">
        <f t="shared" si="25"/>
        <v>6.3006229320531509E-4</v>
      </c>
      <c r="K122">
        <f t="shared" si="14"/>
        <v>1.6501124584912038E-2</v>
      </c>
      <c r="L122">
        <f t="shared" si="15"/>
        <v>67.54834138558175</v>
      </c>
      <c r="M122">
        <f t="shared" si="16"/>
        <v>1.48967438436495</v>
      </c>
      <c r="N122">
        <f t="shared" si="17"/>
        <v>2.2053456144267702</v>
      </c>
      <c r="O122">
        <v>480</v>
      </c>
      <c r="P122">
        <v>60</v>
      </c>
      <c r="Q122">
        <f t="shared" si="18"/>
        <v>1</v>
      </c>
      <c r="R122">
        <f t="shared" si="19"/>
        <v>0</v>
      </c>
      <c r="S122">
        <f t="shared" si="20"/>
        <v>26238.494120573327</v>
      </c>
      <c r="T122">
        <f t="shared" si="21"/>
        <v>99.997399999999999</v>
      </c>
      <c r="U122">
        <f t="shared" si="22"/>
        <v>84.297374411278795</v>
      </c>
      <c r="V122">
        <f t="shared" si="23"/>
        <v>0.84299566199999998</v>
      </c>
      <c r="W122">
        <f t="shared" si="24"/>
        <v>0.15868993451999999</v>
      </c>
      <c r="X122">
        <v>1</v>
      </c>
      <c r="Y122">
        <v>1769184858.0999999</v>
      </c>
      <c r="Z122">
        <v>409.97800000000001</v>
      </c>
      <c r="AA122">
        <v>409.99900000000002</v>
      </c>
      <c r="AB122">
        <v>14.8659</v>
      </c>
      <c r="AC122">
        <v>14.865</v>
      </c>
      <c r="AD122">
        <v>410.98599999999999</v>
      </c>
      <c r="AE122">
        <v>14.7593</v>
      </c>
      <c r="AF122">
        <v>800.03700000000003</v>
      </c>
      <c r="AG122">
        <v>100.13200000000001</v>
      </c>
      <c r="AH122">
        <v>7.5480500000000006E-2</v>
      </c>
      <c r="AI122">
        <v>19.001200000000001</v>
      </c>
      <c r="AJ122">
        <v>999.9</v>
      </c>
      <c r="AK122">
        <v>999.9</v>
      </c>
      <c r="AL122">
        <v>0</v>
      </c>
      <c r="AM122">
        <v>0</v>
      </c>
      <c r="AN122">
        <v>4997</v>
      </c>
      <c r="AO122">
        <v>0</v>
      </c>
      <c r="AP122">
        <v>2.0325500000000001</v>
      </c>
      <c r="AQ122">
        <v>-2.1179199999999999E-2</v>
      </c>
      <c r="AR122">
        <v>416.16500000000002</v>
      </c>
      <c r="AS122">
        <v>416.18599999999998</v>
      </c>
      <c r="AT122">
        <v>9.0599099999999998E-4</v>
      </c>
      <c r="AU122">
        <v>409.99900000000002</v>
      </c>
      <c r="AV122">
        <v>14.865</v>
      </c>
      <c r="AW122">
        <v>1.48855</v>
      </c>
      <c r="AX122">
        <v>1.4884599999999999</v>
      </c>
      <c r="AY122">
        <v>12.851100000000001</v>
      </c>
      <c r="AZ122">
        <v>12.850099999999999</v>
      </c>
      <c r="BA122">
        <v>99.997399999999999</v>
      </c>
      <c r="BB122">
        <v>0.90013299999999996</v>
      </c>
      <c r="BC122">
        <v>0</v>
      </c>
      <c r="BD122">
        <v>9.98666E-2</v>
      </c>
      <c r="BE122">
        <v>0</v>
      </c>
      <c r="BF122">
        <v>25</v>
      </c>
      <c r="BG122">
        <v>1648.9</v>
      </c>
      <c r="BH122">
        <v>1769184857.0999999</v>
      </c>
      <c r="BI122" t="s">
        <v>509</v>
      </c>
      <c r="BJ122">
        <v>1769184855.0999999</v>
      </c>
      <c r="BK122">
        <v>1769184857.0999999</v>
      </c>
      <c r="BL122">
        <v>4</v>
      </c>
      <c r="BM122">
        <v>3.7999999999999999E-2</v>
      </c>
      <c r="BN122">
        <v>4.0000000000000001E-3</v>
      </c>
      <c r="BO122">
        <v>-1.008</v>
      </c>
      <c r="BP122">
        <v>0.107</v>
      </c>
      <c r="BQ122">
        <v>410</v>
      </c>
      <c r="BR122">
        <v>15</v>
      </c>
      <c r="BS122">
        <v>0.25</v>
      </c>
      <c r="BT122">
        <v>7.0000000000000007E-2</v>
      </c>
      <c r="BU122">
        <v>-6.5391514999999997E-2</v>
      </c>
      <c r="BV122">
        <v>0.38887024511278201</v>
      </c>
      <c r="BW122">
        <v>4.9118709125599701E-2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7.5793866299999998E-2</v>
      </c>
      <c r="CD122">
        <v>-1.14786128192481</v>
      </c>
      <c r="CE122">
        <v>0.15079246418903899</v>
      </c>
      <c r="CF122">
        <v>0</v>
      </c>
      <c r="CG122">
        <v>1</v>
      </c>
      <c r="CH122">
        <v>2</v>
      </c>
      <c r="CI122" t="s">
        <v>301</v>
      </c>
      <c r="CJ122">
        <v>3.5335800000000002</v>
      </c>
      <c r="CK122">
        <v>2.7123499999999998</v>
      </c>
      <c r="CL122">
        <v>9.8062800000000006E-2</v>
      </c>
      <c r="CM122">
        <v>9.6684300000000001E-2</v>
      </c>
      <c r="CN122">
        <v>8.4896700000000005E-2</v>
      </c>
      <c r="CO122">
        <v>8.4036600000000003E-2</v>
      </c>
      <c r="CP122">
        <v>31628.9</v>
      </c>
      <c r="CQ122">
        <v>27765.599999999999</v>
      </c>
      <c r="CR122">
        <v>32455.599999999999</v>
      </c>
      <c r="CS122">
        <v>30663.5</v>
      </c>
      <c r="CT122">
        <v>40211.9</v>
      </c>
      <c r="CU122">
        <v>39483.699999999997</v>
      </c>
      <c r="CV122">
        <v>47390.5</v>
      </c>
      <c r="CW122">
        <v>46750.8</v>
      </c>
      <c r="CX122">
        <v>1.6877</v>
      </c>
      <c r="CY122">
        <v>1.61398</v>
      </c>
      <c r="CZ122">
        <v>0</v>
      </c>
      <c r="DA122">
        <v>0</v>
      </c>
      <c r="DB122">
        <v>999.9</v>
      </c>
      <c r="DC122">
        <v>999.9</v>
      </c>
      <c r="DD122">
        <v>64.382000000000005</v>
      </c>
      <c r="DE122">
        <v>25.619</v>
      </c>
      <c r="DF122">
        <v>21.213000000000001</v>
      </c>
      <c r="DG122">
        <v>30.460100000000001</v>
      </c>
      <c r="DH122">
        <v>18.0609</v>
      </c>
      <c r="DI122">
        <v>2</v>
      </c>
      <c r="DJ122">
        <v>-0.13805899999999999</v>
      </c>
      <c r="DK122">
        <v>1.99227</v>
      </c>
      <c r="DL122">
        <v>20.228100000000001</v>
      </c>
      <c r="DM122">
        <v>5.24125</v>
      </c>
      <c r="DN122">
        <v>12.033899999999999</v>
      </c>
      <c r="DO122">
        <v>4.9655199999999997</v>
      </c>
      <c r="DP122">
        <v>3.2895799999999999</v>
      </c>
      <c r="DQ122">
        <v>9999</v>
      </c>
      <c r="DR122">
        <v>9999</v>
      </c>
      <c r="DS122">
        <v>534.5</v>
      </c>
      <c r="DT122">
        <v>9999</v>
      </c>
      <c r="DU122">
        <v>1.8710500000000001</v>
      </c>
      <c r="DV122">
        <v>1.8760699999999999</v>
      </c>
      <c r="DW122">
        <v>1.87629</v>
      </c>
      <c r="DX122">
        <v>1.88279</v>
      </c>
      <c r="DY122">
        <v>1.87561</v>
      </c>
      <c r="DZ122">
        <v>1.8746700000000001</v>
      </c>
      <c r="EA122">
        <v>1.8707400000000001</v>
      </c>
      <c r="EB122">
        <v>1.87466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-1.008</v>
      </c>
      <c r="EQ122">
        <v>0.1065</v>
      </c>
      <c r="ER122">
        <v>-1.00799999999998</v>
      </c>
      <c r="ES122">
        <v>0</v>
      </c>
      <c r="ET122">
        <v>0</v>
      </c>
      <c r="EU122">
        <v>0</v>
      </c>
      <c r="EV122">
        <v>0.106540000000001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0.1</v>
      </c>
      <c r="FE122">
        <v>0</v>
      </c>
      <c r="FF122">
        <v>1.2365699999999999</v>
      </c>
      <c r="FG122">
        <v>2.5561500000000001</v>
      </c>
      <c r="FH122">
        <v>2.19604</v>
      </c>
      <c r="FI122">
        <v>2.66235</v>
      </c>
      <c r="FJ122">
        <v>2.4462899999999999</v>
      </c>
      <c r="FK122">
        <v>2.2863799999999999</v>
      </c>
      <c r="FL122">
        <v>30.782</v>
      </c>
      <c r="FM122">
        <v>24.148800000000001</v>
      </c>
      <c r="FN122">
        <v>19</v>
      </c>
      <c r="FO122">
        <v>296.11900000000003</v>
      </c>
      <c r="FP122">
        <v>280.77100000000002</v>
      </c>
      <c r="FQ122">
        <v>18.3901</v>
      </c>
      <c r="FR122">
        <v>25.251200000000001</v>
      </c>
      <c r="FS122">
        <v>30.0002</v>
      </c>
      <c r="FT122">
        <v>25.259499999999999</v>
      </c>
      <c r="FU122">
        <v>25.257999999999999</v>
      </c>
      <c r="FV122">
        <v>24.810400000000001</v>
      </c>
      <c r="FW122">
        <v>31.601900000000001</v>
      </c>
      <c r="FX122">
        <v>20.213100000000001</v>
      </c>
      <c r="FY122">
        <v>18.388400000000001</v>
      </c>
      <c r="FZ122">
        <v>410</v>
      </c>
      <c r="GA122">
        <v>15.277200000000001</v>
      </c>
      <c r="GB122">
        <v>99.865600000000001</v>
      </c>
      <c r="GC122">
        <v>99.532600000000002</v>
      </c>
    </row>
    <row r="123" spans="1:185" x14ac:dyDescent="0.2">
      <c r="A123">
        <v>108</v>
      </c>
      <c r="B123">
        <v>1769184874.0999999</v>
      </c>
      <c r="C123">
        <v>2011.0999999046301</v>
      </c>
      <c r="D123" t="s">
        <v>512</v>
      </c>
      <c r="E123" t="s">
        <v>513</v>
      </c>
      <c r="F123">
        <v>15</v>
      </c>
      <c r="G123">
        <v>1769184866.03333</v>
      </c>
      <c r="H123">
        <f t="shared" si="13"/>
        <v>2.7721161960120419E-4</v>
      </c>
      <c r="I123">
        <v>0</v>
      </c>
      <c r="J123">
        <f t="shared" si="25"/>
        <v>-6.1779520835791813E-4</v>
      </c>
      <c r="K123">
        <f t="shared" si="14"/>
        <v>-1.6179853660523262E-2</v>
      </c>
      <c r="L123">
        <f t="shared" si="15"/>
        <v>69.499809978203004</v>
      </c>
      <c r="M123">
        <f t="shared" si="16"/>
        <v>1.5327435308558179</v>
      </c>
      <c r="N123">
        <f t="shared" si="17"/>
        <v>2.2053924051540963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26232.021848251472</v>
      </c>
      <c r="T123">
        <f t="shared" si="21"/>
        <v>99.999579999999995</v>
      </c>
      <c r="U123">
        <f t="shared" si="22"/>
        <v>84.299205401850273</v>
      </c>
      <c r="V123">
        <f t="shared" si="23"/>
        <v>0.84299559460000006</v>
      </c>
      <c r="W123">
        <f t="shared" si="24"/>
        <v>0.15868889555599999</v>
      </c>
      <c r="X123">
        <v>1</v>
      </c>
      <c r="Y123">
        <v>1769184866.03333</v>
      </c>
      <c r="Z123">
        <v>409.83986666666698</v>
      </c>
      <c r="AA123">
        <v>409.96159999999998</v>
      </c>
      <c r="AB123">
        <v>15.296939999999999</v>
      </c>
      <c r="AC123">
        <v>14.9558866666667</v>
      </c>
      <c r="AD123">
        <v>410.84786666666702</v>
      </c>
      <c r="AE123">
        <v>15.1904133333333</v>
      </c>
      <c r="AF123">
        <v>800.37666666666701</v>
      </c>
      <c r="AG123">
        <v>100.132133333333</v>
      </c>
      <c r="AH123">
        <v>6.7222279999999995E-2</v>
      </c>
      <c r="AI123">
        <v>19.001539999999999</v>
      </c>
      <c r="AJ123">
        <v>999.9</v>
      </c>
      <c r="AK123">
        <v>999.9</v>
      </c>
      <c r="AL123">
        <v>0</v>
      </c>
      <c r="AM123">
        <v>0</v>
      </c>
      <c r="AN123">
        <v>4995.9333333333298</v>
      </c>
      <c r="AO123">
        <v>0</v>
      </c>
      <c r="AP123">
        <v>2.0325500000000001</v>
      </c>
      <c r="AQ123">
        <v>-0.12156586666666699</v>
      </c>
      <c r="AR123">
        <v>416.20666666666699</v>
      </c>
      <c r="AS123">
        <v>416.18619999999999</v>
      </c>
      <c r="AT123">
        <v>0.34105866606666702</v>
      </c>
      <c r="AU123">
        <v>409.96159999999998</v>
      </c>
      <c r="AV123">
        <v>14.9558866666667</v>
      </c>
      <c r="AW123">
        <v>1.5317166666666699</v>
      </c>
      <c r="AX123">
        <v>1.4975686666666701</v>
      </c>
      <c r="AY123">
        <v>13.287599999999999</v>
      </c>
      <c r="AZ123">
        <v>12.9432733333333</v>
      </c>
      <c r="BA123">
        <v>99.999579999999995</v>
      </c>
      <c r="BB123">
        <v>0.90014819999999995</v>
      </c>
      <c r="BC123">
        <v>0</v>
      </c>
      <c r="BD123">
        <v>9.9851846666666702E-2</v>
      </c>
      <c r="BE123">
        <v>0</v>
      </c>
      <c r="BF123">
        <v>25</v>
      </c>
      <c r="BG123">
        <v>1648.942</v>
      </c>
      <c r="BH123">
        <v>1769184857.0999999</v>
      </c>
      <c r="BI123" t="s">
        <v>509</v>
      </c>
      <c r="BJ123">
        <v>1769184855.0999999</v>
      </c>
      <c r="BK123">
        <v>1769184857.0999999</v>
      </c>
      <c r="BL123">
        <v>4</v>
      </c>
      <c r="BM123">
        <v>3.7999999999999999E-2</v>
      </c>
      <c r="BN123">
        <v>4.0000000000000001E-3</v>
      </c>
      <c r="BO123">
        <v>-1.008</v>
      </c>
      <c r="BP123">
        <v>0.107</v>
      </c>
      <c r="BQ123">
        <v>410</v>
      </c>
      <c r="BR123">
        <v>15</v>
      </c>
      <c r="BS123">
        <v>0.25</v>
      </c>
      <c r="BT123">
        <v>7.0000000000000007E-2</v>
      </c>
      <c r="BU123">
        <v>-9.8461414285714297E-2</v>
      </c>
      <c r="BV123">
        <v>-0.614740605194805</v>
      </c>
      <c r="BW123">
        <v>6.8991081657498995E-2</v>
      </c>
      <c r="BX123">
        <v>0</v>
      </c>
      <c r="BY123">
        <v>0</v>
      </c>
      <c r="BZ123">
        <v>0</v>
      </c>
      <c r="CA123">
        <v>0</v>
      </c>
      <c r="CB123">
        <v>-1</v>
      </c>
      <c r="CC123">
        <v>0.24360902100000001</v>
      </c>
      <c r="CD123">
        <v>1.79683524116883</v>
      </c>
      <c r="CE123">
        <v>0.19118326610420799</v>
      </c>
      <c r="CF123">
        <v>0</v>
      </c>
      <c r="CG123">
        <v>0</v>
      </c>
      <c r="CH123">
        <v>2</v>
      </c>
      <c r="CI123" t="s">
        <v>290</v>
      </c>
      <c r="CJ123">
        <v>3.5325199999999999</v>
      </c>
      <c r="CK123">
        <v>2.70336</v>
      </c>
      <c r="CL123">
        <v>9.8045099999999996E-2</v>
      </c>
      <c r="CM123">
        <v>9.6695000000000003E-2</v>
      </c>
      <c r="CN123">
        <v>8.7233900000000003E-2</v>
      </c>
      <c r="CO123">
        <v>8.4366300000000005E-2</v>
      </c>
      <c r="CP123">
        <v>31629.5</v>
      </c>
      <c r="CQ123">
        <v>27765.599999999999</v>
      </c>
      <c r="CR123">
        <v>32455.5</v>
      </c>
      <c r="CS123">
        <v>30663.8</v>
      </c>
      <c r="CT123">
        <v>40105.599999999999</v>
      </c>
      <c r="CU123">
        <v>39469.699999999997</v>
      </c>
      <c r="CV123">
        <v>47390.1</v>
      </c>
      <c r="CW123">
        <v>46751.5</v>
      </c>
      <c r="CX123">
        <v>2.6239400000000002</v>
      </c>
      <c r="CY123">
        <v>2.1427800000000001</v>
      </c>
      <c r="CZ123">
        <v>0</v>
      </c>
      <c r="DA123">
        <v>0</v>
      </c>
      <c r="DB123">
        <v>999.9</v>
      </c>
      <c r="DC123">
        <v>999.9</v>
      </c>
      <c r="DD123">
        <v>64.313999999999993</v>
      </c>
      <c r="DE123">
        <v>25.629000000000001</v>
      </c>
      <c r="DF123">
        <v>21.199300000000001</v>
      </c>
      <c r="DG123">
        <v>30.610099999999999</v>
      </c>
      <c r="DH123">
        <v>17.688300000000002</v>
      </c>
      <c r="DI123">
        <v>2</v>
      </c>
      <c r="DJ123">
        <v>-0.137573</v>
      </c>
      <c r="DK123">
        <v>1.98584</v>
      </c>
      <c r="DL123">
        <v>20.233799999999999</v>
      </c>
      <c r="DM123">
        <v>5.2526299999999999</v>
      </c>
      <c r="DN123">
        <v>12.033899999999999</v>
      </c>
      <c r="DO123">
        <v>4.9672799999999997</v>
      </c>
      <c r="DP123">
        <v>3.2909999999999999</v>
      </c>
      <c r="DQ123">
        <v>9999</v>
      </c>
      <c r="DR123">
        <v>9999</v>
      </c>
      <c r="DS123">
        <v>534.5</v>
      </c>
      <c r="DT123">
        <v>9999</v>
      </c>
      <c r="DU123">
        <v>1.87103</v>
      </c>
      <c r="DV123">
        <v>1.87608</v>
      </c>
      <c r="DW123">
        <v>1.8762799999999999</v>
      </c>
      <c r="DX123">
        <v>1.8827799999999999</v>
      </c>
      <c r="DY123">
        <v>1.8755900000000001</v>
      </c>
      <c r="DZ123">
        <v>1.8746499999999999</v>
      </c>
      <c r="EA123">
        <v>1.8707499999999999</v>
      </c>
      <c r="EB123">
        <v>1.8746499999999999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-1.008</v>
      </c>
      <c r="EQ123">
        <v>0.1066</v>
      </c>
      <c r="ER123">
        <v>-1.00799999999998</v>
      </c>
      <c r="ES123">
        <v>0</v>
      </c>
      <c r="ET123">
        <v>0</v>
      </c>
      <c r="EU123">
        <v>0</v>
      </c>
      <c r="EV123">
        <v>0.106540000000001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0.3</v>
      </c>
      <c r="FE123">
        <v>0.3</v>
      </c>
      <c r="FF123">
        <v>1.2365699999999999</v>
      </c>
      <c r="FG123">
        <v>2.5610400000000002</v>
      </c>
      <c r="FH123">
        <v>2.19604</v>
      </c>
      <c r="FI123">
        <v>2.66235</v>
      </c>
      <c r="FJ123">
        <v>2.4462899999999999</v>
      </c>
      <c r="FK123">
        <v>2.2924799999999999</v>
      </c>
      <c r="FL123">
        <v>30.782</v>
      </c>
      <c r="FM123">
        <v>24.148800000000001</v>
      </c>
      <c r="FN123">
        <v>19</v>
      </c>
      <c r="FO123">
        <v>862.25099999999998</v>
      </c>
      <c r="FP123">
        <v>583.22799999999995</v>
      </c>
      <c r="FQ123">
        <v>18.385100000000001</v>
      </c>
      <c r="FR123">
        <v>25.255500000000001</v>
      </c>
      <c r="FS123">
        <v>30.0002</v>
      </c>
      <c r="FT123">
        <v>25.245999999999999</v>
      </c>
      <c r="FU123">
        <v>25.247499999999999</v>
      </c>
      <c r="FV123">
        <v>24.816099999999999</v>
      </c>
      <c r="FW123">
        <v>32.177900000000001</v>
      </c>
      <c r="FX123">
        <v>19.834800000000001</v>
      </c>
      <c r="FY123">
        <v>18.384</v>
      </c>
      <c r="FZ123">
        <v>410</v>
      </c>
      <c r="GA123">
        <v>14.946300000000001</v>
      </c>
      <c r="GB123">
        <v>99.864999999999995</v>
      </c>
      <c r="GC123">
        <v>99.534000000000006</v>
      </c>
    </row>
    <row r="124" spans="1:185" x14ac:dyDescent="0.2">
      <c r="A124">
        <v>109</v>
      </c>
      <c r="B124">
        <v>1769184889.0999999</v>
      </c>
      <c r="C124">
        <v>2026.0999999046301</v>
      </c>
      <c r="D124" t="s">
        <v>514</v>
      </c>
      <c r="E124" t="s">
        <v>515</v>
      </c>
      <c r="F124">
        <v>15</v>
      </c>
      <c r="G124">
        <v>1769184881.03333</v>
      </c>
      <c r="H124">
        <f t="shared" si="13"/>
        <v>3.9169842177901824E-4</v>
      </c>
      <c r="I124">
        <v>0</v>
      </c>
      <c r="J124">
        <f t="shared" si="25"/>
        <v>-5.6999918977911155E-4</v>
      </c>
      <c r="K124">
        <f t="shared" si="14"/>
        <v>-1.492809162724975E-2</v>
      </c>
      <c r="L124">
        <f t="shared" si="15"/>
        <v>70.085961548406971</v>
      </c>
      <c r="M124">
        <f t="shared" si="16"/>
        <v>1.5454608609063212</v>
      </c>
      <c r="N124">
        <f t="shared" si="17"/>
        <v>2.2050933264843664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26262.927058170964</v>
      </c>
      <c r="T124">
        <f t="shared" si="21"/>
        <v>99.997826666666697</v>
      </c>
      <c r="U124">
        <f t="shared" si="22"/>
        <v>84.297765448746361</v>
      </c>
      <c r="V124">
        <f t="shared" si="23"/>
        <v>0.84299597559999973</v>
      </c>
      <c r="W124">
        <f t="shared" si="24"/>
        <v>0.15869030277599996</v>
      </c>
      <c r="X124">
        <v>1</v>
      </c>
      <c r="Y124">
        <v>1769184881.03333</v>
      </c>
      <c r="Z124">
        <v>409.823933333333</v>
      </c>
      <c r="AA124">
        <v>410.00593333333302</v>
      </c>
      <c r="AB124">
        <v>15.424160000000001</v>
      </c>
      <c r="AC124">
        <v>14.9420866666667</v>
      </c>
      <c r="AD124">
        <v>410.83193333333298</v>
      </c>
      <c r="AE124">
        <v>15.3176133333333</v>
      </c>
      <c r="AF124">
        <v>799.99613333333298</v>
      </c>
      <c r="AG124">
        <v>100.131933333333</v>
      </c>
      <c r="AH124">
        <v>6.5475206666666702E-2</v>
      </c>
      <c r="AI124">
        <v>18.999366666666699</v>
      </c>
      <c r="AJ124">
        <v>999.9</v>
      </c>
      <c r="AK124">
        <v>999.9</v>
      </c>
      <c r="AL124">
        <v>0</v>
      </c>
      <c r="AM124">
        <v>0</v>
      </c>
      <c r="AN124">
        <v>5001</v>
      </c>
      <c r="AO124">
        <v>0</v>
      </c>
      <c r="AP124">
        <v>2.0325500000000001</v>
      </c>
      <c r="AQ124">
        <v>-0.1818786</v>
      </c>
      <c r="AR124">
        <v>416.24419999999998</v>
      </c>
      <c r="AS124">
        <v>416.22500000000002</v>
      </c>
      <c r="AT124">
        <v>0.48206833333333299</v>
      </c>
      <c r="AU124">
        <v>410.00593333333302</v>
      </c>
      <c r="AV124">
        <v>14.9420866666667</v>
      </c>
      <c r="AW124">
        <v>1.54445266666667</v>
      </c>
      <c r="AX124">
        <v>1.4961833333333301</v>
      </c>
      <c r="AY124">
        <v>13.4154866666667</v>
      </c>
      <c r="AZ124">
        <v>12.929206666666699</v>
      </c>
      <c r="BA124">
        <v>99.997826666666697</v>
      </c>
      <c r="BB124">
        <v>0.90012873333333299</v>
      </c>
      <c r="BC124">
        <v>0</v>
      </c>
      <c r="BD124">
        <v>9.9871080000000001E-2</v>
      </c>
      <c r="BE124">
        <v>0</v>
      </c>
      <c r="BF124">
        <v>25</v>
      </c>
      <c r="BG124">
        <v>1648.9059999999999</v>
      </c>
      <c r="BH124">
        <v>1769184857.0999999</v>
      </c>
      <c r="BI124" t="s">
        <v>509</v>
      </c>
      <c r="BJ124">
        <v>1769184855.0999999</v>
      </c>
      <c r="BK124">
        <v>1769184857.0999999</v>
      </c>
      <c r="BL124">
        <v>4</v>
      </c>
      <c r="BM124">
        <v>3.7999999999999999E-2</v>
      </c>
      <c r="BN124">
        <v>4.0000000000000001E-3</v>
      </c>
      <c r="BO124">
        <v>-1.008</v>
      </c>
      <c r="BP124">
        <v>0.107</v>
      </c>
      <c r="BQ124">
        <v>410</v>
      </c>
      <c r="BR124">
        <v>15</v>
      </c>
      <c r="BS124">
        <v>0.25</v>
      </c>
      <c r="BT124">
        <v>7.0000000000000007E-2</v>
      </c>
      <c r="BU124">
        <v>-0.18607024999999999</v>
      </c>
      <c r="BV124">
        <v>6.9604917293233107E-2</v>
      </c>
      <c r="BW124">
        <v>1.4387424974174501E-2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0.47417520000000002</v>
      </c>
      <c r="CD124">
        <v>0.14423666165413501</v>
      </c>
      <c r="CE124">
        <v>1.7795264675188199E-2</v>
      </c>
      <c r="CF124">
        <v>0</v>
      </c>
      <c r="CG124">
        <v>1</v>
      </c>
      <c r="CH124">
        <v>2</v>
      </c>
      <c r="CI124" t="s">
        <v>301</v>
      </c>
      <c r="CJ124">
        <v>3.5325199999999999</v>
      </c>
      <c r="CK124">
        <v>2.7030799999999999</v>
      </c>
      <c r="CL124">
        <v>9.8039299999999996E-2</v>
      </c>
      <c r="CM124">
        <v>9.6684999999999993E-2</v>
      </c>
      <c r="CN124">
        <v>8.7254700000000004E-2</v>
      </c>
      <c r="CO124">
        <v>8.4321900000000005E-2</v>
      </c>
      <c r="CP124">
        <v>31629.5</v>
      </c>
      <c r="CQ124">
        <v>27765.9</v>
      </c>
      <c r="CR124">
        <v>32455.3</v>
      </c>
      <c r="CS124">
        <v>30663.9</v>
      </c>
      <c r="CT124">
        <v>40104.699999999997</v>
      </c>
      <c r="CU124">
        <v>39471.9</v>
      </c>
      <c r="CV124">
        <v>47390.2</v>
      </c>
      <c r="CW124">
        <v>46751.7</v>
      </c>
      <c r="CX124">
        <v>2.6255600000000001</v>
      </c>
      <c r="CY124">
        <v>2.1433200000000001</v>
      </c>
      <c r="CZ124">
        <v>0</v>
      </c>
      <c r="DA124">
        <v>0</v>
      </c>
      <c r="DB124">
        <v>999.9</v>
      </c>
      <c r="DC124">
        <v>999.9</v>
      </c>
      <c r="DD124">
        <v>64.204999999999998</v>
      </c>
      <c r="DE124">
        <v>25.649000000000001</v>
      </c>
      <c r="DF124">
        <v>21.189699999999998</v>
      </c>
      <c r="DG124">
        <v>30.5501</v>
      </c>
      <c r="DH124">
        <v>17.6843</v>
      </c>
      <c r="DI124">
        <v>2</v>
      </c>
      <c r="DJ124">
        <v>-0.137429</v>
      </c>
      <c r="DK124">
        <v>1.9268799999999999</v>
      </c>
      <c r="DL124">
        <v>20.233599999999999</v>
      </c>
      <c r="DM124">
        <v>5.2501199999999999</v>
      </c>
      <c r="DN124">
        <v>12.033899999999999</v>
      </c>
      <c r="DO124">
        <v>4.9671599999999998</v>
      </c>
      <c r="DP124">
        <v>3.2907600000000001</v>
      </c>
      <c r="DQ124">
        <v>9999</v>
      </c>
      <c r="DR124">
        <v>9999</v>
      </c>
      <c r="DS124">
        <v>534.5</v>
      </c>
      <c r="DT124">
        <v>9999</v>
      </c>
      <c r="DU124">
        <v>1.87104</v>
      </c>
      <c r="DV124">
        <v>1.87608</v>
      </c>
      <c r="DW124">
        <v>1.87626</v>
      </c>
      <c r="DX124">
        <v>1.8827799999999999</v>
      </c>
      <c r="DY124">
        <v>1.8755999999999999</v>
      </c>
      <c r="DZ124">
        <v>1.8746499999999999</v>
      </c>
      <c r="EA124">
        <v>1.8707400000000001</v>
      </c>
      <c r="EB124">
        <v>1.87466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-1.008</v>
      </c>
      <c r="EQ124">
        <v>0.1065</v>
      </c>
      <c r="ER124">
        <v>-1.00799999999998</v>
      </c>
      <c r="ES124">
        <v>0</v>
      </c>
      <c r="ET124">
        <v>0</v>
      </c>
      <c r="EU124">
        <v>0</v>
      </c>
      <c r="EV124">
        <v>0.106540000000001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0.6</v>
      </c>
      <c r="FE124">
        <v>0.5</v>
      </c>
      <c r="FF124">
        <v>1.2365699999999999</v>
      </c>
      <c r="FG124">
        <v>2.5561500000000001</v>
      </c>
      <c r="FH124">
        <v>2.19604</v>
      </c>
      <c r="FI124">
        <v>2.66235</v>
      </c>
      <c r="FJ124">
        <v>2.4462899999999999</v>
      </c>
      <c r="FK124">
        <v>2.3022499999999999</v>
      </c>
      <c r="FL124">
        <v>30.803699999999999</v>
      </c>
      <c r="FM124">
        <v>24.157499999999999</v>
      </c>
      <c r="FN124">
        <v>19</v>
      </c>
      <c r="FO124">
        <v>863.822</v>
      </c>
      <c r="FP124">
        <v>583.69399999999996</v>
      </c>
      <c r="FQ124">
        <v>18.3979</v>
      </c>
      <c r="FR124">
        <v>25.2605</v>
      </c>
      <c r="FS124">
        <v>30.0002</v>
      </c>
      <c r="FT124">
        <v>25.2502</v>
      </c>
      <c r="FU124">
        <v>25.2517</v>
      </c>
      <c r="FV124">
        <v>24.815100000000001</v>
      </c>
      <c r="FW124">
        <v>32.177900000000001</v>
      </c>
      <c r="FX124">
        <v>19.457000000000001</v>
      </c>
      <c r="FY124">
        <v>18.4008</v>
      </c>
      <c r="FZ124">
        <v>410</v>
      </c>
      <c r="GA124">
        <v>14.946300000000001</v>
      </c>
      <c r="GB124">
        <v>99.864800000000002</v>
      </c>
      <c r="GC124">
        <v>99.534400000000005</v>
      </c>
    </row>
    <row r="125" spans="1:185" x14ac:dyDescent="0.2">
      <c r="A125">
        <v>110</v>
      </c>
      <c r="B125">
        <v>1769184904.0999999</v>
      </c>
      <c r="C125">
        <v>2041.0999999046301</v>
      </c>
      <c r="D125" t="s">
        <v>516</v>
      </c>
      <c r="E125" t="s">
        <v>517</v>
      </c>
      <c r="F125">
        <v>15</v>
      </c>
      <c r="G125">
        <v>1769184896.03333</v>
      </c>
      <c r="H125">
        <f t="shared" si="13"/>
        <v>4.0035586726179756E-4</v>
      </c>
      <c r="I125">
        <v>0</v>
      </c>
      <c r="J125">
        <f t="shared" si="25"/>
        <v>-7.3354207488677766E-4</v>
      </c>
      <c r="K125">
        <f t="shared" si="14"/>
        <v>-1.9211226090683133E-2</v>
      </c>
      <c r="L125">
        <f t="shared" si="15"/>
        <v>70.091137537402375</v>
      </c>
      <c r="M125">
        <f t="shared" si="16"/>
        <v>1.5454978390210177</v>
      </c>
      <c r="N125">
        <f t="shared" si="17"/>
        <v>2.2049832451303866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26248.725028802779</v>
      </c>
      <c r="T125">
        <f t="shared" si="21"/>
        <v>100.002146666667</v>
      </c>
      <c r="U125">
        <f t="shared" si="22"/>
        <v>84.301483452998283</v>
      </c>
      <c r="V125">
        <f t="shared" si="23"/>
        <v>0.84299673819999998</v>
      </c>
      <c r="W125">
        <f t="shared" si="24"/>
        <v>0.15869198841200002</v>
      </c>
      <c r="X125">
        <v>1</v>
      </c>
      <c r="Y125">
        <v>1769184896.03333</v>
      </c>
      <c r="Z125">
        <v>409.801066666667</v>
      </c>
      <c r="AA125">
        <v>409.98213333333302</v>
      </c>
      <c r="AB125">
        <v>15.4243666666667</v>
      </c>
      <c r="AC125">
        <v>14.931646666666699</v>
      </c>
      <c r="AD125">
        <v>410.80906666666698</v>
      </c>
      <c r="AE125">
        <v>15.317833333333301</v>
      </c>
      <c r="AF125">
        <v>800.00940000000003</v>
      </c>
      <c r="AG125">
        <v>100.13306666666701</v>
      </c>
      <c r="AH125">
        <v>6.5396739999999995E-2</v>
      </c>
      <c r="AI125">
        <v>18.998566666666701</v>
      </c>
      <c r="AJ125">
        <v>999.9</v>
      </c>
      <c r="AK125">
        <v>999.9</v>
      </c>
      <c r="AL125">
        <v>0</v>
      </c>
      <c r="AM125">
        <v>0</v>
      </c>
      <c r="AN125">
        <v>4998.6000000000004</v>
      </c>
      <c r="AO125">
        <v>0</v>
      </c>
      <c r="AP125">
        <v>2.0400833333333299</v>
      </c>
      <c r="AQ125">
        <v>-0.18081659999999999</v>
      </c>
      <c r="AR125">
        <v>416.22106666666701</v>
      </c>
      <c r="AS125">
        <v>416.19653333333298</v>
      </c>
      <c r="AT125">
        <v>0.49272313333333301</v>
      </c>
      <c r="AU125">
        <v>409.98213333333302</v>
      </c>
      <c r="AV125">
        <v>14.931646666666699</v>
      </c>
      <c r="AW125">
        <v>1.5444880000000001</v>
      </c>
      <c r="AX125">
        <v>1.4951493333333301</v>
      </c>
      <c r="AY125">
        <v>13.415839999999999</v>
      </c>
      <c r="AZ125">
        <v>12.9186666666667</v>
      </c>
      <c r="BA125">
        <v>100.002146666667</v>
      </c>
      <c r="BB125">
        <v>0.90010659999999998</v>
      </c>
      <c r="BC125">
        <v>0</v>
      </c>
      <c r="BD125">
        <v>9.9893326666666699E-2</v>
      </c>
      <c r="BE125">
        <v>0</v>
      </c>
      <c r="BF125">
        <v>25</v>
      </c>
      <c r="BG125">
        <v>1648.96266666667</v>
      </c>
      <c r="BH125">
        <v>1769184857.0999999</v>
      </c>
      <c r="BI125" t="s">
        <v>509</v>
      </c>
      <c r="BJ125">
        <v>1769184855.0999999</v>
      </c>
      <c r="BK125">
        <v>1769184857.0999999</v>
      </c>
      <c r="BL125">
        <v>4</v>
      </c>
      <c r="BM125">
        <v>3.7999999999999999E-2</v>
      </c>
      <c r="BN125">
        <v>4.0000000000000001E-3</v>
      </c>
      <c r="BO125">
        <v>-1.008</v>
      </c>
      <c r="BP125">
        <v>0.107</v>
      </c>
      <c r="BQ125">
        <v>410</v>
      </c>
      <c r="BR125">
        <v>15</v>
      </c>
      <c r="BS125">
        <v>0.25</v>
      </c>
      <c r="BT125">
        <v>7.0000000000000007E-2</v>
      </c>
      <c r="BU125">
        <v>-0.181512714285714</v>
      </c>
      <c r="BV125">
        <v>-2.30024415584421E-2</v>
      </c>
      <c r="BW125">
        <v>1.29985300346318E-2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0.49101952380952402</v>
      </c>
      <c r="CD125">
        <v>2.5740155844155899E-2</v>
      </c>
      <c r="CE125">
        <v>3.7111954641655099E-3</v>
      </c>
      <c r="CF125">
        <v>1</v>
      </c>
      <c r="CG125">
        <v>2</v>
      </c>
      <c r="CH125">
        <v>2</v>
      </c>
      <c r="CI125" t="s">
        <v>310</v>
      </c>
      <c r="CJ125">
        <v>3.5325099999999998</v>
      </c>
      <c r="CK125">
        <v>2.7034799999999999</v>
      </c>
      <c r="CL125">
        <v>9.8036499999999999E-2</v>
      </c>
      <c r="CM125">
        <v>9.6687200000000001E-2</v>
      </c>
      <c r="CN125">
        <v>8.7241799999999994E-2</v>
      </c>
      <c r="CO125">
        <v>8.4288199999999994E-2</v>
      </c>
      <c r="CP125">
        <v>31629.4</v>
      </c>
      <c r="CQ125">
        <v>27765.8</v>
      </c>
      <c r="CR125">
        <v>32455.1</v>
      </c>
      <c r="CS125">
        <v>30663.8</v>
      </c>
      <c r="CT125">
        <v>40105.199999999997</v>
      </c>
      <c r="CU125">
        <v>39473.300000000003</v>
      </c>
      <c r="CV125">
        <v>47390.1</v>
      </c>
      <c r="CW125">
        <v>46751.6</v>
      </c>
      <c r="CX125">
        <v>2.6259399999999999</v>
      </c>
      <c r="CY125">
        <v>2.1433200000000001</v>
      </c>
      <c r="CZ125">
        <v>0</v>
      </c>
      <c r="DA125">
        <v>0</v>
      </c>
      <c r="DB125">
        <v>999.9</v>
      </c>
      <c r="DC125">
        <v>999.9</v>
      </c>
      <c r="DD125">
        <v>64.113</v>
      </c>
      <c r="DE125">
        <v>25.66</v>
      </c>
      <c r="DF125">
        <v>21.172999999999998</v>
      </c>
      <c r="DG125">
        <v>30.460100000000001</v>
      </c>
      <c r="DH125">
        <v>17.616199999999999</v>
      </c>
      <c r="DI125">
        <v>2</v>
      </c>
      <c r="DJ125">
        <v>-0.13706699999999999</v>
      </c>
      <c r="DK125">
        <v>1.9498500000000001</v>
      </c>
      <c r="DL125">
        <v>20.232800000000001</v>
      </c>
      <c r="DM125">
        <v>5.2519099999999996</v>
      </c>
      <c r="DN125">
        <v>12.033899999999999</v>
      </c>
      <c r="DO125">
        <v>4.9673600000000002</v>
      </c>
      <c r="DP125">
        <v>3.2909999999999999</v>
      </c>
      <c r="DQ125">
        <v>9999</v>
      </c>
      <c r="DR125">
        <v>9999</v>
      </c>
      <c r="DS125">
        <v>534.5</v>
      </c>
      <c r="DT125">
        <v>9999</v>
      </c>
      <c r="DU125">
        <v>1.87103</v>
      </c>
      <c r="DV125">
        <v>1.87609</v>
      </c>
      <c r="DW125">
        <v>1.8763000000000001</v>
      </c>
      <c r="DX125">
        <v>1.8827799999999999</v>
      </c>
      <c r="DY125">
        <v>1.8755999999999999</v>
      </c>
      <c r="DZ125">
        <v>1.87466</v>
      </c>
      <c r="EA125">
        <v>1.8707499999999999</v>
      </c>
      <c r="EB125">
        <v>1.87469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-1.008</v>
      </c>
      <c r="EQ125">
        <v>0.1065</v>
      </c>
      <c r="ER125">
        <v>-1.00799999999998</v>
      </c>
      <c r="ES125">
        <v>0</v>
      </c>
      <c r="ET125">
        <v>0</v>
      </c>
      <c r="EU125">
        <v>0</v>
      </c>
      <c r="EV125">
        <v>0.106540000000001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0.8</v>
      </c>
      <c r="FE125">
        <v>0.8</v>
      </c>
      <c r="FF125">
        <v>1.2365699999999999</v>
      </c>
      <c r="FG125">
        <v>2.5610400000000002</v>
      </c>
      <c r="FH125">
        <v>2.19604</v>
      </c>
      <c r="FI125">
        <v>2.66235</v>
      </c>
      <c r="FJ125">
        <v>2.4462899999999999</v>
      </c>
      <c r="FK125">
        <v>2.2875999999999999</v>
      </c>
      <c r="FL125">
        <v>30.803699999999999</v>
      </c>
      <c r="FM125">
        <v>24.148800000000001</v>
      </c>
      <c r="FN125">
        <v>19</v>
      </c>
      <c r="FO125">
        <v>864.23599999999999</v>
      </c>
      <c r="FP125">
        <v>583.74099999999999</v>
      </c>
      <c r="FQ125">
        <v>18.404399999999999</v>
      </c>
      <c r="FR125">
        <v>25.264800000000001</v>
      </c>
      <c r="FS125">
        <v>30.0001</v>
      </c>
      <c r="FT125">
        <v>25.254100000000001</v>
      </c>
      <c r="FU125">
        <v>25.2559</v>
      </c>
      <c r="FV125">
        <v>24.818100000000001</v>
      </c>
      <c r="FW125">
        <v>32.177900000000001</v>
      </c>
      <c r="FX125">
        <v>19.073599999999999</v>
      </c>
      <c r="FY125">
        <v>18.4038</v>
      </c>
      <c r="FZ125">
        <v>410</v>
      </c>
      <c r="GA125">
        <v>14.946300000000001</v>
      </c>
      <c r="GB125">
        <v>99.864400000000003</v>
      </c>
      <c r="GC125">
        <v>99.534099999999995</v>
      </c>
    </row>
    <row r="126" spans="1:185" x14ac:dyDescent="0.2">
      <c r="A126">
        <v>111</v>
      </c>
      <c r="B126">
        <v>1769185034.0999999</v>
      </c>
      <c r="C126">
        <v>2171.0999999046298</v>
      </c>
      <c r="D126" t="s">
        <v>518</v>
      </c>
      <c r="E126" t="s">
        <v>519</v>
      </c>
      <c r="F126">
        <v>15</v>
      </c>
      <c r="G126">
        <v>1769185026.0999999</v>
      </c>
      <c r="H126">
        <f t="shared" si="13"/>
        <v>-7.2120773541030424E-4</v>
      </c>
      <c r="I126">
        <v>0</v>
      </c>
      <c r="J126">
        <f t="shared" si="25"/>
        <v>-0.12132344460919287</v>
      </c>
      <c r="K126">
        <f t="shared" si="14"/>
        <v>-3.1774211790747393</v>
      </c>
      <c r="L126">
        <f t="shared" si="15"/>
        <v>71.244073040891934</v>
      </c>
      <c r="M126">
        <f t="shared" si="16"/>
        <v>1.5668633792865485</v>
      </c>
      <c r="N126">
        <f t="shared" si="17"/>
        <v>2.1992894459967451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26256.505998438381</v>
      </c>
      <c r="T126">
        <f t="shared" si="21"/>
        <v>299.99953333333298</v>
      </c>
      <c r="U126">
        <f t="shared" si="22"/>
        <v>252.8997739997393</v>
      </c>
      <c r="V126">
        <f t="shared" si="23"/>
        <v>0.84300055799999996</v>
      </c>
      <c r="W126">
        <f t="shared" si="24"/>
        <v>0.15870139500000002</v>
      </c>
      <c r="X126">
        <v>1</v>
      </c>
      <c r="Y126">
        <v>1769185026.0999999</v>
      </c>
      <c r="Z126">
        <v>414.43366666666702</v>
      </c>
      <c r="AA126">
        <v>410.08819999999997</v>
      </c>
      <c r="AB126">
        <v>15.638393333333299</v>
      </c>
      <c r="AC126">
        <v>16.52582</v>
      </c>
      <c r="AD126">
        <v>415.44159999999999</v>
      </c>
      <c r="AE126">
        <v>15.5318466666667</v>
      </c>
      <c r="AF126">
        <v>799.98633333333305</v>
      </c>
      <c r="AG126">
        <v>100.12846666666699</v>
      </c>
      <c r="AH126">
        <v>6.4906519999999995E-2</v>
      </c>
      <c r="AI126">
        <v>18.957139999999999</v>
      </c>
      <c r="AJ126">
        <v>999.9</v>
      </c>
      <c r="AK126">
        <v>999.9</v>
      </c>
      <c r="AL126">
        <v>0</v>
      </c>
      <c r="AM126">
        <v>0</v>
      </c>
      <c r="AN126">
        <v>4999.4666666666699</v>
      </c>
      <c r="AO126">
        <v>0</v>
      </c>
      <c r="AP126">
        <v>1.9989779999999999</v>
      </c>
      <c r="AQ126">
        <v>4.3456033333333304</v>
      </c>
      <c r="AR126">
        <v>421.01740000000001</v>
      </c>
      <c r="AS126">
        <v>416.97886666666699</v>
      </c>
      <c r="AT126">
        <v>-0.88743620000000001</v>
      </c>
      <c r="AU126">
        <v>410.08819999999997</v>
      </c>
      <c r="AV126">
        <v>16.52582</v>
      </c>
      <c r="AW126">
        <v>1.56584733333333</v>
      </c>
      <c r="AX126">
        <v>1.65470733333333</v>
      </c>
      <c r="AY126">
        <v>13.625493333333299</v>
      </c>
      <c r="AZ126">
        <v>14.477180000000001</v>
      </c>
      <c r="BA126">
        <v>299.99953333333298</v>
      </c>
      <c r="BB126">
        <v>0.89998140000000004</v>
      </c>
      <c r="BC126">
        <v>0</v>
      </c>
      <c r="BD126">
        <v>0.1000186</v>
      </c>
      <c r="BE126">
        <v>0</v>
      </c>
      <c r="BF126">
        <v>25</v>
      </c>
      <c r="BG126">
        <v>4946.5986666666704</v>
      </c>
      <c r="BH126">
        <v>1769184857.0999999</v>
      </c>
      <c r="BI126" t="s">
        <v>509</v>
      </c>
      <c r="BJ126">
        <v>1769184855.0999999</v>
      </c>
      <c r="BK126">
        <v>1769184857.0999999</v>
      </c>
      <c r="BL126">
        <v>4</v>
      </c>
      <c r="BM126">
        <v>3.7999999999999999E-2</v>
      </c>
      <c r="BN126">
        <v>4.0000000000000001E-3</v>
      </c>
      <c r="BO126">
        <v>-1.008</v>
      </c>
      <c r="BP126">
        <v>0.107</v>
      </c>
      <c r="BQ126">
        <v>410</v>
      </c>
      <c r="BR126">
        <v>15</v>
      </c>
      <c r="BS126">
        <v>0.25</v>
      </c>
      <c r="BT126">
        <v>7.0000000000000007E-2</v>
      </c>
      <c r="BU126">
        <v>5.9101085714285704</v>
      </c>
      <c r="BV126">
        <v>-27.972446493506499</v>
      </c>
      <c r="BW126">
        <v>2.8883048373682101</v>
      </c>
      <c r="BX126">
        <v>0</v>
      </c>
      <c r="BY126">
        <v>0</v>
      </c>
      <c r="BZ126">
        <v>0</v>
      </c>
      <c r="CA126">
        <v>0</v>
      </c>
      <c r="CB126">
        <v>-1</v>
      </c>
      <c r="CC126">
        <v>-1.1558015714285701</v>
      </c>
      <c r="CD126">
        <v>5.3321279220779196</v>
      </c>
      <c r="CE126">
        <v>0.53821701092337504</v>
      </c>
      <c r="CF126">
        <v>0</v>
      </c>
      <c r="CG126">
        <v>0</v>
      </c>
      <c r="CH126">
        <v>2</v>
      </c>
      <c r="CI126" t="s">
        <v>290</v>
      </c>
      <c r="CJ126">
        <v>3.5325299999999999</v>
      </c>
      <c r="CK126">
        <v>2.7029100000000001</v>
      </c>
      <c r="CL126">
        <v>9.8482899999999998E-2</v>
      </c>
      <c r="CM126">
        <v>9.6715099999999998E-2</v>
      </c>
      <c r="CN126">
        <v>8.94012E-2</v>
      </c>
      <c r="CO126">
        <v>8.9384599999999995E-2</v>
      </c>
      <c r="CP126">
        <v>31612.7</v>
      </c>
      <c r="CQ126">
        <v>27765.599999999999</v>
      </c>
      <c r="CR126">
        <v>32454.2</v>
      </c>
      <c r="CS126">
        <v>30664.6</v>
      </c>
      <c r="CT126">
        <v>40006.800000000003</v>
      </c>
      <c r="CU126">
        <v>39248.800000000003</v>
      </c>
      <c r="CV126">
        <v>47389.4</v>
      </c>
      <c r="CW126">
        <v>46754.2</v>
      </c>
      <c r="CX126">
        <v>2.62486</v>
      </c>
      <c r="CY126">
        <v>2.1444999999999999</v>
      </c>
      <c r="CZ126">
        <v>0</v>
      </c>
      <c r="DA126">
        <v>0</v>
      </c>
      <c r="DB126">
        <v>999.9</v>
      </c>
      <c r="DC126">
        <v>999.9</v>
      </c>
      <c r="DD126">
        <v>63.411000000000001</v>
      </c>
      <c r="DE126">
        <v>25.800999999999998</v>
      </c>
      <c r="DF126">
        <v>21.117999999999999</v>
      </c>
      <c r="DG126">
        <v>30.470099999999999</v>
      </c>
      <c r="DH126">
        <v>17.668299999999999</v>
      </c>
      <c r="DI126">
        <v>2</v>
      </c>
      <c r="DJ126">
        <v>-0.13425799999999999</v>
      </c>
      <c r="DK126">
        <v>2.0479500000000002</v>
      </c>
      <c r="DL126">
        <v>20.2254</v>
      </c>
      <c r="DM126">
        <v>5.2483199999999997</v>
      </c>
      <c r="DN126">
        <v>12.033899999999999</v>
      </c>
      <c r="DO126">
        <v>4.9668400000000004</v>
      </c>
      <c r="DP126">
        <v>3.2906399999999998</v>
      </c>
      <c r="DQ126">
        <v>9999</v>
      </c>
      <c r="DR126">
        <v>9999</v>
      </c>
      <c r="DS126">
        <v>534.6</v>
      </c>
      <c r="DT126">
        <v>9999</v>
      </c>
      <c r="DU126">
        <v>1.87104</v>
      </c>
      <c r="DV126">
        <v>1.8761000000000001</v>
      </c>
      <c r="DW126">
        <v>1.8763099999999999</v>
      </c>
      <c r="DX126">
        <v>1.88279</v>
      </c>
      <c r="DY126">
        <v>1.87561</v>
      </c>
      <c r="DZ126">
        <v>1.8746700000000001</v>
      </c>
      <c r="EA126">
        <v>1.8707499999999999</v>
      </c>
      <c r="EB126">
        <v>1.8746700000000001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-1.008</v>
      </c>
      <c r="EQ126">
        <v>0.1065</v>
      </c>
      <c r="ER126">
        <v>-1.00799999999998</v>
      </c>
      <c r="ES126">
        <v>0</v>
      </c>
      <c r="ET126">
        <v>0</v>
      </c>
      <c r="EU126">
        <v>0</v>
      </c>
      <c r="EV126">
        <v>0.106540000000001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3</v>
      </c>
      <c r="FE126">
        <v>3</v>
      </c>
      <c r="FF126">
        <v>1.2377899999999999</v>
      </c>
      <c r="FG126">
        <v>2.5634800000000002</v>
      </c>
      <c r="FH126">
        <v>2.19604</v>
      </c>
      <c r="FI126">
        <v>2.66113</v>
      </c>
      <c r="FJ126">
        <v>2.4462899999999999</v>
      </c>
      <c r="FK126">
        <v>2.2729499999999998</v>
      </c>
      <c r="FL126">
        <v>30.911899999999999</v>
      </c>
      <c r="FM126">
        <v>24.148800000000001</v>
      </c>
      <c r="FN126">
        <v>19</v>
      </c>
      <c r="FO126">
        <v>863.88400000000001</v>
      </c>
      <c r="FP126">
        <v>585.08900000000006</v>
      </c>
      <c r="FQ126">
        <v>17.897200000000002</v>
      </c>
      <c r="FR126">
        <v>25.303999999999998</v>
      </c>
      <c r="FS126">
        <v>29.9998</v>
      </c>
      <c r="FT126">
        <v>25.2944</v>
      </c>
      <c r="FU126">
        <v>25.2941</v>
      </c>
      <c r="FV126">
        <v>24.8492</v>
      </c>
      <c r="FW126">
        <v>27.9254</v>
      </c>
      <c r="FX126">
        <v>17.579699999999999</v>
      </c>
      <c r="FY126">
        <v>17.915299999999998</v>
      </c>
      <c r="FZ126">
        <v>410</v>
      </c>
      <c r="GA126">
        <v>15.8169</v>
      </c>
      <c r="GB126">
        <v>99.862300000000005</v>
      </c>
      <c r="GC126">
        <v>99.538399999999996</v>
      </c>
    </row>
    <row r="127" spans="1:185" x14ac:dyDescent="0.2">
      <c r="A127">
        <v>112</v>
      </c>
      <c r="B127">
        <v>1769185049.0999999</v>
      </c>
      <c r="C127">
        <v>2186.0999999046298</v>
      </c>
      <c r="D127" t="s">
        <v>520</v>
      </c>
      <c r="E127" t="s">
        <v>521</v>
      </c>
      <c r="F127">
        <v>15</v>
      </c>
      <c r="G127">
        <v>1769185041.03333</v>
      </c>
      <c r="H127">
        <f t="shared" si="13"/>
        <v>7.1412853504621674E-5</v>
      </c>
      <c r="I127">
        <v>0</v>
      </c>
      <c r="J127">
        <f t="shared" si="25"/>
        <v>-4.2275777453183963E-2</v>
      </c>
      <c r="K127">
        <f t="shared" si="14"/>
        <v>-1.1071887307048882</v>
      </c>
      <c r="L127">
        <f t="shared" si="15"/>
        <v>72.981148025320081</v>
      </c>
      <c r="M127">
        <f t="shared" si="16"/>
        <v>1.6014052666218008</v>
      </c>
      <c r="N127">
        <f t="shared" si="17"/>
        <v>2.1942725072866889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26259.381194080685</v>
      </c>
      <c r="T127">
        <f t="shared" si="21"/>
        <v>299.99893333333301</v>
      </c>
      <c r="U127">
        <f t="shared" si="22"/>
        <v>252.89915419980991</v>
      </c>
      <c r="V127">
        <f t="shared" si="23"/>
        <v>0.84300017800000016</v>
      </c>
      <c r="W127">
        <f t="shared" si="24"/>
        <v>0.15870070484000007</v>
      </c>
      <c r="X127">
        <v>1</v>
      </c>
      <c r="Y127">
        <v>1769185041.03333</v>
      </c>
      <c r="Z127">
        <v>411.46053333333299</v>
      </c>
      <c r="AA127">
        <v>410.11326666666702</v>
      </c>
      <c r="AB127">
        <v>15.9829266666667</v>
      </c>
      <c r="AC127">
        <v>15.8950866666667</v>
      </c>
      <c r="AD127">
        <v>412.46853333333303</v>
      </c>
      <c r="AE127">
        <v>15.876386666666701</v>
      </c>
      <c r="AF127">
        <v>799.99393333333296</v>
      </c>
      <c r="AG127">
        <v>100.1292</v>
      </c>
      <c r="AH127">
        <v>6.5545306666666706E-2</v>
      </c>
      <c r="AI127">
        <v>18.920559999999998</v>
      </c>
      <c r="AJ127">
        <v>999.9</v>
      </c>
      <c r="AK127">
        <v>999.9</v>
      </c>
      <c r="AL127">
        <v>0</v>
      </c>
      <c r="AM127">
        <v>0</v>
      </c>
      <c r="AN127">
        <v>4999.3666666666704</v>
      </c>
      <c r="AO127">
        <v>0</v>
      </c>
      <c r="AP127">
        <v>2.0250233333333298</v>
      </c>
      <c r="AQ127">
        <v>1.34730913333333</v>
      </c>
      <c r="AR127">
        <v>418.14359999999999</v>
      </c>
      <c r="AS127">
        <v>416.73726666666698</v>
      </c>
      <c r="AT127">
        <v>8.7850393333333304E-2</v>
      </c>
      <c r="AU127">
        <v>410.11326666666702</v>
      </c>
      <c r="AV127">
        <v>15.8950866666667</v>
      </c>
      <c r="AW127">
        <v>1.6003573333333301</v>
      </c>
      <c r="AX127">
        <v>1.5915613333333301</v>
      </c>
      <c r="AY127">
        <v>13.9622333333333</v>
      </c>
      <c r="AZ127">
        <v>13.87656</v>
      </c>
      <c r="BA127">
        <v>299.99893333333301</v>
      </c>
      <c r="BB127">
        <v>0.89999019999999996</v>
      </c>
      <c r="BC127">
        <v>0</v>
      </c>
      <c r="BD127">
        <v>0.100009666666667</v>
      </c>
      <c r="BE127">
        <v>0</v>
      </c>
      <c r="BF127">
        <v>25</v>
      </c>
      <c r="BG127">
        <v>4946.6013333333303</v>
      </c>
      <c r="BH127">
        <v>1769184857.0999999</v>
      </c>
      <c r="BI127" t="s">
        <v>509</v>
      </c>
      <c r="BJ127">
        <v>1769184855.0999999</v>
      </c>
      <c r="BK127">
        <v>1769184857.0999999</v>
      </c>
      <c r="BL127">
        <v>4</v>
      </c>
      <c r="BM127">
        <v>3.7999999999999999E-2</v>
      </c>
      <c r="BN127">
        <v>4.0000000000000001E-3</v>
      </c>
      <c r="BO127">
        <v>-1.008</v>
      </c>
      <c r="BP127">
        <v>0.107</v>
      </c>
      <c r="BQ127">
        <v>410</v>
      </c>
      <c r="BR127">
        <v>15</v>
      </c>
      <c r="BS127">
        <v>0.25</v>
      </c>
      <c r="BT127">
        <v>7.0000000000000007E-2</v>
      </c>
      <c r="BU127">
        <v>1.90757885714286</v>
      </c>
      <c r="BV127">
        <v>-8.3285801298701294</v>
      </c>
      <c r="BW127">
        <v>0.86227479688285003</v>
      </c>
      <c r="BX127">
        <v>0</v>
      </c>
      <c r="BY127">
        <v>0</v>
      </c>
      <c r="BZ127">
        <v>0</v>
      </c>
      <c r="CA127">
        <v>0</v>
      </c>
      <c r="CB127">
        <v>-1</v>
      </c>
      <c r="CC127">
        <v>-0.129850004761905</v>
      </c>
      <c r="CD127">
        <v>3.2666407480519499</v>
      </c>
      <c r="CE127">
        <v>0.33436980633216701</v>
      </c>
      <c r="CF127">
        <v>0</v>
      </c>
      <c r="CG127">
        <v>0</v>
      </c>
      <c r="CH127">
        <v>2</v>
      </c>
      <c r="CI127" t="s">
        <v>290</v>
      </c>
      <c r="CJ127">
        <v>3.5325500000000001</v>
      </c>
      <c r="CK127">
        <v>2.7034400000000001</v>
      </c>
      <c r="CL127">
        <v>9.8205000000000001E-2</v>
      </c>
      <c r="CM127">
        <v>9.6698000000000006E-2</v>
      </c>
      <c r="CN127">
        <v>8.9631600000000006E-2</v>
      </c>
      <c r="CO127">
        <v>8.7045399999999995E-2</v>
      </c>
      <c r="CP127">
        <v>31622</v>
      </c>
      <c r="CQ127">
        <v>27765.599999999999</v>
      </c>
      <c r="CR127">
        <v>32453.8</v>
      </c>
      <c r="CS127">
        <v>30664.1</v>
      </c>
      <c r="CT127">
        <v>39995.9</v>
      </c>
      <c r="CU127">
        <v>39352.199999999997</v>
      </c>
      <c r="CV127">
        <v>47388.9</v>
      </c>
      <c r="CW127">
        <v>46753.3</v>
      </c>
      <c r="CX127">
        <v>2.6253799999999998</v>
      </c>
      <c r="CY127">
        <v>2.1432799999999999</v>
      </c>
      <c r="CZ127">
        <v>0</v>
      </c>
      <c r="DA127">
        <v>0</v>
      </c>
      <c r="DB127">
        <v>999.9</v>
      </c>
      <c r="DC127">
        <v>999.9</v>
      </c>
      <c r="DD127">
        <v>63.338000000000001</v>
      </c>
      <c r="DE127">
        <v>25.800999999999998</v>
      </c>
      <c r="DF127">
        <v>21.0932</v>
      </c>
      <c r="DG127">
        <v>30.560099999999998</v>
      </c>
      <c r="DH127">
        <v>17.648199999999999</v>
      </c>
      <c r="DI127">
        <v>2</v>
      </c>
      <c r="DJ127">
        <v>-0.133321</v>
      </c>
      <c r="DK127">
        <v>2.00936</v>
      </c>
      <c r="DL127">
        <v>20.226199999999999</v>
      </c>
      <c r="DM127">
        <v>5.2520300000000004</v>
      </c>
      <c r="DN127">
        <v>12.033899999999999</v>
      </c>
      <c r="DO127">
        <v>4.9672400000000003</v>
      </c>
      <c r="DP127">
        <v>3.2909999999999999</v>
      </c>
      <c r="DQ127">
        <v>9999</v>
      </c>
      <c r="DR127">
        <v>9999</v>
      </c>
      <c r="DS127">
        <v>534.6</v>
      </c>
      <c r="DT127">
        <v>9999</v>
      </c>
      <c r="DU127">
        <v>1.8710599999999999</v>
      </c>
      <c r="DV127">
        <v>1.8761000000000001</v>
      </c>
      <c r="DW127">
        <v>1.8763300000000001</v>
      </c>
      <c r="DX127">
        <v>1.8828100000000001</v>
      </c>
      <c r="DY127">
        <v>1.87561</v>
      </c>
      <c r="DZ127">
        <v>1.8746799999999999</v>
      </c>
      <c r="EA127">
        <v>1.87076</v>
      </c>
      <c r="EB127">
        <v>1.8746700000000001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-1.008</v>
      </c>
      <c r="EQ127">
        <v>0.1065</v>
      </c>
      <c r="ER127">
        <v>-1.00799999999998</v>
      </c>
      <c r="ES127">
        <v>0</v>
      </c>
      <c r="ET127">
        <v>0</v>
      </c>
      <c r="EU127">
        <v>0</v>
      </c>
      <c r="EV127">
        <v>0.106540000000001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3.2</v>
      </c>
      <c r="FE127">
        <v>3.2</v>
      </c>
      <c r="FF127">
        <v>1.2377899999999999</v>
      </c>
      <c r="FG127">
        <v>2.5585900000000001</v>
      </c>
      <c r="FH127">
        <v>2.19604</v>
      </c>
      <c r="FI127">
        <v>2.66113</v>
      </c>
      <c r="FJ127">
        <v>2.4462899999999999</v>
      </c>
      <c r="FK127">
        <v>2.3022499999999999</v>
      </c>
      <c r="FL127">
        <v>30.933499999999999</v>
      </c>
      <c r="FM127">
        <v>24.148800000000001</v>
      </c>
      <c r="FN127">
        <v>19</v>
      </c>
      <c r="FO127">
        <v>864.42899999999997</v>
      </c>
      <c r="FP127">
        <v>584.18499999999995</v>
      </c>
      <c r="FQ127">
        <v>18.0459</v>
      </c>
      <c r="FR127">
        <v>25.311599999999999</v>
      </c>
      <c r="FS127">
        <v>30.000299999999999</v>
      </c>
      <c r="FT127">
        <v>25.298300000000001</v>
      </c>
      <c r="FU127">
        <v>25.297799999999999</v>
      </c>
      <c r="FV127">
        <v>24.8369</v>
      </c>
      <c r="FW127">
        <v>30.049499999999998</v>
      </c>
      <c r="FX127">
        <v>17.2</v>
      </c>
      <c r="FY127">
        <v>18.077999999999999</v>
      </c>
      <c r="FZ127">
        <v>410</v>
      </c>
      <c r="GA127">
        <v>15.383800000000001</v>
      </c>
      <c r="GB127">
        <v>99.8613</v>
      </c>
      <c r="GC127">
        <v>99.536699999999996</v>
      </c>
    </row>
    <row r="128" spans="1:185" x14ac:dyDescent="0.2">
      <c r="A128">
        <v>113</v>
      </c>
      <c r="B128">
        <v>1769185064.0999999</v>
      </c>
      <c r="C128">
        <v>2201.0999999046298</v>
      </c>
      <c r="D128" t="s">
        <v>522</v>
      </c>
      <c r="E128" t="s">
        <v>523</v>
      </c>
      <c r="F128">
        <v>15</v>
      </c>
      <c r="G128">
        <v>1769185056.03333</v>
      </c>
      <c r="H128">
        <f t="shared" si="13"/>
        <v>4.1316404889581967E-4</v>
      </c>
      <c r="I128">
        <v>0</v>
      </c>
      <c r="J128">
        <f t="shared" si="25"/>
        <v>-1.8312641743661602E-2</v>
      </c>
      <c r="K128">
        <f t="shared" si="14"/>
        <v>-0.47960207450876824</v>
      </c>
      <c r="L128">
        <f t="shared" si="15"/>
        <v>72.79211048215312</v>
      </c>
      <c r="M128">
        <f t="shared" si="16"/>
        <v>1.5963160192871817</v>
      </c>
      <c r="N128">
        <f t="shared" si="17"/>
        <v>2.1929794433952567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26260.792613811787</v>
      </c>
      <c r="T128">
        <f t="shared" si="21"/>
        <v>299.99993333333299</v>
      </c>
      <c r="U128">
        <f t="shared" si="22"/>
        <v>252.90000259998658</v>
      </c>
      <c r="V128">
        <f t="shared" si="23"/>
        <v>0.84300019599999976</v>
      </c>
      <c r="W128">
        <f t="shared" si="24"/>
        <v>0.15870061991999995</v>
      </c>
      <c r="X128">
        <v>1</v>
      </c>
      <c r="Y128">
        <v>1769185056.03333</v>
      </c>
      <c r="Z128">
        <v>410.43086666666699</v>
      </c>
      <c r="AA128">
        <v>410.04333333333301</v>
      </c>
      <c r="AB128">
        <v>15.932040000000001</v>
      </c>
      <c r="AC128">
        <v>15.4238133333333</v>
      </c>
      <c r="AD128">
        <v>411.43886666666702</v>
      </c>
      <c r="AE128">
        <v>15.825506666666699</v>
      </c>
      <c r="AF128">
        <v>800.00033333333295</v>
      </c>
      <c r="AG128">
        <v>100.1298</v>
      </c>
      <c r="AH128">
        <v>6.5530873333333295E-2</v>
      </c>
      <c r="AI128">
        <v>18.91112</v>
      </c>
      <c r="AJ128">
        <v>999.9</v>
      </c>
      <c r="AK128">
        <v>999.9</v>
      </c>
      <c r="AL128">
        <v>0</v>
      </c>
      <c r="AM128">
        <v>0</v>
      </c>
      <c r="AN128">
        <v>4999.4333333333298</v>
      </c>
      <c r="AO128">
        <v>0</v>
      </c>
      <c r="AP128">
        <v>2.0325500000000001</v>
      </c>
      <c r="AQ128">
        <v>0.38764460000000001</v>
      </c>
      <c r="AR128">
        <v>417.07580000000002</v>
      </c>
      <c r="AS128">
        <v>416.46686666666699</v>
      </c>
      <c r="AT128">
        <v>0.50823606666666699</v>
      </c>
      <c r="AU128">
        <v>410.04333333333301</v>
      </c>
      <c r="AV128">
        <v>15.4238133333333</v>
      </c>
      <c r="AW128">
        <v>1.59527333333333</v>
      </c>
      <c r="AX128">
        <v>1.54438266666667</v>
      </c>
      <c r="AY128">
        <v>13.9131866666667</v>
      </c>
      <c r="AZ128">
        <v>13.41446</v>
      </c>
      <c r="BA128">
        <v>299.99993333333299</v>
      </c>
      <c r="BB128">
        <v>0.89999153333333304</v>
      </c>
      <c r="BC128">
        <v>0</v>
      </c>
      <c r="BD128">
        <v>0.1000084</v>
      </c>
      <c r="BE128">
        <v>0</v>
      </c>
      <c r="BF128">
        <v>25</v>
      </c>
      <c r="BG128">
        <v>4946.6226666666698</v>
      </c>
      <c r="BH128">
        <v>1769184857.0999999</v>
      </c>
      <c r="BI128" t="s">
        <v>509</v>
      </c>
      <c r="BJ128">
        <v>1769184855.0999999</v>
      </c>
      <c r="BK128">
        <v>1769184857.0999999</v>
      </c>
      <c r="BL128">
        <v>4</v>
      </c>
      <c r="BM128">
        <v>3.7999999999999999E-2</v>
      </c>
      <c r="BN128">
        <v>4.0000000000000001E-3</v>
      </c>
      <c r="BO128">
        <v>-1.008</v>
      </c>
      <c r="BP128">
        <v>0.107</v>
      </c>
      <c r="BQ128">
        <v>410</v>
      </c>
      <c r="BR128">
        <v>15</v>
      </c>
      <c r="BS128">
        <v>0.25</v>
      </c>
      <c r="BT128">
        <v>7.0000000000000007E-2</v>
      </c>
      <c r="BU128">
        <v>0.53541809523809503</v>
      </c>
      <c r="BV128">
        <v>-2.7863394545454501</v>
      </c>
      <c r="BW128">
        <v>0.28513495038880998</v>
      </c>
      <c r="BX128">
        <v>0</v>
      </c>
      <c r="BY128">
        <v>0</v>
      </c>
      <c r="BZ128">
        <v>0</v>
      </c>
      <c r="CA128">
        <v>0</v>
      </c>
      <c r="CB128">
        <v>-1</v>
      </c>
      <c r="CC128">
        <v>0.44277342857142898</v>
      </c>
      <c r="CD128">
        <v>1.2204449610389601</v>
      </c>
      <c r="CE128">
        <v>0.12540717011003299</v>
      </c>
      <c r="CF128">
        <v>0</v>
      </c>
      <c r="CG128">
        <v>0</v>
      </c>
      <c r="CH128">
        <v>2</v>
      </c>
      <c r="CI128" t="s">
        <v>290</v>
      </c>
      <c r="CJ128">
        <v>3.5325299999999999</v>
      </c>
      <c r="CK128">
        <v>2.7031299999999998</v>
      </c>
      <c r="CL128">
        <v>9.8093E-2</v>
      </c>
      <c r="CM128">
        <v>9.6683199999999997E-2</v>
      </c>
      <c r="CN128">
        <v>8.9106000000000005E-2</v>
      </c>
      <c r="CO128">
        <v>8.5614700000000002E-2</v>
      </c>
      <c r="CP128">
        <v>31625.9</v>
      </c>
      <c r="CQ128">
        <v>27765.200000000001</v>
      </c>
      <c r="CR128">
        <v>32453.8</v>
      </c>
      <c r="CS128">
        <v>30663.3</v>
      </c>
      <c r="CT128">
        <v>40020</v>
      </c>
      <c r="CU128">
        <v>39415.1</v>
      </c>
      <c r="CV128">
        <v>47389.1</v>
      </c>
      <c r="CW128">
        <v>46752.5</v>
      </c>
      <c r="CX128">
        <v>2.6255600000000001</v>
      </c>
      <c r="CY128">
        <v>2.14228</v>
      </c>
      <c r="CZ128">
        <v>0</v>
      </c>
      <c r="DA128">
        <v>0</v>
      </c>
      <c r="DB128">
        <v>999.9</v>
      </c>
      <c r="DC128">
        <v>999.9</v>
      </c>
      <c r="DD128">
        <v>63.246000000000002</v>
      </c>
      <c r="DE128">
        <v>25.831</v>
      </c>
      <c r="DF128">
        <v>21.099799999999998</v>
      </c>
      <c r="DG128">
        <v>30.350100000000001</v>
      </c>
      <c r="DH128">
        <v>17.7804</v>
      </c>
      <c r="DI128">
        <v>2</v>
      </c>
      <c r="DJ128">
        <v>-0.133356</v>
      </c>
      <c r="DK128">
        <v>1.8002</v>
      </c>
      <c r="DL128">
        <v>20.2288</v>
      </c>
      <c r="DM128">
        <v>5.2505899999999999</v>
      </c>
      <c r="DN128">
        <v>12.033899999999999</v>
      </c>
      <c r="DO128">
        <v>4.9668400000000004</v>
      </c>
      <c r="DP128">
        <v>3.2909999999999999</v>
      </c>
      <c r="DQ128">
        <v>9999</v>
      </c>
      <c r="DR128">
        <v>9999</v>
      </c>
      <c r="DS128">
        <v>534.6</v>
      </c>
      <c r="DT128">
        <v>9999</v>
      </c>
      <c r="DU128">
        <v>1.8710500000000001</v>
      </c>
      <c r="DV128">
        <v>1.8761000000000001</v>
      </c>
      <c r="DW128">
        <v>1.8763399999999999</v>
      </c>
      <c r="DX128">
        <v>1.88279</v>
      </c>
      <c r="DY128">
        <v>1.8755999999999999</v>
      </c>
      <c r="DZ128">
        <v>1.8746700000000001</v>
      </c>
      <c r="EA128">
        <v>1.87077</v>
      </c>
      <c r="EB128">
        <v>1.8746799999999999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-1.008</v>
      </c>
      <c r="EQ128">
        <v>0.1066</v>
      </c>
      <c r="ER128">
        <v>-1.00799999999998</v>
      </c>
      <c r="ES128">
        <v>0</v>
      </c>
      <c r="ET128">
        <v>0</v>
      </c>
      <c r="EU128">
        <v>0</v>
      </c>
      <c r="EV128">
        <v>0.106540000000001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3.5</v>
      </c>
      <c r="FE128">
        <v>3.5</v>
      </c>
      <c r="FF128">
        <v>1.2377899999999999</v>
      </c>
      <c r="FG128">
        <v>2.5634800000000002</v>
      </c>
      <c r="FH128">
        <v>2.19604</v>
      </c>
      <c r="FI128">
        <v>2.66235</v>
      </c>
      <c r="FJ128">
        <v>2.4462899999999999</v>
      </c>
      <c r="FK128">
        <v>2.2961399999999998</v>
      </c>
      <c r="FL128">
        <v>30.933499999999999</v>
      </c>
      <c r="FM128">
        <v>24.157499999999999</v>
      </c>
      <c r="FN128">
        <v>19</v>
      </c>
      <c r="FO128">
        <v>864.67100000000005</v>
      </c>
      <c r="FP128">
        <v>583.46400000000006</v>
      </c>
      <c r="FQ128">
        <v>18.2256</v>
      </c>
      <c r="FR128">
        <v>25.3184</v>
      </c>
      <c r="FS128">
        <v>30.0001</v>
      </c>
      <c r="FT128">
        <v>25.302900000000001</v>
      </c>
      <c r="FU128">
        <v>25.302499999999998</v>
      </c>
      <c r="FV128">
        <v>24.8339</v>
      </c>
      <c r="FW128">
        <v>30.944600000000001</v>
      </c>
      <c r="FX128">
        <v>16.826000000000001</v>
      </c>
      <c r="FY128">
        <v>18.264399999999998</v>
      </c>
      <c r="FZ128">
        <v>410</v>
      </c>
      <c r="GA128">
        <v>15.1052</v>
      </c>
      <c r="GB128">
        <v>99.861599999999996</v>
      </c>
      <c r="GC128">
        <v>99.534599999999998</v>
      </c>
    </row>
    <row r="129" spans="1:185" x14ac:dyDescent="0.2">
      <c r="A129">
        <v>114</v>
      </c>
      <c r="B129">
        <v>1769185079.0999999</v>
      </c>
      <c r="C129">
        <v>2216.0999999046298</v>
      </c>
      <c r="D129" t="s">
        <v>524</v>
      </c>
      <c r="E129" t="s">
        <v>525</v>
      </c>
      <c r="F129">
        <v>15</v>
      </c>
      <c r="G129">
        <v>1769185071.03333</v>
      </c>
      <c r="H129">
        <f t="shared" si="13"/>
        <v>5.2485857505135984E-4</v>
      </c>
      <c r="I129">
        <v>0</v>
      </c>
      <c r="J129">
        <f t="shared" si="25"/>
        <v>-8.720259145649327E-3</v>
      </c>
      <c r="K129">
        <f t="shared" si="14"/>
        <v>-0.22838072382183988</v>
      </c>
      <c r="L129">
        <f t="shared" si="15"/>
        <v>72.129221277416562</v>
      </c>
      <c r="M129">
        <f t="shared" si="16"/>
        <v>1.5828684830255515</v>
      </c>
      <c r="N129">
        <f t="shared" si="17"/>
        <v>2.1944899099044384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26237.766688471253</v>
      </c>
      <c r="T129">
        <f t="shared" si="21"/>
        <v>300</v>
      </c>
      <c r="U129">
        <f t="shared" si="22"/>
        <v>252.90006899999997</v>
      </c>
      <c r="V129">
        <f t="shared" si="23"/>
        <v>0.84300022999999991</v>
      </c>
      <c r="W129">
        <f t="shared" si="24"/>
        <v>0.15870057500000001</v>
      </c>
      <c r="X129">
        <v>1</v>
      </c>
      <c r="Y129">
        <v>1769185071.03333</v>
      </c>
      <c r="Z129">
        <v>410.02946666666702</v>
      </c>
      <c r="AA129">
        <v>410.01299999999998</v>
      </c>
      <c r="AB129">
        <v>15.797553333333299</v>
      </c>
      <c r="AC129">
        <v>15.15184</v>
      </c>
      <c r="AD129">
        <v>411.037466666667</v>
      </c>
      <c r="AE129">
        <v>15.6910066666667</v>
      </c>
      <c r="AF129">
        <v>799.99446666666699</v>
      </c>
      <c r="AG129">
        <v>100.131466666667</v>
      </c>
      <c r="AH129">
        <v>6.559864E-2</v>
      </c>
      <c r="AI129">
        <v>18.922146666666698</v>
      </c>
      <c r="AJ129">
        <v>999.9</v>
      </c>
      <c r="AK129">
        <v>999.9</v>
      </c>
      <c r="AL129">
        <v>0</v>
      </c>
      <c r="AM129">
        <v>0</v>
      </c>
      <c r="AN129">
        <v>4995.7333333333299</v>
      </c>
      <c r="AO129">
        <v>0</v>
      </c>
      <c r="AP129">
        <v>2.0325500000000001</v>
      </c>
      <c r="AQ129">
        <v>1.64042566666667E-2</v>
      </c>
      <c r="AR129">
        <v>416.61093333333298</v>
      </c>
      <c r="AS129">
        <v>416.32106666666698</v>
      </c>
      <c r="AT129">
        <v>0.64570933333333302</v>
      </c>
      <c r="AU129">
        <v>410.01299999999998</v>
      </c>
      <c r="AV129">
        <v>15.15184</v>
      </c>
      <c r="AW129">
        <v>1.5818319999999999</v>
      </c>
      <c r="AX129">
        <v>1.5171766666666699</v>
      </c>
      <c r="AY129">
        <v>13.782913333333299</v>
      </c>
      <c r="AZ129">
        <v>13.14228</v>
      </c>
      <c r="BA129">
        <v>300</v>
      </c>
      <c r="BB129">
        <v>0.89999233333333295</v>
      </c>
      <c r="BC129">
        <v>0</v>
      </c>
      <c r="BD129">
        <v>0.10000766666666699</v>
      </c>
      <c r="BE129">
        <v>0</v>
      </c>
      <c r="BF129">
        <v>25</v>
      </c>
      <c r="BG129">
        <v>4946.6226666666698</v>
      </c>
      <c r="BH129">
        <v>1769184857.0999999</v>
      </c>
      <c r="BI129" t="s">
        <v>509</v>
      </c>
      <c r="BJ129">
        <v>1769184855.0999999</v>
      </c>
      <c r="BK129">
        <v>1769184857.0999999</v>
      </c>
      <c r="BL129">
        <v>4</v>
      </c>
      <c r="BM129">
        <v>3.7999999999999999E-2</v>
      </c>
      <c r="BN129">
        <v>4.0000000000000001E-3</v>
      </c>
      <c r="BO129">
        <v>-1.008</v>
      </c>
      <c r="BP129">
        <v>0.107</v>
      </c>
      <c r="BQ129">
        <v>410</v>
      </c>
      <c r="BR129">
        <v>15</v>
      </c>
      <c r="BS129">
        <v>0.25</v>
      </c>
      <c r="BT129">
        <v>7.0000000000000007E-2</v>
      </c>
      <c r="BU129">
        <v>5.9959442500000001E-2</v>
      </c>
      <c r="BV129">
        <v>-1.00773994511278</v>
      </c>
      <c r="BW129">
        <v>9.7967578662899096E-2</v>
      </c>
      <c r="BX129">
        <v>0</v>
      </c>
      <c r="BY129">
        <v>0</v>
      </c>
      <c r="BZ129">
        <v>0</v>
      </c>
      <c r="CA129">
        <v>0</v>
      </c>
      <c r="CB129">
        <v>-1</v>
      </c>
      <c r="CC129">
        <v>0.63184810000000002</v>
      </c>
      <c r="CD129">
        <v>0.32568216541353301</v>
      </c>
      <c r="CE129">
        <v>3.1985015458648798E-2</v>
      </c>
      <c r="CF129">
        <v>0</v>
      </c>
      <c r="CG129">
        <v>0</v>
      </c>
      <c r="CH129">
        <v>2</v>
      </c>
      <c r="CI129" t="s">
        <v>290</v>
      </c>
      <c r="CJ129">
        <v>3.5325299999999999</v>
      </c>
      <c r="CK129">
        <v>2.7034199999999999</v>
      </c>
      <c r="CL129">
        <v>9.8049899999999995E-2</v>
      </c>
      <c r="CM129">
        <v>9.66722E-2</v>
      </c>
      <c r="CN129">
        <v>8.8524099999999994E-2</v>
      </c>
      <c r="CO129">
        <v>8.4807499999999994E-2</v>
      </c>
      <c r="CP129">
        <v>31627.5</v>
      </c>
      <c r="CQ129">
        <v>27766.1</v>
      </c>
      <c r="CR129">
        <v>32453.9</v>
      </c>
      <c r="CS129">
        <v>30663.9</v>
      </c>
      <c r="CT129">
        <v>40046.6</v>
      </c>
      <c r="CU129">
        <v>39451.599999999999</v>
      </c>
      <c r="CV129">
        <v>47389.3</v>
      </c>
      <c r="CW129">
        <v>46753.3</v>
      </c>
      <c r="CX129">
        <v>2.6255799999999998</v>
      </c>
      <c r="CY129">
        <v>2.1414800000000001</v>
      </c>
      <c r="CZ129">
        <v>0</v>
      </c>
      <c r="DA129">
        <v>0</v>
      </c>
      <c r="DB129">
        <v>999.9</v>
      </c>
      <c r="DC129">
        <v>999.9</v>
      </c>
      <c r="DD129">
        <v>63.161000000000001</v>
      </c>
      <c r="DE129">
        <v>25.841000000000001</v>
      </c>
      <c r="DF129">
        <v>21.083300000000001</v>
      </c>
      <c r="DG129">
        <v>30.440100000000001</v>
      </c>
      <c r="DH129">
        <v>17.668299999999999</v>
      </c>
      <c r="DI129">
        <v>2</v>
      </c>
      <c r="DJ129">
        <v>-0.13320699999999999</v>
      </c>
      <c r="DK129">
        <v>1.6809700000000001</v>
      </c>
      <c r="DL129">
        <v>20.23</v>
      </c>
      <c r="DM129">
        <v>5.2511900000000002</v>
      </c>
      <c r="DN129">
        <v>12.033899999999999</v>
      </c>
      <c r="DO129">
        <v>4.9668799999999997</v>
      </c>
      <c r="DP129">
        <v>3.2909999999999999</v>
      </c>
      <c r="DQ129">
        <v>9999</v>
      </c>
      <c r="DR129">
        <v>9999</v>
      </c>
      <c r="DS129">
        <v>534.6</v>
      </c>
      <c r="DT129">
        <v>9999</v>
      </c>
      <c r="DU129">
        <v>1.87104</v>
      </c>
      <c r="DV129">
        <v>1.8761000000000001</v>
      </c>
      <c r="DW129">
        <v>1.87635</v>
      </c>
      <c r="DX129">
        <v>1.88279</v>
      </c>
      <c r="DY129">
        <v>1.8755999999999999</v>
      </c>
      <c r="DZ129">
        <v>1.8746499999999999</v>
      </c>
      <c r="EA129">
        <v>1.87076</v>
      </c>
      <c r="EB129">
        <v>1.87466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-1.008</v>
      </c>
      <c r="EQ129">
        <v>0.1066</v>
      </c>
      <c r="ER129">
        <v>-1.00799999999998</v>
      </c>
      <c r="ES129">
        <v>0</v>
      </c>
      <c r="ET129">
        <v>0</v>
      </c>
      <c r="EU129">
        <v>0</v>
      </c>
      <c r="EV129">
        <v>0.106540000000001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3.7</v>
      </c>
      <c r="FE129">
        <v>3.7</v>
      </c>
      <c r="FF129">
        <v>1.2365699999999999</v>
      </c>
      <c r="FG129">
        <v>2.5610400000000002</v>
      </c>
      <c r="FH129">
        <v>2.19604</v>
      </c>
      <c r="FI129">
        <v>2.66235</v>
      </c>
      <c r="FJ129">
        <v>2.4462899999999999</v>
      </c>
      <c r="FK129">
        <v>2.2827099999999998</v>
      </c>
      <c r="FL129">
        <v>30.955200000000001</v>
      </c>
      <c r="FM129">
        <v>24.148800000000001</v>
      </c>
      <c r="FN129">
        <v>19</v>
      </c>
      <c r="FO129">
        <v>864.76400000000001</v>
      </c>
      <c r="FP129">
        <v>582.90800000000002</v>
      </c>
      <c r="FQ129">
        <v>18.404399999999999</v>
      </c>
      <c r="FR129">
        <v>25.325199999999999</v>
      </c>
      <c r="FS129">
        <v>30.0002</v>
      </c>
      <c r="FT129">
        <v>25.307500000000001</v>
      </c>
      <c r="FU129">
        <v>25.308</v>
      </c>
      <c r="FV129">
        <v>24.834199999999999</v>
      </c>
      <c r="FW129">
        <v>31.793600000000001</v>
      </c>
      <c r="FX129">
        <v>16.454499999999999</v>
      </c>
      <c r="FY129">
        <v>18.4328</v>
      </c>
      <c r="FZ129">
        <v>410</v>
      </c>
      <c r="GA129">
        <v>14.9322</v>
      </c>
      <c r="GB129">
        <v>99.861900000000006</v>
      </c>
      <c r="GC129">
        <v>99.536299999999997</v>
      </c>
    </row>
    <row r="130" spans="1:185" x14ac:dyDescent="0.2">
      <c r="A130">
        <v>115</v>
      </c>
      <c r="B130">
        <v>1769185094.0999999</v>
      </c>
      <c r="C130">
        <v>2231.0999999046298</v>
      </c>
      <c r="D130" t="s">
        <v>526</v>
      </c>
      <c r="E130" t="s">
        <v>527</v>
      </c>
      <c r="F130">
        <v>15</v>
      </c>
      <c r="G130">
        <v>1769185086.03333</v>
      </c>
      <c r="H130">
        <f t="shared" si="13"/>
        <v>5.6059443706525224E-4</v>
      </c>
      <c r="I130">
        <v>0</v>
      </c>
      <c r="J130">
        <f t="shared" si="25"/>
        <v>-4.3320268856771246E-3</v>
      </c>
      <c r="K130">
        <f t="shared" si="14"/>
        <v>-0.11345436176173908</v>
      </c>
      <c r="L130">
        <f t="shared" si="15"/>
        <v>71.44362034813922</v>
      </c>
      <c r="M130">
        <f t="shared" si="16"/>
        <v>1.5701557708869056</v>
      </c>
      <c r="N130">
        <f t="shared" si="17"/>
        <v>2.1977550454969363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26267.696447179736</v>
      </c>
      <c r="T130">
        <f t="shared" si="21"/>
        <v>300.00113333333297</v>
      </c>
      <c r="U130">
        <f t="shared" si="22"/>
        <v>252.90104060032147</v>
      </c>
      <c r="V130">
        <f t="shared" si="23"/>
        <v>0.84300028399999971</v>
      </c>
      <c r="W130">
        <f t="shared" si="24"/>
        <v>0.15870083991999992</v>
      </c>
      <c r="X130">
        <v>1</v>
      </c>
      <c r="Y130">
        <v>1769185086.03333</v>
      </c>
      <c r="Z130">
        <v>409.87686666666701</v>
      </c>
      <c r="AA130">
        <v>410.02226666666701</v>
      </c>
      <c r="AB130">
        <v>15.670640000000001</v>
      </c>
      <c r="AC130">
        <v>14.980880000000001</v>
      </c>
      <c r="AD130">
        <v>410.88486666666699</v>
      </c>
      <c r="AE130">
        <v>15.564106666666699</v>
      </c>
      <c r="AF130">
        <v>800.00226666666697</v>
      </c>
      <c r="AG130">
        <v>100.1318</v>
      </c>
      <c r="AH130">
        <v>6.5497040000000006E-2</v>
      </c>
      <c r="AI130">
        <v>18.945959999999999</v>
      </c>
      <c r="AJ130">
        <v>999.9</v>
      </c>
      <c r="AK130">
        <v>999.9</v>
      </c>
      <c r="AL130">
        <v>0</v>
      </c>
      <c r="AM130">
        <v>0</v>
      </c>
      <c r="AN130">
        <v>5001</v>
      </c>
      <c r="AO130">
        <v>0</v>
      </c>
      <c r="AP130">
        <v>2.0325500000000001</v>
      </c>
      <c r="AQ130">
        <v>-0.14533088666666699</v>
      </c>
      <c r="AR130">
        <v>416.402066666667</v>
      </c>
      <c r="AS130">
        <v>416.25799999999998</v>
      </c>
      <c r="AT130">
        <v>0.68977960000000005</v>
      </c>
      <c r="AU130">
        <v>410.02226666666701</v>
      </c>
      <c r="AV130">
        <v>14.980880000000001</v>
      </c>
      <c r="AW130">
        <v>1.56913066666667</v>
      </c>
      <c r="AX130">
        <v>1.50006066666667</v>
      </c>
      <c r="AY130">
        <v>13.658913333333301</v>
      </c>
      <c r="AZ130">
        <v>12.96874</v>
      </c>
      <c r="BA130">
        <v>300.00113333333297</v>
      </c>
      <c r="BB130">
        <v>0.89998860000000003</v>
      </c>
      <c r="BC130">
        <v>0</v>
      </c>
      <c r="BD130">
        <v>0.10001133333333299</v>
      </c>
      <c r="BE130">
        <v>0</v>
      </c>
      <c r="BF130">
        <v>25</v>
      </c>
      <c r="BG130">
        <v>4946.6379999999999</v>
      </c>
      <c r="BH130">
        <v>1769184857.0999999</v>
      </c>
      <c r="BI130" t="s">
        <v>509</v>
      </c>
      <c r="BJ130">
        <v>1769184855.0999999</v>
      </c>
      <c r="BK130">
        <v>1769184857.0999999</v>
      </c>
      <c r="BL130">
        <v>4</v>
      </c>
      <c r="BM130">
        <v>3.7999999999999999E-2</v>
      </c>
      <c r="BN130">
        <v>4.0000000000000001E-3</v>
      </c>
      <c r="BO130">
        <v>-1.008</v>
      </c>
      <c r="BP130">
        <v>0.107</v>
      </c>
      <c r="BQ130">
        <v>410</v>
      </c>
      <c r="BR130">
        <v>15</v>
      </c>
      <c r="BS130">
        <v>0.25</v>
      </c>
      <c r="BT130">
        <v>7.0000000000000007E-2</v>
      </c>
      <c r="BU130">
        <v>-0.117994095238095</v>
      </c>
      <c r="BV130">
        <v>-0.48257819220779202</v>
      </c>
      <c r="BW130">
        <v>5.27028897418301E-2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0.68323942857142805</v>
      </c>
      <c r="CD130">
        <v>0.108554493506494</v>
      </c>
      <c r="CE130">
        <v>1.25891414078862E-2</v>
      </c>
      <c r="CF130">
        <v>0</v>
      </c>
      <c r="CG130">
        <v>1</v>
      </c>
      <c r="CH130">
        <v>2</v>
      </c>
      <c r="CI130" t="s">
        <v>301</v>
      </c>
      <c r="CJ130">
        <v>3.5325600000000001</v>
      </c>
      <c r="CK130">
        <v>2.7032699999999998</v>
      </c>
      <c r="CL130">
        <v>9.8026500000000003E-2</v>
      </c>
      <c r="CM130">
        <v>9.6677600000000002E-2</v>
      </c>
      <c r="CN130">
        <v>8.8031100000000001E-2</v>
      </c>
      <c r="CO130">
        <v>8.42252E-2</v>
      </c>
      <c r="CP130">
        <v>31628.2</v>
      </c>
      <c r="CQ130">
        <v>27766</v>
      </c>
      <c r="CR130">
        <v>32453.8</v>
      </c>
      <c r="CS130">
        <v>30664</v>
      </c>
      <c r="CT130">
        <v>40069.1</v>
      </c>
      <c r="CU130">
        <v>39477.4</v>
      </c>
      <c r="CV130">
        <v>47389.5</v>
      </c>
      <c r="CW130">
        <v>46753.3</v>
      </c>
      <c r="CX130">
        <v>2.62548</v>
      </c>
      <c r="CY130">
        <v>2.1408999999999998</v>
      </c>
      <c r="CZ130">
        <v>0</v>
      </c>
      <c r="DA130">
        <v>0</v>
      </c>
      <c r="DB130">
        <v>999.9</v>
      </c>
      <c r="DC130">
        <v>999.9</v>
      </c>
      <c r="DD130">
        <v>63.039000000000001</v>
      </c>
      <c r="DE130">
        <v>25.861000000000001</v>
      </c>
      <c r="DF130">
        <v>21.0686</v>
      </c>
      <c r="DG130">
        <v>30.470099999999999</v>
      </c>
      <c r="DH130">
        <v>17.696300000000001</v>
      </c>
      <c r="DI130">
        <v>2</v>
      </c>
      <c r="DJ130">
        <v>-0.13278899999999999</v>
      </c>
      <c r="DK130">
        <v>1.6470899999999999</v>
      </c>
      <c r="DL130">
        <v>20.230599999999999</v>
      </c>
      <c r="DM130">
        <v>5.2509499999999996</v>
      </c>
      <c r="DN130">
        <v>12.033899999999999</v>
      </c>
      <c r="DO130">
        <v>4.9672400000000003</v>
      </c>
      <c r="DP130">
        <v>3.2909999999999999</v>
      </c>
      <c r="DQ130">
        <v>9999</v>
      </c>
      <c r="DR130">
        <v>9999</v>
      </c>
      <c r="DS130">
        <v>534.6</v>
      </c>
      <c r="DT130">
        <v>9999</v>
      </c>
      <c r="DU130">
        <v>1.87103</v>
      </c>
      <c r="DV130">
        <v>1.87609</v>
      </c>
      <c r="DW130">
        <v>1.87636</v>
      </c>
      <c r="DX130">
        <v>1.88279</v>
      </c>
      <c r="DY130">
        <v>1.87561</v>
      </c>
      <c r="DZ130">
        <v>1.8746100000000001</v>
      </c>
      <c r="EA130">
        <v>1.87073</v>
      </c>
      <c r="EB130">
        <v>1.8746700000000001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-1.008</v>
      </c>
      <c r="EQ130">
        <v>0.1065</v>
      </c>
      <c r="ER130">
        <v>-1.00799999999998</v>
      </c>
      <c r="ES130">
        <v>0</v>
      </c>
      <c r="ET130">
        <v>0</v>
      </c>
      <c r="EU130">
        <v>0</v>
      </c>
      <c r="EV130">
        <v>0.106540000000001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4</v>
      </c>
      <c r="FE130">
        <v>4</v>
      </c>
      <c r="FF130">
        <v>1.2365699999999999</v>
      </c>
      <c r="FG130">
        <v>2.5634800000000002</v>
      </c>
      <c r="FH130">
        <v>2.19604</v>
      </c>
      <c r="FI130">
        <v>2.66113</v>
      </c>
      <c r="FJ130">
        <v>2.4462899999999999</v>
      </c>
      <c r="FK130">
        <v>2.3010299999999999</v>
      </c>
      <c r="FL130">
        <v>30.976900000000001</v>
      </c>
      <c r="FM130">
        <v>24.157499999999999</v>
      </c>
      <c r="FN130">
        <v>19</v>
      </c>
      <c r="FO130">
        <v>864.74699999999996</v>
      </c>
      <c r="FP130">
        <v>582.51800000000003</v>
      </c>
      <c r="FQ130">
        <v>18.5381</v>
      </c>
      <c r="FR130">
        <v>25.331600000000002</v>
      </c>
      <c r="FS130">
        <v>30.0001</v>
      </c>
      <c r="FT130">
        <v>25.3123</v>
      </c>
      <c r="FU130">
        <v>25.313199999999998</v>
      </c>
      <c r="FV130">
        <v>24.83</v>
      </c>
      <c r="FW130">
        <v>32.076000000000001</v>
      </c>
      <c r="FX130">
        <v>16.073599999999999</v>
      </c>
      <c r="FY130">
        <v>18.553699999999999</v>
      </c>
      <c r="FZ130">
        <v>410</v>
      </c>
      <c r="GA130">
        <v>14.8331</v>
      </c>
      <c r="GB130">
        <v>99.861999999999995</v>
      </c>
      <c r="GC130">
        <v>99.536600000000007</v>
      </c>
    </row>
    <row r="131" spans="1:185" x14ac:dyDescent="0.2">
      <c r="A131">
        <v>116</v>
      </c>
      <c r="B131">
        <v>1769185109.0999999</v>
      </c>
      <c r="C131">
        <v>2246.0999999046298</v>
      </c>
      <c r="D131" t="s">
        <v>528</v>
      </c>
      <c r="E131" t="s">
        <v>529</v>
      </c>
      <c r="F131">
        <v>15</v>
      </c>
      <c r="G131">
        <v>1769185101.03333</v>
      </c>
      <c r="H131">
        <f t="shared" si="13"/>
        <v>5.6682872052600487E-4</v>
      </c>
      <c r="I131">
        <v>0</v>
      </c>
      <c r="J131">
        <f t="shared" si="25"/>
        <v>-2.3651444207795319E-3</v>
      </c>
      <c r="K131">
        <f t="shared" si="14"/>
        <v>-6.1942355810642009E-2</v>
      </c>
      <c r="L131">
        <f t="shared" si="15"/>
        <v>70.844789373726044</v>
      </c>
      <c r="M131">
        <f t="shared" si="16"/>
        <v>1.55989519242471</v>
      </c>
      <c r="N131">
        <f t="shared" si="17"/>
        <v>2.2018488673822252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26260.634359334948</v>
      </c>
      <c r="T131">
        <f t="shared" si="21"/>
        <v>299.99926666666698</v>
      </c>
      <c r="U131">
        <f t="shared" si="22"/>
        <v>252.89950539969811</v>
      </c>
      <c r="V131">
        <f t="shared" si="23"/>
        <v>0.84300041199999998</v>
      </c>
      <c r="W131">
        <f t="shared" si="24"/>
        <v>0.15870102999999999</v>
      </c>
      <c r="X131">
        <v>1</v>
      </c>
      <c r="Y131">
        <v>1769185101.03333</v>
      </c>
      <c r="Z131">
        <v>409.80393333333302</v>
      </c>
      <c r="AA131">
        <v>410.016866666667</v>
      </c>
      <c r="AB131">
        <v>15.5684466666667</v>
      </c>
      <c r="AC131">
        <v>14.870939999999999</v>
      </c>
      <c r="AD131">
        <v>410.811933333333</v>
      </c>
      <c r="AE131">
        <v>15.461919999999999</v>
      </c>
      <c r="AF131">
        <v>799.9982</v>
      </c>
      <c r="AG131">
        <v>100.13053333333301</v>
      </c>
      <c r="AH131">
        <v>6.5409513333333294E-2</v>
      </c>
      <c r="AI131">
        <v>18.975773333333301</v>
      </c>
      <c r="AJ131">
        <v>999.9</v>
      </c>
      <c r="AK131">
        <v>999.9</v>
      </c>
      <c r="AL131">
        <v>0</v>
      </c>
      <c r="AM131">
        <v>0</v>
      </c>
      <c r="AN131">
        <v>5000.3333333333303</v>
      </c>
      <c r="AO131">
        <v>0</v>
      </c>
      <c r="AP131">
        <v>2.0325500000000001</v>
      </c>
      <c r="AQ131">
        <v>-0.212813266666667</v>
      </c>
      <c r="AR131">
        <v>416.28493333333302</v>
      </c>
      <c r="AS131">
        <v>416.20626666666698</v>
      </c>
      <c r="AT131">
        <v>0.69753446666666696</v>
      </c>
      <c r="AU131">
        <v>410.016866666667</v>
      </c>
      <c r="AV131">
        <v>14.870939999999999</v>
      </c>
      <c r="AW131">
        <v>1.55887666666667</v>
      </c>
      <c r="AX131">
        <v>1.48903266666667</v>
      </c>
      <c r="AY131">
        <v>13.5581866666667</v>
      </c>
      <c r="AZ131">
        <v>12.855973333333299</v>
      </c>
      <c r="BA131">
        <v>299.99926666666698</v>
      </c>
      <c r="BB131">
        <v>0.89998626666666703</v>
      </c>
      <c r="BC131">
        <v>0</v>
      </c>
      <c r="BD131">
        <v>0.10001373333333299</v>
      </c>
      <c r="BE131">
        <v>0</v>
      </c>
      <c r="BF131">
        <v>25</v>
      </c>
      <c r="BG131">
        <v>4946.6046666666698</v>
      </c>
      <c r="BH131">
        <v>1769184857.0999999</v>
      </c>
      <c r="BI131" t="s">
        <v>509</v>
      </c>
      <c r="BJ131">
        <v>1769184855.0999999</v>
      </c>
      <c r="BK131">
        <v>1769184857.0999999</v>
      </c>
      <c r="BL131">
        <v>4</v>
      </c>
      <c r="BM131">
        <v>3.7999999999999999E-2</v>
      </c>
      <c r="BN131">
        <v>4.0000000000000001E-3</v>
      </c>
      <c r="BO131">
        <v>-1.008</v>
      </c>
      <c r="BP131">
        <v>0.107</v>
      </c>
      <c r="BQ131">
        <v>410</v>
      </c>
      <c r="BR131">
        <v>15</v>
      </c>
      <c r="BS131">
        <v>0.25</v>
      </c>
      <c r="BT131">
        <v>7.0000000000000007E-2</v>
      </c>
      <c r="BU131">
        <v>-0.20615534999999999</v>
      </c>
      <c r="BV131">
        <v>-0.13963078195488701</v>
      </c>
      <c r="BW131">
        <v>1.9966352156252799E-2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0.69647545</v>
      </c>
      <c r="CD131">
        <v>8.4256105263157494E-2</v>
      </c>
      <c r="CE131">
        <v>1.4472013399921199E-2</v>
      </c>
      <c r="CF131">
        <v>1</v>
      </c>
      <c r="CG131">
        <v>2</v>
      </c>
      <c r="CH131">
        <v>2</v>
      </c>
      <c r="CI131" t="s">
        <v>310</v>
      </c>
      <c r="CJ131">
        <v>3.5325099999999998</v>
      </c>
      <c r="CK131">
        <v>2.7033100000000001</v>
      </c>
      <c r="CL131">
        <v>9.8018499999999995E-2</v>
      </c>
      <c r="CM131">
        <v>9.6660300000000005E-2</v>
      </c>
      <c r="CN131">
        <v>8.7632500000000002E-2</v>
      </c>
      <c r="CO131">
        <v>8.3797800000000006E-2</v>
      </c>
      <c r="CP131">
        <v>31628.1</v>
      </c>
      <c r="CQ131">
        <v>27766.3</v>
      </c>
      <c r="CR131">
        <v>32453.4</v>
      </c>
      <c r="CS131">
        <v>30663.8</v>
      </c>
      <c r="CT131">
        <v>40086.699999999997</v>
      </c>
      <c r="CU131">
        <v>39496.300000000003</v>
      </c>
      <c r="CV131">
        <v>47388.9</v>
      </c>
      <c r="CW131">
        <v>46753.2</v>
      </c>
      <c r="CX131">
        <v>2.6253000000000002</v>
      </c>
      <c r="CY131">
        <v>2.1404000000000001</v>
      </c>
      <c r="CZ131">
        <v>0</v>
      </c>
      <c r="DA131">
        <v>0</v>
      </c>
      <c r="DB131">
        <v>999.9</v>
      </c>
      <c r="DC131">
        <v>999.9</v>
      </c>
      <c r="DD131">
        <v>62.953000000000003</v>
      </c>
      <c r="DE131">
        <v>25.881</v>
      </c>
      <c r="DF131">
        <v>21.065000000000001</v>
      </c>
      <c r="DG131">
        <v>30.650099999999998</v>
      </c>
      <c r="DH131">
        <v>17.708300000000001</v>
      </c>
      <c r="DI131">
        <v>2</v>
      </c>
      <c r="DJ131">
        <v>-0.132242</v>
      </c>
      <c r="DK131">
        <v>1.6866300000000001</v>
      </c>
      <c r="DL131">
        <v>20.229800000000001</v>
      </c>
      <c r="DM131">
        <v>5.2503500000000001</v>
      </c>
      <c r="DN131">
        <v>12.033899999999999</v>
      </c>
      <c r="DO131">
        <v>4.96692</v>
      </c>
      <c r="DP131">
        <v>3.2909999999999999</v>
      </c>
      <c r="DQ131">
        <v>9999</v>
      </c>
      <c r="DR131">
        <v>9999</v>
      </c>
      <c r="DS131">
        <v>534.6</v>
      </c>
      <c r="DT131">
        <v>9999</v>
      </c>
      <c r="DU131">
        <v>1.8710500000000001</v>
      </c>
      <c r="DV131">
        <v>1.8761000000000001</v>
      </c>
      <c r="DW131">
        <v>1.87636</v>
      </c>
      <c r="DX131">
        <v>1.8828100000000001</v>
      </c>
      <c r="DY131">
        <v>1.87561</v>
      </c>
      <c r="DZ131">
        <v>1.8746700000000001</v>
      </c>
      <c r="EA131">
        <v>1.87076</v>
      </c>
      <c r="EB131">
        <v>1.87469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-1.008</v>
      </c>
      <c r="EQ131">
        <v>0.1066</v>
      </c>
      <c r="ER131">
        <v>-1.00799999999998</v>
      </c>
      <c r="ES131">
        <v>0</v>
      </c>
      <c r="ET131">
        <v>0</v>
      </c>
      <c r="EU131">
        <v>0</v>
      </c>
      <c r="EV131">
        <v>0.106540000000001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4.2</v>
      </c>
      <c r="FE131">
        <v>4.2</v>
      </c>
      <c r="FF131">
        <v>1.2365699999999999</v>
      </c>
      <c r="FG131">
        <v>2.5598100000000001</v>
      </c>
      <c r="FH131">
        <v>2.19604</v>
      </c>
      <c r="FI131">
        <v>2.66113</v>
      </c>
      <c r="FJ131">
        <v>2.4462899999999999</v>
      </c>
      <c r="FK131">
        <v>2.2973599999999998</v>
      </c>
      <c r="FL131">
        <v>30.976900000000001</v>
      </c>
      <c r="FM131">
        <v>24.157499999999999</v>
      </c>
      <c r="FN131">
        <v>19</v>
      </c>
      <c r="FO131">
        <v>864.66200000000003</v>
      </c>
      <c r="FP131">
        <v>582.18899999999996</v>
      </c>
      <c r="FQ131">
        <v>18.610700000000001</v>
      </c>
      <c r="FR131">
        <v>25.336300000000001</v>
      </c>
      <c r="FS131">
        <v>30.000299999999999</v>
      </c>
      <c r="FT131">
        <v>25.317399999999999</v>
      </c>
      <c r="FU131">
        <v>25.318200000000001</v>
      </c>
      <c r="FV131">
        <v>24.8307</v>
      </c>
      <c r="FW131">
        <v>32.365400000000001</v>
      </c>
      <c r="FX131">
        <v>15.696400000000001</v>
      </c>
      <c r="FY131">
        <v>18.612400000000001</v>
      </c>
      <c r="FZ131">
        <v>410</v>
      </c>
      <c r="GA131">
        <v>14.789199999999999</v>
      </c>
      <c r="GB131">
        <v>99.860799999999998</v>
      </c>
      <c r="GC131">
        <v>99.536100000000005</v>
      </c>
    </row>
    <row r="132" spans="1:185" x14ac:dyDescent="0.2">
      <c r="A132">
        <v>117</v>
      </c>
      <c r="B132">
        <v>1769185124.0999999</v>
      </c>
      <c r="C132">
        <v>2261.0999999046298</v>
      </c>
      <c r="D132" t="s">
        <v>530</v>
      </c>
      <c r="E132" t="s">
        <v>531</v>
      </c>
      <c r="F132">
        <v>15</v>
      </c>
      <c r="G132">
        <v>1769185116.03333</v>
      </c>
      <c r="H132">
        <f t="shared" si="13"/>
        <v>5.5066636617430908E-4</v>
      </c>
      <c r="I132">
        <v>0</v>
      </c>
      <c r="J132">
        <f t="shared" si="25"/>
        <v>-1.3940252022239478E-3</v>
      </c>
      <c r="K132">
        <f t="shared" si="14"/>
        <v>-3.6509062333156796E-2</v>
      </c>
      <c r="L132">
        <f t="shared" si="15"/>
        <v>70.327998809632845</v>
      </c>
      <c r="M132">
        <f t="shared" si="16"/>
        <v>1.5513580996054519</v>
      </c>
      <c r="N132">
        <f t="shared" si="17"/>
        <v>2.2058897250933325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26283.464361872018</v>
      </c>
      <c r="T132">
        <f t="shared" si="21"/>
        <v>299.99866666666702</v>
      </c>
      <c r="U132">
        <f t="shared" si="22"/>
        <v>252.89892819976828</v>
      </c>
      <c r="V132">
        <f t="shared" si="23"/>
        <v>0.84300017399999994</v>
      </c>
      <c r="W132">
        <f t="shared" si="24"/>
        <v>0.158700435</v>
      </c>
      <c r="X132">
        <v>1</v>
      </c>
      <c r="Y132">
        <v>1769185116.03333</v>
      </c>
      <c r="Z132">
        <v>409.742866666667</v>
      </c>
      <c r="AA132">
        <v>409.979266666667</v>
      </c>
      <c r="AB132">
        <v>15.48254</v>
      </c>
      <c r="AC132">
        <v>14.804873333333299</v>
      </c>
      <c r="AD132">
        <v>410.75086666666698</v>
      </c>
      <c r="AE132">
        <v>15.375999999999999</v>
      </c>
      <c r="AF132">
        <v>800.01080000000002</v>
      </c>
      <c r="AG132">
        <v>100.135066666667</v>
      </c>
      <c r="AH132">
        <v>6.5423666666666699E-2</v>
      </c>
      <c r="AI132">
        <v>19.0051533333333</v>
      </c>
      <c r="AJ132">
        <v>999.9</v>
      </c>
      <c r="AK132">
        <v>999.9</v>
      </c>
      <c r="AL132">
        <v>0</v>
      </c>
      <c r="AM132">
        <v>0</v>
      </c>
      <c r="AN132">
        <v>5004.3333333333303</v>
      </c>
      <c r="AO132">
        <v>0</v>
      </c>
      <c r="AP132">
        <v>2.0325500000000001</v>
      </c>
      <c r="AQ132">
        <v>-0.2364116</v>
      </c>
      <c r="AR132">
        <v>416.18639999999999</v>
      </c>
      <c r="AS132">
        <v>416.14</v>
      </c>
      <c r="AT132">
        <v>0.67765786666666705</v>
      </c>
      <c r="AU132">
        <v>409.979266666667</v>
      </c>
      <c r="AV132">
        <v>14.804873333333299</v>
      </c>
      <c r="AW132">
        <v>1.55034466666667</v>
      </c>
      <c r="AX132">
        <v>1.4824866666666701</v>
      </c>
      <c r="AY132">
        <v>13.4739066666667</v>
      </c>
      <c r="AZ132">
        <v>12.788726666666699</v>
      </c>
      <c r="BA132">
        <v>299.99866666666702</v>
      </c>
      <c r="BB132">
        <v>0.89999419999999997</v>
      </c>
      <c r="BC132">
        <v>0</v>
      </c>
      <c r="BD132">
        <v>0.10000580000000001</v>
      </c>
      <c r="BE132">
        <v>0</v>
      </c>
      <c r="BF132">
        <v>25</v>
      </c>
      <c r="BG132">
        <v>4946.6040000000003</v>
      </c>
      <c r="BH132">
        <v>1769184857.0999999</v>
      </c>
      <c r="BI132" t="s">
        <v>509</v>
      </c>
      <c r="BJ132">
        <v>1769184855.0999999</v>
      </c>
      <c r="BK132">
        <v>1769184857.0999999</v>
      </c>
      <c r="BL132">
        <v>4</v>
      </c>
      <c r="BM132">
        <v>3.7999999999999999E-2</v>
      </c>
      <c r="BN132">
        <v>4.0000000000000001E-3</v>
      </c>
      <c r="BO132">
        <v>-1.008</v>
      </c>
      <c r="BP132">
        <v>0.107</v>
      </c>
      <c r="BQ132">
        <v>410</v>
      </c>
      <c r="BR132">
        <v>15</v>
      </c>
      <c r="BS132">
        <v>0.25</v>
      </c>
      <c r="BT132">
        <v>7.0000000000000007E-2</v>
      </c>
      <c r="BU132">
        <v>-0.23113290476190501</v>
      </c>
      <c r="BV132">
        <v>-0.21069771428571399</v>
      </c>
      <c r="BW132">
        <v>3.5701938781428001E-2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0.68819742857142896</v>
      </c>
      <c r="CD132">
        <v>-0.208045168831167</v>
      </c>
      <c r="CE132">
        <v>2.1672065073052301E-2</v>
      </c>
      <c r="CF132">
        <v>0</v>
      </c>
      <c r="CG132">
        <v>1</v>
      </c>
      <c r="CH132">
        <v>2</v>
      </c>
      <c r="CI132" t="s">
        <v>301</v>
      </c>
      <c r="CJ132">
        <v>3.5324800000000001</v>
      </c>
      <c r="CK132">
        <v>2.7033800000000001</v>
      </c>
      <c r="CL132">
        <v>9.8010700000000006E-2</v>
      </c>
      <c r="CM132">
        <v>9.6685300000000002E-2</v>
      </c>
      <c r="CN132">
        <v>8.7322499999999997E-2</v>
      </c>
      <c r="CO132">
        <v>8.3708900000000003E-2</v>
      </c>
      <c r="CP132">
        <v>31628.1</v>
      </c>
      <c r="CQ132">
        <v>27765.1</v>
      </c>
      <c r="CR132">
        <v>32453.200000000001</v>
      </c>
      <c r="CS132">
        <v>30663.4</v>
      </c>
      <c r="CT132">
        <v>40100.800000000003</v>
      </c>
      <c r="CU132">
        <v>39499.4</v>
      </c>
      <c r="CV132">
        <v>47389</v>
      </c>
      <c r="CW132">
        <v>46752.2</v>
      </c>
      <c r="CX132">
        <v>2.6250800000000001</v>
      </c>
      <c r="CY132">
        <v>2.1404399999999999</v>
      </c>
      <c r="CZ132">
        <v>0</v>
      </c>
      <c r="DA132">
        <v>0</v>
      </c>
      <c r="DB132">
        <v>999.9</v>
      </c>
      <c r="DC132">
        <v>999.9</v>
      </c>
      <c r="DD132">
        <v>62.856000000000002</v>
      </c>
      <c r="DE132">
        <v>25.881</v>
      </c>
      <c r="DF132">
        <v>21.032399999999999</v>
      </c>
      <c r="DG132">
        <v>30.260100000000001</v>
      </c>
      <c r="DH132">
        <v>17.764399999999998</v>
      </c>
      <c r="DI132">
        <v>2</v>
      </c>
      <c r="DJ132">
        <v>-0.12696099999999999</v>
      </c>
      <c r="DK132">
        <v>2.82639</v>
      </c>
      <c r="DL132">
        <v>20.2105</v>
      </c>
      <c r="DM132">
        <v>5.2503500000000001</v>
      </c>
      <c r="DN132">
        <v>12.033899999999999</v>
      </c>
      <c r="DO132">
        <v>4.96732</v>
      </c>
      <c r="DP132">
        <v>3.2909999999999999</v>
      </c>
      <c r="DQ132">
        <v>9999</v>
      </c>
      <c r="DR132">
        <v>9999</v>
      </c>
      <c r="DS132">
        <v>534.6</v>
      </c>
      <c r="DT132">
        <v>9999</v>
      </c>
      <c r="DU132">
        <v>1.8710500000000001</v>
      </c>
      <c r="DV132">
        <v>1.8761000000000001</v>
      </c>
      <c r="DW132">
        <v>1.87632</v>
      </c>
      <c r="DX132">
        <v>1.8827799999999999</v>
      </c>
      <c r="DY132">
        <v>1.8755999999999999</v>
      </c>
      <c r="DZ132">
        <v>1.8746400000000001</v>
      </c>
      <c r="EA132">
        <v>1.87073</v>
      </c>
      <c r="EB132">
        <v>1.8746799999999999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-1.008</v>
      </c>
      <c r="EQ132">
        <v>0.1065</v>
      </c>
      <c r="ER132">
        <v>-1.00799999999998</v>
      </c>
      <c r="ES132">
        <v>0</v>
      </c>
      <c r="ET132">
        <v>0</v>
      </c>
      <c r="EU132">
        <v>0</v>
      </c>
      <c r="EV132">
        <v>0.106540000000001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4.5</v>
      </c>
      <c r="FE132">
        <v>4.5</v>
      </c>
      <c r="FF132">
        <v>1.2377899999999999</v>
      </c>
      <c r="FG132">
        <v>2.5634800000000002</v>
      </c>
      <c r="FH132">
        <v>2.19604</v>
      </c>
      <c r="FI132">
        <v>2.66113</v>
      </c>
      <c r="FJ132">
        <v>2.4462899999999999</v>
      </c>
      <c r="FK132">
        <v>2.2717299999999998</v>
      </c>
      <c r="FL132">
        <v>30.976900000000001</v>
      </c>
      <c r="FM132">
        <v>24.148800000000001</v>
      </c>
      <c r="FN132">
        <v>19</v>
      </c>
      <c r="FO132">
        <v>864.53300000000002</v>
      </c>
      <c r="FP132">
        <v>582.27700000000004</v>
      </c>
      <c r="FQ132">
        <v>18.2653</v>
      </c>
      <c r="FR132">
        <v>25.340499999999999</v>
      </c>
      <c r="FS132">
        <v>30.002300000000002</v>
      </c>
      <c r="FT132">
        <v>25.322099999999999</v>
      </c>
      <c r="FU132">
        <v>25.3233</v>
      </c>
      <c r="FV132">
        <v>24.83</v>
      </c>
      <c r="FW132">
        <v>32.365400000000001</v>
      </c>
      <c r="FX132">
        <v>15.3179</v>
      </c>
      <c r="FY132">
        <v>18.224</v>
      </c>
      <c r="FZ132">
        <v>410</v>
      </c>
      <c r="GA132">
        <v>14.790699999999999</v>
      </c>
      <c r="GB132">
        <v>99.860699999999994</v>
      </c>
      <c r="GC132">
        <v>99.534199999999998</v>
      </c>
    </row>
    <row r="133" spans="1:185" x14ac:dyDescent="0.2">
      <c r="A133">
        <v>118</v>
      </c>
      <c r="B133">
        <v>1769185139.0999999</v>
      </c>
      <c r="C133">
        <v>2276.0999999046298</v>
      </c>
      <c r="D133" t="s">
        <v>532</v>
      </c>
      <c r="E133" t="s">
        <v>533</v>
      </c>
      <c r="F133">
        <v>15</v>
      </c>
      <c r="G133">
        <v>1769185131.03333</v>
      </c>
      <c r="H133">
        <f t="shared" si="13"/>
        <v>5.121548485628475E-4</v>
      </c>
      <c r="I133">
        <v>0</v>
      </c>
      <c r="J133">
        <f t="shared" si="25"/>
        <v>-2.4224578119263682E-4</v>
      </c>
      <c r="K133">
        <f t="shared" si="14"/>
        <v>-6.3443374706545937E-3</v>
      </c>
      <c r="L133">
        <f t="shared" si="15"/>
        <v>70.049599156768508</v>
      </c>
      <c r="M133">
        <f t="shared" si="16"/>
        <v>1.5447374364345443</v>
      </c>
      <c r="N133">
        <f t="shared" si="17"/>
        <v>2.2052052474668371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26259.905790504308</v>
      </c>
      <c r="T133">
        <f t="shared" si="21"/>
        <v>300.00060000000002</v>
      </c>
      <c r="U133">
        <f t="shared" si="22"/>
        <v>252.9005622001128</v>
      </c>
      <c r="V133">
        <f t="shared" si="23"/>
        <v>0.84300018799999998</v>
      </c>
      <c r="W133">
        <f t="shared" si="24"/>
        <v>0.15870047000000004</v>
      </c>
      <c r="X133">
        <v>1</v>
      </c>
      <c r="Y133">
        <v>1769185131.03333</v>
      </c>
      <c r="Z133">
        <v>409.765533333333</v>
      </c>
      <c r="AA133">
        <v>410.01993333333297</v>
      </c>
      <c r="AB133">
        <v>15.416873333333299</v>
      </c>
      <c r="AC133">
        <v>14.7865466666667</v>
      </c>
      <c r="AD133">
        <v>410.77353333333298</v>
      </c>
      <c r="AE133">
        <v>15.3103466666667</v>
      </c>
      <c r="AF133">
        <v>799.99633333333304</v>
      </c>
      <c r="AG133">
        <v>100.13226666666699</v>
      </c>
      <c r="AH133">
        <v>6.5575206666666705E-2</v>
      </c>
      <c r="AI133">
        <v>19.00018</v>
      </c>
      <c r="AJ133">
        <v>999.9</v>
      </c>
      <c r="AK133">
        <v>999.9</v>
      </c>
      <c r="AL133">
        <v>0</v>
      </c>
      <c r="AM133">
        <v>0</v>
      </c>
      <c r="AN133">
        <v>5000.5</v>
      </c>
      <c r="AO133">
        <v>0</v>
      </c>
      <c r="AP133">
        <v>2.0325500000000001</v>
      </c>
      <c r="AQ133">
        <v>-0.25449006666666701</v>
      </c>
      <c r="AR133">
        <v>416.18180000000001</v>
      </c>
      <c r="AS133">
        <v>416.17380000000003</v>
      </c>
      <c r="AT133">
        <v>0.63033320000000004</v>
      </c>
      <c r="AU133">
        <v>410.01993333333297</v>
      </c>
      <c r="AV133">
        <v>14.7865466666667</v>
      </c>
      <c r="AW133">
        <v>1.5437273333333299</v>
      </c>
      <c r="AX133">
        <v>1.4806113333333299</v>
      </c>
      <c r="AY133">
        <v>13.408253333333301</v>
      </c>
      <c r="AZ133">
        <v>12.7693866666667</v>
      </c>
      <c r="BA133">
        <v>300.00060000000002</v>
      </c>
      <c r="BB133">
        <v>0.89999373333333299</v>
      </c>
      <c r="BC133">
        <v>0</v>
      </c>
      <c r="BD133">
        <v>0.100006266666667</v>
      </c>
      <c r="BE133">
        <v>0</v>
      </c>
      <c r="BF133">
        <v>25</v>
      </c>
      <c r="BG133">
        <v>4946.6373333333304</v>
      </c>
      <c r="BH133">
        <v>1769184857.0999999</v>
      </c>
      <c r="BI133" t="s">
        <v>509</v>
      </c>
      <c r="BJ133">
        <v>1769184855.0999999</v>
      </c>
      <c r="BK133">
        <v>1769184857.0999999</v>
      </c>
      <c r="BL133">
        <v>4</v>
      </c>
      <c r="BM133">
        <v>3.7999999999999999E-2</v>
      </c>
      <c r="BN133">
        <v>4.0000000000000001E-3</v>
      </c>
      <c r="BO133">
        <v>-1.008</v>
      </c>
      <c r="BP133">
        <v>0.107</v>
      </c>
      <c r="BQ133">
        <v>410</v>
      </c>
      <c r="BR133">
        <v>15</v>
      </c>
      <c r="BS133">
        <v>0.25</v>
      </c>
      <c r="BT133">
        <v>7.0000000000000007E-2</v>
      </c>
      <c r="BU133">
        <v>-0.26116214285714301</v>
      </c>
      <c r="BV133">
        <v>0.16151696103896099</v>
      </c>
      <c r="BW133">
        <v>4.3897275075736E-2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0.64182304761904796</v>
      </c>
      <c r="CD133">
        <v>-0.18179509090909099</v>
      </c>
      <c r="CE133">
        <v>1.8655110892897502E-2</v>
      </c>
      <c r="CF133">
        <v>0</v>
      </c>
      <c r="CG133">
        <v>1</v>
      </c>
      <c r="CH133">
        <v>2</v>
      </c>
      <c r="CI133" t="s">
        <v>301</v>
      </c>
      <c r="CJ133">
        <v>3.53254</v>
      </c>
      <c r="CK133">
        <v>2.7035800000000001</v>
      </c>
      <c r="CL133">
        <v>9.8008799999999993E-2</v>
      </c>
      <c r="CM133">
        <v>9.6655900000000003E-2</v>
      </c>
      <c r="CN133">
        <v>8.7087600000000001E-2</v>
      </c>
      <c r="CO133">
        <v>8.3648100000000003E-2</v>
      </c>
      <c r="CP133">
        <v>31628.3</v>
      </c>
      <c r="CQ133">
        <v>27766</v>
      </c>
      <c r="CR133">
        <v>32453.4</v>
      </c>
      <c r="CS133">
        <v>30663.3</v>
      </c>
      <c r="CT133">
        <v>40111.4</v>
      </c>
      <c r="CU133">
        <v>39502.699999999997</v>
      </c>
      <c r="CV133">
        <v>47388.800000000003</v>
      </c>
      <c r="CW133">
        <v>46752.800000000003</v>
      </c>
      <c r="CX133">
        <v>2.6250599999999999</v>
      </c>
      <c r="CY133">
        <v>2.1398199999999998</v>
      </c>
      <c r="CZ133">
        <v>0</v>
      </c>
      <c r="DA133">
        <v>0</v>
      </c>
      <c r="DB133">
        <v>999.9</v>
      </c>
      <c r="DC133">
        <v>999.9</v>
      </c>
      <c r="DD133">
        <v>62.720999999999997</v>
      </c>
      <c r="DE133">
        <v>25.901</v>
      </c>
      <c r="DF133">
        <v>21.013100000000001</v>
      </c>
      <c r="DG133">
        <v>30.170100000000001</v>
      </c>
      <c r="DH133">
        <v>17.664300000000001</v>
      </c>
      <c r="DI133">
        <v>2</v>
      </c>
      <c r="DJ133">
        <v>-0.12990199999999999</v>
      </c>
      <c r="DK133">
        <v>2.1627100000000001</v>
      </c>
      <c r="DL133">
        <v>20.222999999999999</v>
      </c>
      <c r="DM133">
        <v>5.2523900000000001</v>
      </c>
      <c r="DN133">
        <v>12.033899999999999</v>
      </c>
      <c r="DO133">
        <v>4.9673999999999996</v>
      </c>
      <c r="DP133">
        <v>3.2909999999999999</v>
      </c>
      <c r="DQ133">
        <v>9999</v>
      </c>
      <c r="DR133">
        <v>9999</v>
      </c>
      <c r="DS133">
        <v>534.6</v>
      </c>
      <c r="DT133">
        <v>9999</v>
      </c>
      <c r="DU133">
        <v>1.87104</v>
      </c>
      <c r="DV133">
        <v>1.87608</v>
      </c>
      <c r="DW133">
        <v>1.8762799999999999</v>
      </c>
      <c r="DX133">
        <v>1.8827799999999999</v>
      </c>
      <c r="DY133">
        <v>1.8755900000000001</v>
      </c>
      <c r="DZ133">
        <v>1.8746</v>
      </c>
      <c r="EA133">
        <v>1.8707400000000001</v>
      </c>
      <c r="EB133">
        <v>1.8746499999999999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-1.008</v>
      </c>
      <c r="EQ133">
        <v>0.1066</v>
      </c>
      <c r="ER133">
        <v>-1.00799999999998</v>
      </c>
      <c r="ES133">
        <v>0</v>
      </c>
      <c r="ET133">
        <v>0</v>
      </c>
      <c r="EU133">
        <v>0</v>
      </c>
      <c r="EV133">
        <v>0.106540000000001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4.7</v>
      </c>
      <c r="FE133">
        <v>4.7</v>
      </c>
      <c r="FF133">
        <v>1.2365699999999999</v>
      </c>
      <c r="FG133">
        <v>2.5573700000000001</v>
      </c>
      <c r="FH133">
        <v>2.19604</v>
      </c>
      <c r="FI133">
        <v>2.66113</v>
      </c>
      <c r="FJ133">
        <v>2.4462899999999999</v>
      </c>
      <c r="FK133">
        <v>2.2729499999999998</v>
      </c>
      <c r="FL133">
        <v>30.976900000000001</v>
      </c>
      <c r="FM133">
        <v>24.148800000000001</v>
      </c>
      <c r="FN133">
        <v>19</v>
      </c>
      <c r="FO133">
        <v>864.58299999999997</v>
      </c>
      <c r="FP133">
        <v>581.846</v>
      </c>
      <c r="FQ133">
        <v>18.180800000000001</v>
      </c>
      <c r="FR133">
        <v>25.343599999999999</v>
      </c>
      <c r="FS133">
        <v>29.999600000000001</v>
      </c>
      <c r="FT133">
        <v>25.3263</v>
      </c>
      <c r="FU133">
        <v>25.3276</v>
      </c>
      <c r="FV133">
        <v>24.8308</v>
      </c>
      <c r="FW133">
        <v>32.365400000000001</v>
      </c>
      <c r="FX133">
        <v>14.944100000000001</v>
      </c>
      <c r="FY133">
        <v>18.205400000000001</v>
      </c>
      <c r="FZ133">
        <v>410</v>
      </c>
      <c r="GA133">
        <v>14.8071</v>
      </c>
      <c r="GB133">
        <v>99.860699999999994</v>
      </c>
      <c r="GC133">
        <v>99.534999999999997</v>
      </c>
    </row>
    <row r="134" spans="1:185" x14ac:dyDescent="0.2">
      <c r="A134">
        <v>119</v>
      </c>
      <c r="B134">
        <v>1769185154.0999999</v>
      </c>
      <c r="C134">
        <v>2291.0999999046298</v>
      </c>
      <c r="D134" t="s">
        <v>534</v>
      </c>
      <c r="E134" t="s">
        <v>535</v>
      </c>
      <c r="F134">
        <v>15</v>
      </c>
      <c r="G134">
        <v>1769185146.03333</v>
      </c>
      <c r="H134">
        <f t="shared" si="13"/>
        <v>4.9620241599039464E-4</v>
      </c>
      <c r="I134">
        <v>0</v>
      </c>
      <c r="J134">
        <f t="shared" si="25"/>
        <v>-1.1041453212965492E-3</v>
      </c>
      <c r="K134">
        <f t="shared" si="14"/>
        <v>-2.891720343058992E-2</v>
      </c>
      <c r="L134">
        <f t="shared" si="15"/>
        <v>69.978890260482459</v>
      </c>
      <c r="M134">
        <f t="shared" si="16"/>
        <v>1.5412859489105082</v>
      </c>
      <c r="N134">
        <f t="shared" si="17"/>
        <v>2.2025012731316238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26208.596577818738</v>
      </c>
      <c r="T134">
        <f t="shared" si="21"/>
        <v>299.99959999999999</v>
      </c>
      <c r="U134">
        <f t="shared" si="22"/>
        <v>252.8997359999023</v>
      </c>
      <c r="V134">
        <f t="shared" si="23"/>
        <v>0.84300024399999973</v>
      </c>
      <c r="W134">
        <f t="shared" si="24"/>
        <v>0.15870073991999994</v>
      </c>
      <c r="X134">
        <v>1</v>
      </c>
      <c r="Y134">
        <v>1769185146.03333</v>
      </c>
      <c r="Z134">
        <v>409.74939999999998</v>
      </c>
      <c r="AA134">
        <v>409.9674</v>
      </c>
      <c r="AB134">
        <v>15.38294</v>
      </c>
      <c r="AC134">
        <v>14.7722333333333</v>
      </c>
      <c r="AD134">
        <v>410.75740000000002</v>
      </c>
      <c r="AE134">
        <v>15.276386666666699</v>
      </c>
      <c r="AF134">
        <v>800.00660000000005</v>
      </c>
      <c r="AG134">
        <v>100.129</v>
      </c>
      <c r="AH134">
        <v>6.5497860000000005E-2</v>
      </c>
      <c r="AI134">
        <v>18.980519999999999</v>
      </c>
      <c r="AJ134">
        <v>999.9</v>
      </c>
      <c r="AK134">
        <v>999.9</v>
      </c>
      <c r="AL134">
        <v>0</v>
      </c>
      <c r="AM134">
        <v>0</v>
      </c>
      <c r="AN134">
        <v>4991.8999999999996</v>
      </c>
      <c r="AO134">
        <v>0</v>
      </c>
      <c r="AP134">
        <v>2.0325500000000001</v>
      </c>
      <c r="AQ134">
        <v>-0.21794233333333299</v>
      </c>
      <c r="AR134">
        <v>416.15106666666702</v>
      </c>
      <c r="AS134">
        <v>416.11419999999998</v>
      </c>
      <c r="AT134">
        <v>0.61070873333333298</v>
      </c>
      <c r="AU134">
        <v>409.9674</v>
      </c>
      <c r="AV134">
        <v>14.7722333333333</v>
      </c>
      <c r="AW134">
        <v>1.540278</v>
      </c>
      <c r="AX134">
        <v>1.4791286666666701</v>
      </c>
      <c r="AY134">
        <v>13.373939999999999</v>
      </c>
      <c r="AZ134">
        <v>12.7540866666667</v>
      </c>
      <c r="BA134">
        <v>299.99959999999999</v>
      </c>
      <c r="BB134">
        <v>0.89998993333333299</v>
      </c>
      <c r="BC134">
        <v>0</v>
      </c>
      <c r="BD134">
        <v>0.10001</v>
      </c>
      <c r="BE134">
        <v>0</v>
      </c>
      <c r="BF134">
        <v>25</v>
      </c>
      <c r="BG134">
        <v>4946.6113333333296</v>
      </c>
      <c r="BH134">
        <v>1769184857.0999999</v>
      </c>
      <c r="BI134" t="s">
        <v>509</v>
      </c>
      <c r="BJ134">
        <v>1769184855.0999999</v>
      </c>
      <c r="BK134">
        <v>1769184857.0999999</v>
      </c>
      <c r="BL134">
        <v>4</v>
      </c>
      <c r="BM134">
        <v>3.7999999999999999E-2</v>
      </c>
      <c r="BN134">
        <v>4.0000000000000001E-3</v>
      </c>
      <c r="BO134">
        <v>-1.008</v>
      </c>
      <c r="BP134">
        <v>0.107</v>
      </c>
      <c r="BQ134">
        <v>410</v>
      </c>
      <c r="BR134">
        <v>15</v>
      </c>
      <c r="BS134">
        <v>0.25</v>
      </c>
      <c r="BT134">
        <v>7.0000000000000007E-2</v>
      </c>
      <c r="BU134">
        <v>-0.21527823809523799</v>
      </c>
      <c r="BV134">
        <v>-3.5180259740259699E-2</v>
      </c>
      <c r="BW134">
        <v>1.68244358397024E-2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0.61276023809523805</v>
      </c>
      <c r="CD134">
        <v>-3.7840597402597903E-2</v>
      </c>
      <c r="CE134">
        <v>4.3101352636465704E-3</v>
      </c>
      <c r="CF134">
        <v>1</v>
      </c>
      <c r="CG134">
        <v>2</v>
      </c>
      <c r="CH134">
        <v>2</v>
      </c>
      <c r="CI134" t="s">
        <v>310</v>
      </c>
      <c r="CJ134">
        <v>3.5325099999999998</v>
      </c>
      <c r="CK134">
        <v>2.7031100000000001</v>
      </c>
      <c r="CL134">
        <v>9.8005999999999996E-2</v>
      </c>
      <c r="CM134">
        <v>9.6654900000000002E-2</v>
      </c>
      <c r="CN134">
        <v>8.7008100000000005E-2</v>
      </c>
      <c r="CO134">
        <v>8.3581699999999995E-2</v>
      </c>
      <c r="CP134">
        <v>31629</v>
      </c>
      <c r="CQ134">
        <v>27766.7</v>
      </c>
      <c r="CR134">
        <v>32454</v>
      </c>
      <c r="CS134">
        <v>30664.1</v>
      </c>
      <c r="CT134">
        <v>40115.699999999997</v>
      </c>
      <c r="CU134">
        <v>39506.5</v>
      </c>
      <c r="CV134">
        <v>47389.7</v>
      </c>
      <c r="CW134">
        <v>46753.9</v>
      </c>
      <c r="CX134">
        <v>2.6250599999999999</v>
      </c>
      <c r="CY134">
        <v>2.1397599999999999</v>
      </c>
      <c r="CZ134">
        <v>0</v>
      </c>
      <c r="DA134">
        <v>0</v>
      </c>
      <c r="DB134">
        <v>999.9</v>
      </c>
      <c r="DC134">
        <v>999.9</v>
      </c>
      <c r="DD134">
        <v>62.624000000000002</v>
      </c>
      <c r="DE134">
        <v>25.920999999999999</v>
      </c>
      <c r="DF134">
        <v>21.003699999999998</v>
      </c>
      <c r="DG134">
        <v>30.5901</v>
      </c>
      <c r="DH134">
        <v>17.764399999999998</v>
      </c>
      <c r="DI134">
        <v>2</v>
      </c>
      <c r="DJ134">
        <v>-0.13048000000000001</v>
      </c>
      <c r="DK134">
        <v>2.0325899999999999</v>
      </c>
      <c r="DL134">
        <v>20.2254</v>
      </c>
      <c r="DM134">
        <v>5.2522700000000002</v>
      </c>
      <c r="DN134">
        <v>12.033899999999999</v>
      </c>
      <c r="DO134">
        <v>4.96732</v>
      </c>
      <c r="DP134">
        <v>3.2909999999999999</v>
      </c>
      <c r="DQ134">
        <v>9999</v>
      </c>
      <c r="DR134">
        <v>9999</v>
      </c>
      <c r="DS134">
        <v>534.6</v>
      </c>
      <c r="DT134">
        <v>9999</v>
      </c>
      <c r="DU134">
        <v>1.87104</v>
      </c>
      <c r="DV134">
        <v>1.87608</v>
      </c>
      <c r="DW134">
        <v>1.87629</v>
      </c>
      <c r="DX134">
        <v>1.88279</v>
      </c>
      <c r="DY134">
        <v>1.87561</v>
      </c>
      <c r="DZ134">
        <v>1.87463</v>
      </c>
      <c r="EA134">
        <v>1.8707400000000001</v>
      </c>
      <c r="EB134">
        <v>1.87466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-1.008</v>
      </c>
      <c r="EQ134">
        <v>0.1066</v>
      </c>
      <c r="ER134">
        <v>-1.00799999999998</v>
      </c>
      <c r="ES134">
        <v>0</v>
      </c>
      <c r="ET134">
        <v>0</v>
      </c>
      <c r="EU134">
        <v>0</v>
      </c>
      <c r="EV134">
        <v>0.106540000000001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5</v>
      </c>
      <c r="FE134">
        <v>5</v>
      </c>
      <c r="FF134">
        <v>1.2365699999999999</v>
      </c>
      <c r="FG134">
        <v>2.5610400000000002</v>
      </c>
      <c r="FH134">
        <v>2.19604</v>
      </c>
      <c r="FI134">
        <v>2.66113</v>
      </c>
      <c r="FJ134">
        <v>2.4462899999999999</v>
      </c>
      <c r="FK134">
        <v>2.2692899999999998</v>
      </c>
      <c r="FL134">
        <v>30.9985</v>
      </c>
      <c r="FM134">
        <v>24.148800000000001</v>
      </c>
      <c r="FN134">
        <v>19</v>
      </c>
      <c r="FO134">
        <v>864.64499999999998</v>
      </c>
      <c r="FP134">
        <v>581.84299999999996</v>
      </c>
      <c r="FQ134">
        <v>18.228400000000001</v>
      </c>
      <c r="FR134">
        <v>25.346900000000002</v>
      </c>
      <c r="FS134">
        <v>30</v>
      </c>
      <c r="FT134">
        <v>25.330200000000001</v>
      </c>
      <c r="FU134">
        <v>25.331399999999999</v>
      </c>
      <c r="FV134">
        <v>24.834099999999999</v>
      </c>
      <c r="FW134">
        <v>32.365400000000001</v>
      </c>
      <c r="FX134">
        <v>14.565099999999999</v>
      </c>
      <c r="FY134">
        <v>18.243200000000002</v>
      </c>
      <c r="FZ134">
        <v>410</v>
      </c>
      <c r="GA134">
        <v>14.8071</v>
      </c>
      <c r="GB134">
        <v>99.862499999999997</v>
      </c>
      <c r="GC134">
        <v>99.537499999999994</v>
      </c>
    </row>
    <row r="135" spans="1:185" x14ac:dyDescent="0.2">
      <c r="A135">
        <v>120</v>
      </c>
      <c r="B135">
        <v>1769185169.0999999</v>
      </c>
      <c r="C135">
        <v>2306.0999999046298</v>
      </c>
      <c r="D135" t="s">
        <v>536</v>
      </c>
      <c r="E135" t="s">
        <v>537</v>
      </c>
      <c r="F135">
        <v>15</v>
      </c>
      <c r="G135">
        <v>1769185161.03333</v>
      </c>
      <c r="H135">
        <f t="shared" si="13"/>
        <v>4.93954571144472E-4</v>
      </c>
      <c r="I135">
        <v>0</v>
      </c>
      <c r="J135">
        <f t="shared" si="25"/>
        <v>-3.5638208209119488E-4</v>
      </c>
      <c r="K135">
        <f t="shared" si="14"/>
        <v>-9.3335297157686632E-3</v>
      </c>
      <c r="L135">
        <f t="shared" si="15"/>
        <v>69.923750684282652</v>
      </c>
      <c r="M135">
        <f t="shared" si="16"/>
        <v>1.5394705364522878</v>
      </c>
      <c r="N135">
        <f t="shared" si="17"/>
        <v>2.2016418189625626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26282.276410431212</v>
      </c>
      <c r="T135">
        <f t="shared" si="21"/>
        <v>299.99973333333298</v>
      </c>
      <c r="U135">
        <f t="shared" si="22"/>
        <v>252.8998183999613</v>
      </c>
      <c r="V135">
        <f t="shared" si="23"/>
        <v>0.84300014400000001</v>
      </c>
      <c r="W135">
        <f t="shared" si="24"/>
        <v>0.15870035999999998</v>
      </c>
      <c r="X135">
        <v>1</v>
      </c>
      <c r="Y135">
        <v>1769185161.03333</v>
      </c>
      <c r="Z135">
        <v>409.75659999999999</v>
      </c>
      <c r="AA135">
        <v>409.99793333333298</v>
      </c>
      <c r="AB135">
        <v>15.364800000000001</v>
      </c>
      <c r="AC135">
        <v>14.7568466666667</v>
      </c>
      <c r="AD135">
        <v>410.76459999999997</v>
      </c>
      <c r="AE135">
        <v>15.258226666666699</v>
      </c>
      <c r="AF135">
        <v>800.00393333333295</v>
      </c>
      <c r="AG135">
        <v>100.1292</v>
      </c>
      <c r="AH135">
        <v>6.5435560000000004E-2</v>
      </c>
      <c r="AI135">
        <v>18.974266666666701</v>
      </c>
      <c r="AJ135">
        <v>999.9</v>
      </c>
      <c r="AK135">
        <v>999.9</v>
      </c>
      <c r="AL135">
        <v>0</v>
      </c>
      <c r="AM135">
        <v>0</v>
      </c>
      <c r="AN135">
        <v>5003.9333333333298</v>
      </c>
      <c r="AO135">
        <v>0</v>
      </c>
      <c r="AP135">
        <v>2.0735793333333299</v>
      </c>
      <c r="AQ135">
        <v>-0.24127599999999999</v>
      </c>
      <c r="AR135">
        <v>416.15066666666701</v>
      </c>
      <c r="AS135">
        <v>416.138933333333</v>
      </c>
      <c r="AT135">
        <v>0.607931</v>
      </c>
      <c r="AU135">
        <v>409.99793333333298</v>
      </c>
      <c r="AV135">
        <v>14.7568466666667</v>
      </c>
      <c r="AW135">
        <v>1.53846066666667</v>
      </c>
      <c r="AX135">
        <v>1.47759</v>
      </c>
      <c r="AY135">
        <v>13.35586</v>
      </c>
      <c r="AZ135">
        <v>12.7382333333333</v>
      </c>
      <c r="BA135">
        <v>299.99973333333298</v>
      </c>
      <c r="BB135">
        <v>0.8999952</v>
      </c>
      <c r="BC135">
        <v>0</v>
      </c>
      <c r="BD135">
        <v>0.1000048</v>
      </c>
      <c r="BE135">
        <v>0</v>
      </c>
      <c r="BF135">
        <v>25</v>
      </c>
      <c r="BG135">
        <v>4946.6266666666697</v>
      </c>
      <c r="BH135">
        <v>1769184857.0999999</v>
      </c>
      <c r="BI135" t="s">
        <v>509</v>
      </c>
      <c r="BJ135">
        <v>1769184855.0999999</v>
      </c>
      <c r="BK135">
        <v>1769184857.0999999</v>
      </c>
      <c r="BL135">
        <v>4</v>
      </c>
      <c r="BM135">
        <v>3.7999999999999999E-2</v>
      </c>
      <c r="BN135">
        <v>4.0000000000000001E-3</v>
      </c>
      <c r="BO135">
        <v>-1.008</v>
      </c>
      <c r="BP135">
        <v>0.107</v>
      </c>
      <c r="BQ135">
        <v>410</v>
      </c>
      <c r="BR135">
        <v>15</v>
      </c>
      <c r="BS135">
        <v>0.25</v>
      </c>
      <c r="BT135">
        <v>7.0000000000000007E-2</v>
      </c>
      <c r="BU135">
        <v>-0.23274590476190499</v>
      </c>
      <c r="BV135">
        <v>-3.38183376623378E-2</v>
      </c>
      <c r="BW135">
        <v>2.9662811294543401E-2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0.60800152380952399</v>
      </c>
      <c r="CD135">
        <v>-8.9230129870120408E-3</v>
      </c>
      <c r="CE135">
        <v>2.6705724839985699E-3</v>
      </c>
      <c r="CF135">
        <v>1</v>
      </c>
      <c r="CG135">
        <v>2</v>
      </c>
      <c r="CH135">
        <v>2</v>
      </c>
      <c r="CI135" t="s">
        <v>310</v>
      </c>
      <c r="CJ135">
        <v>3.5325099999999998</v>
      </c>
      <c r="CK135">
        <v>2.7034199999999999</v>
      </c>
      <c r="CL135">
        <v>9.8005200000000001E-2</v>
      </c>
      <c r="CM135">
        <v>9.6659800000000004E-2</v>
      </c>
      <c r="CN135">
        <v>8.6944400000000005E-2</v>
      </c>
      <c r="CO135">
        <v>8.35254E-2</v>
      </c>
      <c r="CP135">
        <v>31628.6</v>
      </c>
      <c r="CQ135">
        <v>27766.3</v>
      </c>
      <c r="CR135">
        <v>32453.599999999999</v>
      </c>
      <c r="CS135">
        <v>30663.9</v>
      </c>
      <c r="CT135">
        <v>40118.400000000001</v>
      </c>
      <c r="CU135">
        <v>39508.800000000003</v>
      </c>
      <c r="CV135">
        <v>47389.5</v>
      </c>
      <c r="CW135">
        <v>46753.7</v>
      </c>
      <c r="CX135">
        <v>2.6251199999999999</v>
      </c>
      <c r="CY135">
        <v>2.1396600000000001</v>
      </c>
      <c r="CZ135">
        <v>0</v>
      </c>
      <c r="DA135">
        <v>0</v>
      </c>
      <c r="DB135">
        <v>999.9</v>
      </c>
      <c r="DC135">
        <v>999.9</v>
      </c>
      <c r="DD135">
        <v>62.531999999999996</v>
      </c>
      <c r="DE135">
        <v>25.952000000000002</v>
      </c>
      <c r="DF135">
        <v>21.012899999999998</v>
      </c>
      <c r="DG135">
        <v>30.620100000000001</v>
      </c>
      <c r="DH135">
        <v>17.708300000000001</v>
      </c>
      <c r="DI135">
        <v>2</v>
      </c>
      <c r="DJ135">
        <v>-0.130333</v>
      </c>
      <c r="DK135">
        <v>1.9705999999999999</v>
      </c>
      <c r="DL135">
        <v>20.226199999999999</v>
      </c>
      <c r="DM135">
        <v>5.2520300000000004</v>
      </c>
      <c r="DN135">
        <v>12.033899999999999</v>
      </c>
      <c r="DO135">
        <v>4.9675599999999998</v>
      </c>
      <c r="DP135">
        <v>3.2909999999999999</v>
      </c>
      <c r="DQ135">
        <v>9999</v>
      </c>
      <c r="DR135">
        <v>9999</v>
      </c>
      <c r="DS135">
        <v>534.6</v>
      </c>
      <c r="DT135">
        <v>9999</v>
      </c>
      <c r="DU135">
        <v>1.87103</v>
      </c>
      <c r="DV135">
        <v>1.8760699999999999</v>
      </c>
      <c r="DW135">
        <v>1.87632</v>
      </c>
      <c r="DX135">
        <v>1.8827799999999999</v>
      </c>
      <c r="DY135">
        <v>1.87561</v>
      </c>
      <c r="DZ135">
        <v>1.87462</v>
      </c>
      <c r="EA135">
        <v>1.87073</v>
      </c>
      <c r="EB135">
        <v>1.8746499999999999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-1.008</v>
      </c>
      <c r="EQ135">
        <v>0.1066</v>
      </c>
      <c r="ER135">
        <v>-1.00799999999998</v>
      </c>
      <c r="ES135">
        <v>0</v>
      </c>
      <c r="ET135">
        <v>0</v>
      </c>
      <c r="EU135">
        <v>0</v>
      </c>
      <c r="EV135">
        <v>0.106540000000001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5.2</v>
      </c>
      <c r="FE135">
        <v>5.2</v>
      </c>
      <c r="FF135">
        <v>1.2365699999999999</v>
      </c>
      <c r="FG135">
        <v>2.5598100000000001</v>
      </c>
      <c r="FH135">
        <v>2.19604</v>
      </c>
      <c r="FI135">
        <v>2.66113</v>
      </c>
      <c r="FJ135">
        <v>2.4462899999999999</v>
      </c>
      <c r="FK135">
        <v>2.3315399999999999</v>
      </c>
      <c r="FL135">
        <v>31.020199999999999</v>
      </c>
      <c r="FM135">
        <v>24.157499999999999</v>
      </c>
      <c r="FN135">
        <v>19</v>
      </c>
      <c r="FO135">
        <v>864.755</v>
      </c>
      <c r="FP135">
        <v>581.80399999999997</v>
      </c>
      <c r="FQ135">
        <v>18.285399999999999</v>
      </c>
      <c r="FR135">
        <v>25.3504</v>
      </c>
      <c r="FS135">
        <v>30.0001</v>
      </c>
      <c r="FT135">
        <v>25.333600000000001</v>
      </c>
      <c r="FU135">
        <v>25.334800000000001</v>
      </c>
      <c r="FV135">
        <v>24.833500000000001</v>
      </c>
      <c r="FW135">
        <v>32.365400000000001</v>
      </c>
      <c r="FX135">
        <v>14.1929</v>
      </c>
      <c r="FY135">
        <v>18.2971</v>
      </c>
      <c r="FZ135">
        <v>410</v>
      </c>
      <c r="GA135">
        <v>14.8071</v>
      </c>
      <c r="GB135">
        <v>99.861699999999999</v>
      </c>
      <c r="GC135">
        <v>99.536900000000003</v>
      </c>
    </row>
    <row r="136" spans="1:185" x14ac:dyDescent="0.2">
      <c r="A136">
        <v>121</v>
      </c>
      <c r="B136">
        <v>1769185184.0999999</v>
      </c>
      <c r="C136">
        <v>2321.0999999046298</v>
      </c>
      <c r="D136" t="s">
        <v>538</v>
      </c>
      <c r="E136" t="s">
        <v>539</v>
      </c>
      <c r="F136">
        <v>15</v>
      </c>
      <c r="G136">
        <v>1769185176.03333</v>
      </c>
      <c r="H136">
        <f t="shared" si="13"/>
        <v>4.9239791295697043E-4</v>
      </c>
      <c r="I136">
        <v>0</v>
      </c>
      <c r="J136">
        <f t="shared" si="25"/>
        <v>-4.1168166517095885E-4</v>
      </c>
      <c r="K136">
        <f t="shared" si="14"/>
        <v>-1.0781807639608053E-2</v>
      </c>
      <c r="L136">
        <f t="shared" si="15"/>
        <v>69.853465127804071</v>
      </c>
      <c r="M136">
        <f t="shared" si="16"/>
        <v>1.5379851747082078</v>
      </c>
      <c r="N136">
        <f t="shared" si="17"/>
        <v>2.2017306827861818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26274.303298355404</v>
      </c>
      <c r="T136">
        <f t="shared" si="21"/>
        <v>300.00099999999998</v>
      </c>
      <c r="U136">
        <f t="shared" si="22"/>
        <v>252.90093660031195</v>
      </c>
      <c r="V136">
        <f t="shared" si="23"/>
        <v>0.84300031199999992</v>
      </c>
      <c r="W136">
        <f t="shared" si="24"/>
        <v>0.15870077999999999</v>
      </c>
      <c r="X136">
        <v>1</v>
      </c>
      <c r="Y136">
        <v>1769185176.03333</v>
      </c>
      <c r="Z136">
        <v>409.7688</v>
      </c>
      <c r="AA136">
        <v>410.00753333333301</v>
      </c>
      <c r="AB136">
        <v>15.350346666666701</v>
      </c>
      <c r="AC136">
        <v>14.744300000000001</v>
      </c>
      <c r="AD136">
        <v>410.77679999999998</v>
      </c>
      <c r="AE136">
        <v>15.243793333333301</v>
      </c>
      <c r="AF136">
        <v>800.00346666666701</v>
      </c>
      <c r="AG136">
        <v>100.1268</v>
      </c>
      <c r="AH136">
        <v>6.5411166666666701E-2</v>
      </c>
      <c r="AI136">
        <v>18.974913333333301</v>
      </c>
      <c r="AJ136">
        <v>999.9</v>
      </c>
      <c r="AK136">
        <v>999.9</v>
      </c>
      <c r="AL136">
        <v>0</v>
      </c>
      <c r="AM136">
        <v>0</v>
      </c>
      <c r="AN136">
        <v>5002.7333333333299</v>
      </c>
      <c r="AO136">
        <v>0</v>
      </c>
      <c r="AP136">
        <v>2.08901</v>
      </c>
      <c r="AQ136">
        <v>-0.2388122</v>
      </c>
      <c r="AR136">
        <v>416.15686666666699</v>
      </c>
      <c r="AS136">
        <v>416.14339999999999</v>
      </c>
      <c r="AT136">
        <v>0.60603879999999999</v>
      </c>
      <c r="AU136">
        <v>410.00753333333301</v>
      </c>
      <c r="AV136">
        <v>14.744300000000001</v>
      </c>
      <c r="AW136">
        <v>1.5369793333333299</v>
      </c>
      <c r="AX136">
        <v>1.4762999999999999</v>
      </c>
      <c r="AY136">
        <v>13.34108</v>
      </c>
      <c r="AZ136">
        <v>12.7248866666667</v>
      </c>
      <c r="BA136">
        <v>300.00099999999998</v>
      </c>
      <c r="BB136">
        <v>0.89998959999999995</v>
      </c>
      <c r="BC136">
        <v>0</v>
      </c>
      <c r="BD136">
        <v>0.1000104</v>
      </c>
      <c r="BE136">
        <v>0</v>
      </c>
      <c r="BF136">
        <v>25</v>
      </c>
      <c r="BG136">
        <v>4946.6379999999999</v>
      </c>
      <c r="BH136">
        <v>1769184857.0999999</v>
      </c>
      <c r="BI136" t="s">
        <v>509</v>
      </c>
      <c r="BJ136">
        <v>1769184855.0999999</v>
      </c>
      <c r="BK136">
        <v>1769184857.0999999</v>
      </c>
      <c r="BL136">
        <v>4</v>
      </c>
      <c r="BM136">
        <v>3.7999999999999999E-2</v>
      </c>
      <c r="BN136">
        <v>4.0000000000000001E-3</v>
      </c>
      <c r="BO136">
        <v>-1.008</v>
      </c>
      <c r="BP136">
        <v>0.107</v>
      </c>
      <c r="BQ136">
        <v>410</v>
      </c>
      <c r="BR136">
        <v>15</v>
      </c>
      <c r="BS136">
        <v>0.25</v>
      </c>
      <c r="BT136">
        <v>7.0000000000000007E-2</v>
      </c>
      <c r="BU136">
        <v>-0.23305404761904799</v>
      </c>
      <c r="BV136">
        <v>-2.0982233766233802E-2</v>
      </c>
      <c r="BW136">
        <v>2.3299865761878199E-2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0.60637099999999999</v>
      </c>
      <c r="CD136">
        <v>-2.1444857142857002E-2</v>
      </c>
      <c r="CE136">
        <v>4.1499786230086199E-3</v>
      </c>
      <c r="CF136">
        <v>1</v>
      </c>
      <c r="CG136">
        <v>2</v>
      </c>
      <c r="CH136">
        <v>2</v>
      </c>
      <c r="CI136" t="s">
        <v>310</v>
      </c>
      <c r="CJ136">
        <v>3.5324399999999998</v>
      </c>
      <c r="CK136">
        <v>2.7032699999999998</v>
      </c>
      <c r="CL136">
        <v>9.7997100000000004E-2</v>
      </c>
      <c r="CM136">
        <v>9.6653600000000006E-2</v>
      </c>
      <c r="CN136">
        <v>8.6877499999999996E-2</v>
      </c>
      <c r="CO136">
        <v>8.34815E-2</v>
      </c>
      <c r="CP136">
        <v>31628.6</v>
      </c>
      <c r="CQ136">
        <v>27766.9</v>
      </c>
      <c r="CR136">
        <v>32453.200000000001</v>
      </c>
      <c r="CS136">
        <v>30664.3</v>
      </c>
      <c r="CT136">
        <v>40121.1</v>
      </c>
      <c r="CU136">
        <v>39511.4</v>
      </c>
      <c r="CV136">
        <v>47389</v>
      </c>
      <c r="CW136">
        <v>46754.5</v>
      </c>
      <c r="CX136">
        <v>2.625</v>
      </c>
      <c r="CY136">
        <v>2.1393399999999998</v>
      </c>
      <c r="CZ136">
        <v>0</v>
      </c>
      <c r="DA136">
        <v>0</v>
      </c>
      <c r="DB136">
        <v>999.9</v>
      </c>
      <c r="DC136">
        <v>999.9</v>
      </c>
      <c r="DD136">
        <v>62.44</v>
      </c>
      <c r="DE136">
        <v>25.952000000000002</v>
      </c>
      <c r="DF136">
        <v>20.983699999999999</v>
      </c>
      <c r="DG136">
        <v>30.3201</v>
      </c>
      <c r="DH136">
        <v>17.756399999999999</v>
      </c>
      <c r="DI136">
        <v>2</v>
      </c>
      <c r="DJ136">
        <v>-0.130274</v>
      </c>
      <c r="DK136">
        <v>1.92292</v>
      </c>
      <c r="DL136">
        <v>20.226600000000001</v>
      </c>
      <c r="DM136">
        <v>5.2516699999999998</v>
      </c>
      <c r="DN136">
        <v>12.033899999999999</v>
      </c>
      <c r="DO136">
        <v>4.9672000000000001</v>
      </c>
      <c r="DP136">
        <v>3.2909999999999999</v>
      </c>
      <c r="DQ136">
        <v>9999</v>
      </c>
      <c r="DR136">
        <v>9999</v>
      </c>
      <c r="DS136">
        <v>534.6</v>
      </c>
      <c r="DT136">
        <v>9999</v>
      </c>
      <c r="DU136">
        <v>1.87104</v>
      </c>
      <c r="DV136">
        <v>1.8761300000000001</v>
      </c>
      <c r="DW136">
        <v>1.8763300000000001</v>
      </c>
      <c r="DX136">
        <v>1.88279</v>
      </c>
      <c r="DY136">
        <v>1.87561</v>
      </c>
      <c r="DZ136">
        <v>1.87466</v>
      </c>
      <c r="EA136">
        <v>1.8707499999999999</v>
      </c>
      <c r="EB136">
        <v>1.8746799999999999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-1.008</v>
      </c>
      <c r="EQ136">
        <v>0.1066</v>
      </c>
      <c r="ER136">
        <v>-1.00799999999998</v>
      </c>
      <c r="ES136">
        <v>0</v>
      </c>
      <c r="ET136">
        <v>0</v>
      </c>
      <c r="EU136">
        <v>0</v>
      </c>
      <c r="EV136">
        <v>0.106540000000001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5.5</v>
      </c>
      <c r="FE136">
        <v>5.5</v>
      </c>
      <c r="FF136">
        <v>1.2377899999999999</v>
      </c>
      <c r="FG136">
        <v>2.5610400000000002</v>
      </c>
      <c r="FH136">
        <v>2.19604</v>
      </c>
      <c r="FI136">
        <v>2.66113</v>
      </c>
      <c r="FJ136">
        <v>2.4462899999999999</v>
      </c>
      <c r="FK136">
        <v>2.2961399999999998</v>
      </c>
      <c r="FL136">
        <v>31.020199999999999</v>
      </c>
      <c r="FM136">
        <v>24.148800000000001</v>
      </c>
      <c r="FN136">
        <v>19</v>
      </c>
      <c r="FO136">
        <v>864.70600000000002</v>
      </c>
      <c r="FP136">
        <v>581.601</v>
      </c>
      <c r="FQ136">
        <v>18.3398</v>
      </c>
      <c r="FR136">
        <v>25.353400000000001</v>
      </c>
      <c r="FS136">
        <v>30.0002</v>
      </c>
      <c r="FT136">
        <v>25.337399999999999</v>
      </c>
      <c r="FU136">
        <v>25.3386</v>
      </c>
      <c r="FV136">
        <v>24.833400000000001</v>
      </c>
      <c r="FW136">
        <v>32.089199999999998</v>
      </c>
      <c r="FX136">
        <v>13.8162</v>
      </c>
      <c r="FY136">
        <v>18.350300000000001</v>
      </c>
      <c r="FZ136">
        <v>410</v>
      </c>
      <c r="GA136">
        <v>14.8071</v>
      </c>
      <c r="GB136">
        <v>99.860799999999998</v>
      </c>
      <c r="GC136">
        <v>99.538399999999996</v>
      </c>
    </row>
    <row r="137" spans="1:185" x14ac:dyDescent="0.2">
      <c r="A137">
        <v>122</v>
      </c>
      <c r="B137">
        <v>1769185199.0999999</v>
      </c>
      <c r="C137">
        <v>2336.0999999046298</v>
      </c>
      <c r="D137" t="s">
        <v>540</v>
      </c>
      <c r="E137" t="s">
        <v>541</v>
      </c>
      <c r="F137">
        <v>15</v>
      </c>
      <c r="G137">
        <v>1769185191.03333</v>
      </c>
      <c r="H137">
        <f t="shared" si="13"/>
        <v>4.7824589321295404E-4</v>
      </c>
      <c r="I137">
        <v>0</v>
      </c>
      <c r="J137">
        <f t="shared" si="25"/>
        <v>-6.7894589381071893E-4</v>
      </c>
      <c r="K137">
        <f t="shared" si="14"/>
        <v>-1.7781370034366348E-2</v>
      </c>
      <c r="L137">
        <f t="shared" si="15"/>
        <v>69.787195165309015</v>
      </c>
      <c r="M137">
        <f t="shared" si="16"/>
        <v>1.5371201427093493</v>
      </c>
      <c r="N137">
        <f t="shared" si="17"/>
        <v>2.2025819193166924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26226.234170418909</v>
      </c>
      <c r="T137">
        <f t="shared" si="21"/>
        <v>300.00020000000001</v>
      </c>
      <c r="U137">
        <f t="shared" si="22"/>
        <v>252.9002412000483</v>
      </c>
      <c r="V137">
        <f t="shared" si="23"/>
        <v>0.84300024199999968</v>
      </c>
      <c r="W137">
        <f t="shared" si="24"/>
        <v>0.15870073491999992</v>
      </c>
      <c r="X137">
        <v>1</v>
      </c>
      <c r="Y137">
        <v>1769185191.03333</v>
      </c>
      <c r="Z137">
        <v>409.765733333333</v>
      </c>
      <c r="AA137">
        <v>409.98846666666702</v>
      </c>
      <c r="AB137">
        <v>15.342033333333299</v>
      </c>
      <c r="AC137">
        <v>14.753399999999999</v>
      </c>
      <c r="AD137">
        <v>410.77373333333298</v>
      </c>
      <c r="AE137">
        <v>15.2355066666667</v>
      </c>
      <c r="AF137">
        <v>800.00333333333299</v>
      </c>
      <c r="AG137">
        <v>100.124666666667</v>
      </c>
      <c r="AH137">
        <v>6.5452159999999995E-2</v>
      </c>
      <c r="AI137">
        <v>18.981106666666701</v>
      </c>
      <c r="AJ137">
        <v>999.9</v>
      </c>
      <c r="AK137">
        <v>999.9</v>
      </c>
      <c r="AL137">
        <v>0</v>
      </c>
      <c r="AM137">
        <v>0</v>
      </c>
      <c r="AN137">
        <v>4995</v>
      </c>
      <c r="AO137">
        <v>0</v>
      </c>
      <c r="AP137">
        <v>2.08901</v>
      </c>
      <c r="AQ137">
        <v>-0.22267453333333301</v>
      </c>
      <c r="AR137">
        <v>416.15033333333298</v>
      </c>
      <c r="AS137">
        <v>416.12773333333303</v>
      </c>
      <c r="AT137">
        <v>0.58864273333333295</v>
      </c>
      <c r="AU137">
        <v>409.98846666666702</v>
      </c>
      <c r="AV137">
        <v>14.753399999999999</v>
      </c>
      <c r="AW137">
        <v>1.536116</v>
      </c>
      <c r="AX137">
        <v>1.4771780000000001</v>
      </c>
      <c r="AY137">
        <v>13.332466666666701</v>
      </c>
      <c r="AZ137">
        <v>12.733973333333299</v>
      </c>
      <c r="BA137">
        <v>300.00020000000001</v>
      </c>
      <c r="BB137">
        <v>0.89998999999999996</v>
      </c>
      <c r="BC137">
        <v>0</v>
      </c>
      <c r="BD137">
        <v>0.100009933333333</v>
      </c>
      <c r="BE137">
        <v>0</v>
      </c>
      <c r="BF137">
        <v>25</v>
      </c>
      <c r="BG137">
        <v>4946.6226666666698</v>
      </c>
      <c r="BH137">
        <v>1769184857.0999999</v>
      </c>
      <c r="BI137" t="s">
        <v>509</v>
      </c>
      <c r="BJ137">
        <v>1769184855.0999999</v>
      </c>
      <c r="BK137">
        <v>1769184857.0999999</v>
      </c>
      <c r="BL137">
        <v>4</v>
      </c>
      <c r="BM137">
        <v>3.7999999999999999E-2</v>
      </c>
      <c r="BN137">
        <v>4.0000000000000001E-3</v>
      </c>
      <c r="BO137">
        <v>-1.008</v>
      </c>
      <c r="BP137">
        <v>0.107</v>
      </c>
      <c r="BQ137">
        <v>410</v>
      </c>
      <c r="BR137">
        <v>15</v>
      </c>
      <c r="BS137">
        <v>0.25</v>
      </c>
      <c r="BT137">
        <v>7.0000000000000007E-2</v>
      </c>
      <c r="BU137">
        <v>-0.226184</v>
      </c>
      <c r="BV137">
        <v>-2.7920481203007701E-2</v>
      </c>
      <c r="BW137">
        <v>2.1222212844093299E-2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0.59213744999999995</v>
      </c>
      <c r="CD137">
        <v>-8.6108165413532403E-2</v>
      </c>
      <c r="CE137">
        <v>9.7029718358603908E-3</v>
      </c>
      <c r="CF137">
        <v>1</v>
      </c>
      <c r="CG137">
        <v>2</v>
      </c>
      <c r="CH137">
        <v>2</v>
      </c>
      <c r="CI137" t="s">
        <v>310</v>
      </c>
      <c r="CJ137">
        <v>3.5324900000000001</v>
      </c>
      <c r="CK137">
        <v>2.7031399999999999</v>
      </c>
      <c r="CL137">
        <v>9.8001400000000002E-2</v>
      </c>
      <c r="CM137">
        <v>9.6653699999999995E-2</v>
      </c>
      <c r="CN137">
        <v>8.6873400000000003E-2</v>
      </c>
      <c r="CO137">
        <v>8.3557300000000001E-2</v>
      </c>
      <c r="CP137">
        <v>31628.400000000001</v>
      </c>
      <c r="CQ137">
        <v>27766.799999999999</v>
      </c>
      <c r="CR137">
        <v>32453.200000000001</v>
      </c>
      <c r="CS137">
        <v>30664.2</v>
      </c>
      <c r="CT137">
        <v>40121.1</v>
      </c>
      <c r="CU137">
        <v>39507.699999999997</v>
      </c>
      <c r="CV137">
        <v>47388.800000000003</v>
      </c>
      <c r="CW137">
        <v>46754</v>
      </c>
      <c r="CX137">
        <v>2.6248800000000001</v>
      </c>
      <c r="CY137">
        <v>2.1391</v>
      </c>
      <c r="CZ137">
        <v>0</v>
      </c>
      <c r="DA137">
        <v>0</v>
      </c>
      <c r="DB137">
        <v>999.9</v>
      </c>
      <c r="DC137">
        <v>999.9</v>
      </c>
      <c r="DD137">
        <v>62.343000000000004</v>
      </c>
      <c r="DE137">
        <v>25.972000000000001</v>
      </c>
      <c r="DF137">
        <v>20.975000000000001</v>
      </c>
      <c r="DG137">
        <v>30.680099999999999</v>
      </c>
      <c r="DH137">
        <v>17.7043</v>
      </c>
      <c r="DI137">
        <v>2</v>
      </c>
      <c r="DJ137">
        <v>-0.13017100000000001</v>
      </c>
      <c r="DK137">
        <v>1.89985</v>
      </c>
      <c r="DL137">
        <v>20.226800000000001</v>
      </c>
      <c r="DM137">
        <v>5.2522700000000002</v>
      </c>
      <c r="DN137">
        <v>12.033899999999999</v>
      </c>
      <c r="DO137">
        <v>4.9674399999999999</v>
      </c>
      <c r="DP137">
        <v>3.2909999999999999</v>
      </c>
      <c r="DQ137">
        <v>9999</v>
      </c>
      <c r="DR137">
        <v>9999</v>
      </c>
      <c r="DS137">
        <v>534.6</v>
      </c>
      <c r="DT137">
        <v>9999</v>
      </c>
      <c r="DU137">
        <v>1.87107</v>
      </c>
      <c r="DV137">
        <v>1.87615</v>
      </c>
      <c r="DW137">
        <v>1.87636</v>
      </c>
      <c r="DX137">
        <v>1.8828199999999999</v>
      </c>
      <c r="DY137">
        <v>1.87561</v>
      </c>
      <c r="DZ137">
        <v>1.87469</v>
      </c>
      <c r="EA137">
        <v>1.87077</v>
      </c>
      <c r="EB137">
        <v>1.87469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-1.008</v>
      </c>
      <c r="EQ137">
        <v>0.1066</v>
      </c>
      <c r="ER137">
        <v>-1.00799999999998</v>
      </c>
      <c r="ES137">
        <v>0</v>
      </c>
      <c r="ET137">
        <v>0</v>
      </c>
      <c r="EU137">
        <v>0</v>
      </c>
      <c r="EV137">
        <v>0.106540000000001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5.7</v>
      </c>
      <c r="FE137">
        <v>5.7</v>
      </c>
      <c r="FF137">
        <v>1.2365699999999999</v>
      </c>
      <c r="FG137">
        <v>2.5585900000000001</v>
      </c>
      <c r="FH137">
        <v>2.19604</v>
      </c>
      <c r="FI137">
        <v>2.66113</v>
      </c>
      <c r="FJ137">
        <v>2.4462899999999999</v>
      </c>
      <c r="FK137">
        <v>2.2790499999999998</v>
      </c>
      <c r="FL137">
        <v>31.020199999999999</v>
      </c>
      <c r="FM137">
        <v>24.148800000000001</v>
      </c>
      <c r="FN137">
        <v>19</v>
      </c>
      <c r="FO137">
        <v>864.64300000000003</v>
      </c>
      <c r="FP137">
        <v>581.44799999999998</v>
      </c>
      <c r="FQ137">
        <v>18.387499999999999</v>
      </c>
      <c r="FR137">
        <v>25.355499999999999</v>
      </c>
      <c r="FS137">
        <v>30.0001</v>
      </c>
      <c r="FT137">
        <v>25.340399999999999</v>
      </c>
      <c r="FU137">
        <v>25.3416</v>
      </c>
      <c r="FV137">
        <v>24.834</v>
      </c>
      <c r="FW137">
        <v>32.089199999999998</v>
      </c>
      <c r="FX137">
        <v>13.4396</v>
      </c>
      <c r="FY137">
        <v>18.392600000000002</v>
      </c>
      <c r="FZ137">
        <v>410</v>
      </c>
      <c r="GA137">
        <v>14.8079</v>
      </c>
      <c r="GB137">
        <v>99.860399999999998</v>
      </c>
      <c r="GC137">
        <v>99.537599999999998</v>
      </c>
    </row>
    <row r="138" spans="1:185" x14ac:dyDescent="0.2">
      <c r="A138">
        <v>123</v>
      </c>
      <c r="B138">
        <v>1769185214.0999999</v>
      </c>
      <c r="C138">
        <v>2351.0999999046298</v>
      </c>
      <c r="D138" t="s">
        <v>542</v>
      </c>
      <c r="E138" t="s">
        <v>543</v>
      </c>
      <c r="F138">
        <v>15</v>
      </c>
      <c r="G138">
        <v>1769185206.03333</v>
      </c>
      <c r="H138">
        <f t="shared" si="13"/>
        <v>4.8049879714386827E-4</v>
      </c>
      <c r="I138">
        <v>0</v>
      </c>
      <c r="J138">
        <f t="shared" si="25"/>
        <v>-1.0934763312464452E-4</v>
      </c>
      <c r="K138">
        <f t="shared" si="14"/>
        <v>-2.8637786084225116E-3</v>
      </c>
      <c r="L138">
        <f t="shared" si="15"/>
        <v>69.743185879996105</v>
      </c>
      <c r="M138">
        <f t="shared" si="16"/>
        <v>1.5370560871579286</v>
      </c>
      <c r="N138">
        <f t="shared" si="17"/>
        <v>2.2038799457808973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26254.214653380233</v>
      </c>
      <c r="T138">
        <f t="shared" si="21"/>
        <v>300.00020000000001</v>
      </c>
      <c r="U138">
        <f t="shared" si="22"/>
        <v>252.90028020007438</v>
      </c>
      <c r="V138">
        <f t="shared" si="23"/>
        <v>0.84300037199999989</v>
      </c>
      <c r="W138">
        <f t="shared" si="24"/>
        <v>0.15870093000000002</v>
      </c>
      <c r="X138">
        <v>1</v>
      </c>
      <c r="Y138">
        <v>1769185206.03333</v>
      </c>
      <c r="Z138">
        <v>409.76420000000002</v>
      </c>
      <c r="AA138">
        <v>410.00673333333299</v>
      </c>
      <c r="AB138">
        <v>15.34158</v>
      </c>
      <c r="AC138">
        <v>14.750173333333301</v>
      </c>
      <c r="AD138">
        <v>410.7722</v>
      </c>
      <c r="AE138">
        <v>15.235046666666699</v>
      </c>
      <c r="AF138">
        <v>800.00313333333304</v>
      </c>
      <c r="AG138">
        <v>100.123466666667</v>
      </c>
      <c r="AH138">
        <v>6.5437419999999996E-2</v>
      </c>
      <c r="AI138">
        <v>18.990546666666699</v>
      </c>
      <c r="AJ138">
        <v>999.9</v>
      </c>
      <c r="AK138">
        <v>999.9</v>
      </c>
      <c r="AL138">
        <v>0</v>
      </c>
      <c r="AM138">
        <v>0</v>
      </c>
      <c r="AN138">
        <v>4999.8</v>
      </c>
      <c r="AO138">
        <v>0</v>
      </c>
      <c r="AP138">
        <v>2.08901</v>
      </c>
      <c r="AQ138">
        <v>-0.24259040000000001</v>
      </c>
      <c r="AR138">
        <v>416.14853333333298</v>
      </c>
      <c r="AS138">
        <v>416.14486666666699</v>
      </c>
      <c r="AT138">
        <v>0.59142226666666697</v>
      </c>
      <c r="AU138">
        <v>410.00673333333299</v>
      </c>
      <c r="AV138">
        <v>14.750173333333301</v>
      </c>
      <c r="AW138">
        <v>1.536054</v>
      </c>
      <c r="AX138">
        <v>1.4768393333333301</v>
      </c>
      <c r="AY138">
        <v>13.331846666666699</v>
      </c>
      <c r="AZ138">
        <v>12.730453333333299</v>
      </c>
      <c r="BA138">
        <v>300.00020000000001</v>
      </c>
      <c r="BB138">
        <v>0.8999876</v>
      </c>
      <c r="BC138">
        <v>0</v>
      </c>
      <c r="BD138">
        <v>0.1000124</v>
      </c>
      <c r="BE138">
        <v>0</v>
      </c>
      <c r="BF138">
        <v>25</v>
      </c>
      <c r="BG138">
        <v>4946.62</v>
      </c>
      <c r="BH138">
        <v>1769184857.0999999</v>
      </c>
      <c r="BI138" t="s">
        <v>509</v>
      </c>
      <c r="BJ138">
        <v>1769184855.0999999</v>
      </c>
      <c r="BK138">
        <v>1769184857.0999999</v>
      </c>
      <c r="BL138">
        <v>4</v>
      </c>
      <c r="BM138">
        <v>3.7999999999999999E-2</v>
      </c>
      <c r="BN138">
        <v>4.0000000000000001E-3</v>
      </c>
      <c r="BO138">
        <v>-1.008</v>
      </c>
      <c r="BP138">
        <v>0.107</v>
      </c>
      <c r="BQ138">
        <v>410</v>
      </c>
      <c r="BR138">
        <v>15</v>
      </c>
      <c r="BS138">
        <v>0.25</v>
      </c>
      <c r="BT138">
        <v>7.0000000000000007E-2</v>
      </c>
      <c r="BU138">
        <v>-0.23985366666666699</v>
      </c>
      <c r="BV138">
        <v>-7.8099116883116396E-2</v>
      </c>
      <c r="BW138">
        <v>1.35860093174782E-2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0.58915404761904799</v>
      </c>
      <c r="CD138">
        <v>2.48241038961057E-2</v>
      </c>
      <c r="CE138">
        <v>4.2877927441493796E-3</v>
      </c>
      <c r="CF138">
        <v>1</v>
      </c>
      <c r="CG138">
        <v>2</v>
      </c>
      <c r="CH138">
        <v>2</v>
      </c>
      <c r="CI138" t="s">
        <v>310</v>
      </c>
      <c r="CJ138">
        <v>3.53254</v>
      </c>
      <c r="CK138">
        <v>2.7033499999999999</v>
      </c>
      <c r="CL138">
        <v>9.7997699999999993E-2</v>
      </c>
      <c r="CM138">
        <v>9.6652000000000002E-2</v>
      </c>
      <c r="CN138">
        <v>8.6850300000000005E-2</v>
      </c>
      <c r="CO138">
        <v>8.35177E-2</v>
      </c>
      <c r="CP138">
        <v>31628.799999999999</v>
      </c>
      <c r="CQ138">
        <v>27767.1</v>
      </c>
      <c r="CR138">
        <v>32453.5</v>
      </c>
      <c r="CS138">
        <v>30664.5</v>
      </c>
      <c r="CT138">
        <v>40122.699999999997</v>
      </c>
      <c r="CU138">
        <v>39509.5</v>
      </c>
      <c r="CV138">
        <v>47389.5</v>
      </c>
      <c r="CW138">
        <v>46754.1</v>
      </c>
      <c r="CX138">
        <v>2.6248800000000001</v>
      </c>
      <c r="CY138">
        <v>2.1389</v>
      </c>
      <c r="CZ138">
        <v>0</v>
      </c>
      <c r="DA138">
        <v>0</v>
      </c>
      <c r="DB138">
        <v>999.9</v>
      </c>
      <c r="DC138">
        <v>999.9</v>
      </c>
      <c r="DD138">
        <v>62.244999999999997</v>
      </c>
      <c r="DE138">
        <v>25.972000000000001</v>
      </c>
      <c r="DF138">
        <v>20.9438</v>
      </c>
      <c r="DG138">
        <v>30.650099999999998</v>
      </c>
      <c r="DH138">
        <v>17.7484</v>
      </c>
      <c r="DI138">
        <v>2</v>
      </c>
      <c r="DJ138">
        <v>-0.12993499999999999</v>
      </c>
      <c r="DK138">
        <v>1.9067099999999999</v>
      </c>
      <c r="DL138">
        <v>20.226900000000001</v>
      </c>
      <c r="DM138">
        <v>5.2515499999999999</v>
      </c>
      <c r="DN138">
        <v>12.033899999999999</v>
      </c>
      <c r="DO138">
        <v>4.9672000000000001</v>
      </c>
      <c r="DP138">
        <v>3.2909999999999999</v>
      </c>
      <c r="DQ138">
        <v>9999</v>
      </c>
      <c r="DR138">
        <v>9999</v>
      </c>
      <c r="DS138">
        <v>534.6</v>
      </c>
      <c r="DT138">
        <v>9999</v>
      </c>
      <c r="DU138">
        <v>1.8710500000000001</v>
      </c>
      <c r="DV138">
        <v>1.8761300000000001</v>
      </c>
      <c r="DW138">
        <v>1.87635</v>
      </c>
      <c r="DX138">
        <v>1.8828</v>
      </c>
      <c r="DY138">
        <v>1.87561</v>
      </c>
      <c r="DZ138">
        <v>1.8746700000000001</v>
      </c>
      <c r="EA138">
        <v>1.87077</v>
      </c>
      <c r="EB138">
        <v>1.8746799999999999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-1.008</v>
      </c>
      <c r="EQ138">
        <v>0.1066</v>
      </c>
      <c r="ER138">
        <v>-1.00799999999998</v>
      </c>
      <c r="ES138">
        <v>0</v>
      </c>
      <c r="ET138">
        <v>0</v>
      </c>
      <c r="EU138">
        <v>0</v>
      </c>
      <c r="EV138">
        <v>0.106540000000001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6</v>
      </c>
      <c r="FE138">
        <v>6</v>
      </c>
      <c r="FF138">
        <v>1.2377899999999999</v>
      </c>
      <c r="FG138">
        <v>2.5683600000000002</v>
      </c>
      <c r="FH138">
        <v>2.19604</v>
      </c>
      <c r="FI138">
        <v>2.66113</v>
      </c>
      <c r="FJ138">
        <v>2.4462899999999999</v>
      </c>
      <c r="FK138">
        <v>2.2973599999999998</v>
      </c>
      <c r="FL138">
        <v>31.041899999999998</v>
      </c>
      <c r="FM138">
        <v>24.157499999999999</v>
      </c>
      <c r="FN138">
        <v>19</v>
      </c>
      <c r="FO138">
        <v>864.697</v>
      </c>
      <c r="FP138">
        <v>581.33299999999997</v>
      </c>
      <c r="FQ138">
        <v>18.4147</v>
      </c>
      <c r="FR138">
        <v>25.357600000000001</v>
      </c>
      <c r="FS138">
        <v>30.0002</v>
      </c>
      <c r="FT138">
        <v>25.343800000000002</v>
      </c>
      <c r="FU138">
        <v>25.345099999999999</v>
      </c>
      <c r="FV138">
        <v>24.834199999999999</v>
      </c>
      <c r="FW138">
        <v>32.089199999999998</v>
      </c>
      <c r="FX138">
        <v>13.063800000000001</v>
      </c>
      <c r="FY138">
        <v>18.415500000000002</v>
      </c>
      <c r="FZ138">
        <v>410</v>
      </c>
      <c r="GA138">
        <v>14.8111</v>
      </c>
      <c r="GB138">
        <v>99.861699999999999</v>
      </c>
      <c r="GC138">
        <v>99.5381</v>
      </c>
    </row>
    <row r="139" spans="1:185" x14ac:dyDescent="0.2">
      <c r="A139">
        <v>124</v>
      </c>
      <c r="B139">
        <v>1769185229.0999999</v>
      </c>
      <c r="C139">
        <v>2366.0999999046298</v>
      </c>
      <c r="D139" t="s">
        <v>544</v>
      </c>
      <c r="E139" t="s">
        <v>545</v>
      </c>
      <c r="F139">
        <v>15</v>
      </c>
      <c r="G139">
        <v>1769185221.03333</v>
      </c>
      <c r="H139">
        <f t="shared" si="13"/>
        <v>4.5590634018872491E-4</v>
      </c>
      <c r="I139">
        <v>0</v>
      </c>
      <c r="J139">
        <f t="shared" si="25"/>
        <v>2.3718759360089872E-4</v>
      </c>
      <c r="K139">
        <f t="shared" si="14"/>
        <v>6.2118651984281268E-3</v>
      </c>
      <c r="L139">
        <f t="shared" si="15"/>
        <v>69.68960882319341</v>
      </c>
      <c r="M139">
        <f t="shared" si="16"/>
        <v>1.5370949484162755</v>
      </c>
      <c r="N139">
        <f t="shared" si="17"/>
        <v>2.2056300420855779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26263.620664357837</v>
      </c>
      <c r="T139">
        <f t="shared" si="21"/>
        <v>300.00060000000002</v>
      </c>
      <c r="U139">
        <f t="shared" si="22"/>
        <v>252.90062640024121</v>
      </c>
      <c r="V139">
        <f t="shared" si="23"/>
        <v>0.84300040199999993</v>
      </c>
      <c r="W139">
        <f t="shared" si="24"/>
        <v>0.15870100499999998</v>
      </c>
      <c r="X139">
        <v>1</v>
      </c>
      <c r="Y139">
        <v>1769185221.03333</v>
      </c>
      <c r="Z139">
        <v>409.74133333333299</v>
      </c>
      <c r="AA139">
        <v>409.98259999999999</v>
      </c>
      <c r="AB139">
        <v>15.3420733333333</v>
      </c>
      <c r="AC139">
        <v>14.780939999999999</v>
      </c>
      <c r="AD139">
        <v>410.74933333333303</v>
      </c>
      <c r="AE139">
        <v>15.2355133333333</v>
      </c>
      <c r="AF139">
        <v>800.00913333333301</v>
      </c>
      <c r="AG139">
        <v>100.1228</v>
      </c>
      <c r="AH139">
        <v>6.5415440000000005E-2</v>
      </c>
      <c r="AI139">
        <v>19.003266666666701</v>
      </c>
      <c r="AJ139">
        <v>999.9</v>
      </c>
      <c r="AK139">
        <v>999.9</v>
      </c>
      <c r="AL139">
        <v>0</v>
      </c>
      <c r="AM139">
        <v>0</v>
      </c>
      <c r="AN139">
        <v>5001.5666666666702</v>
      </c>
      <c r="AO139">
        <v>0</v>
      </c>
      <c r="AP139">
        <v>2.08901</v>
      </c>
      <c r="AQ139">
        <v>-0.2411256</v>
      </c>
      <c r="AR139">
        <v>416.12553333333301</v>
      </c>
      <c r="AS139">
        <v>416.13339999999999</v>
      </c>
      <c r="AT139">
        <v>0.56112260000000003</v>
      </c>
      <c r="AU139">
        <v>409.98259999999999</v>
      </c>
      <c r="AV139">
        <v>14.780939999999999</v>
      </c>
      <c r="AW139">
        <v>1.5360893333333301</v>
      </c>
      <c r="AX139">
        <v>1.4799086666666701</v>
      </c>
      <c r="AY139">
        <v>13.3322</v>
      </c>
      <c r="AZ139">
        <v>12.762126666666701</v>
      </c>
      <c r="BA139">
        <v>300.00060000000002</v>
      </c>
      <c r="BB139">
        <v>0.89998659999999997</v>
      </c>
      <c r="BC139">
        <v>0</v>
      </c>
      <c r="BD139">
        <v>0.1000134</v>
      </c>
      <c r="BE139">
        <v>0</v>
      </c>
      <c r="BF139">
        <v>25</v>
      </c>
      <c r="BG139">
        <v>4946.6266666666697</v>
      </c>
      <c r="BH139">
        <v>1769184857.0999999</v>
      </c>
      <c r="BI139" t="s">
        <v>509</v>
      </c>
      <c r="BJ139">
        <v>1769184855.0999999</v>
      </c>
      <c r="BK139">
        <v>1769184857.0999999</v>
      </c>
      <c r="BL139">
        <v>4</v>
      </c>
      <c r="BM139">
        <v>3.7999999999999999E-2</v>
      </c>
      <c r="BN139">
        <v>4.0000000000000001E-3</v>
      </c>
      <c r="BO139">
        <v>-1.008</v>
      </c>
      <c r="BP139">
        <v>0.107</v>
      </c>
      <c r="BQ139">
        <v>410</v>
      </c>
      <c r="BR139">
        <v>15</v>
      </c>
      <c r="BS139">
        <v>0.25</v>
      </c>
      <c r="BT139">
        <v>7.0000000000000007E-2</v>
      </c>
      <c r="BU139">
        <v>-0.24386150000000001</v>
      </c>
      <c r="BV139">
        <v>-2.0219458646616301E-2</v>
      </c>
      <c r="BW139">
        <v>2.3093212486572801E-2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0.56837515000000005</v>
      </c>
      <c r="CD139">
        <v>-0.22315430075188</v>
      </c>
      <c r="CE139">
        <v>2.4248019286686101E-2</v>
      </c>
      <c r="CF139">
        <v>0</v>
      </c>
      <c r="CG139">
        <v>1</v>
      </c>
      <c r="CH139">
        <v>2</v>
      </c>
      <c r="CI139" t="s">
        <v>301</v>
      </c>
      <c r="CJ139">
        <v>3.5326</v>
      </c>
      <c r="CK139">
        <v>2.7033999999999998</v>
      </c>
      <c r="CL139">
        <v>9.7996600000000003E-2</v>
      </c>
      <c r="CM139">
        <v>9.6645900000000007E-2</v>
      </c>
      <c r="CN139">
        <v>8.6908100000000002E-2</v>
      </c>
      <c r="CO139">
        <v>8.3780599999999997E-2</v>
      </c>
      <c r="CP139">
        <v>31628.7</v>
      </c>
      <c r="CQ139">
        <v>27766.5</v>
      </c>
      <c r="CR139">
        <v>32453.4</v>
      </c>
      <c r="CS139">
        <v>30663.7</v>
      </c>
      <c r="CT139">
        <v>40119.699999999997</v>
      </c>
      <c r="CU139">
        <v>39497.199999999997</v>
      </c>
      <c r="CV139">
        <v>47389</v>
      </c>
      <c r="CW139">
        <v>46753.4</v>
      </c>
      <c r="CX139">
        <v>2.6248</v>
      </c>
      <c r="CY139">
        <v>2.1390400000000001</v>
      </c>
      <c r="CZ139">
        <v>0</v>
      </c>
      <c r="DA139">
        <v>0</v>
      </c>
      <c r="DB139">
        <v>999.9</v>
      </c>
      <c r="DC139">
        <v>999.9</v>
      </c>
      <c r="DD139">
        <v>62.165999999999997</v>
      </c>
      <c r="DE139">
        <v>25.992000000000001</v>
      </c>
      <c r="DF139">
        <v>20.939</v>
      </c>
      <c r="DG139">
        <v>30.440100000000001</v>
      </c>
      <c r="DH139">
        <v>17.660299999999999</v>
      </c>
      <c r="DI139">
        <v>2</v>
      </c>
      <c r="DJ139">
        <v>-0.128354</v>
      </c>
      <c r="DK139">
        <v>2.2360699999999998</v>
      </c>
      <c r="DL139">
        <v>20.221800000000002</v>
      </c>
      <c r="DM139">
        <v>5.2520300000000004</v>
      </c>
      <c r="DN139">
        <v>12.033899999999999</v>
      </c>
      <c r="DO139">
        <v>4.9673600000000002</v>
      </c>
      <c r="DP139">
        <v>3.2909999999999999</v>
      </c>
      <c r="DQ139">
        <v>9999</v>
      </c>
      <c r="DR139">
        <v>9999</v>
      </c>
      <c r="DS139">
        <v>534.6</v>
      </c>
      <c r="DT139">
        <v>9999</v>
      </c>
      <c r="DU139">
        <v>1.8710500000000001</v>
      </c>
      <c r="DV139">
        <v>1.8760699999999999</v>
      </c>
      <c r="DW139">
        <v>1.87626</v>
      </c>
      <c r="DX139">
        <v>1.8827799999999999</v>
      </c>
      <c r="DY139">
        <v>1.87557</v>
      </c>
      <c r="DZ139">
        <v>1.87459</v>
      </c>
      <c r="EA139">
        <v>1.8707400000000001</v>
      </c>
      <c r="EB139">
        <v>1.87466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-1.008</v>
      </c>
      <c r="EQ139">
        <v>0.1065</v>
      </c>
      <c r="ER139">
        <v>-1.00799999999998</v>
      </c>
      <c r="ES139">
        <v>0</v>
      </c>
      <c r="ET139">
        <v>0</v>
      </c>
      <c r="EU139">
        <v>0</v>
      </c>
      <c r="EV139">
        <v>0.106540000000001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6.2</v>
      </c>
      <c r="FE139">
        <v>6.2</v>
      </c>
      <c r="FF139">
        <v>1.2377899999999999</v>
      </c>
      <c r="FG139">
        <v>2.5585900000000001</v>
      </c>
      <c r="FH139">
        <v>2.19604</v>
      </c>
      <c r="FI139">
        <v>2.66113</v>
      </c>
      <c r="FJ139">
        <v>2.4462899999999999</v>
      </c>
      <c r="FK139">
        <v>2.3022499999999999</v>
      </c>
      <c r="FL139">
        <v>31.063600000000001</v>
      </c>
      <c r="FM139">
        <v>24.148800000000001</v>
      </c>
      <c r="FN139">
        <v>19</v>
      </c>
      <c r="FO139">
        <v>864.69100000000003</v>
      </c>
      <c r="FP139">
        <v>581.49</v>
      </c>
      <c r="FQ139">
        <v>18.3203</v>
      </c>
      <c r="FR139">
        <v>25.360199999999999</v>
      </c>
      <c r="FS139">
        <v>30.000699999999998</v>
      </c>
      <c r="FT139">
        <v>25.347999999999999</v>
      </c>
      <c r="FU139">
        <v>25.349299999999999</v>
      </c>
      <c r="FV139">
        <v>24.837199999999999</v>
      </c>
      <c r="FW139">
        <v>31.817900000000002</v>
      </c>
      <c r="FX139">
        <v>12.6911</v>
      </c>
      <c r="FY139">
        <v>18.307700000000001</v>
      </c>
      <c r="FZ139">
        <v>410</v>
      </c>
      <c r="GA139">
        <v>14.8109</v>
      </c>
      <c r="GB139">
        <v>99.860900000000001</v>
      </c>
      <c r="GC139">
        <v>99.536199999999994</v>
      </c>
    </row>
    <row r="140" spans="1:185" x14ac:dyDescent="0.2">
      <c r="A140">
        <v>125</v>
      </c>
      <c r="B140">
        <v>1769185244.0999999</v>
      </c>
      <c r="C140">
        <v>2381.0999999046298</v>
      </c>
      <c r="D140" t="s">
        <v>546</v>
      </c>
      <c r="E140" t="s">
        <v>547</v>
      </c>
      <c r="F140">
        <v>15</v>
      </c>
      <c r="G140">
        <v>1769185236.03333</v>
      </c>
      <c r="H140">
        <f t="shared" si="13"/>
        <v>4.5119088517382808E-4</v>
      </c>
      <c r="I140">
        <v>0</v>
      </c>
      <c r="J140">
        <f t="shared" si="25"/>
        <v>2.0475621178214898E-4</v>
      </c>
      <c r="K140">
        <f t="shared" si="14"/>
        <v>5.3624979570883044E-3</v>
      </c>
      <c r="L140">
        <f t="shared" si="15"/>
        <v>69.747801957475261</v>
      </c>
      <c r="M140">
        <f t="shared" si="16"/>
        <v>1.538500713770502</v>
      </c>
      <c r="N140">
        <f t="shared" si="17"/>
        <v>2.2058053022352087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26242.468720462068</v>
      </c>
      <c r="T140">
        <f t="shared" si="21"/>
        <v>299.9982</v>
      </c>
      <c r="U140">
        <f t="shared" si="22"/>
        <v>252.89859539932317</v>
      </c>
      <c r="V140">
        <f t="shared" si="23"/>
        <v>0.84300037599999988</v>
      </c>
      <c r="W140">
        <f t="shared" si="24"/>
        <v>0.15870093999999998</v>
      </c>
      <c r="X140">
        <v>1</v>
      </c>
      <c r="Y140">
        <v>1769185236.03333</v>
      </c>
      <c r="Z140">
        <v>409.75553333333301</v>
      </c>
      <c r="AA140">
        <v>409.993333333333</v>
      </c>
      <c r="AB140">
        <v>15.355980000000001</v>
      </c>
      <c r="AC140">
        <v>14.800653333333299</v>
      </c>
      <c r="AD140">
        <v>410.76353333333299</v>
      </c>
      <c r="AE140">
        <v>15.249420000000001</v>
      </c>
      <c r="AF140">
        <v>800.001933333333</v>
      </c>
      <c r="AG140">
        <v>100.1236</v>
      </c>
      <c r="AH140">
        <v>6.5428233333333294E-2</v>
      </c>
      <c r="AI140">
        <v>19.004539999999999</v>
      </c>
      <c r="AJ140">
        <v>999.9</v>
      </c>
      <c r="AK140">
        <v>999.9</v>
      </c>
      <c r="AL140">
        <v>0</v>
      </c>
      <c r="AM140">
        <v>0</v>
      </c>
      <c r="AN140">
        <v>4998.0666666666702</v>
      </c>
      <c r="AO140">
        <v>0</v>
      </c>
      <c r="AP140">
        <v>2.08901</v>
      </c>
      <c r="AQ140">
        <v>-0.23781533333333299</v>
      </c>
      <c r="AR140">
        <v>416.14600000000002</v>
      </c>
      <c r="AS140">
        <v>416.15260000000001</v>
      </c>
      <c r="AT140">
        <v>0.555317333333333</v>
      </c>
      <c r="AU140">
        <v>409.993333333333</v>
      </c>
      <c r="AV140">
        <v>14.800653333333299</v>
      </c>
      <c r="AW140">
        <v>1.53749466666667</v>
      </c>
      <c r="AX140">
        <v>1.481892</v>
      </c>
      <c r="AY140">
        <v>13.346206666666699</v>
      </c>
      <c r="AZ140">
        <v>12.7826133333333</v>
      </c>
      <c r="BA140">
        <v>299.9982</v>
      </c>
      <c r="BB140">
        <v>0.89998746666666696</v>
      </c>
      <c r="BC140">
        <v>0</v>
      </c>
      <c r="BD140">
        <v>0.100012533333333</v>
      </c>
      <c r="BE140">
        <v>0</v>
      </c>
      <c r="BF140">
        <v>25</v>
      </c>
      <c r="BG140">
        <v>4946.5866666666698</v>
      </c>
      <c r="BH140">
        <v>1769184857.0999999</v>
      </c>
      <c r="BI140" t="s">
        <v>509</v>
      </c>
      <c r="BJ140">
        <v>1769184855.0999999</v>
      </c>
      <c r="BK140">
        <v>1769184857.0999999</v>
      </c>
      <c r="BL140">
        <v>4</v>
      </c>
      <c r="BM140">
        <v>3.7999999999999999E-2</v>
      </c>
      <c r="BN140">
        <v>4.0000000000000001E-3</v>
      </c>
      <c r="BO140">
        <v>-1.008</v>
      </c>
      <c r="BP140">
        <v>0.107</v>
      </c>
      <c r="BQ140">
        <v>410</v>
      </c>
      <c r="BR140">
        <v>15</v>
      </c>
      <c r="BS140">
        <v>0.25</v>
      </c>
      <c r="BT140">
        <v>7.0000000000000007E-2</v>
      </c>
      <c r="BU140">
        <v>-0.24065</v>
      </c>
      <c r="BV140">
        <v>-2.1320727272726998E-2</v>
      </c>
      <c r="BW140">
        <v>2.83408990145405E-2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0.55092819047619002</v>
      </c>
      <c r="CD140">
        <v>8.13102077922081E-2</v>
      </c>
      <c r="CE140">
        <v>8.5641582224382697E-3</v>
      </c>
      <c r="CF140">
        <v>1</v>
      </c>
      <c r="CG140">
        <v>2</v>
      </c>
      <c r="CH140">
        <v>2</v>
      </c>
      <c r="CI140" t="s">
        <v>310</v>
      </c>
      <c r="CJ140">
        <v>3.5325600000000001</v>
      </c>
      <c r="CK140">
        <v>2.70322</v>
      </c>
      <c r="CL140">
        <v>9.7994300000000006E-2</v>
      </c>
      <c r="CM140">
        <v>9.6642599999999995E-2</v>
      </c>
      <c r="CN140">
        <v>8.6934499999999998E-2</v>
      </c>
      <c r="CO140">
        <v>8.3736000000000005E-2</v>
      </c>
      <c r="CP140">
        <v>31628.1</v>
      </c>
      <c r="CQ140">
        <v>27767.3</v>
      </c>
      <c r="CR140">
        <v>32452.7</v>
      </c>
      <c r="CS140">
        <v>30664.5</v>
      </c>
      <c r="CT140">
        <v>40118</v>
      </c>
      <c r="CU140">
        <v>39500.400000000001</v>
      </c>
      <c r="CV140">
        <v>47388.4</v>
      </c>
      <c r="CW140">
        <v>46754.8</v>
      </c>
      <c r="CX140">
        <v>2.6247400000000001</v>
      </c>
      <c r="CY140">
        <v>2.1387800000000001</v>
      </c>
      <c r="CZ140">
        <v>0</v>
      </c>
      <c r="DA140">
        <v>0</v>
      </c>
      <c r="DB140">
        <v>999.9</v>
      </c>
      <c r="DC140">
        <v>999.9</v>
      </c>
      <c r="DD140">
        <v>62.067999999999998</v>
      </c>
      <c r="DE140">
        <v>26.012</v>
      </c>
      <c r="DF140">
        <v>20.933299999999999</v>
      </c>
      <c r="DG140">
        <v>30.470099999999999</v>
      </c>
      <c r="DH140">
        <v>17.740400000000001</v>
      </c>
      <c r="DI140">
        <v>2</v>
      </c>
      <c r="DJ140">
        <v>-0.12867899999999999</v>
      </c>
      <c r="DK140">
        <v>2.0808200000000001</v>
      </c>
      <c r="DL140">
        <v>20.224599999999999</v>
      </c>
      <c r="DM140">
        <v>5.2521500000000003</v>
      </c>
      <c r="DN140">
        <v>12.033899999999999</v>
      </c>
      <c r="DO140">
        <v>4.9675200000000004</v>
      </c>
      <c r="DP140">
        <v>3.2909999999999999</v>
      </c>
      <c r="DQ140">
        <v>9999</v>
      </c>
      <c r="DR140">
        <v>9999</v>
      </c>
      <c r="DS140">
        <v>534.6</v>
      </c>
      <c r="DT140">
        <v>9999</v>
      </c>
      <c r="DU140">
        <v>1.87104</v>
      </c>
      <c r="DV140">
        <v>1.87608</v>
      </c>
      <c r="DW140">
        <v>1.87629</v>
      </c>
      <c r="DX140">
        <v>1.8827799999999999</v>
      </c>
      <c r="DY140">
        <v>1.8755999999999999</v>
      </c>
      <c r="DZ140">
        <v>1.87462</v>
      </c>
      <c r="EA140">
        <v>1.8707400000000001</v>
      </c>
      <c r="EB140">
        <v>1.8746700000000001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-1.008</v>
      </c>
      <c r="EQ140">
        <v>0.1065</v>
      </c>
      <c r="ER140">
        <v>-1.00799999999998</v>
      </c>
      <c r="ES140">
        <v>0</v>
      </c>
      <c r="ET140">
        <v>0</v>
      </c>
      <c r="EU140">
        <v>0</v>
      </c>
      <c r="EV140">
        <v>0.106540000000001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6.5</v>
      </c>
      <c r="FE140">
        <v>6.5</v>
      </c>
      <c r="FF140">
        <v>1.2377899999999999</v>
      </c>
      <c r="FG140">
        <v>2.5647000000000002</v>
      </c>
      <c r="FH140">
        <v>2.19604</v>
      </c>
      <c r="FI140">
        <v>2.66235</v>
      </c>
      <c r="FJ140">
        <v>2.4462899999999999</v>
      </c>
      <c r="FK140">
        <v>2.2997999999999998</v>
      </c>
      <c r="FL140">
        <v>31.063600000000001</v>
      </c>
      <c r="FM140">
        <v>24.148800000000001</v>
      </c>
      <c r="FN140">
        <v>19</v>
      </c>
      <c r="FO140">
        <v>864.68399999999997</v>
      </c>
      <c r="FP140">
        <v>581.33500000000004</v>
      </c>
      <c r="FQ140">
        <v>18.287400000000002</v>
      </c>
      <c r="FR140">
        <v>25.363199999999999</v>
      </c>
      <c r="FS140">
        <v>30.0001</v>
      </c>
      <c r="FT140">
        <v>25.351099999999999</v>
      </c>
      <c r="FU140">
        <v>25.3535</v>
      </c>
      <c r="FV140">
        <v>24.838000000000001</v>
      </c>
      <c r="FW140">
        <v>31.817900000000002</v>
      </c>
      <c r="FX140">
        <v>12.3177</v>
      </c>
      <c r="FY140">
        <v>18.2925</v>
      </c>
      <c r="FZ140">
        <v>410</v>
      </c>
      <c r="GA140">
        <v>14.8109</v>
      </c>
      <c r="GB140">
        <v>99.859300000000005</v>
      </c>
      <c r="GC140">
        <v>99.539100000000005</v>
      </c>
    </row>
    <row r="141" spans="1:185" x14ac:dyDescent="0.2">
      <c r="A141">
        <v>126</v>
      </c>
      <c r="B141">
        <v>1769185259.0999999</v>
      </c>
      <c r="C141">
        <v>2396.0999999046298</v>
      </c>
      <c r="D141" t="s">
        <v>548</v>
      </c>
      <c r="E141" t="s">
        <v>549</v>
      </c>
      <c r="F141">
        <v>15</v>
      </c>
      <c r="G141">
        <v>1769185251.03333</v>
      </c>
      <c r="H141">
        <f t="shared" si="13"/>
        <v>4.6234510262284308E-4</v>
      </c>
      <c r="I141">
        <v>0</v>
      </c>
      <c r="J141">
        <f t="shared" si="25"/>
        <v>3.6643395376107098E-4</v>
      </c>
      <c r="K141">
        <f t="shared" si="14"/>
        <v>9.5967849343794407E-3</v>
      </c>
      <c r="L141">
        <f t="shared" si="15"/>
        <v>69.773931226317075</v>
      </c>
      <c r="M141">
        <f t="shared" si="16"/>
        <v>1.5387787375521926</v>
      </c>
      <c r="N141">
        <f t="shared" si="17"/>
        <v>2.205377725616529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26264.622395731218</v>
      </c>
      <c r="T141">
        <f t="shared" si="21"/>
        <v>299.99913333333302</v>
      </c>
      <c r="U141">
        <f t="shared" si="22"/>
        <v>252.89928265996127</v>
      </c>
      <c r="V141">
        <f t="shared" si="23"/>
        <v>0.84300004419999952</v>
      </c>
      <c r="W141">
        <f t="shared" si="24"/>
        <v>0.15869999357199993</v>
      </c>
      <c r="X141">
        <v>1</v>
      </c>
      <c r="Y141">
        <v>1769185251.03333</v>
      </c>
      <c r="Z141">
        <v>409.74540000000002</v>
      </c>
      <c r="AA141">
        <v>409.99419999999998</v>
      </c>
      <c r="AB141">
        <v>15.358973333333299</v>
      </c>
      <c r="AC141">
        <v>14.78992</v>
      </c>
      <c r="AD141">
        <v>410.7534</v>
      </c>
      <c r="AE141">
        <v>15.2524266666667</v>
      </c>
      <c r="AF141">
        <v>800.00226666666697</v>
      </c>
      <c r="AG141">
        <v>100.122133333333</v>
      </c>
      <c r="AH141">
        <v>6.5470626666666698E-2</v>
      </c>
      <c r="AI141">
        <v>19.001433333333299</v>
      </c>
      <c r="AJ141">
        <v>999.9</v>
      </c>
      <c r="AK141">
        <v>999.9</v>
      </c>
      <c r="AL141">
        <v>0</v>
      </c>
      <c r="AM141">
        <v>0</v>
      </c>
      <c r="AN141">
        <v>5001.7333333333299</v>
      </c>
      <c r="AO141">
        <v>0</v>
      </c>
      <c r="AP141">
        <v>2.08901</v>
      </c>
      <c r="AQ141">
        <v>-0.248777266666667</v>
      </c>
      <c r="AR141">
        <v>416.136866666667</v>
      </c>
      <c r="AS141">
        <v>416.14893333333299</v>
      </c>
      <c r="AT141">
        <v>0.56904226666666702</v>
      </c>
      <c r="AU141">
        <v>409.99419999999998</v>
      </c>
      <c r="AV141">
        <v>14.78992</v>
      </c>
      <c r="AW141">
        <v>1.53777266666667</v>
      </c>
      <c r="AX141">
        <v>1.48079933333333</v>
      </c>
      <c r="AY141">
        <v>13.348979999999999</v>
      </c>
      <c r="AZ141">
        <v>12.771333333333301</v>
      </c>
      <c r="BA141">
        <v>299.99913333333302</v>
      </c>
      <c r="BB141">
        <v>0.90000026666666599</v>
      </c>
      <c r="BC141">
        <v>0</v>
      </c>
      <c r="BD141">
        <v>9.9999793333333406E-2</v>
      </c>
      <c r="BE141">
        <v>0</v>
      </c>
      <c r="BF141">
        <v>25</v>
      </c>
      <c r="BG141">
        <v>4946.6186666666699</v>
      </c>
      <c r="BH141">
        <v>1769184857.0999999</v>
      </c>
      <c r="BI141" t="s">
        <v>509</v>
      </c>
      <c r="BJ141">
        <v>1769184855.0999999</v>
      </c>
      <c r="BK141">
        <v>1769184857.0999999</v>
      </c>
      <c r="BL141">
        <v>4</v>
      </c>
      <c r="BM141">
        <v>3.7999999999999999E-2</v>
      </c>
      <c r="BN141">
        <v>4.0000000000000001E-3</v>
      </c>
      <c r="BO141">
        <v>-1.008</v>
      </c>
      <c r="BP141">
        <v>0.107</v>
      </c>
      <c r="BQ141">
        <v>410</v>
      </c>
      <c r="BR141">
        <v>15</v>
      </c>
      <c r="BS141">
        <v>0.25</v>
      </c>
      <c r="BT141">
        <v>7.0000000000000007E-2</v>
      </c>
      <c r="BU141">
        <v>-0.2489731</v>
      </c>
      <c r="BV141">
        <v>-7.4688631578947506E-2</v>
      </c>
      <c r="BW141">
        <v>2.9219750464197999E-2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0.56671395000000002</v>
      </c>
      <c r="CD141">
        <v>5.2774962406014703E-2</v>
      </c>
      <c r="CE141">
        <v>5.79086399835983E-3</v>
      </c>
      <c r="CF141">
        <v>1</v>
      </c>
      <c r="CG141">
        <v>2</v>
      </c>
      <c r="CH141">
        <v>2</v>
      </c>
      <c r="CI141" t="s">
        <v>310</v>
      </c>
      <c r="CJ141">
        <v>3.5325700000000002</v>
      </c>
      <c r="CK141">
        <v>2.70336</v>
      </c>
      <c r="CL141">
        <v>9.7991099999999998E-2</v>
      </c>
      <c r="CM141">
        <v>9.6646599999999999E-2</v>
      </c>
      <c r="CN141">
        <v>8.6927199999999996E-2</v>
      </c>
      <c r="CO141">
        <v>8.3685800000000005E-2</v>
      </c>
      <c r="CP141">
        <v>31627.8</v>
      </c>
      <c r="CQ141">
        <v>27766.6</v>
      </c>
      <c r="CR141">
        <v>32452.3</v>
      </c>
      <c r="CS141">
        <v>30663.8</v>
      </c>
      <c r="CT141">
        <v>40117.9</v>
      </c>
      <c r="CU141">
        <v>39501.9</v>
      </c>
      <c r="CV141">
        <v>47387.9</v>
      </c>
      <c r="CW141">
        <v>46753.9</v>
      </c>
      <c r="CX141">
        <v>2.6248999999999998</v>
      </c>
      <c r="CY141">
        <v>2.13862</v>
      </c>
      <c r="CZ141">
        <v>0</v>
      </c>
      <c r="DA141">
        <v>0</v>
      </c>
      <c r="DB141">
        <v>999.9</v>
      </c>
      <c r="DC141">
        <v>999.9</v>
      </c>
      <c r="DD141">
        <v>61.957999999999998</v>
      </c>
      <c r="DE141">
        <v>26.042000000000002</v>
      </c>
      <c r="DF141">
        <v>20.932400000000001</v>
      </c>
      <c r="DG141">
        <v>30.260200000000001</v>
      </c>
      <c r="DH141">
        <v>17.680299999999999</v>
      </c>
      <c r="DI141">
        <v>2</v>
      </c>
      <c r="DJ141">
        <v>-0.12860199999999999</v>
      </c>
      <c r="DK141">
        <v>2.0709200000000001</v>
      </c>
      <c r="DL141">
        <v>20.224699999999999</v>
      </c>
      <c r="DM141">
        <v>5.2517899999999997</v>
      </c>
      <c r="DN141">
        <v>12.033899999999999</v>
      </c>
      <c r="DO141">
        <v>4.9673999999999996</v>
      </c>
      <c r="DP141">
        <v>3.2909999999999999</v>
      </c>
      <c r="DQ141">
        <v>9999</v>
      </c>
      <c r="DR141">
        <v>9999</v>
      </c>
      <c r="DS141">
        <v>534.6</v>
      </c>
      <c r="DT141">
        <v>9999</v>
      </c>
      <c r="DU141">
        <v>1.87103</v>
      </c>
      <c r="DV141">
        <v>1.8760699999999999</v>
      </c>
      <c r="DW141">
        <v>1.8762399999999999</v>
      </c>
      <c r="DX141">
        <v>1.8827799999999999</v>
      </c>
      <c r="DY141">
        <v>1.8755999999999999</v>
      </c>
      <c r="DZ141">
        <v>1.87462</v>
      </c>
      <c r="EA141">
        <v>1.87073</v>
      </c>
      <c r="EB141">
        <v>1.87463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-1.008</v>
      </c>
      <c r="EQ141">
        <v>0.1066</v>
      </c>
      <c r="ER141">
        <v>-1.00799999999998</v>
      </c>
      <c r="ES141">
        <v>0</v>
      </c>
      <c r="ET141">
        <v>0</v>
      </c>
      <c r="EU141">
        <v>0</v>
      </c>
      <c r="EV141">
        <v>0.106540000000001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6.7</v>
      </c>
      <c r="FE141">
        <v>6.7</v>
      </c>
      <c r="FF141">
        <v>1.2377899999999999</v>
      </c>
      <c r="FG141">
        <v>2.5610400000000002</v>
      </c>
      <c r="FH141">
        <v>2.19604</v>
      </c>
      <c r="FI141">
        <v>2.66235</v>
      </c>
      <c r="FJ141">
        <v>2.4462899999999999</v>
      </c>
      <c r="FK141">
        <v>2.3022499999999999</v>
      </c>
      <c r="FL141">
        <v>31.063600000000001</v>
      </c>
      <c r="FM141">
        <v>24.148800000000001</v>
      </c>
      <c r="FN141">
        <v>19</v>
      </c>
      <c r="FO141">
        <v>864.88699999999994</v>
      </c>
      <c r="FP141">
        <v>581.23699999999997</v>
      </c>
      <c r="FQ141">
        <v>18.2882</v>
      </c>
      <c r="FR141">
        <v>25.366099999999999</v>
      </c>
      <c r="FS141">
        <v>30.0001</v>
      </c>
      <c r="FT141">
        <v>25.354399999999998</v>
      </c>
      <c r="FU141">
        <v>25.355699999999999</v>
      </c>
      <c r="FV141">
        <v>24.837900000000001</v>
      </c>
      <c r="FW141">
        <v>31.817900000000002</v>
      </c>
      <c r="FX141">
        <v>11.9472</v>
      </c>
      <c r="FY141">
        <v>18.2879</v>
      </c>
      <c r="FZ141">
        <v>410</v>
      </c>
      <c r="GA141">
        <v>14.8109</v>
      </c>
      <c r="GB141">
        <v>99.858099999999993</v>
      </c>
      <c r="GC141">
        <v>99.537000000000006</v>
      </c>
    </row>
    <row r="142" spans="1:185" x14ac:dyDescent="0.2">
      <c r="A142">
        <v>127</v>
      </c>
      <c r="B142">
        <v>1769185274.0999999</v>
      </c>
      <c r="C142">
        <v>2411.0999999046298</v>
      </c>
      <c r="D142" t="s">
        <v>550</v>
      </c>
      <c r="E142" t="s">
        <v>551</v>
      </c>
      <c r="F142">
        <v>15</v>
      </c>
      <c r="G142">
        <v>1769185266.03333</v>
      </c>
      <c r="H142">
        <f t="shared" si="13"/>
        <v>4.6681067360015906E-4</v>
      </c>
      <c r="I142">
        <v>0</v>
      </c>
      <c r="J142">
        <f t="shared" si="25"/>
        <v>3.1073833993112797E-4</v>
      </c>
      <c r="K142">
        <f t="shared" si="14"/>
        <v>8.1381350952252716E-3</v>
      </c>
      <c r="L142">
        <f t="shared" si="15"/>
        <v>69.761346150560968</v>
      </c>
      <c r="M142">
        <f t="shared" si="16"/>
        <v>1.5383123879473097</v>
      </c>
      <c r="N142">
        <f t="shared" si="17"/>
        <v>2.2051070869923857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26250.769870935907</v>
      </c>
      <c r="T142">
        <f t="shared" si="21"/>
        <v>300.000333333333</v>
      </c>
      <c r="U142">
        <f t="shared" si="22"/>
        <v>252.90024703996195</v>
      </c>
      <c r="V142">
        <f t="shared" si="23"/>
        <v>0.84299988679999993</v>
      </c>
      <c r="W142">
        <f t="shared" si="24"/>
        <v>0.158699768968</v>
      </c>
      <c r="X142">
        <v>1</v>
      </c>
      <c r="Y142">
        <v>1769185266.03333</v>
      </c>
      <c r="Z142">
        <v>409.74926666666698</v>
      </c>
      <c r="AA142">
        <v>409.998533333333</v>
      </c>
      <c r="AB142">
        <v>15.354620000000001</v>
      </c>
      <c r="AC142">
        <v>14.7800666666667</v>
      </c>
      <c r="AD142">
        <v>410.75726666666702</v>
      </c>
      <c r="AE142">
        <v>15.2480666666667</v>
      </c>
      <c r="AF142">
        <v>800.00053333333301</v>
      </c>
      <c r="AG142">
        <v>100.12033333333299</v>
      </c>
      <c r="AH142">
        <v>6.5303819999999999E-2</v>
      </c>
      <c r="AI142">
        <v>18.999466666666699</v>
      </c>
      <c r="AJ142">
        <v>999.9</v>
      </c>
      <c r="AK142">
        <v>999.9</v>
      </c>
      <c r="AL142">
        <v>0</v>
      </c>
      <c r="AM142">
        <v>0</v>
      </c>
      <c r="AN142">
        <v>4999.5</v>
      </c>
      <c r="AO142">
        <v>0</v>
      </c>
      <c r="AP142">
        <v>2.08901</v>
      </c>
      <c r="AQ142">
        <v>-0.24920246666666701</v>
      </c>
      <c r="AR142">
        <v>416.13886666666701</v>
      </c>
      <c r="AS142">
        <v>416.149133333333</v>
      </c>
      <c r="AT142">
        <v>0.57454939999999999</v>
      </c>
      <c r="AU142">
        <v>409.998533333333</v>
      </c>
      <c r="AV142">
        <v>14.7800666666667</v>
      </c>
      <c r="AW142">
        <v>1.53730866666667</v>
      </c>
      <c r="AX142">
        <v>1.4797846666666701</v>
      </c>
      <c r="AY142">
        <v>13.3443666666667</v>
      </c>
      <c r="AZ142">
        <v>12.760873333333301</v>
      </c>
      <c r="BA142">
        <v>300.000333333333</v>
      </c>
      <c r="BB142">
        <v>0.900003</v>
      </c>
      <c r="BC142">
        <v>0</v>
      </c>
      <c r="BD142">
        <v>9.9996973333333294E-2</v>
      </c>
      <c r="BE142">
        <v>0</v>
      </c>
      <c r="BF142">
        <v>25</v>
      </c>
      <c r="BG142">
        <v>4946.6453333333302</v>
      </c>
      <c r="BH142">
        <v>1769184857.0999999</v>
      </c>
      <c r="BI142" t="s">
        <v>509</v>
      </c>
      <c r="BJ142">
        <v>1769184855.0999999</v>
      </c>
      <c r="BK142">
        <v>1769184857.0999999</v>
      </c>
      <c r="BL142">
        <v>4</v>
      </c>
      <c r="BM142">
        <v>3.7999999999999999E-2</v>
      </c>
      <c r="BN142">
        <v>4.0000000000000001E-3</v>
      </c>
      <c r="BO142">
        <v>-1.008</v>
      </c>
      <c r="BP142">
        <v>0.107</v>
      </c>
      <c r="BQ142">
        <v>410</v>
      </c>
      <c r="BR142">
        <v>15</v>
      </c>
      <c r="BS142">
        <v>0.25</v>
      </c>
      <c r="BT142">
        <v>7.0000000000000007E-2</v>
      </c>
      <c r="BU142">
        <v>-0.25335690476190498</v>
      </c>
      <c r="BV142">
        <v>6.7753246753246898E-2</v>
      </c>
      <c r="BW142">
        <v>1.6815797416502E-2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0.57371995238095197</v>
      </c>
      <c r="CD142">
        <v>2.2089272727272399E-2</v>
      </c>
      <c r="CE142">
        <v>2.82790840553815E-3</v>
      </c>
      <c r="CF142">
        <v>1</v>
      </c>
      <c r="CG142">
        <v>2</v>
      </c>
      <c r="CH142">
        <v>2</v>
      </c>
      <c r="CI142" t="s">
        <v>310</v>
      </c>
      <c r="CJ142">
        <v>3.5325099999999998</v>
      </c>
      <c r="CK142">
        <v>2.7031299999999998</v>
      </c>
      <c r="CL142">
        <v>9.7987900000000003E-2</v>
      </c>
      <c r="CM142">
        <v>9.6642800000000001E-2</v>
      </c>
      <c r="CN142">
        <v>8.6904499999999996E-2</v>
      </c>
      <c r="CO142">
        <v>8.3636100000000005E-2</v>
      </c>
      <c r="CP142">
        <v>31628.6</v>
      </c>
      <c r="CQ142">
        <v>27767.5</v>
      </c>
      <c r="CR142">
        <v>32452.9</v>
      </c>
      <c r="CS142">
        <v>30664.7</v>
      </c>
      <c r="CT142">
        <v>40119.800000000003</v>
      </c>
      <c r="CU142">
        <v>39505.300000000003</v>
      </c>
      <c r="CV142">
        <v>47388.9</v>
      </c>
      <c r="CW142">
        <v>46755.3</v>
      </c>
      <c r="CX142">
        <v>2.6246399999999999</v>
      </c>
      <c r="CY142">
        <v>2.1383200000000002</v>
      </c>
      <c r="CZ142">
        <v>0</v>
      </c>
      <c r="DA142">
        <v>0</v>
      </c>
      <c r="DB142">
        <v>999.9</v>
      </c>
      <c r="DC142">
        <v>999.9</v>
      </c>
      <c r="DD142">
        <v>61.866999999999997</v>
      </c>
      <c r="DE142">
        <v>26.042000000000002</v>
      </c>
      <c r="DF142">
        <v>20.9026</v>
      </c>
      <c r="DG142">
        <v>30.620200000000001</v>
      </c>
      <c r="DH142">
        <v>17.772400000000001</v>
      </c>
      <c r="DI142">
        <v>2</v>
      </c>
      <c r="DJ142">
        <v>-0.12881500000000001</v>
      </c>
      <c r="DK142">
        <v>2.03247</v>
      </c>
      <c r="DL142">
        <v>20.225100000000001</v>
      </c>
      <c r="DM142">
        <v>5.25143</v>
      </c>
      <c r="DN142">
        <v>12.033899999999999</v>
      </c>
      <c r="DO142">
        <v>4.9674399999999999</v>
      </c>
      <c r="DP142">
        <v>3.2910200000000001</v>
      </c>
      <c r="DQ142">
        <v>9999</v>
      </c>
      <c r="DR142">
        <v>9999</v>
      </c>
      <c r="DS142">
        <v>534.6</v>
      </c>
      <c r="DT142">
        <v>9999</v>
      </c>
      <c r="DU142">
        <v>1.8710500000000001</v>
      </c>
      <c r="DV142">
        <v>1.87609</v>
      </c>
      <c r="DW142">
        <v>1.87629</v>
      </c>
      <c r="DX142">
        <v>1.8827799999999999</v>
      </c>
      <c r="DY142">
        <v>1.87561</v>
      </c>
      <c r="DZ142">
        <v>1.87466</v>
      </c>
      <c r="EA142">
        <v>1.8707499999999999</v>
      </c>
      <c r="EB142">
        <v>1.87466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-1.008</v>
      </c>
      <c r="EQ142">
        <v>0.1066</v>
      </c>
      <c r="ER142">
        <v>-1.00799999999998</v>
      </c>
      <c r="ES142">
        <v>0</v>
      </c>
      <c r="ET142">
        <v>0</v>
      </c>
      <c r="EU142">
        <v>0</v>
      </c>
      <c r="EV142">
        <v>0.106540000000001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7</v>
      </c>
      <c r="FE142">
        <v>7</v>
      </c>
      <c r="FF142">
        <v>1.2377899999999999</v>
      </c>
      <c r="FG142">
        <v>2.5634800000000002</v>
      </c>
      <c r="FH142">
        <v>2.19604</v>
      </c>
      <c r="FI142">
        <v>2.66113</v>
      </c>
      <c r="FJ142">
        <v>2.4462899999999999</v>
      </c>
      <c r="FK142">
        <v>2.2924799999999999</v>
      </c>
      <c r="FL142">
        <v>31.0853</v>
      </c>
      <c r="FM142">
        <v>24.157499999999999</v>
      </c>
      <c r="FN142">
        <v>19</v>
      </c>
      <c r="FO142">
        <v>864.68</v>
      </c>
      <c r="FP142">
        <v>581.03399999999999</v>
      </c>
      <c r="FQ142">
        <v>18.2987</v>
      </c>
      <c r="FR142">
        <v>25.368300000000001</v>
      </c>
      <c r="FS142">
        <v>30.0001</v>
      </c>
      <c r="FT142">
        <v>25.3566</v>
      </c>
      <c r="FU142">
        <v>25.3582</v>
      </c>
      <c r="FV142">
        <v>24.838200000000001</v>
      </c>
      <c r="FW142">
        <v>31.817900000000002</v>
      </c>
      <c r="FX142">
        <v>11.9472</v>
      </c>
      <c r="FY142">
        <v>18.3004</v>
      </c>
      <c r="FZ142">
        <v>410</v>
      </c>
      <c r="GA142">
        <v>14.8109</v>
      </c>
      <c r="GB142">
        <v>99.860200000000006</v>
      </c>
      <c r="GC142">
        <v>99.54</v>
      </c>
    </row>
    <row r="143" spans="1:185" x14ac:dyDescent="0.2">
      <c r="A143">
        <v>128</v>
      </c>
      <c r="B143">
        <v>1769185289.0999999</v>
      </c>
      <c r="C143">
        <v>2426.0999999046298</v>
      </c>
      <c r="D143" t="s">
        <v>552</v>
      </c>
      <c r="E143" t="s">
        <v>553</v>
      </c>
      <c r="F143">
        <v>15</v>
      </c>
      <c r="G143">
        <v>1769185281.03333</v>
      </c>
      <c r="H143">
        <f t="shared" si="13"/>
        <v>4.7040178580160311E-4</v>
      </c>
      <c r="I143">
        <v>0</v>
      </c>
      <c r="J143">
        <f t="shared" si="25"/>
        <v>1.3247637299309517E-4</v>
      </c>
      <c r="K143">
        <f t="shared" si="14"/>
        <v>3.4695127115058079E-3</v>
      </c>
      <c r="L143">
        <f t="shared" si="15"/>
        <v>69.734313155203608</v>
      </c>
      <c r="M143">
        <f t="shared" si="16"/>
        <v>1.5377597830500589</v>
      </c>
      <c r="N143">
        <f t="shared" si="17"/>
        <v>2.2051694689062993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26264.198884719961</v>
      </c>
      <c r="T143">
        <f t="shared" si="21"/>
        <v>299.99813333333299</v>
      </c>
      <c r="U143">
        <f t="shared" si="22"/>
        <v>252.89841260008555</v>
      </c>
      <c r="V143">
        <f t="shared" si="23"/>
        <v>0.84299995399999994</v>
      </c>
      <c r="W143">
        <f t="shared" si="24"/>
        <v>0.15869962516</v>
      </c>
      <c r="X143">
        <v>1</v>
      </c>
      <c r="Y143">
        <v>1769185281.03333</v>
      </c>
      <c r="Z143">
        <v>409.74553333333301</v>
      </c>
      <c r="AA143">
        <v>409.99079999999998</v>
      </c>
      <c r="AB143">
        <v>15.34914</v>
      </c>
      <c r="AC143">
        <v>14.7701666666667</v>
      </c>
      <c r="AD143">
        <v>410.753533333333</v>
      </c>
      <c r="AE143">
        <v>15.242573333333301</v>
      </c>
      <c r="AF143">
        <v>800.00493333333304</v>
      </c>
      <c r="AG143">
        <v>100.12</v>
      </c>
      <c r="AH143">
        <v>6.5403420000000004E-2</v>
      </c>
      <c r="AI143">
        <v>18.999919999999999</v>
      </c>
      <c r="AJ143">
        <v>999.9</v>
      </c>
      <c r="AK143">
        <v>999.9</v>
      </c>
      <c r="AL143">
        <v>0</v>
      </c>
      <c r="AM143">
        <v>0</v>
      </c>
      <c r="AN143">
        <v>5001.7333333333299</v>
      </c>
      <c r="AO143">
        <v>0</v>
      </c>
      <c r="AP143">
        <v>2.06522466666667</v>
      </c>
      <c r="AQ143">
        <v>-0.24518826666666699</v>
      </c>
      <c r="AR143">
        <v>416.13286666666698</v>
      </c>
      <c r="AS143">
        <v>416.137133333333</v>
      </c>
      <c r="AT143">
        <v>0.578949933333333</v>
      </c>
      <c r="AU143">
        <v>409.99079999999998</v>
      </c>
      <c r="AV143">
        <v>14.7701666666667</v>
      </c>
      <c r="AW143">
        <v>1.53675266666667</v>
      </c>
      <c r="AX143">
        <v>1.478788</v>
      </c>
      <c r="AY143">
        <v>13.3388266666667</v>
      </c>
      <c r="AZ143">
        <v>12.750579999999999</v>
      </c>
      <c r="BA143">
        <v>299.99813333333299</v>
      </c>
      <c r="BB143">
        <v>0.90000539999999996</v>
      </c>
      <c r="BC143">
        <v>0</v>
      </c>
      <c r="BD143">
        <v>9.9994733333333294E-2</v>
      </c>
      <c r="BE143">
        <v>0</v>
      </c>
      <c r="BF143">
        <v>25</v>
      </c>
      <c r="BG143">
        <v>4946.6099999999997</v>
      </c>
      <c r="BH143">
        <v>1769184857.0999999</v>
      </c>
      <c r="BI143" t="s">
        <v>509</v>
      </c>
      <c r="BJ143">
        <v>1769184855.0999999</v>
      </c>
      <c r="BK143">
        <v>1769184857.0999999</v>
      </c>
      <c r="BL143">
        <v>4</v>
      </c>
      <c r="BM143">
        <v>3.7999999999999999E-2</v>
      </c>
      <c r="BN143">
        <v>4.0000000000000001E-3</v>
      </c>
      <c r="BO143">
        <v>-1.008</v>
      </c>
      <c r="BP143">
        <v>0.107</v>
      </c>
      <c r="BQ143">
        <v>410</v>
      </c>
      <c r="BR143">
        <v>15</v>
      </c>
      <c r="BS143">
        <v>0.25</v>
      </c>
      <c r="BT143">
        <v>7.0000000000000007E-2</v>
      </c>
      <c r="BU143">
        <v>-0.24620049999999999</v>
      </c>
      <c r="BV143">
        <v>-2.79189473684208E-2</v>
      </c>
      <c r="BW143">
        <v>1.34100767503397E-2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0.57840075000000002</v>
      </c>
      <c r="CD143">
        <v>2.15362556390973E-2</v>
      </c>
      <c r="CE143">
        <v>2.7382171914404401E-3</v>
      </c>
      <c r="CF143">
        <v>1</v>
      </c>
      <c r="CG143">
        <v>2</v>
      </c>
      <c r="CH143">
        <v>2</v>
      </c>
      <c r="CI143" t="s">
        <v>310</v>
      </c>
      <c r="CJ143">
        <v>3.5325299999999999</v>
      </c>
      <c r="CK143">
        <v>2.70329</v>
      </c>
      <c r="CL143">
        <v>9.7992399999999993E-2</v>
      </c>
      <c r="CM143">
        <v>9.6649100000000002E-2</v>
      </c>
      <c r="CN143">
        <v>8.68646E-2</v>
      </c>
      <c r="CO143">
        <v>8.3588300000000004E-2</v>
      </c>
      <c r="CP143">
        <v>31628.6</v>
      </c>
      <c r="CQ143">
        <v>27767.599999999999</v>
      </c>
      <c r="CR143">
        <v>32453.200000000001</v>
      </c>
      <c r="CS143">
        <v>30665</v>
      </c>
      <c r="CT143">
        <v>40121.800000000003</v>
      </c>
      <c r="CU143">
        <v>39507.9</v>
      </c>
      <c r="CV143">
        <v>47389.1</v>
      </c>
      <c r="CW143">
        <v>46755.9</v>
      </c>
      <c r="CX143">
        <v>2.6246399999999999</v>
      </c>
      <c r="CY143">
        <v>2.13822</v>
      </c>
      <c r="CZ143">
        <v>0</v>
      </c>
      <c r="DA143">
        <v>0</v>
      </c>
      <c r="DB143">
        <v>999.9</v>
      </c>
      <c r="DC143">
        <v>999.9</v>
      </c>
      <c r="DD143">
        <v>61.768999999999998</v>
      </c>
      <c r="DE143">
        <v>26.052</v>
      </c>
      <c r="DF143">
        <v>20.880800000000001</v>
      </c>
      <c r="DG143">
        <v>30.5002</v>
      </c>
      <c r="DH143">
        <v>17.688300000000002</v>
      </c>
      <c r="DI143">
        <v>2</v>
      </c>
      <c r="DJ143">
        <v>-0.12845899999999999</v>
      </c>
      <c r="DK143">
        <v>2.0565600000000002</v>
      </c>
      <c r="DL143">
        <v>20.224900000000002</v>
      </c>
      <c r="DM143">
        <v>5.2519099999999996</v>
      </c>
      <c r="DN143">
        <v>12.033899999999999</v>
      </c>
      <c r="DO143">
        <v>4.9673999999999996</v>
      </c>
      <c r="DP143">
        <v>3.2909999999999999</v>
      </c>
      <c r="DQ143">
        <v>9999</v>
      </c>
      <c r="DR143">
        <v>9999</v>
      </c>
      <c r="DS143">
        <v>534.6</v>
      </c>
      <c r="DT143">
        <v>9999</v>
      </c>
      <c r="DU143">
        <v>1.87104</v>
      </c>
      <c r="DV143">
        <v>1.87608</v>
      </c>
      <c r="DW143">
        <v>1.8762799999999999</v>
      </c>
      <c r="DX143">
        <v>1.8827799999999999</v>
      </c>
      <c r="DY143">
        <v>1.8755999999999999</v>
      </c>
      <c r="DZ143">
        <v>1.8746400000000001</v>
      </c>
      <c r="EA143">
        <v>1.87073</v>
      </c>
      <c r="EB143">
        <v>1.8746499999999999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-1.008</v>
      </c>
      <c r="EQ143">
        <v>0.1065</v>
      </c>
      <c r="ER143">
        <v>-1.00799999999998</v>
      </c>
      <c r="ES143">
        <v>0</v>
      </c>
      <c r="ET143">
        <v>0</v>
      </c>
      <c r="EU143">
        <v>0</v>
      </c>
      <c r="EV143">
        <v>0.106540000000001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7.2</v>
      </c>
      <c r="FE143">
        <v>7.2</v>
      </c>
      <c r="FF143">
        <v>1.2377899999999999</v>
      </c>
      <c r="FG143">
        <v>2.5598100000000001</v>
      </c>
      <c r="FH143">
        <v>2.19604</v>
      </c>
      <c r="FI143">
        <v>2.66113</v>
      </c>
      <c r="FJ143">
        <v>2.4462899999999999</v>
      </c>
      <c r="FK143">
        <v>2.32178</v>
      </c>
      <c r="FL143">
        <v>31.106999999999999</v>
      </c>
      <c r="FM143">
        <v>24.148800000000001</v>
      </c>
      <c r="FN143">
        <v>19</v>
      </c>
      <c r="FO143">
        <v>864.721</v>
      </c>
      <c r="FP143">
        <v>580.995</v>
      </c>
      <c r="FQ143">
        <v>18.302499999999998</v>
      </c>
      <c r="FR143">
        <v>25.3704</v>
      </c>
      <c r="FS143">
        <v>30.0002</v>
      </c>
      <c r="FT143">
        <v>25.359200000000001</v>
      </c>
      <c r="FU143">
        <v>25.361599999999999</v>
      </c>
      <c r="FV143">
        <v>24.837499999999999</v>
      </c>
      <c r="FW143">
        <v>31.817900000000002</v>
      </c>
      <c r="FX143">
        <v>11.5694</v>
      </c>
      <c r="FY143">
        <v>18.301300000000001</v>
      </c>
      <c r="FZ143">
        <v>410</v>
      </c>
      <c r="GA143">
        <v>14.8124</v>
      </c>
      <c r="GB143">
        <v>99.860699999999994</v>
      </c>
      <c r="GC143">
        <v>99.5411</v>
      </c>
    </row>
    <row r="144" spans="1:185" x14ac:dyDescent="0.2">
      <c r="A144">
        <v>129</v>
      </c>
      <c r="B144">
        <v>1769185304.0999999</v>
      </c>
      <c r="C144">
        <v>2441.0999999046298</v>
      </c>
      <c r="D144" t="s">
        <v>554</v>
      </c>
      <c r="E144" t="s">
        <v>555</v>
      </c>
      <c r="F144">
        <v>15</v>
      </c>
      <c r="G144">
        <v>1769185296.03333</v>
      </c>
      <c r="H144">
        <f t="shared" ref="H144:H207" si="26">AF144*Q144*(AB144-AC144)/(1000*X144*(1000-Q144*AB144))</f>
        <v>4.7287437467282637E-4</v>
      </c>
      <c r="I144">
        <v>0</v>
      </c>
      <c r="J144">
        <f t="shared" si="25"/>
        <v>-4.0139464336554179E-4</v>
      </c>
      <c r="K144">
        <f t="shared" ref="K144:K207" si="27">AF144*Q144*(AA144-Z144*(1000-Q144*AC144)/(1000-Q144*AB144))/(1000*X144)</f>
        <v>-1.051239391615646E-2</v>
      </c>
      <c r="L144">
        <f t="shared" ref="L144:L207" si="28">(M144/N144*100)</f>
        <v>69.692013494351613</v>
      </c>
      <c r="M144">
        <f t="shared" ref="M144:M207" si="29">AB144*(AG144+AH144)/1000</f>
        <v>1.5370130643575031</v>
      </c>
      <c r="N144">
        <f t="shared" ref="N144:N207" si="30">0.61365*EXP(17.502*AI144/(240.97+AI144))</f>
        <v>2.2054364442807706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26241.029289240465</v>
      </c>
      <c r="T144">
        <f t="shared" ref="T144:T207" si="34">$B$11*AO144+$C$11*AP144+$D$11*BA144</f>
        <v>300.00053333333301</v>
      </c>
      <c r="U144">
        <f t="shared" ref="U144:U207" si="35">T144*V144</f>
        <v>252.90037771987184</v>
      </c>
      <c r="V144">
        <f t="shared" ref="V144:V207" si="36">($B$11*$D$9+$C$11*$D$9+$D$11*(BB144*$E$9+BC144*$F$9+BD144*$G$9+BE144*$H$9))/($B$11+$C$11+$D$11)</f>
        <v>0.84299976039999969</v>
      </c>
      <c r="W144">
        <f t="shared" ref="W144:W207" si="37">($B$11*$L$9+$C$11*$L$9+$D$11*(BB144*$M$9+BC144*$N$9+BD144*$O$9+BE144*$P$9))/($B$11+$C$11+$D$11)</f>
        <v>0.15869929706399996</v>
      </c>
      <c r="X144">
        <v>1</v>
      </c>
      <c r="Y144">
        <v>1769185296.03333</v>
      </c>
      <c r="Z144">
        <v>409.76453333333302</v>
      </c>
      <c r="AA144">
        <v>409.99360000000001</v>
      </c>
      <c r="AB144">
        <v>15.341846666666701</v>
      </c>
      <c r="AC144">
        <v>14.759826666666701</v>
      </c>
      <c r="AD144">
        <v>410.772533333333</v>
      </c>
      <c r="AE144">
        <v>15.235300000000001</v>
      </c>
      <c r="AF144">
        <v>800.00620000000004</v>
      </c>
      <c r="AG144">
        <v>100.118733333333</v>
      </c>
      <c r="AH144">
        <v>6.5625026666666697E-2</v>
      </c>
      <c r="AI144">
        <v>19.001860000000001</v>
      </c>
      <c r="AJ144">
        <v>999.9</v>
      </c>
      <c r="AK144">
        <v>999.9</v>
      </c>
      <c r="AL144">
        <v>0</v>
      </c>
      <c r="AM144">
        <v>0</v>
      </c>
      <c r="AN144">
        <v>4998</v>
      </c>
      <c r="AO144">
        <v>0</v>
      </c>
      <c r="AP144">
        <v>2.0341320000000001</v>
      </c>
      <c r="AQ144">
        <v>-0.229022066666667</v>
      </c>
      <c r="AR144">
        <v>416.149133333333</v>
      </c>
      <c r="AS144">
        <v>416.13580000000002</v>
      </c>
      <c r="AT144">
        <v>0.58201493333333298</v>
      </c>
      <c r="AU144">
        <v>409.99360000000001</v>
      </c>
      <c r="AV144">
        <v>14.759826666666701</v>
      </c>
      <c r="AW144">
        <v>1.5360053333333299</v>
      </c>
      <c r="AX144">
        <v>1.4777353333333301</v>
      </c>
      <c r="AY144">
        <v>13.331353333333301</v>
      </c>
      <c r="AZ144">
        <v>12.7397066666667</v>
      </c>
      <c r="BA144">
        <v>300.00053333333301</v>
      </c>
      <c r="BB144">
        <v>0.900009533333333</v>
      </c>
      <c r="BC144">
        <v>0</v>
      </c>
      <c r="BD144">
        <v>9.9990519999999999E-2</v>
      </c>
      <c r="BE144">
        <v>0</v>
      </c>
      <c r="BF144">
        <v>25</v>
      </c>
      <c r="BG144">
        <v>4946.6593333333303</v>
      </c>
      <c r="BH144">
        <v>1769184857.0999999</v>
      </c>
      <c r="BI144" t="s">
        <v>509</v>
      </c>
      <c r="BJ144">
        <v>1769184855.0999999</v>
      </c>
      <c r="BK144">
        <v>1769184857.0999999</v>
      </c>
      <c r="BL144">
        <v>4</v>
      </c>
      <c r="BM144">
        <v>3.7999999999999999E-2</v>
      </c>
      <c r="BN144">
        <v>4.0000000000000001E-3</v>
      </c>
      <c r="BO144">
        <v>-1.008</v>
      </c>
      <c r="BP144">
        <v>0.107</v>
      </c>
      <c r="BQ144">
        <v>410</v>
      </c>
      <c r="BR144">
        <v>15</v>
      </c>
      <c r="BS144">
        <v>0.25</v>
      </c>
      <c r="BT144">
        <v>7.0000000000000007E-2</v>
      </c>
      <c r="BU144">
        <v>-0.23448925000000001</v>
      </c>
      <c r="BV144">
        <v>2.2843714285714498E-2</v>
      </c>
      <c r="BW144">
        <v>2.9935200642178798E-2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0.58164674999999999</v>
      </c>
      <c r="CD144">
        <v>1.8237248120300399E-2</v>
      </c>
      <c r="CE144">
        <v>3.73518359488526E-3</v>
      </c>
      <c r="CF144">
        <v>1</v>
      </c>
      <c r="CG144">
        <v>2</v>
      </c>
      <c r="CH144">
        <v>2</v>
      </c>
      <c r="CI144" t="s">
        <v>310</v>
      </c>
      <c r="CJ144">
        <v>3.5324599999999999</v>
      </c>
      <c r="CK144">
        <v>2.7034400000000001</v>
      </c>
      <c r="CL144">
        <v>9.7988099999999995E-2</v>
      </c>
      <c r="CM144">
        <v>9.6644599999999997E-2</v>
      </c>
      <c r="CN144">
        <v>8.6848900000000007E-2</v>
      </c>
      <c r="CO144">
        <v>8.3542500000000006E-2</v>
      </c>
      <c r="CP144">
        <v>31627.9</v>
      </c>
      <c r="CQ144">
        <v>27767.9</v>
      </c>
      <c r="CR144">
        <v>32452.3</v>
      </c>
      <c r="CS144">
        <v>30665.200000000001</v>
      </c>
      <c r="CT144">
        <v>40121.599999999999</v>
      </c>
      <c r="CU144">
        <v>39510.199999999997</v>
      </c>
      <c r="CV144">
        <v>47388</v>
      </c>
      <c r="CW144">
        <v>46756.2</v>
      </c>
      <c r="CX144">
        <v>2.6247199999999999</v>
      </c>
      <c r="CY144">
        <v>2.13802</v>
      </c>
      <c r="CZ144">
        <v>0</v>
      </c>
      <c r="DA144">
        <v>0</v>
      </c>
      <c r="DB144">
        <v>999.9</v>
      </c>
      <c r="DC144">
        <v>999.9</v>
      </c>
      <c r="DD144">
        <v>61.701999999999998</v>
      </c>
      <c r="DE144">
        <v>26.062000000000001</v>
      </c>
      <c r="DF144">
        <v>20.871200000000002</v>
      </c>
      <c r="DG144">
        <v>30.530200000000001</v>
      </c>
      <c r="DH144">
        <v>17.784500000000001</v>
      </c>
      <c r="DI144">
        <v>2</v>
      </c>
      <c r="DJ144">
        <v>-0.12825600000000001</v>
      </c>
      <c r="DK144">
        <v>2.0716800000000002</v>
      </c>
      <c r="DL144">
        <v>20.224599999999999</v>
      </c>
      <c r="DM144">
        <v>5.2516699999999998</v>
      </c>
      <c r="DN144">
        <v>12.033899999999999</v>
      </c>
      <c r="DO144">
        <v>4.9671599999999998</v>
      </c>
      <c r="DP144">
        <v>3.2909999999999999</v>
      </c>
      <c r="DQ144">
        <v>9999</v>
      </c>
      <c r="DR144">
        <v>9999</v>
      </c>
      <c r="DS144">
        <v>534.6</v>
      </c>
      <c r="DT144">
        <v>9999</v>
      </c>
      <c r="DU144">
        <v>1.87103</v>
      </c>
      <c r="DV144">
        <v>1.8760699999999999</v>
      </c>
      <c r="DW144">
        <v>1.8762700000000001</v>
      </c>
      <c r="DX144">
        <v>1.8827799999999999</v>
      </c>
      <c r="DY144">
        <v>1.87557</v>
      </c>
      <c r="DZ144">
        <v>1.8746100000000001</v>
      </c>
      <c r="EA144">
        <v>1.8707400000000001</v>
      </c>
      <c r="EB144">
        <v>1.87462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-1.008</v>
      </c>
      <c r="EQ144">
        <v>0.1066</v>
      </c>
      <c r="ER144">
        <v>-1.00799999999998</v>
      </c>
      <c r="ES144">
        <v>0</v>
      </c>
      <c r="ET144">
        <v>0</v>
      </c>
      <c r="EU144">
        <v>0</v>
      </c>
      <c r="EV144">
        <v>0.106540000000001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7.5</v>
      </c>
      <c r="FE144">
        <v>7.5</v>
      </c>
      <c r="FF144">
        <v>1.2377899999999999</v>
      </c>
      <c r="FG144">
        <v>2.5647000000000002</v>
      </c>
      <c r="FH144">
        <v>2.19604</v>
      </c>
      <c r="FI144">
        <v>2.66235</v>
      </c>
      <c r="FJ144">
        <v>2.4462899999999999</v>
      </c>
      <c r="FK144">
        <v>2.3083499999999999</v>
      </c>
      <c r="FL144">
        <v>31.106999999999999</v>
      </c>
      <c r="FM144">
        <v>24.157499999999999</v>
      </c>
      <c r="FN144">
        <v>19</v>
      </c>
      <c r="FO144">
        <v>864.851</v>
      </c>
      <c r="FP144">
        <v>580.87</v>
      </c>
      <c r="FQ144">
        <v>18.298500000000001</v>
      </c>
      <c r="FR144">
        <v>25.372499999999999</v>
      </c>
      <c r="FS144">
        <v>30.0002</v>
      </c>
      <c r="FT144">
        <v>25.3626</v>
      </c>
      <c r="FU144">
        <v>25.3642</v>
      </c>
      <c r="FV144">
        <v>24.839099999999998</v>
      </c>
      <c r="FW144">
        <v>31.817900000000002</v>
      </c>
      <c r="FX144">
        <v>11.189</v>
      </c>
      <c r="FY144">
        <v>18.296299999999999</v>
      </c>
      <c r="FZ144">
        <v>410</v>
      </c>
      <c r="GA144">
        <v>14.813700000000001</v>
      </c>
      <c r="GB144">
        <v>99.858199999999997</v>
      </c>
      <c r="GC144">
        <v>99.541799999999995</v>
      </c>
    </row>
    <row r="145" spans="1:185" x14ac:dyDescent="0.2">
      <c r="A145">
        <v>130</v>
      </c>
      <c r="B145">
        <v>1769185319.0999999</v>
      </c>
      <c r="C145">
        <v>2456.0999999046298</v>
      </c>
      <c r="D145" t="s">
        <v>556</v>
      </c>
      <c r="E145" t="s">
        <v>557</v>
      </c>
      <c r="F145">
        <v>15</v>
      </c>
      <c r="G145">
        <v>1769185311.03333</v>
      </c>
      <c r="H145">
        <f t="shared" si="26"/>
        <v>4.7329582951571001E-4</v>
      </c>
      <c r="I145">
        <v>0</v>
      </c>
      <c r="J145">
        <f t="shared" ref="J145:J208" si="38">K145*(0.0003137/0.0082157)</f>
        <v>-1.8186232282909137E-4</v>
      </c>
      <c r="K145">
        <f t="shared" si="27"/>
        <v>-4.762914522368396E-3</v>
      </c>
      <c r="L145">
        <f t="shared" si="28"/>
        <v>69.649276272552598</v>
      </c>
      <c r="M145">
        <f t="shared" si="29"/>
        <v>1.5362878040751302</v>
      </c>
      <c r="N145">
        <f t="shared" si="30"/>
        <v>2.205748410167689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26243.026690986564</v>
      </c>
      <c r="T145">
        <f t="shared" si="34"/>
        <v>300.00046666666702</v>
      </c>
      <c r="U145">
        <f t="shared" si="35"/>
        <v>252.90039195999813</v>
      </c>
      <c r="V145">
        <f t="shared" si="36"/>
        <v>0.84299999520000024</v>
      </c>
      <c r="W145">
        <f t="shared" si="37"/>
        <v>0.15869980611200005</v>
      </c>
      <c r="X145">
        <v>1</v>
      </c>
      <c r="Y145">
        <v>1769185311.03333</v>
      </c>
      <c r="Z145">
        <v>409.75746666666703</v>
      </c>
      <c r="AA145">
        <v>409.99393333333302</v>
      </c>
      <c r="AB145">
        <v>15.3347533333333</v>
      </c>
      <c r="AC145">
        <v>14.7522066666667</v>
      </c>
      <c r="AD145">
        <v>410.76546666666701</v>
      </c>
      <c r="AE145">
        <v>15.228206666666701</v>
      </c>
      <c r="AF145">
        <v>800.00106666666704</v>
      </c>
      <c r="AG145">
        <v>100.117866666667</v>
      </c>
      <c r="AH145">
        <v>6.5538353333333299E-2</v>
      </c>
      <c r="AI145">
        <v>19.0041266666667</v>
      </c>
      <c r="AJ145">
        <v>999.9</v>
      </c>
      <c r="AK145">
        <v>999.9</v>
      </c>
      <c r="AL145">
        <v>0</v>
      </c>
      <c r="AM145">
        <v>0</v>
      </c>
      <c r="AN145">
        <v>4998.3999999999996</v>
      </c>
      <c r="AO145">
        <v>0</v>
      </c>
      <c r="AP145">
        <v>2.0325500000000001</v>
      </c>
      <c r="AQ145">
        <v>-0.23630979999999999</v>
      </c>
      <c r="AR145">
        <v>416.13886666666701</v>
      </c>
      <c r="AS145">
        <v>416.13286666666698</v>
      </c>
      <c r="AT145">
        <v>0.58254413333333299</v>
      </c>
      <c r="AU145">
        <v>409.99393333333302</v>
      </c>
      <c r="AV145">
        <v>14.7522066666667</v>
      </c>
      <c r="AW145">
        <v>1.53528</v>
      </c>
      <c r="AX145">
        <v>1.4769573333333299</v>
      </c>
      <c r="AY145">
        <v>13.324113333333299</v>
      </c>
      <c r="AZ145">
        <v>12.7316866666667</v>
      </c>
      <c r="BA145">
        <v>300.00046666666702</v>
      </c>
      <c r="BB145">
        <v>0.90000286666666696</v>
      </c>
      <c r="BC145">
        <v>0</v>
      </c>
      <c r="BD145">
        <v>9.9997226666666703E-2</v>
      </c>
      <c r="BE145">
        <v>0</v>
      </c>
      <c r="BF145">
        <v>25</v>
      </c>
      <c r="BG145">
        <v>4946.6473333333297</v>
      </c>
      <c r="BH145">
        <v>1769184857.0999999</v>
      </c>
      <c r="BI145" t="s">
        <v>509</v>
      </c>
      <c r="BJ145">
        <v>1769184855.0999999</v>
      </c>
      <c r="BK145">
        <v>1769184857.0999999</v>
      </c>
      <c r="BL145">
        <v>4</v>
      </c>
      <c r="BM145">
        <v>3.7999999999999999E-2</v>
      </c>
      <c r="BN145">
        <v>4.0000000000000001E-3</v>
      </c>
      <c r="BO145">
        <v>-1.008</v>
      </c>
      <c r="BP145">
        <v>0.107</v>
      </c>
      <c r="BQ145">
        <v>410</v>
      </c>
      <c r="BR145">
        <v>15</v>
      </c>
      <c r="BS145">
        <v>0.25</v>
      </c>
      <c r="BT145">
        <v>7.0000000000000007E-2</v>
      </c>
      <c r="BU145">
        <v>-0.24168085</v>
      </c>
      <c r="BV145">
        <v>2.2095924812030501E-2</v>
      </c>
      <c r="BW145">
        <v>2.3001379961374101E-2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0.58367254999999996</v>
      </c>
      <c r="CD145">
        <v>-3.1817639097744703E-2</v>
      </c>
      <c r="CE145">
        <v>4.42639952416182E-3</v>
      </c>
      <c r="CF145">
        <v>1</v>
      </c>
      <c r="CG145">
        <v>2</v>
      </c>
      <c r="CH145">
        <v>2</v>
      </c>
      <c r="CI145" t="s">
        <v>310</v>
      </c>
      <c r="CJ145">
        <v>3.5325299999999999</v>
      </c>
      <c r="CK145">
        <v>2.7035399999999998</v>
      </c>
      <c r="CL145">
        <v>9.7986799999999999E-2</v>
      </c>
      <c r="CM145">
        <v>9.6653199999999995E-2</v>
      </c>
      <c r="CN145">
        <v>8.6794200000000002E-2</v>
      </c>
      <c r="CO145">
        <v>8.3586900000000006E-2</v>
      </c>
      <c r="CP145">
        <v>31627.5</v>
      </c>
      <c r="CQ145">
        <v>27767.4</v>
      </c>
      <c r="CR145">
        <v>32451.9</v>
      </c>
      <c r="CS145">
        <v>30664.9</v>
      </c>
      <c r="CT145">
        <v>40123.699999999997</v>
      </c>
      <c r="CU145">
        <v>39507.699999999997</v>
      </c>
      <c r="CV145">
        <v>47387.5</v>
      </c>
      <c r="CW145">
        <v>46755.7</v>
      </c>
      <c r="CX145">
        <v>2.6244800000000001</v>
      </c>
      <c r="CY145">
        <v>2.1379199999999998</v>
      </c>
      <c r="CZ145">
        <v>0</v>
      </c>
      <c r="DA145">
        <v>0</v>
      </c>
      <c r="DB145">
        <v>999.9</v>
      </c>
      <c r="DC145">
        <v>999.9</v>
      </c>
      <c r="DD145">
        <v>61.603999999999999</v>
      </c>
      <c r="DE145">
        <v>26.093</v>
      </c>
      <c r="DF145">
        <v>20.877199999999998</v>
      </c>
      <c r="DG145">
        <v>30.5002</v>
      </c>
      <c r="DH145">
        <v>17.708300000000001</v>
      </c>
      <c r="DI145">
        <v>2</v>
      </c>
      <c r="DJ145">
        <v>-0.12800600000000001</v>
      </c>
      <c r="DK145">
        <v>2.1005500000000001</v>
      </c>
      <c r="DL145">
        <v>20.2242</v>
      </c>
      <c r="DM145">
        <v>5.2510700000000003</v>
      </c>
      <c r="DN145">
        <v>12.033899999999999</v>
      </c>
      <c r="DO145">
        <v>4.9673600000000002</v>
      </c>
      <c r="DP145">
        <v>3.2909999999999999</v>
      </c>
      <c r="DQ145">
        <v>9999</v>
      </c>
      <c r="DR145">
        <v>9999</v>
      </c>
      <c r="DS145">
        <v>534.6</v>
      </c>
      <c r="DT145">
        <v>9999</v>
      </c>
      <c r="DU145">
        <v>1.87103</v>
      </c>
      <c r="DV145">
        <v>1.8760699999999999</v>
      </c>
      <c r="DW145">
        <v>1.8762700000000001</v>
      </c>
      <c r="DX145">
        <v>1.8827799999999999</v>
      </c>
      <c r="DY145">
        <v>1.8755900000000001</v>
      </c>
      <c r="DZ145">
        <v>1.8746400000000001</v>
      </c>
      <c r="EA145">
        <v>1.8707400000000001</v>
      </c>
      <c r="EB145">
        <v>1.8746499999999999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-1.008</v>
      </c>
      <c r="EQ145">
        <v>0.1065</v>
      </c>
      <c r="ER145">
        <v>-1.00799999999998</v>
      </c>
      <c r="ES145">
        <v>0</v>
      </c>
      <c r="ET145">
        <v>0</v>
      </c>
      <c r="EU145">
        <v>0</v>
      </c>
      <c r="EV145">
        <v>0.106540000000001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7.7</v>
      </c>
      <c r="FE145">
        <v>7.7</v>
      </c>
      <c r="FF145">
        <v>1.2377899999999999</v>
      </c>
      <c r="FG145">
        <v>2.5622600000000002</v>
      </c>
      <c r="FH145">
        <v>2.19604</v>
      </c>
      <c r="FI145">
        <v>2.66113</v>
      </c>
      <c r="FJ145">
        <v>2.4462899999999999</v>
      </c>
      <c r="FK145">
        <v>2.2558600000000002</v>
      </c>
      <c r="FL145">
        <v>31.106999999999999</v>
      </c>
      <c r="FM145">
        <v>24.148800000000001</v>
      </c>
      <c r="FN145">
        <v>19</v>
      </c>
      <c r="FO145">
        <v>864.66899999999998</v>
      </c>
      <c r="FP145">
        <v>580.81700000000001</v>
      </c>
      <c r="FQ145">
        <v>18.29</v>
      </c>
      <c r="FR145">
        <v>25.374700000000001</v>
      </c>
      <c r="FS145">
        <v>30.0001</v>
      </c>
      <c r="FT145">
        <v>25.365100000000002</v>
      </c>
      <c r="FU145">
        <v>25.366299999999999</v>
      </c>
      <c r="FV145">
        <v>24.838799999999999</v>
      </c>
      <c r="FW145">
        <v>31.547599999999999</v>
      </c>
      <c r="FX145">
        <v>10.8149</v>
      </c>
      <c r="FY145">
        <v>18.2852</v>
      </c>
      <c r="FZ145">
        <v>410</v>
      </c>
      <c r="GA145">
        <v>14.8256</v>
      </c>
      <c r="GB145">
        <v>99.857200000000006</v>
      </c>
      <c r="GC145">
        <v>99.540700000000001</v>
      </c>
    </row>
    <row r="146" spans="1:185" x14ac:dyDescent="0.2">
      <c r="A146">
        <v>131</v>
      </c>
      <c r="B146">
        <v>1769185334.0999999</v>
      </c>
      <c r="C146">
        <v>2471.0999999046298</v>
      </c>
      <c r="D146" t="s">
        <v>558</v>
      </c>
      <c r="E146" t="s">
        <v>559</v>
      </c>
      <c r="F146">
        <v>15</v>
      </c>
      <c r="G146">
        <v>1769185326.03333</v>
      </c>
      <c r="H146">
        <f t="shared" si="26"/>
        <v>4.5546162635818092E-4</v>
      </c>
      <c r="I146">
        <v>0</v>
      </c>
      <c r="J146">
        <f t="shared" si="38"/>
        <v>1.0832314759684711E-3</v>
      </c>
      <c r="K146">
        <f t="shared" si="27"/>
        <v>2.8369476688282332E-2</v>
      </c>
      <c r="L146">
        <f t="shared" si="28"/>
        <v>69.646447103802458</v>
      </c>
      <c r="M146">
        <f t="shared" si="29"/>
        <v>1.5362260388088314</v>
      </c>
      <c r="N146">
        <f t="shared" si="30"/>
        <v>2.2057493277714646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26260.057937195157</v>
      </c>
      <c r="T146">
        <f t="shared" si="34"/>
        <v>299.9982</v>
      </c>
      <c r="U146">
        <f t="shared" si="35"/>
        <v>252.89841708039313</v>
      </c>
      <c r="V146">
        <f t="shared" si="36"/>
        <v>0.8429997816</v>
      </c>
      <c r="W146">
        <f t="shared" si="37"/>
        <v>0.158699687856</v>
      </c>
      <c r="X146">
        <v>1</v>
      </c>
      <c r="Y146">
        <v>1769185326.03333</v>
      </c>
      <c r="Z146">
        <v>409.73500000000001</v>
      </c>
      <c r="AA146">
        <v>410.003733333333</v>
      </c>
      <c r="AB146">
        <v>15.334073333333301</v>
      </c>
      <c r="AC146">
        <v>14.773479999999999</v>
      </c>
      <c r="AD146">
        <v>410.74299999999999</v>
      </c>
      <c r="AE146">
        <v>15.227539999999999</v>
      </c>
      <c r="AF146">
        <v>800.00513333333299</v>
      </c>
      <c r="AG146">
        <v>100.11799999999999</v>
      </c>
      <c r="AH146">
        <v>6.5819746666666706E-2</v>
      </c>
      <c r="AI146">
        <v>19.0041333333333</v>
      </c>
      <c r="AJ146">
        <v>999.9</v>
      </c>
      <c r="AK146">
        <v>999.9</v>
      </c>
      <c r="AL146">
        <v>0</v>
      </c>
      <c r="AM146">
        <v>0</v>
      </c>
      <c r="AN146">
        <v>5001.2</v>
      </c>
      <c r="AO146">
        <v>0</v>
      </c>
      <c r="AP146">
        <v>2.0325500000000001</v>
      </c>
      <c r="AQ146">
        <v>-0.26873160000000001</v>
      </c>
      <c r="AR146">
        <v>416.11579999999998</v>
      </c>
      <c r="AS146">
        <v>416.15166666666698</v>
      </c>
      <c r="AT146">
        <v>0.56059579999999998</v>
      </c>
      <c r="AU146">
        <v>410.003733333333</v>
      </c>
      <c r="AV146">
        <v>14.773479999999999</v>
      </c>
      <c r="AW146">
        <v>1.535218</v>
      </c>
      <c r="AX146">
        <v>1.4790920000000001</v>
      </c>
      <c r="AY146">
        <v>13.323499999999999</v>
      </c>
      <c r="AZ146">
        <v>12.753726666666701</v>
      </c>
      <c r="BA146">
        <v>299.9982</v>
      </c>
      <c r="BB146">
        <v>0.90000380000000002</v>
      </c>
      <c r="BC146">
        <v>0</v>
      </c>
      <c r="BD146">
        <v>9.9996080000000001E-2</v>
      </c>
      <c r="BE146">
        <v>0</v>
      </c>
      <c r="BF146">
        <v>25</v>
      </c>
      <c r="BG146">
        <v>4946.6080000000002</v>
      </c>
      <c r="BH146">
        <v>1769184857.0999999</v>
      </c>
      <c r="BI146" t="s">
        <v>509</v>
      </c>
      <c r="BJ146">
        <v>1769184855.0999999</v>
      </c>
      <c r="BK146">
        <v>1769184857.0999999</v>
      </c>
      <c r="BL146">
        <v>4</v>
      </c>
      <c r="BM146">
        <v>3.7999999999999999E-2</v>
      </c>
      <c r="BN146">
        <v>4.0000000000000001E-3</v>
      </c>
      <c r="BO146">
        <v>-1.008</v>
      </c>
      <c r="BP146">
        <v>0.107</v>
      </c>
      <c r="BQ146">
        <v>410</v>
      </c>
      <c r="BR146">
        <v>15</v>
      </c>
      <c r="BS146">
        <v>0.25</v>
      </c>
      <c r="BT146">
        <v>7.0000000000000007E-2</v>
      </c>
      <c r="BU146">
        <v>-0.26450309523809501</v>
      </c>
      <c r="BV146">
        <v>-9.5509012987013003E-2</v>
      </c>
      <c r="BW146">
        <v>3.06753608414446E-2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0.56600890476190502</v>
      </c>
      <c r="CD146">
        <v>-6.1716701298701299E-2</v>
      </c>
      <c r="CE146">
        <v>1.02984667925203E-2</v>
      </c>
      <c r="CF146">
        <v>1</v>
      </c>
      <c r="CG146">
        <v>2</v>
      </c>
      <c r="CH146">
        <v>2</v>
      </c>
      <c r="CI146" t="s">
        <v>310</v>
      </c>
      <c r="CJ146">
        <v>3.5325000000000002</v>
      </c>
      <c r="CK146">
        <v>2.7034199999999999</v>
      </c>
      <c r="CL146">
        <v>9.7979800000000006E-2</v>
      </c>
      <c r="CM146">
        <v>9.6643699999999999E-2</v>
      </c>
      <c r="CN146">
        <v>8.6828600000000006E-2</v>
      </c>
      <c r="CO146">
        <v>8.3606E-2</v>
      </c>
      <c r="CP146">
        <v>31627.7</v>
      </c>
      <c r="CQ146">
        <v>27767.8</v>
      </c>
      <c r="CR146">
        <v>32451.8</v>
      </c>
      <c r="CS146">
        <v>30665.1</v>
      </c>
      <c r="CT146">
        <v>40122</v>
      </c>
      <c r="CU146">
        <v>39507.199999999997</v>
      </c>
      <c r="CV146">
        <v>47387.4</v>
      </c>
      <c r="CW146">
        <v>46756</v>
      </c>
      <c r="CX146">
        <v>2.6243799999999999</v>
      </c>
      <c r="CY146">
        <v>2.1375999999999999</v>
      </c>
      <c r="CZ146">
        <v>0</v>
      </c>
      <c r="DA146">
        <v>0</v>
      </c>
      <c r="DB146">
        <v>999.9</v>
      </c>
      <c r="DC146">
        <v>999.9</v>
      </c>
      <c r="DD146">
        <v>61.506999999999998</v>
      </c>
      <c r="DE146">
        <v>26.113</v>
      </c>
      <c r="DF146">
        <v>20.868099999999998</v>
      </c>
      <c r="DG146">
        <v>30.3202</v>
      </c>
      <c r="DH146">
        <v>17.740400000000001</v>
      </c>
      <c r="DI146">
        <v>2</v>
      </c>
      <c r="DJ146">
        <v>-0.12778300000000001</v>
      </c>
      <c r="DK146">
        <v>2.1202399999999999</v>
      </c>
      <c r="DL146">
        <v>20.224</v>
      </c>
      <c r="DM146">
        <v>5.2510700000000003</v>
      </c>
      <c r="DN146">
        <v>12.033899999999999</v>
      </c>
      <c r="DO146">
        <v>4.9672799999999997</v>
      </c>
      <c r="DP146">
        <v>3.2909999999999999</v>
      </c>
      <c r="DQ146">
        <v>9999</v>
      </c>
      <c r="DR146">
        <v>9999</v>
      </c>
      <c r="DS146">
        <v>534.70000000000005</v>
      </c>
      <c r="DT146">
        <v>9999</v>
      </c>
      <c r="DU146">
        <v>1.87104</v>
      </c>
      <c r="DV146">
        <v>1.87609</v>
      </c>
      <c r="DW146">
        <v>1.87632</v>
      </c>
      <c r="DX146">
        <v>1.8827799999999999</v>
      </c>
      <c r="DY146">
        <v>1.87561</v>
      </c>
      <c r="DZ146">
        <v>1.8746499999999999</v>
      </c>
      <c r="EA146">
        <v>1.87076</v>
      </c>
      <c r="EB146">
        <v>1.8746700000000001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-1.008</v>
      </c>
      <c r="EQ146">
        <v>0.1065</v>
      </c>
      <c r="ER146">
        <v>-1.00799999999998</v>
      </c>
      <c r="ES146">
        <v>0</v>
      </c>
      <c r="ET146">
        <v>0</v>
      </c>
      <c r="EU146">
        <v>0</v>
      </c>
      <c r="EV146">
        <v>0.106540000000001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8</v>
      </c>
      <c r="FE146">
        <v>8</v>
      </c>
      <c r="FF146">
        <v>1.2377899999999999</v>
      </c>
      <c r="FG146">
        <v>2.5671400000000002</v>
      </c>
      <c r="FH146">
        <v>2.19604</v>
      </c>
      <c r="FI146">
        <v>2.66113</v>
      </c>
      <c r="FJ146">
        <v>2.4462899999999999</v>
      </c>
      <c r="FK146">
        <v>2.2814899999999998</v>
      </c>
      <c r="FL146">
        <v>31.106999999999999</v>
      </c>
      <c r="FM146">
        <v>24.157499999999999</v>
      </c>
      <c r="FN146">
        <v>19</v>
      </c>
      <c r="FO146">
        <v>864.61</v>
      </c>
      <c r="FP146">
        <v>580.60699999999997</v>
      </c>
      <c r="FQ146">
        <v>18.275400000000001</v>
      </c>
      <c r="FR146">
        <v>25.376799999999999</v>
      </c>
      <c r="FS146">
        <v>30.0002</v>
      </c>
      <c r="FT146">
        <v>25.3673</v>
      </c>
      <c r="FU146">
        <v>25.369599999999998</v>
      </c>
      <c r="FV146">
        <v>24.84</v>
      </c>
      <c r="FW146">
        <v>31.547599999999999</v>
      </c>
      <c r="FX146">
        <v>10.443099999999999</v>
      </c>
      <c r="FY146">
        <v>18.272099999999998</v>
      </c>
      <c r="FZ146">
        <v>410</v>
      </c>
      <c r="GA146">
        <v>14.8268</v>
      </c>
      <c r="GB146">
        <v>99.856800000000007</v>
      </c>
      <c r="GC146">
        <v>99.541399999999996</v>
      </c>
    </row>
    <row r="147" spans="1:185" x14ac:dyDescent="0.2">
      <c r="A147">
        <v>132</v>
      </c>
      <c r="B147">
        <v>1769185349.0999999</v>
      </c>
      <c r="C147">
        <v>2486.0999999046298</v>
      </c>
      <c r="D147" t="s">
        <v>560</v>
      </c>
      <c r="E147" t="s">
        <v>561</v>
      </c>
      <c r="F147">
        <v>15</v>
      </c>
      <c r="G147">
        <v>1769185341.03333</v>
      </c>
      <c r="H147">
        <f t="shared" si="26"/>
        <v>4.6042563484254652E-4</v>
      </c>
      <c r="I147">
        <v>0</v>
      </c>
      <c r="J147">
        <f t="shared" si="38"/>
        <v>1.2890075404045015E-3</v>
      </c>
      <c r="K147">
        <f t="shared" si="27"/>
        <v>3.3758684251518206E-2</v>
      </c>
      <c r="L147">
        <f t="shared" si="28"/>
        <v>69.654749971867446</v>
      </c>
      <c r="M147">
        <f t="shared" si="29"/>
        <v>1.5363893655804777</v>
      </c>
      <c r="N147">
        <f t="shared" si="30"/>
        <v>2.2057208822097607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26319.375713371013</v>
      </c>
      <c r="T147">
        <f t="shared" si="34"/>
        <v>300.0018</v>
      </c>
      <c r="U147">
        <f t="shared" si="35"/>
        <v>252.90143429950149</v>
      </c>
      <c r="V147">
        <f t="shared" si="36"/>
        <v>0.84299972300000026</v>
      </c>
      <c r="W147">
        <f t="shared" si="37"/>
        <v>0.15869937246000007</v>
      </c>
      <c r="X147">
        <v>1</v>
      </c>
      <c r="Y147">
        <v>1769185341.03333</v>
      </c>
      <c r="Z147">
        <v>409.71586666666701</v>
      </c>
      <c r="AA147">
        <v>409.99386666666697</v>
      </c>
      <c r="AB147">
        <v>15.335373333333299</v>
      </c>
      <c r="AC147">
        <v>14.7686733333333</v>
      </c>
      <c r="AD147">
        <v>410.72386666666699</v>
      </c>
      <c r="AE147">
        <v>15.2288466666667</v>
      </c>
      <c r="AF147">
        <v>800.00853333333305</v>
      </c>
      <c r="AG147">
        <v>100.1204</v>
      </c>
      <c r="AH147">
        <v>6.5577360000000001E-2</v>
      </c>
      <c r="AI147">
        <v>19.0039266666667</v>
      </c>
      <c r="AJ147">
        <v>999.9</v>
      </c>
      <c r="AK147">
        <v>999.9</v>
      </c>
      <c r="AL147">
        <v>0</v>
      </c>
      <c r="AM147">
        <v>0</v>
      </c>
      <c r="AN147">
        <v>5010.8666666666704</v>
      </c>
      <c r="AO147">
        <v>0</v>
      </c>
      <c r="AP147">
        <v>2.0363166666666701</v>
      </c>
      <c r="AQ147">
        <v>-0.278068066666667</v>
      </c>
      <c r="AR147">
        <v>416.09673333333302</v>
      </c>
      <c r="AS147">
        <v>416.13966666666698</v>
      </c>
      <c r="AT147">
        <v>0.56669586666666705</v>
      </c>
      <c r="AU147">
        <v>409.99386666666697</v>
      </c>
      <c r="AV147">
        <v>14.7686733333333</v>
      </c>
      <c r="AW147">
        <v>1.53538466666667</v>
      </c>
      <c r="AX147">
        <v>1.47864666666667</v>
      </c>
      <c r="AY147">
        <v>13.3251666666667</v>
      </c>
      <c r="AZ147">
        <v>12.749126666666699</v>
      </c>
      <c r="BA147">
        <v>300.0018</v>
      </c>
      <c r="BB147">
        <v>0.900008266666667</v>
      </c>
      <c r="BC147">
        <v>0</v>
      </c>
      <c r="BD147">
        <v>9.9991700000000003E-2</v>
      </c>
      <c r="BE147">
        <v>0</v>
      </c>
      <c r="BF147">
        <v>25</v>
      </c>
      <c r="BG147">
        <v>4946.6746666666704</v>
      </c>
      <c r="BH147">
        <v>1769184857.0999999</v>
      </c>
      <c r="BI147" t="s">
        <v>509</v>
      </c>
      <c r="BJ147">
        <v>1769184855.0999999</v>
      </c>
      <c r="BK147">
        <v>1769184857.0999999</v>
      </c>
      <c r="BL147">
        <v>4</v>
      </c>
      <c r="BM147">
        <v>3.7999999999999999E-2</v>
      </c>
      <c r="BN147">
        <v>4.0000000000000001E-3</v>
      </c>
      <c r="BO147">
        <v>-1.008</v>
      </c>
      <c r="BP147">
        <v>0.107</v>
      </c>
      <c r="BQ147">
        <v>410</v>
      </c>
      <c r="BR147">
        <v>15</v>
      </c>
      <c r="BS147">
        <v>0.25</v>
      </c>
      <c r="BT147">
        <v>7.0000000000000007E-2</v>
      </c>
      <c r="BU147">
        <v>-0.28011015</v>
      </c>
      <c r="BV147">
        <v>1.30274436090224E-2</v>
      </c>
      <c r="BW147">
        <v>1.8449900756575901E-2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0.56612315000000002</v>
      </c>
      <c r="CD147">
        <v>2.0668466165412999E-2</v>
      </c>
      <c r="CE147">
        <v>2.6027195061128E-3</v>
      </c>
      <c r="CF147">
        <v>1</v>
      </c>
      <c r="CG147">
        <v>2</v>
      </c>
      <c r="CH147">
        <v>2</v>
      </c>
      <c r="CI147" t="s">
        <v>310</v>
      </c>
      <c r="CJ147">
        <v>3.5325700000000002</v>
      </c>
      <c r="CK147">
        <v>2.7032400000000001</v>
      </c>
      <c r="CL147">
        <v>9.7976499999999994E-2</v>
      </c>
      <c r="CM147">
        <v>9.6638399999999999E-2</v>
      </c>
      <c r="CN147">
        <v>8.6821599999999999E-2</v>
      </c>
      <c r="CO147">
        <v>8.3584900000000004E-2</v>
      </c>
      <c r="CP147">
        <v>31628.3</v>
      </c>
      <c r="CQ147">
        <v>27768</v>
      </c>
      <c r="CR147">
        <v>32452.3</v>
      </c>
      <c r="CS147">
        <v>30665.200000000001</v>
      </c>
      <c r="CT147">
        <v>40123.1</v>
      </c>
      <c r="CU147">
        <v>39508.699999999997</v>
      </c>
      <c r="CV147">
        <v>47388.4</v>
      </c>
      <c r="CW147">
        <v>46756.6</v>
      </c>
      <c r="CX147">
        <v>2.6245400000000001</v>
      </c>
      <c r="CY147">
        <v>2.1377000000000002</v>
      </c>
      <c r="CZ147">
        <v>0</v>
      </c>
      <c r="DA147">
        <v>0</v>
      </c>
      <c r="DB147">
        <v>999.9</v>
      </c>
      <c r="DC147">
        <v>999.9</v>
      </c>
      <c r="DD147">
        <v>61.433</v>
      </c>
      <c r="DE147">
        <v>26.113</v>
      </c>
      <c r="DF147">
        <v>20.844200000000001</v>
      </c>
      <c r="DG147">
        <v>30.170200000000001</v>
      </c>
      <c r="DH147">
        <v>17.688300000000002</v>
      </c>
      <c r="DI147">
        <v>2</v>
      </c>
      <c r="DJ147">
        <v>-0.127443</v>
      </c>
      <c r="DK147">
        <v>2.1366800000000001</v>
      </c>
      <c r="DL147">
        <v>20.223700000000001</v>
      </c>
      <c r="DM147">
        <v>5.2511900000000002</v>
      </c>
      <c r="DN147">
        <v>12.033899999999999</v>
      </c>
      <c r="DO147">
        <v>4.9674399999999999</v>
      </c>
      <c r="DP147">
        <v>3.2909999999999999</v>
      </c>
      <c r="DQ147">
        <v>9999</v>
      </c>
      <c r="DR147">
        <v>9999</v>
      </c>
      <c r="DS147">
        <v>534.70000000000005</v>
      </c>
      <c r="DT147">
        <v>9999</v>
      </c>
      <c r="DU147">
        <v>1.87103</v>
      </c>
      <c r="DV147">
        <v>1.8760699999999999</v>
      </c>
      <c r="DW147">
        <v>1.87625</v>
      </c>
      <c r="DX147">
        <v>1.8827799999999999</v>
      </c>
      <c r="DY147">
        <v>1.87558</v>
      </c>
      <c r="DZ147">
        <v>1.87459</v>
      </c>
      <c r="EA147">
        <v>1.87073</v>
      </c>
      <c r="EB147">
        <v>1.87462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-1.008</v>
      </c>
      <c r="EQ147">
        <v>0.1065</v>
      </c>
      <c r="ER147">
        <v>-1.00799999999998</v>
      </c>
      <c r="ES147">
        <v>0</v>
      </c>
      <c r="ET147">
        <v>0</v>
      </c>
      <c r="EU147">
        <v>0</v>
      </c>
      <c r="EV147">
        <v>0.106540000000001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8.1999999999999993</v>
      </c>
      <c r="FE147">
        <v>8.1999999999999993</v>
      </c>
      <c r="FF147">
        <v>1.2377899999999999</v>
      </c>
      <c r="FG147">
        <v>2.5659200000000002</v>
      </c>
      <c r="FH147">
        <v>2.19604</v>
      </c>
      <c r="FI147">
        <v>2.66113</v>
      </c>
      <c r="FJ147">
        <v>2.4462899999999999</v>
      </c>
      <c r="FK147">
        <v>2.2607400000000002</v>
      </c>
      <c r="FL147">
        <v>31.128699999999998</v>
      </c>
      <c r="FM147">
        <v>24.148800000000001</v>
      </c>
      <c r="FN147">
        <v>19</v>
      </c>
      <c r="FO147">
        <v>864.81299999999999</v>
      </c>
      <c r="FP147">
        <v>580.71799999999996</v>
      </c>
      <c r="FQ147">
        <v>18.262799999999999</v>
      </c>
      <c r="FR147">
        <v>25.378900000000002</v>
      </c>
      <c r="FS147">
        <v>30.0002</v>
      </c>
      <c r="FT147">
        <v>25.370699999999999</v>
      </c>
      <c r="FU147">
        <v>25.372599999999998</v>
      </c>
      <c r="FV147">
        <v>24.8413</v>
      </c>
      <c r="FW147">
        <v>31.273900000000001</v>
      </c>
      <c r="FX147">
        <v>10.072100000000001</v>
      </c>
      <c r="FY147">
        <v>18.260100000000001</v>
      </c>
      <c r="FZ147">
        <v>410</v>
      </c>
      <c r="GA147">
        <v>14.834099999999999</v>
      </c>
      <c r="GB147">
        <v>99.858699999999999</v>
      </c>
      <c r="GC147">
        <v>99.542299999999997</v>
      </c>
    </row>
    <row r="148" spans="1:185" x14ac:dyDescent="0.2">
      <c r="A148">
        <v>133</v>
      </c>
      <c r="B148">
        <v>1769185364.0999999</v>
      </c>
      <c r="C148">
        <v>2501.0999999046298</v>
      </c>
      <c r="D148" t="s">
        <v>562</v>
      </c>
      <c r="E148" t="s">
        <v>563</v>
      </c>
      <c r="F148">
        <v>15</v>
      </c>
      <c r="G148">
        <v>1769185356.03333</v>
      </c>
      <c r="H148">
        <f t="shared" si="26"/>
        <v>4.2815853034834401E-4</v>
      </c>
      <c r="I148">
        <v>0</v>
      </c>
      <c r="J148">
        <f t="shared" si="38"/>
        <v>1.2927097303448956E-3</v>
      </c>
      <c r="K148">
        <f t="shared" si="27"/>
        <v>3.385564339048313E-2</v>
      </c>
      <c r="L148">
        <f t="shared" si="28"/>
        <v>69.693485000981966</v>
      </c>
      <c r="M148">
        <f t="shared" si="29"/>
        <v>1.5372015455201791</v>
      </c>
      <c r="N148">
        <f t="shared" si="30"/>
        <v>2.2056603217625295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26212.285848228177</v>
      </c>
      <c r="T148">
        <f t="shared" si="34"/>
        <v>300.000333333333</v>
      </c>
      <c r="U148">
        <f t="shared" si="35"/>
        <v>252.90026149997797</v>
      </c>
      <c r="V148">
        <f t="shared" si="36"/>
        <v>0.8429999349999997</v>
      </c>
      <c r="W148">
        <f t="shared" si="37"/>
        <v>0.15869977253999995</v>
      </c>
      <c r="X148">
        <v>1</v>
      </c>
      <c r="Y148">
        <v>1769185356.03333</v>
      </c>
      <c r="Z148">
        <v>409.71786666666702</v>
      </c>
      <c r="AA148">
        <v>409.97946666666701</v>
      </c>
      <c r="AB148">
        <v>15.3436466666667</v>
      </c>
      <c r="AC148">
        <v>14.816660000000001</v>
      </c>
      <c r="AD148">
        <v>410.725866666667</v>
      </c>
      <c r="AE148">
        <v>15.2371</v>
      </c>
      <c r="AF148">
        <v>799.99940000000004</v>
      </c>
      <c r="AG148">
        <v>100.119266666667</v>
      </c>
      <c r="AH148">
        <v>6.5622813333333294E-2</v>
      </c>
      <c r="AI148">
        <v>19.003486666666699</v>
      </c>
      <c r="AJ148">
        <v>999.9</v>
      </c>
      <c r="AK148">
        <v>999.9</v>
      </c>
      <c r="AL148">
        <v>0</v>
      </c>
      <c r="AM148">
        <v>0</v>
      </c>
      <c r="AN148">
        <v>4993.2666666666701</v>
      </c>
      <c r="AO148">
        <v>0</v>
      </c>
      <c r="AP148">
        <v>2.0325500000000001</v>
      </c>
      <c r="AQ148">
        <v>-0.26151940000000001</v>
      </c>
      <c r="AR148">
        <v>416.102466666667</v>
      </c>
      <c r="AS148">
        <v>416.14533333333299</v>
      </c>
      <c r="AT148">
        <v>0.52696799999999999</v>
      </c>
      <c r="AU148">
        <v>409.97946666666701</v>
      </c>
      <c r="AV148">
        <v>14.816660000000001</v>
      </c>
      <c r="AW148">
        <v>1.5361940000000001</v>
      </c>
      <c r="AX148">
        <v>1.4834339999999999</v>
      </c>
      <c r="AY148">
        <v>13.3332466666667</v>
      </c>
      <c r="AZ148">
        <v>12.7984666666667</v>
      </c>
      <c r="BA148">
        <v>300.000333333333</v>
      </c>
      <c r="BB148">
        <v>0.90000313333333304</v>
      </c>
      <c r="BC148">
        <v>0</v>
      </c>
      <c r="BD148">
        <v>9.99969E-2</v>
      </c>
      <c r="BE148">
        <v>0</v>
      </c>
      <c r="BF148">
        <v>25</v>
      </c>
      <c r="BG148">
        <v>4946.6419999999998</v>
      </c>
      <c r="BH148">
        <v>1769184857.0999999</v>
      </c>
      <c r="BI148" t="s">
        <v>509</v>
      </c>
      <c r="BJ148">
        <v>1769184855.0999999</v>
      </c>
      <c r="BK148">
        <v>1769184857.0999999</v>
      </c>
      <c r="BL148">
        <v>4</v>
      </c>
      <c r="BM148">
        <v>3.7999999999999999E-2</v>
      </c>
      <c r="BN148">
        <v>4.0000000000000001E-3</v>
      </c>
      <c r="BO148">
        <v>-1.008</v>
      </c>
      <c r="BP148">
        <v>0.107</v>
      </c>
      <c r="BQ148">
        <v>410</v>
      </c>
      <c r="BR148">
        <v>15</v>
      </c>
      <c r="BS148">
        <v>0.25</v>
      </c>
      <c r="BT148">
        <v>7.0000000000000007E-2</v>
      </c>
      <c r="BU148">
        <v>-0.266947428571429</v>
      </c>
      <c r="BV148">
        <v>0.15471670129870099</v>
      </c>
      <c r="BW148">
        <v>2.4139238121822299E-2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0.53881909523809501</v>
      </c>
      <c r="CD148">
        <v>-0.20140574025973901</v>
      </c>
      <c r="CE148">
        <v>2.42290476453462E-2</v>
      </c>
      <c r="CF148">
        <v>0</v>
      </c>
      <c r="CG148">
        <v>1</v>
      </c>
      <c r="CH148">
        <v>2</v>
      </c>
      <c r="CI148" t="s">
        <v>301</v>
      </c>
      <c r="CJ148">
        <v>3.5325000000000002</v>
      </c>
      <c r="CK148">
        <v>2.7032699999999998</v>
      </c>
      <c r="CL148">
        <v>9.7985600000000006E-2</v>
      </c>
      <c r="CM148">
        <v>9.6636200000000005E-2</v>
      </c>
      <c r="CN148">
        <v>8.6926699999999996E-2</v>
      </c>
      <c r="CO148">
        <v>8.3839800000000006E-2</v>
      </c>
      <c r="CP148">
        <v>31628.2</v>
      </c>
      <c r="CQ148">
        <v>27768.5</v>
      </c>
      <c r="CR148">
        <v>32452.5</v>
      </c>
      <c r="CS148">
        <v>30665.599999999999</v>
      </c>
      <c r="CT148">
        <v>40118.5</v>
      </c>
      <c r="CU148">
        <v>39497.800000000003</v>
      </c>
      <c r="CV148">
        <v>47388.5</v>
      </c>
      <c r="CW148">
        <v>46757.2</v>
      </c>
      <c r="CX148">
        <v>2.6244800000000001</v>
      </c>
      <c r="CY148">
        <v>2.13748</v>
      </c>
      <c r="CZ148">
        <v>0</v>
      </c>
      <c r="DA148">
        <v>0</v>
      </c>
      <c r="DB148">
        <v>999.9</v>
      </c>
      <c r="DC148">
        <v>999.9</v>
      </c>
      <c r="DD148">
        <v>61.335999999999999</v>
      </c>
      <c r="DE148">
        <v>26.123000000000001</v>
      </c>
      <c r="DF148">
        <v>20.824100000000001</v>
      </c>
      <c r="DG148">
        <v>30.470199999999998</v>
      </c>
      <c r="DH148">
        <v>17.744399999999999</v>
      </c>
      <c r="DI148">
        <v>2</v>
      </c>
      <c r="DJ148">
        <v>-0.127467</v>
      </c>
      <c r="DK148">
        <v>2.1459199999999998</v>
      </c>
      <c r="DL148">
        <v>20.223600000000001</v>
      </c>
      <c r="DM148">
        <v>5.2516699999999998</v>
      </c>
      <c r="DN148">
        <v>12.033899999999999</v>
      </c>
      <c r="DO148">
        <v>4.9673999999999996</v>
      </c>
      <c r="DP148">
        <v>3.2909999999999999</v>
      </c>
      <c r="DQ148">
        <v>9999</v>
      </c>
      <c r="DR148">
        <v>9999</v>
      </c>
      <c r="DS148">
        <v>534.70000000000005</v>
      </c>
      <c r="DT148">
        <v>9999</v>
      </c>
      <c r="DU148">
        <v>1.87103</v>
      </c>
      <c r="DV148">
        <v>1.8760699999999999</v>
      </c>
      <c r="DW148">
        <v>1.87626</v>
      </c>
      <c r="DX148">
        <v>1.8827799999999999</v>
      </c>
      <c r="DY148">
        <v>1.87557</v>
      </c>
      <c r="DZ148">
        <v>1.8746</v>
      </c>
      <c r="EA148">
        <v>1.87073</v>
      </c>
      <c r="EB148">
        <v>1.8746400000000001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-1.008</v>
      </c>
      <c r="EQ148">
        <v>0.1065</v>
      </c>
      <c r="ER148">
        <v>-1.00799999999998</v>
      </c>
      <c r="ES148">
        <v>0</v>
      </c>
      <c r="ET148">
        <v>0</v>
      </c>
      <c r="EU148">
        <v>0</v>
      </c>
      <c r="EV148">
        <v>0.106540000000001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8.5</v>
      </c>
      <c r="FE148">
        <v>8.4</v>
      </c>
      <c r="FF148">
        <v>1.2377899999999999</v>
      </c>
      <c r="FG148">
        <v>2.5573700000000001</v>
      </c>
      <c r="FH148">
        <v>2.19604</v>
      </c>
      <c r="FI148">
        <v>2.66235</v>
      </c>
      <c r="FJ148">
        <v>2.4462899999999999</v>
      </c>
      <c r="FK148">
        <v>2.3046899999999999</v>
      </c>
      <c r="FL148">
        <v>31.128699999999998</v>
      </c>
      <c r="FM148">
        <v>24.157499999999999</v>
      </c>
      <c r="FN148">
        <v>19</v>
      </c>
      <c r="FO148">
        <v>864.80600000000004</v>
      </c>
      <c r="FP148">
        <v>580.57399999999996</v>
      </c>
      <c r="FQ148">
        <v>18.254100000000001</v>
      </c>
      <c r="FR148">
        <v>25.3811</v>
      </c>
      <c r="FS148">
        <v>30</v>
      </c>
      <c r="FT148">
        <v>25.3736</v>
      </c>
      <c r="FU148">
        <v>25.3748</v>
      </c>
      <c r="FV148">
        <v>24.8447</v>
      </c>
      <c r="FW148">
        <v>31.273900000000001</v>
      </c>
      <c r="FX148">
        <v>9.6929499999999997</v>
      </c>
      <c r="FY148">
        <v>18.250800000000002</v>
      </c>
      <c r="FZ148">
        <v>410</v>
      </c>
      <c r="GA148">
        <v>14.8292</v>
      </c>
      <c r="GB148">
        <v>99.859200000000001</v>
      </c>
      <c r="GC148">
        <v>99.543499999999995</v>
      </c>
    </row>
    <row r="149" spans="1:185" x14ac:dyDescent="0.2">
      <c r="A149">
        <v>134</v>
      </c>
      <c r="B149">
        <v>1769185379.0999999</v>
      </c>
      <c r="C149">
        <v>2516.0999999046298</v>
      </c>
      <c r="D149" t="s">
        <v>564</v>
      </c>
      <c r="E149" t="s">
        <v>565</v>
      </c>
      <c r="F149">
        <v>15</v>
      </c>
      <c r="G149">
        <v>1769185371.03333</v>
      </c>
      <c r="H149">
        <f t="shared" si="26"/>
        <v>4.4055208642817493E-4</v>
      </c>
      <c r="I149">
        <v>0</v>
      </c>
      <c r="J149">
        <f t="shared" si="38"/>
        <v>1.0881939923568791E-3</v>
      </c>
      <c r="K149">
        <f t="shared" si="27"/>
        <v>2.8499443363106183E-2</v>
      </c>
      <c r="L149">
        <f t="shared" si="28"/>
        <v>69.775603454448998</v>
      </c>
      <c r="M149">
        <f t="shared" si="29"/>
        <v>1.5392746777838897</v>
      </c>
      <c r="N149">
        <f t="shared" si="30"/>
        <v>2.206035636494009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26242.751786045745</v>
      </c>
      <c r="T149">
        <f t="shared" si="34"/>
        <v>299.99926666666698</v>
      </c>
      <c r="U149">
        <f t="shared" si="35"/>
        <v>252.8993489200806</v>
      </c>
      <c r="V149">
        <f t="shared" si="36"/>
        <v>0.8429998903999999</v>
      </c>
      <c r="W149">
        <f t="shared" si="37"/>
        <v>0.15869962206399998</v>
      </c>
      <c r="X149">
        <v>1</v>
      </c>
      <c r="Y149">
        <v>1769185371.03333</v>
      </c>
      <c r="Z149">
        <v>409.746733333333</v>
      </c>
      <c r="AA149">
        <v>410.00799999999998</v>
      </c>
      <c r="AB149">
        <v>15.364606666666701</v>
      </c>
      <c r="AC149">
        <v>14.822380000000001</v>
      </c>
      <c r="AD149">
        <v>410.75473333333298</v>
      </c>
      <c r="AE149">
        <v>15.2580666666667</v>
      </c>
      <c r="AF149">
        <v>800.00340000000006</v>
      </c>
      <c r="AG149">
        <v>100.117533333333</v>
      </c>
      <c r="AH149">
        <v>6.5615586666666698E-2</v>
      </c>
      <c r="AI149">
        <v>19.006213333333299</v>
      </c>
      <c r="AJ149">
        <v>999.9</v>
      </c>
      <c r="AK149">
        <v>999.9</v>
      </c>
      <c r="AL149">
        <v>0</v>
      </c>
      <c r="AM149">
        <v>0</v>
      </c>
      <c r="AN149">
        <v>4998.3999999999996</v>
      </c>
      <c r="AO149">
        <v>0</v>
      </c>
      <c r="AP149">
        <v>2.0325500000000001</v>
      </c>
      <c r="AQ149">
        <v>-0.26122653333333301</v>
      </c>
      <c r="AR149">
        <v>416.140533333333</v>
      </c>
      <c r="AS149">
        <v>416.17666666666702</v>
      </c>
      <c r="AT149">
        <v>0.542221333333333</v>
      </c>
      <c r="AU149">
        <v>410.00799999999998</v>
      </c>
      <c r="AV149">
        <v>14.822380000000001</v>
      </c>
      <c r="AW149">
        <v>1.53826533333333</v>
      </c>
      <c r="AX149">
        <v>1.4839786666666701</v>
      </c>
      <c r="AY149">
        <v>13.3538933333333</v>
      </c>
      <c r="AZ149">
        <v>12.804080000000001</v>
      </c>
      <c r="BA149">
        <v>299.99926666666698</v>
      </c>
      <c r="BB149">
        <v>0.90000519999999995</v>
      </c>
      <c r="BC149">
        <v>0</v>
      </c>
      <c r="BD149">
        <v>9.99948533333333E-2</v>
      </c>
      <c r="BE149">
        <v>0</v>
      </c>
      <c r="BF149">
        <v>25</v>
      </c>
      <c r="BG149">
        <v>4946.63266666667</v>
      </c>
      <c r="BH149">
        <v>1769184857.0999999</v>
      </c>
      <c r="BI149" t="s">
        <v>509</v>
      </c>
      <c r="BJ149">
        <v>1769184855.0999999</v>
      </c>
      <c r="BK149">
        <v>1769184857.0999999</v>
      </c>
      <c r="BL149">
        <v>4</v>
      </c>
      <c r="BM149">
        <v>3.7999999999999999E-2</v>
      </c>
      <c r="BN149">
        <v>4.0000000000000001E-3</v>
      </c>
      <c r="BO149">
        <v>-1.008</v>
      </c>
      <c r="BP149">
        <v>0.107</v>
      </c>
      <c r="BQ149">
        <v>410</v>
      </c>
      <c r="BR149">
        <v>15</v>
      </c>
      <c r="BS149">
        <v>0.25</v>
      </c>
      <c r="BT149">
        <v>7.0000000000000007E-2</v>
      </c>
      <c r="BU149">
        <v>-0.25412299999999999</v>
      </c>
      <c r="BV149">
        <v>-9.9978496240601594E-2</v>
      </c>
      <c r="BW149">
        <v>3.86067547250478E-2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0.53716145000000004</v>
      </c>
      <c r="CD149">
        <v>9.7135624060150694E-2</v>
      </c>
      <c r="CE149">
        <v>1.01670094839879E-2</v>
      </c>
      <c r="CF149">
        <v>1</v>
      </c>
      <c r="CG149">
        <v>2</v>
      </c>
      <c r="CH149">
        <v>2</v>
      </c>
      <c r="CI149" t="s">
        <v>310</v>
      </c>
      <c r="CJ149">
        <v>3.5325500000000001</v>
      </c>
      <c r="CK149">
        <v>2.7033200000000002</v>
      </c>
      <c r="CL149">
        <v>9.7985100000000006E-2</v>
      </c>
      <c r="CM149">
        <v>9.6633700000000003E-2</v>
      </c>
      <c r="CN149">
        <v>8.6977799999999994E-2</v>
      </c>
      <c r="CO149">
        <v>8.3813499999999999E-2</v>
      </c>
      <c r="CP149">
        <v>31628.3</v>
      </c>
      <c r="CQ149">
        <v>27768.5</v>
      </c>
      <c r="CR149">
        <v>32452.6</v>
      </c>
      <c r="CS149">
        <v>30665.5</v>
      </c>
      <c r="CT149">
        <v>40116.5</v>
      </c>
      <c r="CU149">
        <v>39498.800000000003</v>
      </c>
      <c r="CV149">
        <v>47388.9</v>
      </c>
      <c r="CW149">
        <v>46757</v>
      </c>
      <c r="CX149">
        <v>2.6242200000000002</v>
      </c>
      <c r="CY149">
        <v>2.1372200000000001</v>
      </c>
      <c r="CZ149">
        <v>0</v>
      </c>
      <c r="DA149">
        <v>0</v>
      </c>
      <c r="DB149">
        <v>999.9</v>
      </c>
      <c r="DC149">
        <v>999.9</v>
      </c>
      <c r="DD149">
        <v>61.262</v>
      </c>
      <c r="DE149">
        <v>26.152999999999999</v>
      </c>
      <c r="DF149">
        <v>20.8355</v>
      </c>
      <c r="DG149">
        <v>30.440200000000001</v>
      </c>
      <c r="DH149">
        <v>17.724399999999999</v>
      </c>
      <c r="DI149">
        <v>2</v>
      </c>
      <c r="DJ149">
        <v>-0.12712200000000001</v>
      </c>
      <c r="DK149">
        <v>2.19042</v>
      </c>
      <c r="DL149">
        <v>20.223199999999999</v>
      </c>
      <c r="DM149">
        <v>5.2517899999999997</v>
      </c>
      <c r="DN149">
        <v>12.033899999999999</v>
      </c>
      <c r="DO149">
        <v>4.9672400000000003</v>
      </c>
      <c r="DP149">
        <v>3.2909999999999999</v>
      </c>
      <c r="DQ149">
        <v>9999</v>
      </c>
      <c r="DR149">
        <v>9999</v>
      </c>
      <c r="DS149">
        <v>534.70000000000005</v>
      </c>
      <c r="DT149">
        <v>9999</v>
      </c>
      <c r="DU149">
        <v>1.87103</v>
      </c>
      <c r="DV149">
        <v>1.8760699999999999</v>
      </c>
      <c r="DW149">
        <v>1.87622</v>
      </c>
      <c r="DX149">
        <v>1.8827700000000001</v>
      </c>
      <c r="DY149">
        <v>1.8755599999999999</v>
      </c>
      <c r="DZ149">
        <v>1.87456</v>
      </c>
      <c r="EA149">
        <v>1.87073</v>
      </c>
      <c r="EB149">
        <v>1.8745799999999999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-1.008</v>
      </c>
      <c r="EQ149">
        <v>0.1066</v>
      </c>
      <c r="ER149">
        <v>-1.00799999999998</v>
      </c>
      <c r="ES149">
        <v>0</v>
      </c>
      <c r="ET149">
        <v>0</v>
      </c>
      <c r="EU149">
        <v>0</v>
      </c>
      <c r="EV149">
        <v>0.106540000000001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8.6999999999999993</v>
      </c>
      <c r="FE149">
        <v>8.6999999999999993</v>
      </c>
      <c r="FF149">
        <v>1.2377899999999999</v>
      </c>
      <c r="FG149">
        <v>2.5647000000000002</v>
      </c>
      <c r="FH149">
        <v>2.19604</v>
      </c>
      <c r="FI149">
        <v>2.66113</v>
      </c>
      <c r="FJ149">
        <v>2.4462899999999999</v>
      </c>
      <c r="FK149">
        <v>2.3107899999999999</v>
      </c>
      <c r="FL149">
        <v>31.128699999999998</v>
      </c>
      <c r="FM149">
        <v>24.148800000000001</v>
      </c>
      <c r="FN149">
        <v>19</v>
      </c>
      <c r="FO149">
        <v>864.59799999999996</v>
      </c>
      <c r="FP149">
        <v>580.39700000000005</v>
      </c>
      <c r="FQ149">
        <v>18.2363</v>
      </c>
      <c r="FR149">
        <v>25.383600000000001</v>
      </c>
      <c r="FS149">
        <v>30.0002</v>
      </c>
      <c r="FT149">
        <v>25.375699999999998</v>
      </c>
      <c r="FU149">
        <v>25.376899999999999</v>
      </c>
      <c r="FV149">
        <v>24.843900000000001</v>
      </c>
      <c r="FW149">
        <v>31.273900000000001</v>
      </c>
      <c r="FX149">
        <v>9.3133900000000001</v>
      </c>
      <c r="FY149">
        <v>18.2317</v>
      </c>
      <c r="FZ149">
        <v>410</v>
      </c>
      <c r="GA149">
        <v>14.8292</v>
      </c>
      <c r="GB149">
        <v>99.859800000000007</v>
      </c>
      <c r="GC149">
        <v>99.543099999999995</v>
      </c>
    </row>
    <row r="150" spans="1:185" x14ac:dyDescent="0.2">
      <c r="A150">
        <v>135</v>
      </c>
      <c r="B150">
        <v>1769185394.0999999</v>
      </c>
      <c r="C150">
        <v>2531.0999999046298</v>
      </c>
      <c r="D150" t="s">
        <v>566</v>
      </c>
      <c r="E150" t="s">
        <v>567</v>
      </c>
      <c r="F150">
        <v>15</v>
      </c>
      <c r="G150">
        <v>1769185386.03333</v>
      </c>
      <c r="H150">
        <f t="shared" si="26"/>
        <v>4.5384724735085118E-4</v>
      </c>
      <c r="I150">
        <v>0</v>
      </c>
      <c r="J150">
        <f t="shared" si="38"/>
        <v>4.7087042228684294E-4</v>
      </c>
      <c r="K150">
        <f t="shared" si="27"/>
        <v>1.2331941754485225E-2</v>
      </c>
      <c r="L150">
        <f t="shared" si="28"/>
        <v>69.805949070461267</v>
      </c>
      <c r="M150">
        <f t="shared" si="29"/>
        <v>1.5398717248794012</v>
      </c>
      <c r="N150">
        <f t="shared" si="30"/>
        <v>2.2059319375846798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26252.149684594377</v>
      </c>
      <c r="T150">
        <f t="shared" si="34"/>
        <v>299.99873333333301</v>
      </c>
      <c r="U150">
        <f t="shared" si="35"/>
        <v>252.89881484049531</v>
      </c>
      <c r="V150">
        <f t="shared" si="36"/>
        <v>0.84299960880000024</v>
      </c>
      <c r="W150">
        <f t="shared" si="37"/>
        <v>0.15869907396800007</v>
      </c>
      <c r="X150">
        <v>1</v>
      </c>
      <c r="Y150">
        <v>1769185386.03333</v>
      </c>
      <c r="Z150">
        <v>409.7466</v>
      </c>
      <c r="AA150">
        <v>409.99446666666699</v>
      </c>
      <c r="AB150">
        <v>15.370186666666701</v>
      </c>
      <c r="AC150">
        <v>14.8116</v>
      </c>
      <c r="AD150">
        <v>410.75459999999998</v>
      </c>
      <c r="AE150">
        <v>15.2636533333333</v>
      </c>
      <c r="AF150">
        <v>800.00393333333295</v>
      </c>
      <c r="AG150">
        <v>100.11993333333299</v>
      </c>
      <c r="AH150">
        <v>6.5689540000000005E-2</v>
      </c>
      <c r="AI150">
        <v>19.005459999999999</v>
      </c>
      <c r="AJ150">
        <v>999.9</v>
      </c>
      <c r="AK150">
        <v>999.9</v>
      </c>
      <c r="AL150">
        <v>0</v>
      </c>
      <c r="AM150">
        <v>0</v>
      </c>
      <c r="AN150">
        <v>4999.8333333333303</v>
      </c>
      <c r="AO150">
        <v>0</v>
      </c>
      <c r="AP150">
        <v>2.0325500000000001</v>
      </c>
      <c r="AQ150">
        <v>-0.24775593333333301</v>
      </c>
      <c r="AR150">
        <v>416.14299999999997</v>
      </c>
      <c r="AS150">
        <v>416.15833333333302</v>
      </c>
      <c r="AT150">
        <v>0.55859106666666702</v>
      </c>
      <c r="AU150">
        <v>409.99446666666699</v>
      </c>
      <c r="AV150">
        <v>14.8116</v>
      </c>
      <c r="AW150">
        <v>1.5388660000000001</v>
      </c>
      <c r="AX150">
        <v>1.4829380000000001</v>
      </c>
      <c r="AY150">
        <v>13.35988</v>
      </c>
      <c r="AZ150">
        <v>12.793380000000001</v>
      </c>
      <c r="BA150">
        <v>299.99873333333301</v>
      </c>
      <c r="BB150">
        <v>0.900012266666667</v>
      </c>
      <c r="BC150">
        <v>0</v>
      </c>
      <c r="BD150">
        <v>9.9987706666666704E-2</v>
      </c>
      <c r="BE150">
        <v>0</v>
      </c>
      <c r="BF150">
        <v>25</v>
      </c>
      <c r="BG150">
        <v>4946.6333333333296</v>
      </c>
      <c r="BH150">
        <v>1769184857.0999999</v>
      </c>
      <c r="BI150" t="s">
        <v>509</v>
      </c>
      <c r="BJ150">
        <v>1769184855.0999999</v>
      </c>
      <c r="BK150">
        <v>1769184857.0999999</v>
      </c>
      <c r="BL150">
        <v>4</v>
      </c>
      <c r="BM150">
        <v>3.7999999999999999E-2</v>
      </c>
      <c r="BN150">
        <v>4.0000000000000001E-3</v>
      </c>
      <c r="BO150">
        <v>-1.008</v>
      </c>
      <c r="BP150">
        <v>0.107</v>
      </c>
      <c r="BQ150">
        <v>410</v>
      </c>
      <c r="BR150">
        <v>15</v>
      </c>
      <c r="BS150">
        <v>0.25</v>
      </c>
      <c r="BT150">
        <v>7.0000000000000007E-2</v>
      </c>
      <c r="BU150">
        <v>-0.24583657142857099</v>
      </c>
      <c r="BV150">
        <v>-0.13805618181818199</v>
      </c>
      <c r="BW150">
        <v>3.2089451474887898E-2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0.55512747619047598</v>
      </c>
      <c r="CD150">
        <v>5.34490909090901E-2</v>
      </c>
      <c r="CE150">
        <v>6.2416943488664304E-3</v>
      </c>
      <c r="CF150">
        <v>1</v>
      </c>
      <c r="CG150">
        <v>2</v>
      </c>
      <c r="CH150">
        <v>2</v>
      </c>
      <c r="CI150" t="s">
        <v>310</v>
      </c>
      <c r="CJ150">
        <v>3.5325700000000002</v>
      </c>
      <c r="CK150">
        <v>2.7033499999999999</v>
      </c>
      <c r="CL150">
        <v>9.7978800000000005E-2</v>
      </c>
      <c r="CM150">
        <v>9.6639500000000003E-2</v>
      </c>
      <c r="CN150">
        <v>8.6975399999999994E-2</v>
      </c>
      <c r="CO150">
        <v>8.3768099999999998E-2</v>
      </c>
      <c r="CP150">
        <v>31628.5</v>
      </c>
      <c r="CQ150">
        <v>27768.799999999999</v>
      </c>
      <c r="CR150">
        <v>32452.7</v>
      </c>
      <c r="CS150">
        <v>30666</v>
      </c>
      <c r="CT150">
        <v>40116.6</v>
      </c>
      <c r="CU150">
        <v>39501.599999999999</v>
      </c>
      <c r="CV150">
        <v>47388.800000000003</v>
      </c>
      <c r="CW150">
        <v>46758</v>
      </c>
      <c r="CX150">
        <v>2.62426</v>
      </c>
      <c r="CY150">
        <v>2.1371199999999999</v>
      </c>
      <c r="CZ150">
        <v>0</v>
      </c>
      <c r="DA150">
        <v>0</v>
      </c>
      <c r="DB150">
        <v>999.9</v>
      </c>
      <c r="DC150">
        <v>999.9</v>
      </c>
      <c r="DD150">
        <v>61.189</v>
      </c>
      <c r="DE150">
        <v>26.152999999999999</v>
      </c>
      <c r="DF150">
        <v>20.810199999999998</v>
      </c>
      <c r="DG150">
        <v>30.440200000000001</v>
      </c>
      <c r="DH150">
        <v>17.6723</v>
      </c>
      <c r="DI150">
        <v>2</v>
      </c>
      <c r="DJ150">
        <v>-0.12689</v>
      </c>
      <c r="DK150">
        <v>2.2206800000000002</v>
      </c>
      <c r="DL150">
        <v>20.222899999999999</v>
      </c>
      <c r="DM150">
        <v>5.2508299999999997</v>
      </c>
      <c r="DN150">
        <v>12.033899999999999</v>
      </c>
      <c r="DO150">
        <v>4.9672000000000001</v>
      </c>
      <c r="DP150">
        <v>3.2909999999999999</v>
      </c>
      <c r="DQ150">
        <v>9999</v>
      </c>
      <c r="DR150">
        <v>9999</v>
      </c>
      <c r="DS150">
        <v>534.70000000000005</v>
      </c>
      <c r="DT150">
        <v>9999</v>
      </c>
      <c r="DU150">
        <v>1.87103</v>
      </c>
      <c r="DV150">
        <v>1.8760699999999999</v>
      </c>
      <c r="DW150">
        <v>1.8762399999999999</v>
      </c>
      <c r="DX150">
        <v>1.8827799999999999</v>
      </c>
      <c r="DY150">
        <v>1.87557</v>
      </c>
      <c r="DZ150">
        <v>1.8745799999999999</v>
      </c>
      <c r="EA150">
        <v>1.87073</v>
      </c>
      <c r="EB150">
        <v>1.87462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-1.008</v>
      </c>
      <c r="EQ150">
        <v>0.1065</v>
      </c>
      <c r="ER150">
        <v>-1.00799999999998</v>
      </c>
      <c r="ES150">
        <v>0</v>
      </c>
      <c r="ET150">
        <v>0</v>
      </c>
      <c r="EU150">
        <v>0</v>
      </c>
      <c r="EV150">
        <v>0.106540000000001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9</v>
      </c>
      <c r="FE150">
        <v>8.9</v>
      </c>
      <c r="FF150">
        <v>1.2377899999999999</v>
      </c>
      <c r="FG150">
        <v>2.5573700000000001</v>
      </c>
      <c r="FH150">
        <v>2.19604</v>
      </c>
      <c r="FI150">
        <v>2.66113</v>
      </c>
      <c r="FJ150">
        <v>2.4462899999999999</v>
      </c>
      <c r="FK150">
        <v>2.3120099999999999</v>
      </c>
      <c r="FL150">
        <v>31.150400000000001</v>
      </c>
      <c r="FM150">
        <v>24.148800000000001</v>
      </c>
      <c r="FN150">
        <v>19</v>
      </c>
      <c r="FO150">
        <v>864.67</v>
      </c>
      <c r="FP150">
        <v>580.34400000000005</v>
      </c>
      <c r="FQ150">
        <v>18.220600000000001</v>
      </c>
      <c r="FR150">
        <v>25.3871</v>
      </c>
      <c r="FS150">
        <v>30.0001</v>
      </c>
      <c r="FT150">
        <v>25.3779</v>
      </c>
      <c r="FU150">
        <v>25.379100000000001</v>
      </c>
      <c r="FV150">
        <v>24.843</v>
      </c>
      <c r="FW150">
        <v>31.273900000000001</v>
      </c>
      <c r="FX150">
        <v>8.9367699999999992</v>
      </c>
      <c r="FY150">
        <v>18.215299999999999</v>
      </c>
      <c r="FZ150">
        <v>410</v>
      </c>
      <c r="GA150">
        <v>14.8292</v>
      </c>
      <c r="GB150">
        <v>99.859700000000004</v>
      </c>
      <c r="GC150">
        <v>99.545100000000005</v>
      </c>
    </row>
    <row r="151" spans="1:185" x14ac:dyDescent="0.2">
      <c r="A151">
        <v>136</v>
      </c>
      <c r="B151">
        <v>1769185515.0999999</v>
      </c>
      <c r="C151">
        <v>2652.0999999046298</v>
      </c>
      <c r="D151" t="s">
        <v>568</v>
      </c>
      <c r="E151" t="s">
        <v>569</v>
      </c>
      <c r="F151">
        <v>15</v>
      </c>
      <c r="G151">
        <v>1769185506.5999999</v>
      </c>
      <c r="H151">
        <f t="shared" si="26"/>
        <v>-1.2361630502357248E-3</v>
      </c>
      <c r="I151">
        <v>0</v>
      </c>
      <c r="J151">
        <f t="shared" si="38"/>
        <v>-0.10758007497797811</v>
      </c>
      <c r="K151">
        <f t="shared" si="27"/>
        <v>-2.8174868409199068</v>
      </c>
      <c r="L151">
        <f t="shared" si="28"/>
        <v>70.998125144831363</v>
      </c>
      <c r="M151">
        <f t="shared" si="29"/>
        <v>1.558968420833992</v>
      </c>
      <c r="N151">
        <f t="shared" si="30"/>
        <v>2.1957881530727779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26250.088593480683</v>
      </c>
      <c r="T151">
        <f t="shared" si="34"/>
        <v>499.99837500000001</v>
      </c>
      <c r="U151">
        <f t="shared" si="35"/>
        <v>421.49869106230193</v>
      </c>
      <c r="V151">
        <f t="shared" si="36"/>
        <v>0.84300012187499995</v>
      </c>
      <c r="W151">
        <f t="shared" si="37"/>
        <v>0.15870030468750002</v>
      </c>
      <c r="X151">
        <v>1</v>
      </c>
      <c r="Y151">
        <v>1769185506.5999999</v>
      </c>
      <c r="Z151">
        <v>414.20668749999999</v>
      </c>
      <c r="AA151">
        <v>410.04475000000002</v>
      </c>
      <c r="AB151">
        <v>15.56126875</v>
      </c>
      <c r="AC151">
        <v>17.082443749999999</v>
      </c>
      <c r="AD151">
        <v>415.19968749999998</v>
      </c>
      <c r="AE151">
        <v>15.41126875</v>
      </c>
      <c r="AF151">
        <v>799.99131250000005</v>
      </c>
      <c r="AG151">
        <v>100.117625</v>
      </c>
      <c r="AH151">
        <v>6.4978737499999994E-2</v>
      </c>
      <c r="AI151">
        <v>18.931618749999998</v>
      </c>
      <c r="AJ151">
        <v>999.9</v>
      </c>
      <c r="AK151">
        <v>999.9</v>
      </c>
      <c r="AL151">
        <v>0</v>
      </c>
      <c r="AM151">
        <v>0</v>
      </c>
      <c r="AN151">
        <v>4998.5</v>
      </c>
      <c r="AO151">
        <v>0</v>
      </c>
      <c r="AP151">
        <v>1.9760899999999999</v>
      </c>
      <c r="AQ151">
        <v>4.1468325000000004</v>
      </c>
      <c r="AR151">
        <v>420.719875</v>
      </c>
      <c r="AS151">
        <v>417.17093749999998</v>
      </c>
      <c r="AT151">
        <v>-1.56463025</v>
      </c>
      <c r="AU151">
        <v>410.04475000000002</v>
      </c>
      <c r="AV151">
        <v>17.082443749999999</v>
      </c>
      <c r="AW151">
        <v>1.5536075</v>
      </c>
      <c r="AX151">
        <v>1.7102550000000001</v>
      </c>
      <c r="AY151">
        <v>13.502649999999999</v>
      </c>
      <c r="AZ151">
        <v>14.988849999999999</v>
      </c>
      <c r="BA151">
        <v>499.99837500000001</v>
      </c>
      <c r="BB151">
        <v>0.89999593749999995</v>
      </c>
      <c r="BC151">
        <v>0</v>
      </c>
      <c r="BD151">
        <v>0.1000040625</v>
      </c>
      <c r="BE151">
        <v>0</v>
      </c>
      <c r="BF151">
        <v>25</v>
      </c>
      <c r="BG151">
        <v>8244.3549999999996</v>
      </c>
      <c r="BH151">
        <v>1769185537.0999999</v>
      </c>
      <c r="BI151" t="s">
        <v>570</v>
      </c>
      <c r="BJ151">
        <v>1769185537.0999999</v>
      </c>
      <c r="BK151">
        <v>1769185535.0999999</v>
      </c>
      <c r="BL151">
        <v>5</v>
      </c>
      <c r="BM151">
        <v>1.4999999999999999E-2</v>
      </c>
      <c r="BN151">
        <v>4.2999999999999997E-2</v>
      </c>
      <c r="BO151">
        <v>-0.99299999999999999</v>
      </c>
      <c r="BP151">
        <v>0.15</v>
      </c>
      <c r="BQ151">
        <v>410</v>
      </c>
      <c r="BR151">
        <v>16</v>
      </c>
      <c r="BS151">
        <v>0.2</v>
      </c>
      <c r="BT151">
        <v>0.05</v>
      </c>
      <c r="BU151">
        <v>5.8651676190476199</v>
      </c>
      <c r="BV151">
        <v>-28.190110129870099</v>
      </c>
      <c r="BW151">
        <v>2.91815032047929</v>
      </c>
      <c r="BX151">
        <v>0</v>
      </c>
      <c r="BY151">
        <v>0</v>
      </c>
      <c r="BZ151">
        <v>0</v>
      </c>
      <c r="CA151">
        <v>0</v>
      </c>
      <c r="CB151">
        <v>-1</v>
      </c>
      <c r="CC151">
        <v>-1.9623418095238101</v>
      </c>
      <c r="CD151">
        <v>6.8706405974026001</v>
      </c>
      <c r="CE151">
        <v>0.69651533557387102</v>
      </c>
      <c r="CF151">
        <v>0</v>
      </c>
      <c r="CG151">
        <v>0</v>
      </c>
      <c r="CH151">
        <v>2</v>
      </c>
      <c r="CI151" t="s">
        <v>290</v>
      </c>
      <c r="CJ151">
        <v>3.5324900000000001</v>
      </c>
      <c r="CK151">
        <v>2.70268</v>
      </c>
      <c r="CL151">
        <v>9.8405900000000004E-2</v>
      </c>
      <c r="CM151">
        <v>9.6690100000000001E-2</v>
      </c>
      <c r="CN151">
        <v>8.9698200000000006E-2</v>
      </c>
      <c r="CO151">
        <v>9.1206899999999994E-2</v>
      </c>
      <c r="CP151">
        <v>31612.799999999999</v>
      </c>
      <c r="CQ151">
        <v>27767.4</v>
      </c>
      <c r="CR151">
        <v>32452.1</v>
      </c>
      <c r="CS151">
        <v>30666.3</v>
      </c>
      <c r="CT151">
        <v>39993.1</v>
      </c>
      <c r="CU151">
        <v>39171.800000000003</v>
      </c>
      <c r="CV151">
        <v>47388.6</v>
      </c>
      <c r="CW151">
        <v>46759.1</v>
      </c>
      <c r="CX151">
        <v>2.62148</v>
      </c>
      <c r="CY151">
        <v>2.1393399999999998</v>
      </c>
      <c r="CZ151">
        <v>0</v>
      </c>
      <c r="DA151">
        <v>0</v>
      </c>
      <c r="DB151">
        <v>999.9</v>
      </c>
      <c r="DC151">
        <v>999.9</v>
      </c>
      <c r="DD151">
        <v>60.615000000000002</v>
      </c>
      <c r="DE151">
        <v>26.274000000000001</v>
      </c>
      <c r="DF151">
        <v>20.7622</v>
      </c>
      <c r="DG151">
        <v>30.420100000000001</v>
      </c>
      <c r="DH151">
        <v>17.728400000000001</v>
      </c>
      <c r="DI151">
        <v>2</v>
      </c>
      <c r="DJ151">
        <v>-0.123654</v>
      </c>
      <c r="DK151">
        <v>2.4154800000000001</v>
      </c>
      <c r="DL151">
        <v>20.2058</v>
      </c>
      <c r="DM151">
        <v>5.2491599999999998</v>
      </c>
      <c r="DN151">
        <v>12.033899999999999</v>
      </c>
      <c r="DO151">
        <v>4.9672000000000001</v>
      </c>
      <c r="DP151">
        <v>3.2907199999999999</v>
      </c>
      <c r="DQ151">
        <v>9999</v>
      </c>
      <c r="DR151">
        <v>9999</v>
      </c>
      <c r="DS151">
        <v>534.70000000000005</v>
      </c>
      <c r="DT151">
        <v>9999</v>
      </c>
      <c r="DU151">
        <v>1.87103</v>
      </c>
      <c r="DV151">
        <v>1.87608</v>
      </c>
      <c r="DW151">
        <v>1.87629</v>
      </c>
      <c r="DX151">
        <v>1.88279</v>
      </c>
      <c r="DY151">
        <v>1.87561</v>
      </c>
      <c r="DZ151">
        <v>1.87463</v>
      </c>
      <c r="EA151">
        <v>1.8707400000000001</v>
      </c>
      <c r="EB151">
        <v>1.8746700000000001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-0.99299999999999999</v>
      </c>
      <c r="EQ151">
        <v>0.15</v>
      </c>
      <c r="ER151">
        <v>-1.00799999999998</v>
      </c>
      <c r="ES151">
        <v>0</v>
      </c>
      <c r="ET151">
        <v>0</v>
      </c>
      <c r="EU151">
        <v>0</v>
      </c>
      <c r="EV151">
        <v>0.106540000000001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11</v>
      </c>
      <c r="FE151">
        <v>11</v>
      </c>
      <c r="FF151">
        <v>1.2402299999999999</v>
      </c>
      <c r="FG151">
        <v>2.5671400000000002</v>
      </c>
      <c r="FH151">
        <v>2.19604</v>
      </c>
      <c r="FI151">
        <v>2.66113</v>
      </c>
      <c r="FJ151">
        <v>2.4462899999999999</v>
      </c>
      <c r="FK151">
        <v>2.32422</v>
      </c>
      <c r="FL151">
        <v>31.237400000000001</v>
      </c>
      <c r="FM151">
        <v>24.148800000000001</v>
      </c>
      <c r="FN151">
        <v>19</v>
      </c>
      <c r="FO151">
        <v>862.78800000000001</v>
      </c>
      <c r="FP151">
        <v>582.53200000000004</v>
      </c>
      <c r="FQ151">
        <v>17.406400000000001</v>
      </c>
      <c r="FR151">
        <v>25.437999999999999</v>
      </c>
      <c r="FS151">
        <v>29.999300000000002</v>
      </c>
      <c r="FT151">
        <v>25.421500000000002</v>
      </c>
      <c r="FU151">
        <v>25.421199999999999</v>
      </c>
      <c r="FV151">
        <v>24.886800000000001</v>
      </c>
      <c r="FW151">
        <v>24.322900000000001</v>
      </c>
      <c r="FX151">
        <v>8.3636999999999997</v>
      </c>
      <c r="FY151">
        <v>17.407299999999999</v>
      </c>
      <c r="FZ151">
        <v>410</v>
      </c>
      <c r="GA151">
        <v>16.198699999999999</v>
      </c>
      <c r="GB151">
        <v>99.858699999999999</v>
      </c>
      <c r="GC151">
        <v>99.546899999999994</v>
      </c>
    </row>
    <row r="152" spans="1:185" x14ac:dyDescent="0.2">
      <c r="A152">
        <v>137</v>
      </c>
      <c r="B152">
        <v>1769185539.0999999</v>
      </c>
      <c r="C152">
        <v>2676.0999999046298</v>
      </c>
      <c r="D152" t="s">
        <v>571</v>
      </c>
      <c r="E152" t="s">
        <v>572</v>
      </c>
      <c r="F152">
        <v>15</v>
      </c>
      <c r="G152">
        <v>1769185538.0999999</v>
      </c>
      <c r="H152">
        <f t="shared" si="26"/>
        <v>-5.6932763348476402E-7</v>
      </c>
      <c r="I152">
        <v>0</v>
      </c>
      <c r="J152">
        <f t="shared" si="38"/>
        <v>-5.7147511956884126E-4</v>
      </c>
      <c r="K152">
        <f t="shared" si="27"/>
        <v>-1.4966745743837197E-2</v>
      </c>
      <c r="L152">
        <f t="shared" si="28"/>
        <v>75.005004432065448</v>
      </c>
      <c r="M152">
        <f t="shared" si="29"/>
        <v>1.6402463702714101</v>
      </c>
      <c r="N152">
        <f t="shared" si="30"/>
        <v>2.1868492411823484</v>
      </c>
      <c r="O152">
        <v>476</v>
      </c>
      <c r="P152">
        <v>59</v>
      </c>
      <c r="Q152">
        <f t="shared" si="31"/>
        <v>1</v>
      </c>
      <c r="R152">
        <f t="shared" si="32"/>
        <v>0</v>
      </c>
      <c r="S152">
        <f t="shared" si="33"/>
        <v>26252.238220013092</v>
      </c>
      <c r="T152">
        <f t="shared" si="34"/>
        <v>500.00400000000002</v>
      </c>
      <c r="U152">
        <f t="shared" si="35"/>
        <v>421.50342750044405</v>
      </c>
      <c r="V152">
        <f t="shared" si="36"/>
        <v>0.84300011100000005</v>
      </c>
      <c r="W152">
        <f t="shared" si="37"/>
        <v>0.15869969285999999</v>
      </c>
      <c r="X152">
        <v>1</v>
      </c>
      <c r="Y152">
        <v>1769185538.0999999</v>
      </c>
      <c r="Z152">
        <v>410.03500000000003</v>
      </c>
      <c r="AA152">
        <v>410.01600000000002</v>
      </c>
      <c r="AB152">
        <v>16.371300000000002</v>
      </c>
      <c r="AC152">
        <v>16.372</v>
      </c>
      <c r="AD152">
        <v>411.029</v>
      </c>
      <c r="AE152">
        <v>16.221499999999999</v>
      </c>
      <c r="AF152">
        <v>800.01</v>
      </c>
      <c r="AG152">
        <v>100.11499999999999</v>
      </c>
      <c r="AH152">
        <v>7.5355699999999998E-2</v>
      </c>
      <c r="AI152">
        <v>18.866299999999999</v>
      </c>
      <c r="AJ152">
        <v>999.9</v>
      </c>
      <c r="AK152">
        <v>999.9</v>
      </c>
      <c r="AL152">
        <v>0</v>
      </c>
      <c r="AM152">
        <v>0</v>
      </c>
      <c r="AN152">
        <v>4998</v>
      </c>
      <c r="AO152">
        <v>0</v>
      </c>
      <c r="AP152">
        <v>1.9760899999999999</v>
      </c>
      <c r="AQ152">
        <v>1.90735E-2</v>
      </c>
      <c r="AR152">
        <v>416.86</v>
      </c>
      <c r="AS152">
        <v>416.84100000000001</v>
      </c>
      <c r="AT152">
        <v>-6.8473799999999995E-4</v>
      </c>
      <c r="AU152">
        <v>410.01600000000002</v>
      </c>
      <c r="AV152">
        <v>16.372</v>
      </c>
      <c r="AW152">
        <v>1.639</v>
      </c>
      <c r="AX152">
        <v>1.63907</v>
      </c>
      <c r="AY152">
        <v>14.330500000000001</v>
      </c>
      <c r="AZ152">
        <v>14.331099999999999</v>
      </c>
      <c r="BA152">
        <v>500.00400000000002</v>
      </c>
      <c r="BB152">
        <v>0.90000500000000005</v>
      </c>
      <c r="BC152">
        <v>0</v>
      </c>
      <c r="BD152">
        <v>9.9995299999999995E-2</v>
      </c>
      <c r="BE152">
        <v>0</v>
      </c>
      <c r="BF152">
        <v>25</v>
      </c>
      <c r="BG152">
        <v>8244.4699999999993</v>
      </c>
      <c r="BH152">
        <v>1769185537.0999999</v>
      </c>
      <c r="BI152" t="s">
        <v>570</v>
      </c>
      <c r="BJ152">
        <v>1769185537.0999999</v>
      </c>
      <c r="BK152">
        <v>1769185535.0999999</v>
      </c>
      <c r="BL152">
        <v>5</v>
      </c>
      <c r="BM152">
        <v>1.4999999999999999E-2</v>
      </c>
      <c r="BN152">
        <v>4.2999999999999997E-2</v>
      </c>
      <c r="BO152">
        <v>-0.99299999999999999</v>
      </c>
      <c r="BP152">
        <v>0.15</v>
      </c>
      <c r="BQ152">
        <v>410</v>
      </c>
      <c r="BR152">
        <v>16</v>
      </c>
      <c r="BS152">
        <v>0.2</v>
      </c>
      <c r="BT152">
        <v>0.05</v>
      </c>
      <c r="BU152">
        <v>9.0554833099999996E-2</v>
      </c>
      <c r="BV152">
        <v>-1.5500611283007499</v>
      </c>
      <c r="BW152">
        <v>0.23991750771227099</v>
      </c>
      <c r="BX152">
        <v>0</v>
      </c>
      <c r="BY152">
        <v>0</v>
      </c>
      <c r="BZ152">
        <v>0</v>
      </c>
      <c r="CA152">
        <v>0</v>
      </c>
      <c r="CB152">
        <v>-1</v>
      </c>
      <c r="CC152">
        <v>-5.8431706845E-2</v>
      </c>
      <c r="CD152">
        <v>0.44099810961654201</v>
      </c>
      <c r="CE152">
        <v>5.9534705169750797E-2</v>
      </c>
      <c r="CF152">
        <v>0</v>
      </c>
      <c r="CG152">
        <v>0</v>
      </c>
      <c r="CH152">
        <v>2</v>
      </c>
      <c r="CI152" t="s">
        <v>290</v>
      </c>
      <c r="CJ152">
        <v>3.5335000000000001</v>
      </c>
      <c r="CK152">
        <v>2.7122899999999999</v>
      </c>
      <c r="CL152">
        <v>9.8022600000000001E-2</v>
      </c>
      <c r="CM152">
        <v>9.66365E-2</v>
      </c>
      <c r="CN152">
        <v>9.1029700000000005E-2</v>
      </c>
      <c r="CO152">
        <v>9.0140100000000001E-2</v>
      </c>
      <c r="CP152">
        <v>31624</v>
      </c>
      <c r="CQ152">
        <v>27767.4</v>
      </c>
      <c r="CR152">
        <v>32449.8</v>
      </c>
      <c r="CS152">
        <v>30664.6</v>
      </c>
      <c r="CT152">
        <v>39929.9</v>
      </c>
      <c r="CU152">
        <v>39217.5</v>
      </c>
      <c r="CV152">
        <v>47385.3</v>
      </c>
      <c r="CW152">
        <v>46756.9</v>
      </c>
      <c r="CX152">
        <v>1.6934800000000001</v>
      </c>
      <c r="CY152">
        <v>1.6115200000000001</v>
      </c>
      <c r="CZ152">
        <v>0</v>
      </c>
      <c r="DA152">
        <v>0</v>
      </c>
      <c r="DB152">
        <v>999.9</v>
      </c>
      <c r="DC152">
        <v>999.9</v>
      </c>
      <c r="DD152">
        <v>60.542000000000002</v>
      </c>
      <c r="DE152">
        <v>26.294</v>
      </c>
      <c r="DF152">
        <v>20.762899999999998</v>
      </c>
      <c r="DG152">
        <v>30.540199999999999</v>
      </c>
      <c r="DH152">
        <v>18.2332</v>
      </c>
      <c r="DI152">
        <v>2</v>
      </c>
      <c r="DJ152">
        <v>-0.121598</v>
      </c>
      <c r="DK152">
        <v>2.1775500000000001</v>
      </c>
      <c r="DL152">
        <v>20.2073</v>
      </c>
      <c r="DM152">
        <v>5.24472</v>
      </c>
      <c r="DN152">
        <v>12.033899999999999</v>
      </c>
      <c r="DO152">
        <v>4.9660799999999998</v>
      </c>
      <c r="DP152">
        <v>3.2899799999999999</v>
      </c>
      <c r="DQ152">
        <v>9999</v>
      </c>
      <c r="DR152">
        <v>9999</v>
      </c>
      <c r="DS152">
        <v>534.70000000000005</v>
      </c>
      <c r="DT152">
        <v>9999</v>
      </c>
      <c r="DU152">
        <v>1.87103</v>
      </c>
      <c r="DV152">
        <v>1.87608</v>
      </c>
      <c r="DW152">
        <v>1.8762799999999999</v>
      </c>
      <c r="DX152">
        <v>1.88279</v>
      </c>
      <c r="DY152">
        <v>1.87561</v>
      </c>
      <c r="DZ152">
        <v>1.87462</v>
      </c>
      <c r="EA152">
        <v>1.8707400000000001</v>
      </c>
      <c r="EB152">
        <v>1.8746700000000001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-0.99299999999999999</v>
      </c>
      <c r="EQ152">
        <v>0.14979999999999999</v>
      </c>
      <c r="ER152">
        <v>-0.99329999999997698</v>
      </c>
      <c r="ES152">
        <v>0</v>
      </c>
      <c r="ET152">
        <v>0</v>
      </c>
      <c r="EU152">
        <v>0</v>
      </c>
      <c r="EV152">
        <v>0.149730000000002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0</v>
      </c>
      <c r="FE152">
        <v>0.1</v>
      </c>
      <c r="FF152">
        <v>1.2402299999999999</v>
      </c>
      <c r="FG152">
        <v>2.5634800000000002</v>
      </c>
      <c r="FH152">
        <v>2.19604</v>
      </c>
      <c r="FI152">
        <v>2.66113</v>
      </c>
      <c r="FJ152">
        <v>2.4462899999999999</v>
      </c>
      <c r="FK152">
        <v>2.32056</v>
      </c>
      <c r="FL152">
        <v>31.237400000000001</v>
      </c>
      <c r="FM152">
        <v>24.148800000000001</v>
      </c>
      <c r="FN152">
        <v>19</v>
      </c>
      <c r="FO152">
        <v>300.22800000000001</v>
      </c>
      <c r="FP152">
        <v>281.19099999999997</v>
      </c>
      <c r="FQ152">
        <v>17.776199999999999</v>
      </c>
      <c r="FR152">
        <v>25.459700000000002</v>
      </c>
      <c r="FS152">
        <v>30.0002</v>
      </c>
      <c r="FT152">
        <v>25.4557</v>
      </c>
      <c r="FU152">
        <v>25.448899999999998</v>
      </c>
      <c r="FV152">
        <v>24.887599999999999</v>
      </c>
      <c r="FW152">
        <v>25.7925</v>
      </c>
      <c r="FX152">
        <v>7.9843999999999999</v>
      </c>
      <c r="FY152">
        <v>17.8371</v>
      </c>
      <c r="FZ152">
        <v>410</v>
      </c>
      <c r="GA152">
        <v>15.8255</v>
      </c>
      <c r="GB152">
        <v>99.851699999999994</v>
      </c>
      <c r="GC152">
        <v>99.541899999999998</v>
      </c>
    </row>
    <row r="153" spans="1:185" x14ac:dyDescent="0.2">
      <c r="A153">
        <v>138</v>
      </c>
      <c r="B153">
        <v>1769185554.0999999</v>
      </c>
      <c r="C153">
        <v>2691.0999999046298</v>
      </c>
      <c r="D153" t="s">
        <v>573</v>
      </c>
      <c r="E153" t="s">
        <v>574</v>
      </c>
      <c r="F153">
        <v>15</v>
      </c>
      <c r="G153">
        <v>1769185546.03333</v>
      </c>
      <c r="H153">
        <f t="shared" si="26"/>
        <v>3.2123952642914579E-4</v>
      </c>
      <c r="I153">
        <v>0</v>
      </c>
      <c r="J153">
        <f t="shared" si="38"/>
        <v>-6.2702744737496551E-3</v>
      </c>
      <c r="K153">
        <f t="shared" si="27"/>
        <v>-0.16421642969073968</v>
      </c>
      <c r="L153">
        <f t="shared" si="28"/>
        <v>74.967400944339133</v>
      </c>
      <c r="M153">
        <f t="shared" si="29"/>
        <v>1.639621359003604</v>
      </c>
      <c r="N153">
        <f t="shared" si="30"/>
        <v>2.187112449344442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26241.694837447663</v>
      </c>
      <c r="T153">
        <f t="shared" si="34"/>
        <v>499.99860000000001</v>
      </c>
      <c r="U153">
        <f t="shared" si="35"/>
        <v>421.4987072003151</v>
      </c>
      <c r="V153">
        <f t="shared" si="36"/>
        <v>0.84299977479999966</v>
      </c>
      <c r="W153">
        <f t="shared" si="37"/>
        <v>0.15869948896799996</v>
      </c>
      <c r="X153">
        <v>1</v>
      </c>
      <c r="Y153">
        <v>1769185546.03333</v>
      </c>
      <c r="Z153">
        <v>410.21019999999999</v>
      </c>
      <c r="AA153">
        <v>410.16966666666701</v>
      </c>
      <c r="AB153">
        <v>16.366326666666701</v>
      </c>
      <c r="AC153">
        <v>15.97152</v>
      </c>
      <c r="AD153">
        <v>411.20339999999999</v>
      </c>
      <c r="AE153">
        <v>16.2166</v>
      </c>
      <c r="AF153">
        <v>800.34619999999995</v>
      </c>
      <c r="AG153">
        <v>100.1156</v>
      </c>
      <c r="AH153">
        <v>6.7012286666666698E-2</v>
      </c>
      <c r="AI153">
        <v>18.8682266666667</v>
      </c>
      <c r="AJ153">
        <v>999.9</v>
      </c>
      <c r="AK153">
        <v>999.9</v>
      </c>
      <c r="AL153">
        <v>0</v>
      </c>
      <c r="AM153">
        <v>0</v>
      </c>
      <c r="AN153">
        <v>4996.2666666666701</v>
      </c>
      <c r="AO153">
        <v>0</v>
      </c>
      <c r="AP153">
        <v>1.9793293333333299</v>
      </c>
      <c r="AQ153">
        <v>4.0439860000000001E-2</v>
      </c>
      <c r="AR153">
        <v>417.03553333333298</v>
      </c>
      <c r="AS153">
        <v>416.82706666666701</v>
      </c>
      <c r="AT153">
        <v>0.39480577480000001</v>
      </c>
      <c r="AU153">
        <v>410.16966666666701</v>
      </c>
      <c r="AV153">
        <v>15.97152</v>
      </c>
      <c r="AW153">
        <v>1.63852333333333</v>
      </c>
      <c r="AX153">
        <v>1.59899666666667</v>
      </c>
      <c r="AY153">
        <v>14.3259266666667</v>
      </c>
      <c r="AZ153">
        <v>13.947013333333301</v>
      </c>
      <c r="BA153">
        <v>499.99860000000001</v>
      </c>
      <c r="BB153">
        <v>0.90000673333333303</v>
      </c>
      <c r="BC153">
        <v>0</v>
      </c>
      <c r="BD153">
        <v>9.9993239999999997E-2</v>
      </c>
      <c r="BE153">
        <v>0</v>
      </c>
      <c r="BF153">
        <v>25</v>
      </c>
      <c r="BG153">
        <v>8244.3893333333308</v>
      </c>
      <c r="BH153">
        <v>1769185537.0999999</v>
      </c>
      <c r="BI153" t="s">
        <v>570</v>
      </c>
      <c r="BJ153">
        <v>1769185537.0999999</v>
      </c>
      <c r="BK153">
        <v>1769185535.0999999</v>
      </c>
      <c r="BL153">
        <v>5</v>
      </c>
      <c r="BM153">
        <v>1.4999999999999999E-2</v>
      </c>
      <c r="BN153">
        <v>4.2999999999999997E-2</v>
      </c>
      <c r="BO153">
        <v>-0.99299999999999999</v>
      </c>
      <c r="BP153">
        <v>0.15</v>
      </c>
      <c r="BQ153">
        <v>410</v>
      </c>
      <c r="BR153">
        <v>16</v>
      </c>
      <c r="BS153">
        <v>0.2</v>
      </c>
      <c r="BT153">
        <v>0.05</v>
      </c>
      <c r="BU153">
        <v>2.8003513333333299E-2</v>
      </c>
      <c r="BV153">
        <v>0.138218412467532</v>
      </c>
      <c r="BW153">
        <v>2.9549002110047701E-2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0.275800431719048</v>
      </c>
      <c r="CD153">
        <v>2.76551619594545</v>
      </c>
      <c r="CE153">
        <v>0.288733092332148</v>
      </c>
      <c r="CF153">
        <v>0</v>
      </c>
      <c r="CG153">
        <v>1</v>
      </c>
      <c r="CH153">
        <v>2</v>
      </c>
      <c r="CI153" t="s">
        <v>301</v>
      </c>
      <c r="CJ153">
        <v>3.5325099999999998</v>
      </c>
      <c r="CK153">
        <v>2.7032600000000002</v>
      </c>
      <c r="CL153">
        <v>9.8045400000000005E-2</v>
      </c>
      <c r="CM153">
        <v>9.6655500000000005E-2</v>
      </c>
      <c r="CN153">
        <v>9.0625700000000003E-2</v>
      </c>
      <c r="CO153">
        <v>8.6626400000000006E-2</v>
      </c>
      <c r="CP153">
        <v>31621.9</v>
      </c>
      <c r="CQ153">
        <v>27766.400000000001</v>
      </c>
      <c r="CR153">
        <v>32448.5</v>
      </c>
      <c r="CS153">
        <v>30664.2</v>
      </c>
      <c r="CT153">
        <v>39947.1</v>
      </c>
      <c r="CU153">
        <v>39373</v>
      </c>
      <c r="CV153">
        <v>47383.8</v>
      </c>
      <c r="CW153">
        <v>46756</v>
      </c>
      <c r="CX153">
        <v>2.6208800000000001</v>
      </c>
      <c r="CY153">
        <v>2.1351800000000001</v>
      </c>
      <c r="CZ153">
        <v>0</v>
      </c>
      <c r="DA153">
        <v>0</v>
      </c>
      <c r="DB153">
        <v>999.9</v>
      </c>
      <c r="DC153">
        <v>999.9</v>
      </c>
      <c r="DD153">
        <v>60.469000000000001</v>
      </c>
      <c r="DE153">
        <v>26.303999999999998</v>
      </c>
      <c r="DF153">
        <v>20.7498</v>
      </c>
      <c r="DG153">
        <v>30.510200000000001</v>
      </c>
      <c r="DH153">
        <v>17.756399999999999</v>
      </c>
      <c r="DI153">
        <v>2</v>
      </c>
      <c r="DJ153">
        <v>-0.12138599999999999</v>
      </c>
      <c r="DK153">
        <v>1.8783000000000001</v>
      </c>
      <c r="DL153">
        <v>20.2133</v>
      </c>
      <c r="DM153">
        <v>5.2519099999999996</v>
      </c>
      <c r="DN153">
        <v>12.033899999999999</v>
      </c>
      <c r="DO153">
        <v>4.9674800000000001</v>
      </c>
      <c r="DP153">
        <v>3.2909999999999999</v>
      </c>
      <c r="DQ153">
        <v>9999</v>
      </c>
      <c r="DR153">
        <v>9999</v>
      </c>
      <c r="DS153">
        <v>534.70000000000005</v>
      </c>
      <c r="DT153">
        <v>9999</v>
      </c>
      <c r="DU153">
        <v>1.8710599999999999</v>
      </c>
      <c r="DV153">
        <v>1.87609</v>
      </c>
      <c r="DW153">
        <v>1.8763000000000001</v>
      </c>
      <c r="DX153">
        <v>1.8828100000000001</v>
      </c>
      <c r="DY153">
        <v>1.87561</v>
      </c>
      <c r="DZ153">
        <v>1.87466</v>
      </c>
      <c r="EA153">
        <v>1.87077</v>
      </c>
      <c r="EB153">
        <v>1.8746799999999999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-0.99299999999999999</v>
      </c>
      <c r="EQ153">
        <v>0.14979999999999999</v>
      </c>
      <c r="ER153">
        <v>-0.99329999999997698</v>
      </c>
      <c r="ES153">
        <v>0</v>
      </c>
      <c r="ET153">
        <v>0</v>
      </c>
      <c r="EU153">
        <v>0</v>
      </c>
      <c r="EV153">
        <v>0.149730000000002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0.3</v>
      </c>
      <c r="FE153">
        <v>0.3</v>
      </c>
      <c r="FF153">
        <v>1.2390099999999999</v>
      </c>
      <c r="FG153">
        <v>2.5671400000000002</v>
      </c>
      <c r="FH153">
        <v>2.19604</v>
      </c>
      <c r="FI153">
        <v>2.66113</v>
      </c>
      <c r="FJ153">
        <v>2.4462899999999999</v>
      </c>
      <c r="FK153">
        <v>2.2814899999999998</v>
      </c>
      <c r="FL153">
        <v>31.2591</v>
      </c>
      <c r="FM153">
        <v>24.14</v>
      </c>
      <c r="FN153">
        <v>19</v>
      </c>
      <c r="FO153">
        <v>862.52700000000004</v>
      </c>
      <c r="FP153">
        <v>579.50699999999995</v>
      </c>
      <c r="FQ153">
        <v>18.0595</v>
      </c>
      <c r="FR153">
        <v>25.4709</v>
      </c>
      <c r="FS153">
        <v>30.0001</v>
      </c>
      <c r="FT153">
        <v>25.439900000000002</v>
      </c>
      <c r="FU153">
        <v>25.437799999999999</v>
      </c>
      <c r="FV153">
        <v>24.863800000000001</v>
      </c>
      <c r="FW153">
        <v>29.710999999999999</v>
      </c>
      <c r="FX153">
        <v>7.6010099999999996</v>
      </c>
      <c r="FY153">
        <v>18.1158</v>
      </c>
      <c r="FZ153">
        <v>410</v>
      </c>
      <c r="GA153">
        <v>15.1683</v>
      </c>
      <c r="GB153">
        <v>99.848399999999998</v>
      </c>
      <c r="GC153">
        <v>99.540199999999999</v>
      </c>
    </row>
    <row r="154" spans="1:185" x14ac:dyDescent="0.2">
      <c r="A154">
        <v>139</v>
      </c>
      <c r="B154">
        <v>1769185569.0999999</v>
      </c>
      <c r="C154">
        <v>2706.0999999046298</v>
      </c>
      <c r="D154" t="s">
        <v>575</v>
      </c>
      <c r="E154" t="s">
        <v>576</v>
      </c>
      <c r="F154">
        <v>15</v>
      </c>
      <c r="G154">
        <v>1769185561.03333</v>
      </c>
      <c r="H154">
        <f t="shared" si="26"/>
        <v>7.3366752792965347E-4</v>
      </c>
      <c r="I154">
        <v>0</v>
      </c>
      <c r="J154">
        <f t="shared" si="38"/>
        <v>-1.120201055371199E-2</v>
      </c>
      <c r="K154">
        <f t="shared" si="27"/>
        <v>-0.29337697834278476</v>
      </c>
      <c r="L154">
        <f t="shared" si="28"/>
        <v>73.800072549800504</v>
      </c>
      <c r="M154">
        <f t="shared" si="29"/>
        <v>1.6164668946736191</v>
      </c>
      <c r="N154">
        <f t="shared" si="30"/>
        <v>2.1903323924008644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26271.682598816791</v>
      </c>
      <c r="T154">
        <f t="shared" si="34"/>
        <v>499.99993333333299</v>
      </c>
      <c r="U154">
        <f t="shared" si="35"/>
        <v>421.49976660002341</v>
      </c>
      <c r="V154">
        <f t="shared" si="36"/>
        <v>0.84299964560000018</v>
      </c>
      <c r="W154">
        <f t="shared" si="37"/>
        <v>0.15869921793600006</v>
      </c>
      <c r="X154">
        <v>1</v>
      </c>
      <c r="Y154">
        <v>1769185561.03333</v>
      </c>
      <c r="Z154">
        <v>410.054466666667</v>
      </c>
      <c r="AA154">
        <v>410.06380000000001</v>
      </c>
      <c r="AB154">
        <v>16.135393333333301</v>
      </c>
      <c r="AC154">
        <v>15.2331066666667</v>
      </c>
      <c r="AD154">
        <v>411.04773333333299</v>
      </c>
      <c r="AE154">
        <v>15.985659999999999</v>
      </c>
      <c r="AF154">
        <v>800.00019999999995</v>
      </c>
      <c r="AG154">
        <v>100.116066666667</v>
      </c>
      <c r="AH154">
        <v>6.5370579999999998E-2</v>
      </c>
      <c r="AI154">
        <v>18.891780000000001</v>
      </c>
      <c r="AJ154">
        <v>999.9</v>
      </c>
      <c r="AK154">
        <v>999.9</v>
      </c>
      <c r="AL154">
        <v>0</v>
      </c>
      <c r="AM154">
        <v>0</v>
      </c>
      <c r="AN154">
        <v>5001.5333333333301</v>
      </c>
      <c r="AO154">
        <v>0</v>
      </c>
      <c r="AP154">
        <v>1.9760899999999999</v>
      </c>
      <c r="AQ154">
        <v>-9.4604606666666702E-3</v>
      </c>
      <c r="AR154">
        <v>416.77946666666702</v>
      </c>
      <c r="AS154">
        <v>416.40706666666699</v>
      </c>
      <c r="AT154">
        <v>0.90229146666666704</v>
      </c>
      <c r="AU154">
        <v>410.06380000000001</v>
      </c>
      <c r="AV154">
        <v>15.2331066666667</v>
      </c>
      <c r="AW154">
        <v>1.6154126666666699</v>
      </c>
      <c r="AX154">
        <v>1.52507866666667</v>
      </c>
      <c r="AY154">
        <v>14.106386666666699</v>
      </c>
      <c r="AZ154">
        <v>13.2211933333333</v>
      </c>
      <c r="BA154">
        <v>499.99993333333299</v>
      </c>
      <c r="BB154">
        <v>0.90001026666666695</v>
      </c>
      <c r="BC154">
        <v>0</v>
      </c>
      <c r="BD154">
        <v>9.9989679999999997E-2</v>
      </c>
      <c r="BE154">
        <v>0</v>
      </c>
      <c r="BF154">
        <v>25</v>
      </c>
      <c r="BG154">
        <v>8244.4140000000007</v>
      </c>
      <c r="BH154">
        <v>1769185537.0999999</v>
      </c>
      <c r="BI154" t="s">
        <v>570</v>
      </c>
      <c r="BJ154">
        <v>1769185537.0999999</v>
      </c>
      <c r="BK154">
        <v>1769185535.0999999</v>
      </c>
      <c r="BL154">
        <v>5</v>
      </c>
      <c r="BM154">
        <v>1.4999999999999999E-2</v>
      </c>
      <c r="BN154">
        <v>4.2999999999999997E-2</v>
      </c>
      <c r="BO154">
        <v>-0.99299999999999999</v>
      </c>
      <c r="BP154">
        <v>0.15</v>
      </c>
      <c r="BQ154">
        <v>410</v>
      </c>
      <c r="BR154">
        <v>16</v>
      </c>
      <c r="BS154">
        <v>0.2</v>
      </c>
      <c r="BT154">
        <v>0.05</v>
      </c>
      <c r="BU154">
        <v>-1.52600499999998E-4</v>
      </c>
      <c r="BV154">
        <v>-0.358773917142857</v>
      </c>
      <c r="BW154">
        <v>4.6413669142517801E-2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0.84657534999999995</v>
      </c>
      <c r="CD154">
        <v>1.1774747819548901</v>
      </c>
      <c r="CE154">
        <v>0.11721663570853499</v>
      </c>
      <c r="CF154">
        <v>0</v>
      </c>
      <c r="CG154">
        <v>1</v>
      </c>
      <c r="CH154">
        <v>2</v>
      </c>
      <c r="CI154" t="s">
        <v>301</v>
      </c>
      <c r="CJ154">
        <v>3.5324599999999999</v>
      </c>
      <c r="CK154">
        <v>2.70295</v>
      </c>
      <c r="CL154">
        <v>9.7992700000000002E-2</v>
      </c>
      <c r="CM154">
        <v>9.6631400000000006E-2</v>
      </c>
      <c r="CN154">
        <v>8.9321700000000004E-2</v>
      </c>
      <c r="CO154">
        <v>8.4498799999999999E-2</v>
      </c>
      <c r="CP154">
        <v>31623.8</v>
      </c>
      <c r="CQ154">
        <v>27767.200000000001</v>
      </c>
      <c r="CR154">
        <v>32448.6</v>
      </c>
      <c r="CS154">
        <v>30664.400000000001</v>
      </c>
      <c r="CT154">
        <v>40006.5</v>
      </c>
      <c r="CU154">
        <v>39467.599999999999</v>
      </c>
      <c r="CV154">
        <v>47384.1</v>
      </c>
      <c r="CW154">
        <v>46756.2</v>
      </c>
      <c r="CX154">
        <v>2.6227399999999998</v>
      </c>
      <c r="CY154">
        <v>2.1350600000000002</v>
      </c>
      <c r="CZ154">
        <v>0</v>
      </c>
      <c r="DA154">
        <v>0</v>
      </c>
      <c r="DB154">
        <v>999.9</v>
      </c>
      <c r="DC154">
        <v>999.9</v>
      </c>
      <c r="DD154">
        <v>60.402000000000001</v>
      </c>
      <c r="DE154">
        <v>26.314</v>
      </c>
      <c r="DF154">
        <v>20.740300000000001</v>
      </c>
      <c r="DG154">
        <v>30.420200000000001</v>
      </c>
      <c r="DH154">
        <v>17.7684</v>
      </c>
      <c r="DI154">
        <v>2</v>
      </c>
      <c r="DJ154">
        <v>-0.12105299999999999</v>
      </c>
      <c r="DK154">
        <v>1.7200599999999999</v>
      </c>
      <c r="DL154">
        <v>20.214600000000001</v>
      </c>
      <c r="DM154">
        <v>5.2498800000000001</v>
      </c>
      <c r="DN154">
        <v>12.033899999999999</v>
      </c>
      <c r="DO154">
        <v>4.9673999999999996</v>
      </c>
      <c r="DP154">
        <v>3.2907600000000001</v>
      </c>
      <c r="DQ154">
        <v>9999</v>
      </c>
      <c r="DR154">
        <v>9999</v>
      </c>
      <c r="DS154">
        <v>534.70000000000005</v>
      </c>
      <c r="DT154">
        <v>9999</v>
      </c>
      <c r="DU154">
        <v>1.87104</v>
      </c>
      <c r="DV154">
        <v>1.87608</v>
      </c>
      <c r="DW154">
        <v>1.8763000000000001</v>
      </c>
      <c r="DX154">
        <v>1.88279</v>
      </c>
      <c r="DY154">
        <v>1.87561</v>
      </c>
      <c r="DZ154">
        <v>1.8746700000000001</v>
      </c>
      <c r="EA154">
        <v>1.8707499999999999</v>
      </c>
      <c r="EB154">
        <v>1.8746400000000001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-0.99399999999999999</v>
      </c>
      <c r="EQ154">
        <v>0.14979999999999999</v>
      </c>
      <c r="ER154">
        <v>-0.99329999999997698</v>
      </c>
      <c r="ES154">
        <v>0</v>
      </c>
      <c r="ET154">
        <v>0</v>
      </c>
      <c r="EU154">
        <v>0</v>
      </c>
      <c r="EV154">
        <v>0.149730000000002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0.5</v>
      </c>
      <c r="FE154">
        <v>0.6</v>
      </c>
      <c r="FF154">
        <v>1.2377899999999999</v>
      </c>
      <c r="FG154">
        <v>2.5622600000000002</v>
      </c>
      <c r="FH154">
        <v>2.19604</v>
      </c>
      <c r="FI154">
        <v>2.66235</v>
      </c>
      <c r="FJ154">
        <v>2.4462899999999999</v>
      </c>
      <c r="FK154">
        <v>2.2778299999999998</v>
      </c>
      <c r="FL154">
        <v>31.2591</v>
      </c>
      <c r="FM154">
        <v>24.148800000000001</v>
      </c>
      <c r="FN154">
        <v>19</v>
      </c>
      <c r="FO154">
        <v>864.34100000000001</v>
      </c>
      <c r="FP154">
        <v>579.48699999999997</v>
      </c>
      <c r="FQ154">
        <v>18.3154</v>
      </c>
      <c r="FR154">
        <v>25.480799999999999</v>
      </c>
      <c r="FS154">
        <v>30.0002</v>
      </c>
      <c r="FT154">
        <v>25.445399999999999</v>
      </c>
      <c r="FU154">
        <v>25.444199999999999</v>
      </c>
      <c r="FV154">
        <v>24.860399999999998</v>
      </c>
      <c r="FW154">
        <v>30.940200000000001</v>
      </c>
      <c r="FX154">
        <v>7.2195600000000004</v>
      </c>
      <c r="FY154">
        <v>18.352699999999999</v>
      </c>
      <c r="FZ154">
        <v>410</v>
      </c>
      <c r="GA154">
        <v>14.829800000000001</v>
      </c>
      <c r="GB154">
        <v>99.848799999999997</v>
      </c>
      <c r="GC154">
        <v>99.540700000000001</v>
      </c>
    </row>
    <row r="155" spans="1:185" x14ac:dyDescent="0.2">
      <c r="A155">
        <v>140</v>
      </c>
      <c r="B155">
        <v>1769185584.0999999</v>
      </c>
      <c r="C155">
        <v>2721.0999999046298</v>
      </c>
      <c r="D155" t="s">
        <v>577</v>
      </c>
      <c r="E155" t="s">
        <v>578</v>
      </c>
      <c r="F155">
        <v>15</v>
      </c>
      <c r="G155">
        <v>1769185576.03333</v>
      </c>
      <c r="H155">
        <f t="shared" si="26"/>
        <v>7.8318952349828162E-4</v>
      </c>
      <c r="I155">
        <v>0</v>
      </c>
      <c r="J155">
        <f t="shared" si="38"/>
        <v>-6.6108856621391512E-3</v>
      </c>
      <c r="K155">
        <f t="shared" si="27"/>
        <v>-0.17313692487866311</v>
      </c>
      <c r="L155">
        <f t="shared" si="28"/>
        <v>72.274824358681059</v>
      </c>
      <c r="M155">
        <f t="shared" si="29"/>
        <v>1.5869506310409851</v>
      </c>
      <c r="N155">
        <f t="shared" si="30"/>
        <v>2.1957170358040083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26276.766324605804</v>
      </c>
      <c r="T155">
        <f t="shared" si="34"/>
        <v>500.00020000000001</v>
      </c>
      <c r="U155">
        <f t="shared" si="35"/>
        <v>421.50004069994895</v>
      </c>
      <c r="V155">
        <f t="shared" si="36"/>
        <v>0.84299974420000023</v>
      </c>
      <c r="W155">
        <f t="shared" si="37"/>
        <v>0.15869924357200005</v>
      </c>
      <c r="X155">
        <v>1</v>
      </c>
      <c r="Y155">
        <v>1769185576.03333</v>
      </c>
      <c r="Z155">
        <v>409.834133333333</v>
      </c>
      <c r="AA155">
        <v>410.018933333333</v>
      </c>
      <c r="AB155">
        <v>15.840733333333301</v>
      </c>
      <c r="AC155">
        <v>14.87726</v>
      </c>
      <c r="AD155">
        <v>410.82740000000001</v>
      </c>
      <c r="AE155">
        <v>15.690993333333299</v>
      </c>
      <c r="AF155">
        <v>800.00473333333298</v>
      </c>
      <c r="AG155">
        <v>100.116533333333</v>
      </c>
      <c r="AH155">
        <v>6.5105839999999998E-2</v>
      </c>
      <c r="AI155">
        <v>18.931100000000001</v>
      </c>
      <c r="AJ155">
        <v>999.9</v>
      </c>
      <c r="AK155">
        <v>999.9</v>
      </c>
      <c r="AL155">
        <v>0</v>
      </c>
      <c r="AM155">
        <v>0</v>
      </c>
      <c r="AN155">
        <v>5002.9333333333298</v>
      </c>
      <c r="AO155">
        <v>0</v>
      </c>
      <c r="AP155">
        <v>1.9760899999999999</v>
      </c>
      <c r="AQ155">
        <v>-0.18479606666666701</v>
      </c>
      <c r="AR155">
        <v>416.43060000000003</v>
      </c>
      <c r="AS155">
        <v>416.21086666666702</v>
      </c>
      <c r="AT155">
        <v>0.96346980000000004</v>
      </c>
      <c r="AU155">
        <v>410.018933333333</v>
      </c>
      <c r="AV155">
        <v>14.87726</v>
      </c>
      <c r="AW155">
        <v>1.58592133333333</v>
      </c>
      <c r="AX155">
        <v>1.4894593333333299</v>
      </c>
      <c r="AY155">
        <v>13.822513333333299</v>
      </c>
      <c r="AZ155">
        <v>12.8602666666667</v>
      </c>
      <c r="BA155">
        <v>500.00020000000001</v>
      </c>
      <c r="BB155">
        <v>0.90001026666666695</v>
      </c>
      <c r="BC155">
        <v>0</v>
      </c>
      <c r="BD155">
        <v>9.9989793333333299E-2</v>
      </c>
      <c r="BE155">
        <v>0</v>
      </c>
      <c r="BF155">
        <v>25</v>
      </c>
      <c r="BG155">
        <v>8244.42</v>
      </c>
      <c r="BH155">
        <v>1769185537.0999999</v>
      </c>
      <c r="BI155" t="s">
        <v>570</v>
      </c>
      <c r="BJ155">
        <v>1769185537.0999999</v>
      </c>
      <c r="BK155">
        <v>1769185535.0999999</v>
      </c>
      <c r="BL155">
        <v>5</v>
      </c>
      <c r="BM155">
        <v>1.4999999999999999E-2</v>
      </c>
      <c r="BN155">
        <v>4.2999999999999997E-2</v>
      </c>
      <c r="BO155">
        <v>-0.99299999999999999</v>
      </c>
      <c r="BP155">
        <v>0.15</v>
      </c>
      <c r="BQ155">
        <v>410</v>
      </c>
      <c r="BR155">
        <v>16</v>
      </c>
      <c r="BS155">
        <v>0.2</v>
      </c>
      <c r="BT155">
        <v>0.05</v>
      </c>
      <c r="BU155">
        <v>-0.14499332857142899</v>
      </c>
      <c r="BV155">
        <v>-0.57358768051948095</v>
      </c>
      <c r="BW155">
        <v>7.27801758777573E-2</v>
      </c>
      <c r="BX155">
        <v>0</v>
      </c>
      <c r="BY155">
        <v>0</v>
      </c>
      <c r="BZ155">
        <v>0</v>
      </c>
      <c r="CA155">
        <v>0</v>
      </c>
      <c r="CB155">
        <v>-1</v>
      </c>
      <c r="CC155">
        <v>0.96424923809523799</v>
      </c>
      <c r="CD155">
        <v>-5.26852987012984E-2</v>
      </c>
      <c r="CE155">
        <v>1.1354050227225399E-2</v>
      </c>
      <c r="CF155">
        <v>1</v>
      </c>
      <c r="CG155">
        <v>1</v>
      </c>
      <c r="CH155">
        <v>2</v>
      </c>
      <c r="CI155" t="s">
        <v>301</v>
      </c>
      <c r="CJ155">
        <v>3.5325099999999998</v>
      </c>
      <c r="CK155">
        <v>2.7032400000000001</v>
      </c>
      <c r="CL155">
        <v>9.7971600000000006E-2</v>
      </c>
      <c r="CM155">
        <v>9.6632399999999993E-2</v>
      </c>
      <c r="CN155">
        <v>8.8223800000000005E-2</v>
      </c>
      <c r="CO155">
        <v>8.3591600000000002E-2</v>
      </c>
      <c r="CP155">
        <v>31623.8</v>
      </c>
      <c r="CQ155">
        <v>27766.1</v>
      </c>
      <c r="CR155">
        <v>32447.9</v>
      </c>
      <c r="CS155">
        <v>30663.3</v>
      </c>
      <c r="CT155">
        <v>40055.300000000003</v>
      </c>
      <c r="CU155">
        <v>39506.300000000003</v>
      </c>
      <c r="CV155">
        <v>47382.9</v>
      </c>
      <c r="CW155">
        <v>46754.3</v>
      </c>
      <c r="CX155">
        <v>2.6229</v>
      </c>
      <c r="CY155">
        <v>2.13422</v>
      </c>
      <c r="CZ155">
        <v>0</v>
      </c>
      <c r="DA155">
        <v>0</v>
      </c>
      <c r="DB155">
        <v>999.9</v>
      </c>
      <c r="DC155">
        <v>999.9</v>
      </c>
      <c r="DD155">
        <v>60.316000000000003</v>
      </c>
      <c r="DE155">
        <v>26.314</v>
      </c>
      <c r="DF155">
        <v>20.709800000000001</v>
      </c>
      <c r="DG155">
        <v>30.270199999999999</v>
      </c>
      <c r="DH155">
        <v>17.8005</v>
      </c>
      <c r="DI155">
        <v>2</v>
      </c>
      <c r="DJ155">
        <v>-0.120409</v>
      </c>
      <c r="DK155">
        <v>1.6889799999999999</v>
      </c>
      <c r="DL155">
        <v>20.2151</v>
      </c>
      <c r="DM155">
        <v>5.2513100000000001</v>
      </c>
      <c r="DN155">
        <v>12.033899999999999</v>
      </c>
      <c r="DO155">
        <v>4.9676</v>
      </c>
      <c r="DP155">
        <v>3.2909999999999999</v>
      </c>
      <c r="DQ155">
        <v>9999</v>
      </c>
      <c r="DR155">
        <v>9999</v>
      </c>
      <c r="DS155">
        <v>534.70000000000005</v>
      </c>
      <c r="DT155">
        <v>9999</v>
      </c>
      <c r="DU155">
        <v>1.87103</v>
      </c>
      <c r="DV155">
        <v>1.8760699999999999</v>
      </c>
      <c r="DW155">
        <v>1.8763000000000001</v>
      </c>
      <c r="DX155">
        <v>1.8827799999999999</v>
      </c>
      <c r="DY155">
        <v>1.87558</v>
      </c>
      <c r="DZ155">
        <v>1.8746499999999999</v>
      </c>
      <c r="EA155">
        <v>1.8707400000000001</v>
      </c>
      <c r="EB155">
        <v>1.8746499999999999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-0.99299999999999999</v>
      </c>
      <c r="EQ155">
        <v>0.1497</v>
      </c>
      <c r="ER155">
        <v>-0.99329999999997698</v>
      </c>
      <c r="ES155">
        <v>0</v>
      </c>
      <c r="ET155">
        <v>0</v>
      </c>
      <c r="EU155">
        <v>0</v>
      </c>
      <c r="EV155">
        <v>0.149730000000002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0.8</v>
      </c>
      <c r="FE155">
        <v>0.8</v>
      </c>
      <c r="FF155">
        <v>1.2377899999999999</v>
      </c>
      <c r="FG155">
        <v>2.5671400000000002</v>
      </c>
      <c r="FH155">
        <v>2.19604</v>
      </c>
      <c r="FI155">
        <v>2.66235</v>
      </c>
      <c r="FJ155">
        <v>2.4462899999999999</v>
      </c>
      <c r="FK155">
        <v>2.2924799999999999</v>
      </c>
      <c r="FL155">
        <v>31.280899999999999</v>
      </c>
      <c r="FM155">
        <v>24.148800000000001</v>
      </c>
      <c r="FN155">
        <v>19</v>
      </c>
      <c r="FO155">
        <v>864.6</v>
      </c>
      <c r="FP155">
        <v>578.92200000000003</v>
      </c>
      <c r="FQ155">
        <v>18.489699999999999</v>
      </c>
      <c r="FR155">
        <v>25.488900000000001</v>
      </c>
      <c r="FS155">
        <v>30.0002</v>
      </c>
      <c r="FT155">
        <v>25.452300000000001</v>
      </c>
      <c r="FU155">
        <v>25.4514</v>
      </c>
      <c r="FV155">
        <v>24.856200000000001</v>
      </c>
      <c r="FW155">
        <v>31.794499999999999</v>
      </c>
      <c r="FX155">
        <v>6.8356000000000003</v>
      </c>
      <c r="FY155">
        <v>18.508400000000002</v>
      </c>
      <c r="FZ155">
        <v>410</v>
      </c>
      <c r="GA155">
        <v>14.65</v>
      </c>
      <c r="GB155">
        <v>99.846500000000006</v>
      </c>
      <c r="GC155">
        <v>99.537000000000006</v>
      </c>
    </row>
    <row r="156" spans="1:185" x14ac:dyDescent="0.2">
      <c r="A156">
        <v>141</v>
      </c>
      <c r="B156">
        <v>1769185599.0999999</v>
      </c>
      <c r="C156">
        <v>2736.0999999046298</v>
      </c>
      <c r="D156" t="s">
        <v>579</v>
      </c>
      <c r="E156" t="s">
        <v>580</v>
      </c>
      <c r="F156">
        <v>15</v>
      </c>
      <c r="G156">
        <v>1769185591.03333</v>
      </c>
      <c r="H156">
        <f t="shared" si="26"/>
        <v>7.413014758169841E-4</v>
      </c>
      <c r="I156">
        <v>0</v>
      </c>
      <c r="J156">
        <f t="shared" si="38"/>
        <v>-2.7283964956016475E-3</v>
      </c>
      <c r="K156">
        <f t="shared" si="27"/>
        <v>-7.1455808380345723E-2</v>
      </c>
      <c r="L156">
        <f t="shared" si="28"/>
        <v>71.069008959165316</v>
      </c>
      <c r="M156">
        <f t="shared" si="29"/>
        <v>1.5650809143465476</v>
      </c>
      <c r="N156">
        <f t="shared" si="30"/>
        <v>2.2021988729937245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26254.277831092037</v>
      </c>
      <c r="T156">
        <f t="shared" si="34"/>
        <v>499.99893333333301</v>
      </c>
      <c r="U156">
        <f t="shared" si="35"/>
        <v>421.49900180021103</v>
      </c>
      <c r="V156">
        <f t="shared" si="36"/>
        <v>0.84299980200000024</v>
      </c>
      <c r="W156">
        <f t="shared" si="37"/>
        <v>0.15869924516000003</v>
      </c>
      <c r="X156">
        <v>1</v>
      </c>
      <c r="Y156">
        <v>1769185591.03333</v>
      </c>
      <c r="Z156">
        <v>409.71660000000003</v>
      </c>
      <c r="AA156">
        <v>410.006933333333</v>
      </c>
      <c r="AB156">
        <v>15.6223333333333</v>
      </c>
      <c r="AC156">
        <v>14.710186666666701</v>
      </c>
      <c r="AD156">
        <v>410.70986666666698</v>
      </c>
      <c r="AE156">
        <v>15.4726133333333</v>
      </c>
      <c r="AF156">
        <v>800.00360000000001</v>
      </c>
      <c r="AG156">
        <v>100.1172</v>
      </c>
      <c r="AH156">
        <v>6.5076293333333299E-2</v>
      </c>
      <c r="AI156">
        <v>18.97832</v>
      </c>
      <c r="AJ156">
        <v>999.9</v>
      </c>
      <c r="AK156">
        <v>999.9</v>
      </c>
      <c r="AL156">
        <v>0</v>
      </c>
      <c r="AM156">
        <v>0</v>
      </c>
      <c r="AN156">
        <v>4999.8999999999996</v>
      </c>
      <c r="AO156">
        <v>0</v>
      </c>
      <c r="AP156">
        <v>1.9760899999999999</v>
      </c>
      <c r="AQ156">
        <v>-0.29037886666666701</v>
      </c>
      <c r="AR156">
        <v>416.218866666667</v>
      </c>
      <c r="AS156">
        <v>416.12819999999999</v>
      </c>
      <c r="AT156">
        <v>0.91216106666666696</v>
      </c>
      <c r="AU156">
        <v>410.006933333333</v>
      </c>
      <c r="AV156">
        <v>14.710186666666701</v>
      </c>
      <c r="AW156">
        <v>1.5640653333333301</v>
      </c>
      <c r="AX156">
        <v>1.47274333333333</v>
      </c>
      <c r="AY156">
        <v>13.60918</v>
      </c>
      <c r="AZ156">
        <v>12.6880466666667</v>
      </c>
      <c r="BA156">
        <v>499.99893333333301</v>
      </c>
      <c r="BB156">
        <v>0.90001046666666695</v>
      </c>
      <c r="BC156">
        <v>0</v>
      </c>
      <c r="BD156">
        <v>9.9989666666666602E-2</v>
      </c>
      <c r="BE156">
        <v>0</v>
      </c>
      <c r="BF156">
        <v>25</v>
      </c>
      <c r="BG156">
        <v>8244.4</v>
      </c>
      <c r="BH156">
        <v>1769185537.0999999</v>
      </c>
      <c r="BI156" t="s">
        <v>570</v>
      </c>
      <c r="BJ156">
        <v>1769185537.0999999</v>
      </c>
      <c r="BK156">
        <v>1769185535.0999999</v>
      </c>
      <c r="BL156">
        <v>5</v>
      </c>
      <c r="BM156">
        <v>1.4999999999999999E-2</v>
      </c>
      <c r="BN156">
        <v>4.2999999999999997E-2</v>
      </c>
      <c r="BO156">
        <v>-0.99299999999999999</v>
      </c>
      <c r="BP156">
        <v>0.15</v>
      </c>
      <c r="BQ156">
        <v>410</v>
      </c>
      <c r="BR156">
        <v>16</v>
      </c>
      <c r="BS156">
        <v>0.2</v>
      </c>
      <c r="BT156">
        <v>0.05</v>
      </c>
      <c r="BU156">
        <v>-0.27103270000000002</v>
      </c>
      <c r="BV156">
        <v>-0.31956000000000001</v>
      </c>
      <c r="BW156">
        <v>6.2435383946204702E-2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0.92117705000000005</v>
      </c>
      <c r="CD156">
        <v>-0.29738404511278199</v>
      </c>
      <c r="CE156">
        <v>3.1111359398899599E-2</v>
      </c>
      <c r="CF156">
        <v>0</v>
      </c>
      <c r="CG156">
        <v>1</v>
      </c>
      <c r="CH156">
        <v>2</v>
      </c>
      <c r="CI156" t="s">
        <v>301</v>
      </c>
      <c r="CJ156">
        <v>3.5325299999999999</v>
      </c>
      <c r="CK156">
        <v>2.7029399999999999</v>
      </c>
      <c r="CL156">
        <v>9.7948400000000005E-2</v>
      </c>
      <c r="CM156">
        <v>9.6616499999999994E-2</v>
      </c>
      <c r="CN156">
        <v>8.7493600000000005E-2</v>
      </c>
      <c r="CO156">
        <v>8.3248199999999994E-2</v>
      </c>
      <c r="CP156">
        <v>31624.400000000001</v>
      </c>
      <c r="CQ156">
        <v>27766.400000000001</v>
      </c>
      <c r="CR156">
        <v>32447.7</v>
      </c>
      <c r="CS156">
        <v>30663.1</v>
      </c>
      <c r="CT156">
        <v>40088.6</v>
      </c>
      <c r="CU156">
        <v>39521.800000000003</v>
      </c>
      <c r="CV156">
        <v>47383.1</v>
      </c>
      <c r="CW156">
        <v>46754.7</v>
      </c>
      <c r="CX156">
        <v>2.6227</v>
      </c>
      <c r="CY156">
        <v>2.1338200000000001</v>
      </c>
      <c r="CZ156">
        <v>0</v>
      </c>
      <c r="DA156">
        <v>0</v>
      </c>
      <c r="DB156">
        <v>999.9</v>
      </c>
      <c r="DC156">
        <v>999.9</v>
      </c>
      <c r="DD156">
        <v>60.219000000000001</v>
      </c>
      <c r="DE156">
        <v>26.344000000000001</v>
      </c>
      <c r="DF156">
        <v>20.711300000000001</v>
      </c>
      <c r="DG156">
        <v>30.510200000000001</v>
      </c>
      <c r="DH156">
        <v>17.784500000000001</v>
      </c>
      <c r="DI156">
        <v>2</v>
      </c>
      <c r="DJ156">
        <v>-0.119518</v>
      </c>
      <c r="DK156">
        <v>1.77786</v>
      </c>
      <c r="DL156">
        <v>20.214099999999998</v>
      </c>
      <c r="DM156">
        <v>5.2515499999999999</v>
      </c>
      <c r="DN156">
        <v>12.033899999999999</v>
      </c>
      <c r="DO156">
        <v>4.9673600000000002</v>
      </c>
      <c r="DP156">
        <v>3.2909999999999999</v>
      </c>
      <c r="DQ156">
        <v>9999</v>
      </c>
      <c r="DR156">
        <v>9999</v>
      </c>
      <c r="DS156">
        <v>534.70000000000005</v>
      </c>
      <c r="DT156">
        <v>9999</v>
      </c>
      <c r="DU156">
        <v>1.87103</v>
      </c>
      <c r="DV156">
        <v>1.8760699999999999</v>
      </c>
      <c r="DW156">
        <v>1.87629</v>
      </c>
      <c r="DX156">
        <v>1.8827799999999999</v>
      </c>
      <c r="DY156">
        <v>1.8755900000000001</v>
      </c>
      <c r="DZ156">
        <v>1.8746</v>
      </c>
      <c r="EA156">
        <v>1.8707400000000001</v>
      </c>
      <c r="EB156">
        <v>1.8746499999999999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-0.99299999999999999</v>
      </c>
      <c r="EQ156">
        <v>0.1497</v>
      </c>
      <c r="ER156">
        <v>-0.99329999999997698</v>
      </c>
      <c r="ES156">
        <v>0</v>
      </c>
      <c r="ET156">
        <v>0</v>
      </c>
      <c r="EU156">
        <v>0</v>
      </c>
      <c r="EV156">
        <v>0.149730000000002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1</v>
      </c>
      <c r="FE156">
        <v>1.1000000000000001</v>
      </c>
      <c r="FF156">
        <v>1.2390099999999999</v>
      </c>
      <c r="FG156">
        <v>2.5598100000000001</v>
      </c>
      <c r="FH156">
        <v>2.19604</v>
      </c>
      <c r="FI156">
        <v>2.66235</v>
      </c>
      <c r="FJ156">
        <v>2.4462899999999999</v>
      </c>
      <c r="FK156">
        <v>2.2985799999999998</v>
      </c>
      <c r="FL156">
        <v>31.280899999999999</v>
      </c>
      <c r="FM156">
        <v>24.148800000000001</v>
      </c>
      <c r="FN156">
        <v>19</v>
      </c>
      <c r="FO156">
        <v>864.50300000000004</v>
      </c>
      <c r="FP156">
        <v>578.68499999999995</v>
      </c>
      <c r="FQ156">
        <v>18.572700000000001</v>
      </c>
      <c r="FR156">
        <v>25.494499999999999</v>
      </c>
      <c r="FS156">
        <v>30.000499999999999</v>
      </c>
      <c r="FT156">
        <v>25.457799999999999</v>
      </c>
      <c r="FU156">
        <v>25.457799999999999</v>
      </c>
      <c r="FV156">
        <v>24.858000000000001</v>
      </c>
      <c r="FW156">
        <v>31.794499999999999</v>
      </c>
      <c r="FX156">
        <v>6.8356000000000003</v>
      </c>
      <c r="FY156">
        <v>18.567499999999999</v>
      </c>
      <c r="FZ156">
        <v>410</v>
      </c>
      <c r="GA156">
        <v>14.6838</v>
      </c>
      <c r="GB156">
        <v>99.846500000000006</v>
      </c>
      <c r="GC156">
        <v>99.537099999999995</v>
      </c>
    </row>
    <row r="157" spans="1:185" x14ac:dyDescent="0.2">
      <c r="A157">
        <v>142</v>
      </c>
      <c r="B157">
        <v>1769185614.0999999</v>
      </c>
      <c r="C157">
        <v>2751.0999999046298</v>
      </c>
      <c r="D157" t="s">
        <v>581</v>
      </c>
      <c r="E157" t="s">
        <v>582</v>
      </c>
      <c r="F157">
        <v>15</v>
      </c>
      <c r="G157">
        <v>1769185606.03333</v>
      </c>
      <c r="H157">
        <f t="shared" si="26"/>
        <v>6.560338527687575E-4</v>
      </c>
      <c r="I157">
        <v>0</v>
      </c>
      <c r="J157">
        <f t="shared" si="38"/>
        <v>-2.2237741426852386E-3</v>
      </c>
      <c r="K157">
        <f t="shared" si="27"/>
        <v>-5.823991464475331E-2</v>
      </c>
      <c r="L157">
        <f t="shared" si="28"/>
        <v>70.299120026304593</v>
      </c>
      <c r="M157">
        <f t="shared" si="29"/>
        <v>1.5514856783521593</v>
      </c>
      <c r="N157">
        <f t="shared" si="30"/>
        <v>2.2069773814688189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26219.592051027179</v>
      </c>
      <c r="T157">
        <f t="shared" si="34"/>
        <v>499.99926666666698</v>
      </c>
      <c r="U157">
        <f t="shared" si="35"/>
        <v>421.49920500025939</v>
      </c>
      <c r="V157">
        <f t="shared" si="36"/>
        <v>0.84299964639999969</v>
      </c>
      <c r="W157">
        <f t="shared" si="37"/>
        <v>0.15869901206399994</v>
      </c>
      <c r="X157">
        <v>1</v>
      </c>
      <c r="Y157">
        <v>1769185606.03333</v>
      </c>
      <c r="Z157">
        <v>409.73599999999999</v>
      </c>
      <c r="AA157">
        <v>409.99919999999997</v>
      </c>
      <c r="AB157">
        <v>15.486219999999999</v>
      </c>
      <c r="AC157">
        <v>14.678879999999999</v>
      </c>
      <c r="AD157">
        <v>410.7294</v>
      </c>
      <c r="AE157">
        <v>15.3364933333333</v>
      </c>
      <c r="AF157">
        <v>800.00293333333298</v>
      </c>
      <c r="AG157">
        <v>100.119533333333</v>
      </c>
      <c r="AH157">
        <v>6.5384506666666703E-2</v>
      </c>
      <c r="AI157">
        <v>19.0130533333333</v>
      </c>
      <c r="AJ157">
        <v>999.9</v>
      </c>
      <c r="AK157">
        <v>999.9</v>
      </c>
      <c r="AL157">
        <v>0</v>
      </c>
      <c r="AM157">
        <v>0</v>
      </c>
      <c r="AN157">
        <v>4994.6000000000004</v>
      </c>
      <c r="AO157">
        <v>0</v>
      </c>
      <c r="AP157">
        <v>1.9760899999999999</v>
      </c>
      <c r="AQ157">
        <v>-0.26298413333333298</v>
      </c>
      <c r="AR157">
        <v>416.18119999999999</v>
      </c>
      <c r="AS157">
        <v>416.10713333333302</v>
      </c>
      <c r="AT157">
        <v>0.80735446666666699</v>
      </c>
      <c r="AU157">
        <v>409.99919999999997</v>
      </c>
      <c r="AV157">
        <v>14.678879999999999</v>
      </c>
      <c r="AW157">
        <v>1.5504726666666699</v>
      </c>
      <c r="AX157">
        <v>1.4696406666666699</v>
      </c>
      <c r="AY157">
        <v>13.475160000000001</v>
      </c>
      <c r="AZ157">
        <v>12.655900000000001</v>
      </c>
      <c r="BA157">
        <v>499.99926666666698</v>
      </c>
      <c r="BB157">
        <v>0.900013333333333</v>
      </c>
      <c r="BC157">
        <v>0</v>
      </c>
      <c r="BD157">
        <v>9.9986720000000001E-2</v>
      </c>
      <c r="BE157">
        <v>0</v>
      </c>
      <c r="BF157">
        <v>25</v>
      </c>
      <c r="BG157">
        <v>8244.4126666666707</v>
      </c>
      <c r="BH157">
        <v>1769185537.0999999</v>
      </c>
      <c r="BI157" t="s">
        <v>570</v>
      </c>
      <c r="BJ157">
        <v>1769185537.0999999</v>
      </c>
      <c r="BK157">
        <v>1769185535.0999999</v>
      </c>
      <c r="BL157">
        <v>5</v>
      </c>
      <c r="BM157">
        <v>1.4999999999999999E-2</v>
      </c>
      <c r="BN157">
        <v>4.2999999999999997E-2</v>
      </c>
      <c r="BO157">
        <v>-0.99299999999999999</v>
      </c>
      <c r="BP157">
        <v>0.15</v>
      </c>
      <c r="BQ157">
        <v>410</v>
      </c>
      <c r="BR157">
        <v>16</v>
      </c>
      <c r="BS157">
        <v>0.2</v>
      </c>
      <c r="BT157">
        <v>0.05</v>
      </c>
      <c r="BU157">
        <v>-0.28238200000000002</v>
      </c>
      <c r="BV157">
        <v>0.155706623376624</v>
      </c>
      <c r="BW157">
        <v>4.95369322982743E-2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0.827162333333333</v>
      </c>
      <c r="CD157">
        <v>-0.38995129870129902</v>
      </c>
      <c r="CE157">
        <v>3.9506272134137203E-2</v>
      </c>
      <c r="CF157">
        <v>0</v>
      </c>
      <c r="CG157">
        <v>1</v>
      </c>
      <c r="CH157">
        <v>2</v>
      </c>
      <c r="CI157" t="s">
        <v>301</v>
      </c>
      <c r="CJ157">
        <v>3.53254</v>
      </c>
      <c r="CK157">
        <v>2.7032500000000002</v>
      </c>
      <c r="CL157">
        <v>9.7955799999999996E-2</v>
      </c>
      <c r="CM157">
        <v>9.6619300000000005E-2</v>
      </c>
      <c r="CN157">
        <v>8.70147E-2</v>
      </c>
      <c r="CO157">
        <v>8.3172300000000005E-2</v>
      </c>
      <c r="CP157">
        <v>31622.400000000001</v>
      </c>
      <c r="CQ157">
        <v>27765.3</v>
      </c>
      <c r="CR157">
        <v>32446</v>
      </c>
      <c r="CS157">
        <v>30662</v>
      </c>
      <c r="CT157">
        <v>40108.300000000003</v>
      </c>
      <c r="CU157">
        <v>39523.9</v>
      </c>
      <c r="CV157">
        <v>47380.7</v>
      </c>
      <c r="CW157">
        <v>46753.1</v>
      </c>
      <c r="CX157">
        <v>2.6226799999999999</v>
      </c>
      <c r="CY157">
        <v>2.13348</v>
      </c>
      <c r="CZ157">
        <v>0</v>
      </c>
      <c r="DA157">
        <v>0</v>
      </c>
      <c r="DB157">
        <v>999.9</v>
      </c>
      <c r="DC157">
        <v>999.9</v>
      </c>
      <c r="DD157">
        <v>60.151000000000003</v>
      </c>
      <c r="DE157">
        <v>26.364999999999998</v>
      </c>
      <c r="DF157">
        <v>20.714700000000001</v>
      </c>
      <c r="DG157">
        <v>30.690200000000001</v>
      </c>
      <c r="DH157">
        <v>17.8566</v>
      </c>
      <c r="DI157">
        <v>2</v>
      </c>
      <c r="DJ157">
        <v>-0.113079</v>
      </c>
      <c r="DK157">
        <v>3.03626</v>
      </c>
      <c r="DL157">
        <v>20.191500000000001</v>
      </c>
      <c r="DM157">
        <v>5.2509499999999996</v>
      </c>
      <c r="DN157">
        <v>12.033899999999999</v>
      </c>
      <c r="DO157">
        <v>4.9674399999999999</v>
      </c>
      <c r="DP157">
        <v>3.2909999999999999</v>
      </c>
      <c r="DQ157">
        <v>9999</v>
      </c>
      <c r="DR157">
        <v>9999</v>
      </c>
      <c r="DS157">
        <v>534.70000000000005</v>
      </c>
      <c r="DT157">
        <v>9999</v>
      </c>
      <c r="DU157">
        <v>1.87104</v>
      </c>
      <c r="DV157">
        <v>1.87608</v>
      </c>
      <c r="DW157">
        <v>1.8763099999999999</v>
      </c>
      <c r="DX157">
        <v>1.8827799999999999</v>
      </c>
      <c r="DY157">
        <v>1.8755999999999999</v>
      </c>
      <c r="DZ157">
        <v>1.8746499999999999</v>
      </c>
      <c r="EA157">
        <v>1.8707499999999999</v>
      </c>
      <c r="EB157">
        <v>1.8746100000000001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-0.99299999999999999</v>
      </c>
      <c r="EQ157">
        <v>0.1497</v>
      </c>
      <c r="ER157">
        <v>-0.99329999999997698</v>
      </c>
      <c r="ES157">
        <v>0</v>
      </c>
      <c r="ET157">
        <v>0</v>
      </c>
      <c r="EU157">
        <v>0</v>
      </c>
      <c r="EV157">
        <v>0.149730000000002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1.3</v>
      </c>
      <c r="FE157">
        <v>1.3</v>
      </c>
      <c r="FF157">
        <v>1.2377899999999999</v>
      </c>
      <c r="FG157">
        <v>2.5720200000000002</v>
      </c>
      <c r="FH157">
        <v>2.19604</v>
      </c>
      <c r="FI157">
        <v>2.66113</v>
      </c>
      <c r="FJ157">
        <v>2.4462899999999999</v>
      </c>
      <c r="FK157">
        <v>2.2961399999999998</v>
      </c>
      <c r="FL157">
        <v>31.280899999999999</v>
      </c>
      <c r="FM157">
        <v>24.14</v>
      </c>
      <c r="FN157">
        <v>19</v>
      </c>
      <c r="FO157">
        <v>864.57500000000005</v>
      </c>
      <c r="FP157">
        <v>578.48699999999997</v>
      </c>
      <c r="FQ157">
        <v>17.861499999999999</v>
      </c>
      <c r="FR157">
        <v>25.499199999999998</v>
      </c>
      <c r="FS157">
        <v>29.9998</v>
      </c>
      <c r="FT157">
        <v>25.4634</v>
      </c>
      <c r="FU157">
        <v>25.4634</v>
      </c>
      <c r="FV157">
        <v>24.8567</v>
      </c>
      <c r="FW157">
        <v>31.794499999999999</v>
      </c>
      <c r="FX157">
        <v>6.4626299999999999</v>
      </c>
      <c r="FY157">
        <v>17.908100000000001</v>
      </c>
      <c r="FZ157">
        <v>410</v>
      </c>
      <c r="GA157">
        <v>14.7036</v>
      </c>
      <c r="GB157">
        <v>99.841300000000004</v>
      </c>
      <c r="GC157">
        <v>99.533799999999999</v>
      </c>
    </row>
    <row r="158" spans="1:185" x14ac:dyDescent="0.2">
      <c r="A158">
        <v>143</v>
      </c>
      <c r="B158">
        <v>1769185629.0999999</v>
      </c>
      <c r="C158">
        <v>2766.0999999046298</v>
      </c>
      <c r="D158" t="s">
        <v>583</v>
      </c>
      <c r="E158" t="s">
        <v>584</v>
      </c>
      <c r="F158">
        <v>15</v>
      </c>
      <c r="G158">
        <v>1769185621.03333</v>
      </c>
      <c r="H158">
        <f t="shared" si="26"/>
        <v>5.9331474166345066E-4</v>
      </c>
      <c r="I158">
        <v>0</v>
      </c>
      <c r="J158">
        <f t="shared" si="38"/>
        <v>-5.9644464593419134E-4</v>
      </c>
      <c r="K158">
        <f t="shared" si="27"/>
        <v>-1.5620689440871966E-2</v>
      </c>
      <c r="L158">
        <f t="shared" si="28"/>
        <v>69.978380896991581</v>
      </c>
      <c r="M158">
        <f t="shared" si="29"/>
        <v>1.5422401446183289</v>
      </c>
      <c r="N158">
        <f t="shared" si="30"/>
        <v>2.203880862703171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26252.885480782403</v>
      </c>
      <c r="T158">
        <f t="shared" si="34"/>
        <v>500</v>
      </c>
      <c r="U158">
        <f t="shared" si="35"/>
        <v>421.49969080000011</v>
      </c>
      <c r="V158">
        <f t="shared" si="36"/>
        <v>0.84299938160000021</v>
      </c>
      <c r="W158">
        <f t="shared" si="37"/>
        <v>0.15869855793600007</v>
      </c>
      <c r="X158">
        <v>1</v>
      </c>
      <c r="Y158">
        <v>1769185621.03333</v>
      </c>
      <c r="Z158">
        <v>409.71053333333299</v>
      </c>
      <c r="AA158">
        <v>409.99486666666701</v>
      </c>
      <c r="AB158">
        <v>15.3941133333333</v>
      </c>
      <c r="AC158">
        <v>14.6638866666667</v>
      </c>
      <c r="AD158">
        <v>410.7038</v>
      </c>
      <c r="AE158">
        <v>15.2444066666667</v>
      </c>
      <c r="AF158">
        <v>799.99980000000005</v>
      </c>
      <c r="AG158">
        <v>100.11839999999999</v>
      </c>
      <c r="AH158">
        <v>6.5359286666666697E-2</v>
      </c>
      <c r="AI158">
        <v>18.990553333333299</v>
      </c>
      <c r="AJ158">
        <v>999.9</v>
      </c>
      <c r="AK158">
        <v>999.9</v>
      </c>
      <c r="AL158">
        <v>0</v>
      </c>
      <c r="AM158">
        <v>0</v>
      </c>
      <c r="AN158">
        <v>4999.8</v>
      </c>
      <c r="AO158">
        <v>0</v>
      </c>
      <c r="AP158">
        <v>1.9760899999999999</v>
      </c>
      <c r="AQ158">
        <v>-0.28441759999999999</v>
      </c>
      <c r="AR158">
        <v>416.11633333333299</v>
      </c>
      <c r="AS158">
        <v>416.09653333333301</v>
      </c>
      <c r="AT158">
        <v>0.73023559999999998</v>
      </c>
      <c r="AU158">
        <v>409.99486666666701</v>
      </c>
      <c r="AV158">
        <v>14.6638866666667</v>
      </c>
      <c r="AW158">
        <v>1.54123733333333</v>
      </c>
      <c r="AX158">
        <v>1.46812733333333</v>
      </c>
      <c r="AY158">
        <v>13.3834866666667</v>
      </c>
      <c r="AZ158">
        <v>12.6401866666667</v>
      </c>
      <c r="BA158">
        <v>500</v>
      </c>
      <c r="BB158">
        <v>0.90001906666666698</v>
      </c>
      <c r="BC158">
        <v>0</v>
      </c>
      <c r="BD158">
        <v>9.9980879999999994E-2</v>
      </c>
      <c r="BE158">
        <v>0</v>
      </c>
      <c r="BF158">
        <v>25</v>
      </c>
      <c r="BG158">
        <v>8244.4346666666697</v>
      </c>
      <c r="BH158">
        <v>1769185537.0999999</v>
      </c>
      <c r="BI158" t="s">
        <v>570</v>
      </c>
      <c r="BJ158">
        <v>1769185537.0999999</v>
      </c>
      <c r="BK158">
        <v>1769185535.0999999</v>
      </c>
      <c r="BL158">
        <v>5</v>
      </c>
      <c r="BM158">
        <v>1.4999999999999999E-2</v>
      </c>
      <c r="BN158">
        <v>4.2999999999999997E-2</v>
      </c>
      <c r="BO158">
        <v>-0.99299999999999999</v>
      </c>
      <c r="BP158">
        <v>0.15</v>
      </c>
      <c r="BQ158">
        <v>410</v>
      </c>
      <c r="BR158">
        <v>16</v>
      </c>
      <c r="BS158">
        <v>0.2</v>
      </c>
      <c r="BT158">
        <v>0.05</v>
      </c>
      <c r="BU158">
        <v>-0.28009329999999999</v>
      </c>
      <c r="BV158">
        <v>-9.4380902255639401E-2</v>
      </c>
      <c r="BW158">
        <v>1.53049520976055E-2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0.74146140000000005</v>
      </c>
      <c r="CD158">
        <v>-0.23269488721804299</v>
      </c>
      <c r="CE158">
        <v>2.3424058013930899E-2</v>
      </c>
      <c r="CF158">
        <v>0</v>
      </c>
      <c r="CG158">
        <v>1</v>
      </c>
      <c r="CH158">
        <v>2</v>
      </c>
      <c r="CI158" t="s">
        <v>301</v>
      </c>
      <c r="CJ158">
        <v>3.5325700000000002</v>
      </c>
      <c r="CK158">
        <v>2.7032400000000001</v>
      </c>
      <c r="CL158">
        <v>9.79487E-2</v>
      </c>
      <c r="CM158">
        <v>9.6620899999999996E-2</v>
      </c>
      <c r="CN158">
        <v>8.6754300000000006E-2</v>
      </c>
      <c r="CO158">
        <v>8.3106200000000005E-2</v>
      </c>
      <c r="CP158">
        <v>31624.3</v>
      </c>
      <c r="CQ158">
        <v>27766.9</v>
      </c>
      <c r="CR158">
        <v>32447.7</v>
      </c>
      <c r="CS158">
        <v>30663.8</v>
      </c>
      <c r="CT158">
        <v>40122</v>
      </c>
      <c r="CU158">
        <v>39529.1</v>
      </c>
      <c r="CV158">
        <v>47383</v>
      </c>
      <c r="CW158">
        <v>46755.8</v>
      </c>
      <c r="CX158">
        <v>2.62276</v>
      </c>
      <c r="CY158">
        <v>2.1331000000000002</v>
      </c>
      <c r="CZ158">
        <v>0</v>
      </c>
      <c r="DA158">
        <v>0</v>
      </c>
      <c r="DB158">
        <v>999.9</v>
      </c>
      <c r="DC158">
        <v>999.9</v>
      </c>
      <c r="DD158">
        <v>60.078000000000003</v>
      </c>
      <c r="DE158">
        <v>26.364999999999998</v>
      </c>
      <c r="DF158">
        <v>20.688800000000001</v>
      </c>
      <c r="DG158">
        <v>30.630199999999999</v>
      </c>
      <c r="DH158">
        <v>17.752400000000002</v>
      </c>
      <c r="DI158">
        <v>2</v>
      </c>
      <c r="DJ158">
        <v>-0.116522</v>
      </c>
      <c r="DK158">
        <v>2.4468200000000002</v>
      </c>
      <c r="DL158">
        <v>20.204799999999999</v>
      </c>
      <c r="DM158">
        <v>5.25143</v>
      </c>
      <c r="DN158">
        <v>12.033899999999999</v>
      </c>
      <c r="DO158">
        <v>4.9674800000000001</v>
      </c>
      <c r="DP158">
        <v>3.2909999999999999</v>
      </c>
      <c r="DQ158">
        <v>9999</v>
      </c>
      <c r="DR158">
        <v>9999</v>
      </c>
      <c r="DS158">
        <v>534.70000000000005</v>
      </c>
      <c r="DT158">
        <v>9999</v>
      </c>
      <c r="DU158">
        <v>1.87104</v>
      </c>
      <c r="DV158">
        <v>1.87609</v>
      </c>
      <c r="DW158">
        <v>1.87632</v>
      </c>
      <c r="DX158">
        <v>1.88279</v>
      </c>
      <c r="DY158">
        <v>1.87561</v>
      </c>
      <c r="DZ158">
        <v>1.8746799999999999</v>
      </c>
      <c r="EA158">
        <v>1.87076</v>
      </c>
      <c r="EB158">
        <v>1.87466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-0.99399999999999999</v>
      </c>
      <c r="EQ158">
        <v>0.1497</v>
      </c>
      <c r="ER158">
        <v>-0.99329999999997698</v>
      </c>
      <c r="ES158">
        <v>0</v>
      </c>
      <c r="ET158">
        <v>0</v>
      </c>
      <c r="EU158">
        <v>0</v>
      </c>
      <c r="EV158">
        <v>0.149730000000002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1.5</v>
      </c>
      <c r="FE158">
        <v>1.6</v>
      </c>
      <c r="FF158">
        <v>1.2377899999999999</v>
      </c>
      <c r="FG158">
        <v>2.5634800000000002</v>
      </c>
      <c r="FH158">
        <v>2.19604</v>
      </c>
      <c r="FI158">
        <v>2.66235</v>
      </c>
      <c r="FJ158">
        <v>2.4462899999999999</v>
      </c>
      <c r="FK158">
        <v>2.2875999999999999</v>
      </c>
      <c r="FL158">
        <v>31.280899999999999</v>
      </c>
      <c r="FM158">
        <v>24.14</v>
      </c>
      <c r="FN158">
        <v>19</v>
      </c>
      <c r="FO158">
        <v>864.73099999999999</v>
      </c>
      <c r="FP158">
        <v>578.25300000000004</v>
      </c>
      <c r="FQ158">
        <v>17.870999999999999</v>
      </c>
      <c r="FR158">
        <v>25.503499999999999</v>
      </c>
      <c r="FS158">
        <v>29.999500000000001</v>
      </c>
      <c r="FT158">
        <v>25.468499999999999</v>
      </c>
      <c r="FU158">
        <v>25.468699999999998</v>
      </c>
      <c r="FV158">
        <v>24.857700000000001</v>
      </c>
      <c r="FW158">
        <v>31.794499999999999</v>
      </c>
      <c r="FX158">
        <v>6.0844100000000001</v>
      </c>
      <c r="FY158">
        <v>17.9041</v>
      </c>
      <c r="FZ158">
        <v>410</v>
      </c>
      <c r="GA158">
        <v>14.7151</v>
      </c>
      <c r="GB158">
        <v>99.846299999999999</v>
      </c>
      <c r="GC158">
        <v>99.539500000000004</v>
      </c>
    </row>
    <row r="159" spans="1:185" x14ac:dyDescent="0.2">
      <c r="A159">
        <v>144</v>
      </c>
      <c r="B159">
        <v>1769185644.0999999</v>
      </c>
      <c r="C159">
        <v>2781.0999999046298</v>
      </c>
      <c r="D159" t="s">
        <v>585</v>
      </c>
      <c r="E159" t="s">
        <v>586</v>
      </c>
      <c r="F159">
        <v>15</v>
      </c>
      <c r="G159">
        <v>1769185636.03333</v>
      </c>
      <c r="H159">
        <f t="shared" si="26"/>
        <v>5.7382482592143456E-4</v>
      </c>
      <c r="I159">
        <v>0</v>
      </c>
      <c r="J159">
        <f t="shared" si="38"/>
        <v>-3.4027701503173638E-4</v>
      </c>
      <c r="K159">
        <f t="shared" si="27"/>
        <v>-8.9117432974059173E-3</v>
      </c>
      <c r="L159">
        <f t="shared" si="28"/>
        <v>69.916079968913252</v>
      </c>
      <c r="M159">
        <f t="shared" si="29"/>
        <v>1.5383872515782659</v>
      </c>
      <c r="N159">
        <f t="shared" si="30"/>
        <v>2.2003339607459091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26269.676404057893</v>
      </c>
      <c r="T159">
        <f t="shared" si="34"/>
        <v>499.999666666667</v>
      </c>
      <c r="U159">
        <f t="shared" si="35"/>
        <v>421.49939380021692</v>
      </c>
      <c r="V159">
        <f t="shared" si="36"/>
        <v>0.84299934959999967</v>
      </c>
      <c r="W159">
        <f t="shared" si="37"/>
        <v>0.15869847793599995</v>
      </c>
      <c r="X159">
        <v>1</v>
      </c>
      <c r="Y159">
        <v>1769185636.03333</v>
      </c>
      <c r="Z159">
        <v>409.71173333333297</v>
      </c>
      <c r="AA159">
        <v>409.99446666666699</v>
      </c>
      <c r="AB159">
        <v>15.3553533333333</v>
      </c>
      <c r="AC159">
        <v>14.649100000000001</v>
      </c>
      <c r="AD159">
        <v>410.70486666666699</v>
      </c>
      <c r="AE159">
        <v>15.2056466666667</v>
      </c>
      <c r="AF159">
        <v>800.0154</v>
      </c>
      <c r="AG159">
        <v>100.12033333333299</v>
      </c>
      <c r="AH159">
        <v>6.5394613333333296E-2</v>
      </c>
      <c r="AI159">
        <v>18.964746666666699</v>
      </c>
      <c r="AJ159">
        <v>999.9</v>
      </c>
      <c r="AK159">
        <v>999.9</v>
      </c>
      <c r="AL159">
        <v>0</v>
      </c>
      <c r="AM159">
        <v>0</v>
      </c>
      <c r="AN159">
        <v>5002.1000000000004</v>
      </c>
      <c r="AO159">
        <v>0</v>
      </c>
      <c r="AP159">
        <v>1.9760899999999999</v>
      </c>
      <c r="AQ159">
        <v>-0.28279426666666702</v>
      </c>
      <c r="AR159">
        <v>416.10106666666701</v>
      </c>
      <c r="AS159">
        <v>416.08980000000003</v>
      </c>
      <c r="AT159">
        <v>0.70624926666666699</v>
      </c>
      <c r="AU159">
        <v>409.99446666666699</v>
      </c>
      <c r="AV159">
        <v>14.649100000000001</v>
      </c>
      <c r="AW159">
        <v>1.53738333333333</v>
      </c>
      <c r="AX159">
        <v>1.4666733333333299</v>
      </c>
      <c r="AY159">
        <v>13.34512</v>
      </c>
      <c r="AZ159">
        <v>12.6251</v>
      </c>
      <c r="BA159">
        <v>499.999666666667</v>
      </c>
      <c r="BB159">
        <v>0.90002013333333297</v>
      </c>
      <c r="BC159">
        <v>0</v>
      </c>
      <c r="BD159">
        <v>9.9979813333333306E-2</v>
      </c>
      <c r="BE159">
        <v>0</v>
      </c>
      <c r="BF159">
        <v>25</v>
      </c>
      <c r="BG159">
        <v>8244.4326666666693</v>
      </c>
      <c r="BH159">
        <v>1769185537.0999999</v>
      </c>
      <c r="BI159" t="s">
        <v>570</v>
      </c>
      <c r="BJ159">
        <v>1769185537.0999999</v>
      </c>
      <c r="BK159">
        <v>1769185535.0999999</v>
      </c>
      <c r="BL159">
        <v>5</v>
      </c>
      <c r="BM159">
        <v>1.4999999999999999E-2</v>
      </c>
      <c r="BN159">
        <v>4.2999999999999997E-2</v>
      </c>
      <c r="BO159">
        <v>-0.99299999999999999</v>
      </c>
      <c r="BP159">
        <v>0.15</v>
      </c>
      <c r="BQ159">
        <v>410</v>
      </c>
      <c r="BR159">
        <v>16</v>
      </c>
      <c r="BS159">
        <v>0.2</v>
      </c>
      <c r="BT159">
        <v>0.05</v>
      </c>
      <c r="BU159">
        <v>-0.28388042857142798</v>
      </c>
      <c r="BV159">
        <v>5.0349194805195001E-2</v>
      </c>
      <c r="BW159">
        <v>2.4607015860892801E-2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0.70998533333333302</v>
      </c>
      <c r="CD159">
        <v>-5.4184987012987199E-2</v>
      </c>
      <c r="CE159">
        <v>6.9967213228655399E-3</v>
      </c>
      <c r="CF159">
        <v>1</v>
      </c>
      <c r="CG159">
        <v>2</v>
      </c>
      <c r="CH159">
        <v>2</v>
      </c>
      <c r="CI159" t="s">
        <v>310</v>
      </c>
      <c r="CJ159">
        <v>3.5325000000000002</v>
      </c>
      <c r="CK159">
        <v>2.7031900000000002</v>
      </c>
      <c r="CL159">
        <v>9.7949999999999995E-2</v>
      </c>
      <c r="CM159">
        <v>9.6615199999999998E-2</v>
      </c>
      <c r="CN159">
        <v>8.6655099999999999E-2</v>
      </c>
      <c r="CO159">
        <v>8.30626E-2</v>
      </c>
      <c r="CP159">
        <v>31624.5</v>
      </c>
      <c r="CQ159">
        <v>27767.4</v>
      </c>
      <c r="CR159">
        <v>32448</v>
      </c>
      <c r="CS159">
        <v>30664.2</v>
      </c>
      <c r="CT159">
        <v>40127</v>
      </c>
      <c r="CU159">
        <v>39531.599999999999</v>
      </c>
      <c r="CV159">
        <v>47383.6</v>
      </c>
      <c r="CW159">
        <v>46756.5</v>
      </c>
      <c r="CX159">
        <v>2.6225800000000001</v>
      </c>
      <c r="CY159">
        <v>2.1333600000000001</v>
      </c>
      <c r="CZ159">
        <v>0</v>
      </c>
      <c r="DA159">
        <v>0</v>
      </c>
      <c r="DB159">
        <v>999.9</v>
      </c>
      <c r="DC159">
        <v>999.9</v>
      </c>
      <c r="DD159">
        <v>60.005000000000003</v>
      </c>
      <c r="DE159">
        <v>26.375</v>
      </c>
      <c r="DF159">
        <v>20.677199999999999</v>
      </c>
      <c r="DG159">
        <v>30.600200000000001</v>
      </c>
      <c r="DH159">
        <v>17.848600000000001</v>
      </c>
      <c r="DI159">
        <v>2</v>
      </c>
      <c r="DJ159">
        <v>-0.11709600000000001</v>
      </c>
      <c r="DK159">
        <v>2.2865000000000002</v>
      </c>
      <c r="DL159">
        <v>20.207100000000001</v>
      </c>
      <c r="DM159">
        <v>5.2510700000000003</v>
      </c>
      <c r="DN159">
        <v>12.033899999999999</v>
      </c>
      <c r="DO159">
        <v>4.9674800000000001</v>
      </c>
      <c r="DP159">
        <v>3.2909999999999999</v>
      </c>
      <c r="DQ159">
        <v>9999</v>
      </c>
      <c r="DR159">
        <v>9999</v>
      </c>
      <c r="DS159">
        <v>534.70000000000005</v>
      </c>
      <c r="DT159">
        <v>9999</v>
      </c>
      <c r="DU159">
        <v>1.87104</v>
      </c>
      <c r="DV159">
        <v>1.87608</v>
      </c>
      <c r="DW159">
        <v>1.87629</v>
      </c>
      <c r="DX159">
        <v>1.8827799999999999</v>
      </c>
      <c r="DY159">
        <v>1.8755999999999999</v>
      </c>
      <c r="DZ159">
        <v>1.8746499999999999</v>
      </c>
      <c r="EA159">
        <v>1.8707400000000001</v>
      </c>
      <c r="EB159">
        <v>1.87463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-0.99299999999999999</v>
      </c>
      <c r="EQ159">
        <v>0.1497</v>
      </c>
      <c r="ER159">
        <v>-0.99329999999997698</v>
      </c>
      <c r="ES159">
        <v>0</v>
      </c>
      <c r="ET159">
        <v>0</v>
      </c>
      <c r="EU159">
        <v>0</v>
      </c>
      <c r="EV159">
        <v>0.149730000000002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1.8</v>
      </c>
      <c r="FE159">
        <v>1.8</v>
      </c>
      <c r="FF159">
        <v>1.2390099999999999</v>
      </c>
      <c r="FG159">
        <v>2.5647000000000002</v>
      </c>
      <c r="FH159">
        <v>2.19604</v>
      </c>
      <c r="FI159">
        <v>2.66235</v>
      </c>
      <c r="FJ159">
        <v>2.4462899999999999</v>
      </c>
      <c r="FK159">
        <v>2.2875999999999999</v>
      </c>
      <c r="FL159">
        <v>31.302600000000002</v>
      </c>
      <c r="FM159">
        <v>24.148800000000001</v>
      </c>
      <c r="FN159">
        <v>19</v>
      </c>
      <c r="FO159">
        <v>864.63199999999995</v>
      </c>
      <c r="FP159">
        <v>578.50099999999998</v>
      </c>
      <c r="FQ159">
        <v>17.950700000000001</v>
      </c>
      <c r="FR159">
        <v>25.507400000000001</v>
      </c>
      <c r="FS159">
        <v>29.9999</v>
      </c>
      <c r="FT159">
        <v>25.472799999999999</v>
      </c>
      <c r="FU159">
        <v>25.472899999999999</v>
      </c>
      <c r="FV159">
        <v>24.859100000000002</v>
      </c>
      <c r="FW159">
        <v>31.518000000000001</v>
      </c>
      <c r="FX159">
        <v>5.7106899999999996</v>
      </c>
      <c r="FY159">
        <v>17.973099999999999</v>
      </c>
      <c r="FZ159">
        <v>410</v>
      </c>
      <c r="GA159">
        <v>14.7151</v>
      </c>
      <c r="GB159">
        <v>99.847399999999993</v>
      </c>
      <c r="GC159">
        <v>99.540800000000004</v>
      </c>
    </row>
    <row r="160" spans="1:185" x14ac:dyDescent="0.2">
      <c r="A160">
        <v>145</v>
      </c>
      <c r="B160">
        <v>1769185659.0999999</v>
      </c>
      <c r="C160">
        <v>2796.0999999046298</v>
      </c>
      <c r="D160" t="s">
        <v>587</v>
      </c>
      <c r="E160" t="s">
        <v>588</v>
      </c>
      <c r="F160">
        <v>15</v>
      </c>
      <c r="G160">
        <v>1769185651.03333</v>
      </c>
      <c r="H160">
        <f t="shared" si="26"/>
        <v>5.5402137630112169E-4</v>
      </c>
      <c r="I160">
        <v>0</v>
      </c>
      <c r="J160">
        <f t="shared" si="38"/>
        <v>-2.40285421954208E-4</v>
      </c>
      <c r="K160">
        <f t="shared" si="27"/>
        <v>-6.2929963058628831E-3</v>
      </c>
      <c r="L160">
        <f t="shared" si="28"/>
        <v>69.882050330499695</v>
      </c>
      <c r="M160">
        <f t="shared" si="29"/>
        <v>1.5368260519204846</v>
      </c>
      <c r="N160">
        <f t="shared" si="30"/>
        <v>2.1991713818530365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26257.586376647199</v>
      </c>
      <c r="T160">
        <f t="shared" si="34"/>
        <v>499.99926666666698</v>
      </c>
      <c r="U160">
        <f t="shared" si="35"/>
        <v>421.49904590049306</v>
      </c>
      <c r="V160">
        <f t="shared" si="36"/>
        <v>0.84299932820000023</v>
      </c>
      <c r="W160">
        <f t="shared" si="37"/>
        <v>0.15869846341200006</v>
      </c>
      <c r="X160">
        <v>1</v>
      </c>
      <c r="Y160">
        <v>1769185651.03333</v>
      </c>
      <c r="Z160">
        <v>409.70873333333299</v>
      </c>
      <c r="AA160">
        <v>409.9846</v>
      </c>
      <c r="AB160">
        <v>15.3400933333333</v>
      </c>
      <c r="AC160">
        <v>14.658193333333299</v>
      </c>
      <c r="AD160">
        <v>410.702</v>
      </c>
      <c r="AE160">
        <v>15.1903733333333</v>
      </c>
      <c r="AF160">
        <v>800.00386666666702</v>
      </c>
      <c r="AG160">
        <v>100.11839999999999</v>
      </c>
      <c r="AH160">
        <v>6.5218086666666703E-2</v>
      </c>
      <c r="AI160">
        <v>18.95628</v>
      </c>
      <c r="AJ160">
        <v>999.9</v>
      </c>
      <c r="AK160">
        <v>999.9</v>
      </c>
      <c r="AL160">
        <v>0</v>
      </c>
      <c r="AM160">
        <v>0</v>
      </c>
      <c r="AN160">
        <v>5000.0666666666702</v>
      </c>
      <c r="AO160">
        <v>0</v>
      </c>
      <c r="AP160">
        <v>1.9760899999999999</v>
      </c>
      <c r="AQ160">
        <v>-0.2758118</v>
      </c>
      <c r="AR160">
        <v>416.09153333333302</v>
      </c>
      <c r="AS160">
        <v>416.08339999999998</v>
      </c>
      <c r="AT160">
        <v>0.68190206666666697</v>
      </c>
      <c r="AU160">
        <v>409.9846</v>
      </c>
      <c r="AV160">
        <v>14.658193333333299</v>
      </c>
      <c r="AW160">
        <v>1.5358273333333301</v>
      </c>
      <c r="AX160">
        <v>1.4675593333333301</v>
      </c>
      <c r="AY160">
        <v>13.32958</v>
      </c>
      <c r="AZ160">
        <v>12.6342933333333</v>
      </c>
      <c r="BA160">
        <v>499.99926666666698</v>
      </c>
      <c r="BB160">
        <v>0.90002026666666701</v>
      </c>
      <c r="BC160">
        <v>0</v>
      </c>
      <c r="BD160">
        <v>9.9979659999999998E-2</v>
      </c>
      <c r="BE160">
        <v>0</v>
      </c>
      <c r="BF160">
        <v>25</v>
      </c>
      <c r="BG160">
        <v>8244.4273333333294</v>
      </c>
      <c r="BH160">
        <v>1769185537.0999999</v>
      </c>
      <c r="BI160" t="s">
        <v>570</v>
      </c>
      <c r="BJ160">
        <v>1769185537.0999999</v>
      </c>
      <c r="BK160">
        <v>1769185535.0999999</v>
      </c>
      <c r="BL160">
        <v>5</v>
      </c>
      <c r="BM160">
        <v>1.4999999999999999E-2</v>
      </c>
      <c r="BN160">
        <v>4.2999999999999997E-2</v>
      </c>
      <c r="BO160">
        <v>-0.99299999999999999</v>
      </c>
      <c r="BP160">
        <v>0.15</v>
      </c>
      <c r="BQ160">
        <v>410</v>
      </c>
      <c r="BR160">
        <v>16</v>
      </c>
      <c r="BS160">
        <v>0.2</v>
      </c>
      <c r="BT160">
        <v>0.05</v>
      </c>
      <c r="BU160">
        <v>-0.2778214</v>
      </c>
      <c r="BV160">
        <v>1.43804210526316E-2</v>
      </c>
      <c r="BW160">
        <v>1.15529971583135E-2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0.68797534999999999</v>
      </c>
      <c r="CD160">
        <v>-0.113560827067668</v>
      </c>
      <c r="CE160">
        <v>1.25926392320077E-2</v>
      </c>
      <c r="CF160">
        <v>0</v>
      </c>
      <c r="CG160">
        <v>1</v>
      </c>
      <c r="CH160">
        <v>2</v>
      </c>
      <c r="CI160" t="s">
        <v>301</v>
      </c>
      <c r="CJ160">
        <v>3.5325099999999998</v>
      </c>
      <c r="CK160">
        <v>2.7031900000000002</v>
      </c>
      <c r="CL160">
        <v>9.7948400000000005E-2</v>
      </c>
      <c r="CM160">
        <v>9.6613099999999993E-2</v>
      </c>
      <c r="CN160">
        <v>8.6611199999999999E-2</v>
      </c>
      <c r="CO160">
        <v>8.3095199999999994E-2</v>
      </c>
      <c r="CP160">
        <v>31624.1</v>
      </c>
      <c r="CQ160">
        <v>27767.1</v>
      </c>
      <c r="CR160">
        <v>32447.599999999999</v>
      </c>
      <c r="CS160">
        <v>30663.8</v>
      </c>
      <c r="CT160">
        <v>40128.6</v>
      </c>
      <c r="CU160">
        <v>39529.699999999997</v>
      </c>
      <c r="CV160">
        <v>47383.1</v>
      </c>
      <c r="CW160">
        <v>46755.9</v>
      </c>
      <c r="CX160">
        <v>2.62256</v>
      </c>
      <c r="CY160">
        <v>2.1328800000000001</v>
      </c>
      <c r="CZ160">
        <v>0</v>
      </c>
      <c r="DA160">
        <v>0</v>
      </c>
      <c r="DB160">
        <v>999.9</v>
      </c>
      <c r="DC160">
        <v>999.9</v>
      </c>
      <c r="DD160">
        <v>59.912999999999997</v>
      </c>
      <c r="DE160">
        <v>26.385000000000002</v>
      </c>
      <c r="DF160">
        <v>20.657599999999999</v>
      </c>
      <c r="DG160">
        <v>30.510200000000001</v>
      </c>
      <c r="DH160">
        <v>17.760400000000001</v>
      </c>
      <c r="DI160">
        <v>2</v>
      </c>
      <c r="DJ160">
        <v>-0.117169</v>
      </c>
      <c r="DK160">
        <v>2.1730299999999998</v>
      </c>
      <c r="DL160">
        <v>20.208400000000001</v>
      </c>
      <c r="DM160">
        <v>5.2515499999999999</v>
      </c>
      <c r="DN160">
        <v>12.033899999999999</v>
      </c>
      <c r="DO160">
        <v>4.9673999999999996</v>
      </c>
      <c r="DP160">
        <v>3.2909999999999999</v>
      </c>
      <c r="DQ160">
        <v>9999</v>
      </c>
      <c r="DR160">
        <v>9999</v>
      </c>
      <c r="DS160">
        <v>534.70000000000005</v>
      </c>
      <c r="DT160">
        <v>9999</v>
      </c>
      <c r="DU160">
        <v>1.8710599999999999</v>
      </c>
      <c r="DV160">
        <v>1.87609</v>
      </c>
      <c r="DW160">
        <v>1.8763099999999999</v>
      </c>
      <c r="DX160">
        <v>1.8827799999999999</v>
      </c>
      <c r="DY160">
        <v>1.87561</v>
      </c>
      <c r="DZ160">
        <v>1.8746700000000001</v>
      </c>
      <c r="EA160">
        <v>1.8707499999999999</v>
      </c>
      <c r="EB160">
        <v>1.8746799999999999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-0.99299999999999999</v>
      </c>
      <c r="EQ160">
        <v>0.1497</v>
      </c>
      <c r="ER160">
        <v>-0.99329999999997698</v>
      </c>
      <c r="ES160">
        <v>0</v>
      </c>
      <c r="ET160">
        <v>0</v>
      </c>
      <c r="EU160">
        <v>0</v>
      </c>
      <c r="EV160">
        <v>0.149730000000002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2</v>
      </c>
      <c r="FE160">
        <v>2.1</v>
      </c>
      <c r="FF160">
        <v>1.2390099999999999</v>
      </c>
      <c r="FG160">
        <v>2.5634800000000002</v>
      </c>
      <c r="FH160">
        <v>2.19604</v>
      </c>
      <c r="FI160">
        <v>2.66235</v>
      </c>
      <c r="FJ160">
        <v>2.4462899999999999</v>
      </c>
      <c r="FK160">
        <v>2.3071299999999999</v>
      </c>
      <c r="FL160">
        <v>31.324400000000001</v>
      </c>
      <c r="FM160">
        <v>24.14</v>
      </c>
      <c r="FN160">
        <v>19</v>
      </c>
      <c r="FO160">
        <v>864.68200000000002</v>
      </c>
      <c r="FP160">
        <v>578.17999999999995</v>
      </c>
      <c r="FQ160">
        <v>18.0442</v>
      </c>
      <c r="FR160">
        <v>25.511700000000001</v>
      </c>
      <c r="FS160">
        <v>30.0002</v>
      </c>
      <c r="FT160">
        <v>25.4771</v>
      </c>
      <c r="FU160">
        <v>25.4772</v>
      </c>
      <c r="FV160">
        <v>24.8613</v>
      </c>
      <c r="FW160">
        <v>31.518000000000001</v>
      </c>
      <c r="FX160">
        <v>5.3397899999999998</v>
      </c>
      <c r="FY160">
        <v>18.0642</v>
      </c>
      <c r="FZ160">
        <v>410</v>
      </c>
      <c r="GA160">
        <v>14.717000000000001</v>
      </c>
      <c r="GB160">
        <v>99.846199999999996</v>
      </c>
      <c r="GC160">
        <v>99.539699999999996</v>
      </c>
    </row>
    <row r="161" spans="1:185" x14ac:dyDescent="0.2">
      <c r="A161">
        <v>146</v>
      </c>
      <c r="B161">
        <v>1769185674.0999999</v>
      </c>
      <c r="C161">
        <v>2811.0999999046298</v>
      </c>
      <c r="D161" t="s">
        <v>589</v>
      </c>
      <c r="E161" t="s">
        <v>590</v>
      </c>
      <c r="F161">
        <v>15</v>
      </c>
      <c r="G161">
        <v>1769185666.03333</v>
      </c>
      <c r="H161">
        <f t="shared" si="26"/>
        <v>5.427027103429566E-4</v>
      </c>
      <c r="I161">
        <v>0</v>
      </c>
      <c r="J161">
        <f t="shared" si="38"/>
        <v>-1.3046502975282007E-4</v>
      </c>
      <c r="K161">
        <f t="shared" si="27"/>
        <v>-3.4168362924457884E-3</v>
      </c>
      <c r="L161">
        <f t="shared" si="28"/>
        <v>69.816383058429253</v>
      </c>
      <c r="M161">
        <f t="shared" si="29"/>
        <v>1.5358477817520459</v>
      </c>
      <c r="N161">
        <f t="shared" si="30"/>
        <v>2.1998386545844069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26247.819654555769</v>
      </c>
      <c r="T161">
        <f t="shared" si="34"/>
        <v>500.00073333333302</v>
      </c>
      <c r="U161">
        <f t="shared" si="35"/>
        <v>421.50028879951657</v>
      </c>
      <c r="V161">
        <f t="shared" si="36"/>
        <v>0.84299934119999986</v>
      </c>
      <c r="W161">
        <f t="shared" si="37"/>
        <v>0.15869843095199998</v>
      </c>
      <c r="X161">
        <v>1</v>
      </c>
      <c r="Y161">
        <v>1769185666.03333</v>
      </c>
      <c r="Z161">
        <v>409.71226666666701</v>
      </c>
      <c r="AA161">
        <v>409.98593333333298</v>
      </c>
      <c r="AB161">
        <v>15.3300866666667</v>
      </c>
      <c r="AC161">
        <v>14.6621133333333</v>
      </c>
      <c r="AD161">
        <v>410.70553333333299</v>
      </c>
      <c r="AE161">
        <v>15.18036</v>
      </c>
      <c r="AF161">
        <v>800.00653333333298</v>
      </c>
      <c r="AG161">
        <v>100.11986666666699</v>
      </c>
      <c r="AH161">
        <v>6.5332226666666701E-2</v>
      </c>
      <c r="AI161">
        <v>18.96114</v>
      </c>
      <c r="AJ161">
        <v>999.9</v>
      </c>
      <c r="AK161">
        <v>999.9</v>
      </c>
      <c r="AL161">
        <v>0</v>
      </c>
      <c r="AM161">
        <v>0</v>
      </c>
      <c r="AN161">
        <v>4998.4666666666699</v>
      </c>
      <c r="AO161">
        <v>0</v>
      </c>
      <c r="AP161">
        <v>1.9760899999999999</v>
      </c>
      <c r="AQ161">
        <v>-0.27367966666666699</v>
      </c>
      <c r="AR161">
        <v>416.09100000000001</v>
      </c>
      <c r="AS161">
        <v>416.08673333333297</v>
      </c>
      <c r="AT161">
        <v>0.66799393333333301</v>
      </c>
      <c r="AU161">
        <v>409.98593333333298</v>
      </c>
      <c r="AV161">
        <v>14.6621133333333</v>
      </c>
      <c r="AW161">
        <v>1.53484666666667</v>
      </c>
      <c r="AX161">
        <v>1.4679679999999999</v>
      </c>
      <c r="AY161">
        <v>13.3198133333333</v>
      </c>
      <c r="AZ161">
        <v>12.638533333333299</v>
      </c>
      <c r="BA161">
        <v>500.00073333333302</v>
      </c>
      <c r="BB161">
        <v>0.90002079999999995</v>
      </c>
      <c r="BC161">
        <v>0</v>
      </c>
      <c r="BD161">
        <v>9.9979159999999997E-2</v>
      </c>
      <c r="BE161">
        <v>0</v>
      </c>
      <c r="BF161">
        <v>25</v>
      </c>
      <c r="BG161">
        <v>8244.4553333333406</v>
      </c>
      <c r="BH161">
        <v>1769185537.0999999</v>
      </c>
      <c r="BI161" t="s">
        <v>570</v>
      </c>
      <c r="BJ161">
        <v>1769185537.0999999</v>
      </c>
      <c r="BK161">
        <v>1769185535.0999999</v>
      </c>
      <c r="BL161">
        <v>5</v>
      </c>
      <c r="BM161">
        <v>1.4999999999999999E-2</v>
      </c>
      <c r="BN161">
        <v>4.2999999999999997E-2</v>
      </c>
      <c r="BO161">
        <v>-0.99299999999999999</v>
      </c>
      <c r="BP161">
        <v>0.15</v>
      </c>
      <c r="BQ161">
        <v>410</v>
      </c>
      <c r="BR161">
        <v>16</v>
      </c>
      <c r="BS161">
        <v>0.2</v>
      </c>
      <c r="BT161">
        <v>0.05</v>
      </c>
      <c r="BU161">
        <v>-0.27451330000000002</v>
      </c>
      <c r="BV161">
        <v>-1.8664421052631601E-2</v>
      </c>
      <c r="BW161">
        <v>1.06156072793788E-2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0.67312905000000001</v>
      </c>
      <c r="CD161">
        <v>-8.2013458646615606E-2</v>
      </c>
      <c r="CE161">
        <v>1.22142704877328E-2</v>
      </c>
      <c r="CF161">
        <v>1</v>
      </c>
      <c r="CG161">
        <v>2</v>
      </c>
      <c r="CH161">
        <v>2</v>
      </c>
      <c r="CI161" t="s">
        <v>310</v>
      </c>
      <c r="CJ161">
        <v>3.5324800000000001</v>
      </c>
      <c r="CK161">
        <v>2.7030599999999998</v>
      </c>
      <c r="CL161">
        <v>9.7949700000000001E-2</v>
      </c>
      <c r="CM161">
        <v>9.6615400000000004E-2</v>
      </c>
      <c r="CN161">
        <v>8.6609900000000004E-2</v>
      </c>
      <c r="CO161">
        <v>8.3324400000000007E-2</v>
      </c>
      <c r="CP161">
        <v>31623.9</v>
      </c>
      <c r="CQ161">
        <v>27767.8</v>
      </c>
      <c r="CR161">
        <v>32447.4</v>
      </c>
      <c r="CS161">
        <v>30664.799999999999</v>
      </c>
      <c r="CT161">
        <v>40128.5</v>
      </c>
      <c r="CU161">
        <v>39520.400000000001</v>
      </c>
      <c r="CV161">
        <v>47382.9</v>
      </c>
      <c r="CW161">
        <v>46757</v>
      </c>
      <c r="CX161">
        <v>2.62242</v>
      </c>
      <c r="CY161">
        <v>2.1329600000000002</v>
      </c>
      <c r="CZ161">
        <v>0</v>
      </c>
      <c r="DA161">
        <v>0</v>
      </c>
      <c r="DB161">
        <v>999.9</v>
      </c>
      <c r="DC161">
        <v>999.9</v>
      </c>
      <c r="DD161">
        <v>59.84</v>
      </c>
      <c r="DE161">
        <v>26.405000000000001</v>
      </c>
      <c r="DF161">
        <v>20.654900000000001</v>
      </c>
      <c r="DG161">
        <v>30.600200000000001</v>
      </c>
      <c r="DH161">
        <v>17.8446</v>
      </c>
      <c r="DI161">
        <v>2</v>
      </c>
      <c r="DJ161">
        <v>-0.117104</v>
      </c>
      <c r="DK161">
        <v>2.1206</v>
      </c>
      <c r="DL161">
        <v>20.210799999999999</v>
      </c>
      <c r="DM161">
        <v>5.2510700000000003</v>
      </c>
      <c r="DN161">
        <v>12.033899999999999</v>
      </c>
      <c r="DO161">
        <v>4.9672000000000001</v>
      </c>
      <c r="DP161">
        <v>3.2909999999999999</v>
      </c>
      <c r="DQ161">
        <v>9999</v>
      </c>
      <c r="DR161">
        <v>9999</v>
      </c>
      <c r="DS161">
        <v>534.70000000000005</v>
      </c>
      <c r="DT161">
        <v>9999</v>
      </c>
      <c r="DU161">
        <v>1.87103</v>
      </c>
      <c r="DV161">
        <v>1.87609</v>
      </c>
      <c r="DW161">
        <v>1.8763000000000001</v>
      </c>
      <c r="DX161">
        <v>1.8827799999999999</v>
      </c>
      <c r="DY161">
        <v>1.8755999999999999</v>
      </c>
      <c r="DZ161">
        <v>1.87466</v>
      </c>
      <c r="EA161">
        <v>1.8707499999999999</v>
      </c>
      <c r="EB161">
        <v>1.8746700000000001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-0.99299999999999999</v>
      </c>
      <c r="EQ161">
        <v>0.1497</v>
      </c>
      <c r="ER161">
        <v>-0.99329999999997698</v>
      </c>
      <c r="ES161">
        <v>0</v>
      </c>
      <c r="ET161">
        <v>0</v>
      </c>
      <c r="EU161">
        <v>0</v>
      </c>
      <c r="EV161">
        <v>0.149730000000002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2.2999999999999998</v>
      </c>
      <c r="FE161">
        <v>2.2999999999999998</v>
      </c>
      <c r="FF161">
        <v>1.2390099999999999</v>
      </c>
      <c r="FG161">
        <v>2.5622600000000002</v>
      </c>
      <c r="FH161">
        <v>2.19604</v>
      </c>
      <c r="FI161">
        <v>2.66235</v>
      </c>
      <c r="FJ161">
        <v>2.4462899999999999</v>
      </c>
      <c r="FK161">
        <v>2.2802699999999998</v>
      </c>
      <c r="FL161">
        <v>31.324400000000001</v>
      </c>
      <c r="FM161">
        <v>24.148800000000001</v>
      </c>
      <c r="FN161">
        <v>19</v>
      </c>
      <c r="FO161">
        <v>864.62800000000004</v>
      </c>
      <c r="FP161">
        <v>578.29700000000003</v>
      </c>
      <c r="FQ161">
        <v>18.1355</v>
      </c>
      <c r="FR161">
        <v>25.515499999999999</v>
      </c>
      <c r="FS161">
        <v>30.0001</v>
      </c>
      <c r="FT161">
        <v>25.4818</v>
      </c>
      <c r="FU161">
        <v>25.482199999999999</v>
      </c>
      <c r="FV161">
        <v>24.862200000000001</v>
      </c>
      <c r="FW161">
        <v>31.241700000000002</v>
      </c>
      <c r="FX161">
        <v>4.9690500000000002</v>
      </c>
      <c r="FY161">
        <v>18.148499999999999</v>
      </c>
      <c r="FZ161">
        <v>410</v>
      </c>
      <c r="GA161">
        <v>14.718999999999999</v>
      </c>
      <c r="GB161">
        <v>99.845799999999997</v>
      </c>
      <c r="GC161">
        <v>99.542199999999994</v>
      </c>
    </row>
    <row r="162" spans="1:185" x14ac:dyDescent="0.2">
      <c r="A162">
        <v>147</v>
      </c>
      <c r="B162">
        <v>1769185689.0999999</v>
      </c>
      <c r="C162">
        <v>2826.0999999046298</v>
      </c>
      <c r="D162" t="s">
        <v>591</v>
      </c>
      <c r="E162" t="s">
        <v>592</v>
      </c>
      <c r="F162">
        <v>15</v>
      </c>
      <c r="G162">
        <v>1769185681.03333</v>
      </c>
      <c r="H162">
        <f t="shared" si="26"/>
        <v>5.1950405282998231E-4</v>
      </c>
      <c r="I162">
        <v>0</v>
      </c>
      <c r="J162">
        <f t="shared" si="38"/>
        <v>-4.0739136931131271E-4</v>
      </c>
      <c r="K162">
        <f t="shared" si="27"/>
        <v>-1.0669446199716135E-2</v>
      </c>
      <c r="L162">
        <f t="shared" si="28"/>
        <v>69.847177872884842</v>
      </c>
      <c r="M162">
        <f t="shared" si="29"/>
        <v>1.5375786500984678</v>
      </c>
      <c r="N162">
        <f t="shared" si="30"/>
        <v>2.2013468502574485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26272.20576400523</v>
      </c>
      <c r="T162">
        <f t="shared" si="34"/>
        <v>499.99900000000002</v>
      </c>
      <c r="U162">
        <f t="shared" si="35"/>
        <v>421.49886030059338</v>
      </c>
      <c r="V162">
        <f t="shared" si="36"/>
        <v>0.84299940659999995</v>
      </c>
      <c r="W162">
        <f t="shared" si="37"/>
        <v>0.15869816571599998</v>
      </c>
      <c r="X162">
        <v>1</v>
      </c>
      <c r="Y162">
        <v>1769185681.03333</v>
      </c>
      <c r="Z162">
        <v>409.73386666666698</v>
      </c>
      <c r="AA162">
        <v>409.98660000000001</v>
      </c>
      <c r="AB162">
        <v>15.34718</v>
      </c>
      <c r="AC162">
        <v>14.7077733333333</v>
      </c>
      <c r="AD162">
        <v>410.72706666666699</v>
      </c>
      <c r="AE162">
        <v>15.1974466666667</v>
      </c>
      <c r="AF162">
        <v>800.00906666666697</v>
      </c>
      <c r="AG162">
        <v>100.120933333333</v>
      </c>
      <c r="AH162">
        <v>6.5462480000000003E-2</v>
      </c>
      <c r="AI162">
        <v>18.97212</v>
      </c>
      <c r="AJ162">
        <v>999.9</v>
      </c>
      <c r="AK162">
        <v>999.9</v>
      </c>
      <c r="AL162">
        <v>0</v>
      </c>
      <c r="AM162">
        <v>0</v>
      </c>
      <c r="AN162">
        <v>5002.6000000000004</v>
      </c>
      <c r="AO162">
        <v>0</v>
      </c>
      <c r="AP162">
        <v>1.9760899999999999</v>
      </c>
      <c r="AQ162">
        <v>-0.25270999999999999</v>
      </c>
      <c r="AR162">
        <v>416.12</v>
      </c>
      <c r="AS162">
        <v>416.10640000000001</v>
      </c>
      <c r="AT162">
        <v>0.63941726666666698</v>
      </c>
      <c r="AU162">
        <v>409.98660000000001</v>
      </c>
      <c r="AV162">
        <v>14.7077733333333</v>
      </c>
      <c r="AW162">
        <v>1.5365726666666699</v>
      </c>
      <c r="AX162">
        <v>1.47255466666667</v>
      </c>
      <c r="AY162">
        <v>13.3370266666667</v>
      </c>
      <c r="AZ162">
        <v>12.6861266666667</v>
      </c>
      <c r="BA162">
        <v>499.99900000000002</v>
      </c>
      <c r="BB162">
        <v>0.90002499999999996</v>
      </c>
      <c r="BC162">
        <v>0</v>
      </c>
      <c r="BD162">
        <v>9.9975179999999997E-2</v>
      </c>
      <c r="BE162">
        <v>0</v>
      </c>
      <c r="BF162">
        <v>25</v>
      </c>
      <c r="BG162">
        <v>8244.4359999999997</v>
      </c>
      <c r="BH162">
        <v>1769185537.0999999</v>
      </c>
      <c r="BI162" t="s">
        <v>570</v>
      </c>
      <c r="BJ162">
        <v>1769185537.0999999</v>
      </c>
      <c r="BK162">
        <v>1769185535.0999999</v>
      </c>
      <c r="BL162">
        <v>5</v>
      </c>
      <c r="BM162">
        <v>1.4999999999999999E-2</v>
      </c>
      <c r="BN162">
        <v>4.2999999999999997E-2</v>
      </c>
      <c r="BO162">
        <v>-0.99299999999999999</v>
      </c>
      <c r="BP162">
        <v>0.15</v>
      </c>
      <c r="BQ162">
        <v>410</v>
      </c>
      <c r="BR162">
        <v>16</v>
      </c>
      <c r="BS162">
        <v>0.2</v>
      </c>
      <c r="BT162">
        <v>0.05</v>
      </c>
      <c r="BU162">
        <v>-0.26125085714285701</v>
      </c>
      <c r="BV162">
        <v>9.3749922077922002E-2</v>
      </c>
      <c r="BW162">
        <v>1.8357220959626299E-2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0.64439719047619104</v>
      </c>
      <c r="CD162">
        <v>-5.8412181818180503E-2</v>
      </c>
      <c r="CE162">
        <v>1.44578897018336E-2</v>
      </c>
      <c r="CF162">
        <v>1</v>
      </c>
      <c r="CG162">
        <v>2</v>
      </c>
      <c r="CH162">
        <v>2</v>
      </c>
      <c r="CI162" t="s">
        <v>310</v>
      </c>
      <c r="CJ162">
        <v>3.5325000000000002</v>
      </c>
      <c r="CK162">
        <v>2.7035100000000001</v>
      </c>
      <c r="CL162">
        <v>9.7952200000000003E-2</v>
      </c>
      <c r="CM162">
        <v>9.66172E-2</v>
      </c>
      <c r="CN162">
        <v>8.6708999999999994E-2</v>
      </c>
      <c r="CO162">
        <v>8.3320099999999994E-2</v>
      </c>
      <c r="CP162">
        <v>31623.200000000001</v>
      </c>
      <c r="CQ162">
        <v>27766.6</v>
      </c>
      <c r="CR162">
        <v>32446.7</v>
      </c>
      <c r="CS162">
        <v>30663.5</v>
      </c>
      <c r="CT162">
        <v>40123.5</v>
      </c>
      <c r="CU162">
        <v>39519.5</v>
      </c>
      <c r="CV162">
        <v>47382.3</v>
      </c>
      <c r="CW162">
        <v>46755.6</v>
      </c>
      <c r="CX162">
        <v>2.6223200000000002</v>
      </c>
      <c r="CY162">
        <v>2.1329600000000002</v>
      </c>
      <c r="CZ162">
        <v>0</v>
      </c>
      <c r="DA162">
        <v>0</v>
      </c>
      <c r="DB162">
        <v>999.9</v>
      </c>
      <c r="DC162">
        <v>999.9</v>
      </c>
      <c r="DD162">
        <v>59.767000000000003</v>
      </c>
      <c r="DE162">
        <v>26.405000000000001</v>
      </c>
      <c r="DF162">
        <v>20.629300000000001</v>
      </c>
      <c r="DG162">
        <v>30.4802</v>
      </c>
      <c r="DH162">
        <v>17.7484</v>
      </c>
      <c r="DI162">
        <v>2</v>
      </c>
      <c r="DJ162">
        <v>-0.116829</v>
      </c>
      <c r="DK162">
        <v>2.1021200000000002</v>
      </c>
      <c r="DL162">
        <v>20.209700000000002</v>
      </c>
      <c r="DM162">
        <v>5.2513100000000001</v>
      </c>
      <c r="DN162">
        <v>12.033899999999999</v>
      </c>
      <c r="DO162">
        <v>4.9672000000000001</v>
      </c>
      <c r="DP162">
        <v>3.2909999999999999</v>
      </c>
      <c r="DQ162">
        <v>9999</v>
      </c>
      <c r="DR162">
        <v>9999</v>
      </c>
      <c r="DS162">
        <v>534.70000000000005</v>
      </c>
      <c r="DT162">
        <v>9999</v>
      </c>
      <c r="DU162">
        <v>1.8710500000000001</v>
      </c>
      <c r="DV162">
        <v>1.8760699999999999</v>
      </c>
      <c r="DW162">
        <v>1.87632</v>
      </c>
      <c r="DX162">
        <v>1.88279</v>
      </c>
      <c r="DY162">
        <v>1.87561</v>
      </c>
      <c r="DZ162">
        <v>1.8746700000000001</v>
      </c>
      <c r="EA162">
        <v>1.8707800000000001</v>
      </c>
      <c r="EB162">
        <v>1.87466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-0.99399999999999999</v>
      </c>
      <c r="EQ162">
        <v>0.1497</v>
      </c>
      <c r="ER162">
        <v>-0.99329999999997698</v>
      </c>
      <c r="ES162">
        <v>0</v>
      </c>
      <c r="ET162">
        <v>0</v>
      </c>
      <c r="EU162">
        <v>0</v>
      </c>
      <c r="EV162">
        <v>0.149730000000002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2.5</v>
      </c>
      <c r="FE162">
        <v>2.6</v>
      </c>
      <c r="FF162">
        <v>1.2390099999999999</v>
      </c>
      <c r="FG162">
        <v>2.5610400000000002</v>
      </c>
      <c r="FH162">
        <v>2.19604</v>
      </c>
      <c r="FI162">
        <v>2.66235</v>
      </c>
      <c r="FJ162">
        <v>2.4462899999999999</v>
      </c>
      <c r="FK162">
        <v>2.2644000000000002</v>
      </c>
      <c r="FL162">
        <v>31.324400000000001</v>
      </c>
      <c r="FM162">
        <v>24.14</v>
      </c>
      <c r="FN162">
        <v>19</v>
      </c>
      <c r="FO162">
        <v>864.60400000000004</v>
      </c>
      <c r="FP162">
        <v>578.34</v>
      </c>
      <c r="FQ162">
        <v>18.2028</v>
      </c>
      <c r="FR162">
        <v>25.5182</v>
      </c>
      <c r="FS162">
        <v>30.0002</v>
      </c>
      <c r="FT162">
        <v>25.4861</v>
      </c>
      <c r="FU162">
        <v>25.4861</v>
      </c>
      <c r="FV162">
        <v>24.863600000000002</v>
      </c>
      <c r="FW162">
        <v>31.241700000000002</v>
      </c>
      <c r="FX162">
        <v>4.5920800000000002</v>
      </c>
      <c r="FY162">
        <v>18.210599999999999</v>
      </c>
      <c r="FZ162">
        <v>410</v>
      </c>
      <c r="GA162">
        <v>14.718999999999999</v>
      </c>
      <c r="GB162">
        <v>99.844200000000001</v>
      </c>
      <c r="GC162">
        <v>99.538899999999998</v>
      </c>
    </row>
    <row r="163" spans="1:185" x14ac:dyDescent="0.2">
      <c r="A163">
        <v>148</v>
      </c>
      <c r="B163">
        <v>1769185704.0999999</v>
      </c>
      <c r="C163">
        <v>2841.0999999046298</v>
      </c>
      <c r="D163" t="s">
        <v>593</v>
      </c>
      <c r="E163" t="s">
        <v>594</v>
      </c>
      <c r="F163">
        <v>15</v>
      </c>
      <c r="G163">
        <v>1769185696.03333</v>
      </c>
      <c r="H163">
        <f t="shared" si="26"/>
        <v>5.3331686990209094E-4</v>
      </c>
      <c r="I163">
        <v>0</v>
      </c>
      <c r="J163">
        <f t="shared" si="38"/>
        <v>-1.917916602072612E-4</v>
      </c>
      <c r="K163">
        <f t="shared" si="27"/>
        <v>-5.0229606081121951E-3</v>
      </c>
      <c r="L163">
        <f t="shared" si="28"/>
        <v>69.830145530501241</v>
      </c>
      <c r="M163">
        <f t="shared" si="29"/>
        <v>1.5385570756957638</v>
      </c>
      <c r="N163">
        <f t="shared" si="30"/>
        <v>2.2032849337593525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26251.271002966972</v>
      </c>
      <c r="T163">
        <f t="shared" si="34"/>
        <v>500.00053333333301</v>
      </c>
      <c r="U163">
        <f t="shared" si="35"/>
        <v>421.50006059958469</v>
      </c>
      <c r="V163">
        <f t="shared" si="36"/>
        <v>0.84299922199999977</v>
      </c>
      <c r="W163">
        <f t="shared" si="37"/>
        <v>0.15869805499999995</v>
      </c>
      <c r="X163">
        <v>1</v>
      </c>
      <c r="Y163">
        <v>1769185696.03333</v>
      </c>
      <c r="Z163">
        <v>409.73186666666697</v>
      </c>
      <c r="AA163">
        <v>409.99873333333301</v>
      </c>
      <c r="AB163">
        <v>15.356733333333301</v>
      </c>
      <c r="AC163">
        <v>14.700326666666699</v>
      </c>
      <c r="AD163">
        <v>410.72506666666698</v>
      </c>
      <c r="AE163">
        <v>15.206986666666699</v>
      </c>
      <c r="AF163">
        <v>800.00233333333301</v>
      </c>
      <c r="AG163">
        <v>100.122333333333</v>
      </c>
      <c r="AH163">
        <v>6.5450246666666698E-2</v>
      </c>
      <c r="AI163">
        <v>18.986219999999999</v>
      </c>
      <c r="AJ163">
        <v>999.9</v>
      </c>
      <c r="AK163">
        <v>999.9</v>
      </c>
      <c r="AL163">
        <v>0</v>
      </c>
      <c r="AM163">
        <v>0</v>
      </c>
      <c r="AN163">
        <v>4999.3</v>
      </c>
      <c r="AO163">
        <v>0</v>
      </c>
      <c r="AP163">
        <v>1.9760899999999999</v>
      </c>
      <c r="AQ163">
        <v>-0.26687420000000001</v>
      </c>
      <c r="AR163">
        <v>416.12213333333301</v>
      </c>
      <c r="AS163">
        <v>416.11573333333303</v>
      </c>
      <c r="AT163">
        <v>0.65641793333333298</v>
      </c>
      <c r="AU163">
        <v>409.99873333333301</v>
      </c>
      <c r="AV163">
        <v>14.700326666666699</v>
      </c>
      <c r="AW163">
        <v>1.53754866666667</v>
      </c>
      <c r="AX163">
        <v>1.4718266666666699</v>
      </c>
      <c r="AY163">
        <v>13.346773333333299</v>
      </c>
      <c r="AZ163">
        <v>12.6785933333333</v>
      </c>
      <c r="BA163">
        <v>500.00053333333301</v>
      </c>
      <c r="BB163">
        <v>0.90002593333333303</v>
      </c>
      <c r="BC163">
        <v>0</v>
      </c>
      <c r="BD163">
        <v>9.9974066666666694E-2</v>
      </c>
      <c r="BE163">
        <v>0</v>
      </c>
      <c r="BF163">
        <v>25</v>
      </c>
      <c r="BG163">
        <v>8244.4619999999995</v>
      </c>
      <c r="BH163">
        <v>1769185537.0999999</v>
      </c>
      <c r="BI163" t="s">
        <v>570</v>
      </c>
      <c r="BJ163">
        <v>1769185537.0999999</v>
      </c>
      <c r="BK163">
        <v>1769185535.0999999</v>
      </c>
      <c r="BL163">
        <v>5</v>
      </c>
      <c r="BM163">
        <v>1.4999999999999999E-2</v>
      </c>
      <c r="BN163">
        <v>4.2999999999999997E-2</v>
      </c>
      <c r="BO163">
        <v>-0.99299999999999999</v>
      </c>
      <c r="BP163">
        <v>0.15</v>
      </c>
      <c r="BQ163">
        <v>410</v>
      </c>
      <c r="BR163">
        <v>16</v>
      </c>
      <c r="BS163">
        <v>0.2</v>
      </c>
      <c r="BT163">
        <v>0.05</v>
      </c>
      <c r="BU163">
        <v>-0.26569623809523801</v>
      </c>
      <c r="BV163">
        <v>-3.00124675324679E-3</v>
      </c>
      <c r="BW163">
        <v>1.51871592437721E-2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0.65332514285714305</v>
      </c>
      <c r="CD163">
        <v>4.9115220779223402E-2</v>
      </c>
      <c r="CE163">
        <v>5.5989219564867897E-3</v>
      </c>
      <c r="CF163">
        <v>1</v>
      </c>
      <c r="CG163">
        <v>2</v>
      </c>
      <c r="CH163">
        <v>2</v>
      </c>
      <c r="CI163" t="s">
        <v>310</v>
      </c>
      <c r="CJ163">
        <v>3.5325299999999999</v>
      </c>
      <c r="CK163">
        <v>2.7032799999999999</v>
      </c>
      <c r="CL163">
        <v>9.7954100000000002E-2</v>
      </c>
      <c r="CM163">
        <v>9.6618700000000002E-2</v>
      </c>
      <c r="CN163">
        <v>8.6706099999999994E-2</v>
      </c>
      <c r="CO163">
        <v>8.3283899999999994E-2</v>
      </c>
      <c r="CP163">
        <v>31623.200000000001</v>
      </c>
      <c r="CQ163">
        <v>27767</v>
      </c>
      <c r="CR163">
        <v>32446.9</v>
      </c>
      <c r="CS163">
        <v>30664</v>
      </c>
      <c r="CT163">
        <v>40123.800000000003</v>
      </c>
      <c r="CU163">
        <v>39521.800000000003</v>
      </c>
      <c r="CV163">
        <v>47382.5</v>
      </c>
      <c r="CW163">
        <v>46756.5</v>
      </c>
      <c r="CX163">
        <v>2.6225000000000001</v>
      </c>
      <c r="CY163">
        <v>2.1328800000000001</v>
      </c>
      <c r="CZ163">
        <v>0</v>
      </c>
      <c r="DA163">
        <v>0</v>
      </c>
      <c r="DB163">
        <v>999.9</v>
      </c>
      <c r="DC163">
        <v>999.9</v>
      </c>
      <c r="DD163">
        <v>59.668999999999997</v>
      </c>
      <c r="DE163">
        <v>26.434999999999999</v>
      </c>
      <c r="DF163">
        <v>20.632999999999999</v>
      </c>
      <c r="DG163">
        <v>30.540199999999999</v>
      </c>
      <c r="DH163">
        <v>17.808499999999999</v>
      </c>
      <c r="DI163">
        <v>2</v>
      </c>
      <c r="DJ163">
        <v>-0.11648799999999999</v>
      </c>
      <c r="DK163">
        <v>2.1093799999999998</v>
      </c>
      <c r="DL163">
        <v>20.209700000000002</v>
      </c>
      <c r="DM163">
        <v>5.2503500000000001</v>
      </c>
      <c r="DN163">
        <v>12.033899999999999</v>
      </c>
      <c r="DO163">
        <v>4.9671200000000004</v>
      </c>
      <c r="DP163">
        <v>3.2909999999999999</v>
      </c>
      <c r="DQ163">
        <v>9999</v>
      </c>
      <c r="DR163">
        <v>9999</v>
      </c>
      <c r="DS163">
        <v>534.79999999999995</v>
      </c>
      <c r="DT163">
        <v>9999</v>
      </c>
      <c r="DU163">
        <v>1.8710500000000001</v>
      </c>
      <c r="DV163">
        <v>1.8760699999999999</v>
      </c>
      <c r="DW163">
        <v>1.8762700000000001</v>
      </c>
      <c r="DX163">
        <v>1.8827799999999999</v>
      </c>
      <c r="DY163">
        <v>1.8755999999999999</v>
      </c>
      <c r="DZ163">
        <v>1.8746499999999999</v>
      </c>
      <c r="EA163">
        <v>1.87077</v>
      </c>
      <c r="EB163">
        <v>1.8746499999999999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-0.99399999999999999</v>
      </c>
      <c r="EQ163">
        <v>0.1497</v>
      </c>
      <c r="ER163">
        <v>-0.99329999999997698</v>
      </c>
      <c r="ES163">
        <v>0</v>
      </c>
      <c r="ET163">
        <v>0</v>
      </c>
      <c r="EU163">
        <v>0</v>
      </c>
      <c r="EV163">
        <v>0.149730000000002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2.8</v>
      </c>
      <c r="FE163">
        <v>2.8</v>
      </c>
      <c r="FF163">
        <v>1.2390099999999999</v>
      </c>
      <c r="FG163">
        <v>2.5659200000000002</v>
      </c>
      <c r="FH163">
        <v>2.19604</v>
      </c>
      <c r="FI163">
        <v>2.66235</v>
      </c>
      <c r="FJ163">
        <v>2.4462899999999999</v>
      </c>
      <c r="FK163">
        <v>2.3156699999999999</v>
      </c>
      <c r="FL163">
        <v>31.3462</v>
      </c>
      <c r="FM163">
        <v>24.148800000000001</v>
      </c>
      <c r="FN163">
        <v>19</v>
      </c>
      <c r="FO163">
        <v>864.82600000000002</v>
      </c>
      <c r="FP163">
        <v>578.32299999999998</v>
      </c>
      <c r="FQ163">
        <v>18.2425</v>
      </c>
      <c r="FR163">
        <v>25.521999999999998</v>
      </c>
      <c r="FS163">
        <v>30.0001</v>
      </c>
      <c r="FT163">
        <v>25.4895</v>
      </c>
      <c r="FU163">
        <v>25.49</v>
      </c>
      <c r="FV163">
        <v>24.8644</v>
      </c>
      <c r="FW163">
        <v>31.241700000000002</v>
      </c>
      <c r="FX163">
        <v>4.2168999999999999</v>
      </c>
      <c r="FY163">
        <v>18.244199999999999</v>
      </c>
      <c r="FZ163">
        <v>410</v>
      </c>
      <c r="GA163">
        <v>14.718999999999999</v>
      </c>
      <c r="GB163">
        <v>99.8446</v>
      </c>
      <c r="GC163">
        <v>99.540700000000001</v>
      </c>
    </row>
    <row r="164" spans="1:185" x14ac:dyDescent="0.2">
      <c r="A164">
        <v>149</v>
      </c>
      <c r="B164">
        <v>1769185719.0999999</v>
      </c>
      <c r="C164">
        <v>2856.0999999046298</v>
      </c>
      <c r="D164" t="s">
        <v>595</v>
      </c>
      <c r="E164" t="s">
        <v>596</v>
      </c>
      <c r="F164">
        <v>15</v>
      </c>
      <c r="G164">
        <v>1769185711.03333</v>
      </c>
      <c r="H164">
        <f t="shared" si="26"/>
        <v>5.3720942601619549E-4</v>
      </c>
      <c r="I164">
        <v>0</v>
      </c>
      <c r="J164">
        <f t="shared" si="38"/>
        <v>-3.0367047321017539E-4</v>
      </c>
      <c r="K164">
        <f t="shared" si="27"/>
        <v>-7.9530299864610694E-3</v>
      </c>
      <c r="L164">
        <f t="shared" si="28"/>
        <v>69.741167456180108</v>
      </c>
      <c r="M164">
        <f t="shared" si="29"/>
        <v>1.5381598319422594</v>
      </c>
      <c r="N164">
        <f t="shared" si="30"/>
        <v>2.2055263598916932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26242.661015762435</v>
      </c>
      <c r="T164">
        <f t="shared" si="34"/>
        <v>499.998533333333</v>
      </c>
      <c r="U164">
        <f t="shared" si="35"/>
        <v>421.49840980103721</v>
      </c>
      <c r="V164">
        <f t="shared" si="36"/>
        <v>0.84299929239999938</v>
      </c>
      <c r="W164">
        <f t="shared" si="37"/>
        <v>0.15869799714399987</v>
      </c>
      <c r="X164">
        <v>1</v>
      </c>
      <c r="Y164">
        <v>1769185711.03333</v>
      </c>
      <c r="Z164">
        <v>409.73546666666698</v>
      </c>
      <c r="AA164">
        <v>410.00066666666697</v>
      </c>
      <c r="AB164">
        <v>15.3527066666667</v>
      </c>
      <c r="AC164">
        <v>14.691506666666699</v>
      </c>
      <c r="AD164">
        <v>410.72873333333303</v>
      </c>
      <c r="AE164">
        <v>15.202959999999999</v>
      </c>
      <c r="AF164">
        <v>800.00273333333303</v>
      </c>
      <c r="AG164">
        <v>100.12286666666699</v>
      </c>
      <c r="AH164">
        <v>6.5319386666666701E-2</v>
      </c>
      <c r="AI164">
        <v>19.002513333333301</v>
      </c>
      <c r="AJ164">
        <v>999.9</v>
      </c>
      <c r="AK164">
        <v>999.9</v>
      </c>
      <c r="AL164">
        <v>0</v>
      </c>
      <c r="AM164">
        <v>0</v>
      </c>
      <c r="AN164">
        <v>4998.1000000000004</v>
      </c>
      <c r="AO164">
        <v>0</v>
      </c>
      <c r="AP164">
        <v>1.9760899999999999</v>
      </c>
      <c r="AQ164">
        <v>-0.26518566666666699</v>
      </c>
      <c r="AR164">
        <v>416.12400000000002</v>
      </c>
      <c r="AS164">
        <v>416.11399999999998</v>
      </c>
      <c r="AT164">
        <v>0.66118880000000002</v>
      </c>
      <c r="AU164">
        <v>410.00066666666697</v>
      </c>
      <c r="AV164">
        <v>14.691506666666699</v>
      </c>
      <c r="AW164">
        <v>1.5371566666666701</v>
      </c>
      <c r="AX164">
        <v>1.47095666666667</v>
      </c>
      <c r="AY164">
        <v>13.34286</v>
      </c>
      <c r="AZ164">
        <v>12.6695733333333</v>
      </c>
      <c r="BA164">
        <v>499.998533333333</v>
      </c>
      <c r="BB164">
        <v>0.90002706666666599</v>
      </c>
      <c r="BC164">
        <v>0</v>
      </c>
      <c r="BD164">
        <v>9.9973053333333298E-2</v>
      </c>
      <c r="BE164">
        <v>0</v>
      </c>
      <c r="BF164">
        <v>25</v>
      </c>
      <c r="BG164">
        <v>8244.4346666666697</v>
      </c>
      <c r="BH164">
        <v>1769185537.0999999</v>
      </c>
      <c r="BI164" t="s">
        <v>570</v>
      </c>
      <c r="BJ164">
        <v>1769185537.0999999</v>
      </c>
      <c r="BK164">
        <v>1769185535.0999999</v>
      </c>
      <c r="BL164">
        <v>5</v>
      </c>
      <c r="BM164">
        <v>1.4999999999999999E-2</v>
      </c>
      <c r="BN164">
        <v>4.2999999999999997E-2</v>
      </c>
      <c r="BO164">
        <v>-0.99299999999999999</v>
      </c>
      <c r="BP164">
        <v>0.15</v>
      </c>
      <c r="BQ164">
        <v>410</v>
      </c>
      <c r="BR164">
        <v>16</v>
      </c>
      <c r="BS164">
        <v>0.2</v>
      </c>
      <c r="BT164">
        <v>0.05</v>
      </c>
      <c r="BU164">
        <v>-0.26368875000000003</v>
      </c>
      <c r="BV164">
        <v>3.7238345864655099E-3</v>
      </c>
      <c r="BW164">
        <v>2.1928888345912601E-2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0.66023580000000004</v>
      </c>
      <c r="CD164">
        <v>2.17448120300749E-2</v>
      </c>
      <c r="CE164">
        <v>2.6053551120720502E-3</v>
      </c>
      <c r="CF164">
        <v>1</v>
      </c>
      <c r="CG164">
        <v>2</v>
      </c>
      <c r="CH164">
        <v>2</v>
      </c>
      <c r="CI164" t="s">
        <v>310</v>
      </c>
      <c r="CJ164">
        <v>3.5325299999999999</v>
      </c>
      <c r="CK164">
        <v>2.7030799999999999</v>
      </c>
      <c r="CL164">
        <v>9.7949700000000001E-2</v>
      </c>
      <c r="CM164">
        <v>9.66138E-2</v>
      </c>
      <c r="CN164">
        <v>8.6660600000000004E-2</v>
      </c>
      <c r="CO164">
        <v>8.3243999999999999E-2</v>
      </c>
      <c r="CP164">
        <v>31623.1</v>
      </c>
      <c r="CQ164">
        <v>27766.5</v>
      </c>
      <c r="CR164">
        <v>32446.6</v>
      </c>
      <c r="CS164">
        <v>30663.3</v>
      </c>
      <c r="CT164">
        <v>40125.300000000003</v>
      </c>
      <c r="CU164">
        <v>39522.699999999997</v>
      </c>
      <c r="CV164">
        <v>47381.8</v>
      </c>
      <c r="CW164">
        <v>46755.5</v>
      </c>
      <c r="CX164">
        <v>2.62216</v>
      </c>
      <c r="CY164">
        <v>2.1326999999999998</v>
      </c>
      <c r="CZ164">
        <v>0</v>
      </c>
      <c r="DA164">
        <v>0</v>
      </c>
      <c r="DB164">
        <v>999.9</v>
      </c>
      <c r="DC164">
        <v>999.9</v>
      </c>
      <c r="DD164">
        <v>59.625999999999998</v>
      </c>
      <c r="DE164">
        <v>26.445</v>
      </c>
      <c r="DF164">
        <v>20.629100000000001</v>
      </c>
      <c r="DG164">
        <v>30.5702</v>
      </c>
      <c r="DH164">
        <v>17.760400000000001</v>
      </c>
      <c r="DI164">
        <v>2</v>
      </c>
      <c r="DJ164">
        <v>-0.113888</v>
      </c>
      <c r="DK164">
        <v>2.6420599999999999</v>
      </c>
      <c r="DL164">
        <v>20.200199999999999</v>
      </c>
      <c r="DM164">
        <v>5.2498800000000001</v>
      </c>
      <c r="DN164">
        <v>12.033899999999999</v>
      </c>
      <c r="DO164">
        <v>4.9671599999999998</v>
      </c>
      <c r="DP164">
        <v>3.2909999999999999</v>
      </c>
      <c r="DQ164">
        <v>9999</v>
      </c>
      <c r="DR164">
        <v>9999</v>
      </c>
      <c r="DS164">
        <v>534.79999999999995</v>
      </c>
      <c r="DT164">
        <v>9999</v>
      </c>
      <c r="DU164">
        <v>1.8710599999999999</v>
      </c>
      <c r="DV164">
        <v>1.87608</v>
      </c>
      <c r="DW164">
        <v>1.87632</v>
      </c>
      <c r="DX164">
        <v>1.8827799999999999</v>
      </c>
      <c r="DY164">
        <v>1.87561</v>
      </c>
      <c r="DZ164">
        <v>1.8746799999999999</v>
      </c>
      <c r="EA164">
        <v>1.8708100000000001</v>
      </c>
      <c r="EB164">
        <v>1.87466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-0.99299999999999999</v>
      </c>
      <c r="EQ164">
        <v>0.1497</v>
      </c>
      <c r="ER164">
        <v>-0.99329999999997698</v>
      </c>
      <c r="ES164">
        <v>0</v>
      </c>
      <c r="ET164">
        <v>0</v>
      </c>
      <c r="EU164">
        <v>0</v>
      </c>
      <c r="EV164">
        <v>0.149730000000002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3</v>
      </c>
      <c r="FE164">
        <v>3.1</v>
      </c>
      <c r="FF164">
        <v>1.2390099999999999</v>
      </c>
      <c r="FG164">
        <v>2.5708000000000002</v>
      </c>
      <c r="FH164">
        <v>2.19604</v>
      </c>
      <c r="FI164">
        <v>2.66235</v>
      </c>
      <c r="FJ164">
        <v>2.4462899999999999</v>
      </c>
      <c r="FK164">
        <v>2.2802699999999998</v>
      </c>
      <c r="FL164">
        <v>31.3462</v>
      </c>
      <c r="FM164">
        <v>24.14</v>
      </c>
      <c r="FN164">
        <v>19</v>
      </c>
      <c r="FO164">
        <v>864.57399999999996</v>
      </c>
      <c r="FP164">
        <v>578.23299999999995</v>
      </c>
      <c r="FQ164">
        <v>18.0852</v>
      </c>
      <c r="FR164">
        <v>25.5246</v>
      </c>
      <c r="FS164">
        <v>30.001200000000001</v>
      </c>
      <c r="FT164">
        <v>25.493500000000001</v>
      </c>
      <c r="FU164">
        <v>25.494299999999999</v>
      </c>
      <c r="FV164">
        <v>24.864000000000001</v>
      </c>
      <c r="FW164">
        <v>31.241700000000002</v>
      </c>
      <c r="FX164">
        <v>4.2168999999999999</v>
      </c>
      <c r="FY164">
        <v>18.067</v>
      </c>
      <c r="FZ164">
        <v>410</v>
      </c>
      <c r="GA164">
        <v>14.718999999999999</v>
      </c>
      <c r="GB164">
        <v>99.843500000000006</v>
      </c>
      <c r="GC164">
        <v>99.538499999999999</v>
      </c>
    </row>
    <row r="165" spans="1:185" x14ac:dyDescent="0.2">
      <c r="A165">
        <v>150</v>
      </c>
      <c r="B165">
        <v>1769185734.0999999</v>
      </c>
      <c r="C165">
        <v>2871.0999999046298</v>
      </c>
      <c r="D165" t="s">
        <v>597</v>
      </c>
      <c r="E165" t="s">
        <v>598</v>
      </c>
      <c r="F165">
        <v>15</v>
      </c>
      <c r="G165">
        <v>1769185726.03333</v>
      </c>
      <c r="H165">
        <f t="shared" si="26"/>
        <v>5.322371562450904E-4</v>
      </c>
      <c r="I165">
        <v>0</v>
      </c>
      <c r="J165">
        <f t="shared" si="38"/>
        <v>5.8926033190531376E-4</v>
      </c>
      <c r="K165">
        <f t="shared" si="27"/>
        <v>1.543253461534742E-2</v>
      </c>
      <c r="L165">
        <f t="shared" si="28"/>
        <v>69.684929352556068</v>
      </c>
      <c r="M165">
        <f t="shared" si="29"/>
        <v>1.5367909760786125</v>
      </c>
      <c r="N165">
        <f t="shared" si="30"/>
        <v>2.2053419446026066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26284.524678234713</v>
      </c>
      <c r="T165">
        <f t="shared" si="34"/>
        <v>499.99926666666698</v>
      </c>
      <c r="U165">
        <f t="shared" si="35"/>
        <v>421.4989752005967</v>
      </c>
      <c r="V165">
        <f t="shared" si="36"/>
        <v>0.84299918680000019</v>
      </c>
      <c r="W165">
        <f t="shared" si="37"/>
        <v>0.15869788904800006</v>
      </c>
      <c r="X165">
        <v>1</v>
      </c>
      <c r="Y165">
        <v>1769185726.03333</v>
      </c>
      <c r="Z165">
        <v>409.70933333333301</v>
      </c>
      <c r="AA165">
        <v>410.00119999999998</v>
      </c>
      <c r="AB165">
        <v>15.3389066666667</v>
      </c>
      <c r="AC165">
        <v>14.683820000000001</v>
      </c>
      <c r="AD165">
        <v>410.70293333333302</v>
      </c>
      <c r="AE165">
        <v>15.189173333333301</v>
      </c>
      <c r="AF165">
        <v>800.00593333333302</v>
      </c>
      <c r="AG165">
        <v>100.123866666667</v>
      </c>
      <c r="AH165">
        <v>6.5215220000000004E-2</v>
      </c>
      <c r="AI165">
        <v>19.001173333333298</v>
      </c>
      <c r="AJ165">
        <v>999.9</v>
      </c>
      <c r="AK165">
        <v>999.9</v>
      </c>
      <c r="AL165">
        <v>0</v>
      </c>
      <c r="AM165">
        <v>0</v>
      </c>
      <c r="AN165">
        <v>5004.9333333333298</v>
      </c>
      <c r="AO165">
        <v>0</v>
      </c>
      <c r="AP165">
        <v>1.9760899999999999</v>
      </c>
      <c r="AQ165">
        <v>-0.29166466666666702</v>
      </c>
      <c r="AR165">
        <v>416.09193333333297</v>
      </c>
      <c r="AS165">
        <v>416.1112</v>
      </c>
      <c r="AT165">
        <v>0.65508553333333297</v>
      </c>
      <c r="AU165">
        <v>410.00119999999998</v>
      </c>
      <c r="AV165">
        <v>14.683820000000001</v>
      </c>
      <c r="AW165">
        <v>1.53579</v>
      </c>
      <c r="AX165">
        <v>1.4701979999999999</v>
      </c>
      <c r="AY165">
        <v>13.3292133333333</v>
      </c>
      <c r="AZ165">
        <v>12.661706666666699</v>
      </c>
      <c r="BA165">
        <v>499.99926666666698</v>
      </c>
      <c r="BB165">
        <v>0.90002826666666702</v>
      </c>
      <c r="BC165">
        <v>0</v>
      </c>
      <c r="BD165">
        <v>9.9971773333333305E-2</v>
      </c>
      <c r="BE165">
        <v>0</v>
      </c>
      <c r="BF165">
        <v>25</v>
      </c>
      <c r="BG165">
        <v>8244.4493333333303</v>
      </c>
      <c r="BH165">
        <v>1769185537.0999999</v>
      </c>
      <c r="BI165" t="s">
        <v>570</v>
      </c>
      <c r="BJ165">
        <v>1769185537.0999999</v>
      </c>
      <c r="BK165">
        <v>1769185535.0999999</v>
      </c>
      <c r="BL165">
        <v>5</v>
      </c>
      <c r="BM165">
        <v>1.4999999999999999E-2</v>
      </c>
      <c r="BN165">
        <v>4.2999999999999997E-2</v>
      </c>
      <c r="BO165">
        <v>-0.99299999999999999</v>
      </c>
      <c r="BP165">
        <v>0.15</v>
      </c>
      <c r="BQ165">
        <v>410</v>
      </c>
      <c r="BR165">
        <v>16</v>
      </c>
      <c r="BS165">
        <v>0.2</v>
      </c>
      <c r="BT165">
        <v>0.05</v>
      </c>
      <c r="BU165">
        <v>-0.28064404761904799</v>
      </c>
      <c r="BV165">
        <v>-0.17676514285714301</v>
      </c>
      <c r="BW165">
        <v>2.3008462282751101E-2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0.65710647619047602</v>
      </c>
      <c r="CD165">
        <v>-2.7123818181817898E-2</v>
      </c>
      <c r="CE165">
        <v>3.7998027094028799E-3</v>
      </c>
      <c r="CF165">
        <v>1</v>
      </c>
      <c r="CG165">
        <v>2</v>
      </c>
      <c r="CH165">
        <v>2</v>
      </c>
      <c r="CI165" t="s">
        <v>310</v>
      </c>
      <c r="CJ165">
        <v>3.5326</v>
      </c>
      <c r="CK165">
        <v>2.7030599999999998</v>
      </c>
      <c r="CL165">
        <v>9.7950999999999996E-2</v>
      </c>
      <c r="CM165">
        <v>9.6618300000000004E-2</v>
      </c>
      <c r="CN165">
        <v>8.6607900000000002E-2</v>
      </c>
      <c r="CO165">
        <v>8.3206299999999997E-2</v>
      </c>
      <c r="CP165">
        <v>31622.6</v>
      </c>
      <c r="CQ165">
        <v>27767.1</v>
      </c>
      <c r="CR165">
        <v>32446.2</v>
      </c>
      <c r="CS165">
        <v>30664.1</v>
      </c>
      <c r="CT165">
        <v>40127.599999999999</v>
      </c>
      <c r="CU165">
        <v>39525.599999999999</v>
      </c>
      <c r="CV165">
        <v>47381.599999999999</v>
      </c>
      <c r="CW165">
        <v>46756.9</v>
      </c>
      <c r="CX165">
        <v>2.6222599999999998</v>
      </c>
      <c r="CY165">
        <v>2.1326000000000001</v>
      </c>
      <c r="CZ165">
        <v>0</v>
      </c>
      <c r="DA165">
        <v>0</v>
      </c>
      <c r="DB165">
        <v>999.9</v>
      </c>
      <c r="DC165">
        <v>999.9</v>
      </c>
      <c r="DD165">
        <v>59.529000000000003</v>
      </c>
      <c r="DE165">
        <v>26.454999999999998</v>
      </c>
      <c r="DF165">
        <v>20.608499999999999</v>
      </c>
      <c r="DG165">
        <v>30.360199999999999</v>
      </c>
      <c r="DH165">
        <v>17.784500000000001</v>
      </c>
      <c r="DI165">
        <v>2</v>
      </c>
      <c r="DJ165">
        <v>-0.115291</v>
      </c>
      <c r="DK165">
        <v>2.3439800000000002</v>
      </c>
      <c r="DL165">
        <v>20.2059</v>
      </c>
      <c r="DM165">
        <v>5.2498800000000001</v>
      </c>
      <c r="DN165">
        <v>12.033899999999999</v>
      </c>
      <c r="DO165">
        <v>4.9672000000000001</v>
      </c>
      <c r="DP165">
        <v>3.2909999999999999</v>
      </c>
      <c r="DQ165">
        <v>9999</v>
      </c>
      <c r="DR165">
        <v>9999</v>
      </c>
      <c r="DS165">
        <v>534.79999999999995</v>
      </c>
      <c r="DT165">
        <v>9999</v>
      </c>
      <c r="DU165">
        <v>1.87103</v>
      </c>
      <c r="DV165">
        <v>1.8760699999999999</v>
      </c>
      <c r="DW165">
        <v>1.8762399999999999</v>
      </c>
      <c r="DX165">
        <v>1.8827799999999999</v>
      </c>
      <c r="DY165">
        <v>1.8755599999999999</v>
      </c>
      <c r="DZ165">
        <v>1.8746</v>
      </c>
      <c r="EA165">
        <v>1.87073</v>
      </c>
      <c r="EB165">
        <v>1.8745799999999999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-0.99399999999999999</v>
      </c>
      <c r="EQ165">
        <v>0.14979999999999999</v>
      </c>
      <c r="ER165">
        <v>-0.99329999999997698</v>
      </c>
      <c r="ES165">
        <v>0</v>
      </c>
      <c r="ET165">
        <v>0</v>
      </c>
      <c r="EU165">
        <v>0</v>
      </c>
      <c r="EV165">
        <v>0.149730000000002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3.3</v>
      </c>
      <c r="FE165">
        <v>3.3</v>
      </c>
      <c r="FF165">
        <v>1.2390099999999999</v>
      </c>
      <c r="FG165">
        <v>2.5634800000000002</v>
      </c>
      <c r="FH165">
        <v>2.19604</v>
      </c>
      <c r="FI165">
        <v>2.66235</v>
      </c>
      <c r="FJ165">
        <v>2.4462899999999999</v>
      </c>
      <c r="FK165">
        <v>2.3144499999999999</v>
      </c>
      <c r="FL165">
        <v>31.3462</v>
      </c>
      <c r="FM165">
        <v>24.148800000000001</v>
      </c>
      <c r="FN165">
        <v>19</v>
      </c>
      <c r="FO165">
        <v>864.71299999999997</v>
      </c>
      <c r="FP165">
        <v>578.18700000000001</v>
      </c>
      <c r="FQ165">
        <v>18.045000000000002</v>
      </c>
      <c r="FR165">
        <v>25.526299999999999</v>
      </c>
      <c r="FS165">
        <v>29.9999</v>
      </c>
      <c r="FT165">
        <v>25.496400000000001</v>
      </c>
      <c r="FU165">
        <v>25.497199999999999</v>
      </c>
      <c r="FV165">
        <v>24.863900000000001</v>
      </c>
      <c r="FW165">
        <v>31.241700000000002</v>
      </c>
      <c r="FX165">
        <v>3.8371900000000001</v>
      </c>
      <c r="FY165">
        <v>18.056899999999999</v>
      </c>
      <c r="FZ165">
        <v>410</v>
      </c>
      <c r="GA165">
        <v>14.7203</v>
      </c>
      <c r="GB165">
        <v>99.842699999999994</v>
      </c>
      <c r="GC165">
        <v>99.541300000000007</v>
      </c>
    </row>
    <row r="166" spans="1:185" x14ac:dyDescent="0.2">
      <c r="A166">
        <v>151</v>
      </c>
      <c r="B166">
        <v>1769185749.0999999</v>
      </c>
      <c r="C166">
        <v>2886.0999999046298</v>
      </c>
      <c r="D166" t="s">
        <v>599</v>
      </c>
      <c r="E166" t="s">
        <v>600</v>
      </c>
      <c r="F166">
        <v>15</v>
      </c>
      <c r="G166">
        <v>1769185741.03333</v>
      </c>
      <c r="H166">
        <f t="shared" si="26"/>
        <v>5.3262395488539729E-4</v>
      </c>
      <c r="I166">
        <v>0</v>
      </c>
      <c r="J166">
        <f t="shared" si="38"/>
        <v>-1.7035126068082722E-4</v>
      </c>
      <c r="K166">
        <f t="shared" si="27"/>
        <v>-4.4614435842380363E-3</v>
      </c>
      <c r="L166">
        <f t="shared" si="28"/>
        <v>69.660934086684534</v>
      </c>
      <c r="M166">
        <f t="shared" si="29"/>
        <v>1.5361371767911014</v>
      </c>
      <c r="N166">
        <f t="shared" si="30"/>
        <v>2.205163047167249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26252.671523696681</v>
      </c>
      <c r="T166">
        <f t="shared" si="34"/>
        <v>500.00099999999998</v>
      </c>
      <c r="U166">
        <f t="shared" si="35"/>
        <v>421.50047149925695</v>
      </c>
      <c r="V166">
        <f t="shared" si="36"/>
        <v>0.84299925699999989</v>
      </c>
      <c r="W166">
        <f t="shared" si="37"/>
        <v>0.15869781769999999</v>
      </c>
      <c r="X166">
        <v>1</v>
      </c>
      <c r="Y166">
        <v>1769185741.03333</v>
      </c>
      <c r="Z166">
        <v>409.71339999999998</v>
      </c>
      <c r="AA166">
        <v>409.98059999999998</v>
      </c>
      <c r="AB166">
        <v>15.33236</v>
      </c>
      <c r="AC166">
        <v>14.6767933333333</v>
      </c>
      <c r="AD166">
        <v>410.70659999999998</v>
      </c>
      <c r="AE166">
        <v>15.182639999999999</v>
      </c>
      <c r="AF166">
        <v>800.00646666666705</v>
      </c>
      <c r="AG166">
        <v>100.123866666667</v>
      </c>
      <c r="AH166">
        <v>6.5352526666666605E-2</v>
      </c>
      <c r="AI166">
        <v>18.999873333333301</v>
      </c>
      <c r="AJ166">
        <v>999.9</v>
      </c>
      <c r="AK166">
        <v>999.9</v>
      </c>
      <c r="AL166">
        <v>0</v>
      </c>
      <c r="AM166">
        <v>0</v>
      </c>
      <c r="AN166">
        <v>4999.6666666666697</v>
      </c>
      <c r="AO166">
        <v>0</v>
      </c>
      <c r="AP166">
        <v>1.97232733333333</v>
      </c>
      <c r="AQ166">
        <v>-0.26717926666666703</v>
      </c>
      <c r="AR166">
        <v>416.09306666666703</v>
      </c>
      <c r="AS166">
        <v>416.0874</v>
      </c>
      <c r="AT166">
        <v>0.65556473333333298</v>
      </c>
      <c r="AU166">
        <v>409.98059999999998</v>
      </c>
      <c r="AV166">
        <v>14.6767933333333</v>
      </c>
      <c r="AW166">
        <v>1.53513266666667</v>
      </c>
      <c r="AX166">
        <v>1.46949533333333</v>
      </c>
      <c r="AY166">
        <v>13.322646666666699</v>
      </c>
      <c r="AZ166">
        <v>12.6544066666667</v>
      </c>
      <c r="BA166">
        <v>500.00099999999998</v>
      </c>
      <c r="BB166">
        <v>0.90002959999999999</v>
      </c>
      <c r="BC166">
        <v>0</v>
      </c>
      <c r="BD166">
        <v>9.9970566666666594E-2</v>
      </c>
      <c r="BE166">
        <v>0</v>
      </c>
      <c r="BF166">
        <v>25</v>
      </c>
      <c r="BG166">
        <v>8244.4779999999992</v>
      </c>
      <c r="BH166">
        <v>1769185537.0999999</v>
      </c>
      <c r="BI166" t="s">
        <v>570</v>
      </c>
      <c r="BJ166">
        <v>1769185537.0999999</v>
      </c>
      <c r="BK166">
        <v>1769185535.0999999</v>
      </c>
      <c r="BL166">
        <v>5</v>
      </c>
      <c r="BM166">
        <v>1.4999999999999999E-2</v>
      </c>
      <c r="BN166">
        <v>4.2999999999999997E-2</v>
      </c>
      <c r="BO166">
        <v>-0.99299999999999999</v>
      </c>
      <c r="BP166">
        <v>0.15</v>
      </c>
      <c r="BQ166">
        <v>410</v>
      </c>
      <c r="BR166">
        <v>16</v>
      </c>
      <c r="BS166">
        <v>0.2</v>
      </c>
      <c r="BT166">
        <v>0.05</v>
      </c>
      <c r="BU166">
        <v>-0.27370749999999999</v>
      </c>
      <c r="BV166">
        <v>7.0525894736842606E-2</v>
      </c>
      <c r="BW166">
        <v>2.6841962855760002E-2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0.65559429999999996</v>
      </c>
      <c r="CD166">
        <v>1.0064661654133901E-2</v>
      </c>
      <c r="CE166">
        <v>2.0994924172285101E-3</v>
      </c>
      <c r="CF166">
        <v>1</v>
      </c>
      <c r="CG166">
        <v>2</v>
      </c>
      <c r="CH166">
        <v>2</v>
      </c>
      <c r="CI166" t="s">
        <v>310</v>
      </c>
      <c r="CJ166">
        <v>3.5325299999999999</v>
      </c>
      <c r="CK166">
        <v>2.7031299999999998</v>
      </c>
      <c r="CL166">
        <v>9.7950899999999994E-2</v>
      </c>
      <c r="CM166">
        <v>9.6610100000000004E-2</v>
      </c>
      <c r="CN166">
        <v>8.6593000000000003E-2</v>
      </c>
      <c r="CO166">
        <v>8.3174600000000001E-2</v>
      </c>
      <c r="CP166">
        <v>31623.7</v>
      </c>
      <c r="CQ166">
        <v>27767.599999999999</v>
      </c>
      <c r="CR166">
        <v>32447.200000000001</v>
      </c>
      <c r="CS166">
        <v>30664.400000000001</v>
      </c>
      <c r="CT166">
        <v>40129.199999999997</v>
      </c>
      <c r="CU166">
        <v>39527.300000000003</v>
      </c>
      <c r="CV166">
        <v>47382.8</v>
      </c>
      <c r="CW166">
        <v>46757.3</v>
      </c>
      <c r="CX166">
        <v>2.6221800000000002</v>
      </c>
      <c r="CY166">
        <v>2.1326000000000001</v>
      </c>
      <c r="CZ166">
        <v>0</v>
      </c>
      <c r="DA166">
        <v>0</v>
      </c>
      <c r="DB166">
        <v>999.9</v>
      </c>
      <c r="DC166">
        <v>999.9</v>
      </c>
      <c r="DD166">
        <v>59.442999999999998</v>
      </c>
      <c r="DE166">
        <v>26.475000000000001</v>
      </c>
      <c r="DF166">
        <v>20.6021</v>
      </c>
      <c r="DG166">
        <v>30.4802</v>
      </c>
      <c r="DH166">
        <v>17.752400000000002</v>
      </c>
      <c r="DI166">
        <v>2</v>
      </c>
      <c r="DJ166">
        <v>-0.115163</v>
      </c>
      <c r="DK166">
        <v>2.33582</v>
      </c>
      <c r="DL166">
        <v>20.206199999999999</v>
      </c>
      <c r="DM166">
        <v>5.2502399999999998</v>
      </c>
      <c r="DN166">
        <v>12.033899999999999</v>
      </c>
      <c r="DO166">
        <v>4.9672000000000001</v>
      </c>
      <c r="DP166">
        <v>3.2909999999999999</v>
      </c>
      <c r="DQ166">
        <v>9999</v>
      </c>
      <c r="DR166">
        <v>9999</v>
      </c>
      <c r="DS166">
        <v>534.79999999999995</v>
      </c>
      <c r="DT166">
        <v>9999</v>
      </c>
      <c r="DU166">
        <v>1.87107</v>
      </c>
      <c r="DV166">
        <v>1.87608</v>
      </c>
      <c r="DW166">
        <v>1.87629</v>
      </c>
      <c r="DX166">
        <v>1.8827799999999999</v>
      </c>
      <c r="DY166">
        <v>1.8755999999999999</v>
      </c>
      <c r="DZ166">
        <v>1.87463</v>
      </c>
      <c r="EA166">
        <v>1.8707499999999999</v>
      </c>
      <c r="EB166">
        <v>1.87466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-0.99399999999999999</v>
      </c>
      <c r="EQ166">
        <v>0.1497</v>
      </c>
      <c r="ER166">
        <v>-0.99329999999997698</v>
      </c>
      <c r="ES166">
        <v>0</v>
      </c>
      <c r="ET166">
        <v>0</v>
      </c>
      <c r="EU166">
        <v>0</v>
      </c>
      <c r="EV166">
        <v>0.149730000000002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3.5</v>
      </c>
      <c r="FE166">
        <v>3.6</v>
      </c>
      <c r="FF166">
        <v>1.2390099999999999</v>
      </c>
      <c r="FG166">
        <v>2.5671400000000002</v>
      </c>
      <c r="FH166">
        <v>2.19604</v>
      </c>
      <c r="FI166">
        <v>2.66235</v>
      </c>
      <c r="FJ166">
        <v>2.4462899999999999</v>
      </c>
      <c r="FK166">
        <v>2.2619600000000002</v>
      </c>
      <c r="FL166">
        <v>31.3462</v>
      </c>
      <c r="FM166">
        <v>24.14</v>
      </c>
      <c r="FN166">
        <v>19</v>
      </c>
      <c r="FO166">
        <v>864.69500000000005</v>
      </c>
      <c r="FP166">
        <v>578.22799999999995</v>
      </c>
      <c r="FQ166">
        <v>18.058499999999999</v>
      </c>
      <c r="FR166">
        <v>25.527999999999999</v>
      </c>
      <c r="FS166">
        <v>30.0001</v>
      </c>
      <c r="FT166">
        <v>25.4999</v>
      </c>
      <c r="FU166">
        <v>25.500800000000002</v>
      </c>
      <c r="FV166">
        <v>24.8659</v>
      </c>
      <c r="FW166">
        <v>31.241700000000002</v>
      </c>
      <c r="FX166">
        <v>3.4636999999999998</v>
      </c>
      <c r="FY166">
        <v>18.057099999999998</v>
      </c>
      <c r="FZ166">
        <v>410</v>
      </c>
      <c r="GA166">
        <v>14.7263</v>
      </c>
      <c r="GB166">
        <v>99.845399999999998</v>
      </c>
      <c r="GC166">
        <v>99.542100000000005</v>
      </c>
    </row>
    <row r="167" spans="1:185" x14ac:dyDescent="0.2">
      <c r="A167">
        <v>152</v>
      </c>
      <c r="B167">
        <v>1769185764.0999999</v>
      </c>
      <c r="C167">
        <v>2901.0999999046298</v>
      </c>
      <c r="D167" t="s">
        <v>601</v>
      </c>
      <c r="E167" t="s">
        <v>602</v>
      </c>
      <c r="F167">
        <v>15</v>
      </c>
      <c r="G167">
        <v>1769185756.03333</v>
      </c>
      <c r="H167">
        <f t="shared" si="26"/>
        <v>5.3374379440891315E-4</v>
      </c>
      <c r="I167">
        <v>0</v>
      </c>
      <c r="J167">
        <f t="shared" si="38"/>
        <v>-3.8575358793380859E-4</v>
      </c>
      <c r="K167">
        <f t="shared" si="27"/>
        <v>-1.0102759809970644E-2</v>
      </c>
      <c r="L167">
        <f t="shared" si="28"/>
        <v>69.641117890180311</v>
      </c>
      <c r="M167">
        <f t="shared" si="29"/>
        <v>1.5355737035303041</v>
      </c>
      <c r="N167">
        <f t="shared" si="30"/>
        <v>2.2049814104819627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26227.741070883429</v>
      </c>
      <c r="T167">
        <f t="shared" si="34"/>
        <v>500.00040000000001</v>
      </c>
      <c r="U167">
        <f t="shared" si="35"/>
        <v>421.4999218996677</v>
      </c>
      <c r="V167">
        <f t="shared" si="36"/>
        <v>0.84299916939999986</v>
      </c>
      <c r="W167">
        <f t="shared" si="37"/>
        <v>0.15869775460399999</v>
      </c>
      <c r="X167">
        <v>1</v>
      </c>
      <c r="Y167">
        <v>1769185756.03333</v>
      </c>
      <c r="Z167">
        <v>409.72773333333299</v>
      </c>
      <c r="AA167">
        <v>409.98846666666702</v>
      </c>
      <c r="AB167">
        <v>15.326833333333299</v>
      </c>
      <c r="AC167">
        <v>14.669879999999999</v>
      </c>
      <c r="AD167">
        <v>410.72093333333299</v>
      </c>
      <c r="AE167">
        <v>15.177099999999999</v>
      </c>
      <c r="AF167">
        <v>800.00080000000003</v>
      </c>
      <c r="AG167">
        <v>100.12326666666701</v>
      </c>
      <c r="AH167">
        <v>6.5315680000000001E-2</v>
      </c>
      <c r="AI167">
        <v>18.998553333333302</v>
      </c>
      <c r="AJ167">
        <v>999.9</v>
      </c>
      <c r="AK167">
        <v>999.9</v>
      </c>
      <c r="AL167">
        <v>0</v>
      </c>
      <c r="AM167">
        <v>0</v>
      </c>
      <c r="AN167">
        <v>4995.5666666666702</v>
      </c>
      <c r="AO167">
        <v>0</v>
      </c>
      <c r="AP167">
        <v>1.9760899999999999</v>
      </c>
      <c r="AQ167">
        <v>-0.26086219999999999</v>
      </c>
      <c r="AR167">
        <v>416.10533333333302</v>
      </c>
      <c r="AS167">
        <v>416.09253333333299</v>
      </c>
      <c r="AT167">
        <v>0.65695253333333303</v>
      </c>
      <c r="AU167">
        <v>409.98846666666702</v>
      </c>
      <c r="AV167">
        <v>14.669879999999999</v>
      </c>
      <c r="AW167">
        <v>1.53457333333333</v>
      </c>
      <c r="AX167">
        <v>1.468798</v>
      </c>
      <c r="AY167">
        <v>13.3170533333333</v>
      </c>
      <c r="AZ167">
        <v>12.6471533333333</v>
      </c>
      <c r="BA167">
        <v>500.00040000000001</v>
      </c>
      <c r="BB167">
        <v>0.9000302</v>
      </c>
      <c r="BC167">
        <v>0</v>
      </c>
      <c r="BD167">
        <v>9.9969886666666605E-2</v>
      </c>
      <c r="BE167">
        <v>0</v>
      </c>
      <c r="BF167">
        <v>25</v>
      </c>
      <c r="BG167">
        <v>8244.4740000000002</v>
      </c>
      <c r="BH167">
        <v>1769185537.0999999</v>
      </c>
      <c r="BI167" t="s">
        <v>570</v>
      </c>
      <c r="BJ167">
        <v>1769185537.0999999</v>
      </c>
      <c r="BK167">
        <v>1769185535.0999999</v>
      </c>
      <c r="BL167">
        <v>5</v>
      </c>
      <c r="BM167">
        <v>1.4999999999999999E-2</v>
      </c>
      <c r="BN167">
        <v>4.2999999999999997E-2</v>
      </c>
      <c r="BO167">
        <v>-0.99299999999999999</v>
      </c>
      <c r="BP167">
        <v>0.15</v>
      </c>
      <c r="BQ167">
        <v>410</v>
      </c>
      <c r="BR167">
        <v>16</v>
      </c>
      <c r="BS167">
        <v>0.2</v>
      </c>
      <c r="BT167">
        <v>0.05</v>
      </c>
      <c r="BU167">
        <v>-0.26722061904761901</v>
      </c>
      <c r="BV167">
        <v>0.13262992207792201</v>
      </c>
      <c r="BW167">
        <v>2.1482144240932002E-2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0.65724671428571402</v>
      </c>
      <c r="CD167">
        <v>-8.4366233766160204E-4</v>
      </c>
      <c r="CE167">
        <v>1.7117026928890301E-3</v>
      </c>
      <c r="CF167">
        <v>1</v>
      </c>
      <c r="CG167">
        <v>2</v>
      </c>
      <c r="CH167">
        <v>2</v>
      </c>
      <c r="CI167" t="s">
        <v>310</v>
      </c>
      <c r="CJ167">
        <v>3.5325099999999998</v>
      </c>
      <c r="CK167">
        <v>2.70282</v>
      </c>
      <c r="CL167">
        <v>9.7949999999999995E-2</v>
      </c>
      <c r="CM167">
        <v>9.6616599999999997E-2</v>
      </c>
      <c r="CN167">
        <v>8.6564500000000003E-2</v>
      </c>
      <c r="CO167">
        <v>8.3136799999999997E-2</v>
      </c>
      <c r="CP167">
        <v>31623.7</v>
      </c>
      <c r="CQ167">
        <v>27767.4</v>
      </c>
      <c r="CR167">
        <v>32447.200000000001</v>
      </c>
      <c r="CS167">
        <v>30664.5</v>
      </c>
      <c r="CT167">
        <v>40130.5</v>
      </c>
      <c r="CU167">
        <v>39529.1</v>
      </c>
      <c r="CV167">
        <v>47382.8</v>
      </c>
      <c r="CW167">
        <v>46757.4</v>
      </c>
      <c r="CX167">
        <v>2.6222599999999998</v>
      </c>
      <c r="CY167">
        <v>2.1324000000000001</v>
      </c>
      <c r="CZ167">
        <v>0</v>
      </c>
      <c r="DA167">
        <v>0</v>
      </c>
      <c r="DB167">
        <v>999.9</v>
      </c>
      <c r="DC167">
        <v>999.9</v>
      </c>
      <c r="DD167">
        <v>59.375999999999998</v>
      </c>
      <c r="DE167">
        <v>26.484999999999999</v>
      </c>
      <c r="DF167">
        <v>20.592600000000001</v>
      </c>
      <c r="DG167">
        <v>30.7502</v>
      </c>
      <c r="DH167">
        <v>17.7925</v>
      </c>
      <c r="DI167">
        <v>2</v>
      </c>
      <c r="DJ167">
        <v>-0.11505700000000001</v>
      </c>
      <c r="DK167">
        <v>2.3352599999999999</v>
      </c>
      <c r="DL167">
        <v>20.206099999999999</v>
      </c>
      <c r="DM167">
        <v>5.2507099999999998</v>
      </c>
      <c r="DN167">
        <v>12.033899999999999</v>
      </c>
      <c r="DO167">
        <v>4.9673999999999996</v>
      </c>
      <c r="DP167">
        <v>3.2910200000000001</v>
      </c>
      <c r="DQ167">
        <v>9999</v>
      </c>
      <c r="DR167">
        <v>9999</v>
      </c>
      <c r="DS167">
        <v>534.79999999999995</v>
      </c>
      <c r="DT167">
        <v>9999</v>
      </c>
      <c r="DU167">
        <v>1.87104</v>
      </c>
      <c r="DV167">
        <v>1.8760699999999999</v>
      </c>
      <c r="DW167">
        <v>1.87625</v>
      </c>
      <c r="DX167">
        <v>1.8827799999999999</v>
      </c>
      <c r="DY167">
        <v>1.87558</v>
      </c>
      <c r="DZ167">
        <v>1.87463</v>
      </c>
      <c r="EA167">
        <v>1.87073</v>
      </c>
      <c r="EB167">
        <v>1.87463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-0.99399999999999999</v>
      </c>
      <c r="EQ167">
        <v>0.1497</v>
      </c>
      <c r="ER167">
        <v>-0.99329999999997698</v>
      </c>
      <c r="ES167">
        <v>0</v>
      </c>
      <c r="ET167">
        <v>0</v>
      </c>
      <c r="EU167">
        <v>0</v>
      </c>
      <c r="EV167">
        <v>0.149730000000002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3.8</v>
      </c>
      <c r="FE167">
        <v>3.8</v>
      </c>
      <c r="FF167">
        <v>1.2390099999999999</v>
      </c>
      <c r="FG167">
        <v>2.5647000000000002</v>
      </c>
      <c r="FH167">
        <v>2.19604</v>
      </c>
      <c r="FI167">
        <v>2.66235</v>
      </c>
      <c r="FJ167">
        <v>2.4462899999999999</v>
      </c>
      <c r="FK167">
        <v>2.2985799999999998</v>
      </c>
      <c r="FL167">
        <v>31.367999999999999</v>
      </c>
      <c r="FM167">
        <v>24.148800000000001</v>
      </c>
      <c r="FN167">
        <v>19</v>
      </c>
      <c r="FO167">
        <v>864.83699999999999</v>
      </c>
      <c r="FP167">
        <v>578.12199999999996</v>
      </c>
      <c r="FQ167">
        <v>18.059100000000001</v>
      </c>
      <c r="FR167">
        <v>25.530100000000001</v>
      </c>
      <c r="FS167">
        <v>30.0001</v>
      </c>
      <c r="FT167">
        <v>25.504100000000001</v>
      </c>
      <c r="FU167">
        <v>25.504999999999999</v>
      </c>
      <c r="FV167">
        <v>24.8674</v>
      </c>
      <c r="FW167">
        <v>31.241700000000002</v>
      </c>
      <c r="FX167">
        <v>3.09362</v>
      </c>
      <c r="FY167">
        <v>18.059799999999999</v>
      </c>
      <c r="FZ167">
        <v>410</v>
      </c>
      <c r="GA167">
        <v>14.736599999999999</v>
      </c>
      <c r="GB167">
        <v>99.845500000000001</v>
      </c>
      <c r="GC167">
        <v>99.542400000000001</v>
      </c>
    </row>
    <row r="168" spans="1:185" x14ac:dyDescent="0.2">
      <c r="A168">
        <v>153</v>
      </c>
      <c r="B168">
        <v>1769185779.0999999</v>
      </c>
      <c r="C168">
        <v>2916.0999999046298</v>
      </c>
      <c r="D168" t="s">
        <v>603</v>
      </c>
      <c r="E168" t="s">
        <v>604</v>
      </c>
      <c r="F168">
        <v>15</v>
      </c>
      <c r="G168">
        <v>1769185771.03333</v>
      </c>
      <c r="H168">
        <f t="shared" si="26"/>
        <v>5.2177604279673539E-4</v>
      </c>
      <c r="I168">
        <v>0</v>
      </c>
      <c r="J168">
        <f t="shared" si="38"/>
        <v>4.8593587194039825E-4</v>
      </c>
      <c r="K168">
        <f t="shared" si="27"/>
        <v>1.272650093433449E-2</v>
      </c>
      <c r="L168">
        <f t="shared" si="28"/>
        <v>69.63390066261465</v>
      </c>
      <c r="M168">
        <f t="shared" si="29"/>
        <v>1.5354305342867887</v>
      </c>
      <c r="N168">
        <f t="shared" si="30"/>
        <v>2.2050043436833304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26266.792477952251</v>
      </c>
      <c r="T168">
        <f t="shared" si="34"/>
        <v>499.99959999999999</v>
      </c>
      <c r="U168">
        <f t="shared" si="35"/>
        <v>421.4991821003847</v>
      </c>
      <c r="V168">
        <f t="shared" si="36"/>
        <v>0.84299903860000025</v>
      </c>
      <c r="W168">
        <f t="shared" si="37"/>
        <v>0.15869763547600005</v>
      </c>
      <c r="X168">
        <v>1</v>
      </c>
      <c r="Y168">
        <v>1769185771.03333</v>
      </c>
      <c r="Z168">
        <v>409.719333333333</v>
      </c>
      <c r="AA168">
        <v>410.00246666666698</v>
      </c>
      <c r="AB168">
        <v>15.325519999999999</v>
      </c>
      <c r="AC168">
        <v>14.683299999999999</v>
      </c>
      <c r="AD168">
        <v>410.712533333333</v>
      </c>
      <c r="AE168">
        <v>15.175800000000001</v>
      </c>
      <c r="AF168">
        <v>800.00553333333301</v>
      </c>
      <c r="AG168">
        <v>100.122533333333</v>
      </c>
      <c r="AH168">
        <v>6.5292873333333307E-2</v>
      </c>
      <c r="AI168">
        <v>18.998719999999999</v>
      </c>
      <c r="AJ168">
        <v>999.9</v>
      </c>
      <c r="AK168">
        <v>999.9</v>
      </c>
      <c r="AL168">
        <v>0</v>
      </c>
      <c r="AM168">
        <v>0</v>
      </c>
      <c r="AN168">
        <v>5002.0333333333301</v>
      </c>
      <c r="AO168">
        <v>0</v>
      </c>
      <c r="AP168">
        <v>1.9760899999999999</v>
      </c>
      <c r="AQ168">
        <v>-0.28330886666666699</v>
      </c>
      <c r="AR168">
        <v>416.09620000000001</v>
      </c>
      <c r="AS168">
        <v>416.11246666666699</v>
      </c>
      <c r="AT168">
        <v>0.642224866666667</v>
      </c>
      <c r="AU168">
        <v>410.00246666666698</v>
      </c>
      <c r="AV168">
        <v>14.683299999999999</v>
      </c>
      <c r="AW168">
        <v>1.5344313333333299</v>
      </c>
      <c r="AX168">
        <v>1.47012866666667</v>
      </c>
      <c r="AY168">
        <v>13.3156266666667</v>
      </c>
      <c r="AZ168">
        <v>12.660959999999999</v>
      </c>
      <c r="BA168">
        <v>499.99959999999999</v>
      </c>
      <c r="BB168">
        <v>0.900031466666667</v>
      </c>
      <c r="BC168">
        <v>0</v>
      </c>
      <c r="BD168">
        <v>9.99685133333333E-2</v>
      </c>
      <c r="BE168">
        <v>0</v>
      </c>
      <c r="BF168">
        <v>25</v>
      </c>
      <c r="BG168">
        <v>8244.4606666666696</v>
      </c>
      <c r="BH168">
        <v>1769185537.0999999</v>
      </c>
      <c r="BI168" t="s">
        <v>570</v>
      </c>
      <c r="BJ168">
        <v>1769185537.0999999</v>
      </c>
      <c r="BK168">
        <v>1769185535.0999999</v>
      </c>
      <c r="BL168">
        <v>5</v>
      </c>
      <c r="BM168">
        <v>1.4999999999999999E-2</v>
      </c>
      <c r="BN168">
        <v>4.2999999999999997E-2</v>
      </c>
      <c r="BO168">
        <v>-0.99299999999999999</v>
      </c>
      <c r="BP168">
        <v>0.15</v>
      </c>
      <c r="BQ168">
        <v>410</v>
      </c>
      <c r="BR168">
        <v>16</v>
      </c>
      <c r="BS168">
        <v>0.2</v>
      </c>
      <c r="BT168">
        <v>0.05</v>
      </c>
      <c r="BU168">
        <v>-0.27570644999999999</v>
      </c>
      <c r="BV168">
        <v>-0.18592660150376</v>
      </c>
      <c r="BW168">
        <v>2.18033670484056E-2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0.64617734999999998</v>
      </c>
      <c r="CD168">
        <v>-0.11551087218045</v>
      </c>
      <c r="CE168">
        <v>1.2839623040708801E-2</v>
      </c>
      <c r="CF168">
        <v>0</v>
      </c>
      <c r="CG168">
        <v>1</v>
      </c>
      <c r="CH168">
        <v>2</v>
      </c>
      <c r="CI168" t="s">
        <v>301</v>
      </c>
      <c r="CJ168">
        <v>3.5325000000000002</v>
      </c>
      <c r="CK168">
        <v>2.70323</v>
      </c>
      <c r="CL168">
        <v>9.7944299999999998E-2</v>
      </c>
      <c r="CM168">
        <v>9.6616599999999997E-2</v>
      </c>
      <c r="CN168">
        <v>8.6594500000000005E-2</v>
      </c>
      <c r="CO168">
        <v>8.3260500000000001E-2</v>
      </c>
      <c r="CP168">
        <v>31623.3</v>
      </c>
      <c r="CQ168">
        <v>27767.7</v>
      </c>
      <c r="CR168">
        <v>32446.7</v>
      </c>
      <c r="CS168">
        <v>30664.7</v>
      </c>
      <c r="CT168">
        <v>40128.5</v>
      </c>
      <c r="CU168">
        <v>39523.699999999997</v>
      </c>
      <c r="CV168">
        <v>47382</v>
      </c>
      <c r="CW168">
        <v>46757.599999999999</v>
      </c>
      <c r="CX168">
        <v>2.6220400000000001</v>
      </c>
      <c r="CY168">
        <v>2.1324800000000002</v>
      </c>
      <c r="CZ168">
        <v>0</v>
      </c>
      <c r="DA168">
        <v>0</v>
      </c>
      <c r="DB168">
        <v>999.9</v>
      </c>
      <c r="DC168">
        <v>999.9</v>
      </c>
      <c r="DD168">
        <v>59.302999999999997</v>
      </c>
      <c r="DE168">
        <v>26.506</v>
      </c>
      <c r="DF168">
        <v>20.591999999999999</v>
      </c>
      <c r="DG168">
        <v>30.600200000000001</v>
      </c>
      <c r="DH168">
        <v>17.728400000000001</v>
      </c>
      <c r="DI168">
        <v>2</v>
      </c>
      <c r="DJ168">
        <v>-0.114874</v>
      </c>
      <c r="DK168">
        <v>2.33121</v>
      </c>
      <c r="DL168">
        <v>20.206199999999999</v>
      </c>
      <c r="DM168">
        <v>5.2505899999999999</v>
      </c>
      <c r="DN168">
        <v>12.033899999999999</v>
      </c>
      <c r="DO168">
        <v>4.9676400000000003</v>
      </c>
      <c r="DP168">
        <v>3.2909999999999999</v>
      </c>
      <c r="DQ168">
        <v>9999</v>
      </c>
      <c r="DR168">
        <v>9999</v>
      </c>
      <c r="DS168">
        <v>534.79999999999995</v>
      </c>
      <c r="DT168">
        <v>9999</v>
      </c>
      <c r="DU168">
        <v>1.87104</v>
      </c>
      <c r="DV168">
        <v>1.8760699999999999</v>
      </c>
      <c r="DW168">
        <v>1.87626</v>
      </c>
      <c r="DX168">
        <v>1.8827799999999999</v>
      </c>
      <c r="DY168">
        <v>1.8755999999999999</v>
      </c>
      <c r="DZ168">
        <v>1.8746499999999999</v>
      </c>
      <c r="EA168">
        <v>1.8707499999999999</v>
      </c>
      <c r="EB168">
        <v>1.8746499999999999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-0.99399999999999999</v>
      </c>
      <c r="EQ168">
        <v>0.1497</v>
      </c>
      <c r="ER168">
        <v>-0.99329999999997698</v>
      </c>
      <c r="ES168">
        <v>0</v>
      </c>
      <c r="ET168">
        <v>0</v>
      </c>
      <c r="EU168">
        <v>0</v>
      </c>
      <c r="EV168">
        <v>0.149730000000002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4</v>
      </c>
      <c r="FE168">
        <v>4.0999999999999996</v>
      </c>
      <c r="FF168">
        <v>1.2390099999999999</v>
      </c>
      <c r="FG168">
        <v>2.5695800000000002</v>
      </c>
      <c r="FH168">
        <v>2.19604</v>
      </c>
      <c r="FI168">
        <v>2.66235</v>
      </c>
      <c r="FJ168">
        <v>2.4462899999999999</v>
      </c>
      <c r="FK168">
        <v>2.2656200000000002</v>
      </c>
      <c r="FL168">
        <v>31.367999999999999</v>
      </c>
      <c r="FM168">
        <v>24.14</v>
      </c>
      <c r="FN168">
        <v>19</v>
      </c>
      <c r="FO168">
        <v>864.66800000000001</v>
      </c>
      <c r="FP168">
        <v>578.20699999999999</v>
      </c>
      <c r="FQ168">
        <v>18.062899999999999</v>
      </c>
      <c r="FR168">
        <v>25.532299999999999</v>
      </c>
      <c r="FS168">
        <v>30.0002</v>
      </c>
      <c r="FT168">
        <v>25.5063</v>
      </c>
      <c r="FU168">
        <v>25.507100000000001</v>
      </c>
      <c r="FV168">
        <v>24.867000000000001</v>
      </c>
      <c r="FW168">
        <v>30.9709</v>
      </c>
      <c r="FX168">
        <v>2.71774</v>
      </c>
      <c r="FY168">
        <v>18.063099999999999</v>
      </c>
      <c r="FZ168">
        <v>410</v>
      </c>
      <c r="GA168">
        <v>14.7378</v>
      </c>
      <c r="GB168">
        <v>99.843800000000002</v>
      </c>
      <c r="GC168">
        <v>99.542900000000003</v>
      </c>
    </row>
    <row r="169" spans="1:185" x14ac:dyDescent="0.2">
      <c r="A169">
        <v>154</v>
      </c>
      <c r="B169">
        <v>1769185794.0999999</v>
      </c>
      <c r="C169">
        <v>2931.0999999046298</v>
      </c>
      <c r="D169" t="s">
        <v>605</v>
      </c>
      <c r="E169" t="s">
        <v>606</v>
      </c>
      <c r="F169">
        <v>15</v>
      </c>
      <c r="G169">
        <v>1769185786.03333</v>
      </c>
      <c r="H169">
        <f t="shared" si="26"/>
        <v>5.2004314490192226E-4</v>
      </c>
      <c r="I169">
        <v>0</v>
      </c>
      <c r="J169">
        <f t="shared" si="38"/>
        <v>5.2751358459876909E-4</v>
      </c>
      <c r="K169">
        <f t="shared" si="27"/>
        <v>1.3815407577265244E-2</v>
      </c>
      <c r="L169">
        <f t="shared" si="28"/>
        <v>69.662717187983745</v>
      </c>
      <c r="M169">
        <f t="shared" si="29"/>
        <v>1.5360397395377479</v>
      </c>
      <c r="N169">
        <f t="shared" si="30"/>
        <v>2.2049667333428422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26243.406436842535</v>
      </c>
      <c r="T169">
        <f t="shared" si="34"/>
        <v>499.99906666666698</v>
      </c>
      <c r="U169">
        <f t="shared" si="35"/>
        <v>421.49864160106733</v>
      </c>
      <c r="V169">
        <f t="shared" si="36"/>
        <v>0.8429988568000002</v>
      </c>
      <c r="W169">
        <f t="shared" si="37"/>
        <v>0.15869745380800004</v>
      </c>
      <c r="X169">
        <v>1</v>
      </c>
      <c r="Y169">
        <v>1769185786.03333</v>
      </c>
      <c r="Z169">
        <v>409.710733333333</v>
      </c>
      <c r="AA169">
        <v>409.99433333333297</v>
      </c>
      <c r="AB169">
        <v>15.331666666666701</v>
      </c>
      <c r="AC169">
        <v>14.6915866666667</v>
      </c>
      <c r="AD169">
        <v>410.7038</v>
      </c>
      <c r="AE169">
        <v>15.18192</v>
      </c>
      <c r="AF169">
        <v>800.00940000000003</v>
      </c>
      <c r="AG169">
        <v>100.122</v>
      </c>
      <c r="AH169">
        <v>6.5394686666666701E-2</v>
      </c>
      <c r="AI169">
        <v>18.998446666666698</v>
      </c>
      <c r="AJ169">
        <v>999.9</v>
      </c>
      <c r="AK169">
        <v>999.9</v>
      </c>
      <c r="AL169">
        <v>0</v>
      </c>
      <c r="AM169">
        <v>0</v>
      </c>
      <c r="AN169">
        <v>4998.2</v>
      </c>
      <c r="AO169">
        <v>0</v>
      </c>
      <c r="AP169">
        <v>1.9760899999999999</v>
      </c>
      <c r="AQ169">
        <v>-0.28362033333333297</v>
      </c>
      <c r="AR169">
        <v>416.09019999999998</v>
      </c>
      <c r="AS169">
        <v>416.10753333333298</v>
      </c>
      <c r="AT169">
        <v>0.64005586666666703</v>
      </c>
      <c r="AU169">
        <v>409.99433333333297</v>
      </c>
      <c r="AV169">
        <v>14.6915866666667</v>
      </c>
      <c r="AW169">
        <v>1.535034</v>
      </c>
      <c r="AX169">
        <v>1.4709513333333299</v>
      </c>
      <c r="AY169">
        <v>13.3216933333333</v>
      </c>
      <c r="AZ169">
        <v>12.6695266666667</v>
      </c>
      <c r="BA169">
        <v>499.99906666666698</v>
      </c>
      <c r="BB169">
        <v>0.90003346666666695</v>
      </c>
      <c r="BC169">
        <v>0</v>
      </c>
      <c r="BD169">
        <v>9.9966373333333303E-2</v>
      </c>
      <c r="BE169">
        <v>0</v>
      </c>
      <c r="BF169">
        <v>25</v>
      </c>
      <c r="BG169">
        <v>8244.4586666666692</v>
      </c>
      <c r="BH169">
        <v>1769185537.0999999</v>
      </c>
      <c r="BI169" t="s">
        <v>570</v>
      </c>
      <c r="BJ169">
        <v>1769185537.0999999</v>
      </c>
      <c r="BK169">
        <v>1769185535.0999999</v>
      </c>
      <c r="BL169">
        <v>5</v>
      </c>
      <c r="BM169">
        <v>1.4999999999999999E-2</v>
      </c>
      <c r="BN169">
        <v>4.2999999999999997E-2</v>
      </c>
      <c r="BO169">
        <v>-0.99299999999999999</v>
      </c>
      <c r="BP169">
        <v>0.15</v>
      </c>
      <c r="BQ169">
        <v>410</v>
      </c>
      <c r="BR169">
        <v>16</v>
      </c>
      <c r="BS169">
        <v>0.2</v>
      </c>
      <c r="BT169">
        <v>0.05</v>
      </c>
      <c r="BU169">
        <v>-0.28710366666666698</v>
      </c>
      <c r="BV169">
        <v>3.0223246753247002E-2</v>
      </c>
      <c r="BW169">
        <v>1.5659849015064099E-2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0.637881095238095</v>
      </c>
      <c r="CD169">
        <v>3.3609428571427603E-2</v>
      </c>
      <c r="CE169">
        <v>3.93277606913709E-3</v>
      </c>
      <c r="CF169">
        <v>1</v>
      </c>
      <c r="CG169">
        <v>2</v>
      </c>
      <c r="CH169">
        <v>2</v>
      </c>
      <c r="CI169" t="s">
        <v>310</v>
      </c>
      <c r="CJ169">
        <v>3.5325000000000002</v>
      </c>
      <c r="CK169">
        <v>2.7034199999999999</v>
      </c>
      <c r="CL169">
        <v>9.7939100000000001E-2</v>
      </c>
      <c r="CM169">
        <v>9.6605999999999997E-2</v>
      </c>
      <c r="CN169">
        <v>8.6603100000000002E-2</v>
      </c>
      <c r="CO169">
        <v>8.3245799999999995E-2</v>
      </c>
      <c r="CP169">
        <v>31622.9</v>
      </c>
      <c r="CQ169">
        <v>27767.9</v>
      </c>
      <c r="CR169">
        <v>32446.1</v>
      </c>
      <c r="CS169">
        <v>30664.6</v>
      </c>
      <c r="CT169">
        <v>40127.599999999999</v>
      </c>
      <c r="CU169">
        <v>39524.6</v>
      </c>
      <c r="CV169">
        <v>47381.4</v>
      </c>
      <c r="CW169">
        <v>46757.8</v>
      </c>
      <c r="CX169">
        <v>2.6219199999999998</v>
      </c>
      <c r="CY169">
        <v>2.1324999999999998</v>
      </c>
      <c r="CZ169">
        <v>0</v>
      </c>
      <c r="DA169">
        <v>0</v>
      </c>
      <c r="DB169">
        <v>999.9</v>
      </c>
      <c r="DC169">
        <v>999.9</v>
      </c>
      <c r="DD169">
        <v>59.253999999999998</v>
      </c>
      <c r="DE169">
        <v>26.515999999999998</v>
      </c>
      <c r="DF169">
        <v>20.588000000000001</v>
      </c>
      <c r="DG169">
        <v>30.510200000000001</v>
      </c>
      <c r="DH169">
        <v>17.816500000000001</v>
      </c>
      <c r="DI169">
        <v>2</v>
      </c>
      <c r="DJ169">
        <v>-0.114791</v>
      </c>
      <c r="DK169">
        <v>2.33907</v>
      </c>
      <c r="DL169">
        <v>20.206199999999999</v>
      </c>
      <c r="DM169">
        <v>5.2517899999999997</v>
      </c>
      <c r="DN169">
        <v>12.033899999999999</v>
      </c>
      <c r="DO169">
        <v>4.9675599999999998</v>
      </c>
      <c r="DP169">
        <v>3.2909999999999999</v>
      </c>
      <c r="DQ169">
        <v>9999</v>
      </c>
      <c r="DR169">
        <v>9999</v>
      </c>
      <c r="DS169">
        <v>534.79999999999995</v>
      </c>
      <c r="DT169">
        <v>9999</v>
      </c>
      <c r="DU169">
        <v>1.87104</v>
      </c>
      <c r="DV169">
        <v>1.87608</v>
      </c>
      <c r="DW169">
        <v>1.87626</v>
      </c>
      <c r="DX169">
        <v>1.8827799999999999</v>
      </c>
      <c r="DY169">
        <v>1.8755900000000001</v>
      </c>
      <c r="DZ169">
        <v>1.8746499999999999</v>
      </c>
      <c r="EA169">
        <v>1.8707499999999999</v>
      </c>
      <c r="EB169">
        <v>1.87462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-0.99399999999999999</v>
      </c>
      <c r="EQ169">
        <v>0.1497</v>
      </c>
      <c r="ER169">
        <v>-0.99329999999997698</v>
      </c>
      <c r="ES169">
        <v>0</v>
      </c>
      <c r="ET169">
        <v>0</v>
      </c>
      <c r="EU169">
        <v>0</v>
      </c>
      <c r="EV169">
        <v>0.149730000000002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4.3</v>
      </c>
      <c r="FE169">
        <v>4.3</v>
      </c>
      <c r="FF169">
        <v>1.2390099999999999</v>
      </c>
      <c r="FG169">
        <v>2.5647000000000002</v>
      </c>
      <c r="FH169">
        <v>2.19604</v>
      </c>
      <c r="FI169">
        <v>2.66235</v>
      </c>
      <c r="FJ169">
        <v>2.4462899999999999</v>
      </c>
      <c r="FK169">
        <v>2.32544</v>
      </c>
      <c r="FL169">
        <v>31.389800000000001</v>
      </c>
      <c r="FM169">
        <v>24.148800000000001</v>
      </c>
      <c r="FN169">
        <v>19</v>
      </c>
      <c r="FO169">
        <v>864.61099999999999</v>
      </c>
      <c r="FP169">
        <v>578.25800000000004</v>
      </c>
      <c r="FQ169">
        <v>18.060300000000002</v>
      </c>
      <c r="FR169">
        <v>25.533999999999999</v>
      </c>
      <c r="FS169">
        <v>30</v>
      </c>
      <c r="FT169">
        <v>25.509699999999999</v>
      </c>
      <c r="FU169">
        <v>25.510400000000001</v>
      </c>
      <c r="FV169">
        <v>24.869299999999999</v>
      </c>
      <c r="FW169">
        <v>30.9709</v>
      </c>
      <c r="FX169">
        <v>2.3466200000000002</v>
      </c>
      <c r="FY169">
        <v>18.060500000000001</v>
      </c>
      <c r="FZ169">
        <v>410</v>
      </c>
      <c r="GA169">
        <v>14.7372</v>
      </c>
      <c r="GB169">
        <v>99.842399999999998</v>
      </c>
      <c r="GC169">
        <v>99.543099999999995</v>
      </c>
    </row>
    <row r="170" spans="1:185" x14ac:dyDescent="0.2">
      <c r="A170">
        <v>155</v>
      </c>
      <c r="B170">
        <v>1769185809.0999999</v>
      </c>
      <c r="C170">
        <v>2946.0999999046298</v>
      </c>
      <c r="D170" t="s">
        <v>607</v>
      </c>
      <c r="E170" t="s">
        <v>608</v>
      </c>
      <c r="F170">
        <v>15</v>
      </c>
      <c r="G170">
        <v>1769185801.03333</v>
      </c>
      <c r="H170">
        <f t="shared" si="26"/>
        <v>5.2522177390668763E-4</v>
      </c>
      <c r="I170">
        <v>0</v>
      </c>
      <c r="J170">
        <f t="shared" si="38"/>
        <v>8.8682685260837383E-4</v>
      </c>
      <c r="K170">
        <f t="shared" si="27"/>
        <v>2.3225704089813885E-2</v>
      </c>
      <c r="L170">
        <f t="shared" si="28"/>
        <v>69.656129284601832</v>
      </c>
      <c r="M170">
        <f t="shared" si="29"/>
        <v>1.5361091850563802</v>
      </c>
      <c r="N170">
        <f t="shared" si="30"/>
        <v>2.205274971252174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26238.974333152295</v>
      </c>
      <c r="T170">
        <f t="shared" si="34"/>
        <v>500.00080000000003</v>
      </c>
      <c r="U170">
        <f t="shared" si="35"/>
        <v>421.50024749931714</v>
      </c>
      <c r="V170">
        <f t="shared" si="36"/>
        <v>0.84299914620000027</v>
      </c>
      <c r="W170">
        <f t="shared" si="37"/>
        <v>0.15869748873200004</v>
      </c>
      <c r="X170">
        <v>1</v>
      </c>
      <c r="Y170">
        <v>1769185801.03333</v>
      </c>
      <c r="Z170">
        <v>409.68380000000002</v>
      </c>
      <c r="AA170">
        <v>409.98180000000002</v>
      </c>
      <c r="AB170">
        <v>15.331746666666699</v>
      </c>
      <c r="AC170">
        <v>14.6852866666667</v>
      </c>
      <c r="AD170">
        <v>410.67720000000003</v>
      </c>
      <c r="AE170">
        <v>15.1820133333333</v>
      </c>
      <c r="AF170">
        <v>800.00186666666696</v>
      </c>
      <c r="AG170">
        <v>100.12593333333299</v>
      </c>
      <c r="AH170">
        <v>6.5468106666666706E-2</v>
      </c>
      <c r="AI170">
        <v>19.000686666666699</v>
      </c>
      <c r="AJ170">
        <v>999.9</v>
      </c>
      <c r="AK170">
        <v>999.9</v>
      </c>
      <c r="AL170">
        <v>0</v>
      </c>
      <c r="AM170">
        <v>0</v>
      </c>
      <c r="AN170">
        <v>4997.3333333333303</v>
      </c>
      <c r="AO170">
        <v>0</v>
      </c>
      <c r="AP170">
        <v>1.9760899999999999</v>
      </c>
      <c r="AQ170">
        <v>-0.29803879999999999</v>
      </c>
      <c r="AR170">
        <v>416.06266666666698</v>
      </c>
      <c r="AS170">
        <v>416.0924</v>
      </c>
      <c r="AT170">
        <v>0.64646373333333396</v>
      </c>
      <c r="AU170">
        <v>409.98180000000002</v>
      </c>
      <c r="AV170">
        <v>14.6852866666667</v>
      </c>
      <c r="AW170">
        <v>1.5351013333333301</v>
      </c>
      <c r="AX170">
        <v>1.47037333333333</v>
      </c>
      <c r="AY170">
        <v>13.322340000000001</v>
      </c>
      <c r="AZ170">
        <v>12.663553333333301</v>
      </c>
      <c r="BA170">
        <v>500.00080000000003</v>
      </c>
      <c r="BB170">
        <v>0.90003406666666697</v>
      </c>
      <c r="BC170">
        <v>0</v>
      </c>
      <c r="BD170">
        <v>9.9966126666666696E-2</v>
      </c>
      <c r="BE170">
        <v>0</v>
      </c>
      <c r="BF170">
        <v>25</v>
      </c>
      <c r="BG170">
        <v>8244.4879999999994</v>
      </c>
      <c r="BH170">
        <v>1769185537.0999999</v>
      </c>
      <c r="BI170" t="s">
        <v>570</v>
      </c>
      <c r="BJ170">
        <v>1769185537.0999999</v>
      </c>
      <c r="BK170">
        <v>1769185535.0999999</v>
      </c>
      <c r="BL170">
        <v>5</v>
      </c>
      <c r="BM170">
        <v>1.4999999999999999E-2</v>
      </c>
      <c r="BN170">
        <v>4.2999999999999997E-2</v>
      </c>
      <c r="BO170">
        <v>-0.99299999999999999</v>
      </c>
      <c r="BP170">
        <v>0.15</v>
      </c>
      <c r="BQ170">
        <v>410</v>
      </c>
      <c r="BR170">
        <v>16</v>
      </c>
      <c r="BS170">
        <v>0.2</v>
      </c>
      <c r="BT170">
        <v>0.05</v>
      </c>
      <c r="BU170">
        <v>-0.29560094999999997</v>
      </c>
      <c r="BV170">
        <v>-6.1375443609022903E-2</v>
      </c>
      <c r="BW170">
        <v>3.0108143575243902E-2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0.64519029999999999</v>
      </c>
      <c r="CD170">
        <v>1.6268390977444199E-2</v>
      </c>
      <c r="CE170">
        <v>3.0069976405045599E-3</v>
      </c>
      <c r="CF170">
        <v>1</v>
      </c>
      <c r="CG170">
        <v>2</v>
      </c>
      <c r="CH170">
        <v>2</v>
      </c>
      <c r="CI170" t="s">
        <v>310</v>
      </c>
      <c r="CJ170">
        <v>3.53254</v>
      </c>
      <c r="CK170">
        <v>2.7033499999999999</v>
      </c>
      <c r="CL170">
        <v>9.7950700000000002E-2</v>
      </c>
      <c r="CM170">
        <v>9.6618700000000002E-2</v>
      </c>
      <c r="CN170">
        <v>8.6596400000000004E-2</v>
      </c>
      <c r="CO170">
        <v>8.3232700000000007E-2</v>
      </c>
      <c r="CP170">
        <v>31622.1</v>
      </c>
      <c r="CQ170">
        <v>27767.8</v>
      </c>
      <c r="CR170">
        <v>32445.7</v>
      </c>
      <c r="CS170">
        <v>30665</v>
      </c>
      <c r="CT170">
        <v>40127.300000000003</v>
      </c>
      <c r="CU170">
        <v>39525.599999999999</v>
      </c>
      <c r="CV170">
        <v>47380.6</v>
      </c>
      <c r="CW170">
        <v>46758.3</v>
      </c>
      <c r="CX170">
        <v>2.6218400000000002</v>
      </c>
      <c r="CY170">
        <v>2.1322000000000001</v>
      </c>
      <c r="CZ170">
        <v>0</v>
      </c>
      <c r="DA170">
        <v>0</v>
      </c>
      <c r="DB170">
        <v>999.9</v>
      </c>
      <c r="DC170">
        <v>999.9</v>
      </c>
      <c r="DD170">
        <v>59.180999999999997</v>
      </c>
      <c r="DE170">
        <v>26.515999999999998</v>
      </c>
      <c r="DF170">
        <v>20.558599999999998</v>
      </c>
      <c r="DG170">
        <v>30.6602</v>
      </c>
      <c r="DH170">
        <v>17.692299999999999</v>
      </c>
      <c r="DI170">
        <v>2</v>
      </c>
      <c r="DJ170">
        <v>-0.114508</v>
      </c>
      <c r="DK170">
        <v>2.34809</v>
      </c>
      <c r="DL170">
        <v>20.206199999999999</v>
      </c>
      <c r="DM170">
        <v>5.25143</v>
      </c>
      <c r="DN170">
        <v>12.033899999999999</v>
      </c>
      <c r="DO170">
        <v>4.9675599999999998</v>
      </c>
      <c r="DP170">
        <v>3.2909999999999999</v>
      </c>
      <c r="DQ170">
        <v>9999</v>
      </c>
      <c r="DR170">
        <v>9999</v>
      </c>
      <c r="DS170">
        <v>534.79999999999995</v>
      </c>
      <c r="DT170">
        <v>9999</v>
      </c>
      <c r="DU170">
        <v>1.87103</v>
      </c>
      <c r="DV170">
        <v>1.8760699999999999</v>
      </c>
      <c r="DW170">
        <v>1.87626</v>
      </c>
      <c r="DX170">
        <v>1.8827799999999999</v>
      </c>
      <c r="DY170">
        <v>1.8755900000000001</v>
      </c>
      <c r="DZ170">
        <v>1.8746</v>
      </c>
      <c r="EA170">
        <v>1.8707499999999999</v>
      </c>
      <c r="EB170">
        <v>1.87459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-0.99299999999999999</v>
      </c>
      <c r="EQ170">
        <v>0.1497</v>
      </c>
      <c r="ER170">
        <v>-0.99329999999997698</v>
      </c>
      <c r="ES170">
        <v>0</v>
      </c>
      <c r="ET170">
        <v>0</v>
      </c>
      <c r="EU170">
        <v>0</v>
      </c>
      <c r="EV170">
        <v>0.149730000000002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4.5</v>
      </c>
      <c r="FE170">
        <v>4.5999999999999996</v>
      </c>
      <c r="FF170">
        <v>1.2390099999999999</v>
      </c>
      <c r="FG170">
        <v>2.5683600000000002</v>
      </c>
      <c r="FH170">
        <v>2.19604</v>
      </c>
      <c r="FI170">
        <v>2.66235</v>
      </c>
      <c r="FJ170">
        <v>2.4462899999999999</v>
      </c>
      <c r="FK170">
        <v>2.2595200000000002</v>
      </c>
      <c r="FL170">
        <v>31.389800000000001</v>
      </c>
      <c r="FM170">
        <v>24.14</v>
      </c>
      <c r="FN170">
        <v>19</v>
      </c>
      <c r="FO170">
        <v>864.58600000000001</v>
      </c>
      <c r="FP170">
        <v>578.06399999999996</v>
      </c>
      <c r="FQ170">
        <v>18.0611</v>
      </c>
      <c r="FR170">
        <v>25.535299999999999</v>
      </c>
      <c r="FS170">
        <v>30.0001</v>
      </c>
      <c r="FT170">
        <v>25.512699999999999</v>
      </c>
      <c r="FU170">
        <v>25.5136</v>
      </c>
      <c r="FV170">
        <v>24.869900000000001</v>
      </c>
      <c r="FW170">
        <v>30.9709</v>
      </c>
      <c r="FX170">
        <v>2.3466200000000002</v>
      </c>
      <c r="FY170">
        <v>18.059200000000001</v>
      </c>
      <c r="FZ170">
        <v>410</v>
      </c>
      <c r="GA170">
        <v>14.7448</v>
      </c>
      <c r="GB170">
        <v>99.840800000000002</v>
      </c>
      <c r="GC170">
        <v>99.544200000000004</v>
      </c>
    </row>
    <row r="171" spans="1:185" x14ac:dyDescent="0.2">
      <c r="A171">
        <v>156</v>
      </c>
      <c r="B171">
        <v>1769185824.0999999</v>
      </c>
      <c r="C171">
        <v>2961.0999999046298</v>
      </c>
      <c r="D171" t="s">
        <v>609</v>
      </c>
      <c r="E171" t="s">
        <v>610</v>
      </c>
      <c r="F171">
        <v>15</v>
      </c>
      <c r="G171">
        <v>1769185816.03333</v>
      </c>
      <c r="H171">
        <f t="shared" si="26"/>
        <v>5.2070707728164346E-4</v>
      </c>
      <c r="I171">
        <v>0</v>
      </c>
      <c r="J171">
        <f t="shared" si="38"/>
        <v>1.5335701969420021E-3</v>
      </c>
      <c r="K171">
        <f t="shared" si="27"/>
        <v>4.016369992673384E-2</v>
      </c>
      <c r="L171">
        <f t="shared" si="28"/>
        <v>69.619675974089034</v>
      </c>
      <c r="M171">
        <f t="shared" si="29"/>
        <v>1.5356949472622745</v>
      </c>
      <c r="N171">
        <f t="shared" si="30"/>
        <v>2.2058346663863064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26299.675889812148</v>
      </c>
      <c r="T171">
        <f t="shared" si="34"/>
        <v>499.999866666667</v>
      </c>
      <c r="U171">
        <f t="shared" si="35"/>
        <v>421.49957100008459</v>
      </c>
      <c r="V171">
        <f t="shared" si="36"/>
        <v>0.84299936679999976</v>
      </c>
      <c r="W171">
        <f t="shared" si="37"/>
        <v>0.15869807920799994</v>
      </c>
      <c r="X171">
        <v>1</v>
      </c>
      <c r="Y171">
        <v>1769185816.03333</v>
      </c>
      <c r="Z171">
        <v>409.69813333333298</v>
      </c>
      <c r="AA171">
        <v>410.01499999999999</v>
      </c>
      <c r="AB171">
        <v>15.326926666666701</v>
      </c>
      <c r="AC171">
        <v>14.686026666666701</v>
      </c>
      <c r="AD171">
        <v>410.69139999999999</v>
      </c>
      <c r="AE171">
        <v>15.1771933333333</v>
      </c>
      <c r="AF171">
        <v>800.00973333333297</v>
      </c>
      <c r="AG171">
        <v>100.13039999999999</v>
      </c>
      <c r="AH171">
        <v>6.5482753333333296E-2</v>
      </c>
      <c r="AI171">
        <v>19.004753333333301</v>
      </c>
      <c r="AJ171">
        <v>999.9</v>
      </c>
      <c r="AK171">
        <v>999.9</v>
      </c>
      <c r="AL171">
        <v>0</v>
      </c>
      <c r="AM171">
        <v>0</v>
      </c>
      <c r="AN171">
        <v>5007.2</v>
      </c>
      <c r="AO171">
        <v>0</v>
      </c>
      <c r="AP171">
        <v>2.0013100000000001</v>
      </c>
      <c r="AQ171">
        <v>-0.31697599999999998</v>
      </c>
      <c r="AR171">
        <v>416.07533333333299</v>
      </c>
      <c r="AS171">
        <v>416.12633333333298</v>
      </c>
      <c r="AT171">
        <v>0.64090179999999997</v>
      </c>
      <c r="AU171">
        <v>410.01499999999999</v>
      </c>
      <c r="AV171">
        <v>14.686026666666701</v>
      </c>
      <c r="AW171">
        <v>1.5346886666666699</v>
      </c>
      <c r="AX171">
        <v>1.4705140000000001</v>
      </c>
      <c r="AY171">
        <v>13.318213333333301</v>
      </c>
      <c r="AZ171">
        <v>12.66498</v>
      </c>
      <c r="BA171">
        <v>499.999866666667</v>
      </c>
      <c r="BB171">
        <v>0.90002613333333303</v>
      </c>
      <c r="BC171">
        <v>0</v>
      </c>
      <c r="BD171">
        <v>9.997404E-2</v>
      </c>
      <c r="BE171">
        <v>0</v>
      </c>
      <c r="BF171">
        <v>25</v>
      </c>
      <c r="BG171">
        <v>8244.4506666666693</v>
      </c>
      <c r="BH171">
        <v>1769185537.0999999</v>
      </c>
      <c r="BI171" t="s">
        <v>570</v>
      </c>
      <c r="BJ171">
        <v>1769185537.0999999</v>
      </c>
      <c r="BK171">
        <v>1769185535.0999999</v>
      </c>
      <c r="BL171">
        <v>5</v>
      </c>
      <c r="BM171">
        <v>1.4999999999999999E-2</v>
      </c>
      <c r="BN171">
        <v>4.2999999999999997E-2</v>
      </c>
      <c r="BO171">
        <v>-0.99299999999999999</v>
      </c>
      <c r="BP171">
        <v>0.15</v>
      </c>
      <c r="BQ171">
        <v>410</v>
      </c>
      <c r="BR171">
        <v>16</v>
      </c>
      <c r="BS171">
        <v>0.2</v>
      </c>
      <c r="BT171">
        <v>0.05</v>
      </c>
      <c r="BU171">
        <v>-0.313607380952381</v>
      </c>
      <c r="BV171">
        <v>-6.7209818181818606E-2</v>
      </c>
      <c r="BW171">
        <v>2.71038181240668E-2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0.64212109523809502</v>
      </c>
      <c r="CD171">
        <v>-6.1594129870130701E-2</v>
      </c>
      <c r="CE171">
        <v>1.1965525093067799E-2</v>
      </c>
      <c r="CF171">
        <v>1</v>
      </c>
      <c r="CG171">
        <v>2</v>
      </c>
      <c r="CH171">
        <v>2</v>
      </c>
      <c r="CI171" t="s">
        <v>310</v>
      </c>
      <c r="CJ171">
        <v>3.5324599999999999</v>
      </c>
      <c r="CK171">
        <v>2.7033800000000001</v>
      </c>
      <c r="CL171">
        <v>9.7940600000000003E-2</v>
      </c>
      <c r="CM171">
        <v>9.6602900000000005E-2</v>
      </c>
      <c r="CN171">
        <v>8.6571899999999993E-2</v>
      </c>
      <c r="CO171">
        <v>8.3450999999999997E-2</v>
      </c>
      <c r="CP171">
        <v>31622.7</v>
      </c>
      <c r="CQ171">
        <v>27768.2</v>
      </c>
      <c r="CR171">
        <v>32445.9</v>
      </c>
      <c r="CS171">
        <v>30664.9</v>
      </c>
      <c r="CT171">
        <v>40128.6</v>
      </c>
      <c r="CU171">
        <v>39515.699999999997</v>
      </c>
      <c r="CV171">
        <v>47380.9</v>
      </c>
      <c r="CW171">
        <v>46758.1</v>
      </c>
      <c r="CX171">
        <v>2.6218599999999999</v>
      </c>
      <c r="CY171">
        <v>2.1323400000000001</v>
      </c>
      <c r="CZ171">
        <v>0</v>
      </c>
      <c r="DA171">
        <v>0</v>
      </c>
      <c r="DB171">
        <v>999.9</v>
      </c>
      <c r="DC171">
        <v>999.9</v>
      </c>
      <c r="DD171">
        <v>59.107999999999997</v>
      </c>
      <c r="DE171">
        <v>26.526</v>
      </c>
      <c r="DF171">
        <v>20.549299999999999</v>
      </c>
      <c r="DG171">
        <v>30.540199999999999</v>
      </c>
      <c r="DH171">
        <v>17.788499999999999</v>
      </c>
      <c r="DI171">
        <v>2</v>
      </c>
      <c r="DJ171">
        <v>-0.114411</v>
      </c>
      <c r="DK171">
        <v>2.3749799999999999</v>
      </c>
      <c r="DL171">
        <v>20.205500000000001</v>
      </c>
      <c r="DM171">
        <v>5.2509499999999996</v>
      </c>
      <c r="DN171">
        <v>12.033899999999999</v>
      </c>
      <c r="DO171">
        <v>4.9676400000000003</v>
      </c>
      <c r="DP171">
        <v>3.2909999999999999</v>
      </c>
      <c r="DQ171">
        <v>9999</v>
      </c>
      <c r="DR171">
        <v>9999</v>
      </c>
      <c r="DS171">
        <v>534.79999999999995</v>
      </c>
      <c r="DT171">
        <v>9999</v>
      </c>
      <c r="DU171">
        <v>1.8710899999999999</v>
      </c>
      <c r="DV171">
        <v>1.8761000000000001</v>
      </c>
      <c r="DW171">
        <v>1.87629</v>
      </c>
      <c r="DX171">
        <v>1.88279</v>
      </c>
      <c r="DY171">
        <v>1.87561</v>
      </c>
      <c r="DZ171">
        <v>1.87469</v>
      </c>
      <c r="EA171">
        <v>1.8708199999999999</v>
      </c>
      <c r="EB171">
        <v>1.8746499999999999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-0.99299999999999999</v>
      </c>
      <c r="EQ171">
        <v>0.14979999999999999</v>
      </c>
      <c r="ER171">
        <v>-0.99329999999997698</v>
      </c>
      <c r="ES171">
        <v>0</v>
      </c>
      <c r="ET171">
        <v>0</v>
      </c>
      <c r="EU171">
        <v>0</v>
      </c>
      <c r="EV171">
        <v>0.149730000000002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4.8</v>
      </c>
      <c r="FE171">
        <v>4.8</v>
      </c>
      <c r="FF171">
        <v>1.2390099999999999</v>
      </c>
      <c r="FG171">
        <v>2.5659200000000002</v>
      </c>
      <c r="FH171">
        <v>2.19604</v>
      </c>
      <c r="FI171">
        <v>2.66235</v>
      </c>
      <c r="FJ171">
        <v>2.4462899999999999</v>
      </c>
      <c r="FK171">
        <v>2.3278799999999999</v>
      </c>
      <c r="FL171">
        <v>31.389800000000001</v>
      </c>
      <c r="FM171">
        <v>24.148800000000001</v>
      </c>
      <c r="FN171">
        <v>19</v>
      </c>
      <c r="FO171">
        <v>864.64400000000001</v>
      </c>
      <c r="FP171">
        <v>578.20699999999999</v>
      </c>
      <c r="FQ171">
        <v>18.048999999999999</v>
      </c>
      <c r="FR171">
        <v>25.537500000000001</v>
      </c>
      <c r="FS171">
        <v>30.0002</v>
      </c>
      <c r="FT171">
        <v>25.5153</v>
      </c>
      <c r="FU171">
        <v>25.5169</v>
      </c>
      <c r="FV171">
        <v>24.869399999999999</v>
      </c>
      <c r="FW171">
        <v>30.681100000000001</v>
      </c>
      <c r="FX171">
        <v>1.9745600000000001</v>
      </c>
      <c r="FY171">
        <v>18.045400000000001</v>
      </c>
      <c r="FZ171">
        <v>410</v>
      </c>
      <c r="GA171">
        <v>14.746499999999999</v>
      </c>
      <c r="GB171">
        <v>99.841399999999993</v>
      </c>
      <c r="GC171">
        <v>99.543800000000005</v>
      </c>
    </row>
    <row r="172" spans="1:185" x14ac:dyDescent="0.2">
      <c r="A172">
        <v>157</v>
      </c>
      <c r="B172">
        <v>1769185839.0999999</v>
      </c>
      <c r="C172">
        <v>2976.0999999046298</v>
      </c>
      <c r="D172" t="s">
        <v>611</v>
      </c>
      <c r="E172" t="s">
        <v>612</v>
      </c>
      <c r="F172">
        <v>15</v>
      </c>
      <c r="G172">
        <v>1769185831.03333</v>
      </c>
      <c r="H172">
        <f t="shared" si="26"/>
        <v>4.8173855667971453E-4</v>
      </c>
      <c r="I172">
        <v>0</v>
      </c>
      <c r="J172">
        <f t="shared" si="38"/>
        <v>9.3158410127388268E-4</v>
      </c>
      <c r="K172">
        <f t="shared" si="27"/>
        <v>2.4397881736805346E-2</v>
      </c>
      <c r="L172">
        <f t="shared" si="28"/>
        <v>69.700344299575619</v>
      </c>
      <c r="M172">
        <f t="shared" si="29"/>
        <v>1.5374506923024374</v>
      </c>
      <c r="N172">
        <f t="shared" si="30"/>
        <v>2.2058007141175606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26220.768164225778</v>
      </c>
      <c r="T172">
        <f t="shared" si="34"/>
        <v>500.000333333333</v>
      </c>
      <c r="U172">
        <f t="shared" si="35"/>
        <v>421.49991869975804</v>
      </c>
      <c r="V172">
        <f t="shared" si="36"/>
        <v>0.84299927539999975</v>
      </c>
      <c r="W172">
        <f t="shared" si="37"/>
        <v>0.15869814952399997</v>
      </c>
      <c r="X172">
        <v>1</v>
      </c>
      <c r="Y172">
        <v>1769185831.03333</v>
      </c>
      <c r="Z172">
        <v>409.686466666667</v>
      </c>
      <c r="AA172">
        <v>409.963666666667</v>
      </c>
      <c r="AB172">
        <v>15.345753333333301</v>
      </c>
      <c r="AC172">
        <v>14.75282</v>
      </c>
      <c r="AD172">
        <v>410.679666666667</v>
      </c>
      <c r="AE172">
        <v>15.1960333333333</v>
      </c>
      <c r="AF172">
        <v>799.99873333333301</v>
      </c>
      <c r="AG172">
        <v>100.121866666667</v>
      </c>
      <c r="AH172">
        <v>6.55049733333333E-2</v>
      </c>
      <c r="AI172">
        <v>19.0045066666667</v>
      </c>
      <c r="AJ172">
        <v>999.9</v>
      </c>
      <c r="AK172">
        <v>999.9</v>
      </c>
      <c r="AL172">
        <v>0</v>
      </c>
      <c r="AM172">
        <v>0</v>
      </c>
      <c r="AN172">
        <v>4994.5666666666702</v>
      </c>
      <c r="AO172">
        <v>0</v>
      </c>
      <c r="AP172">
        <v>2.0325500000000001</v>
      </c>
      <c r="AQ172">
        <v>-0.27731733333333303</v>
      </c>
      <c r="AR172">
        <v>416.07139999999998</v>
      </c>
      <c r="AS172">
        <v>416.102466666667</v>
      </c>
      <c r="AT172">
        <v>0.59293646666666699</v>
      </c>
      <c r="AU172">
        <v>409.963666666667</v>
      </c>
      <c r="AV172">
        <v>14.75282</v>
      </c>
      <c r="AW172">
        <v>1.536446</v>
      </c>
      <c r="AX172">
        <v>1.4770793333333301</v>
      </c>
      <c r="AY172">
        <v>13.335760000000001</v>
      </c>
      <c r="AZ172">
        <v>12.7329666666667</v>
      </c>
      <c r="BA172">
        <v>500.000333333333</v>
      </c>
      <c r="BB172">
        <v>0.90002473333333299</v>
      </c>
      <c r="BC172">
        <v>0</v>
      </c>
      <c r="BD172">
        <v>9.9975286666666704E-2</v>
      </c>
      <c r="BE172">
        <v>0</v>
      </c>
      <c r="BF172">
        <v>25</v>
      </c>
      <c r="BG172">
        <v>8244.4560000000001</v>
      </c>
      <c r="BH172">
        <v>1769185537.0999999</v>
      </c>
      <c r="BI172" t="s">
        <v>570</v>
      </c>
      <c r="BJ172">
        <v>1769185537.0999999</v>
      </c>
      <c r="BK172">
        <v>1769185535.0999999</v>
      </c>
      <c r="BL172">
        <v>5</v>
      </c>
      <c r="BM172">
        <v>1.4999999999999999E-2</v>
      </c>
      <c r="BN172">
        <v>4.2999999999999997E-2</v>
      </c>
      <c r="BO172">
        <v>-0.99299999999999999</v>
      </c>
      <c r="BP172">
        <v>0.15</v>
      </c>
      <c r="BQ172">
        <v>410</v>
      </c>
      <c r="BR172">
        <v>16</v>
      </c>
      <c r="BS172">
        <v>0.2</v>
      </c>
      <c r="BT172">
        <v>0.05</v>
      </c>
      <c r="BU172">
        <v>-0.28914184999999998</v>
      </c>
      <c r="BV172">
        <v>1.9929473684214302E-3</v>
      </c>
      <c r="BW172">
        <v>4.7855959428555001E-2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0.60076750000000001</v>
      </c>
      <c r="CD172">
        <v>-8.6639639097745302E-2</v>
      </c>
      <c r="CE172">
        <v>1.8726755764146698E-2</v>
      </c>
      <c r="CF172">
        <v>1</v>
      </c>
      <c r="CG172">
        <v>2</v>
      </c>
      <c r="CH172">
        <v>2</v>
      </c>
      <c r="CI172" t="s">
        <v>310</v>
      </c>
      <c r="CJ172">
        <v>3.53254</v>
      </c>
      <c r="CK172">
        <v>2.7033299999999998</v>
      </c>
      <c r="CL172">
        <v>9.7937700000000003E-2</v>
      </c>
      <c r="CM172">
        <v>9.6612699999999996E-2</v>
      </c>
      <c r="CN172">
        <v>8.67227E-2</v>
      </c>
      <c r="CO172">
        <v>8.3519200000000002E-2</v>
      </c>
      <c r="CP172">
        <v>31622.3</v>
      </c>
      <c r="CQ172">
        <v>27767.7</v>
      </c>
      <c r="CR172">
        <v>32445.5</v>
      </c>
      <c r="CS172">
        <v>30664.7</v>
      </c>
      <c r="CT172">
        <v>40121.5</v>
      </c>
      <c r="CU172">
        <v>39512.5</v>
      </c>
      <c r="CV172">
        <v>47380.6</v>
      </c>
      <c r="CW172">
        <v>46757.8</v>
      </c>
      <c r="CX172">
        <v>2.6219999999999999</v>
      </c>
      <c r="CY172">
        <v>2.13226</v>
      </c>
      <c r="CZ172">
        <v>0</v>
      </c>
      <c r="DA172">
        <v>0</v>
      </c>
      <c r="DB172">
        <v>999.9</v>
      </c>
      <c r="DC172">
        <v>999.9</v>
      </c>
      <c r="DD172">
        <v>59.04</v>
      </c>
      <c r="DE172">
        <v>26.556000000000001</v>
      </c>
      <c r="DF172">
        <v>20.562200000000001</v>
      </c>
      <c r="DG172">
        <v>30.510200000000001</v>
      </c>
      <c r="DH172">
        <v>17.7163</v>
      </c>
      <c r="DI172">
        <v>2</v>
      </c>
      <c r="DJ172">
        <v>-0.11397400000000001</v>
      </c>
      <c r="DK172">
        <v>2.3792</v>
      </c>
      <c r="DL172">
        <v>20.205400000000001</v>
      </c>
      <c r="DM172">
        <v>5.2507099999999998</v>
      </c>
      <c r="DN172">
        <v>12.033899999999999</v>
      </c>
      <c r="DO172">
        <v>4.9676400000000003</v>
      </c>
      <c r="DP172">
        <v>3.2909999999999999</v>
      </c>
      <c r="DQ172">
        <v>9999</v>
      </c>
      <c r="DR172">
        <v>9999</v>
      </c>
      <c r="DS172">
        <v>534.79999999999995</v>
      </c>
      <c r="DT172">
        <v>9999</v>
      </c>
      <c r="DU172">
        <v>1.87104</v>
      </c>
      <c r="DV172">
        <v>1.8761000000000001</v>
      </c>
      <c r="DW172">
        <v>1.8763099999999999</v>
      </c>
      <c r="DX172">
        <v>1.8828</v>
      </c>
      <c r="DY172">
        <v>1.8755999999999999</v>
      </c>
      <c r="DZ172">
        <v>1.87469</v>
      </c>
      <c r="EA172">
        <v>1.87076</v>
      </c>
      <c r="EB172">
        <v>1.87466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-0.99299999999999999</v>
      </c>
      <c r="EQ172">
        <v>0.14979999999999999</v>
      </c>
      <c r="ER172">
        <v>-0.99329999999997698</v>
      </c>
      <c r="ES172">
        <v>0</v>
      </c>
      <c r="ET172">
        <v>0</v>
      </c>
      <c r="EU172">
        <v>0</v>
      </c>
      <c r="EV172">
        <v>0.149730000000002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5</v>
      </c>
      <c r="FE172">
        <v>5.0999999999999996</v>
      </c>
      <c r="FF172">
        <v>1.2390099999999999</v>
      </c>
      <c r="FG172">
        <v>2.5647000000000002</v>
      </c>
      <c r="FH172">
        <v>2.19604</v>
      </c>
      <c r="FI172">
        <v>2.66235</v>
      </c>
      <c r="FJ172">
        <v>2.4462899999999999</v>
      </c>
      <c r="FK172">
        <v>2.2839399999999999</v>
      </c>
      <c r="FL172">
        <v>31.4115</v>
      </c>
      <c r="FM172">
        <v>24.14</v>
      </c>
      <c r="FN172">
        <v>19</v>
      </c>
      <c r="FO172">
        <v>864.82899999999995</v>
      </c>
      <c r="FP172">
        <v>578.18100000000004</v>
      </c>
      <c r="FQ172">
        <v>18.033000000000001</v>
      </c>
      <c r="FR172">
        <v>25.5397</v>
      </c>
      <c r="FS172">
        <v>30.0002</v>
      </c>
      <c r="FT172">
        <v>25.518699999999999</v>
      </c>
      <c r="FU172">
        <v>25.52</v>
      </c>
      <c r="FV172">
        <v>24.872499999999999</v>
      </c>
      <c r="FW172">
        <v>30.681100000000001</v>
      </c>
      <c r="FX172">
        <v>1.60267</v>
      </c>
      <c r="FY172">
        <v>18.031500000000001</v>
      </c>
      <c r="FZ172">
        <v>410</v>
      </c>
      <c r="GA172">
        <v>14.7456</v>
      </c>
      <c r="GB172">
        <v>99.840400000000002</v>
      </c>
      <c r="GC172">
        <v>99.543199999999999</v>
      </c>
    </row>
    <row r="173" spans="1:185" x14ac:dyDescent="0.2">
      <c r="A173">
        <v>158</v>
      </c>
      <c r="B173">
        <v>1769185854.0999999</v>
      </c>
      <c r="C173">
        <v>2991.0999999046298</v>
      </c>
      <c r="D173" t="s">
        <v>613</v>
      </c>
      <c r="E173" t="s">
        <v>614</v>
      </c>
      <c r="F173">
        <v>15</v>
      </c>
      <c r="G173">
        <v>1769185846.03333</v>
      </c>
      <c r="H173">
        <f t="shared" si="26"/>
        <v>4.9564977885032779E-4</v>
      </c>
      <c r="I173">
        <v>0</v>
      </c>
      <c r="J173">
        <f t="shared" si="38"/>
        <v>1.2185827106178865E-3</v>
      </c>
      <c r="K173">
        <f t="shared" si="27"/>
        <v>3.1914281082637455E-2</v>
      </c>
      <c r="L173">
        <f t="shared" si="28"/>
        <v>69.801719051116919</v>
      </c>
      <c r="M173">
        <f t="shared" si="29"/>
        <v>1.5395587186849835</v>
      </c>
      <c r="N173">
        <f t="shared" si="30"/>
        <v>2.2056171962721147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26274.814623661117</v>
      </c>
      <c r="T173">
        <f t="shared" si="34"/>
        <v>499.998533333333</v>
      </c>
      <c r="U173">
        <f t="shared" si="35"/>
        <v>421.49842210100144</v>
      </c>
      <c r="V173">
        <f t="shared" si="36"/>
        <v>0.84299931699999997</v>
      </c>
      <c r="W173">
        <f t="shared" si="37"/>
        <v>0.15869835746000002</v>
      </c>
      <c r="X173">
        <v>1</v>
      </c>
      <c r="Y173">
        <v>1769185846.03333</v>
      </c>
      <c r="Z173">
        <v>409.715666666667</v>
      </c>
      <c r="AA173">
        <v>410.00940000000003</v>
      </c>
      <c r="AB173">
        <v>15.3670733333333</v>
      </c>
      <c r="AC173">
        <v>14.75704</v>
      </c>
      <c r="AD173">
        <v>410.709</v>
      </c>
      <c r="AE173">
        <v>15.217333333333301</v>
      </c>
      <c r="AF173">
        <v>800.010533333333</v>
      </c>
      <c r="AG173">
        <v>100.11993333333299</v>
      </c>
      <c r="AH173">
        <v>6.5618286666666706E-2</v>
      </c>
      <c r="AI173">
        <v>19.003173333333301</v>
      </c>
      <c r="AJ173">
        <v>999.9</v>
      </c>
      <c r="AK173">
        <v>999.9</v>
      </c>
      <c r="AL173">
        <v>0</v>
      </c>
      <c r="AM173">
        <v>0</v>
      </c>
      <c r="AN173">
        <v>5003.5333333333301</v>
      </c>
      <c r="AO173">
        <v>0</v>
      </c>
      <c r="AP173">
        <v>2.0325500000000001</v>
      </c>
      <c r="AQ173">
        <v>-0.29375006666666698</v>
      </c>
      <c r="AR173">
        <v>416.11006666666702</v>
      </c>
      <c r="AS173">
        <v>416.150466666667</v>
      </c>
      <c r="AT173">
        <v>0.6100198</v>
      </c>
      <c r="AU173">
        <v>410.00940000000003</v>
      </c>
      <c r="AV173">
        <v>14.75704</v>
      </c>
      <c r="AW173">
        <v>1.53855066666667</v>
      </c>
      <c r="AX173">
        <v>1.47747466666667</v>
      </c>
      <c r="AY173">
        <v>13.356733333333301</v>
      </c>
      <c r="AZ173">
        <v>12.737026666666701</v>
      </c>
      <c r="BA173">
        <v>499.998533333333</v>
      </c>
      <c r="BB173">
        <v>0.90002179999999998</v>
      </c>
      <c r="BC173">
        <v>0</v>
      </c>
      <c r="BD173">
        <v>9.9978166666666701E-2</v>
      </c>
      <c r="BE173">
        <v>0</v>
      </c>
      <c r="BF173">
        <v>25</v>
      </c>
      <c r="BG173">
        <v>8244.42</v>
      </c>
      <c r="BH173">
        <v>1769185537.0999999</v>
      </c>
      <c r="BI173" t="s">
        <v>570</v>
      </c>
      <c r="BJ173">
        <v>1769185537.0999999</v>
      </c>
      <c r="BK173">
        <v>1769185535.0999999</v>
      </c>
      <c r="BL173">
        <v>5</v>
      </c>
      <c r="BM173">
        <v>1.4999999999999999E-2</v>
      </c>
      <c r="BN173">
        <v>4.2999999999999997E-2</v>
      </c>
      <c r="BO173">
        <v>-0.99299999999999999</v>
      </c>
      <c r="BP173">
        <v>0.15</v>
      </c>
      <c r="BQ173">
        <v>410</v>
      </c>
      <c r="BR173">
        <v>16</v>
      </c>
      <c r="BS173">
        <v>0.2</v>
      </c>
      <c r="BT173">
        <v>0.05</v>
      </c>
      <c r="BU173">
        <v>-0.301481761904762</v>
      </c>
      <c r="BV173">
        <v>0.11925148051948101</v>
      </c>
      <c r="BW173">
        <v>2.0328138773407899E-2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0.60730004761904799</v>
      </c>
      <c r="CD173">
        <v>4.7191948051948901E-2</v>
      </c>
      <c r="CE173">
        <v>5.0640737175499401E-3</v>
      </c>
      <c r="CF173">
        <v>1</v>
      </c>
      <c r="CG173">
        <v>2</v>
      </c>
      <c r="CH173">
        <v>2</v>
      </c>
      <c r="CI173" t="s">
        <v>310</v>
      </c>
      <c r="CJ173">
        <v>3.5325500000000001</v>
      </c>
      <c r="CK173">
        <v>2.70329</v>
      </c>
      <c r="CL173">
        <v>9.7936499999999996E-2</v>
      </c>
      <c r="CM173">
        <v>9.6607799999999994E-2</v>
      </c>
      <c r="CN173">
        <v>8.6765099999999998E-2</v>
      </c>
      <c r="CO173">
        <v>8.3526000000000003E-2</v>
      </c>
      <c r="CP173">
        <v>31622.2</v>
      </c>
      <c r="CQ173">
        <v>27768.6</v>
      </c>
      <c r="CR173">
        <v>32445.3</v>
      </c>
      <c r="CS173">
        <v>30665.5</v>
      </c>
      <c r="CT173">
        <v>40119.4</v>
      </c>
      <c r="CU173">
        <v>39513.199999999997</v>
      </c>
      <c r="CV173">
        <v>47380.3</v>
      </c>
      <c r="CW173">
        <v>46759.1</v>
      </c>
      <c r="CX173">
        <v>2.62188</v>
      </c>
      <c r="CY173">
        <v>2.1320999999999999</v>
      </c>
      <c r="CZ173">
        <v>0</v>
      </c>
      <c r="DA173">
        <v>0</v>
      </c>
      <c r="DB173">
        <v>999.9</v>
      </c>
      <c r="DC173">
        <v>999.9</v>
      </c>
      <c r="DD173">
        <v>58.991999999999997</v>
      </c>
      <c r="DE173">
        <v>26.545999999999999</v>
      </c>
      <c r="DF173">
        <v>20.5336</v>
      </c>
      <c r="DG173">
        <v>30.630199999999999</v>
      </c>
      <c r="DH173">
        <v>17.8005</v>
      </c>
      <c r="DI173">
        <v>2</v>
      </c>
      <c r="DJ173">
        <v>-0.114272</v>
      </c>
      <c r="DK173">
        <v>2.3875099999999998</v>
      </c>
      <c r="DL173">
        <v>20.205100000000002</v>
      </c>
      <c r="DM173">
        <v>5.2509499999999996</v>
      </c>
      <c r="DN173">
        <v>12.033899999999999</v>
      </c>
      <c r="DO173">
        <v>4.9676</v>
      </c>
      <c r="DP173">
        <v>3.2910200000000001</v>
      </c>
      <c r="DQ173">
        <v>9999</v>
      </c>
      <c r="DR173">
        <v>9999</v>
      </c>
      <c r="DS173">
        <v>534.79999999999995</v>
      </c>
      <c r="DT173">
        <v>9999</v>
      </c>
      <c r="DU173">
        <v>1.87104</v>
      </c>
      <c r="DV173">
        <v>1.8760699999999999</v>
      </c>
      <c r="DW173">
        <v>1.8763000000000001</v>
      </c>
      <c r="DX173">
        <v>1.8827799999999999</v>
      </c>
      <c r="DY173">
        <v>1.87561</v>
      </c>
      <c r="DZ173">
        <v>1.8746799999999999</v>
      </c>
      <c r="EA173">
        <v>1.8707499999999999</v>
      </c>
      <c r="EB173">
        <v>1.8746400000000001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-0.99399999999999999</v>
      </c>
      <c r="EQ173">
        <v>0.14979999999999999</v>
      </c>
      <c r="ER173">
        <v>-0.99329999999997698</v>
      </c>
      <c r="ES173">
        <v>0</v>
      </c>
      <c r="ET173">
        <v>0</v>
      </c>
      <c r="EU173">
        <v>0</v>
      </c>
      <c r="EV173">
        <v>0.149730000000002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5.3</v>
      </c>
      <c r="FE173">
        <v>5.3</v>
      </c>
      <c r="FF173">
        <v>1.2390099999999999</v>
      </c>
      <c r="FG173">
        <v>2.5671400000000002</v>
      </c>
      <c r="FH173">
        <v>2.19604</v>
      </c>
      <c r="FI173">
        <v>2.66235</v>
      </c>
      <c r="FJ173">
        <v>2.4462899999999999</v>
      </c>
      <c r="FK173">
        <v>2.2949199999999998</v>
      </c>
      <c r="FL173">
        <v>31.389800000000001</v>
      </c>
      <c r="FM173">
        <v>24.148800000000001</v>
      </c>
      <c r="FN173">
        <v>19</v>
      </c>
      <c r="FO173">
        <v>864.726</v>
      </c>
      <c r="FP173">
        <v>578.05799999999999</v>
      </c>
      <c r="FQ173">
        <v>18.023399999999999</v>
      </c>
      <c r="FR173">
        <v>25.541799999999999</v>
      </c>
      <c r="FS173">
        <v>30.0001</v>
      </c>
      <c r="FT173">
        <v>25.519200000000001</v>
      </c>
      <c r="FU173">
        <v>25.52</v>
      </c>
      <c r="FV173">
        <v>24.871099999999998</v>
      </c>
      <c r="FW173">
        <v>30.681100000000001</v>
      </c>
      <c r="FX173">
        <v>1.22489</v>
      </c>
      <c r="FY173">
        <v>18.021599999999999</v>
      </c>
      <c r="FZ173">
        <v>410</v>
      </c>
      <c r="GA173">
        <v>14.7456</v>
      </c>
      <c r="GB173">
        <v>99.8399</v>
      </c>
      <c r="GC173">
        <v>99.545900000000003</v>
      </c>
    </row>
    <row r="174" spans="1:185" x14ac:dyDescent="0.2">
      <c r="A174">
        <v>159</v>
      </c>
      <c r="B174">
        <v>1769185869.0999999</v>
      </c>
      <c r="C174">
        <v>3006.0999999046298</v>
      </c>
      <c r="D174" t="s">
        <v>615</v>
      </c>
      <c r="E174" t="s">
        <v>616</v>
      </c>
      <c r="F174">
        <v>15</v>
      </c>
      <c r="G174">
        <v>1769185861.03333</v>
      </c>
      <c r="H174">
        <f t="shared" si="26"/>
        <v>5.0156895062188935E-4</v>
      </c>
      <c r="I174">
        <v>0</v>
      </c>
      <c r="J174">
        <f t="shared" si="38"/>
        <v>4.2739769585193628E-4</v>
      </c>
      <c r="K174">
        <f t="shared" si="27"/>
        <v>1.1193405322954264E-2</v>
      </c>
      <c r="L174">
        <f t="shared" si="28"/>
        <v>69.852325251453422</v>
      </c>
      <c r="M174">
        <f t="shared" si="29"/>
        <v>1.5404294371511835</v>
      </c>
      <c r="N174">
        <f t="shared" si="30"/>
        <v>2.2052657969594676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26271.809427246371</v>
      </c>
      <c r="T174">
        <f t="shared" si="34"/>
        <v>499.99959999999999</v>
      </c>
      <c r="U174">
        <f t="shared" si="35"/>
        <v>421.49940620020539</v>
      </c>
      <c r="V174">
        <f t="shared" si="36"/>
        <v>0.84299948680000025</v>
      </c>
      <c r="W174">
        <f t="shared" si="37"/>
        <v>0.15869824928800005</v>
      </c>
      <c r="X174">
        <v>1</v>
      </c>
      <c r="Y174">
        <v>1769185861.03333</v>
      </c>
      <c r="Z174">
        <v>409.71493333333302</v>
      </c>
      <c r="AA174">
        <v>409.98579999999998</v>
      </c>
      <c r="AB174">
        <v>15.376006666666701</v>
      </c>
      <c r="AC174">
        <v>14.7586866666667</v>
      </c>
      <c r="AD174">
        <v>410.70846666666699</v>
      </c>
      <c r="AE174">
        <v>15.2262733333333</v>
      </c>
      <c r="AF174">
        <v>800.00133333333304</v>
      </c>
      <c r="AG174">
        <v>100.11839999999999</v>
      </c>
      <c r="AH174">
        <v>6.5573026666666701E-2</v>
      </c>
      <c r="AI174">
        <v>19.000620000000001</v>
      </c>
      <c r="AJ174">
        <v>999.9</v>
      </c>
      <c r="AK174">
        <v>999.9</v>
      </c>
      <c r="AL174">
        <v>0</v>
      </c>
      <c r="AM174">
        <v>0</v>
      </c>
      <c r="AN174">
        <v>5003.0666666666702</v>
      </c>
      <c r="AO174">
        <v>0</v>
      </c>
      <c r="AP174">
        <v>2.0325500000000001</v>
      </c>
      <c r="AQ174">
        <v>-0.27062786666666699</v>
      </c>
      <c r="AR174">
        <v>416.11320000000001</v>
      </c>
      <c r="AS174">
        <v>416.12713333333301</v>
      </c>
      <c r="AT174">
        <v>0.61731579999999997</v>
      </c>
      <c r="AU174">
        <v>409.98579999999998</v>
      </c>
      <c r="AV174">
        <v>14.7586866666667</v>
      </c>
      <c r="AW174">
        <v>1.53941866666667</v>
      </c>
      <c r="AX174">
        <v>1.477616</v>
      </c>
      <c r="AY174">
        <v>13.36542</v>
      </c>
      <c r="AZ174">
        <v>12.73846</v>
      </c>
      <c r="BA174">
        <v>499.99959999999999</v>
      </c>
      <c r="BB174">
        <v>0.90002406666666701</v>
      </c>
      <c r="BC174">
        <v>0</v>
      </c>
      <c r="BD174">
        <v>9.9976173333333307E-2</v>
      </c>
      <c r="BE174">
        <v>0</v>
      </c>
      <c r="BF174">
        <v>25</v>
      </c>
      <c r="BG174">
        <v>8244.4433333333309</v>
      </c>
      <c r="BH174">
        <v>1769185537.0999999</v>
      </c>
      <c r="BI174" t="s">
        <v>570</v>
      </c>
      <c r="BJ174">
        <v>1769185537.0999999</v>
      </c>
      <c r="BK174">
        <v>1769185535.0999999</v>
      </c>
      <c r="BL174">
        <v>5</v>
      </c>
      <c r="BM174">
        <v>1.4999999999999999E-2</v>
      </c>
      <c r="BN174">
        <v>4.2999999999999997E-2</v>
      </c>
      <c r="BO174">
        <v>-0.99299999999999999</v>
      </c>
      <c r="BP174">
        <v>0.15</v>
      </c>
      <c r="BQ174">
        <v>410</v>
      </c>
      <c r="BR174">
        <v>16</v>
      </c>
      <c r="BS174">
        <v>0.2</v>
      </c>
      <c r="BT174">
        <v>0.05</v>
      </c>
      <c r="BU174">
        <v>-0.27492529999999998</v>
      </c>
      <c r="BV174">
        <v>9.7389383458646797E-2</v>
      </c>
      <c r="BW174">
        <v>2.4221895576316901E-2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0.61607710000000004</v>
      </c>
      <c r="CD174">
        <v>2.6124090225564601E-2</v>
      </c>
      <c r="CE174">
        <v>2.7843654016669502E-3</v>
      </c>
      <c r="CF174">
        <v>1</v>
      </c>
      <c r="CG174">
        <v>2</v>
      </c>
      <c r="CH174">
        <v>2</v>
      </c>
      <c r="CI174" t="s">
        <v>310</v>
      </c>
      <c r="CJ174">
        <v>3.5325199999999999</v>
      </c>
      <c r="CK174">
        <v>2.7033200000000002</v>
      </c>
      <c r="CL174">
        <v>9.7936599999999999E-2</v>
      </c>
      <c r="CM174">
        <v>9.6604300000000004E-2</v>
      </c>
      <c r="CN174">
        <v>8.6786299999999997E-2</v>
      </c>
      <c r="CO174">
        <v>8.3535799999999993E-2</v>
      </c>
      <c r="CP174">
        <v>31622.1</v>
      </c>
      <c r="CQ174">
        <v>27769.200000000001</v>
      </c>
      <c r="CR174">
        <v>32445.200000000001</v>
      </c>
      <c r="CS174">
        <v>30666</v>
      </c>
      <c r="CT174">
        <v>40118.300000000003</v>
      </c>
      <c r="CU174">
        <v>39513.599999999999</v>
      </c>
      <c r="CV174">
        <v>47380.2</v>
      </c>
      <c r="CW174">
        <v>46760</v>
      </c>
      <c r="CX174">
        <v>2.6217199999999998</v>
      </c>
      <c r="CY174">
        <v>2.1320399999999999</v>
      </c>
      <c r="CZ174">
        <v>0</v>
      </c>
      <c r="DA174">
        <v>0</v>
      </c>
      <c r="DB174">
        <v>999.9</v>
      </c>
      <c r="DC174">
        <v>999.9</v>
      </c>
      <c r="DD174">
        <v>58.942999999999998</v>
      </c>
      <c r="DE174">
        <v>26.556000000000001</v>
      </c>
      <c r="DF174">
        <v>20.529699999999998</v>
      </c>
      <c r="DG174">
        <v>30.4802</v>
      </c>
      <c r="DH174">
        <v>17.712299999999999</v>
      </c>
      <c r="DI174">
        <v>2</v>
      </c>
      <c r="DJ174">
        <v>-0.11451799999999999</v>
      </c>
      <c r="DK174">
        <v>2.3451599999999999</v>
      </c>
      <c r="DL174">
        <v>20.206</v>
      </c>
      <c r="DM174">
        <v>5.2508299999999997</v>
      </c>
      <c r="DN174">
        <v>12.033899999999999</v>
      </c>
      <c r="DO174">
        <v>4.9675200000000004</v>
      </c>
      <c r="DP174">
        <v>3.2909999999999999</v>
      </c>
      <c r="DQ174">
        <v>9999</v>
      </c>
      <c r="DR174">
        <v>9999</v>
      </c>
      <c r="DS174">
        <v>534.79999999999995</v>
      </c>
      <c r="DT174">
        <v>9999</v>
      </c>
      <c r="DU174">
        <v>1.8710500000000001</v>
      </c>
      <c r="DV174">
        <v>1.87609</v>
      </c>
      <c r="DW174">
        <v>1.8762700000000001</v>
      </c>
      <c r="DX174">
        <v>1.8827799999999999</v>
      </c>
      <c r="DY174">
        <v>1.87561</v>
      </c>
      <c r="DZ174">
        <v>1.8746799999999999</v>
      </c>
      <c r="EA174">
        <v>1.8707499999999999</v>
      </c>
      <c r="EB174">
        <v>1.87466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-0.99299999999999999</v>
      </c>
      <c r="EQ174">
        <v>0.1497</v>
      </c>
      <c r="ER174">
        <v>-0.99329999999997698</v>
      </c>
      <c r="ES174">
        <v>0</v>
      </c>
      <c r="ET174">
        <v>0</v>
      </c>
      <c r="EU174">
        <v>0</v>
      </c>
      <c r="EV174">
        <v>0.149730000000002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5.5</v>
      </c>
      <c r="FE174">
        <v>5.6</v>
      </c>
      <c r="FF174">
        <v>1.2390099999999999</v>
      </c>
      <c r="FG174">
        <v>2.5647000000000002</v>
      </c>
      <c r="FH174">
        <v>2.19604</v>
      </c>
      <c r="FI174">
        <v>2.66235</v>
      </c>
      <c r="FJ174">
        <v>2.4462899999999999</v>
      </c>
      <c r="FK174">
        <v>2.31934</v>
      </c>
      <c r="FL174">
        <v>31.4115</v>
      </c>
      <c r="FM174">
        <v>24.14</v>
      </c>
      <c r="FN174">
        <v>19</v>
      </c>
      <c r="FO174">
        <v>864.61199999999997</v>
      </c>
      <c r="FP174">
        <v>578.03599999999994</v>
      </c>
      <c r="FQ174">
        <v>18.038</v>
      </c>
      <c r="FR174">
        <v>25.541799999999999</v>
      </c>
      <c r="FS174">
        <v>30</v>
      </c>
      <c r="FT174">
        <v>25.5213</v>
      </c>
      <c r="FU174">
        <v>25.522099999999998</v>
      </c>
      <c r="FV174">
        <v>24.871500000000001</v>
      </c>
      <c r="FW174">
        <v>30.681100000000001</v>
      </c>
      <c r="FX174">
        <v>0.85408600000000001</v>
      </c>
      <c r="FY174">
        <v>18.035</v>
      </c>
      <c r="FZ174">
        <v>410</v>
      </c>
      <c r="GA174">
        <v>14.7456</v>
      </c>
      <c r="GB174">
        <v>99.839699999999993</v>
      </c>
      <c r="GC174">
        <v>99.547700000000006</v>
      </c>
    </row>
    <row r="175" spans="1:185" x14ac:dyDescent="0.2">
      <c r="A175">
        <v>160</v>
      </c>
      <c r="B175">
        <v>1769185884.0999999</v>
      </c>
      <c r="C175">
        <v>3021.0999999046298</v>
      </c>
      <c r="D175" t="s">
        <v>617</v>
      </c>
      <c r="E175" t="s">
        <v>618</v>
      </c>
      <c r="F175">
        <v>15</v>
      </c>
      <c r="G175">
        <v>1769185876.03333</v>
      </c>
      <c r="H175">
        <f t="shared" si="26"/>
        <v>5.0285708992302345E-4</v>
      </c>
      <c r="I175">
        <v>0</v>
      </c>
      <c r="J175">
        <f t="shared" si="38"/>
        <v>1.1813056414173633E-3</v>
      </c>
      <c r="K175">
        <f t="shared" si="27"/>
        <v>3.0938006879797995E-2</v>
      </c>
      <c r="L175">
        <f t="shared" si="28"/>
        <v>69.85730644540817</v>
      </c>
      <c r="M175">
        <f t="shared" si="29"/>
        <v>1.5407841228328143</v>
      </c>
      <c r="N175">
        <f t="shared" si="30"/>
        <v>2.2056162787165299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26235.663600218417</v>
      </c>
      <c r="T175">
        <f t="shared" si="34"/>
        <v>500.00046666666702</v>
      </c>
      <c r="U175">
        <f t="shared" si="35"/>
        <v>421.50007499970314</v>
      </c>
      <c r="V175">
        <f t="shared" si="36"/>
        <v>0.84299936320000002</v>
      </c>
      <c r="W175">
        <f t="shared" si="37"/>
        <v>0.15869835603200003</v>
      </c>
      <c r="X175">
        <v>1</v>
      </c>
      <c r="Y175">
        <v>1769185876.03333</v>
      </c>
      <c r="Z175">
        <v>409.70593333333301</v>
      </c>
      <c r="AA175">
        <v>410.00213333333301</v>
      </c>
      <c r="AB175">
        <v>15.379860000000001</v>
      </c>
      <c r="AC175">
        <v>14.760960000000001</v>
      </c>
      <c r="AD175">
        <v>410.69920000000002</v>
      </c>
      <c r="AE175">
        <v>15.230126666666701</v>
      </c>
      <c r="AF175">
        <v>800.00519999999995</v>
      </c>
      <c r="AG175">
        <v>100.11646666666699</v>
      </c>
      <c r="AH175">
        <v>6.5467553333333303E-2</v>
      </c>
      <c r="AI175">
        <v>19.003166666666701</v>
      </c>
      <c r="AJ175">
        <v>999.9</v>
      </c>
      <c r="AK175">
        <v>999.9</v>
      </c>
      <c r="AL175">
        <v>0</v>
      </c>
      <c r="AM175">
        <v>0</v>
      </c>
      <c r="AN175">
        <v>4997.2333333333299</v>
      </c>
      <c r="AO175">
        <v>0</v>
      </c>
      <c r="AP175">
        <v>2.0325500000000001</v>
      </c>
      <c r="AQ175">
        <v>-0.296248333333333</v>
      </c>
      <c r="AR175">
        <v>416.10553333333303</v>
      </c>
      <c r="AS175">
        <v>416.14473333333302</v>
      </c>
      <c r="AT175">
        <v>0.61888460000000001</v>
      </c>
      <c r="AU175">
        <v>410.00213333333301</v>
      </c>
      <c r="AV175">
        <v>14.760960000000001</v>
      </c>
      <c r="AW175">
        <v>1.5397780000000001</v>
      </c>
      <c r="AX175">
        <v>1.4778180000000001</v>
      </c>
      <c r="AY175">
        <v>13.3689866666667</v>
      </c>
      <c r="AZ175">
        <v>12.7405733333333</v>
      </c>
      <c r="BA175">
        <v>500.00046666666702</v>
      </c>
      <c r="BB175">
        <v>0.90002199999999999</v>
      </c>
      <c r="BC175">
        <v>0</v>
      </c>
      <c r="BD175">
        <v>9.9978026666666706E-2</v>
      </c>
      <c r="BE175">
        <v>0</v>
      </c>
      <c r="BF175">
        <v>25</v>
      </c>
      <c r="BG175">
        <v>8244.4539999999997</v>
      </c>
      <c r="BH175">
        <v>1769185537.0999999</v>
      </c>
      <c r="BI175" t="s">
        <v>570</v>
      </c>
      <c r="BJ175">
        <v>1769185537.0999999</v>
      </c>
      <c r="BK175">
        <v>1769185535.0999999</v>
      </c>
      <c r="BL175">
        <v>5</v>
      </c>
      <c r="BM175">
        <v>1.4999999999999999E-2</v>
      </c>
      <c r="BN175">
        <v>4.2999999999999997E-2</v>
      </c>
      <c r="BO175">
        <v>-0.99299999999999999</v>
      </c>
      <c r="BP175">
        <v>0.15</v>
      </c>
      <c r="BQ175">
        <v>410</v>
      </c>
      <c r="BR175">
        <v>16</v>
      </c>
      <c r="BS175">
        <v>0.2</v>
      </c>
      <c r="BT175">
        <v>0.05</v>
      </c>
      <c r="BU175">
        <v>-0.29186719047618997</v>
      </c>
      <c r="BV175">
        <v>-2.59055844155846E-2</v>
      </c>
      <c r="BW175">
        <v>1.86658559678183E-2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0.61890147619047597</v>
      </c>
      <c r="CD175">
        <v>7.4481038961045102E-3</v>
      </c>
      <c r="CE175">
        <v>1.66234801293225E-3</v>
      </c>
      <c r="CF175">
        <v>1</v>
      </c>
      <c r="CG175">
        <v>2</v>
      </c>
      <c r="CH175">
        <v>2</v>
      </c>
      <c r="CI175" t="s">
        <v>310</v>
      </c>
      <c r="CJ175">
        <v>3.5325199999999999</v>
      </c>
      <c r="CK175">
        <v>2.7034400000000001</v>
      </c>
      <c r="CL175">
        <v>9.7933900000000004E-2</v>
      </c>
      <c r="CM175">
        <v>9.6600900000000003E-2</v>
      </c>
      <c r="CN175">
        <v>8.6816000000000004E-2</v>
      </c>
      <c r="CO175">
        <v>8.3538100000000004E-2</v>
      </c>
      <c r="CP175">
        <v>31623</v>
      </c>
      <c r="CQ175">
        <v>27769.200000000001</v>
      </c>
      <c r="CR175">
        <v>32446</v>
      </c>
      <c r="CS175">
        <v>30665.9</v>
      </c>
      <c r="CT175">
        <v>40117.9</v>
      </c>
      <c r="CU175">
        <v>39513.4</v>
      </c>
      <c r="CV175">
        <v>47381.3</v>
      </c>
      <c r="CW175">
        <v>46759.9</v>
      </c>
      <c r="CX175">
        <v>2.62202</v>
      </c>
      <c r="CY175">
        <v>2.1318600000000001</v>
      </c>
      <c r="CZ175">
        <v>0</v>
      </c>
      <c r="DA175">
        <v>0</v>
      </c>
      <c r="DB175">
        <v>999.9</v>
      </c>
      <c r="DC175">
        <v>999.9</v>
      </c>
      <c r="DD175">
        <v>58.911999999999999</v>
      </c>
      <c r="DE175">
        <v>26.565999999999999</v>
      </c>
      <c r="DF175">
        <v>20.532699999999998</v>
      </c>
      <c r="DG175">
        <v>30.450199999999999</v>
      </c>
      <c r="DH175">
        <v>17.788499999999999</v>
      </c>
      <c r="DI175">
        <v>2</v>
      </c>
      <c r="DJ175">
        <v>-0.113992</v>
      </c>
      <c r="DK175">
        <v>2.3985500000000002</v>
      </c>
      <c r="DL175">
        <v>20.205200000000001</v>
      </c>
      <c r="DM175">
        <v>5.2511900000000002</v>
      </c>
      <c r="DN175">
        <v>12.033899999999999</v>
      </c>
      <c r="DO175">
        <v>4.9675200000000004</v>
      </c>
      <c r="DP175">
        <v>3.2909999999999999</v>
      </c>
      <c r="DQ175">
        <v>9999</v>
      </c>
      <c r="DR175">
        <v>9999</v>
      </c>
      <c r="DS175">
        <v>534.79999999999995</v>
      </c>
      <c r="DT175">
        <v>9999</v>
      </c>
      <c r="DU175">
        <v>1.8710599999999999</v>
      </c>
      <c r="DV175">
        <v>1.87608</v>
      </c>
      <c r="DW175">
        <v>1.8763300000000001</v>
      </c>
      <c r="DX175">
        <v>1.88279</v>
      </c>
      <c r="DY175">
        <v>1.8755999999999999</v>
      </c>
      <c r="DZ175">
        <v>1.8746799999999999</v>
      </c>
      <c r="EA175">
        <v>1.8708100000000001</v>
      </c>
      <c r="EB175">
        <v>1.8746799999999999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-0.99299999999999999</v>
      </c>
      <c r="EQ175">
        <v>0.1497</v>
      </c>
      <c r="ER175">
        <v>-0.99329999999997698</v>
      </c>
      <c r="ES175">
        <v>0</v>
      </c>
      <c r="ET175">
        <v>0</v>
      </c>
      <c r="EU175">
        <v>0</v>
      </c>
      <c r="EV175">
        <v>0.149730000000002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5.8</v>
      </c>
      <c r="FE175">
        <v>5.8</v>
      </c>
      <c r="FF175">
        <v>1.2390099999999999</v>
      </c>
      <c r="FG175">
        <v>2.5695800000000002</v>
      </c>
      <c r="FH175">
        <v>2.19604</v>
      </c>
      <c r="FI175">
        <v>2.66235</v>
      </c>
      <c r="FJ175">
        <v>2.4462899999999999</v>
      </c>
      <c r="FK175">
        <v>2.2888199999999999</v>
      </c>
      <c r="FL175">
        <v>31.433299999999999</v>
      </c>
      <c r="FM175">
        <v>24.14</v>
      </c>
      <c r="FN175">
        <v>19</v>
      </c>
      <c r="FO175">
        <v>864.92499999999995</v>
      </c>
      <c r="FP175">
        <v>577.92100000000005</v>
      </c>
      <c r="FQ175">
        <v>18.0303</v>
      </c>
      <c r="FR175">
        <v>25.543900000000001</v>
      </c>
      <c r="FS175">
        <v>30.0002</v>
      </c>
      <c r="FT175">
        <v>25.523499999999999</v>
      </c>
      <c r="FU175">
        <v>25.5243</v>
      </c>
      <c r="FV175">
        <v>24.873000000000001</v>
      </c>
      <c r="FW175">
        <v>30.681100000000001</v>
      </c>
      <c r="FX175">
        <v>0.477713</v>
      </c>
      <c r="FY175">
        <v>18.026499999999999</v>
      </c>
      <c r="FZ175">
        <v>410</v>
      </c>
      <c r="GA175">
        <v>14.7456</v>
      </c>
      <c r="GB175">
        <v>99.842100000000002</v>
      </c>
      <c r="GC175">
        <v>99.547499999999999</v>
      </c>
    </row>
    <row r="176" spans="1:185" x14ac:dyDescent="0.2">
      <c r="A176">
        <v>161</v>
      </c>
      <c r="B176">
        <v>1769185899.0999999</v>
      </c>
      <c r="C176">
        <v>3036.0999999046298</v>
      </c>
      <c r="D176" t="s">
        <v>619</v>
      </c>
      <c r="E176" t="s">
        <v>620</v>
      </c>
      <c r="F176">
        <v>15</v>
      </c>
      <c r="G176">
        <v>1769185891.03333</v>
      </c>
      <c r="H176">
        <f t="shared" si="26"/>
        <v>5.0489635440905387E-4</v>
      </c>
      <c r="I176">
        <v>0</v>
      </c>
      <c r="J176">
        <f t="shared" si="38"/>
        <v>2.0018985345889425E-4</v>
      </c>
      <c r="K176">
        <f t="shared" si="27"/>
        <v>5.2429065319165996E-3</v>
      </c>
      <c r="L176">
        <f t="shared" si="28"/>
        <v>69.863521948094032</v>
      </c>
      <c r="M176">
        <f t="shared" si="29"/>
        <v>1.5412481720129112</v>
      </c>
      <c r="N176">
        <f t="shared" si="30"/>
        <v>2.2060842755078975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26255.867428491641</v>
      </c>
      <c r="T176">
        <f t="shared" si="34"/>
        <v>500.00026666666702</v>
      </c>
      <c r="U176">
        <f t="shared" si="35"/>
        <v>421.49990679983068</v>
      </c>
      <c r="V176">
        <f t="shared" si="36"/>
        <v>0.84299936399999997</v>
      </c>
      <c r="W176">
        <f t="shared" si="37"/>
        <v>0.15869840999999998</v>
      </c>
      <c r="X176">
        <v>1</v>
      </c>
      <c r="Y176">
        <v>1769185891.03333</v>
      </c>
      <c r="Z176">
        <v>409.71813333333301</v>
      </c>
      <c r="AA176">
        <v>409.98326666666702</v>
      </c>
      <c r="AB176">
        <v>15.3846733333333</v>
      </c>
      <c r="AC176">
        <v>14.7632666666667</v>
      </c>
      <c r="AD176">
        <v>410.71153333333302</v>
      </c>
      <c r="AE176">
        <v>15.234946666666699</v>
      </c>
      <c r="AF176">
        <v>800.00540000000001</v>
      </c>
      <c r="AG176">
        <v>100.1152</v>
      </c>
      <c r="AH176">
        <v>6.5553833333333297E-2</v>
      </c>
      <c r="AI176">
        <v>19.0065666666667</v>
      </c>
      <c r="AJ176">
        <v>999.9</v>
      </c>
      <c r="AK176">
        <v>999.9</v>
      </c>
      <c r="AL176">
        <v>0</v>
      </c>
      <c r="AM176">
        <v>0</v>
      </c>
      <c r="AN176">
        <v>5000.6666666666697</v>
      </c>
      <c r="AO176">
        <v>0</v>
      </c>
      <c r="AP176">
        <v>2.0325500000000001</v>
      </c>
      <c r="AQ176">
        <v>-0.26513680000000001</v>
      </c>
      <c r="AR176">
        <v>416.120133333333</v>
      </c>
      <c r="AS176">
        <v>416.12666666666701</v>
      </c>
      <c r="AT176">
        <v>0.62140919999999999</v>
      </c>
      <c r="AU176">
        <v>409.98326666666702</v>
      </c>
      <c r="AV176">
        <v>14.7632666666667</v>
      </c>
      <c r="AW176">
        <v>1.5402386666666701</v>
      </c>
      <c r="AX176">
        <v>1.4780266666666699</v>
      </c>
      <c r="AY176">
        <v>13.37358</v>
      </c>
      <c r="AZ176">
        <v>12.7427266666667</v>
      </c>
      <c r="BA176">
        <v>500.00026666666702</v>
      </c>
      <c r="BB176">
        <v>0.90002119999999997</v>
      </c>
      <c r="BC176">
        <v>0</v>
      </c>
      <c r="BD176">
        <v>9.9978800000000007E-2</v>
      </c>
      <c r="BE176">
        <v>0</v>
      </c>
      <c r="BF176">
        <v>25</v>
      </c>
      <c r="BG176">
        <v>8244.4466666666704</v>
      </c>
      <c r="BH176">
        <v>1769185537.0999999</v>
      </c>
      <c r="BI176" t="s">
        <v>570</v>
      </c>
      <c r="BJ176">
        <v>1769185537.0999999</v>
      </c>
      <c r="BK176">
        <v>1769185535.0999999</v>
      </c>
      <c r="BL176">
        <v>5</v>
      </c>
      <c r="BM176">
        <v>1.4999999999999999E-2</v>
      </c>
      <c r="BN176">
        <v>4.2999999999999997E-2</v>
      </c>
      <c r="BO176">
        <v>-0.99299999999999999</v>
      </c>
      <c r="BP176">
        <v>0.15</v>
      </c>
      <c r="BQ176">
        <v>410</v>
      </c>
      <c r="BR176">
        <v>16</v>
      </c>
      <c r="BS176">
        <v>0.2</v>
      </c>
      <c r="BT176">
        <v>0.05</v>
      </c>
      <c r="BU176">
        <v>-0.27161564999999999</v>
      </c>
      <c r="BV176">
        <v>0.150208466165413</v>
      </c>
      <c r="BW176">
        <v>1.95985041247413E-2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0.62129484999999995</v>
      </c>
      <c r="CD176">
        <v>-1.1302105263159799E-3</v>
      </c>
      <c r="CE176">
        <v>9.8854404428937994E-4</v>
      </c>
      <c r="CF176">
        <v>1</v>
      </c>
      <c r="CG176">
        <v>2</v>
      </c>
      <c r="CH176">
        <v>2</v>
      </c>
      <c r="CI176" t="s">
        <v>310</v>
      </c>
      <c r="CJ176">
        <v>3.5325299999999999</v>
      </c>
      <c r="CK176">
        <v>2.7031999999999998</v>
      </c>
      <c r="CL176">
        <v>9.7936200000000001E-2</v>
      </c>
      <c r="CM176">
        <v>9.6601699999999999E-2</v>
      </c>
      <c r="CN176">
        <v>8.6807700000000002E-2</v>
      </c>
      <c r="CO176">
        <v>8.3543400000000004E-2</v>
      </c>
      <c r="CP176">
        <v>31623</v>
      </c>
      <c r="CQ176">
        <v>27769.599999999999</v>
      </c>
      <c r="CR176">
        <v>32446.1</v>
      </c>
      <c r="CS176">
        <v>30666.400000000001</v>
      </c>
      <c r="CT176">
        <v>40118.699999999997</v>
      </c>
      <c r="CU176">
        <v>39513.699999999997</v>
      </c>
      <c r="CV176">
        <v>47381.8</v>
      </c>
      <c r="CW176">
        <v>46760.6</v>
      </c>
      <c r="CX176">
        <v>2.6215799999999998</v>
      </c>
      <c r="CY176">
        <v>2.1317200000000001</v>
      </c>
      <c r="CZ176">
        <v>0</v>
      </c>
      <c r="DA176">
        <v>0</v>
      </c>
      <c r="DB176">
        <v>999.9</v>
      </c>
      <c r="DC176">
        <v>999.9</v>
      </c>
      <c r="DD176">
        <v>58.863</v>
      </c>
      <c r="DE176">
        <v>26.596</v>
      </c>
      <c r="DF176">
        <v>20.5501</v>
      </c>
      <c r="DG176">
        <v>30.630199999999999</v>
      </c>
      <c r="DH176">
        <v>17.776399999999999</v>
      </c>
      <c r="DI176">
        <v>2</v>
      </c>
      <c r="DJ176">
        <v>-0.113917</v>
      </c>
      <c r="DK176">
        <v>2.4352100000000001</v>
      </c>
      <c r="DL176">
        <v>20.204599999999999</v>
      </c>
      <c r="DM176">
        <v>5.2511900000000002</v>
      </c>
      <c r="DN176">
        <v>12.033899999999999</v>
      </c>
      <c r="DO176">
        <v>4.9674399999999999</v>
      </c>
      <c r="DP176">
        <v>3.2909999999999999</v>
      </c>
      <c r="DQ176">
        <v>9999</v>
      </c>
      <c r="DR176">
        <v>9999</v>
      </c>
      <c r="DS176">
        <v>534.79999999999995</v>
      </c>
      <c r="DT176">
        <v>9999</v>
      </c>
      <c r="DU176">
        <v>1.87103</v>
      </c>
      <c r="DV176">
        <v>1.87608</v>
      </c>
      <c r="DW176">
        <v>1.8763099999999999</v>
      </c>
      <c r="DX176">
        <v>1.8827799999999999</v>
      </c>
      <c r="DY176">
        <v>1.87561</v>
      </c>
      <c r="DZ176">
        <v>1.87466</v>
      </c>
      <c r="EA176">
        <v>1.87076</v>
      </c>
      <c r="EB176">
        <v>1.8746499999999999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-0.99299999999999999</v>
      </c>
      <c r="EQ176">
        <v>0.14979999999999999</v>
      </c>
      <c r="ER176">
        <v>-0.99329999999997698</v>
      </c>
      <c r="ES176">
        <v>0</v>
      </c>
      <c r="ET176">
        <v>0</v>
      </c>
      <c r="EU176">
        <v>0</v>
      </c>
      <c r="EV176">
        <v>0.149730000000002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6</v>
      </c>
      <c r="FE176">
        <v>6.1</v>
      </c>
      <c r="FF176">
        <v>1.2390099999999999</v>
      </c>
      <c r="FG176">
        <v>2.5659200000000002</v>
      </c>
      <c r="FH176">
        <v>2.19604</v>
      </c>
      <c r="FI176">
        <v>2.66235</v>
      </c>
      <c r="FJ176">
        <v>2.4462899999999999</v>
      </c>
      <c r="FK176">
        <v>2.2900399999999999</v>
      </c>
      <c r="FL176">
        <v>31.433299999999999</v>
      </c>
      <c r="FM176">
        <v>24.148800000000001</v>
      </c>
      <c r="FN176">
        <v>19</v>
      </c>
      <c r="FO176">
        <v>864.55</v>
      </c>
      <c r="FP176">
        <v>577.83799999999997</v>
      </c>
      <c r="FQ176">
        <v>18.010999999999999</v>
      </c>
      <c r="FR176">
        <v>25.543900000000001</v>
      </c>
      <c r="FS176">
        <v>30.0001</v>
      </c>
      <c r="FT176">
        <v>25.525600000000001</v>
      </c>
      <c r="FU176">
        <v>25.526499999999999</v>
      </c>
      <c r="FV176">
        <v>24.875</v>
      </c>
      <c r="FW176">
        <v>30.681100000000001</v>
      </c>
      <c r="FX176">
        <v>0.477713</v>
      </c>
      <c r="FY176">
        <v>18.006399999999999</v>
      </c>
      <c r="FZ176">
        <v>410</v>
      </c>
      <c r="GA176">
        <v>14.7456</v>
      </c>
      <c r="GB176">
        <v>99.842699999999994</v>
      </c>
      <c r="GC176">
        <v>99.549000000000007</v>
      </c>
    </row>
    <row r="177" spans="1:185" x14ac:dyDescent="0.2">
      <c r="A177">
        <v>162</v>
      </c>
      <c r="B177">
        <v>1769186065.0999999</v>
      </c>
      <c r="C177">
        <v>3202.0999999046298</v>
      </c>
      <c r="D177" t="s">
        <v>621</v>
      </c>
      <c r="E177" t="s">
        <v>622</v>
      </c>
      <c r="F177">
        <v>15</v>
      </c>
      <c r="G177">
        <v>1769186057.0999999</v>
      </c>
      <c r="H177">
        <f t="shared" si="26"/>
        <v>5.828437864125966E-4</v>
      </c>
      <c r="I177">
        <v>0</v>
      </c>
      <c r="J177">
        <f t="shared" si="38"/>
        <v>-1.9001043077749146E-2</v>
      </c>
      <c r="K177">
        <f t="shared" si="27"/>
        <v>-0.49763107941939322</v>
      </c>
      <c r="L177">
        <f t="shared" si="28"/>
        <v>72.767384877758332</v>
      </c>
      <c r="M177">
        <f t="shared" si="29"/>
        <v>1.5962754271295123</v>
      </c>
      <c r="N177">
        <f t="shared" si="30"/>
        <v>2.1936688116676031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26256.301463540909</v>
      </c>
      <c r="T177">
        <f t="shared" si="34"/>
        <v>800.00040000000001</v>
      </c>
      <c r="U177">
        <f t="shared" si="35"/>
        <v>674.40008279987308</v>
      </c>
      <c r="V177">
        <f t="shared" si="36"/>
        <v>0.84299968200000031</v>
      </c>
      <c r="W177">
        <f t="shared" si="37"/>
        <v>0.15869933492000005</v>
      </c>
      <c r="X177">
        <v>1</v>
      </c>
      <c r="Y177">
        <v>1769186057.0999999</v>
      </c>
      <c r="Z177">
        <v>410.36426666666699</v>
      </c>
      <c r="AA177">
        <v>410.0412</v>
      </c>
      <c r="AB177">
        <v>15.9349733333333</v>
      </c>
      <c r="AC177">
        <v>15.218026666666701</v>
      </c>
      <c r="AD177">
        <v>411.3578</v>
      </c>
      <c r="AE177">
        <v>15.7852533333333</v>
      </c>
      <c r="AF177">
        <v>799.99839999999995</v>
      </c>
      <c r="AG177">
        <v>100.10899999999999</v>
      </c>
      <c r="AH177">
        <v>6.5339406666666697E-2</v>
      </c>
      <c r="AI177">
        <v>18.916153333333298</v>
      </c>
      <c r="AJ177">
        <v>999.9</v>
      </c>
      <c r="AK177">
        <v>999.9</v>
      </c>
      <c r="AL177">
        <v>0</v>
      </c>
      <c r="AM177">
        <v>0</v>
      </c>
      <c r="AN177">
        <v>4999.6666666666697</v>
      </c>
      <c r="AO177">
        <v>0</v>
      </c>
      <c r="AP177">
        <v>2.0643213333333299</v>
      </c>
      <c r="AQ177">
        <v>0.32317508</v>
      </c>
      <c r="AR177">
        <v>417.00946666666698</v>
      </c>
      <c r="AS177">
        <v>416.37773333333303</v>
      </c>
      <c r="AT177">
        <v>0.71694026666666699</v>
      </c>
      <c r="AU177">
        <v>410.0412</v>
      </c>
      <c r="AV177">
        <v>15.218026666666701</v>
      </c>
      <c r="AW177">
        <v>1.5952313333333299</v>
      </c>
      <c r="AX177">
        <v>1.52346133333333</v>
      </c>
      <c r="AY177">
        <v>13.912786666666699</v>
      </c>
      <c r="AZ177">
        <v>13.2053266666667</v>
      </c>
      <c r="BA177">
        <v>800.00040000000001</v>
      </c>
      <c r="BB177">
        <v>0.90000866666666701</v>
      </c>
      <c r="BC177">
        <v>0</v>
      </c>
      <c r="BD177">
        <v>9.9991266666666703E-2</v>
      </c>
      <c r="BE177">
        <v>0</v>
      </c>
      <c r="BF177">
        <v>25</v>
      </c>
      <c r="BG177">
        <v>13191.053333333301</v>
      </c>
      <c r="BH177">
        <v>1769185537.0999999</v>
      </c>
      <c r="BI177" t="s">
        <v>570</v>
      </c>
      <c r="BJ177">
        <v>1769185537.0999999</v>
      </c>
      <c r="BK177">
        <v>1769185535.0999999</v>
      </c>
      <c r="BL177">
        <v>5</v>
      </c>
      <c r="BM177">
        <v>1.4999999999999999E-2</v>
      </c>
      <c r="BN177">
        <v>4.2999999999999997E-2</v>
      </c>
      <c r="BO177">
        <v>-0.99299999999999999</v>
      </c>
      <c r="BP177">
        <v>0.15</v>
      </c>
      <c r="BQ177">
        <v>410</v>
      </c>
      <c r="BR177">
        <v>16</v>
      </c>
      <c r="BS177">
        <v>0.2</v>
      </c>
      <c r="BT177">
        <v>0.05</v>
      </c>
      <c r="BU177">
        <v>0.45701751000000002</v>
      </c>
      <c r="BV177">
        <v>-2.8866295127819601</v>
      </c>
      <c r="BW177">
        <v>0.281607947023165</v>
      </c>
      <c r="BX177">
        <v>0</v>
      </c>
      <c r="BY177">
        <v>0</v>
      </c>
      <c r="BZ177">
        <v>0</v>
      </c>
      <c r="CA177">
        <v>0</v>
      </c>
      <c r="CB177">
        <v>-1</v>
      </c>
      <c r="CC177">
        <v>0.66497165000000003</v>
      </c>
      <c r="CD177">
        <v>1.14800052631579</v>
      </c>
      <c r="CE177">
        <v>0.11180104303416601</v>
      </c>
      <c r="CF177">
        <v>0</v>
      </c>
      <c r="CG177">
        <v>0</v>
      </c>
      <c r="CH177">
        <v>2</v>
      </c>
      <c r="CI177" t="s">
        <v>290</v>
      </c>
      <c r="CJ177">
        <v>3.53254</v>
      </c>
      <c r="CK177">
        <v>2.7031900000000002</v>
      </c>
      <c r="CL177">
        <v>9.7995799999999994E-2</v>
      </c>
      <c r="CM177">
        <v>9.6599900000000002E-2</v>
      </c>
      <c r="CN177">
        <v>8.8840500000000003E-2</v>
      </c>
      <c r="CO177">
        <v>8.4680800000000001E-2</v>
      </c>
      <c r="CP177">
        <v>31620.7</v>
      </c>
      <c r="CQ177">
        <v>27770.7</v>
      </c>
      <c r="CR177">
        <v>32445.9</v>
      </c>
      <c r="CS177">
        <v>30667.599999999999</v>
      </c>
      <c r="CT177">
        <v>40026.199999999997</v>
      </c>
      <c r="CU177">
        <v>39465.599999999999</v>
      </c>
      <c r="CV177">
        <v>47381.4</v>
      </c>
      <c r="CW177">
        <v>46763.3</v>
      </c>
      <c r="CX177">
        <v>2.6221399999999999</v>
      </c>
      <c r="CY177">
        <v>2.1316000000000002</v>
      </c>
      <c r="CZ177">
        <v>0</v>
      </c>
      <c r="DA177">
        <v>0</v>
      </c>
      <c r="DB177">
        <v>999.9</v>
      </c>
      <c r="DC177">
        <v>999.9</v>
      </c>
      <c r="DD177">
        <v>58.43</v>
      </c>
      <c r="DE177">
        <v>26.707000000000001</v>
      </c>
      <c r="DF177">
        <v>20.532900000000001</v>
      </c>
      <c r="DG177">
        <v>30.5502</v>
      </c>
      <c r="DH177">
        <v>17.868600000000001</v>
      </c>
      <c r="DI177">
        <v>2</v>
      </c>
      <c r="DJ177">
        <v>-0.114915</v>
      </c>
      <c r="DK177">
        <v>2.0756399999999999</v>
      </c>
      <c r="DL177">
        <v>20.198599999999999</v>
      </c>
      <c r="DM177">
        <v>5.2510700000000003</v>
      </c>
      <c r="DN177">
        <v>12.033899999999999</v>
      </c>
      <c r="DO177">
        <v>4.9673999999999996</v>
      </c>
      <c r="DP177">
        <v>3.2909999999999999</v>
      </c>
      <c r="DQ177">
        <v>9999</v>
      </c>
      <c r="DR177">
        <v>9999</v>
      </c>
      <c r="DS177">
        <v>534.9</v>
      </c>
      <c r="DT177">
        <v>9999</v>
      </c>
      <c r="DU177">
        <v>1.87103</v>
      </c>
      <c r="DV177">
        <v>1.8760699999999999</v>
      </c>
      <c r="DW177">
        <v>1.8762799999999999</v>
      </c>
      <c r="DX177">
        <v>1.8827799999999999</v>
      </c>
      <c r="DY177">
        <v>1.8755900000000001</v>
      </c>
      <c r="DZ177">
        <v>1.87466</v>
      </c>
      <c r="EA177">
        <v>1.8707400000000001</v>
      </c>
      <c r="EB177">
        <v>1.8746400000000001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-0.99299999999999999</v>
      </c>
      <c r="EQ177">
        <v>0.1497</v>
      </c>
      <c r="ER177">
        <v>-0.99329999999997698</v>
      </c>
      <c r="ES177">
        <v>0</v>
      </c>
      <c r="ET177">
        <v>0</v>
      </c>
      <c r="EU177">
        <v>0</v>
      </c>
      <c r="EV177">
        <v>0.149730000000002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8.8000000000000007</v>
      </c>
      <c r="FE177">
        <v>8.8000000000000007</v>
      </c>
      <c r="FF177">
        <v>1.2390099999999999</v>
      </c>
      <c r="FG177">
        <v>2.5671400000000002</v>
      </c>
      <c r="FH177">
        <v>2.19604</v>
      </c>
      <c r="FI177">
        <v>2.66235</v>
      </c>
      <c r="FJ177">
        <v>2.4462899999999999</v>
      </c>
      <c r="FK177">
        <v>2.2839399999999999</v>
      </c>
      <c r="FL177">
        <v>31.520600000000002</v>
      </c>
      <c r="FM177">
        <v>24.148800000000001</v>
      </c>
      <c r="FN177">
        <v>19</v>
      </c>
      <c r="FO177">
        <v>865.27800000000002</v>
      </c>
      <c r="FP177">
        <v>577.86500000000001</v>
      </c>
      <c r="FQ177">
        <v>17.946999999999999</v>
      </c>
      <c r="FR177">
        <v>25.5504</v>
      </c>
      <c r="FS177">
        <v>30.0001</v>
      </c>
      <c r="FT177">
        <v>25.538499999999999</v>
      </c>
      <c r="FU177">
        <v>25.537199999999999</v>
      </c>
      <c r="FV177">
        <v>24.885300000000001</v>
      </c>
      <c r="FW177">
        <v>30.235399999999998</v>
      </c>
      <c r="FX177">
        <v>0</v>
      </c>
      <c r="FY177">
        <v>17.9697</v>
      </c>
      <c r="FZ177">
        <v>410</v>
      </c>
      <c r="GA177">
        <v>14.885199999999999</v>
      </c>
      <c r="GB177">
        <v>99.841899999999995</v>
      </c>
      <c r="GC177">
        <v>99.554000000000002</v>
      </c>
    </row>
    <row r="178" spans="1:185" x14ac:dyDescent="0.2">
      <c r="A178">
        <v>163</v>
      </c>
      <c r="B178">
        <v>1769186080.0999999</v>
      </c>
      <c r="C178">
        <v>3217.0999999046298</v>
      </c>
      <c r="D178" t="s">
        <v>623</v>
      </c>
      <c r="E178" t="s">
        <v>624</v>
      </c>
      <c r="F178">
        <v>15</v>
      </c>
      <c r="G178">
        <v>1769186072.03333</v>
      </c>
      <c r="H178">
        <f t="shared" si="26"/>
        <v>6.9639331810535609E-4</v>
      </c>
      <c r="I178">
        <v>0</v>
      </c>
      <c r="J178">
        <f t="shared" si="38"/>
        <v>-8.3287000053704728E-3</v>
      </c>
      <c r="K178">
        <f t="shared" si="27"/>
        <v>-0.21812591850214277</v>
      </c>
      <c r="L178">
        <f t="shared" si="28"/>
        <v>72.038432419454807</v>
      </c>
      <c r="M178">
        <f t="shared" si="29"/>
        <v>1.5819523933325912</v>
      </c>
      <c r="N178">
        <f t="shared" si="30"/>
        <v>2.1959839216398147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26243.2316477944</v>
      </c>
      <c r="T178">
        <f t="shared" si="34"/>
        <v>799.99793333333298</v>
      </c>
      <c r="U178">
        <f t="shared" si="35"/>
        <v>674.39804260055575</v>
      </c>
      <c r="V178">
        <f t="shared" si="36"/>
        <v>0.84299973100000014</v>
      </c>
      <c r="W178">
        <f t="shared" si="37"/>
        <v>0.15869913262000004</v>
      </c>
      <c r="X178">
        <v>1</v>
      </c>
      <c r="Y178">
        <v>1769186072.03333</v>
      </c>
      <c r="Z178">
        <v>409.948266666667</v>
      </c>
      <c r="AA178">
        <v>410.03246666666701</v>
      </c>
      <c r="AB178">
        <v>15.792253333333299</v>
      </c>
      <c r="AC178">
        <v>14.935499999999999</v>
      </c>
      <c r="AD178">
        <v>410.94153333333298</v>
      </c>
      <c r="AE178">
        <v>15.6425</v>
      </c>
      <c r="AF178">
        <v>799.99186666666697</v>
      </c>
      <c r="AG178">
        <v>100.1074</v>
      </c>
      <c r="AH178">
        <v>6.5283400000000005E-2</v>
      </c>
      <c r="AI178">
        <v>18.933046666666701</v>
      </c>
      <c r="AJ178">
        <v>999.9</v>
      </c>
      <c r="AK178">
        <v>999.9</v>
      </c>
      <c r="AL178">
        <v>0</v>
      </c>
      <c r="AM178">
        <v>0</v>
      </c>
      <c r="AN178">
        <v>4997.8333333333303</v>
      </c>
      <c r="AO178">
        <v>0</v>
      </c>
      <c r="AP178">
        <v>2.08901</v>
      </c>
      <c r="AQ178">
        <v>-8.4214232E-2</v>
      </c>
      <c r="AR178">
        <v>416.52620000000002</v>
      </c>
      <c r="AS178">
        <v>416.24939999999998</v>
      </c>
      <c r="AT178">
        <v>0.856746866666667</v>
      </c>
      <c r="AU178">
        <v>410.03246666666701</v>
      </c>
      <c r="AV178">
        <v>14.935499999999999</v>
      </c>
      <c r="AW178">
        <v>1.58091933333333</v>
      </c>
      <c r="AX178">
        <v>1.495152</v>
      </c>
      <c r="AY178">
        <v>13.77402</v>
      </c>
      <c r="AZ178">
        <v>12.9185533333333</v>
      </c>
      <c r="BA178">
        <v>799.99793333333298</v>
      </c>
      <c r="BB178">
        <v>0.90001186666666699</v>
      </c>
      <c r="BC178">
        <v>0</v>
      </c>
      <c r="BD178">
        <v>9.9988233333333301E-2</v>
      </c>
      <c r="BE178">
        <v>0</v>
      </c>
      <c r="BF178">
        <v>25</v>
      </c>
      <c r="BG178">
        <v>13191.026666666699</v>
      </c>
      <c r="BH178">
        <v>1769185537.0999999</v>
      </c>
      <c r="BI178" t="s">
        <v>570</v>
      </c>
      <c r="BJ178">
        <v>1769185537.0999999</v>
      </c>
      <c r="BK178">
        <v>1769185535.0999999</v>
      </c>
      <c r="BL178">
        <v>5</v>
      </c>
      <c r="BM178">
        <v>1.4999999999999999E-2</v>
      </c>
      <c r="BN178">
        <v>4.2999999999999997E-2</v>
      </c>
      <c r="BO178">
        <v>-0.99299999999999999</v>
      </c>
      <c r="BP178">
        <v>0.15</v>
      </c>
      <c r="BQ178">
        <v>410</v>
      </c>
      <c r="BR178">
        <v>16</v>
      </c>
      <c r="BS178">
        <v>0.2</v>
      </c>
      <c r="BT178">
        <v>0.05</v>
      </c>
      <c r="BU178">
        <v>-1.7534480000000002E-2</v>
      </c>
      <c r="BV178">
        <v>-1.3052896909090901</v>
      </c>
      <c r="BW178">
        <v>0.13313371264623999</v>
      </c>
      <c r="BX178">
        <v>0</v>
      </c>
      <c r="BY178">
        <v>0</v>
      </c>
      <c r="BZ178">
        <v>0</v>
      </c>
      <c r="CA178">
        <v>0</v>
      </c>
      <c r="CB178">
        <v>-1</v>
      </c>
      <c r="CC178">
        <v>0.83698742857142905</v>
      </c>
      <c r="CD178">
        <v>0.36776992207792297</v>
      </c>
      <c r="CE178">
        <v>3.8533601018889897E-2</v>
      </c>
      <c r="CF178">
        <v>0</v>
      </c>
      <c r="CG178">
        <v>0</v>
      </c>
      <c r="CH178">
        <v>2</v>
      </c>
      <c r="CI178" t="s">
        <v>290</v>
      </c>
      <c r="CJ178">
        <v>3.5326</v>
      </c>
      <c r="CK178">
        <v>2.70296</v>
      </c>
      <c r="CL178">
        <v>9.7947099999999995E-2</v>
      </c>
      <c r="CM178">
        <v>9.6593499999999999E-2</v>
      </c>
      <c r="CN178">
        <v>8.8227100000000003E-2</v>
      </c>
      <c r="CO178">
        <v>8.3839499999999997E-2</v>
      </c>
      <c r="CP178">
        <v>31622.5</v>
      </c>
      <c r="CQ178">
        <v>27771.200000000001</v>
      </c>
      <c r="CR178">
        <v>32446</v>
      </c>
      <c r="CS178">
        <v>30667.8</v>
      </c>
      <c r="CT178">
        <v>40054.199999999997</v>
      </c>
      <c r="CU178">
        <v>39503.199999999997</v>
      </c>
      <c r="CV178">
        <v>47381.599999999999</v>
      </c>
      <c r="CW178">
        <v>46763.7</v>
      </c>
      <c r="CX178">
        <v>2.6222599999999998</v>
      </c>
      <c r="CY178">
        <v>2.1306600000000002</v>
      </c>
      <c r="CZ178">
        <v>0</v>
      </c>
      <c r="DA178">
        <v>0</v>
      </c>
      <c r="DB178">
        <v>999.9</v>
      </c>
      <c r="DC178">
        <v>999.9</v>
      </c>
      <c r="DD178">
        <v>58.381</v>
      </c>
      <c r="DE178">
        <v>26.727</v>
      </c>
      <c r="DF178">
        <v>20.541699999999999</v>
      </c>
      <c r="DG178">
        <v>30.580200000000001</v>
      </c>
      <c r="DH178">
        <v>17.752400000000002</v>
      </c>
      <c r="DI178">
        <v>2</v>
      </c>
      <c r="DJ178">
        <v>-0.11494500000000001</v>
      </c>
      <c r="DK178">
        <v>2.0007899999999998</v>
      </c>
      <c r="DL178">
        <v>20.198899999999998</v>
      </c>
      <c r="DM178">
        <v>5.2483199999999997</v>
      </c>
      <c r="DN178">
        <v>12.033899999999999</v>
      </c>
      <c r="DO178">
        <v>4.9671200000000004</v>
      </c>
      <c r="DP178">
        <v>3.2906</v>
      </c>
      <c r="DQ178">
        <v>9999</v>
      </c>
      <c r="DR178">
        <v>9999</v>
      </c>
      <c r="DS178">
        <v>534.9</v>
      </c>
      <c r="DT178">
        <v>9999</v>
      </c>
      <c r="DU178">
        <v>1.87103</v>
      </c>
      <c r="DV178">
        <v>1.8760699999999999</v>
      </c>
      <c r="DW178">
        <v>1.8762399999999999</v>
      </c>
      <c r="DX178">
        <v>1.8827700000000001</v>
      </c>
      <c r="DY178">
        <v>1.8755500000000001</v>
      </c>
      <c r="DZ178">
        <v>1.8746100000000001</v>
      </c>
      <c r="EA178">
        <v>1.8707400000000001</v>
      </c>
      <c r="EB178">
        <v>1.87459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-0.99299999999999999</v>
      </c>
      <c r="EQ178">
        <v>0.1497</v>
      </c>
      <c r="ER178">
        <v>-0.99329999999997698</v>
      </c>
      <c r="ES178">
        <v>0</v>
      </c>
      <c r="ET178">
        <v>0</v>
      </c>
      <c r="EU178">
        <v>0</v>
      </c>
      <c r="EV178">
        <v>0.149730000000002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9.1</v>
      </c>
      <c r="FE178">
        <v>9.1</v>
      </c>
      <c r="FF178">
        <v>1.2402299999999999</v>
      </c>
      <c r="FG178">
        <v>2.5683600000000002</v>
      </c>
      <c r="FH178">
        <v>2.19604</v>
      </c>
      <c r="FI178">
        <v>2.66235</v>
      </c>
      <c r="FJ178">
        <v>2.4462899999999999</v>
      </c>
      <c r="FK178">
        <v>2.2680699999999998</v>
      </c>
      <c r="FL178">
        <v>31.542400000000001</v>
      </c>
      <c r="FM178">
        <v>24.14</v>
      </c>
      <c r="FN178">
        <v>19</v>
      </c>
      <c r="FO178">
        <v>865.39</v>
      </c>
      <c r="FP178">
        <v>577.15499999999997</v>
      </c>
      <c r="FQ178">
        <v>18.105799999999999</v>
      </c>
      <c r="FR178">
        <v>25.5504</v>
      </c>
      <c r="FS178">
        <v>30.0001</v>
      </c>
      <c r="FT178">
        <v>25.538499999999999</v>
      </c>
      <c r="FU178">
        <v>25.5383</v>
      </c>
      <c r="FV178">
        <v>24.883600000000001</v>
      </c>
      <c r="FW178">
        <v>31.1128</v>
      </c>
      <c r="FX178">
        <v>0</v>
      </c>
      <c r="FY178">
        <v>18.119399999999999</v>
      </c>
      <c r="FZ178">
        <v>410</v>
      </c>
      <c r="GA178">
        <v>14.715999999999999</v>
      </c>
      <c r="GB178">
        <v>99.842399999999998</v>
      </c>
      <c r="GC178">
        <v>99.5548</v>
      </c>
    </row>
    <row r="179" spans="1:185" x14ac:dyDescent="0.2">
      <c r="A179">
        <v>164</v>
      </c>
      <c r="B179">
        <v>1769186095.0999999</v>
      </c>
      <c r="C179">
        <v>3232.0999999046298</v>
      </c>
      <c r="D179" t="s">
        <v>625</v>
      </c>
      <c r="E179" t="s">
        <v>626</v>
      </c>
      <c r="F179">
        <v>15</v>
      </c>
      <c r="G179">
        <v>1769186087.03333</v>
      </c>
      <c r="H179">
        <f t="shared" si="26"/>
        <v>7.2992719725390972E-4</v>
      </c>
      <c r="I179">
        <v>0</v>
      </c>
      <c r="J179">
        <f t="shared" si="38"/>
        <v>-4.4746280800799041E-3</v>
      </c>
      <c r="K179">
        <f t="shared" si="27"/>
        <v>-0.11718904022158899</v>
      </c>
      <c r="L179">
        <f t="shared" si="28"/>
        <v>71.312117410598091</v>
      </c>
      <c r="M179">
        <f t="shared" si="29"/>
        <v>1.5690929843770833</v>
      </c>
      <c r="N179">
        <f t="shared" si="30"/>
        <v>2.2003174794861602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26268.367235964564</v>
      </c>
      <c r="T179">
        <f t="shared" si="34"/>
        <v>799.99906666666698</v>
      </c>
      <c r="U179">
        <f t="shared" si="35"/>
        <v>674.39890184036369</v>
      </c>
      <c r="V179">
        <f t="shared" si="36"/>
        <v>0.84299961080000019</v>
      </c>
      <c r="W179">
        <f t="shared" si="37"/>
        <v>0.15869881912800005</v>
      </c>
      <c r="X179">
        <v>1</v>
      </c>
      <c r="Y179">
        <v>1769186087.03333</v>
      </c>
      <c r="Z179">
        <v>409.78039999999999</v>
      </c>
      <c r="AA179">
        <v>410.00779999999997</v>
      </c>
      <c r="AB179">
        <v>15.6636133333333</v>
      </c>
      <c r="AC179">
        <v>14.765499999999999</v>
      </c>
      <c r="AD179">
        <v>410.773666666667</v>
      </c>
      <c r="AE179">
        <v>15.5138866666667</v>
      </c>
      <c r="AF179">
        <v>800.00360000000001</v>
      </c>
      <c r="AG179">
        <v>100.10913333333301</v>
      </c>
      <c r="AH179">
        <v>6.5261360000000004E-2</v>
      </c>
      <c r="AI179">
        <v>18.9646266666667</v>
      </c>
      <c r="AJ179">
        <v>999.9</v>
      </c>
      <c r="AK179">
        <v>999.9</v>
      </c>
      <c r="AL179">
        <v>0</v>
      </c>
      <c r="AM179">
        <v>0</v>
      </c>
      <c r="AN179">
        <v>5002.3666666666704</v>
      </c>
      <c r="AO179">
        <v>0</v>
      </c>
      <c r="AP179">
        <v>2.08901</v>
      </c>
      <c r="AQ179">
        <v>-0.227435266666667</v>
      </c>
      <c r="AR179">
        <v>416.30113333333298</v>
      </c>
      <c r="AS179">
        <v>416.15246666666701</v>
      </c>
      <c r="AT179">
        <v>0.898108666666667</v>
      </c>
      <c r="AU179">
        <v>410.00779999999997</v>
      </c>
      <c r="AV179">
        <v>14.765499999999999</v>
      </c>
      <c r="AW179">
        <v>1.5680733333333301</v>
      </c>
      <c r="AX179">
        <v>1.4781646666666699</v>
      </c>
      <c r="AY179">
        <v>13.6485466666667</v>
      </c>
      <c r="AZ179">
        <v>12.7441</v>
      </c>
      <c r="BA179">
        <v>799.99906666666698</v>
      </c>
      <c r="BB179">
        <v>0.900016066666667</v>
      </c>
      <c r="BC179">
        <v>0</v>
      </c>
      <c r="BD179">
        <v>9.9984039999999996E-2</v>
      </c>
      <c r="BE179">
        <v>0</v>
      </c>
      <c r="BF179">
        <v>25</v>
      </c>
      <c r="BG179">
        <v>13191.08</v>
      </c>
      <c r="BH179">
        <v>1769185537.0999999</v>
      </c>
      <c r="BI179" t="s">
        <v>570</v>
      </c>
      <c r="BJ179">
        <v>1769185537.0999999</v>
      </c>
      <c r="BK179">
        <v>1769185535.0999999</v>
      </c>
      <c r="BL179">
        <v>5</v>
      </c>
      <c r="BM179">
        <v>1.4999999999999999E-2</v>
      </c>
      <c r="BN179">
        <v>4.2999999999999997E-2</v>
      </c>
      <c r="BO179">
        <v>-0.99299999999999999</v>
      </c>
      <c r="BP179">
        <v>0.15</v>
      </c>
      <c r="BQ179">
        <v>410</v>
      </c>
      <c r="BR179">
        <v>16</v>
      </c>
      <c r="BS179">
        <v>0.2</v>
      </c>
      <c r="BT179">
        <v>0.05</v>
      </c>
      <c r="BU179">
        <v>-0.2163177</v>
      </c>
      <c r="BV179">
        <v>-0.31452117293233101</v>
      </c>
      <c r="BW179">
        <v>3.5923520590415398E-2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0.89276120000000003</v>
      </c>
      <c r="CD179">
        <v>9.4899067669173304E-2</v>
      </c>
      <c r="CE179">
        <v>1.25011664399767E-2</v>
      </c>
      <c r="CF179">
        <v>1</v>
      </c>
      <c r="CG179">
        <v>2</v>
      </c>
      <c r="CH179">
        <v>2</v>
      </c>
      <c r="CI179" t="s">
        <v>310</v>
      </c>
      <c r="CJ179">
        <v>3.5325000000000002</v>
      </c>
      <c r="CK179">
        <v>2.7030599999999998</v>
      </c>
      <c r="CL179">
        <v>9.7927E-2</v>
      </c>
      <c r="CM179">
        <v>9.6593100000000001E-2</v>
      </c>
      <c r="CN179">
        <v>8.7745400000000001E-2</v>
      </c>
      <c r="CO179">
        <v>8.3298899999999995E-2</v>
      </c>
      <c r="CP179">
        <v>31622.799999999999</v>
      </c>
      <c r="CQ179">
        <v>27771.200000000001</v>
      </c>
      <c r="CR179">
        <v>32445.599999999999</v>
      </c>
      <c r="CS179">
        <v>30667.9</v>
      </c>
      <c r="CT179">
        <v>40075.599999999999</v>
      </c>
      <c r="CU179">
        <v>39527.300000000003</v>
      </c>
      <c r="CV179">
        <v>47381.1</v>
      </c>
      <c r="CW179">
        <v>46763.8</v>
      </c>
      <c r="CX179">
        <v>2.6224799999999999</v>
      </c>
      <c r="CY179">
        <v>2.1301800000000002</v>
      </c>
      <c r="CZ179">
        <v>0</v>
      </c>
      <c r="DA179">
        <v>0</v>
      </c>
      <c r="DB179">
        <v>999.9</v>
      </c>
      <c r="DC179">
        <v>999.9</v>
      </c>
      <c r="DD179">
        <v>58.356999999999999</v>
      </c>
      <c r="DE179">
        <v>26.727</v>
      </c>
      <c r="DF179">
        <v>20.532299999999999</v>
      </c>
      <c r="DG179">
        <v>30.4602</v>
      </c>
      <c r="DH179">
        <v>17.836500000000001</v>
      </c>
      <c r="DI179">
        <v>2</v>
      </c>
      <c r="DJ179">
        <v>-0.11462799999999999</v>
      </c>
      <c r="DK179">
        <v>2.0364399999999998</v>
      </c>
      <c r="DL179">
        <v>20.199000000000002</v>
      </c>
      <c r="DM179">
        <v>5.2516699999999998</v>
      </c>
      <c r="DN179">
        <v>12.033899999999999</v>
      </c>
      <c r="DO179">
        <v>4.9676400000000003</v>
      </c>
      <c r="DP179">
        <v>3.2909999999999999</v>
      </c>
      <c r="DQ179">
        <v>9999</v>
      </c>
      <c r="DR179">
        <v>9999</v>
      </c>
      <c r="DS179">
        <v>534.9</v>
      </c>
      <c r="DT179">
        <v>9999</v>
      </c>
      <c r="DU179">
        <v>1.87103</v>
      </c>
      <c r="DV179">
        <v>1.8760699999999999</v>
      </c>
      <c r="DW179">
        <v>1.8762399999999999</v>
      </c>
      <c r="DX179">
        <v>1.8827799999999999</v>
      </c>
      <c r="DY179">
        <v>1.8755599999999999</v>
      </c>
      <c r="DZ179">
        <v>1.87463</v>
      </c>
      <c r="EA179">
        <v>1.8707400000000001</v>
      </c>
      <c r="EB179">
        <v>1.8746100000000001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-0.99299999999999999</v>
      </c>
      <c r="EQ179">
        <v>0.1497</v>
      </c>
      <c r="ER179">
        <v>-0.99329999999997698</v>
      </c>
      <c r="ES179">
        <v>0</v>
      </c>
      <c r="ET179">
        <v>0</v>
      </c>
      <c r="EU179">
        <v>0</v>
      </c>
      <c r="EV179">
        <v>0.149730000000002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9.3000000000000007</v>
      </c>
      <c r="FE179">
        <v>9.3000000000000007</v>
      </c>
      <c r="FF179">
        <v>1.2390099999999999</v>
      </c>
      <c r="FG179">
        <v>2.5610400000000002</v>
      </c>
      <c r="FH179">
        <v>2.19604</v>
      </c>
      <c r="FI179">
        <v>2.66235</v>
      </c>
      <c r="FJ179">
        <v>2.4462899999999999</v>
      </c>
      <c r="FK179">
        <v>2.3107899999999999</v>
      </c>
      <c r="FL179">
        <v>31.542400000000001</v>
      </c>
      <c r="FM179">
        <v>24.148800000000001</v>
      </c>
      <c r="FN179">
        <v>19</v>
      </c>
      <c r="FO179">
        <v>865.62900000000002</v>
      </c>
      <c r="FP179">
        <v>576.822</v>
      </c>
      <c r="FQ179">
        <v>18.207599999999999</v>
      </c>
      <c r="FR179">
        <v>25.552600000000002</v>
      </c>
      <c r="FS179">
        <v>30.0001</v>
      </c>
      <c r="FT179">
        <v>25.540700000000001</v>
      </c>
      <c r="FU179">
        <v>25.541399999999999</v>
      </c>
      <c r="FV179">
        <v>24.881399999999999</v>
      </c>
      <c r="FW179">
        <v>31.393699999999999</v>
      </c>
      <c r="FX179">
        <v>0</v>
      </c>
      <c r="FY179">
        <v>18.208200000000001</v>
      </c>
      <c r="FZ179">
        <v>410</v>
      </c>
      <c r="GA179">
        <v>14.6145</v>
      </c>
      <c r="GB179">
        <v>99.841300000000004</v>
      </c>
      <c r="GC179">
        <v>99.555000000000007</v>
      </c>
    </row>
    <row r="180" spans="1:185" x14ac:dyDescent="0.2">
      <c r="A180">
        <v>165</v>
      </c>
      <c r="B180">
        <v>1769186110.0999999</v>
      </c>
      <c r="C180">
        <v>3247.0999999046298</v>
      </c>
      <c r="D180" t="s">
        <v>627</v>
      </c>
      <c r="E180" t="s">
        <v>628</v>
      </c>
      <c r="F180">
        <v>15</v>
      </c>
      <c r="G180">
        <v>1769186102.03333</v>
      </c>
      <c r="H180">
        <f t="shared" si="26"/>
        <v>7.3453620916092799E-4</v>
      </c>
      <c r="I180">
        <v>0</v>
      </c>
      <c r="J180">
        <f t="shared" si="38"/>
        <v>-2.0437165352325515E-3</v>
      </c>
      <c r="K180">
        <f t="shared" si="27"/>
        <v>-5.3524265025534173E-2</v>
      </c>
      <c r="L180">
        <f t="shared" si="28"/>
        <v>70.692340029646317</v>
      </c>
      <c r="M180">
        <f t="shared" si="29"/>
        <v>1.5583937359307434</v>
      </c>
      <c r="N180">
        <f t="shared" si="30"/>
        <v>2.2044732643978091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26246.67641283838</v>
      </c>
      <c r="T180">
        <f t="shared" si="34"/>
        <v>800.000133333333</v>
      </c>
      <c r="U180">
        <f t="shared" si="35"/>
        <v>674.39973063993614</v>
      </c>
      <c r="V180">
        <f t="shared" si="36"/>
        <v>0.84299952280000001</v>
      </c>
      <c r="W180">
        <f t="shared" si="37"/>
        <v>0.15869859912800002</v>
      </c>
      <c r="X180">
        <v>1</v>
      </c>
      <c r="Y180">
        <v>1769186102.03333</v>
      </c>
      <c r="Z180">
        <v>409.69973333333297</v>
      </c>
      <c r="AA180">
        <v>410.00900000000001</v>
      </c>
      <c r="AB180">
        <v>15.557119999999999</v>
      </c>
      <c r="AC180">
        <v>14.65324</v>
      </c>
      <c r="AD180">
        <v>410.69333333333299</v>
      </c>
      <c r="AE180">
        <v>15.407386666666699</v>
      </c>
      <c r="AF180">
        <v>800.00546666666696</v>
      </c>
      <c r="AG180">
        <v>100.107</v>
      </c>
      <c r="AH180">
        <v>6.5379973333333299E-2</v>
      </c>
      <c r="AI180">
        <v>18.994859999999999</v>
      </c>
      <c r="AJ180">
        <v>999.9</v>
      </c>
      <c r="AK180">
        <v>999.9</v>
      </c>
      <c r="AL180">
        <v>0</v>
      </c>
      <c r="AM180">
        <v>0</v>
      </c>
      <c r="AN180">
        <v>4999.3333333333303</v>
      </c>
      <c r="AO180">
        <v>0</v>
      </c>
      <c r="AP180">
        <v>2.0894620000000002</v>
      </c>
      <c r="AQ180">
        <v>-0.30920419999999998</v>
      </c>
      <c r="AR180">
        <v>416.17433333333298</v>
      </c>
      <c r="AS180">
        <v>416.10640000000001</v>
      </c>
      <c r="AT180">
        <v>0.90387153333333303</v>
      </c>
      <c r="AU180">
        <v>410.00900000000001</v>
      </c>
      <c r="AV180">
        <v>14.65324</v>
      </c>
      <c r="AW180">
        <v>1.55737866666667</v>
      </c>
      <c r="AX180">
        <v>1.46689266666667</v>
      </c>
      <c r="AY180">
        <v>13.543393333333301</v>
      </c>
      <c r="AZ180">
        <v>12.6273466666667</v>
      </c>
      <c r="BA180">
        <v>800.000133333333</v>
      </c>
      <c r="BB180">
        <v>0.90001900000000001</v>
      </c>
      <c r="BC180">
        <v>0</v>
      </c>
      <c r="BD180">
        <v>9.9981106666666694E-2</v>
      </c>
      <c r="BE180">
        <v>0</v>
      </c>
      <c r="BF180">
        <v>25</v>
      </c>
      <c r="BG180">
        <v>13191.106666666699</v>
      </c>
      <c r="BH180">
        <v>1769185537.0999999</v>
      </c>
      <c r="BI180" t="s">
        <v>570</v>
      </c>
      <c r="BJ180">
        <v>1769185537.0999999</v>
      </c>
      <c r="BK180">
        <v>1769185535.0999999</v>
      </c>
      <c r="BL180">
        <v>5</v>
      </c>
      <c r="BM180">
        <v>1.4999999999999999E-2</v>
      </c>
      <c r="BN180">
        <v>4.2999999999999997E-2</v>
      </c>
      <c r="BO180">
        <v>-0.99299999999999999</v>
      </c>
      <c r="BP180">
        <v>0.15</v>
      </c>
      <c r="BQ180">
        <v>410</v>
      </c>
      <c r="BR180">
        <v>16</v>
      </c>
      <c r="BS180">
        <v>0.2</v>
      </c>
      <c r="BT180">
        <v>0.05</v>
      </c>
      <c r="BU180">
        <v>-0.29420990476190501</v>
      </c>
      <c r="BV180">
        <v>-0.21568605194805199</v>
      </c>
      <c r="BW180">
        <v>3.0557953695988301E-2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0.90196061904761904</v>
      </c>
      <c r="CD180">
        <v>3.3825350649352E-2</v>
      </c>
      <c r="CE180">
        <v>9.9123430869760901E-3</v>
      </c>
      <c r="CF180">
        <v>1</v>
      </c>
      <c r="CG180">
        <v>2</v>
      </c>
      <c r="CH180">
        <v>2</v>
      </c>
      <c r="CI180" t="s">
        <v>310</v>
      </c>
      <c r="CJ180">
        <v>3.5325099999999998</v>
      </c>
      <c r="CK180">
        <v>2.70323</v>
      </c>
      <c r="CL180">
        <v>9.7916400000000001E-2</v>
      </c>
      <c r="CM180">
        <v>9.65887E-2</v>
      </c>
      <c r="CN180">
        <v>8.7324399999999996E-2</v>
      </c>
      <c r="CO180">
        <v>8.29323E-2</v>
      </c>
      <c r="CP180">
        <v>31622.6</v>
      </c>
      <c r="CQ180">
        <v>27771.5</v>
      </c>
      <c r="CR180">
        <v>32445</v>
      </c>
      <c r="CS180">
        <v>30668.1</v>
      </c>
      <c r="CT180">
        <v>40094.400000000001</v>
      </c>
      <c r="CU180">
        <v>39543.800000000003</v>
      </c>
      <c r="CV180">
        <v>47380.7</v>
      </c>
      <c r="CW180">
        <v>46764.1</v>
      </c>
      <c r="CX180">
        <v>2.62208</v>
      </c>
      <c r="CY180">
        <v>2.1301199999999998</v>
      </c>
      <c r="CZ180">
        <v>0</v>
      </c>
      <c r="DA180">
        <v>0</v>
      </c>
      <c r="DB180">
        <v>999.9</v>
      </c>
      <c r="DC180">
        <v>999.9</v>
      </c>
      <c r="DD180">
        <v>58.314</v>
      </c>
      <c r="DE180">
        <v>26.757000000000001</v>
      </c>
      <c r="DF180">
        <v>20.553999999999998</v>
      </c>
      <c r="DG180">
        <v>30.490200000000002</v>
      </c>
      <c r="DH180">
        <v>17.808499999999999</v>
      </c>
      <c r="DI180">
        <v>2</v>
      </c>
      <c r="DJ180">
        <v>-0.113691</v>
      </c>
      <c r="DK180">
        <v>2.1293000000000002</v>
      </c>
      <c r="DL180">
        <v>20.197299999999998</v>
      </c>
      <c r="DM180">
        <v>5.25047</v>
      </c>
      <c r="DN180">
        <v>12.033899999999999</v>
      </c>
      <c r="DO180">
        <v>4.9668799999999997</v>
      </c>
      <c r="DP180">
        <v>3.2909999999999999</v>
      </c>
      <c r="DQ180">
        <v>9999</v>
      </c>
      <c r="DR180">
        <v>9999</v>
      </c>
      <c r="DS180">
        <v>534.9</v>
      </c>
      <c r="DT180">
        <v>9999</v>
      </c>
      <c r="DU180">
        <v>1.87104</v>
      </c>
      <c r="DV180">
        <v>1.87608</v>
      </c>
      <c r="DW180">
        <v>1.8762700000000001</v>
      </c>
      <c r="DX180">
        <v>1.8827799999999999</v>
      </c>
      <c r="DY180">
        <v>1.87554</v>
      </c>
      <c r="DZ180">
        <v>1.87463</v>
      </c>
      <c r="EA180">
        <v>1.8707400000000001</v>
      </c>
      <c r="EB180">
        <v>1.87459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-0.99399999999999999</v>
      </c>
      <c r="EQ180">
        <v>0.1497</v>
      </c>
      <c r="ER180">
        <v>-0.99329999999997698</v>
      </c>
      <c r="ES180">
        <v>0</v>
      </c>
      <c r="ET180">
        <v>0</v>
      </c>
      <c r="EU180">
        <v>0</v>
      </c>
      <c r="EV180">
        <v>0.149730000000002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9.6</v>
      </c>
      <c r="FE180">
        <v>9.6</v>
      </c>
      <c r="FF180">
        <v>1.2390099999999999</v>
      </c>
      <c r="FG180">
        <v>2.5683600000000002</v>
      </c>
      <c r="FH180">
        <v>2.19604</v>
      </c>
      <c r="FI180">
        <v>2.66235</v>
      </c>
      <c r="FJ180">
        <v>2.4462899999999999</v>
      </c>
      <c r="FK180">
        <v>2.2619600000000002</v>
      </c>
      <c r="FL180">
        <v>31.542400000000001</v>
      </c>
      <c r="FM180">
        <v>24.14</v>
      </c>
      <c r="FN180">
        <v>19</v>
      </c>
      <c r="FO180">
        <v>865.29100000000005</v>
      </c>
      <c r="FP180">
        <v>576.81200000000001</v>
      </c>
      <c r="FQ180">
        <v>18.238600000000002</v>
      </c>
      <c r="FR180">
        <v>25.553699999999999</v>
      </c>
      <c r="FS180">
        <v>30.000399999999999</v>
      </c>
      <c r="FT180">
        <v>25.5428</v>
      </c>
      <c r="FU180">
        <v>25.544699999999999</v>
      </c>
      <c r="FV180">
        <v>24.879000000000001</v>
      </c>
      <c r="FW180">
        <v>31.667999999999999</v>
      </c>
      <c r="FX180">
        <v>0</v>
      </c>
      <c r="FY180">
        <v>18.2315</v>
      </c>
      <c r="FZ180">
        <v>410</v>
      </c>
      <c r="GA180">
        <v>14.579499999999999</v>
      </c>
      <c r="GB180">
        <v>99.84</v>
      </c>
      <c r="GC180">
        <v>99.555800000000005</v>
      </c>
    </row>
    <row r="181" spans="1:185" x14ac:dyDescent="0.2">
      <c r="A181">
        <v>166</v>
      </c>
      <c r="B181">
        <v>1769186125.0999999</v>
      </c>
      <c r="C181">
        <v>3262.0999999046298</v>
      </c>
      <c r="D181" t="s">
        <v>629</v>
      </c>
      <c r="E181" t="s">
        <v>630</v>
      </c>
      <c r="F181">
        <v>15</v>
      </c>
      <c r="G181">
        <v>1769186117.03333</v>
      </c>
      <c r="H181">
        <f t="shared" si="26"/>
        <v>6.9619051820156495E-4</v>
      </c>
      <c r="I181">
        <v>0</v>
      </c>
      <c r="J181">
        <f t="shared" si="38"/>
        <v>-6.4883932783235329E-4</v>
      </c>
      <c r="K181">
        <f t="shared" si="27"/>
        <v>-1.6992888956558063E-2</v>
      </c>
      <c r="L181">
        <f t="shared" si="28"/>
        <v>70.215977430283814</v>
      </c>
      <c r="M181">
        <f t="shared" si="29"/>
        <v>1.5501033205777131</v>
      </c>
      <c r="N181">
        <f t="shared" si="30"/>
        <v>2.2076219363559852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26241.009096575232</v>
      </c>
      <c r="T181">
        <f t="shared" si="34"/>
        <v>800.000133333333</v>
      </c>
      <c r="U181">
        <f t="shared" si="35"/>
        <v>674.39969431992995</v>
      </c>
      <c r="V181">
        <f t="shared" si="36"/>
        <v>0.84299947739999992</v>
      </c>
      <c r="W181">
        <f t="shared" si="37"/>
        <v>0.158698654524</v>
      </c>
      <c r="X181">
        <v>1</v>
      </c>
      <c r="Y181">
        <v>1769186117.03333</v>
      </c>
      <c r="Z181">
        <v>409.66906666666699</v>
      </c>
      <c r="AA181">
        <v>410.00433333333302</v>
      </c>
      <c r="AB181">
        <v>15.474726666666699</v>
      </c>
      <c r="AC181">
        <v>14.61796</v>
      </c>
      <c r="AD181">
        <v>410.66239999999999</v>
      </c>
      <c r="AE181">
        <v>15.324999999999999</v>
      </c>
      <c r="AF181">
        <v>800.00446666666699</v>
      </c>
      <c r="AG181">
        <v>100.1048</v>
      </c>
      <c r="AH181">
        <v>6.5196793333333294E-2</v>
      </c>
      <c r="AI181">
        <v>19.0177333333333</v>
      </c>
      <c r="AJ181">
        <v>999.9</v>
      </c>
      <c r="AK181">
        <v>999.9</v>
      </c>
      <c r="AL181">
        <v>0</v>
      </c>
      <c r="AM181">
        <v>0</v>
      </c>
      <c r="AN181">
        <v>4998.8333333333303</v>
      </c>
      <c r="AO181">
        <v>0</v>
      </c>
      <c r="AP181">
        <v>2.1352333333333302</v>
      </c>
      <c r="AQ181">
        <v>-0.33529666666666702</v>
      </c>
      <c r="AR181">
        <v>416.10826666666702</v>
      </c>
      <c r="AS181">
        <v>416.08673333333297</v>
      </c>
      <c r="AT181">
        <v>0.85676133333333304</v>
      </c>
      <c r="AU181">
        <v>410.00433333333302</v>
      </c>
      <c r="AV181">
        <v>14.61796</v>
      </c>
      <c r="AW181">
        <v>1.5490966666666699</v>
      </c>
      <c r="AX181">
        <v>1.4633293333333299</v>
      </c>
      <c r="AY181">
        <v>13.4615333333333</v>
      </c>
      <c r="AZ181">
        <v>12.590286666666699</v>
      </c>
      <c r="BA181">
        <v>800.000133333333</v>
      </c>
      <c r="BB181">
        <v>0.90001799999999998</v>
      </c>
      <c r="BC181">
        <v>0</v>
      </c>
      <c r="BD181">
        <v>9.9982020000000005E-2</v>
      </c>
      <c r="BE181">
        <v>0</v>
      </c>
      <c r="BF181">
        <v>25</v>
      </c>
      <c r="BG181">
        <v>13191.106666666699</v>
      </c>
      <c r="BH181">
        <v>1769185537.0999999</v>
      </c>
      <c r="BI181" t="s">
        <v>570</v>
      </c>
      <c r="BJ181">
        <v>1769185537.0999999</v>
      </c>
      <c r="BK181">
        <v>1769185535.0999999</v>
      </c>
      <c r="BL181">
        <v>5</v>
      </c>
      <c r="BM181">
        <v>1.4999999999999999E-2</v>
      </c>
      <c r="BN181">
        <v>4.2999999999999997E-2</v>
      </c>
      <c r="BO181">
        <v>-0.99299999999999999</v>
      </c>
      <c r="BP181">
        <v>0.15</v>
      </c>
      <c r="BQ181">
        <v>410</v>
      </c>
      <c r="BR181">
        <v>16</v>
      </c>
      <c r="BS181">
        <v>0.2</v>
      </c>
      <c r="BT181">
        <v>0.05</v>
      </c>
      <c r="BU181">
        <v>-0.327484142857143</v>
      </c>
      <c r="BV181">
        <v>-5.63560519480516E-2</v>
      </c>
      <c r="BW181">
        <v>2.10422075075101E-2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0.87438809523809502</v>
      </c>
      <c r="CD181">
        <v>-0.27105631168831001</v>
      </c>
      <c r="CE181">
        <v>2.7381976037262501E-2</v>
      </c>
      <c r="CF181">
        <v>0</v>
      </c>
      <c r="CG181">
        <v>1</v>
      </c>
      <c r="CH181">
        <v>2</v>
      </c>
      <c r="CI181" t="s">
        <v>301</v>
      </c>
      <c r="CJ181">
        <v>3.5325600000000001</v>
      </c>
      <c r="CK181">
        <v>2.7032699999999998</v>
      </c>
      <c r="CL181">
        <v>9.7911300000000007E-2</v>
      </c>
      <c r="CM181">
        <v>9.6583299999999997E-2</v>
      </c>
      <c r="CN181">
        <v>8.7031999999999998E-2</v>
      </c>
      <c r="CO181">
        <v>8.2918699999999998E-2</v>
      </c>
      <c r="CP181">
        <v>31622.1</v>
      </c>
      <c r="CQ181">
        <v>27770.7</v>
      </c>
      <c r="CR181">
        <v>32444.3</v>
      </c>
      <c r="CS181">
        <v>30667.1</v>
      </c>
      <c r="CT181">
        <v>40106.699999999997</v>
      </c>
      <c r="CU181">
        <v>39543.300000000003</v>
      </c>
      <c r="CV181">
        <v>47379.6</v>
      </c>
      <c r="CW181">
        <v>46762.8</v>
      </c>
      <c r="CX181">
        <v>2.62182</v>
      </c>
      <c r="CY181">
        <v>2.1297199999999998</v>
      </c>
      <c r="CZ181">
        <v>0</v>
      </c>
      <c r="DA181">
        <v>0</v>
      </c>
      <c r="DB181">
        <v>999.9</v>
      </c>
      <c r="DC181">
        <v>999.9</v>
      </c>
      <c r="DD181">
        <v>58.29</v>
      </c>
      <c r="DE181">
        <v>26.757000000000001</v>
      </c>
      <c r="DF181">
        <v>20.544899999999998</v>
      </c>
      <c r="DG181">
        <v>30.610199999999999</v>
      </c>
      <c r="DH181">
        <v>17.7925</v>
      </c>
      <c r="DI181">
        <v>2</v>
      </c>
      <c r="DJ181">
        <v>-0.11035200000000001</v>
      </c>
      <c r="DK181">
        <v>2.8153000000000001</v>
      </c>
      <c r="DL181">
        <v>20.184899999999999</v>
      </c>
      <c r="DM181">
        <v>5.25047</v>
      </c>
      <c r="DN181">
        <v>12.033899999999999</v>
      </c>
      <c r="DO181">
        <v>4.9672000000000001</v>
      </c>
      <c r="DP181">
        <v>3.2909999999999999</v>
      </c>
      <c r="DQ181">
        <v>9999</v>
      </c>
      <c r="DR181">
        <v>9999</v>
      </c>
      <c r="DS181">
        <v>534.9</v>
      </c>
      <c r="DT181">
        <v>9999</v>
      </c>
      <c r="DU181">
        <v>1.87104</v>
      </c>
      <c r="DV181">
        <v>1.8760699999999999</v>
      </c>
      <c r="DW181">
        <v>1.8762799999999999</v>
      </c>
      <c r="DX181">
        <v>1.8827799999999999</v>
      </c>
      <c r="DY181">
        <v>1.87557</v>
      </c>
      <c r="DZ181">
        <v>1.8746499999999999</v>
      </c>
      <c r="EA181">
        <v>1.87073</v>
      </c>
      <c r="EB181">
        <v>1.87463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-0.99299999999999999</v>
      </c>
      <c r="EQ181">
        <v>0.1497</v>
      </c>
      <c r="ER181">
        <v>-0.99329999999997698</v>
      </c>
      <c r="ES181">
        <v>0</v>
      </c>
      <c r="ET181">
        <v>0</v>
      </c>
      <c r="EU181">
        <v>0</v>
      </c>
      <c r="EV181">
        <v>0.149730000000002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9.8000000000000007</v>
      </c>
      <c r="FE181">
        <v>9.8000000000000007</v>
      </c>
      <c r="FF181">
        <v>1.2390099999999999</v>
      </c>
      <c r="FG181">
        <v>2.5683600000000002</v>
      </c>
      <c r="FH181">
        <v>2.19604</v>
      </c>
      <c r="FI181">
        <v>2.66235</v>
      </c>
      <c r="FJ181">
        <v>2.4462899999999999</v>
      </c>
      <c r="FK181">
        <v>2.2863799999999999</v>
      </c>
      <c r="FL181">
        <v>31.564299999999999</v>
      </c>
      <c r="FM181">
        <v>24.14</v>
      </c>
      <c r="FN181">
        <v>19</v>
      </c>
      <c r="FO181">
        <v>865.11500000000001</v>
      </c>
      <c r="FP181">
        <v>576.548</v>
      </c>
      <c r="FQ181">
        <v>17.830100000000002</v>
      </c>
      <c r="FR181">
        <v>25.555900000000001</v>
      </c>
      <c r="FS181">
        <v>30</v>
      </c>
      <c r="FT181">
        <v>25.547000000000001</v>
      </c>
      <c r="FU181">
        <v>25.548500000000001</v>
      </c>
      <c r="FV181">
        <v>24.880299999999998</v>
      </c>
      <c r="FW181">
        <v>31.667999999999999</v>
      </c>
      <c r="FX181">
        <v>0</v>
      </c>
      <c r="FY181">
        <v>17.8522</v>
      </c>
      <c r="FZ181">
        <v>410</v>
      </c>
      <c r="GA181">
        <v>14.576499999999999</v>
      </c>
      <c r="GB181">
        <v>99.837800000000001</v>
      </c>
      <c r="GC181">
        <v>99.552700000000002</v>
      </c>
    </row>
    <row r="182" spans="1:185" x14ac:dyDescent="0.2">
      <c r="A182">
        <v>167</v>
      </c>
      <c r="B182">
        <v>1769186140.0999999</v>
      </c>
      <c r="C182">
        <v>3277.0999999046298</v>
      </c>
      <c r="D182" t="s">
        <v>631</v>
      </c>
      <c r="E182" t="s">
        <v>632</v>
      </c>
      <c r="F182">
        <v>15</v>
      </c>
      <c r="G182">
        <v>1769186132.03333</v>
      </c>
      <c r="H182">
        <f t="shared" si="26"/>
        <v>6.0995145596634667E-4</v>
      </c>
      <c r="I182">
        <v>0</v>
      </c>
      <c r="J182">
        <f t="shared" si="38"/>
        <v>-1.0543561874874442E-3</v>
      </c>
      <c r="K182">
        <f t="shared" si="27"/>
        <v>-2.7613242363852708E-2</v>
      </c>
      <c r="L182">
        <f t="shared" si="28"/>
        <v>69.784278340975121</v>
      </c>
      <c r="M182">
        <f t="shared" si="29"/>
        <v>1.5391298625718886</v>
      </c>
      <c r="N182">
        <f t="shared" si="30"/>
        <v>2.20555388572122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26258.883952550088</v>
      </c>
      <c r="T182">
        <f t="shared" si="34"/>
        <v>799.99746666666704</v>
      </c>
      <c r="U182">
        <f t="shared" si="35"/>
        <v>674.39734360164925</v>
      </c>
      <c r="V182">
        <f t="shared" si="36"/>
        <v>0.84299934899999973</v>
      </c>
      <c r="W182">
        <f t="shared" si="37"/>
        <v>0.15869843745999995</v>
      </c>
      <c r="X182">
        <v>1</v>
      </c>
      <c r="Y182">
        <v>1769186132.03333</v>
      </c>
      <c r="Z182">
        <v>409.717733333333</v>
      </c>
      <c r="AA182">
        <v>409.99560000000002</v>
      </c>
      <c r="AB182">
        <v>15.3648333333333</v>
      </c>
      <c r="AC182">
        <v>14.6141133333333</v>
      </c>
      <c r="AD182">
        <v>410.63573333333301</v>
      </c>
      <c r="AE182">
        <v>15.2718333333333</v>
      </c>
      <c r="AF182">
        <v>800.004866666667</v>
      </c>
      <c r="AG182">
        <v>100.106866666667</v>
      </c>
      <c r="AH182">
        <v>6.5379213333333297E-2</v>
      </c>
      <c r="AI182">
        <v>19.0027133333333</v>
      </c>
      <c r="AJ182">
        <v>999.9</v>
      </c>
      <c r="AK182">
        <v>999.9</v>
      </c>
      <c r="AL182">
        <v>0</v>
      </c>
      <c r="AM182">
        <v>0</v>
      </c>
      <c r="AN182">
        <v>5001.4666666666699</v>
      </c>
      <c r="AO182">
        <v>0</v>
      </c>
      <c r="AP182">
        <v>2.14547</v>
      </c>
      <c r="AQ182">
        <v>-0.35315960000000002</v>
      </c>
      <c r="AR182">
        <v>416.05866666666702</v>
      </c>
      <c r="AS182">
        <v>416.07613333333302</v>
      </c>
      <c r="AT182">
        <v>0.80743980000000004</v>
      </c>
      <c r="AU182">
        <v>409.99560000000002</v>
      </c>
      <c r="AV182">
        <v>14.6141133333333</v>
      </c>
      <c r="AW182">
        <v>1.5438053333333299</v>
      </c>
      <c r="AX182">
        <v>1.46297533333333</v>
      </c>
      <c r="AY182">
        <v>13.4090733333333</v>
      </c>
      <c r="AZ182">
        <v>12.586600000000001</v>
      </c>
      <c r="BA182">
        <v>799.99746666666704</v>
      </c>
      <c r="BB182">
        <v>0.90002073333333299</v>
      </c>
      <c r="BC182">
        <v>0</v>
      </c>
      <c r="BD182">
        <v>9.9979233333333306E-2</v>
      </c>
      <c r="BE182">
        <v>0</v>
      </c>
      <c r="BF182">
        <v>25</v>
      </c>
      <c r="BG182">
        <v>13191.053333333301</v>
      </c>
      <c r="BH182">
        <v>1769186165.0999999</v>
      </c>
      <c r="BI182" t="s">
        <v>633</v>
      </c>
      <c r="BJ182">
        <v>1769186165.0999999</v>
      </c>
      <c r="BK182">
        <v>1769186160.0999999</v>
      </c>
      <c r="BL182">
        <v>6</v>
      </c>
      <c r="BM182">
        <v>7.4999999999999997E-2</v>
      </c>
      <c r="BN182">
        <v>-5.7000000000000002E-2</v>
      </c>
      <c r="BO182">
        <v>-0.91800000000000004</v>
      </c>
      <c r="BP182">
        <v>9.2999999999999999E-2</v>
      </c>
      <c r="BQ182">
        <v>410</v>
      </c>
      <c r="BR182">
        <v>15</v>
      </c>
      <c r="BS182">
        <v>0.18</v>
      </c>
      <c r="BT182">
        <v>0.08</v>
      </c>
      <c r="BU182">
        <v>-0.34344480952381001</v>
      </c>
      <c r="BV182">
        <v>-0.13469976623376601</v>
      </c>
      <c r="BW182">
        <v>2.08157373263574E-2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0.81538299999999997</v>
      </c>
      <c r="CD182">
        <v>-0.14432680519480501</v>
      </c>
      <c r="CE182">
        <v>1.49809895025726E-2</v>
      </c>
      <c r="CF182">
        <v>0</v>
      </c>
      <c r="CG182">
        <v>1</v>
      </c>
      <c r="CH182">
        <v>2</v>
      </c>
      <c r="CI182" t="s">
        <v>301</v>
      </c>
      <c r="CJ182">
        <v>3.5325799999999998</v>
      </c>
      <c r="CK182">
        <v>2.7029899999999998</v>
      </c>
      <c r="CL182">
        <v>9.7905699999999998E-2</v>
      </c>
      <c r="CM182">
        <v>9.6582600000000005E-2</v>
      </c>
      <c r="CN182">
        <v>8.6912299999999998E-2</v>
      </c>
      <c r="CO182">
        <v>8.2903000000000004E-2</v>
      </c>
      <c r="CP182">
        <v>31623.1</v>
      </c>
      <c r="CQ182">
        <v>27770.9</v>
      </c>
      <c r="CR182">
        <v>32445.200000000001</v>
      </c>
      <c r="CS182">
        <v>30667.3</v>
      </c>
      <c r="CT182">
        <v>40113.300000000003</v>
      </c>
      <c r="CU182">
        <v>39544.199999999997</v>
      </c>
      <c r="CV182">
        <v>47381</v>
      </c>
      <c r="CW182">
        <v>46763.1</v>
      </c>
      <c r="CX182">
        <v>2.62188</v>
      </c>
      <c r="CY182">
        <v>2.1297999999999999</v>
      </c>
      <c r="CZ182">
        <v>0</v>
      </c>
      <c r="DA182">
        <v>0</v>
      </c>
      <c r="DB182">
        <v>999.9</v>
      </c>
      <c r="DC182">
        <v>999.9</v>
      </c>
      <c r="DD182">
        <v>58.241</v>
      </c>
      <c r="DE182">
        <v>26.766999999999999</v>
      </c>
      <c r="DF182">
        <v>20.540600000000001</v>
      </c>
      <c r="DG182">
        <v>30.400200000000002</v>
      </c>
      <c r="DH182">
        <v>17.8245</v>
      </c>
      <c r="DI182">
        <v>2</v>
      </c>
      <c r="DJ182">
        <v>-0.11171499999999999</v>
      </c>
      <c r="DK182">
        <v>2.47919</v>
      </c>
      <c r="DL182">
        <v>20.191800000000001</v>
      </c>
      <c r="DM182">
        <v>5.2505899999999999</v>
      </c>
      <c r="DN182">
        <v>12.033899999999999</v>
      </c>
      <c r="DO182">
        <v>4.9672400000000003</v>
      </c>
      <c r="DP182">
        <v>3.2909999999999999</v>
      </c>
      <c r="DQ182">
        <v>9999</v>
      </c>
      <c r="DR182">
        <v>9999</v>
      </c>
      <c r="DS182">
        <v>534.9</v>
      </c>
      <c r="DT182">
        <v>9999</v>
      </c>
      <c r="DU182">
        <v>1.87104</v>
      </c>
      <c r="DV182">
        <v>1.8760699999999999</v>
      </c>
      <c r="DW182">
        <v>1.8762799999999999</v>
      </c>
      <c r="DX182">
        <v>1.8827799999999999</v>
      </c>
      <c r="DY182">
        <v>1.8755299999999999</v>
      </c>
      <c r="DZ182">
        <v>1.8746499999999999</v>
      </c>
      <c r="EA182">
        <v>1.87073</v>
      </c>
      <c r="EB182">
        <v>1.8746100000000001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-0.91800000000000004</v>
      </c>
      <c r="EQ182">
        <v>9.2999999999999999E-2</v>
      </c>
      <c r="ER182">
        <v>-0.99329999999997698</v>
      </c>
      <c r="ES182">
        <v>0</v>
      </c>
      <c r="ET182">
        <v>0</v>
      </c>
      <c r="EU182">
        <v>0</v>
      </c>
      <c r="EV182">
        <v>0.149730000000002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10.1</v>
      </c>
      <c r="FE182">
        <v>10.1</v>
      </c>
      <c r="FF182">
        <v>1.2390099999999999</v>
      </c>
      <c r="FG182">
        <v>2.5647000000000002</v>
      </c>
      <c r="FH182">
        <v>2.19604</v>
      </c>
      <c r="FI182">
        <v>2.66235</v>
      </c>
      <c r="FJ182">
        <v>2.4462899999999999</v>
      </c>
      <c r="FK182">
        <v>2.3107899999999999</v>
      </c>
      <c r="FL182">
        <v>31.564299999999999</v>
      </c>
      <c r="FM182">
        <v>24.14</v>
      </c>
      <c r="FN182">
        <v>19</v>
      </c>
      <c r="FO182">
        <v>865.22699999999998</v>
      </c>
      <c r="FP182">
        <v>576.65200000000004</v>
      </c>
      <c r="FQ182">
        <v>17.8264</v>
      </c>
      <c r="FR182">
        <v>25.559000000000001</v>
      </c>
      <c r="FS182">
        <v>29.999700000000001</v>
      </c>
      <c r="FT182">
        <v>25.5505</v>
      </c>
      <c r="FU182">
        <v>25.552399999999999</v>
      </c>
      <c r="FV182">
        <v>24.880600000000001</v>
      </c>
      <c r="FW182">
        <v>31.667999999999999</v>
      </c>
      <c r="FX182">
        <v>0</v>
      </c>
      <c r="FY182">
        <v>17.853100000000001</v>
      </c>
      <c r="FZ182">
        <v>410</v>
      </c>
      <c r="GA182">
        <v>14.5733</v>
      </c>
      <c r="GB182">
        <v>99.840699999999998</v>
      </c>
      <c r="GC182">
        <v>99.553200000000004</v>
      </c>
    </row>
    <row r="183" spans="1:185" x14ac:dyDescent="0.2">
      <c r="A183">
        <v>168</v>
      </c>
      <c r="B183">
        <v>1769186167.0999999</v>
      </c>
      <c r="C183">
        <v>3304.0999999046298</v>
      </c>
      <c r="D183" t="s">
        <v>634</v>
      </c>
      <c r="E183" t="s">
        <v>635</v>
      </c>
      <c r="F183">
        <v>15</v>
      </c>
      <c r="G183">
        <v>1769186166.0999999</v>
      </c>
      <c r="H183">
        <f t="shared" si="26"/>
        <v>-1.2177990571047226E-6</v>
      </c>
      <c r="I183">
        <v>0</v>
      </c>
      <c r="J183">
        <f t="shared" si="38"/>
        <v>2.6343706771000887E-4</v>
      </c>
      <c r="K183">
        <f t="shared" si="27"/>
        <v>6.8993303066149812E-3</v>
      </c>
      <c r="L183">
        <f t="shared" si="28"/>
        <v>66.423913654128285</v>
      </c>
      <c r="M183">
        <f t="shared" si="29"/>
        <v>1.4636249970353599</v>
      </c>
      <c r="N183">
        <f t="shared" si="30"/>
        <v>2.2034609472975473</v>
      </c>
      <c r="O183">
        <v>479</v>
      </c>
      <c r="P183">
        <v>60</v>
      </c>
      <c r="Q183">
        <f t="shared" si="31"/>
        <v>1</v>
      </c>
      <c r="R183">
        <f t="shared" si="32"/>
        <v>0</v>
      </c>
      <c r="S183">
        <f t="shared" si="33"/>
        <v>26357.316439240793</v>
      </c>
      <c r="T183">
        <f t="shared" si="34"/>
        <v>800.00800000000004</v>
      </c>
      <c r="U183">
        <f t="shared" si="35"/>
        <v>674.40605519311202</v>
      </c>
      <c r="V183">
        <f t="shared" si="36"/>
        <v>0.84299913900000001</v>
      </c>
      <c r="W183">
        <f t="shared" si="37"/>
        <v>0.15869843214000001</v>
      </c>
      <c r="X183">
        <v>1</v>
      </c>
      <c r="Y183">
        <v>1769186166.0999999</v>
      </c>
      <c r="Z183">
        <v>409.99400000000003</v>
      </c>
      <c r="AA183">
        <v>410.00200000000001</v>
      </c>
      <c r="AB183">
        <v>14.6096</v>
      </c>
      <c r="AC183">
        <v>14.6111</v>
      </c>
      <c r="AD183">
        <v>410.91199999999998</v>
      </c>
      <c r="AE183">
        <v>14.5166</v>
      </c>
      <c r="AF183">
        <v>800.005</v>
      </c>
      <c r="AG183">
        <v>100.10599999999999</v>
      </c>
      <c r="AH183">
        <v>7.6414099999999999E-2</v>
      </c>
      <c r="AI183">
        <v>18.987500000000001</v>
      </c>
      <c r="AJ183">
        <v>999.9</v>
      </c>
      <c r="AK183">
        <v>999.9</v>
      </c>
      <c r="AL183">
        <v>0</v>
      </c>
      <c r="AM183">
        <v>0</v>
      </c>
      <c r="AN183">
        <v>5017.5</v>
      </c>
      <c r="AO183">
        <v>0</v>
      </c>
      <c r="AP183">
        <v>2.1567599999999998</v>
      </c>
      <c r="AQ183">
        <v>-8.1787100000000005E-3</v>
      </c>
      <c r="AR183">
        <v>416.07299999999998</v>
      </c>
      <c r="AS183">
        <v>416.08199999999999</v>
      </c>
      <c r="AT183">
        <v>-1.46389E-3</v>
      </c>
      <c r="AU183">
        <v>410.00200000000001</v>
      </c>
      <c r="AV183">
        <v>14.6111</v>
      </c>
      <c r="AW183">
        <v>1.46251</v>
      </c>
      <c r="AX183">
        <v>1.4626600000000001</v>
      </c>
      <c r="AY183">
        <v>12.5817</v>
      </c>
      <c r="AZ183">
        <v>12.583299999999999</v>
      </c>
      <c r="BA183">
        <v>800.00800000000004</v>
      </c>
      <c r="BB183">
        <v>0.90002000000000004</v>
      </c>
      <c r="BC183">
        <v>0</v>
      </c>
      <c r="BD183">
        <v>9.9979700000000005E-2</v>
      </c>
      <c r="BE183">
        <v>0</v>
      </c>
      <c r="BF183">
        <v>25</v>
      </c>
      <c r="BG183">
        <v>13191.2</v>
      </c>
      <c r="BH183">
        <v>1769186165.0999999</v>
      </c>
      <c r="BI183" t="s">
        <v>633</v>
      </c>
      <c r="BJ183">
        <v>1769186165.0999999</v>
      </c>
      <c r="BK183">
        <v>1769186160.0999999</v>
      </c>
      <c r="BL183">
        <v>6</v>
      </c>
      <c r="BM183">
        <v>7.4999999999999997E-2</v>
      </c>
      <c r="BN183">
        <v>-5.7000000000000002E-2</v>
      </c>
      <c r="BO183">
        <v>-0.91800000000000004</v>
      </c>
      <c r="BP183">
        <v>9.2999999999999999E-2</v>
      </c>
      <c r="BQ183">
        <v>410</v>
      </c>
      <c r="BR183">
        <v>15</v>
      </c>
      <c r="BS183">
        <v>0.18</v>
      </c>
      <c r="BT183">
        <v>0.08</v>
      </c>
      <c r="BU183">
        <v>-8.8467420500000005E-2</v>
      </c>
      <c r="BV183">
        <v>0.27473560646616502</v>
      </c>
      <c r="BW183">
        <v>2.96279414195601E-2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4.1576941649999997E-2</v>
      </c>
      <c r="CD183">
        <v>-0.25770364046616501</v>
      </c>
      <c r="CE183">
        <v>2.8970305857595399E-2</v>
      </c>
      <c r="CF183">
        <v>0</v>
      </c>
      <c r="CG183">
        <v>1</v>
      </c>
      <c r="CH183">
        <v>2</v>
      </c>
      <c r="CI183" t="s">
        <v>301</v>
      </c>
      <c r="CJ183">
        <v>3.53369</v>
      </c>
      <c r="CK183">
        <v>2.71332</v>
      </c>
      <c r="CL183">
        <v>9.7942199999999993E-2</v>
      </c>
      <c r="CM183">
        <v>9.65805E-2</v>
      </c>
      <c r="CN183">
        <v>8.3789000000000002E-2</v>
      </c>
      <c r="CO183">
        <v>8.2889299999999999E-2</v>
      </c>
      <c r="CP183">
        <v>31620.9</v>
      </c>
      <c r="CQ183">
        <v>27770.799999999999</v>
      </c>
      <c r="CR183">
        <v>32444.3</v>
      </c>
      <c r="CS183">
        <v>30667.1</v>
      </c>
      <c r="CT183">
        <v>40253.699999999997</v>
      </c>
      <c r="CU183">
        <v>39544.5</v>
      </c>
      <c r="CV183">
        <v>47379.7</v>
      </c>
      <c r="CW183">
        <v>46762.7</v>
      </c>
      <c r="CX183">
        <v>1.6845399999999999</v>
      </c>
      <c r="CY183">
        <v>1.6046800000000001</v>
      </c>
      <c r="CZ183">
        <v>0</v>
      </c>
      <c r="DA183">
        <v>0</v>
      </c>
      <c r="DB183">
        <v>999.9</v>
      </c>
      <c r="DC183">
        <v>999.9</v>
      </c>
      <c r="DD183">
        <v>58.192</v>
      </c>
      <c r="DE183">
        <v>26.797999999999998</v>
      </c>
      <c r="DF183">
        <v>20.560500000000001</v>
      </c>
      <c r="DG183">
        <v>30.430199999999999</v>
      </c>
      <c r="DH183">
        <v>18.185099999999998</v>
      </c>
      <c r="DI183">
        <v>2</v>
      </c>
      <c r="DJ183">
        <v>-0.110858</v>
      </c>
      <c r="DK183">
        <v>2.4641199999999999</v>
      </c>
      <c r="DL183">
        <v>20.190899999999999</v>
      </c>
      <c r="DM183">
        <v>5.2469999999999999</v>
      </c>
      <c r="DN183">
        <v>12.033899999999999</v>
      </c>
      <c r="DO183">
        <v>4.9664400000000004</v>
      </c>
      <c r="DP183">
        <v>3.29034</v>
      </c>
      <c r="DQ183">
        <v>9999</v>
      </c>
      <c r="DR183">
        <v>9999</v>
      </c>
      <c r="DS183">
        <v>534.9</v>
      </c>
      <c r="DT183">
        <v>9999</v>
      </c>
      <c r="DU183">
        <v>1.8711</v>
      </c>
      <c r="DV183">
        <v>1.87609</v>
      </c>
      <c r="DW183">
        <v>1.87632</v>
      </c>
      <c r="DX183">
        <v>1.8827799999999999</v>
      </c>
      <c r="DY183">
        <v>1.8755999999999999</v>
      </c>
      <c r="DZ183">
        <v>1.8746799999999999</v>
      </c>
      <c r="EA183">
        <v>1.87076</v>
      </c>
      <c r="EB183">
        <v>1.8746499999999999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-0.91800000000000004</v>
      </c>
      <c r="EQ183">
        <v>9.2999999999999999E-2</v>
      </c>
      <c r="ER183">
        <v>-0.91809090909089297</v>
      </c>
      <c r="ES183">
        <v>0</v>
      </c>
      <c r="ET183">
        <v>0</v>
      </c>
      <c r="EU183">
        <v>0</v>
      </c>
      <c r="EV183">
        <v>9.3060000000003001E-2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0</v>
      </c>
      <c r="FE183">
        <v>0.1</v>
      </c>
      <c r="FF183">
        <v>1.2390099999999999</v>
      </c>
      <c r="FG183">
        <v>2.5720200000000002</v>
      </c>
      <c r="FH183">
        <v>2.19604</v>
      </c>
      <c r="FI183">
        <v>2.66235</v>
      </c>
      <c r="FJ183">
        <v>2.4462899999999999</v>
      </c>
      <c r="FK183">
        <v>2.2985799999999998</v>
      </c>
      <c r="FL183">
        <v>31.586099999999998</v>
      </c>
      <c r="FM183">
        <v>24.14</v>
      </c>
      <c r="FN183">
        <v>19</v>
      </c>
      <c r="FO183">
        <v>297.26900000000001</v>
      </c>
      <c r="FP183">
        <v>278.75799999999998</v>
      </c>
      <c r="FQ183">
        <v>17.883199999999999</v>
      </c>
      <c r="FR183">
        <v>25.5688</v>
      </c>
      <c r="FS183">
        <v>30.000299999999999</v>
      </c>
      <c r="FT183">
        <v>25.577200000000001</v>
      </c>
      <c r="FU183">
        <v>25.575099999999999</v>
      </c>
      <c r="FV183">
        <v>24.881799999999998</v>
      </c>
      <c r="FW183">
        <v>30.4422</v>
      </c>
      <c r="FX183">
        <v>0</v>
      </c>
      <c r="FY183">
        <v>17.8934</v>
      </c>
      <c r="FZ183">
        <v>410</v>
      </c>
      <c r="GA183">
        <v>15.112299999999999</v>
      </c>
      <c r="GB183">
        <v>99.837999999999994</v>
      </c>
      <c r="GC183">
        <v>99.552599999999998</v>
      </c>
    </row>
    <row r="184" spans="1:185" x14ac:dyDescent="0.2">
      <c r="A184">
        <v>169</v>
      </c>
      <c r="B184">
        <v>1769186182.0999999</v>
      </c>
      <c r="C184">
        <v>3319.0999999046298</v>
      </c>
      <c r="D184" t="s">
        <v>636</v>
      </c>
      <c r="E184" t="s">
        <v>637</v>
      </c>
      <c r="F184">
        <v>15</v>
      </c>
      <c r="G184">
        <v>1769186174.03333</v>
      </c>
      <c r="H184">
        <f t="shared" si="26"/>
        <v>4.3449275787217276E-4</v>
      </c>
      <c r="I184">
        <v>0</v>
      </c>
      <c r="J184">
        <f t="shared" si="38"/>
        <v>-1.3361573618653858E-4</v>
      </c>
      <c r="K184">
        <f t="shared" si="27"/>
        <v>-3.4993522594445169E-3</v>
      </c>
      <c r="L184">
        <f t="shared" si="28"/>
        <v>69.15209378760872</v>
      </c>
      <c r="M184">
        <f t="shared" si="29"/>
        <v>1.5238611064203578</v>
      </c>
      <c r="N184">
        <f t="shared" si="30"/>
        <v>2.2036369731633734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26260.761445174154</v>
      </c>
      <c r="T184">
        <f t="shared" si="34"/>
        <v>799.99779999999998</v>
      </c>
      <c r="U184">
        <f t="shared" si="35"/>
        <v>674.39793420058083</v>
      </c>
      <c r="V184">
        <f t="shared" si="36"/>
        <v>0.842999736</v>
      </c>
      <c r="W184">
        <f t="shared" si="37"/>
        <v>0.15869934000000002</v>
      </c>
      <c r="X184">
        <v>1</v>
      </c>
      <c r="Y184">
        <v>1769186174.03333</v>
      </c>
      <c r="Z184">
        <v>409.755</v>
      </c>
      <c r="AA184">
        <v>409.97306666666702</v>
      </c>
      <c r="AB184">
        <v>15.21208</v>
      </c>
      <c r="AC184">
        <v>14.677479999999999</v>
      </c>
      <c r="AD184">
        <v>410.673133333333</v>
      </c>
      <c r="AE184">
        <v>15.119020000000001</v>
      </c>
      <c r="AF184">
        <v>800.38013333333299</v>
      </c>
      <c r="AG184">
        <v>100.106933333333</v>
      </c>
      <c r="AH184">
        <v>6.7474533333333295E-2</v>
      </c>
      <c r="AI184">
        <v>18.988779999999998</v>
      </c>
      <c r="AJ184">
        <v>999.9</v>
      </c>
      <c r="AK184">
        <v>999.9</v>
      </c>
      <c r="AL184">
        <v>0</v>
      </c>
      <c r="AM184">
        <v>0</v>
      </c>
      <c r="AN184">
        <v>5001.5666666666702</v>
      </c>
      <c r="AO184">
        <v>0</v>
      </c>
      <c r="AP184">
        <v>2.1559353333333302</v>
      </c>
      <c r="AQ184">
        <v>-0.218198694</v>
      </c>
      <c r="AR184">
        <v>416.08440000000002</v>
      </c>
      <c r="AS184">
        <v>416.08033333333299</v>
      </c>
      <c r="AT184">
        <v>0.53459627399999998</v>
      </c>
      <c r="AU184">
        <v>409.97306666666702</v>
      </c>
      <c r="AV184">
        <v>14.677479999999999</v>
      </c>
      <c r="AW184">
        <v>1.522834</v>
      </c>
      <c r="AX184">
        <v>1.4693193333333301</v>
      </c>
      <c r="AY184">
        <v>13.1976666666667</v>
      </c>
      <c r="AZ184">
        <v>12.652533333333301</v>
      </c>
      <c r="BA184">
        <v>799.99779999999998</v>
      </c>
      <c r="BB184">
        <v>0.90000880000000005</v>
      </c>
      <c r="BC184">
        <v>0</v>
      </c>
      <c r="BD184">
        <v>9.9991200000000002E-2</v>
      </c>
      <c r="BE184">
        <v>0</v>
      </c>
      <c r="BF184">
        <v>25</v>
      </c>
      <c r="BG184">
        <v>13191.026666666699</v>
      </c>
      <c r="BH184">
        <v>1769186165.0999999</v>
      </c>
      <c r="BI184" t="s">
        <v>633</v>
      </c>
      <c r="BJ184">
        <v>1769186165.0999999</v>
      </c>
      <c r="BK184">
        <v>1769186160.0999999</v>
      </c>
      <c r="BL184">
        <v>6</v>
      </c>
      <c r="BM184">
        <v>7.4999999999999997E-2</v>
      </c>
      <c r="BN184">
        <v>-5.7000000000000002E-2</v>
      </c>
      <c r="BO184">
        <v>-0.91800000000000004</v>
      </c>
      <c r="BP184">
        <v>9.2999999999999999E-2</v>
      </c>
      <c r="BQ184">
        <v>410</v>
      </c>
      <c r="BR184">
        <v>15</v>
      </c>
      <c r="BS184">
        <v>0.18</v>
      </c>
      <c r="BT184">
        <v>0.08</v>
      </c>
      <c r="BU184">
        <v>-0.172829795714286</v>
      </c>
      <c r="BV184">
        <v>-1.0121240532467499</v>
      </c>
      <c r="BW184">
        <v>0.118831238577755</v>
      </c>
      <c r="BX184">
        <v>0</v>
      </c>
      <c r="BY184">
        <v>0</v>
      </c>
      <c r="BZ184">
        <v>0</v>
      </c>
      <c r="CA184">
        <v>0</v>
      </c>
      <c r="CB184">
        <v>-1</v>
      </c>
      <c r="CC184">
        <v>0.38276187776190501</v>
      </c>
      <c r="CD184">
        <v>2.7703482680259701</v>
      </c>
      <c r="CE184">
        <v>0.29966621691182799</v>
      </c>
      <c r="CF184">
        <v>0</v>
      </c>
      <c r="CG184">
        <v>0</v>
      </c>
      <c r="CH184">
        <v>2</v>
      </c>
      <c r="CI184" t="s">
        <v>290</v>
      </c>
      <c r="CJ184">
        <v>3.5324900000000001</v>
      </c>
      <c r="CK184">
        <v>2.7033900000000002</v>
      </c>
      <c r="CL184">
        <v>9.7903299999999999E-2</v>
      </c>
      <c r="CM184">
        <v>9.6586099999999994E-2</v>
      </c>
      <c r="CN184">
        <v>8.6950700000000006E-2</v>
      </c>
      <c r="CO184">
        <v>8.3180799999999999E-2</v>
      </c>
      <c r="CP184">
        <v>31622.3</v>
      </c>
      <c r="CQ184">
        <v>27769.599999999999</v>
      </c>
      <c r="CR184">
        <v>32444.400000000001</v>
      </c>
      <c r="CS184">
        <v>30666</v>
      </c>
      <c r="CT184">
        <v>40110.9</v>
      </c>
      <c r="CU184">
        <v>39530.400000000001</v>
      </c>
      <c r="CV184">
        <v>47380.1</v>
      </c>
      <c r="CW184">
        <v>46761.3</v>
      </c>
      <c r="CX184">
        <v>2.6188600000000002</v>
      </c>
      <c r="CY184">
        <v>2.1280600000000001</v>
      </c>
      <c r="CZ184">
        <v>0</v>
      </c>
      <c r="DA184">
        <v>0</v>
      </c>
      <c r="DB184">
        <v>999.9</v>
      </c>
      <c r="DC184">
        <v>999.9</v>
      </c>
      <c r="DD184">
        <v>58.143000000000001</v>
      </c>
      <c r="DE184">
        <v>26.808</v>
      </c>
      <c r="DF184">
        <v>20.5564</v>
      </c>
      <c r="DG184">
        <v>30.610199999999999</v>
      </c>
      <c r="DH184">
        <v>17.8566</v>
      </c>
      <c r="DI184">
        <v>2</v>
      </c>
      <c r="DJ184">
        <v>-0.11024200000000001</v>
      </c>
      <c r="DK184">
        <v>2.4544299999999999</v>
      </c>
      <c r="DL184">
        <v>20.192299999999999</v>
      </c>
      <c r="DM184">
        <v>5.2493999999999996</v>
      </c>
      <c r="DN184">
        <v>12.033899999999999</v>
      </c>
      <c r="DO184">
        <v>4.9672799999999997</v>
      </c>
      <c r="DP184">
        <v>3.2909999999999999</v>
      </c>
      <c r="DQ184">
        <v>9999</v>
      </c>
      <c r="DR184">
        <v>9999</v>
      </c>
      <c r="DS184">
        <v>534.9</v>
      </c>
      <c r="DT184">
        <v>9999</v>
      </c>
      <c r="DU184">
        <v>1.8710899999999999</v>
      </c>
      <c r="DV184">
        <v>1.87609</v>
      </c>
      <c r="DW184">
        <v>1.87632</v>
      </c>
      <c r="DX184">
        <v>1.8827799999999999</v>
      </c>
      <c r="DY184">
        <v>1.8755900000000001</v>
      </c>
      <c r="DZ184">
        <v>1.8746799999999999</v>
      </c>
      <c r="EA184">
        <v>1.87077</v>
      </c>
      <c r="EB184">
        <v>1.8746499999999999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-0.91900000000000004</v>
      </c>
      <c r="EQ184">
        <v>9.2999999999999999E-2</v>
      </c>
      <c r="ER184">
        <v>-0.91809090909089297</v>
      </c>
      <c r="ES184">
        <v>0</v>
      </c>
      <c r="ET184">
        <v>0</v>
      </c>
      <c r="EU184">
        <v>0</v>
      </c>
      <c r="EV184">
        <v>9.3060000000003001E-2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0.3</v>
      </c>
      <c r="FE184">
        <v>0.4</v>
      </c>
      <c r="FF184">
        <v>1.2402299999999999</v>
      </c>
      <c r="FG184">
        <v>2.5647000000000002</v>
      </c>
      <c r="FH184">
        <v>2.19604</v>
      </c>
      <c r="FI184">
        <v>2.66235</v>
      </c>
      <c r="FJ184">
        <v>2.4462899999999999</v>
      </c>
      <c r="FK184">
        <v>2.3046899999999999</v>
      </c>
      <c r="FL184">
        <v>31.586099999999998</v>
      </c>
      <c r="FM184">
        <v>24.148800000000001</v>
      </c>
      <c r="FN184">
        <v>19</v>
      </c>
      <c r="FO184">
        <v>862.64599999999996</v>
      </c>
      <c r="FP184">
        <v>575.47500000000002</v>
      </c>
      <c r="FQ184">
        <v>17.9114</v>
      </c>
      <c r="FR184">
        <v>25.575199999999999</v>
      </c>
      <c r="FS184">
        <v>30.000399999999999</v>
      </c>
      <c r="FT184">
        <v>25.564599999999999</v>
      </c>
      <c r="FU184">
        <v>25.566500000000001</v>
      </c>
      <c r="FV184">
        <v>24.882899999999999</v>
      </c>
      <c r="FW184">
        <v>31.2819</v>
      </c>
      <c r="FX184">
        <v>0</v>
      </c>
      <c r="FY184">
        <v>17.917000000000002</v>
      </c>
      <c r="FZ184">
        <v>410</v>
      </c>
      <c r="GA184">
        <v>14.636900000000001</v>
      </c>
      <c r="GB184">
        <v>99.838499999999996</v>
      </c>
      <c r="GC184">
        <v>99.549300000000002</v>
      </c>
    </row>
    <row r="185" spans="1:185" x14ac:dyDescent="0.2">
      <c r="A185">
        <v>170</v>
      </c>
      <c r="B185">
        <v>1769186197.0999999</v>
      </c>
      <c r="C185">
        <v>3334.0999999046298</v>
      </c>
      <c r="D185" t="s">
        <v>638</v>
      </c>
      <c r="E185" t="s">
        <v>639</v>
      </c>
      <c r="F185">
        <v>15</v>
      </c>
      <c r="G185">
        <v>1769186189.03333</v>
      </c>
      <c r="H185">
        <f t="shared" si="26"/>
        <v>5.5972564790033317E-4</v>
      </c>
      <c r="I185">
        <v>0</v>
      </c>
      <c r="J185">
        <f t="shared" si="38"/>
        <v>-6.7114134014268224E-5</v>
      </c>
      <c r="K185">
        <f t="shared" si="27"/>
        <v>-1.7576971336341197E-3</v>
      </c>
      <c r="L185">
        <f t="shared" si="28"/>
        <v>69.851418687432727</v>
      </c>
      <c r="M185">
        <f t="shared" si="29"/>
        <v>1.5395374833900259</v>
      </c>
      <c r="N185">
        <f t="shared" si="30"/>
        <v>2.204017487861003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26246.342348853046</v>
      </c>
      <c r="T185">
        <f t="shared" si="34"/>
        <v>800.00033333333295</v>
      </c>
      <c r="U185">
        <f t="shared" si="35"/>
        <v>674.40043140006253</v>
      </c>
      <c r="V185">
        <f t="shared" si="36"/>
        <v>0.84300018800000021</v>
      </c>
      <c r="W185">
        <f t="shared" si="37"/>
        <v>0.15870034008000006</v>
      </c>
      <c r="X185">
        <v>1</v>
      </c>
      <c r="Y185">
        <v>1769186189.03333</v>
      </c>
      <c r="Z185">
        <v>409.718866666667</v>
      </c>
      <c r="AA185">
        <v>410.00333333333299</v>
      </c>
      <c r="AB185">
        <v>15.369006666666699</v>
      </c>
      <c r="AC185">
        <v>14.680099999999999</v>
      </c>
      <c r="AD185">
        <v>410.63706666666701</v>
      </c>
      <c r="AE185">
        <v>15.2759533333333</v>
      </c>
      <c r="AF185">
        <v>799.996933333333</v>
      </c>
      <c r="AG185">
        <v>100.10613333333301</v>
      </c>
      <c r="AH185">
        <v>6.5433820000000004E-2</v>
      </c>
      <c r="AI185">
        <v>18.9915466666667</v>
      </c>
      <c r="AJ185">
        <v>999.9</v>
      </c>
      <c r="AK185">
        <v>999.9</v>
      </c>
      <c r="AL185">
        <v>0</v>
      </c>
      <c r="AM185">
        <v>0</v>
      </c>
      <c r="AN185">
        <v>4999.2666666666701</v>
      </c>
      <c r="AO185">
        <v>0</v>
      </c>
      <c r="AP185">
        <v>2.1555593333333301</v>
      </c>
      <c r="AQ185">
        <v>-0.28437293333333302</v>
      </c>
      <c r="AR185">
        <v>416.11426666666699</v>
      </c>
      <c r="AS185">
        <v>416.11180000000002</v>
      </c>
      <c r="AT185">
        <v>0.68890786666666703</v>
      </c>
      <c r="AU185">
        <v>410.00333333333299</v>
      </c>
      <c r="AV185">
        <v>14.680099999999999</v>
      </c>
      <c r="AW185">
        <v>1.53853333333333</v>
      </c>
      <c r="AX185">
        <v>1.46957133333333</v>
      </c>
      <c r="AY185">
        <v>13.356579999999999</v>
      </c>
      <c r="AZ185">
        <v>12.65518</v>
      </c>
      <c r="BA185">
        <v>800.00033333333295</v>
      </c>
      <c r="BB185">
        <v>0.89999566666666697</v>
      </c>
      <c r="BC185">
        <v>0</v>
      </c>
      <c r="BD185">
        <v>0.10000439999999999</v>
      </c>
      <c r="BE185">
        <v>0</v>
      </c>
      <c r="BF185">
        <v>25</v>
      </c>
      <c r="BG185">
        <v>13191.0133333333</v>
      </c>
      <c r="BH185">
        <v>1769186165.0999999</v>
      </c>
      <c r="BI185" t="s">
        <v>633</v>
      </c>
      <c r="BJ185">
        <v>1769186165.0999999</v>
      </c>
      <c r="BK185">
        <v>1769186160.0999999</v>
      </c>
      <c r="BL185">
        <v>6</v>
      </c>
      <c r="BM185">
        <v>7.4999999999999997E-2</v>
      </c>
      <c r="BN185">
        <v>-5.7000000000000002E-2</v>
      </c>
      <c r="BO185">
        <v>-0.91800000000000004</v>
      </c>
      <c r="BP185">
        <v>9.2999999999999999E-2</v>
      </c>
      <c r="BQ185">
        <v>410</v>
      </c>
      <c r="BR185">
        <v>15</v>
      </c>
      <c r="BS185">
        <v>0.18</v>
      </c>
      <c r="BT185">
        <v>0.08</v>
      </c>
      <c r="BU185">
        <v>-0.28656310000000002</v>
      </c>
      <c r="BV185">
        <v>1.9591578947368599E-2</v>
      </c>
      <c r="BW185">
        <v>3.0276887542975799E-2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0.68704560000000003</v>
      </c>
      <c r="CD185">
        <v>4.8122165413533202E-2</v>
      </c>
      <c r="CE185">
        <v>4.7033813092285104E-3</v>
      </c>
      <c r="CF185">
        <v>1</v>
      </c>
      <c r="CG185">
        <v>2</v>
      </c>
      <c r="CH185">
        <v>2</v>
      </c>
      <c r="CI185" t="s">
        <v>310</v>
      </c>
      <c r="CJ185">
        <v>3.5325099999999998</v>
      </c>
      <c r="CK185">
        <v>2.70309</v>
      </c>
      <c r="CL185">
        <v>9.7900799999999996E-2</v>
      </c>
      <c r="CM185">
        <v>9.6578700000000003E-2</v>
      </c>
      <c r="CN185">
        <v>8.7008600000000005E-2</v>
      </c>
      <c r="CO185">
        <v>8.3177200000000007E-2</v>
      </c>
      <c r="CP185">
        <v>31621.200000000001</v>
      </c>
      <c r="CQ185">
        <v>27770.1</v>
      </c>
      <c r="CR185">
        <v>32443.1</v>
      </c>
      <c r="CS185">
        <v>30666.400000000001</v>
      </c>
      <c r="CT185">
        <v>40106.800000000003</v>
      </c>
      <c r="CU185">
        <v>39531.1</v>
      </c>
      <c r="CV185">
        <v>47378.400000000001</v>
      </c>
      <c r="CW185">
        <v>46762</v>
      </c>
      <c r="CX185">
        <v>2.6206200000000002</v>
      </c>
      <c r="CY185">
        <v>2.1287400000000001</v>
      </c>
      <c r="CZ185">
        <v>0</v>
      </c>
      <c r="DA185">
        <v>0</v>
      </c>
      <c r="DB185">
        <v>999.9</v>
      </c>
      <c r="DC185">
        <v>999.9</v>
      </c>
      <c r="DD185">
        <v>58.119</v>
      </c>
      <c r="DE185">
        <v>26.808</v>
      </c>
      <c r="DF185">
        <v>20.546399999999998</v>
      </c>
      <c r="DG185">
        <v>30.6402</v>
      </c>
      <c r="DH185">
        <v>17.8125</v>
      </c>
      <c r="DI185">
        <v>2</v>
      </c>
      <c r="DJ185">
        <v>-0.109598</v>
      </c>
      <c r="DK185">
        <v>2.44217</v>
      </c>
      <c r="DL185">
        <v>20.192299999999999</v>
      </c>
      <c r="DM185">
        <v>5.2483199999999997</v>
      </c>
      <c r="DN185">
        <v>12.033899999999999</v>
      </c>
      <c r="DO185">
        <v>4.9667599999999998</v>
      </c>
      <c r="DP185">
        <v>3.2907999999999999</v>
      </c>
      <c r="DQ185">
        <v>9999</v>
      </c>
      <c r="DR185">
        <v>9999</v>
      </c>
      <c r="DS185">
        <v>534.9</v>
      </c>
      <c r="DT185">
        <v>9999</v>
      </c>
      <c r="DU185">
        <v>1.87104</v>
      </c>
      <c r="DV185">
        <v>1.87608</v>
      </c>
      <c r="DW185">
        <v>1.8762399999999999</v>
      </c>
      <c r="DX185">
        <v>1.8827799999999999</v>
      </c>
      <c r="DY185">
        <v>1.87557</v>
      </c>
      <c r="DZ185">
        <v>1.8746499999999999</v>
      </c>
      <c r="EA185">
        <v>1.87073</v>
      </c>
      <c r="EB185">
        <v>1.87459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-0.91800000000000004</v>
      </c>
      <c r="EQ185">
        <v>9.2999999999999999E-2</v>
      </c>
      <c r="ER185">
        <v>-0.91809090909089297</v>
      </c>
      <c r="ES185">
        <v>0</v>
      </c>
      <c r="ET185">
        <v>0</v>
      </c>
      <c r="EU185">
        <v>0</v>
      </c>
      <c r="EV185">
        <v>9.3060000000003001E-2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0.5</v>
      </c>
      <c r="FE185">
        <v>0.6</v>
      </c>
      <c r="FF185">
        <v>1.2390099999999999</v>
      </c>
      <c r="FG185">
        <v>2.5695800000000002</v>
      </c>
      <c r="FH185">
        <v>2.19604</v>
      </c>
      <c r="FI185">
        <v>2.66235</v>
      </c>
      <c r="FJ185">
        <v>2.4462899999999999</v>
      </c>
      <c r="FK185">
        <v>2.2631800000000002</v>
      </c>
      <c r="FL185">
        <v>31.586099999999998</v>
      </c>
      <c r="FM185">
        <v>24.1313</v>
      </c>
      <c r="FN185">
        <v>19</v>
      </c>
      <c r="FO185">
        <v>864.34699999999998</v>
      </c>
      <c r="FP185">
        <v>576.03899999999999</v>
      </c>
      <c r="FQ185">
        <v>17.9312</v>
      </c>
      <c r="FR185">
        <v>25.581600000000002</v>
      </c>
      <c r="FS185">
        <v>30.0001</v>
      </c>
      <c r="FT185">
        <v>25.5686</v>
      </c>
      <c r="FU185">
        <v>25.570399999999999</v>
      </c>
      <c r="FV185">
        <v>24.884</v>
      </c>
      <c r="FW185">
        <v>31.2819</v>
      </c>
      <c r="FX185">
        <v>0</v>
      </c>
      <c r="FY185">
        <v>17.934799999999999</v>
      </c>
      <c r="FZ185">
        <v>410</v>
      </c>
      <c r="GA185">
        <v>14.635199999999999</v>
      </c>
      <c r="GB185">
        <v>99.834800000000001</v>
      </c>
      <c r="GC185">
        <v>99.550700000000006</v>
      </c>
    </row>
    <row r="186" spans="1:185" x14ac:dyDescent="0.2">
      <c r="A186">
        <v>171</v>
      </c>
      <c r="B186">
        <v>1769186212.0999999</v>
      </c>
      <c r="C186">
        <v>3349.0999999046298</v>
      </c>
      <c r="D186" t="s">
        <v>640</v>
      </c>
      <c r="E186" t="s">
        <v>641</v>
      </c>
      <c r="F186">
        <v>15</v>
      </c>
      <c r="G186">
        <v>1769186204.03333</v>
      </c>
      <c r="H186">
        <f t="shared" si="26"/>
        <v>5.6789001265711118E-4</v>
      </c>
      <c r="I186">
        <v>0</v>
      </c>
      <c r="J186">
        <f t="shared" si="38"/>
        <v>-1.518090595620978E-4</v>
      </c>
      <c r="K186">
        <f t="shared" si="27"/>
        <v>-3.9758294250695787E-3</v>
      </c>
      <c r="L186">
        <f t="shared" si="28"/>
        <v>69.87055387344995</v>
      </c>
      <c r="M186">
        <f t="shared" si="29"/>
        <v>1.5404321217696244</v>
      </c>
      <c r="N186">
        <f t="shared" si="30"/>
        <v>2.204694304498668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26242.385891293627</v>
      </c>
      <c r="T186">
        <f t="shared" si="34"/>
        <v>799.99993333333305</v>
      </c>
      <c r="U186">
        <f t="shared" si="35"/>
        <v>674.40021659997672</v>
      </c>
      <c r="V186">
        <f t="shared" si="36"/>
        <v>0.84300034099999965</v>
      </c>
      <c r="W186">
        <f t="shared" si="37"/>
        <v>0.15870039777999992</v>
      </c>
      <c r="X186">
        <v>1</v>
      </c>
      <c r="Y186">
        <v>1769186204.03333</v>
      </c>
      <c r="Z186">
        <v>409.71159999999998</v>
      </c>
      <c r="AA186">
        <v>409.99746666666698</v>
      </c>
      <c r="AB186">
        <v>15.378353333333299</v>
      </c>
      <c r="AC186">
        <v>14.679413333333301</v>
      </c>
      <c r="AD186">
        <v>410.62979999999999</v>
      </c>
      <c r="AE186">
        <v>15.2852933333333</v>
      </c>
      <c r="AF186">
        <v>800.00686666666695</v>
      </c>
      <c r="AG186">
        <v>100.103533333333</v>
      </c>
      <c r="AH186">
        <v>6.5326646666666696E-2</v>
      </c>
      <c r="AI186">
        <v>18.996466666666699</v>
      </c>
      <c r="AJ186">
        <v>999.9</v>
      </c>
      <c r="AK186">
        <v>999.9</v>
      </c>
      <c r="AL186">
        <v>0</v>
      </c>
      <c r="AM186">
        <v>0</v>
      </c>
      <c r="AN186">
        <v>4998.8</v>
      </c>
      <c r="AO186">
        <v>0</v>
      </c>
      <c r="AP186">
        <v>2.1892846666666701</v>
      </c>
      <c r="AQ186">
        <v>-0.28566893333333299</v>
      </c>
      <c r="AR186">
        <v>416.11073333333297</v>
      </c>
      <c r="AS186">
        <v>416.10546666666698</v>
      </c>
      <c r="AT186">
        <v>0.69894813333333305</v>
      </c>
      <c r="AU186">
        <v>409.99746666666698</v>
      </c>
      <c r="AV186">
        <v>14.679413333333301</v>
      </c>
      <c r="AW186">
        <v>1.5394266666666701</v>
      </c>
      <c r="AX186">
        <v>1.46946</v>
      </c>
      <c r="AY186">
        <v>13.365486666666699</v>
      </c>
      <c r="AZ186">
        <v>12.65404</v>
      </c>
      <c r="BA186">
        <v>799.99993333333305</v>
      </c>
      <c r="BB186">
        <v>0.8999954</v>
      </c>
      <c r="BC186">
        <v>0</v>
      </c>
      <c r="BD186">
        <v>0.100004833333333</v>
      </c>
      <c r="BE186">
        <v>0</v>
      </c>
      <c r="BF186">
        <v>25</v>
      </c>
      <c r="BG186">
        <v>13191</v>
      </c>
      <c r="BH186">
        <v>1769186165.0999999</v>
      </c>
      <c r="BI186" t="s">
        <v>633</v>
      </c>
      <c r="BJ186">
        <v>1769186165.0999999</v>
      </c>
      <c r="BK186">
        <v>1769186160.0999999</v>
      </c>
      <c r="BL186">
        <v>6</v>
      </c>
      <c r="BM186">
        <v>7.4999999999999997E-2</v>
      </c>
      <c r="BN186">
        <v>-5.7000000000000002E-2</v>
      </c>
      <c r="BO186">
        <v>-0.91800000000000004</v>
      </c>
      <c r="BP186">
        <v>9.2999999999999999E-2</v>
      </c>
      <c r="BQ186">
        <v>410</v>
      </c>
      <c r="BR186">
        <v>15</v>
      </c>
      <c r="BS186">
        <v>0.18</v>
      </c>
      <c r="BT186">
        <v>0.08</v>
      </c>
      <c r="BU186">
        <v>-0.28976000000000002</v>
      </c>
      <c r="BV186">
        <v>4.0327168831169102E-2</v>
      </c>
      <c r="BW186">
        <v>1.6806264002278599E-2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0.69720795238095201</v>
      </c>
      <c r="CD186">
        <v>2.8608155844155998E-2</v>
      </c>
      <c r="CE186">
        <v>3.3232913759044598E-3</v>
      </c>
      <c r="CF186">
        <v>1</v>
      </c>
      <c r="CG186">
        <v>2</v>
      </c>
      <c r="CH186">
        <v>2</v>
      </c>
      <c r="CI186" t="s">
        <v>310</v>
      </c>
      <c r="CJ186">
        <v>3.5325600000000001</v>
      </c>
      <c r="CK186">
        <v>2.7031499999999999</v>
      </c>
      <c r="CL186">
        <v>9.7894400000000006E-2</v>
      </c>
      <c r="CM186">
        <v>9.6574900000000005E-2</v>
      </c>
      <c r="CN186">
        <v>8.7019899999999997E-2</v>
      </c>
      <c r="CO186">
        <v>8.3172099999999999E-2</v>
      </c>
      <c r="CP186">
        <v>31620.9</v>
      </c>
      <c r="CQ186">
        <v>27770.2</v>
      </c>
      <c r="CR186">
        <v>32442.6</v>
      </c>
      <c r="CS186">
        <v>30666.3</v>
      </c>
      <c r="CT186">
        <v>40105.800000000003</v>
      </c>
      <c r="CU186">
        <v>39531.199999999997</v>
      </c>
      <c r="CV186">
        <v>47377.8</v>
      </c>
      <c r="CW186">
        <v>46761.8</v>
      </c>
      <c r="CX186">
        <v>2.621</v>
      </c>
      <c r="CY186">
        <v>2.1287400000000001</v>
      </c>
      <c r="CZ186">
        <v>0</v>
      </c>
      <c r="DA186">
        <v>0</v>
      </c>
      <c r="DB186">
        <v>999.9</v>
      </c>
      <c r="DC186">
        <v>999.9</v>
      </c>
      <c r="DD186">
        <v>58.07</v>
      </c>
      <c r="DE186">
        <v>26.838000000000001</v>
      </c>
      <c r="DF186">
        <v>20.565300000000001</v>
      </c>
      <c r="DG186">
        <v>30.610199999999999</v>
      </c>
      <c r="DH186">
        <v>17.8125</v>
      </c>
      <c r="DI186">
        <v>2</v>
      </c>
      <c r="DJ186">
        <v>-0.16083500000000001</v>
      </c>
      <c r="DK186">
        <v>2.4984199999999999</v>
      </c>
      <c r="DL186">
        <v>20.192399999999999</v>
      </c>
      <c r="DM186">
        <v>5.25</v>
      </c>
      <c r="DN186">
        <v>12.033899999999999</v>
      </c>
      <c r="DO186">
        <v>4.96732</v>
      </c>
      <c r="DP186">
        <v>3.2909999999999999</v>
      </c>
      <c r="DQ186">
        <v>9999</v>
      </c>
      <c r="DR186">
        <v>9999</v>
      </c>
      <c r="DS186">
        <v>534.9</v>
      </c>
      <c r="DT186">
        <v>9999</v>
      </c>
      <c r="DU186">
        <v>1.8710599999999999</v>
      </c>
      <c r="DV186">
        <v>1.87608</v>
      </c>
      <c r="DW186">
        <v>1.8763000000000001</v>
      </c>
      <c r="DX186">
        <v>1.8827799999999999</v>
      </c>
      <c r="DY186">
        <v>1.87561</v>
      </c>
      <c r="DZ186">
        <v>1.8746799999999999</v>
      </c>
      <c r="EA186">
        <v>1.8707400000000001</v>
      </c>
      <c r="EB186">
        <v>1.87463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-0.91800000000000004</v>
      </c>
      <c r="EQ186">
        <v>9.3100000000000002E-2</v>
      </c>
      <c r="ER186">
        <v>-0.91809090909089297</v>
      </c>
      <c r="ES186">
        <v>0</v>
      </c>
      <c r="ET186">
        <v>0</v>
      </c>
      <c r="EU186">
        <v>0</v>
      </c>
      <c r="EV186">
        <v>9.3060000000003001E-2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0.8</v>
      </c>
      <c r="FE186">
        <v>0.9</v>
      </c>
      <c r="FF186">
        <v>1.2402299999999999</v>
      </c>
      <c r="FG186">
        <v>2.5671400000000002</v>
      </c>
      <c r="FH186">
        <v>2.19604</v>
      </c>
      <c r="FI186">
        <v>2.66235</v>
      </c>
      <c r="FJ186">
        <v>2.4462899999999999</v>
      </c>
      <c r="FK186">
        <v>2.3144499999999999</v>
      </c>
      <c r="FL186">
        <v>31.608000000000001</v>
      </c>
      <c r="FM186">
        <v>24.14</v>
      </c>
      <c r="FN186">
        <v>19</v>
      </c>
      <c r="FO186">
        <v>864.76599999999996</v>
      </c>
      <c r="FP186">
        <v>576.07500000000005</v>
      </c>
      <c r="FQ186">
        <v>17.941500000000001</v>
      </c>
      <c r="FR186">
        <v>25.587199999999999</v>
      </c>
      <c r="FS186">
        <v>30.000299999999999</v>
      </c>
      <c r="FT186">
        <v>25.572700000000001</v>
      </c>
      <c r="FU186">
        <v>25.573599999999999</v>
      </c>
      <c r="FV186">
        <v>24.885200000000001</v>
      </c>
      <c r="FW186">
        <v>31.2819</v>
      </c>
      <c r="FX186">
        <v>0</v>
      </c>
      <c r="FY186">
        <v>17.9422</v>
      </c>
      <c r="FZ186">
        <v>410</v>
      </c>
      <c r="GA186">
        <v>14.635199999999999</v>
      </c>
      <c r="GB186">
        <v>99.833500000000001</v>
      </c>
      <c r="GC186">
        <v>99.5505</v>
      </c>
    </row>
    <row r="187" spans="1:185" x14ac:dyDescent="0.2">
      <c r="A187">
        <v>172</v>
      </c>
      <c r="B187">
        <v>1769186227.0999999</v>
      </c>
      <c r="C187">
        <v>3364.0999999046298</v>
      </c>
      <c r="D187" t="s">
        <v>642</v>
      </c>
      <c r="E187" t="s">
        <v>643</v>
      </c>
      <c r="F187">
        <v>15</v>
      </c>
      <c r="G187">
        <v>1769186219.03333</v>
      </c>
      <c r="H187">
        <f t="shared" si="26"/>
        <v>5.6826557642584345E-4</v>
      </c>
      <c r="I187">
        <v>0</v>
      </c>
      <c r="J187">
        <f t="shared" si="38"/>
        <v>6.9776515652536942E-4</v>
      </c>
      <c r="K187">
        <f t="shared" si="27"/>
        <v>1.8274240345761802E-2</v>
      </c>
      <c r="L187">
        <f t="shared" si="28"/>
        <v>69.850298516822349</v>
      </c>
      <c r="M187">
        <f t="shared" si="29"/>
        <v>1.5403437298856595</v>
      </c>
      <c r="N187">
        <f t="shared" si="30"/>
        <v>2.2052070822785272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26258.211169892103</v>
      </c>
      <c r="T187">
        <f t="shared" si="34"/>
        <v>799.999866666667</v>
      </c>
      <c r="U187">
        <f t="shared" si="35"/>
        <v>674.40016567995406</v>
      </c>
      <c r="V187">
        <f t="shared" si="36"/>
        <v>0.8430003476000002</v>
      </c>
      <c r="W187">
        <f t="shared" si="37"/>
        <v>0.15870058317600005</v>
      </c>
      <c r="X187">
        <v>1</v>
      </c>
      <c r="Y187">
        <v>1769186219.03333</v>
      </c>
      <c r="Z187">
        <v>409.70253333333301</v>
      </c>
      <c r="AA187">
        <v>410.01639999999998</v>
      </c>
      <c r="AB187">
        <v>15.377606666666701</v>
      </c>
      <c r="AC187">
        <v>14.6782</v>
      </c>
      <c r="AD187">
        <v>410.62073333333302</v>
      </c>
      <c r="AE187">
        <v>15.284546666666699</v>
      </c>
      <c r="AF187">
        <v>800.00239999999997</v>
      </c>
      <c r="AG187">
        <v>100.10266666666701</v>
      </c>
      <c r="AH187">
        <v>6.5308966666666704E-2</v>
      </c>
      <c r="AI187">
        <v>19.0001933333333</v>
      </c>
      <c r="AJ187">
        <v>999.9</v>
      </c>
      <c r="AK187">
        <v>999.9</v>
      </c>
      <c r="AL187">
        <v>0</v>
      </c>
      <c r="AM187">
        <v>0</v>
      </c>
      <c r="AN187">
        <v>5001.5</v>
      </c>
      <c r="AO187">
        <v>0</v>
      </c>
      <c r="AP187">
        <v>2.2019299999999999</v>
      </c>
      <c r="AQ187">
        <v>-0.3137798</v>
      </c>
      <c r="AR187">
        <v>416.10126666666702</v>
      </c>
      <c r="AS187">
        <v>416.12419999999997</v>
      </c>
      <c r="AT187">
        <v>0.69940486666666701</v>
      </c>
      <c r="AU187">
        <v>410.01639999999998</v>
      </c>
      <c r="AV187">
        <v>14.6782</v>
      </c>
      <c r="AW187">
        <v>1.5393413333333299</v>
      </c>
      <c r="AX187">
        <v>1.4693286666666701</v>
      </c>
      <c r="AY187">
        <v>13.36464</v>
      </c>
      <c r="AZ187">
        <v>12.6526866666667</v>
      </c>
      <c r="BA187">
        <v>799.999866666667</v>
      </c>
      <c r="BB187">
        <v>0.899992666666667</v>
      </c>
      <c r="BC187">
        <v>0</v>
      </c>
      <c r="BD187">
        <v>0.10000748</v>
      </c>
      <c r="BE187">
        <v>0</v>
      </c>
      <c r="BF187">
        <v>25</v>
      </c>
      <c r="BG187">
        <v>13191.006666666701</v>
      </c>
      <c r="BH187">
        <v>1769186165.0999999</v>
      </c>
      <c r="BI187" t="s">
        <v>633</v>
      </c>
      <c r="BJ187">
        <v>1769186165.0999999</v>
      </c>
      <c r="BK187">
        <v>1769186160.0999999</v>
      </c>
      <c r="BL187">
        <v>6</v>
      </c>
      <c r="BM187">
        <v>7.4999999999999997E-2</v>
      </c>
      <c r="BN187">
        <v>-5.7000000000000002E-2</v>
      </c>
      <c r="BO187">
        <v>-0.91800000000000004</v>
      </c>
      <c r="BP187">
        <v>9.2999999999999999E-2</v>
      </c>
      <c r="BQ187">
        <v>410</v>
      </c>
      <c r="BR187">
        <v>15</v>
      </c>
      <c r="BS187">
        <v>0.18</v>
      </c>
      <c r="BT187">
        <v>0.08</v>
      </c>
      <c r="BU187">
        <v>-0.30544900000000003</v>
      </c>
      <c r="BV187">
        <v>-0.17915864661654099</v>
      </c>
      <c r="BW187">
        <v>2.2339640435781401E-2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0.69959174999999996</v>
      </c>
      <c r="CD187">
        <v>-1.56554436090219E-2</v>
      </c>
      <c r="CE187">
        <v>2.2532200264288602E-3</v>
      </c>
      <c r="CF187">
        <v>1</v>
      </c>
      <c r="CG187">
        <v>2</v>
      </c>
      <c r="CH187">
        <v>2</v>
      </c>
      <c r="CI187" t="s">
        <v>310</v>
      </c>
      <c r="CJ187">
        <v>3.5325299999999999</v>
      </c>
      <c r="CK187">
        <v>2.7030400000000001</v>
      </c>
      <c r="CL187">
        <v>9.7899899999999998E-2</v>
      </c>
      <c r="CM187">
        <v>9.6580600000000003E-2</v>
      </c>
      <c r="CN187">
        <v>8.6979399999999998E-2</v>
      </c>
      <c r="CO187">
        <v>8.3163100000000004E-2</v>
      </c>
      <c r="CP187">
        <v>31621.200000000001</v>
      </c>
      <c r="CQ187">
        <v>27770.1</v>
      </c>
      <c r="CR187">
        <v>32443.1</v>
      </c>
      <c r="CS187">
        <v>30666.400000000001</v>
      </c>
      <c r="CT187">
        <v>40108.400000000001</v>
      </c>
      <c r="CU187">
        <v>39531.9</v>
      </c>
      <c r="CV187">
        <v>47378.7</v>
      </c>
      <c r="CW187">
        <v>46762.2</v>
      </c>
      <c r="CX187">
        <v>2.6212200000000001</v>
      </c>
      <c r="CY187">
        <v>2.12852</v>
      </c>
      <c r="CZ187">
        <v>0</v>
      </c>
      <c r="DA187">
        <v>0</v>
      </c>
      <c r="DB187">
        <v>999.9</v>
      </c>
      <c r="DC187">
        <v>999.9</v>
      </c>
      <c r="DD187">
        <v>58.045000000000002</v>
      </c>
      <c r="DE187">
        <v>26.838000000000001</v>
      </c>
      <c r="DF187">
        <v>20.559200000000001</v>
      </c>
      <c r="DG187">
        <v>30.430199999999999</v>
      </c>
      <c r="DH187">
        <v>17.8566</v>
      </c>
      <c r="DI187">
        <v>2</v>
      </c>
      <c r="DJ187">
        <v>-0.108596</v>
      </c>
      <c r="DK187">
        <v>2.5187900000000001</v>
      </c>
      <c r="DL187">
        <v>20.191500000000001</v>
      </c>
      <c r="DM187">
        <v>5.2509499999999996</v>
      </c>
      <c r="DN187">
        <v>12.033899999999999</v>
      </c>
      <c r="DO187">
        <v>4.9673999999999996</v>
      </c>
      <c r="DP187">
        <v>3.2909999999999999</v>
      </c>
      <c r="DQ187">
        <v>9999</v>
      </c>
      <c r="DR187">
        <v>9999</v>
      </c>
      <c r="DS187">
        <v>534.9</v>
      </c>
      <c r="DT187">
        <v>9999</v>
      </c>
      <c r="DU187">
        <v>1.87103</v>
      </c>
      <c r="DV187">
        <v>1.8760699999999999</v>
      </c>
      <c r="DW187">
        <v>1.87622</v>
      </c>
      <c r="DX187">
        <v>1.8827700000000001</v>
      </c>
      <c r="DY187">
        <v>1.8755200000000001</v>
      </c>
      <c r="DZ187">
        <v>1.87462</v>
      </c>
      <c r="EA187">
        <v>1.87073</v>
      </c>
      <c r="EB187">
        <v>1.87456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-0.91800000000000004</v>
      </c>
      <c r="EQ187">
        <v>9.3100000000000002E-2</v>
      </c>
      <c r="ER187">
        <v>-0.91809090909089297</v>
      </c>
      <c r="ES187">
        <v>0</v>
      </c>
      <c r="ET187">
        <v>0</v>
      </c>
      <c r="EU187">
        <v>0</v>
      </c>
      <c r="EV187">
        <v>9.3060000000003001E-2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1</v>
      </c>
      <c r="FE187">
        <v>1.1000000000000001</v>
      </c>
      <c r="FF187">
        <v>1.2390099999999999</v>
      </c>
      <c r="FG187">
        <v>2.5634800000000002</v>
      </c>
      <c r="FH187">
        <v>2.19604</v>
      </c>
      <c r="FI187">
        <v>2.66235</v>
      </c>
      <c r="FJ187">
        <v>2.4462899999999999</v>
      </c>
      <c r="FK187">
        <v>2.2973599999999998</v>
      </c>
      <c r="FL187">
        <v>31.608000000000001</v>
      </c>
      <c r="FM187">
        <v>24.14</v>
      </c>
      <c r="FN187">
        <v>19</v>
      </c>
      <c r="FO187">
        <v>865.00800000000004</v>
      </c>
      <c r="FP187">
        <v>575.93700000000001</v>
      </c>
      <c r="FQ187">
        <v>17.904</v>
      </c>
      <c r="FR187">
        <v>25.5915</v>
      </c>
      <c r="FS187">
        <v>30.0002</v>
      </c>
      <c r="FT187">
        <v>25.575099999999999</v>
      </c>
      <c r="FU187">
        <v>25.5763</v>
      </c>
      <c r="FV187">
        <v>24.881900000000002</v>
      </c>
      <c r="FW187">
        <v>31.2819</v>
      </c>
      <c r="FX187">
        <v>0</v>
      </c>
      <c r="FY187">
        <v>17.906400000000001</v>
      </c>
      <c r="FZ187">
        <v>410</v>
      </c>
      <c r="GA187">
        <v>14.635199999999999</v>
      </c>
      <c r="GB187">
        <v>99.8352</v>
      </c>
      <c r="GC187">
        <v>99.551000000000002</v>
      </c>
    </row>
    <row r="188" spans="1:185" x14ac:dyDescent="0.2">
      <c r="A188">
        <v>173</v>
      </c>
      <c r="B188">
        <v>1769186242.0999999</v>
      </c>
      <c r="C188">
        <v>3379.0999999046298</v>
      </c>
      <c r="D188" t="s">
        <v>644</v>
      </c>
      <c r="E188" t="s">
        <v>645</v>
      </c>
      <c r="F188">
        <v>15</v>
      </c>
      <c r="G188">
        <v>1769186234.03333</v>
      </c>
      <c r="H188">
        <f t="shared" si="26"/>
        <v>5.6399732031348342E-4</v>
      </c>
      <c r="I188">
        <v>0</v>
      </c>
      <c r="J188">
        <f t="shared" si="38"/>
        <v>-9.4257588134398756E-4</v>
      </c>
      <c r="K188">
        <f t="shared" si="27"/>
        <v>-2.4685752847809366E-2</v>
      </c>
      <c r="L188">
        <f t="shared" si="28"/>
        <v>69.818634345782655</v>
      </c>
      <c r="M188">
        <f t="shared" si="29"/>
        <v>1.539746674493321</v>
      </c>
      <c r="N188">
        <f t="shared" si="30"/>
        <v>2.2053520366319344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26262.599083011388</v>
      </c>
      <c r="T188">
        <f t="shared" si="34"/>
        <v>799.99839999999995</v>
      </c>
      <c r="U188">
        <f t="shared" si="35"/>
        <v>674.39921279887665</v>
      </c>
      <c r="V188">
        <f t="shared" si="36"/>
        <v>0.84300070199999988</v>
      </c>
      <c r="W188">
        <f t="shared" si="37"/>
        <v>0.15870136523999998</v>
      </c>
      <c r="X188">
        <v>1</v>
      </c>
      <c r="Y188">
        <v>1769186234.03333</v>
      </c>
      <c r="Z188">
        <v>409.73160000000001</v>
      </c>
      <c r="AA188">
        <v>409.9896</v>
      </c>
      <c r="AB188">
        <v>15.372213333333301</v>
      </c>
      <c r="AC188">
        <v>14.67806</v>
      </c>
      <c r="AD188">
        <v>410.64966666666697</v>
      </c>
      <c r="AE188">
        <v>15.279173333333301</v>
      </c>
      <c r="AF188">
        <v>800.00686666666695</v>
      </c>
      <c r="AG188">
        <v>100.09893333333299</v>
      </c>
      <c r="AH188">
        <v>6.5346273333333302E-2</v>
      </c>
      <c r="AI188">
        <v>19.001246666666699</v>
      </c>
      <c r="AJ188">
        <v>999.9</v>
      </c>
      <c r="AK188">
        <v>999.9</v>
      </c>
      <c r="AL188">
        <v>0</v>
      </c>
      <c r="AM188">
        <v>0</v>
      </c>
      <c r="AN188">
        <v>5002.3999999999996</v>
      </c>
      <c r="AO188">
        <v>0</v>
      </c>
      <c r="AP188">
        <v>2.1954566666666699</v>
      </c>
      <c r="AQ188">
        <v>-0.25792233333333298</v>
      </c>
      <c r="AR188">
        <v>416.12846666666701</v>
      </c>
      <c r="AS188">
        <v>416.09719999999999</v>
      </c>
      <c r="AT188">
        <v>0.69416226666666703</v>
      </c>
      <c r="AU188">
        <v>409.9896</v>
      </c>
      <c r="AV188">
        <v>14.67806</v>
      </c>
      <c r="AW188">
        <v>1.53874333333333</v>
      </c>
      <c r="AX188">
        <v>1.46925866666667</v>
      </c>
      <c r="AY188">
        <v>13.35868</v>
      </c>
      <c r="AZ188">
        <v>12.651953333333299</v>
      </c>
      <c r="BA188">
        <v>799.99839999999995</v>
      </c>
      <c r="BB188">
        <v>0.89998239999999996</v>
      </c>
      <c r="BC188">
        <v>0</v>
      </c>
      <c r="BD188">
        <v>0.1000178</v>
      </c>
      <c r="BE188">
        <v>0</v>
      </c>
      <c r="BF188">
        <v>25</v>
      </c>
      <c r="BG188">
        <v>13190.94</v>
      </c>
      <c r="BH188">
        <v>1769186165.0999999</v>
      </c>
      <c r="BI188" t="s">
        <v>633</v>
      </c>
      <c r="BJ188">
        <v>1769186165.0999999</v>
      </c>
      <c r="BK188">
        <v>1769186160.0999999</v>
      </c>
      <c r="BL188">
        <v>6</v>
      </c>
      <c r="BM188">
        <v>7.4999999999999997E-2</v>
      </c>
      <c r="BN188">
        <v>-5.7000000000000002E-2</v>
      </c>
      <c r="BO188">
        <v>-0.91800000000000004</v>
      </c>
      <c r="BP188">
        <v>9.2999999999999999E-2</v>
      </c>
      <c r="BQ188">
        <v>410</v>
      </c>
      <c r="BR188">
        <v>15</v>
      </c>
      <c r="BS188">
        <v>0.18</v>
      </c>
      <c r="BT188">
        <v>0.08</v>
      </c>
      <c r="BU188">
        <v>-0.27719119047619101</v>
      </c>
      <c r="BV188">
        <v>0.24027070129870101</v>
      </c>
      <c r="BW188">
        <v>3.9379904940293801E-2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0.69482638095238103</v>
      </c>
      <c r="CD188">
        <v>-4.5512727272720103E-3</v>
      </c>
      <c r="CE188">
        <v>1.67075772590905E-3</v>
      </c>
      <c r="CF188">
        <v>1</v>
      </c>
      <c r="CG188">
        <v>2</v>
      </c>
      <c r="CH188">
        <v>2</v>
      </c>
      <c r="CI188" t="s">
        <v>310</v>
      </c>
      <c r="CJ188">
        <v>3.5325500000000001</v>
      </c>
      <c r="CK188">
        <v>2.7033399999999999</v>
      </c>
      <c r="CL188">
        <v>9.7893900000000006E-2</v>
      </c>
      <c r="CM188">
        <v>9.6572900000000003E-2</v>
      </c>
      <c r="CN188">
        <v>8.6996900000000002E-2</v>
      </c>
      <c r="CO188">
        <v>8.31673E-2</v>
      </c>
      <c r="CP188">
        <v>31621.4</v>
      </c>
      <c r="CQ188">
        <v>27771</v>
      </c>
      <c r="CR188">
        <v>32443.1</v>
      </c>
      <c r="CS188">
        <v>30667.200000000001</v>
      </c>
      <c r="CT188">
        <v>40107.4</v>
      </c>
      <c r="CU188">
        <v>39532.699999999997</v>
      </c>
      <c r="CV188">
        <v>47378.400000000001</v>
      </c>
      <c r="CW188">
        <v>46763.4</v>
      </c>
      <c r="CX188">
        <v>2.6211600000000002</v>
      </c>
      <c r="CY188">
        <v>2.1284999999999998</v>
      </c>
      <c r="CZ188">
        <v>0</v>
      </c>
      <c r="DA188">
        <v>0</v>
      </c>
      <c r="DB188">
        <v>999.9</v>
      </c>
      <c r="DC188">
        <v>999.9</v>
      </c>
      <c r="DD188">
        <v>57.997</v>
      </c>
      <c r="DE188">
        <v>26.838000000000001</v>
      </c>
      <c r="DF188">
        <v>20.540099999999999</v>
      </c>
      <c r="DG188">
        <v>30.520199999999999</v>
      </c>
      <c r="DH188">
        <v>17.720400000000001</v>
      </c>
      <c r="DI188">
        <v>2</v>
      </c>
      <c r="DJ188">
        <v>-0.108514</v>
      </c>
      <c r="DK188">
        <v>2.5150800000000002</v>
      </c>
      <c r="DL188">
        <v>20.191500000000001</v>
      </c>
      <c r="DM188">
        <v>5.2510700000000003</v>
      </c>
      <c r="DN188">
        <v>12.033899999999999</v>
      </c>
      <c r="DO188">
        <v>4.9675200000000004</v>
      </c>
      <c r="DP188">
        <v>3.2909999999999999</v>
      </c>
      <c r="DQ188">
        <v>9999</v>
      </c>
      <c r="DR188">
        <v>9999</v>
      </c>
      <c r="DS188">
        <v>534.9</v>
      </c>
      <c r="DT188">
        <v>9999</v>
      </c>
      <c r="DU188">
        <v>1.87103</v>
      </c>
      <c r="DV188">
        <v>1.87608</v>
      </c>
      <c r="DW188">
        <v>1.8763099999999999</v>
      </c>
      <c r="DX188">
        <v>1.8827799999999999</v>
      </c>
      <c r="DY188">
        <v>1.87557</v>
      </c>
      <c r="DZ188">
        <v>1.8746700000000001</v>
      </c>
      <c r="EA188">
        <v>1.8707400000000001</v>
      </c>
      <c r="EB188">
        <v>1.8746400000000001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-0.91800000000000004</v>
      </c>
      <c r="EQ188">
        <v>9.3100000000000002E-2</v>
      </c>
      <c r="ER188">
        <v>-0.91809090909089297</v>
      </c>
      <c r="ES188">
        <v>0</v>
      </c>
      <c r="ET188">
        <v>0</v>
      </c>
      <c r="EU188">
        <v>0</v>
      </c>
      <c r="EV188">
        <v>9.3060000000003001E-2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1.3</v>
      </c>
      <c r="FE188">
        <v>1.4</v>
      </c>
      <c r="FF188">
        <v>1.2390099999999999</v>
      </c>
      <c r="FG188">
        <v>2.5756800000000002</v>
      </c>
      <c r="FH188">
        <v>2.19604</v>
      </c>
      <c r="FI188">
        <v>2.66235</v>
      </c>
      <c r="FJ188">
        <v>2.4462899999999999</v>
      </c>
      <c r="FK188">
        <v>2.2936999999999999</v>
      </c>
      <c r="FL188">
        <v>31.608000000000001</v>
      </c>
      <c r="FM188">
        <v>24.14</v>
      </c>
      <c r="FN188">
        <v>19</v>
      </c>
      <c r="FO188">
        <v>865.01099999999997</v>
      </c>
      <c r="FP188">
        <v>575.96299999999997</v>
      </c>
      <c r="FQ188">
        <v>17.904199999999999</v>
      </c>
      <c r="FR188">
        <v>25.595800000000001</v>
      </c>
      <c r="FS188">
        <v>30.0002</v>
      </c>
      <c r="FT188">
        <v>25.578800000000001</v>
      </c>
      <c r="FU188">
        <v>25.58</v>
      </c>
      <c r="FV188">
        <v>24.884499999999999</v>
      </c>
      <c r="FW188">
        <v>31.2819</v>
      </c>
      <c r="FX188">
        <v>0</v>
      </c>
      <c r="FY188">
        <v>17.902699999999999</v>
      </c>
      <c r="FZ188">
        <v>410</v>
      </c>
      <c r="GA188">
        <v>14.635199999999999</v>
      </c>
      <c r="GB188">
        <v>99.834800000000001</v>
      </c>
      <c r="GC188">
        <v>99.553600000000003</v>
      </c>
    </row>
    <row r="189" spans="1:185" x14ac:dyDescent="0.2">
      <c r="A189">
        <v>174</v>
      </c>
      <c r="B189">
        <v>1769186257.0999999</v>
      </c>
      <c r="C189">
        <v>3394.0999999046298</v>
      </c>
      <c r="D189" t="s">
        <v>646</v>
      </c>
      <c r="E189" t="s">
        <v>647</v>
      </c>
      <c r="F189">
        <v>15</v>
      </c>
      <c r="G189">
        <v>1769186249.03333</v>
      </c>
      <c r="H189">
        <f t="shared" si="26"/>
        <v>5.6880666968581455E-4</v>
      </c>
      <c r="I189">
        <v>0</v>
      </c>
      <c r="J189">
        <f t="shared" si="38"/>
        <v>1.1924528345816178E-4</v>
      </c>
      <c r="K189">
        <f t="shared" si="27"/>
        <v>3.1229948208709585E-3</v>
      </c>
      <c r="L189">
        <f t="shared" si="28"/>
        <v>69.838290929594734</v>
      </c>
      <c r="M189">
        <f t="shared" si="29"/>
        <v>1.540345489474874</v>
      </c>
      <c r="N189">
        <f t="shared" si="30"/>
        <v>2.2055887522043238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26226.252936035064</v>
      </c>
      <c r="T189">
        <f t="shared" si="34"/>
        <v>799.99953333333303</v>
      </c>
      <c r="U189">
        <f t="shared" si="35"/>
        <v>674.40020499965044</v>
      </c>
      <c r="V189">
        <f t="shared" si="36"/>
        <v>0.84300074799999969</v>
      </c>
      <c r="W189">
        <f t="shared" si="37"/>
        <v>0.15870161015999995</v>
      </c>
      <c r="X189">
        <v>1</v>
      </c>
      <c r="Y189">
        <v>1769186249.03333</v>
      </c>
      <c r="Z189">
        <v>409.695333333333</v>
      </c>
      <c r="AA189">
        <v>409.99053333333302</v>
      </c>
      <c r="AB189">
        <v>15.3777666666667</v>
      </c>
      <c r="AC189">
        <v>14.6776933333333</v>
      </c>
      <c r="AD189">
        <v>410.61353333333301</v>
      </c>
      <c r="AE189">
        <v>15.284713333333301</v>
      </c>
      <c r="AF189">
        <v>800.00146666666706</v>
      </c>
      <c r="AG189">
        <v>100.101333333333</v>
      </c>
      <c r="AH189">
        <v>6.5714513333333294E-2</v>
      </c>
      <c r="AI189">
        <v>19.002966666666701</v>
      </c>
      <c r="AJ189">
        <v>999.9</v>
      </c>
      <c r="AK189">
        <v>999.9</v>
      </c>
      <c r="AL189">
        <v>0</v>
      </c>
      <c r="AM189">
        <v>0</v>
      </c>
      <c r="AN189">
        <v>4996.3333333333303</v>
      </c>
      <c r="AO189">
        <v>0</v>
      </c>
      <c r="AP189">
        <v>2.14712666666667</v>
      </c>
      <c r="AQ189">
        <v>-0.295115133333333</v>
      </c>
      <c r="AR189">
        <v>416.09379999999999</v>
      </c>
      <c r="AS189">
        <v>416.09786666666702</v>
      </c>
      <c r="AT189">
        <v>0.70006586666666704</v>
      </c>
      <c r="AU189">
        <v>409.99053333333302</v>
      </c>
      <c r="AV189">
        <v>14.6776933333333</v>
      </c>
      <c r="AW189">
        <v>1.5393346666666701</v>
      </c>
      <c r="AX189">
        <v>1.4692573333333301</v>
      </c>
      <c r="AY189">
        <v>13.3645666666667</v>
      </c>
      <c r="AZ189">
        <v>12.65194</v>
      </c>
      <c r="BA189">
        <v>799.99953333333303</v>
      </c>
      <c r="BB189">
        <v>0.89997893333333301</v>
      </c>
      <c r="BC189">
        <v>0</v>
      </c>
      <c r="BD189">
        <v>0.1000212</v>
      </c>
      <c r="BE189">
        <v>0</v>
      </c>
      <c r="BF189">
        <v>25</v>
      </c>
      <c r="BG189">
        <v>13190.926666666701</v>
      </c>
      <c r="BH189">
        <v>1769186165.0999999</v>
      </c>
      <c r="BI189" t="s">
        <v>633</v>
      </c>
      <c r="BJ189">
        <v>1769186165.0999999</v>
      </c>
      <c r="BK189">
        <v>1769186160.0999999</v>
      </c>
      <c r="BL189">
        <v>6</v>
      </c>
      <c r="BM189">
        <v>7.4999999999999997E-2</v>
      </c>
      <c r="BN189">
        <v>-5.7000000000000002E-2</v>
      </c>
      <c r="BO189">
        <v>-0.91800000000000004</v>
      </c>
      <c r="BP189">
        <v>9.2999999999999999E-2</v>
      </c>
      <c r="BQ189">
        <v>410</v>
      </c>
      <c r="BR189">
        <v>15</v>
      </c>
      <c r="BS189">
        <v>0.18</v>
      </c>
      <c r="BT189">
        <v>0.08</v>
      </c>
      <c r="BU189">
        <v>-0.28504944999999998</v>
      </c>
      <c r="BV189">
        <v>-0.213811353383459</v>
      </c>
      <c r="BW189">
        <v>2.63293179962471E-2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0.69900045</v>
      </c>
      <c r="CD189">
        <v>1.4588977443610001E-2</v>
      </c>
      <c r="CE189">
        <v>2.44970166499923E-3</v>
      </c>
      <c r="CF189">
        <v>1</v>
      </c>
      <c r="CG189">
        <v>2</v>
      </c>
      <c r="CH189">
        <v>2</v>
      </c>
      <c r="CI189" t="s">
        <v>310</v>
      </c>
      <c r="CJ189">
        <v>3.5325199999999999</v>
      </c>
      <c r="CK189">
        <v>2.7037599999999999</v>
      </c>
      <c r="CL189">
        <v>9.7889000000000004E-2</v>
      </c>
      <c r="CM189">
        <v>9.6577099999999999E-2</v>
      </c>
      <c r="CN189">
        <v>8.6987800000000004E-2</v>
      </c>
      <c r="CO189">
        <v>8.3161700000000005E-2</v>
      </c>
      <c r="CP189">
        <v>31621.5</v>
      </c>
      <c r="CQ189">
        <v>27770.3</v>
      </c>
      <c r="CR189">
        <v>32443.1</v>
      </c>
      <c r="CS189">
        <v>30666.5</v>
      </c>
      <c r="CT189">
        <v>40108</v>
      </c>
      <c r="CU189">
        <v>39532.1</v>
      </c>
      <c r="CV189">
        <v>47378.6</v>
      </c>
      <c r="CW189">
        <v>46762.3</v>
      </c>
      <c r="CX189">
        <v>2.6211600000000002</v>
      </c>
      <c r="CY189">
        <v>2.1283400000000001</v>
      </c>
      <c r="CZ189">
        <v>0</v>
      </c>
      <c r="DA189">
        <v>0</v>
      </c>
      <c r="DB189">
        <v>999.9</v>
      </c>
      <c r="DC189">
        <v>999.9</v>
      </c>
      <c r="DD189">
        <v>57.96</v>
      </c>
      <c r="DE189">
        <v>26.867999999999999</v>
      </c>
      <c r="DF189">
        <v>20.564699999999998</v>
      </c>
      <c r="DG189">
        <v>30.4602</v>
      </c>
      <c r="DH189">
        <v>17.8566</v>
      </c>
      <c r="DI189">
        <v>2</v>
      </c>
      <c r="DJ189">
        <v>-0.10830099999999999</v>
      </c>
      <c r="DK189">
        <v>2.54236</v>
      </c>
      <c r="DL189">
        <v>20.191099999999999</v>
      </c>
      <c r="DM189">
        <v>5.2501199999999999</v>
      </c>
      <c r="DN189">
        <v>12.033899999999999</v>
      </c>
      <c r="DO189">
        <v>4.9673600000000002</v>
      </c>
      <c r="DP189">
        <v>3.2909999999999999</v>
      </c>
      <c r="DQ189">
        <v>9999</v>
      </c>
      <c r="DR189">
        <v>9999</v>
      </c>
      <c r="DS189">
        <v>534.9</v>
      </c>
      <c r="DT189">
        <v>9999</v>
      </c>
      <c r="DU189">
        <v>1.87104</v>
      </c>
      <c r="DV189">
        <v>1.87608</v>
      </c>
      <c r="DW189">
        <v>1.87629</v>
      </c>
      <c r="DX189">
        <v>1.8827799999999999</v>
      </c>
      <c r="DY189">
        <v>1.87561</v>
      </c>
      <c r="DZ189">
        <v>1.8746799999999999</v>
      </c>
      <c r="EA189">
        <v>1.8707800000000001</v>
      </c>
      <c r="EB189">
        <v>1.8746799999999999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-0.91800000000000004</v>
      </c>
      <c r="EQ189">
        <v>9.3100000000000002E-2</v>
      </c>
      <c r="ER189">
        <v>-0.91809090909089297</v>
      </c>
      <c r="ES189">
        <v>0</v>
      </c>
      <c r="ET189">
        <v>0</v>
      </c>
      <c r="EU189">
        <v>0</v>
      </c>
      <c r="EV189">
        <v>9.3060000000003001E-2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1.5</v>
      </c>
      <c r="FE189">
        <v>1.6</v>
      </c>
      <c r="FF189">
        <v>1.2402299999999999</v>
      </c>
      <c r="FG189">
        <v>2.5695800000000002</v>
      </c>
      <c r="FH189">
        <v>2.19604</v>
      </c>
      <c r="FI189">
        <v>2.66235</v>
      </c>
      <c r="FJ189">
        <v>2.4462899999999999</v>
      </c>
      <c r="FK189">
        <v>2.2766099999999998</v>
      </c>
      <c r="FL189">
        <v>31.608000000000001</v>
      </c>
      <c r="FM189">
        <v>24.14</v>
      </c>
      <c r="FN189">
        <v>19</v>
      </c>
      <c r="FO189">
        <v>865.06600000000003</v>
      </c>
      <c r="FP189">
        <v>575.88800000000003</v>
      </c>
      <c r="FQ189">
        <v>17.898399999999999</v>
      </c>
      <c r="FR189">
        <v>25.600100000000001</v>
      </c>
      <c r="FS189">
        <v>30.0002</v>
      </c>
      <c r="FT189">
        <v>25.5822</v>
      </c>
      <c r="FU189">
        <v>25.584299999999999</v>
      </c>
      <c r="FV189">
        <v>24.8841</v>
      </c>
      <c r="FW189">
        <v>31.2819</v>
      </c>
      <c r="FX189">
        <v>0</v>
      </c>
      <c r="FY189">
        <v>17.893699999999999</v>
      </c>
      <c r="FZ189">
        <v>410</v>
      </c>
      <c r="GA189">
        <v>14.635199999999999</v>
      </c>
      <c r="GB189">
        <v>99.835099999999997</v>
      </c>
      <c r="GC189">
        <v>99.551400000000001</v>
      </c>
    </row>
    <row r="190" spans="1:185" x14ac:dyDescent="0.2">
      <c r="A190">
        <v>175</v>
      </c>
      <c r="B190">
        <v>1769186272.0999999</v>
      </c>
      <c r="C190">
        <v>3409.0999999046298</v>
      </c>
      <c r="D190" t="s">
        <v>648</v>
      </c>
      <c r="E190" t="s">
        <v>649</v>
      </c>
      <c r="F190">
        <v>15</v>
      </c>
      <c r="G190">
        <v>1769186264.03333</v>
      </c>
      <c r="H190">
        <f t="shared" si="26"/>
        <v>5.6540924195373819E-4</v>
      </c>
      <c r="I190">
        <v>0</v>
      </c>
      <c r="J190">
        <f t="shared" si="38"/>
        <v>8.0157906275250238E-4</v>
      </c>
      <c r="K190">
        <f t="shared" si="27"/>
        <v>2.0993092463677823E-2</v>
      </c>
      <c r="L190">
        <f t="shared" si="28"/>
        <v>69.812214146315725</v>
      </c>
      <c r="M190">
        <f t="shared" si="29"/>
        <v>1.5397831540976683</v>
      </c>
      <c r="N190">
        <f t="shared" si="30"/>
        <v>2.2056071031789917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26265.861426453732</v>
      </c>
      <c r="T190">
        <f t="shared" si="34"/>
        <v>799.99739999999997</v>
      </c>
      <c r="U190">
        <f t="shared" si="35"/>
        <v>674.39837459815908</v>
      </c>
      <c r="V190">
        <f t="shared" si="36"/>
        <v>0.84300070799999993</v>
      </c>
      <c r="W190">
        <f t="shared" si="37"/>
        <v>0.15870138024</v>
      </c>
      <c r="X190">
        <v>1</v>
      </c>
      <c r="Y190">
        <v>1769186264.03333</v>
      </c>
      <c r="Z190">
        <v>409.69580000000002</v>
      </c>
      <c r="AA190">
        <v>410.01159999999999</v>
      </c>
      <c r="AB190">
        <v>15.3724066666667</v>
      </c>
      <c r="AC190">
        <v>14.6765066666667</v>
      </c>
      <c r="AD190">
        <v>410.61386666666698</v>
      </c>
      <c r="AE190">
        <v>15.2793333333333</v>
      </c>
      <c r="AF190">
        <v>799.99646666666695</v>
      </c>
      <c r="AG190">
        <v>100.09966666666701</v>
      </c>
      <c r="AH190">
        <v>6.5726266666666699E-2</v>
      </c>
      <c r="AI190">
        <v>19.0031</v>
      </c>
      <c r="AJ190">
        <v>999.9</v>
      </c>
      <c r="AK190">
        <v>999.9</v>
      </c>
      <c r="AL190">
        <v>0</v>
      </c>
      <c r="AM190">
        <v>0</v>
      </c>
      <c r="AN190">
        <v>5002.9333333333298</v>
      </c>
      <c r="AO190">
        <v>0</v>
      </c>
      <c r="AP190">
        <v>2.14547</v>
      </c>
      <c r="AQ190">
        <v>-0.31590786666666698</v>
      </c>
      <c r="AR190">
        <v>416.09213333333298</v>
      </c>
      <c r="AS190">
        <v>416.11893333333302</v>
      </c>
      <c r="AT190">
        <v>0.6958936</v>
      </c>
      <c r="AU190">
        <v>410.01159999999999</v>
      </c>
      <c r="AV190">
        <v>14.6765066666667</v>
      </c>
      <c r="AW190">
        <v>1.5387740000000001</v>
      </c>
      <c r="AX190">
        <v>1.4691133333333299</v>
      </c>
      <c r="AY190">
        <v>13.35896</v>
      </c>
      <c r="AZ190">
        <v>12.650446666666699</v>
      </c>
      <c r="BA190">
        <v>799.99739999999997</v>
      </c>
      <c r="BB190">
        <v>0.89998219999999995</v>
      </c>
      <c r="BC190">
        <v>0</v>
      </c>
      <c r="BD190">
        <v>0.100018</v>
      </c>
      <c r="BE190">
        <v>0</v>
      </c>
      <c r="BF190">
        <v>25</v>
      </c>
      <c r="BG190">
        <v>13190.913333333299</v>
      </c>
      <c r="BH190">
        <v>1769186165.0999999</v>
      </c>
      <c r="BI190" t="s">
        <v>633</v>
      </c>
      <c r="BJ190">
        <v>1769186165.0999999</v>
      </c>
      <c r="BK190">
        <v>1769186160.0999999</v>
      </c>
      <c r="BL190">
        <v>6</v>
      </c>
      <c r="BM190">
        <v>7.4999999999999997E-2</v>
      </c>
      <c r="BN190">
        <v>-5.7000000000000002E-2</v>
      </c>
      <c r="BO190">
        <v>-0.91800000000000004</v>
      </c>
      <c r="BP190">
        <v>9.2999999999999999E-2</v>
      </c>
      <c r="BQ190">
        <v>410</v>
      </c>
      <c r="BR190">
        <v>15</v>
      </c>
      <c r="BS190">
        <v>0.18</v>
      </c>
      <c r="BT190">
        <v>0.08</v>
      </c>
      <c r="BU190">
        <v>-0.31428374999999997</v>
      </c>
      <c r="BV190">
        <v>-6.6528676691729405E-2</v>
      </c>
      <c r="BW190">
        <v>1.3753546262237199E-2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0.69682745000000001</v>
      </c>
      <c r="CD190">
        <v>-1.5580556390977799E-2</v>
      </c>
      <c r="CE190">
        <v>1.9957901812314798E-3</v>
      </c>
      <c r="CF190">
        <v>1</v>
      </c>
      <c r="CG190">
        <v>2</v>
      </c>
      <c r="CH190">
        <v>2</v>
      </c>
      <c r="CI190" t="s">
        <v>310</v>
      </c>
      <c r="CJ190">
        <v>3.5325899999999999</v>
      </c>
      <c r="CK190">
        <v>2.7035800000000001</v>
      </c>
      <c r="CL190">
        <v>9.7890599999999994E-2</v>
      </c>
      <c r="CM190">
        <v>9.6562099999999998E-2</v>
      </c>
      <c r="CN190">
        <v>8.6987300000000004E-2</v>
      </c>
      <c r="CO190">
        <v>8.3153099999999994E-2</v>
      </c>
      <c r="CP190">
        <v>31621.1</v>
      </c>
      <c r="CQ190">
        <v>27770.1</v>
      </c>
      <c r="CR190">
        <v>32442.799999999999</v>
      </c>
      <c r="CS190">
        <v>30665.8</v>
      </c>
      <c r="CT190">
        <v>40107.599999999999</v>
      </c>
      <c r="CU190">
        <v>39532</v>
      </c>
      <c r="CV190">
        <v>47378.2</v>
      </c>
      <c r="CW190">
        <v>46761.7</v>
      </c>
      <c r="CX190">
        <v>2.621</v>
      </c>
      <c r="CY190">
        <v>2.1280800000000002</v>
      </c>
      <c r="CZ190">
        <v>0</v>
      </c>
      <c r="DA190">
        <v>0</v>
      </c>
      <c r="DB190">
        <v>999.9</v>
      </c>
      <c r="DC190">
        <v>999.9</v>
      </c>
      <c r="DD190">
        <v>57.942</v>
      </c>
      <c r="DE190">
        <v>26.867999999999999</v>
      </c>
      <c r="DF190">
        <v>20.559000000000001</v>
      </c>
      <c r="DG190">
        <v>30.5502</v>
      </c>
      <c r="DH190">
        <v>17.756399999999999</v>
      </c>
      <c r="DI190">
        <v>2</v>
      </c>
      <c r="DJ190">
        <v>-0.10772</v>
      </c>
      <c r="DK190">
        <v>2.5555500000000002</v>
      </c>
      <c r="DL190">
        <v>20.190899999999999</v>
      </c>
      <c r="DM190">
        <v>5.2509499999999996</v>
      </c>
      <c r="DN190">
        <v>12.033899999999999</v>
      </c>
      <c r="DO190">
        <v>4.9674800000000001</v>
      </c>
      <c r="DP190">
        <v>3.2909999999999999</v>
      </c>
      <c r="DQ190">
        <v>9999</v>
      </c>
      <c r="DR190">
        <v>9999</v>
      </c>
      <c r="DS190">
        <v>534.9</v>
      </c>
      <c r="DT190">
        <v>9999</v>
      </c>
      <c r="DU190">
        <v>1.8710500000000001</v>
      </c>
      <c r="DV190">
        <v>1.8760699999999999</v>
      </c>
      <c r="DW190">
        <v>1.8762799999999999</v>
      </c>
      <c r="DX190">
        <v>1.8827799999999999</v>
      </c>
      <c r="DY190">
        <v>1.8755999999999999</v>
      </c>
      <c r="DZ190">
        <v>1.87466</v>
      </c>
      <c r="EA190">
        <v>1.8707499999999999</v>
      </c>
      <c r="EB190">
        <v>1.8746400000000001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-0.91800000000000004</v>
      </c>
      <c r="EQ190">
        <v>9.2999999999999999E-2</v>
      </c>
      <c r="ER190">
        <v>-0.91809090909089297</v>
      </c>
      <c r="ES190">
        <v>0</v>
      </c>
      <c r="ET190">
        <v>0</v>
      </c>
      <c r="EU190">
        <v>0</v>
      </c>
      <c r="EV190">
        <v>9.3060000000003001E-2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1.8</v>
      </c>
      <c r="FE190">
        <v>1.9</v>
      </c>
      <c r="FF190">
        <v>1.2390099999999999</v>
      </c>
      <c r="FG190">
        <v>2.5744600000000002</v>
      </c>
      <c r="FH190">
        <v>2.19604</v>
      </c>
      <c r="FI190">
        <v>2.66235</v>
      </c>
      <c r="FJ190">
        <v>2.4462899999999999</v>
      </c>
      <c r="FK190">
        <v>2.2839399999999999</v>
      </c>
      <c r="FL190">
        <v>31.629799999999999</v>
      </c>
      <c r="FM190">
        <v>24.14</v>
      </c>
      <c r="FN190">
        <v>19</v>
      </c>
      <c r="FO190">
        <v>864.99300000000005</v>
      </c>
      <c r="FP190">
        <v>575.73599999999999</v>
      </c>
      <c r="FQ190">
        <v>17.8871</v>
      </c>
      <c r="FR190">
        <v>25.6053</v>
      </c>
      <c r="FS190">
        <v>30.0002</v>
      </c>
      <c r="FT190">
        <v>25.5869</v>
      </c>
      <c r="FU190">
        <v>25.5886</v>
      </c>
      <c r="FV190">
        <v>24.885899999999999</v>
      </c>
      <c r="FW190">
        <v>31.2819</v>
      </c>
      <c r="FX190">
        <v>0</v>
      </c>
      <c r="FY190">
        <v>17.884499999999999</v>
      </c>
      <c r="FZ190">
        <v>410</v>
      </c>
      <c r="GA190">
        <v>14.635199999999999</v>
      </c>
      <c r="GB190">
        <v>99.834100000000007</v>
      </c>
      <c r="GC190">
        <v>99.549700000000001</v>
      </c>
    </row>
    <row r="191" spans="1:185" x14ac:dyDescent="0.2">
      <c r="A191">
        <v>176</v>
      </c>
      <c r="B191">
        <v>1769186287.0999999</v>
      </c>
      <c r="C191">
        <v>3424.0999999046298</v>
      </c>
      <c r="D191" t="s">
        <v>650</v>
      </c>
      <c r="E191" t="s">
        <v>651</v>
      </c>
      <c r="F191">
        <v>15</v>
      </c>
      <c r="G191">
        <v>1769186279.03333</v>
      </c>
      <c r="H191">
        <f t="shared" si="26"/>
        <v>5.6570185428893825E-4</v>
      </c>
      <c r="I191">
        <v>0</v>
      </c>
      <c r="J191">
        <f t="shared" si="38"/>
        <v>-1.1519936931289405E-4</v>
      </c>
      <c r="K191">
        <f t="shared" si="27"/>
        <v>-3.0170336578385195E-3</v>
      </c>
      <c r="L191">
        <f t="shared" si="28"/>
        <v>69.821711831966951</v>
      </c>
      <c r="M191">
        <f t="shared" si="29"/>
        <v>1.5398286368376251</v>
      </c>
      <c r="N191">
        <f t="shared" si="30"/>
        <v>2.2053722208120297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26237.462521853067</v>
      </c>
      <c r="T191">
        <f t="shared" si="34"/>
        <v>800.000133333333</v>
      </c>
      <c r="U191">
        <f t="shared" si="35"/>
        <v>674.40046920005932</v>
      </c>
      <c r="V191">
        <f t="shared" si="36"/>
        <v>0.84300044600000024</v>
      </c>
      <c r="W191">
        <f t="shared" si="37"/>
        <v>0.15870098508000005</v>
      </c>
      <c r="X191">
        <v>1</v>
      </c>
      <c r="Y191">
        <v>1769186279.03333</v>
      </c>
      <c r="Z191">
        <v>409.69433333333302</v>
      </c>
      <c r="AA191">
        <v>409.98026666666698</v>
      </c>
      <c r="AB191">
        <v>15.372766666666701</v>
      </c>
      <c r="AC191">
        <v>14.6765133333333</v>
      </c>
      <c r="AD191">
        <v>410.61246666666699</v>
      </c>
      <c r="AE191">
        <v>15.2797133333333</v>
      </c>
      <c r="AF191">
        <v>800.00400000000002</v>
      </c>
      <c r="AG191">
        <v>100.100333333333</v>
      </c>
      <c r="AH191">
        <v>6.5672579999999994E-2</v>
      </c>
      <c r="AI191">
        <v>19.001393333333301</v>
      </c>
      <c r="AJ191">
        <v>999.9</v>
      </c>
      <c r="AK191">
        <v>999.9</v>
      </c>
      <c r="AL191">
        <v>0</v>
      </c>
      <c r="AM191">
        <v>0</v>
      </c>
      <c r="AN191">
        <v>4998.2</v>
      </c>
      <c r="AO191">
        <v>0</v>
      </c>
      <c r="AP191">
        <v>2.151192</v>
      </c>
      <c r="AQ191">
        <v>-0.28591100000000003</v>
      </c>
      <c r="AR191">
        <v>416.0908</v>
      </c>
      <c r="AS191">
        <v>416.087066666667</v>
      </c>
      <c r="AT191">
        <v>0.69625613333333303</v>
      </c>
      <c r="AU191">
        <v>409.98026666666698</v>
      </c>
      <c r="AV191">
        <v>14.6765133333333</v>
      </c>
      <c r="AW191">
        <v>1.5388206666666699</v>
      </c>
      <c r="AX191">
        <v>1.4691259999999999</v>
      </c>
      <c r="AY191">
        <v>13.359446666666701</v>
      </c>
      <c r="AZ191">
        <v>12.6505666666667</v>
      </c>
      <c r="BA191">
        <v>800.000133333333</v>
      </c>
      <c r="BB191">
        <v>0.89998706666666695</v>
      </c>
      <c r="BC191">
        <v>0</v>
      </c>
      <c r="BD191">
        <v>0.100013</v>
      </c>
      <c r="BE191">
        <v>0</v>
      </c>
      <c r="BF191">
        <v>25</v>
      </c>
      <c r="BG191">
        <v>13190.98</v>
      </c>
      <c r="BH191">
        <v>1769186165.0999999</v>
      </c>
      <c r="BI191" t="s">
        <v>633</v>
      </c>
      <c r="BJ191">
        <v>1769186165.0999999</v>
      </c>
      <c r="BK191">
        <v>1769186160.0999999</v>
      </c>
      <c r="BL191">
        <v>6</v>
      </c>
      <c r="BM191">
        <v>7.4999999999999997E-2</v>
      </c>
      <c r="BN191">
        <v>-5.7000000000000002E-2</v>
      </c>
      <c r="BO191">
        <v>-0.91800000000000004</v>
      </c>
      <c r="BP191">
        <v>9.2999999999999999E-2</v>
      </c>
      <c r="BQ191">
        <v>410</v>
      </c>
      <c r="BR191">
        <v>15</v>
      </c>
      <c r="BS191">
        <v>0.18</v>
      </c>
      <c r="BT191">
        <v>0.08</v>
      </c>
      <c r="BU191">
        <v>-0.29036404999999998</v>
      </c>
      <c r="BV191">
        <v>1.06266315789474E-2</v>
      </c>
      <c r="BW191">
        <v>2.6925046010127799E-2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0.69635005000000005</v>
      </c>
      <c r="CD191">
        <v>-1.0300466165413E-2</v>
      </c>
      <c r="CE191">
        <v>1.8289549058136999E-3</v>
      </c>
      <c r="CF191">
        <v>1</v>
      </c>
      <c r="CG191">
        <v>2</v>
      </c>
      <c r="CH191">
        <v>2</v>
      </c>
      <c r="CI191" t="s">
        <v>310</v>
      </c>
      <c r="CJ191">
        <v>3.5325099999999998</v>
      </c>
      <c r="CK191">
        <v>2.7031700000000001</v>
      </c>
      <c r="CL191">
        <v>9.78903E-2</v>
      </c>
      <c r="CM191">
        <v>9.6574099999999996E-2</v>
      </c>
      <c r="CN191">
        <v>8.6964100000000003E-2</v>
      </c>
      <c r="CO191">
        <v>8.3154199999999998E-2</v>
      </c>
      <c r="CP191">
        <v>31621.1</v>
      </c>
      <c r="CQ191">
        <v>27769.8</v>
      </c>
      <c r="CR191">
        <v>32442.799999999999</v>
      </c>
      <c r="CS191">
        <v>30666</v>
      </c>
      <c r="CT191">
        <v>40108.6</v>
      </c>
      <c r="CU191">
        <v>39532</v>
      </c>
      <c r="CV191">
        <v>47378.1</v>
      </c>
      <c r="CW191">
        <v>46761.8</v>
      </c>
      <c r="CX191">
        <v>2.62114</v>
      </c>
      <c r="CY191">
        <v>2.1281400000000001</v>
      </c>
      <c r="CZ191">
        <v>0</v>
      </c>
      <c r="DA191">
        <v>0</v>
      </c>
      <c r="DB191">
        <v>999.9</v>
      </c>
      <c r="DC191">
        <v>999.9</v>
      </c>
      <c r="DD191">
        <v>57.893000000000001</v>
      </c>
      <c r="DE191">
        <v>26.867999999999999</v>
      </c>
      <c r="DF191">
        <v>20.538399999999999</v>
      </c>
      <c r="DG191">
        <v>30.490200000000002</v>
      </c>
      <c r="DH191">
        <v>17.8125</v>
      </c>
      <c r="DI191">
        <v>2</v>
      </c>
      <c r="DJ191">
        <v>-0.107386</v>
      </c>
      <c r="DK191">
        <v>2.53274</v>
      </c>
      <c r="DL191">
        <v>20.191299999999998</v>
      </c>
      <c r="DM191">
        <v>5.2505899999999999</v>
      </c>
      <c r="DN191">
        <v>12.033899999999999</v>
      </c>
      <c r="DO191">
        <v>4.9672000000000001</v>
      </c>
      <c r="DP191">
        <v>3.2909999999999999</v>
      </c>
      <c r="DQ191">
        <v>9999</v>
      </c>
      <c r="DR191">
        <v>9999</v>
      </c>
      <c r="DS191">
        <v>534.9</v>
      </c>
      <c r="DT191">
        <v>9999</v>
      </c>
      <c r="DU191">
        <v>1.87107</v>
      </c>
      <c r="DV191">
        <v>1.87609</v>
      </c>
      <c r="DW191">
        <v>1.87632</v>
      </c>
      <c r="DX191">
        <v>1.8827799999999999</v>
      </c>
      <c r="DY191">
        <v>1.87561</v>
      </c>
      <c r="DZ191">
        <v>1.87469</v>
      </c>
      <c r="EA191">
        <v>1.87079</v>
      </c>
      <c r="EB191">
        <v>1.8746799999999999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-0.91800000000000004</v>
      </c>
      <c r="EQ191">
        <v>9.3100000000000002E-2</v>
      </c>
      <c r="ER191">
        <v>-0.91809090909089297</v>
      </c>
      <c r="ES191">
        <v>0</v>
      </c>
      <c r="ET191">
        <v>0</v>
      </c>
      <c r="EU191">
        <v>0</v>
      </c>
      <c r="EV191">
        <v>9.3060000000003001E-2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2</v>
      </c>
      <c r="FE191">
        <v>2.1</v>
      </c>
      <c r="FF191">
        <v>1.2402299999999999</v>
      </c>
      <c r="FG191">
        <v>2.5695800000000002</v>
      </c>
      <c r="FH191">
        <v>2.19604</v>
      </c>
      <c r="FI191">
        <v>2.66235</v>
      </c>
      <c r="FJ191">
        <v>2.4462899999999999</v>
      </c>
      <c r="FK191">
        <v>2.3303199999999999</v>
      </c>
      <c r="FL191">
        <v>31.629799999999999</v>
      </c>
      <c r="FM191">
        <v>24.148800000000001</v>
      </c>
      <c r="FN191">
        <v>19</v>
      </c>
      <c r="FO191">
        <v>865.17499999999995</v>
      </c>
      <c r="FP191">
        <v>575.81700000000001</v>
      </c>
      <c r="FQ191">
        <v>17.877199999999998</v>
      </c>
      <c r="FR191">
        <v>25.6096</v>
      </c>
      <c r="FS191">
        <v>30.000299999999999</v>
      </c>
      <c r="FT191">
        <v>25.5901</v>
      </c>
      <c r="FU191">
        <v>25.591799999999999</v>
      </c>
      <c r="FV191">
        <v>24.885400000000001</v>
      </c>
      <c r="FW191">
        <v>31.2819</v>
      </c>
      <c r="FX191">
        <v>0</v>
      </c>
      <c r="FY191">
        <v>17.8919</v>
      </c>
      <c r="FZ191">
        <v>410</v>
      </c>
      <c r="GA191">
        <v>14.635199999999999</v>
      </c>
      <c r="GB191">
        <v>99.834000000000003</v>
      </c>
      <c r="GC191">
        <v>99.55</v>
      </c>
    </row>
    <row r="192" spans="1:185" x14ac:dyDescent="0.2">
      <c r="A192">
        <v>177</v>
      </c>
      <c r="B192">
        <v>1769186302.0999999</v>
      </c>
      <c r="C192">
        <v>3439.0999999046298</v>
      </c>
      <c r="D192" t="s">
        <v>652</v>
      </c>
      <c r="E192" t="s">
        <v>653</v>
      </c>
      <c r="F192">
        <v>15</v>
      </c>
      <c r="G192">
        <v>1769186294.03333</v>
      </c>
      <c r="H192">
        <f t="shared" si="26"/>
        <v>5.6639245645484092E-4</v>
      </c>
      <c r="I192">
        <v>0</v>
      </c>
      <c r="J192">
        <f t="shared" si="38"/>
        <v>4.0958372423881279E-4</v>
      </c>
      <c r="K192">
        <f t="shared" si="27"/>
        <v>1.0726863255431348E-2</v>
      </c>
      <c r="L192">
        <f t="shared" si="28"/>
        <v>69.819629954334204</v>
      </c>
      <c r="M192">
        <f t="shared" si="29"/>
        <v>1.5398109090656005</v>
      </c>
      <c r="N192">
        <f t="shared" si="30"/>
        <v>2.2054125896581227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26246.515424625784</v>
      </c>
      <c r="T192">
        <f t="shared" si="34"/>
        <v>800.000133333333</v>
      </c>
      <c r="U192">
        <f t="shared" si="35"/>
        <v>674.40045960005818</v>
      </c>
      <c r="V192">
        <f t="shared" si="36"/>
        <v>0.8430004340000008</v>
      </c>
      <c r="W192">
        <f t="shared" si="37"/>
        <v>0.15870108500000019</v>
      </c>
      <c r="X192">
        <v>1</v>
      </c>
      <c r="Y192">
        <v>1769186294.03333</v>
      </c>
      <c r="Z192">
        <v>409.69619999999998</v>
      </c>
      <c r="AA192">
        <v>409.999666666667</v>
      </c>
      <c r="AB192">
        <v>15.372766666666701</v>
      </c>
      <c r="AC192">
        <v>14.6756666666667</v>
      </c>
      <c r="AD192">
        <v>410.61433333333298</v>
      </c>
      <c r="AE192">
        <v>15.2797066666667</v>
      </c>
      <c r="AF192">
        <v>800.00779999999997</v>
      </c>
      <c r="AG192">
        <v>100.099466666667</v>
      </c>
      <c r="AH192">
        <v>6.5386053333333305E-2</v>
      </c>
      <c r="AI192">
        <v>19.0016866666667</v>
      </c>
      <c r="AJ192">
        <v>999.9</v>
      </c>
      <c r="AK192">
        <v>999.9</v>
      </c>
      <c r="AL192">
        <v>0</v>
      </c>
      <c r="AM192">
        <v>0</v>
      </c>
      <c r="AN192">
        <v>4999.7333333333299</v>
      </c>
      <c r="AO192">
        <v>0</v>
      </c>
      <c r="AP192">
        <v>2.200726</v>
      </c>
      <c r="AQ192">
        <v>-0.30350753333333302</v>
      </c>
      <c r="AR192">
        <v>416.092733333333</v>
      </c>
      <c r="AS192">
        <v>416.10626666666701</v>
      </c>
      <c r="AT192">
        <v>0.69710226666666697</v>
      </c>
      <c r="AU192">
        <v>409.999666666667</v>
      </c>
      <c r="AV192">
        <v>14.6756666666667</v>
      </c>
      <c r="AW192">
        <v>1.53880666666667</v>
      </c>
      <c r="AX192">
        <v>1.46902666666667</v>
      </c>
      <c r="AY192">
        <v>13.3592933333333</v>
      </c>
      <c r="AZ192">
        <v>12.64954</v>
      </c>
      <c r="BA192">
        <v>800.000133333333</v>
      </c>
      <c r="BB192">
        <v>0.89998553333333398</v>
      </c>
      <c r="BC192">
        <v>0</v>
      </c>
      <c r="BD192">
        <v>0.100014466666667</v>
      </c>
      <c r="BE192">
        <v>0</v>
      </c>
      <c r="BF192">
        <v>25</v>
      </c>
      <c r="BG192">
        <v>13190.96</v>
      </c>
      <c r="BH192">
        <v>1769186165.0999999</v>
      </c>
      <c r="BI192" t="s">
        <v>633</v>
      </c>
      <c r="BJ192">
        <v>1769186165.0999999</v>
      </c>
      <c r="BK192">
        <v>1769186160.0999999</v>
      </c>
      <c r="BL192">
        <v>6</v>
      </c>
      <c r="BM192">
        <v>7.4999999999999997E-2</v>
      </c>
      <c r="BN192">
        <v>-5.7000000000000002E-2</v>
      </c>
      <c r="BO192">
        <v>-0.91800000000000004</v>
      </c>
      <c r="BP192">
        <v>9.2999999999999999E-2</v>
      </c>
      <c r="BQ192">
        <v>410</v>
      </c>
      <c r="BR192">
        <v>15</v>
      </c>
      <c r="BS192">
        <v>0.18</v>
      </c>
      <c r="BT192">
        <v>0.08</v>
      </c>
      <c r="BU192">
        <v>-0.30016514285714302</v>
      </c>
      <c r="BV192">
        <v>-1.1780649350649699E-2</v>
      </c>
      <c r="BW192">
        <v>1.6045718981904801E-2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0.69641809523809495</v>
      </c>
      <c r="CD192">
        <v>1.26702077922078E-2</v>
      </c>
      <c r="CE192">
        <v>2.0897942005024101E-3</v>
      </c>
      <c r="CF192">
        <v>1</v>
      </c>
      <c r="CG192">
        <v>2</v>
      </c>
      <c r="CH192">
        <v>2</v>
      </c>
      <c r="CI192" t="s">
        <v>310</v>
      </c>
      <c r="CJ192">
        <v>3.5324800000000001</v>
      </c>
      <c r="CK192">
        <v>2.7031999999999998</v>
      </c>
      <c r="CL192">
        <v>9.7886200000000007E-2</v>
      </c>
      <c r="CM192">
        <v>9.6568399999999999E-2</v>
      </c>
      <c r="CN192">
        <v>8.6984699999999998E-2</v>
      </c>
      <c r="CO192">
        <v>8.3151100000000006E-2</v>
      </c>
      <c r="CP192">
        <v>31620.9</v>
      </c>
      <c r="CQ192">
        <v>27770.400000000001</v>
      </c>
      <c r="CR192">
        <v>32442.400000000001</v>
      </c>
      <c r="CS192">
        <v>30666.400000000001</v>
      </c>
      <c r="CT192">
        <v>40107.599999999999</v>
      </c>
      <c r="CU192">
        <v>39532.800000000003</v>
      </c>
      <c r="CV192">
        <v>47378</v>
      </c>
      <c r="CW192">
        <v>46762.7</v>
      </c>
      <c r="CX192">
        <v>2.6209799999999999</v>
      </c>
      <c r="CY192">
        <v>2.1280000000000001</v>
      </c>
      <c r="CZ192">
        <v>0</v>
      </c>
      <c r="DA192">
        <v>0</v>
      </c>
      <c r="DB192">
        <v>999.9</v>
      </c>
      <c r="DC192">
        <v>999.9</v>
      </c>
      <c r="DD192">
        <v>57.832000000000001</v>
      </c>
      <c r="DE192">
        <v>26.888000000000002</v>
      </c>
      <c r="DF192">
        <v>20.543900000000001</v>
      </c>
      <c r="DG192">
        <v>30.430199999999999</v>
      </c>
      <c r="DH192">
        <v>17.820499999999999</v>
      </c>
      <c r="DI192">
        <v>2</v>
      </c>
      <c r="DJ192">
        <v>-0.107321</v>
      </c>
      <c r="DK192">
        <v>2.5315400000000001</v>
      </c>
      <c r="DL192">
        <v>20.191299999999998</v>
      </c>
      <c r="DM192">
        <v>5.2517899999999997</v>
      </c>
      <c r="DN192">
        <v>12.033899999999999</v>
      </c>
      <c r="DO192">
        <v>4.9675599999999998</v>
      </c>
      <c r="DP192">
        <v>3.2909999999999999</v>
      </c>
      <c r="DQ192">
        <v>9999</v>
      </c>
      <c r="DR192">
        <v>9999</v>
      </c>
      <c r="DS192">
        <v>534.9</v>
      </c>
      <c r="DT192">
        <v>9999</v>
      </c>
      <c r="DU192">
        <v>1.87103</v>
      </c>
      <c r="DV192">
        <v>1.8760699999999999</v>
      </c>
      <c r="DW192">
        <v>1.87629</v>
      </c>
      <c r="DX192">
        <v>1.8827799999999999</v>
      </c>
      <c r="DY192">
        <v>1.8755999999999999</v>
      </c>
      <c r="DZ192">
        <v>1.8746799999999999</v>
      </c>
      <c r="EA192">
        <v>1.8707400000000001</v>
      </c>
      <c r="EB192">
        <v>1.87463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-0.91800000000000004</v>
      </c>
      <c r="EQ192">
        <v>9.2999999999999999E-2</v>
      </c>
      <c r="ER192">
        <v>-0.91809090909089297</v>
      </c>
      <c r="ES192">
        <v>0</v>
      </c>
      <c r="ET192">
        <v>0</v>
      </c>
      <c r="EU192">
        <v>0</v>
      </c>
      <c r="EV192">
        <v>9.3060000000003001E-2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2.2999999999999998</v>
      </c>
      <c r="FE192">
        <v>2.4</v>
      </c>
      <c r="FF192">
        <v>1.2402299999999999</v>
      </c>
      <c r="FG192">
        <v>2.5610400000000002</v>
      </c>
      <c r="FH192">
        <v>2.19604</v>
      </c>
      <c r="FI192">
        <v>2.66235</v>
      </c>
      <c r="FJ192">
        <v>2.4462899999999999</v>
      </c>
      <c r="FK192">
        <v>2.3107899999999999</v>
      </c>
      <c r="FL192">
        <v>31.629799999999999</v>
      </c>
      <c r="FM192">
        <v>24.14</v>
      </c>
      <c r="FN192">
        <v>19</v>
      </c>
      <c r="FO192">
        <v>865.07799999999997</v>
      </c>
      <c r="FP192">
        <v>575.74699999999996</v>
      </c>
      <c r="FQ192">
        <v>17.886099999999999</v>
      </c>
      <c r="FR192">
        <v>25.6129</v>
      </c>
      <c r="FS192">
        <v>30.0001</v>
      </c>
      <c r="FT192">
        <v>25.593399999999999</v>
      </c>
      <c r="FU192">
        <v>25.595099999999999</v>
      </c>
      <c r="FV192">
        <v>24.885899999999999</v>
      </c>
      <c r="FW192">
        <v>31.2819</v>
      </c>
      <c r="FX192">
        <v>0</v>
      </c>
      <c r="FY192">
        <v>17.883199999999999</v>
      </c>
      <c r="FZ192">
        <v>410</v>
      </c>
      <c r="GA192">
        <v>14.635199999999999</v>
      </c>
      <c r="GB192">
        <v>99.833399999999997</v>
      </c>
      <c r="GC192">
        <v>99.551699999999997</v>
      </c>
    </row>
    <row r="193" spans="1:185" x14ac:dyDescent="0.2">
      <c r="A193">
        <v>178</v>
      </c>
      <c r="B193">
        <v>1769186317.0999999</v>
      </c>
      <c r="C193">
        <v>3454.0999999046298</v>
      </c>
      <c r="D193" t="s">
        <v>654</v>
      </c>
      <c r="E193" t="s">
        <v>655</v>
      </c>
      <c r="F193">
        <v>15</v>
      </c>
      <c r="G193">
        <v>1769186309.03333</v>
      </c>
      <c r="H193">
        <f t="shared" si="26"/>
        <v>5.6633507139277283E-4</v>
      </c>
      <c r="I193">
        <v>0</v>
      </c>
      <c r="J193">
        <f t="shared" si="38"/>
        <v>5.3264601414412837E-4</v>
      </c>
      <c r="K193">
        <f t="shared" si="27"/>
        <v>1.3949824221880507E-2</v>
      </c>
      <c r="L193">
        <f t="shared" si="28"/>
        <v>69.827843742691798</v>
      </c>
      <c r="M193">
        <f t="shared" si="29"/>
        <v>1.5397306882595623</v>
      </c>
      <c r="N193">
        <f t="shared" si="30"/>
        <v>2.2050382852051205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26245.703363282664</v>
      </c>
      <c r="T193">
        <f t="shared" si="34"/>
        <v>799.99853333333294</v>
      </c>
      <c r="U193">
        <f t="shared" si="35"/>
        <v>674.39908839940426</v>
      </c>
      <c r="V193">
        <f t="shared" si="36"/>
        <v>0.84300040600000004</v>
      </c>
      <c r="W193">
        <f t="shared" si="37"/>
        <v>0.158701015</v>
      </c>
      <c r="X193">
        <v>1</v>
      </c>
      <c r="Y193">
        <v>1769186309.03333</v>
      </c>
      <c r="Z193">
        <v>409.69099999999997</v>
      </c>
      <c r="AA193">
        <v>409.99846666666701</v>
      </c>
      <c r="AB193">
        <v>15.371866666666699</v>
      </c>
      <c r="AC193">
        <v>14.6748266666667</v>
      </c>
      <c r="AD193">
        <v>410.60913333333298</v>
      </c>
      <c r="AE193">
        <v>15.2788066666667</v>
      </c>
      <c r="AF193">
        <v>799.99633333333304</v>
      </c>
      <c r="AG193">
        <v>100.100066666667</v>
      </c>
      <c r="AH193">
        <v>6.5431879999999998E-2</v>
      </c>
      <c r="AI193">
        <v>18.9989666666667</v>
      </c>
      <c r="AJ193">
        <v>999.9</v>
      </c>
      <c r="AK193">
        <v>999.9</v>
      </c>
      <c r="AL193">
        <v>0</v>
      </c>
      <c r="AM193">
        <v>0</v>
      </c>
      <c r="AN193">
        <v>4999.5333333333301</v>
      </c>
      <c r="AO193">
        <v>0</v>
      </c>
      <c r="AP193">
        <v>2.1778413333333302</v>
      </c>
      <c r="AQ193">
        <v>-0.30752980000000002</v>
      </c>
      <c r="AR193">
        <v>416.08699999999999</v>
      </c>
      <c r="AS193">
        <v>416.104733333333</v>
      </c>
      <c r="AT193">
        <v>0.69702799999999998</v>
      </c>
      <c r="AU193">
        <v>409.99846666666701</v>
      </c>
      <c r="AV193">
        <v>14.6748266666667</v>
      </c>
      <c r="AW193">
        <v>1.5387246666666701</v>
      </c>
      <c r="AX193">
        <v>1.4689540000000001</v>
      </c>
      <c r="AY193">
        <v>13.358506666666701</v>
      </c>
      <c r="AZ193">
        <v>12.648773333333301</v>
      </c>
      <c r="BA193">
        <v>799.99853333333294</v>
      </c>
      <c r="BB193">
        <v>0.89998646666666704</v>
      </c>
      <c r="BC193">
        <v>0</v>
      </c>
      <c r="BD193">
        <v>0.100013533333333</v>
      </c>
      <c r="BE193">
        <v>0</v>
      </c>
      <c r="BF193">
        <v>25</v>
      </c>
      <c r="BG193">
        <v>13190.946666666699</v>
      </c>
      <c r="BH193">
        <v>1769186165.0999999</v>
      </c>
      <c r="BI193" t="s">
        <v>633</v>
      </c>
      <c r="BJ193">
        <v>1769186165.0999999</v>
      </c>
      <c r="BK193">
        <v>1769186160.0999999</v>
      </c>
      <c r="BL193">
        <v>6</v>
      </c>
      <c r="BM193">
        <v>7.4999999999999997E-2</v>
      </c>
      <c r="BN193">
        <v>-5.7000000000000002E-2</v>
      </c>
      <c r="BO193">
        <v>-0.91800000000000004</v>
      </c>
      <c r="BP193">
        <v>9.2999999999999999E-2</v>
      </c>
      <c r="BQ193">
        <v>410</v>
      </c>
      <c r="BR193">
        <v>15</v>
      </c>
      <c r="BS193">
        <v>0.18</v>
      </c>
      <c r="BT193">
        <v>0.08</v>
      </c>
      <c r="BU193">
        <v>-0.30643165</v>
      </c>
      <c r="BV193">
        <v>-9.3621969924812101E-2</v>
      </c>
      <c r="BW193">
        <v>1.76898973747023E-2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0.69719235000000002</v>
      </c>
      <c r="CD193">
        <v>-9.3133984962395291E-3</v>
      </c>
      <c r="CE193">
        <v>1.2247243475574301E-3</v>
      </c>
      <c r="CF193">
        <v>1</v>
      </c>
      <c r="CG193">
        <v>2</v>
      </c>
      <c r="CH193">
        <v>2</v>
      </c>
      <c r="CI193" t="s">
        <v>310</v>
      </c>
      <c r="CJ193">
        <v>3.5325299999999999</v>
      </c>
      <c r="CK193">
        <v>2.7031700000000001</v>
      </c>
      <c r="CL193">
        <v>9.7889000000000004E-2</v>
      </c>
      <c r="CM193">
        <v>9.65723E-2</v>
      </c>
      <c r="CN193">
        <v>8.69645E-2</v>
      </c>
      <c r="CO193">
        <v>8.3145399999999994E-2</v>
      </c>
      <c r="CP193">
        <v>31620.9</v>
      </c>
      <c r="CQ193">
        <v>27770</v>
      </c>
      <c r="CR193">
        <v>32442.6</v>
      </c>
      <c r="CS193">
        <v>30666.2</v>
      </c>
      <c r="CT193">
        <v>40108.800000000003</v>
      </c>
      <c r="CU193">
        <v>39532.800000000003</v>
      </c>
      <c r="CV193">
        <v>47378.2</v>
      </c>
      <c r="CW193">
        <v>46762.3</v>
      </c>
      <c r="CX193">
        <v>2.62094</v>
      </c>
      <c r="CY193">
        <v>2.1277200000000001</v>
      </c>
      <c r="CZ193">
        <v>0</v>
      </c>
      <c r="DA193">
        <v>0</v>
      </c>
      <c r="DB193">
        <v>999.9</v>
      </c>
      <c r="DC193">
        <v>999.9</v>
      </c>
      <c r="DD193">
        <v>57.807000000000002</v>
      </c>
      <c r="DE193">
        <v>26.908000000000001</v>
      </c>
      <c r="DF193">
        <v>20.558299999999999</v>
      </c>
      <c r="DG193">
        <v>30.6402</v>
      </c>
      <c r="DH193">
        <v>17.788499999999999</v>
      </c>
      <c r="DI193">
        <v>2</v>
      </c>
      <c r="DJ193">
        <v>-0.107165</v>
      </c>
      <c r="DK193">
        <v>2.51613</v>
      </c>
      <c r="DL193">
        <v>20.191600000000001</v>
      </c>
      <c r="DM193">
        <v>5.2513100000000001</v>
      </c>
      <c r="DN193">
        <v>12.033899999999999</v>
      </c>
      <c r="DO193">
        <v>4.9672400000000003</v>
      </c>
      <c r="DP193">
        <v>3.2909999999999999</v>
      </c>
      <c r="DQ193">
        <v>9999</v>
      </c>
      <c r="DR193">
        <v>9999</v>
      </c>
      <c r="DS193">
        <v>534.9</v>
      </c>
      <c r="DT193">
        <v>9999</v>
      </c>
      <c r="DU193">
        <v>1.8710599999999999</v>
      </c>
      <c r="DV193">
        <v>1.87609</v>
      </c>
      <c r="DW193">
        <v>1.8763000000000001</v>
      </c>
      <c r="DX193">
        <v>1.8827799999999999</v>
      </c>
      <c r="DY193">
        <v>1.87561</v>
      </c>
      <c r="DZ193">
        <v>1.8746799999999999</v>
      </c>
      <c r="EA193">
        <v>1.87077</v>
      </c>
      <c r="EB193">
        <v>1.87466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-0.91800000000000004</v>
      </c>
      <c r="EQ193">
        <v>9.2999999999999999E-2</v>
      </c>
      <c r="ER193">
        <v>-0.91809090909089297</v>
      </c>
      <c r="ES193">
        <v>0</v>
      </c>
      <c r="ET193">
        <v>0</v>
      </c>
      <c r="EU193">
        <v>0</v>
      </c>
      <c r="EV193">
        <v>9.3060000000003001E-2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2.5</v>
      </c>
      <c r="FE193">
        <v>2.6</v>
      </c>
      <c r="FF193">
        <v>1.2402299999999999</v>
      </c>
      <c r="FG193">
        <v>2.5720200000000002</v>
      </c>
      <c r="FH193">
        <v>2.19604</v>
      </c>
      <c r="FI193">
        <v>2.66235</v>
      </c>
      <c r="FJ193">
        <v>2.4462899999999999</v>
      </c>
      <c r="FK193">
        <v>2.2656200000000002</v>
      </c>
      <c r="FL193">
        <v>31.651700000000002</v>
      </c>
      <c r="FM193">
        <v>24.14</v>
      </c>
      <c r="FN193">
        <v>19</v>
      </c>
      <c r="FO193">
        <v>865.09199999999998</v>
      </c>
      <c r="FP193">
        <v>575.55600000000004</v>
      </c>
      <c r="FQ193">
        <v>17.886800000000001</v>
      </c>
      <c r="FR193">
        <v>25.614999999999998</v>
      </c>
      <c r="FS193">
        <v>30.0001</v>
      </c>
      <c r="FT193">
        <v>25.596599999999999</v>
      </c>
      <c r="FU193">
        <v>25.597200000000001</v>
      </c>
      <c r="FV193">
        <v>24.885999999999999</v>
      </c>
      <c r="FW193">
        <v>31.2819</v>
      </c>
      <c r="FX193">
        <v>0</v>
      </c>
      <c r="FY193">
        <v>17.886099999999999</v>
      </c>
      <c r="FZ193">
        <v>410</v>
      </c>
      <c r="GA193">
        <v>14.635199999999999</v>
      </c>
      <c r="GB193">
        <v>99.8339</v>
      </c>
      <c r="GC193">
        <v>99.550899999999999</v>
      </c>
    </row>
    <row r="194" spans="1:185" x14ac:dyDescent="0.2">
      <c r="A194">
        <v>179</v>
      </c>
      <c r="B194">
        <v>1769186332.0999999</v>
      </c>
      <c r="C194">
        <v>3469.0999999046298</v>
      </c>
      <c r="D194" t="s">
        <v>656</v>
      </c>
      <c r="E194" t="s">
        <v>657</v>
      </c>
      <c r="F194">
        <v>15</v>
      </c>
      <c r="G194">
        <v>1769186324.03333</v>
      </c>
      <c r="H194">
        <f t="shared" si="26"/>
        <v>5.6489170075799079E-4</v>
      </c>
      <c r="I194">
        <v>0</v>
      </c>
      <c r="J194">
        <f t="shared" si="38"/>
        <v>-2.7299269639301691E-5</v>
      </c>
      <c r="K194">
        <f t="shared" si="27"/>
        <v>-7.1495890843356993E-4</v>
      </c>
      <c r="L194">
        <f t="shared" si="28"/>
        <v>69.802660657451909</v>
      </c>
      <c r="M194">
        <f t="shared" si="29"/>
        <v>1.5394744516107388</v>
      </c>
      <c r="N194">
        <f t="shared" si="30"/>
        <v>2.2054667216275936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26251.422827650127</v>
      </c>
      <c r="T194">
        <f t="shared" si="34"/>
        <v>799.99906666666698</v>
      </c>
      <c r="U194">
        <f t="shared" si="35"/>
        <v>674.39943719973883</v>
      </c>
      <c r="V194">
        <f t="shared" si="36"/>
        <v>0.84300027999999994</v>
      </c>
      <c r="W194">
        <f t="shared" si="37"/>
        <v>0.1587007</v>
      </c>
      <c r="X194">
        <v>1</v>
      </c>
      <c r="Y194">
        <v>1769186324.03333</v>
      </c>
      <c r="Z194">
        <v>409.70306666666698</v>
      </c>
      <c r="AA194">
        <v>409.99146666666701</v>
      </c>
      <c r="AB194">
        <v>15.36938</v>
      </c>
      <c r="AC194">
        <v>14.6741266666667</v>
      </c>
      <c r="AD194">
        <v>410.62106666666699</v>
      </c>
      <c r="AE194">
        <v>15.2763266666667</v>
      </c>
      <c r="AF194">
        <v>800.01006666666603</v>
      </c>
      <c r="AG194">
        <v>100.0998</v>
      </c>
      <c r="AH194">
        <v>6.5232786666666695E-2</v>
      </c>
      <c r="AI194">
        <v>19.002079999999999</v>
      </c>
      <c r="AJ194">
        <v>999.9</v>
      </c>
      <c r="AK194">
        <v>999.9</v>
      </c>
      <c r="AL194">
        <v>0</v>
      </c>
      <c r="AM194">
        <v>0</v>
      </c>
      <c r="AN194">
        <v>5000.5333333333301</v>
      </c>
      <c r="AO194">
        <v>0</v>
      </c>
      <c r="AP194">
        <v>2.14547</v>
      </c>
      <c r="AQ194">
        <v>-0.288397133333333</v>
      </c>
      <c r="AR194">
        <v>416.09820000000002</v>
      </c>
      <c r="AS194">
        <v>416.09719999999999</v>
      </c>
      <c r="AT194">
        <v>0.69527240000000001</v>
      </c>
      <c r="AU194">
        <v>409.99146666666701</v>
      </c>
      <c r="AV194">
        <v>14.6741266666667</v>
      </c>
      <c r="AW194">
        <v>1.53847133333333</v>
      </c>
      <c r="AX194">
        <v>1.4688733333333299</v>
      </c>
      <c r="AY194">
        <v>13.35594</v>
      </c>
      <c r="AZ194">
        <v>12.6479533333333</v>
      </c>
      <c r="BA194">
        <v>799.99906666666698</v>
      </c>
      <c r="BB194">
        <v>0.89999066666666705</v>
      </c>
      <c r="BC194">
        <v>0</v>
      </c>
      <c r="BD194">
        <v>0.10000933333333301</v>
      </c>
      <c r="BE194">
        <v>0</v>
      </c>
      <c r="BF194">
        <v>25</v>
      </c>
      <c r="BG194">
        <v>13190.9666666667</v>
      </c>
      <c r="BH194">
        <v>1769186165.0999999</v>
      </c>
      <c r="BI194" t="s">
        <v>633</v>
      </c>
      <c r="BJ194">
        <v>1769186165.0999999</v>
      </c>
      <c r="BK194">
        <v>1769186160.0999999</v>
      </c>
      <c r="BL194">
        <v>6</v>
      </c>
      <c r="BM194">
        <v>7.4999999999999997E-2</v>
      </c>
      <c r="BN194">
        <v>-5.7000000000000002E-2</v>
      </c>
      <c r="BO194">
        <v>-0.91800000000000004</v>
      </c>
      <c r="BP194">
        <v>9.2999999999999999E-2</v>
      </c>
      <c r="BQ194">
        <v>410</v>
      </c>
      <c r="BR194">
        <v>15</v>
      </c>
      <c r="BS194">
        <v>0.18</v>
      </c>
      <c r="BT194">
        <v>0.08</v>
      </c>
      <c r="BU194">
        <v>-0.29547985714285702</v>
      </c>
      <c r="BV194">
        <v>9.1280025974026097E-2</v>
      </c>
      <c r="BW194">
        <v>2.11412672555376E-2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0.69533038095238098</v>
      </c>
      <c r="CD194">
        <v>5.1514285714261796E-4</v>
      </c>
      <c r="CE194">
        <v>4.9980295890723805E-4</v>
      </c>
      <c r="CF194">
        <v>1</v>
      </c>
      <c r="CG194">
        <v>2</v>
      </c>
      <c r="CH194">
        <v>2</v>
      </c>
      <c r="CI194" t="s">
        <v>310</v>
      </c>
      <c r="CJ194">
        <v>3.5325500000000001</v>
      </c>
      <c r="CK194">
        <v>2.7029100000000001</v>
      </c>
      <c r="CL194">
        <v>9.7888199999999995E-2</v>
      </c>
      <c r="CM194">
        <v>9.6566700000000005E-2</v>
      </c>
      <c r="CN194">
        <v>8.6965600000000004E-2</v>
      </c>
      <c r="CO194">
        <v>8.3141999999999994E-2</v>
      </c>
      <c r="CP194">
        <v>31620.6</v>
      </c>
      <c r="CQ194">
        <v>27770.6</v>
      </c>
      <c r="CR194">
        <v>32442.2</v>
      </c>
      <c r="CS194">
        <v>30666.7</v>
      </c>
      <c r="CT194">
        <v>40108.400000000001</v>
      </c>
      <c r="CU194">
        <v>39533.4</v>
      </c>
      <c r="CV194">
        <v>47377.9</v>
      </c>
      <c r="CW194">
        <v>46762.9</v>
      </c>
      <c r="CX194">
        <v>2.62094</v>
      </c>
      <c r="CY194">
        <v>2.1276199999999998</v>
      </c>
      <c r="CZ194">
        <v>0</v>
      </c>
      <c r="DA194">
        <v>0</v>
      </c>
      <c r="DB194">
        <v>999.9</v>
      </c>
      <c r="DC194">
        <v>999.9</v>
      </c>
      <c r="DD194">
        <v>57.783000000000001</v>
      </c>
      <c r="DE194">
        <v>26.908000000000001</v>
      </c>
      <c r="DF194">
        <v>20.5505</v>
      </c>
      <c r="DG194">
        <v>30.610199999999999</v>
      </c>
      <c r="DH194">
        <v>17.836500000000001</v>
      </c>
      <c r="DI194">
        <v>2</v>
      </c>
      <c r="DJ194">
        <v>-0.106992</v>
      </c>
      <c r="DK194">
        <v>2.54325</v>
      </c>
      <c r="DL194">
        <v>20.191099999999999</v>
      </c>
      <c r="DM194">
        <v>5.2520300000000004</v>
      </c>
      <c r="DN194">
        <v>12.033899999999999</v>
      </c>
      <c r="DO194">
        <v>4.9674800000000001</v>
      </c>
      <c r="DP194">
        <v>3.2909999999999999</v>
      </c>
      <c r="DQ194">
        <v>9999</v>
      </c>
      <c r="DR194">
        <v>9999</v>
      </c>
      <c r="DS194">
        <v>534.9</v>
      </c>
      <c r="DT194">
        <v>9999</v>
      </c>
      <c r="DU194">
        <v>1.8710599999999999</v>
      </c>
      <c r="DV194">
        <v>1.8760699999999999</v>
      </c>
      <c r="DW194">
        <v>1.8762700000000001</v>
      </c>
      <c r="DX194">
        <v>1.8827799999999999</v>
      </c>
      <c r="DY194">
        <v>1.8755999999999999</v>
      </c>
      <c r="DZ194">
        <v>1.8746700000000001</v>
      </c>
      <c r="EA194">
        <v>1.8707400000000001</v>
      </c>
      <c r="EB194">
        <v>1.8745799999999999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-0.91800000000000004</v>
      </c>
      <c r="EQ194">
        <v>9.2999999999999999E-2</v>
      </c>
      <c r="ER194">
        <v>-0.91809090909089297</v>
      </c>
      <c r="ES194">
        <v>0</v>
      </c>
      <c r="ET194">
        <v>0</v>
      </c>
      <c r="EU194">
        <v>0</v>
      </c>
      <c r="EV194">
        <v>9.3060000000003001E-2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2.8</v>
      </c>
      <c r="FE194">
        <v>2.9</v>
      </c>
      <c r="FF194">
        <v>1.2402299999999999</v>
      </c>
      <c r="FG194">
        <v>2.5659200000000002</v>
      </c>
      <c r="FH194">
        <v>2.19604</v>
      </c>
      <c r="FI194">
        <v>2.66235</v>
      </c>
      <c r="FJ194">
        <v>2.4462899999999999</v>
      </c>
      <c r="FK194">
        <v>2.3010299999999999</v>
      </c>
      <c r="FL194">
        <v>31.651700000000002</v>
      </c>
      <c r="FM194">
        <v>24.148800000000001</v>
      </c>
      <c r="FN194">
        <v>19</v>
      </c>
      <c r="FO194">
        <v>865.12699999999995</v>
      </c>
      <c r="FP194">
        <v>575.50300000000004</v>
      </c>
      <c r="FQ194">
        <v>17.8842</v>
      </c>
      <c r="FR194">
        <v>25.6187</v>
      </c>
      <c r="FS194">
        <v>30.0002</v>
      </c>
      <c r="FT194">
        <v>25.598700000000001</v>
      </c>
      <c r="FU194">
        <v>25.599399999999999</v>
      </c>
      <c r="FV194">
        <v>24.8872</v>
      </c>
      <c r="FW194">
        <v>31.2819</v>
      </c>
      <c r="FX194">
        <v>0</v>
      </c>
      <c r="FY194">
        <v>17.879799999999999</v>
      </c>
      <c r="FZ194">
        <v>410</v>
      </c>
      <c r="GA194">
        <v>14.635199999999999</v>
      </c>
      <c r="GB194">
        <v>99.832999999999998</v>
      </c>
      <c r="GC194">
        <v>99.552199999999999</v>
      </c>
    </row>
    <row r="195" spans="1:185" x14ac:dyDescent="0.2">
      <c r="A195">
        <v>180</v>
      </c>
      <c r="B195">
        <v>1769186347.0999999</v>
      </c>
      <c r="C195">
        <v>3484.0999999046298</v>
      </c>
      <c r="D195" t="s">
        <v>658</v>
      </c>
      <c r="E195" t="s">
        <v>659</v>
      </c>
      <c r="F195">
        <v>15</v>
      </c>
      <c r="G195">
        <v>1769186339.03333</v>
      </c>
      <c r="H195">
        <f t="shared" si="26"/>
        <v>5.6348072727687283E-4</v>
      </c>
      <c r="I195">
        <v>0</v>
      </c>
      <c r="J195">
        <f t="shared" si="38"/>
        <v>8.2114518972712752E-5</v>
      </c>
      <c r="K195">
        <f t="shared" si="27"/>
        <v>2.1505522904817216E-3</v>
      </c>
      <c r="L195">
        <f t="shared" si="28"/>
        <v>69.782476195434469</v>
      </c>
      <c r="M195">
        <f t="shared" si="29"/>
        <v>1.5391893610238407</v>
      </c>
      <c r="N195">
        <f t="shared" si="30"/>
        <v>2.2056961073051493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26259.55965476227</v>
      </c>
      <c r="T195">
        <f t="shared" si="34"/>
        <v>799.99893333333296</v>
      </c>
      <c r="U195">
        <f t="shared" si="35"/>
        <v>674.39933279969057</v>
      </c>
      <c r="V195">
        <f t="shared" si="36"/>
        <v>0.84300029000000021</v>
      </c>
      <c r="W195">
        <f t="shared" si="37"/>
        <v>0.15870059508000003</v>
      </c>
      <c r="X195">
        <v>1</v>
      </c>
      <c r="Y195">
        <v>1769186339.03333</v>
      </c>
      <c r="Z195">
        <v>409.71280000000002</v>
      </c>
      <c r="AA195">
        <v>410.00406666666697</v>
      </c>
      <c r="AB195">
        <v>15.3666466666667</v>
      </c>
      <c r="AC195">
        <v>14.6731266666667</v>
      </c>
      <c r="AD195">
        <v>410.63086666666698</v>
      </c>
      <c r="AE195">
        <v>15.2735933333333</v>
      </c>
      <c r="AF195">
        <v>800.00853333333305</v>
      </c>
      <c r="AG195">
        <v>100.099</v>
      </c>
      <c r="AH195">
        <v>6.5297026666666702E-2</v>
      </c>
      <c r="AI195">
        <v>19.0037466666667</v>
      </c>
      <c r="AJ195">
        <v>999.9</v>
      </c>
      <c r="AK195">
        <v>999.9</v>
      </c>
      <c r="AL195">
        <v>0</v>
      </c>
      <c r="AM195">
        <v>0</v>
      </c>
      <c r="AN195">
        <v>5001.9333333333298</v>
      </c>
      <c r="AO195">
        <v>0</v>
      </c>
      <c r="AP195">
        <v>2.14547</v>
      </c>
      <c r="AQ195">
        <v>-0.29125166666666702</v>
      </c>
      <c r="AR195">
        <v>416.10700000000003</v>
      </c>
      <c r="AS195">
        <v>416.10966666666701</v>
      </c>
      <c r="AT195">
        <v>0.69352486666666702</v>
      </c>
      <c r="AU195">
        <v>410.00406666666697</v>
      </c>
      <c r="AV195">
        <v>14.6731266666667</v>
      </c>
      <c r="AW195">
        <v>1.53818533333333</v>
      </c>
      <c r="AX195">
        <v>1.4687653333333299</v>
      </c>
      <c r="AY195">
        <v>13.353120000000001</v>
      </c>
      <c r="AZ195">
        <v>12.64682</v>
      </c>
      <c r="BA195">
        <v>799.99893333333296</v>
      </c>
      <c r="BB195">
        <v>0.89999226666666698</v>
      </c>
      <c r="BC195">
        <v>0</v>
      </c>
      <c r="BD195">
        <v>0.10000779999999999</v>
      </c>
      <c r="BE195">
        <v>0</v>
      </c>
      <c r="BF195">
        <v>25</v>
      </c>
      <c r="BG195">
        <v>13190.98</v>
      </c>
      <c r="BH195">
        <v>1769186165.0999999</v>
      </c>
      <c r="BI195" t="s">
        <v>633</v>
      </c>
      <c r="BJ195">
        <v>1769186165.0999999</v>
      </c>
      <c r="BK195">
        <v>1769186160.0999999</v>
      </c>
      <c r="BL195">
        <v>6</v>
      </c>
      <c r="BM195">
        <v>7.4999999999999997E-2</v>
      </c>
      <c r="BN195">
        <v>-5.7000000000000002E-2</v>
      </c>
      <c r="BO195">
        <v>-0.91800000000000004</v>
      </c>
      <c r="BP195">
        <v>9.2999999999999999E-2</v>
      </c>
      <c r="BQ195">
        <v>410</v>
      </c>
      <c r="BR195">
        <v>15</v>
      </c>
      <c r="BS195">
        <v>0.18</v>
      </c>
      <c r="BT195">
        <v>0.08</v>
      </c>
      <c r="BU195">
        <v>-0.28911338095238098</v>
      </c>
      <c r="BV195">
        <v>1.23450389610383E-2</v>
      </c>
      <c r="BW195">
        <v>1.66906970366477E-2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0.69431214285714304</v>
      </c>
      <c r="CD195">
        <v>-1.8560103896103901E-2</v>
      </c>
      <c r="CE195">
        <v>2.4857081061773201E-3</v>
      </c>
      <c r="CF195">
        <v>1</v>
      </c>
      <c r="CG195">
        <v>2</v>
      </c>
      <c r="CH195">
        <v>2</v>
      </c>
      <c r="CI195" t="s">
        <v>310</v>
      </c>
      <c r="CJ195">
        <v>3.5325199999999999</v>
      </c>
      <c r="CK195">
        <v>2.7029999999999998</v>
      </c>
      <c r="CL195">
        <v>9.7880999999999996E-2</v>
      </c>
      <c r="CM195">
        <v>9.6567799999999995E-2</v>
      </c>
      <c r="CN195">
        <v>8.69341E-2</v>
      </c>
      <c r="CO195">
        <v>8.3134700000000006E-2</v>
      </c>
      <c r="CP195">
        <v>31620.3</v>
      </c>
      <c r="CQ195">
        <v>27770.799999999999</v>
      </c>
      <c r="CR195">
        <v>32441.599999999999</v>
      </c>
      <c r="CS195">
        <v>30666.9</v>
      </c>
      <c r="CT195">
        <v>40109.300000000003</v>
      </c>
      <c r="CU195">
        <v>39534.1</v>
      </c>
      <c r="CV195">
        <v>47377.2</v>
      </c>
      <c r="CW195">
        <v>46763.4</v>
      </c>
      <c r="CX195">
        <v>2.6207400000000001</v>
      </c>
      <c r="CY195">
        <v>2.1275200000000001</v>
      </c>
      <c r="CZ195">
        <v>0</v>
      </c>
      <c r="DA195">
        <v>0</v>
      </c>
      <c r="DB195">
        <v>999.9</v>
      </c>
      <c r="DC195">
        <v>999.9</v>
      </c>
      <c r="DD195">
        <v>57.734000000000002</v>
      </c>
      <c r="DE195">
        <v>26.919</v>
      </c>
      <c r="DF195">
        <v>20.546800000000001</v>
      </c>
      <c r="DG195">
        <v>30.6402</v>
      </c>
      <c r="DH195">
        <v>17.796500000000002</v>
      </c>
      <c r="DI195">
        <v>2</v>
      </c>
      <c r="DJ195">
        <v>-0.106575</v>
      </c>
      <c r="DK195">
        <v>2.56358</v>
      </c>
      <c r="DL195">
        <v>20.190799999999999</v>
      </c>
      <c r="DM195">
        <v>5.2517899999999997</v>
      </c>
      <c r="DN195">
        <v>12.033899999999999</v>
      </c>
      <c r="DO195">
        <v>4.9674399999999999</v>
      </c>
      <c r="DP195">
        <v>3.2909999999999999</v>
      </c>
      <c r="DQ195">
        <v>9999</v>
      </c>
      <c r="DR195">
        <v>9999</v>
      </c>
      <c r="DS195">
        <v>534.9</v>
      </c>
      <c r="DT195">
        <v>9999</v>
      </c>
      <c r="DU195">
        <v>1.87104</v>
      </c>
      <c r="DV195">
        <v>1.8760699999999999</v>
      </c>
      <c r="DW195">
        <v>1.8762399999999999</v>
      </c>
      <c r="DX195">
        <v>1.8827799999999999</v>
      </c>
      <c r="DY195">
        <v>1.87557</v>
      </c>
      <c r="DZ195">
        <v>1.8746400000000001</v>
      </c>
      <c r="EA195">
        <v>1.8707400000000001</v>
      </c>
      <c r="EB195">
        <v>1.87459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-0.91800000000000004</v>
      </c>
      <c r="EQ195">
        <v>9.2999999999999999E-2</v>
      </c>
      <c r="ER195">
        <v>-0.91809090909089297</v>
      </c>
      <c r="ES195">
        <v>0</v>
      </c>
      <c r="ET195">
        <v>0</v>
      </c>
      <c r="EU195">
        <v>0</v>
      </c>
      <c r="EV195">
        <v>9.3060000000003001E-2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3</v>
      </c>
      <c r="FE195">
        <v>3.1</v>
      </c>
      <c r="FF195">
        <v>1.2402299999999999</v>
      </c>
      <c r="FG195">
        <v>2.5695800000000002</v>
      </c>
      <c r="FH195">
        <v>2.19604</v>
      </c>
      <c r="FI195">
        <v>2.66235</v>
      </c>
      <c r="FJ195">
        <v>2.4462899999999999</v>
      </c>
      <c r="FK195">
        <v>2.2705099999999998</v>
      </c>
      <c r="FL195">
        <v>31.6736</v>
      </c>
      <c r="FM195">
        <v>24.1313</v>
      </c>
      <c r="FN195">
        <v>19</v>
      </c>
      <c r="FO195">
        <v>864.976</v>
      </c>
      <c r="FP195">
        <v>575.46100000000001</v>
      </c>
      <c r="FQ195">
        <v>17.871500000000001</v>
      </c>
      <c r="FR195">
        <v>25.621500000000001</v>
      </c>
      <c r="FS195">
        <v>30.0001</v>
      </c>
      <c r="FT195">
        <v>25.600899999999999</v>
      </c>
      <c r="FU195">
        <v>25.602599999999999</v>
      </c>
      <c r="FV195">
        <v>24.888300000000001</v>
      </c>
      <c r="FW195">
        <v>31.2819</v>
      </c>
      <c r="FX195">
        <v>0</v>
      </c>
      <c r="FY195">
        <v>17.868400000000001</v>
      </c>
      <c r="FZ195">
        <v>410</v>
      </c>
      <c r="GA195">
        <v>14.640700000000001</v>
      </c>
      <c r="GB195">
        <v>99.831500000000005</v>
      </c>
      <c r="GC195">
        <v>99.553200000000004</v>
      </c>
    </row>
    <row r="196" spans="1:185" x14ac:dyDescent="0.2">
      <c r="A196">
        <v>181</v>
      </c>
      <c r="B196">
        <v>1769186362.0999999</v>
      </c>
      <c r="C196">
        <v>3499.0999999046298</v>
      </c>
      <c r="D196" t="s">
        <v>660</v>
      </c>
      <c r="E196" t="s">
        <v>661</v>
      </c>
      <c r="F196">
        <v>15</v>
      </c>
      <c r="G196">
        <v>1769186354.03333</v>
      </c>
      <c r="H196">
        <f t="shared" si="26"/>
        <v>5.595002708977542E-4</v>
      </c>
      <c r="I196">
        <v>0</v>
      </c>
      <c r="J196">
        <f t="shared" si="38"/>
        <v>-1.2845361582404573E-4</v>
      </c>
      <c r="K196">
        <f t="shared" si="27"/>
        <v>-3.3641580220771833E-3</v>
      </c>
      <c r="L196">
        <f t="shared" si="28"/>
        <v>69.756226872093791</v>
      </c>
      <c r="M196">
        <f t="shared" si="29"/>
        <v>1.5385502149507353</v>
      </c>
      <c r="N196">
        <f t="shared" si="30"/>
        <v>2.2056098558367374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26252.912780567174</v>
      </c>
      <c r="T196">
        <f t="shared" si="34"/>
        <v>799.99893333333296</v>
      </c>
      <c r="U196">
        <f t="shared" si="35"/>
        <v>674.39924799980372</v>
      </c>
      <c r="V196">
        <f t="shared" si="36"/>
        <v>0.84300018400000032</v>
      </c>
      <c r="W196">
        <f t="shared" si="37"/>
        <v>0.15870033008000009</v>
      </c>
      <c r="X196">
        <v>1</v>
      </c>
      <c r="Y196">
        <v>1769186354.03333</v>
      </c>
      <c r="Z196">
        <v>409.70606666666703</v>
      </c>
      <c r="AA196">
        <v>409.98840000000001</v>
      </c>
      <c r="AB196">
        <v>15.3601666666667</v>
      </c>
      <c r="AC196">
        <v>14.671533333333301</v>
      </c>
      <c r="AD196">
        <v>410.62413333333302</v>
      </c>
      <c r="AE196">
        <v>15.267113333333301</v>
      </c>
      <c r="AF196">
        <v>799.99940000000004</v>
      </c>
      <c r="AG196">
        <v>100.09966666666701</v>
      </c>
      <c r="AH196">
        <v>6.5276093333333299E-2</v>
      </c>
      <c r="AI196">
        <v>19.003119999999999</v>
      </c>
      <c r="AJ196">
        <v>999.9</v>
      </c>
      <c r="AK196">
        <v>999.9</v>
      </c>
      <c r="AL196">
        <v>0</v>
      </c>
      <c r="AM196">
        <v>0</v>
      </c>
      <c r="AN196">
        <v>5000.8</v>
      </c>
      <c r="AO196">
        <v>0</v>
      </c>
      <c r="AP196">
        <v>2.14547</v>
      </c>
      <c r="AQ196">
        <v>-0.28238733333333299</v>
      </c>
      <c r="AR196">
        <v>416.09739999999999</v>
      </c>
      <c r="AS196">
        <v>416.09320000000002</v>
      </c>
      <c r="AT196">
        <v>0.68863046666666705</v>
      </c>
      <c r="AU196">
        <v>409.98840000000001</v>
      </c>
      <c r="AV196">
        <v>14.671533333333301</v>
      </c>
      <c r="AW196">
        <v>1.5375460000000001</v>
      </c>
      <c r="AX196">
        <v>1.46861466666667</v>
      </c>
      <c r="AY196">
        <v>13.34674</v>
      </c>
      <c r="AZ196">
        <v>12.6452666666667</v>
      </c>
      <c r="BA196">
        <v>799.99893333333296</v>
      </c>
      <c r="BB196">
        <v>0.89999580000000001</v>
      </c>
      <c r="BC196">
        <v>0</v>
      </c>
      <c r="BD196">
        <v>0.10000426666666699</v>
      </c>
      <c r="BE196">
        <v>0</v>
      </c>
      <c r="BF196">
        <v>25</v>
      </c>
      <c r="BG196">
        <v>13190.9866666667</v>
      </c>
      <c r="BH196">
        <v>1769186165.0999999</v>
      </c>
      <c r="BI196" t="s">
        <v>633</v>
      </c>
      <c r="BJ196">
        <v>1769186165.0999999</v>
      </c>
      <c r="BK196">
        <v>1769186160.0999999</v>
      </c>
      <c r="BL196">
        <v>6</v>
      </c>
      <c r="BM196">
        <v>7.4999999999999997E-2</v>
      </c>
      <c r="BN196">
        <v>-5.7000000000000002E-2</v>
      </c>
      <c r="BO196">
        <v>-0.91800000000000004</v>
      </c>
      <c r="BP196">
        <v>9.2999999999999999E-2</v>
      </c>
      <c r="BQ196">
        <v>410</v>
      </c>
      <c r="BR196">
        <v>15</v>
      </c>
      <c r="BS196">
        <v>0.18</v>
      </c>
      <c r="BT196">
        <v>0.08</v>
      </c>
      <c r="BU196">
        <v>-0.28591490476190501</v>
      </c>
      <c r="BV196">
        <v>9.7959116883116801E-2</v>
      </c>
      <c r="BW196">
        <v>1.87550475133769E-2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0.68917342857142905</v>
      </c>
      <c r="CD196">
        <v>-1.15247532467538E-2</v>
      </c>
      <c r="CE196">
        <v>1.3633333998635999E-3</v>
      </c>
      <c r="CF196">
        <v>1</v>
      </c>
      <c r="CG196">
        <v>2</v>
      </c>
      <c r="CH196">
        <v>2</v>
      </c>
      <c r="CI196" t="s">
        <v>310</v>
      </c>
      <c r="CJ196">
        <v>3.5325500000000001</v>
      </c>
      <c r="CK196">
        <v>2.7030699999999999</v>
      </c>
      <c r="CL196">
        <v>9.7889100000000007E-2</v>
      </c>
      <c r="CM196">
        <v>9.6561400000000006E-2</v>
      </c>
      <c r="CN196">
        <v>8.6915400000000004E-2</v>
      </c>
      <c r="CO196">
        <v>8.3132200000000003E-2</v>
      </c>
      <c r="CP196">
        <v>31620.6</v>
      </c>
      <c r="CQ196">
        <v>27770.400000000001</v>
      </c>
      <c r="CR196">
        <v>32442.3</v>
      </c>
      <c r="CS196">
        <v>30666.3</v>
      </c>
      <c r="CT196">
        <v>40110.800000000003</v>
      </c>
      <c r="CU196">
        <v>39533.599999999999</v>
      </c>
      <c r="CV196">
        <v>47377.9</v>
      </c>
      <c r="CW196">
        <v>46762.6</v>
      </c>
      <c r="CX196">
        <v>2.6208</v>
      </c>
      <c r="CY196">
        <v>2.1273399999999998</v>
      </c>
      <c r="CZ196">
        <v>0</v>
      </c>
      <c r="DA196">
        <v>0</v>
      </c>
      <c r="DB196">
        <v>999.9</v>
      </c>
      <c r="DC196">
        <v>999.9</v>
      </c>
      <c r="DD196">
        <v>57.691000000000003</v>
      </c>
      <c r="DE196">
        <v>26.919</v>
      </c>
      <c r="DF196">
        <v>20.530100000000001</v>
      </c>
      <c r="DG196">
        <v>30.610199999999999</v>
      </c>
      <c r="DH196">
        <v>17.764399999999998</v>
      </c>
      <c r="DI196">
        <v>2</v>
      </c>
      <c r="DJ196">
        <v>-0.106366</v>
      </c>
      <c r="DK196">
        <v>2.5733700000000002</v>
      </c>
      <c r="DL196">
        <v>20.1906</v>
      </c>
      <c r="DM196">
        <v>5.2509499999999996</v>
      </c>
      <c r="DN196">
        <v>12.033899999999999</v>
      </c>
      <c r="DO196">
        <v>4.9676</v>
      </c>
      <c r="DP196">
        <v>3.2909999999999999</v>
      </c>
      <c r="DQ196">
        <v>9999</v>
      </c>
      <c r="DR196">
        <v>9999</v>
      </c>
      <c r="DS196">
        <v>534.9</v>
      </c>
      <c r="DT196">
        <v>9999</v>
      </c>
      <c r="DU196">
        <v>1.87103</v>
      </c>
      <c r="DV196">
        <v>1.8760699999999999</v>
      </c>
      <c r="DW196">
        <v>1.87625</v>
      </c>
      <c r="DX196">
        <v>1.8827700000000001</v>
      </c>
      <c r="DY196">
        <v>1.8755599999999999</v>
      </c>
      <c r="DZ196">
        <v>1.8746400000000001</v>
      </c>
      <c r="EA196">
        <v>1.87073</v>
      </c>
      <c r="EB196">
        <v>1.8746100000000001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-0.91800000000000004</v>
      </c>
      <c r="EQ196">
        <v>9.2999999999999999E-2</v>
      </c>
      <c r="ER196">
        <v>-0.91809090909089297</v>
      </c>
      <c r="ES196">
        <v>0</v>
      </c>
      <c r="ET196">
        <v>0</v>
      </c>
      <c r="EU196">
        <v>0</v>
      </c>
      <c r="EV196">
        <v>9.3060000000003001E-2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3.3</v>
      </c>
      <c r="FE196">
        <v>3.4</v>
      </c>
      <c r="FF196">
        <v>1.2402299999999999</v>
      </c>
      <c r="FG196">
        <v>2.5683600000000002</v>
      </c>
      <c r="FH196">
        <v>2.19604</v>
      </c>
      <c r="FI196">
        <v>2.66357</v>
      </c>
      <c r="FJ196">
        <v>2.4462899999999999</v>
      </c>
      <c r="FK196">
        <v>2.3132299999999999</v>
      </c>
      <c r="FL196">
        <v>31.651700000000002</v>
      </c>
      <c r="FM196">
        <v>24.14</v>
      </c>
      <c r="FN196">
        <v>19</v>
      </c>
      <c r="FO196">
        <v>865.06600000000003</v>
      </c>
      <c r="FP196">
        <v>575.34199999999998</v>
      </c>
      <c r="FQ196">
        <v>17.860299999999999</v>
      </c>
      <c r="FR196">
        <v>25.6236</v>
      </c>
      <c r="FS196">
        <v>30.000299999999999</v>
      </c>
      <c r="FT196">
        <v>25.603000000000002</v>
      </c>
      <c r="FU196">
        <v>25.604299999999999</v>
      </c>
      <c r="FV196">
        <v>24.8903</v>
      </c>
      <c r="FW196">
        <v>31.2819</v>
      </c>
      <c r="FX196">
        <v>0</v>
      </c>
      <c r="FY196">
        <v>17.859100000000002</v>
      </c>
      <c r="FZ196">
        <v>410</v>
      </c>
      <c r="GA196">
        <v>14.6456</v>
      </c>
      <c r="GB196">
        <v>99.833200000000005</v>
      </c>
      <c r="GC196">
        <v>99.551400000000001</v>
      </c>
    </row>
    <row r="197" spans="1:185" x14ac:dyDescent="0.2">
      <c r="A197">
        <v>182</v>
      </c>
      <c r="B197">
        <v>1769186377.0999999</v>
      </c>
      <c r="C197">
        <v>3514.0999999046298</v>
      </c>
      <c r="D197" t="s">
        <v>662</v>
      </c>
      <c r="E197" t="s">
        <v>663</v>
      </c>
      <c r="F197">
        <v>15</v>
      </c>
      <c r="G197">
        <v>1769186369.03333</v>
      </c>
      <c r="H197">
        <f t="shared" si="26"/>
        <v>5.6046051603675709E-4</v>
      </c>
      <c r="I197">
        <v>0</v>
      </c>
      <c r="J197">
        <f t="shared" si="38"/>
        <v>-1.9865867527607781E-4</v>
      </c>
      <c r="K197">
        <f t="shared" si="27"/>
        <v>-5.202805478054422E-3</v>
      </c>
      <c r="L197">
        <f t="shared" si="28"/>
        <v>69.774013671028285</v>
      </c>
      <c r="M197">
        <f t="shared" si="29"/>
        <v>1.5385373139005163</v>
      </c>
      <c r="N197">
        <f t="shared" si="30"/>
        <v>2.20502911177568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26231.054913634733</v>
      </c>
      <c r="T197">
        <f t="shared" si="34"/>
        <v>800.00046666666697</v>
      </c>
      <c r="U197">
        <f t="shared" si="35"/>
        <v>674.40043660002539</v>
      </c>
      <c r="V197">
        <f t="shared" si="36"/>
        <v>0.84300005399999989</v>
      </c>
      <c r="W197">
        <f t="shared" si="37"/>
        <v>0.15870013499999999</v>
      </c>
      <c r="X197">
        <v>1</v>
      </c>
      <c r="Y197">
        <v>1769186369.03333</v>
      </c>
      <c r="Z197">
        <v>409.71653333333302</v>
      </c>
      <c r="AA197">
        <v>409.99706666666702</v>
      </c>
      <c r="AB197">
        <v>15.360046666666699</v>
      </c>
      <c r="AC197">
        <v>14.6702333333333</v>
      </c>
      <c r="AD197">
        <v>410.63453333333302</v>
      </c>
      <c r="AE197">
        <v>15.2669866666667</v>
      </c>
      <c r="AF197">
        <v>800.00166666666701</v>
      </c>
      <c r="AG197">
        <v>100.09973333333301</v>
      </c>
      <c r="AH197">
        <v>6.5152053333333307E-2</v>
      </c>
      <c r="AI197">
        <v>18.998899999999999</v>
      </c>
      <c r="AJ197">
        <v>999.9</v>
      </c>
      <c r="AK197">
        <v>999.9</v>
      </c>
      <c r="AL197">
        <v>0</v>
      </c>
      <c r="AM197">
        <v>0</v>
      </c>
      <c r="AN197">
        <v>4997.1333333333296</v>
      </c>
      <c r="AO197">
        <v>0</v>
      </c>
      <c r="AP197">
        <v>2.14547</v>
      </c>
      <c r="AQ197">
        <v>-0.28043200000000001</v>
      </c>
      <c r="AR197">
        <v>416.10806666666701</v>
      </c>
      <c r="AS197">
        <v>416.101333333333</v>
      </c>
      <c r="AT197">
        <v>0.68981073333333298</v>
      </c>
      <c r="AU197">
        <v>409.99706666666702</v>
      </c>
      <c r="AV197">
        <v>14.6702333333333</v>
      </c>
      <c r="AW197">
        <v>1.5375366666666701</v>
      </c>
      <c r="AX197">
        <v>1.46848666666667</v>
      </c>
      <c r="AY197">
        <v>13.346640000000001</v>
      </c>
      <c r="AZ197">
        <v>12.643926666666699</v>
      </c>
      <c r="BA197">
        <v>800.00046666666697</v>
      </c>
      <c r="BB197">
        <v>0.89999819999999997</v>
      </c>
      <c r="BC197">
        <v>0</v>
      </c>
      <c r="BD197">
        <v>0.1000018</v>
      </c>
      <c r="BE197">
        <v>0</v>
      </c>
      <c r="BF197">
        <v>25</v>
      </c>
      <c r="BG197">
        <v>13191.026666666699</v>
      </c>
      <c r="BH197">
        <v>1769186165.0999999</v>
      </c>
      <c r="BI197" t="s">
        <v>633</v>
      </c>
      <c r="BJ197">
        <v>1769186165.0999999</v>
      </c>
      <c r="BK197">
        <v>1769186160.0999999</v>
      </c>
      <c r="BL197">
        <v>6</v>
      </c>
      <c r="BM197">
        <v>7.4999999999999997E-2</v>
      </c>
      <c r="BN197">
        <v>-5.7000000000000002E-2</v>
      </c>
      <c r="BO197">
        <v>-0.91800000000000004</v>
      </c>
      <c r="BP197">
        <v>9.2999999999999999E-2</v>
      </c>
      <c r="BQ197">
        <v>410</v>
      </c>
      <c r="BR197">
        <v>15</v>
      </c>
      <c r="BS197">
        <v>0.18</v>
      </c>
      <c r="BT197">
        <v>0.08</v>
      </c>
      <c r="BU197">
        <v>-0.27618094999999998</v>
      </c>
      <c r="BV197">
        <v>-3.65239849624064E-2</v>
      </c>
      <c r="BW197">
        <v>2.3251862132902399E-2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0.68929815000000005</v>
      </c>
      <c r="CD197">
        <v>7.9750827067656301E-3</v>
      </c>
      <c r="CE197">
        <v>1.4352489775296799E-3</v>
      </c>
      <c r="CF197">
        <v>1</v>
      </c>
      <c r="CG197">
        <v>2</v>
      </c>
      <c r="CH197">
        <v>2</v>
      </c>
      <c r="CI197" t="s">
        <v>310</v>
      </c>
      <c r="CJ197">
        <v>3.5324499999999999</v>
      </c>
      <c r="CK197">
        <v>2.7025299999999999</v>
      </c>
      <c r="CL197">
        <v>9.7889299999999999E-2</v>
      </c>
      <c r="CM197">
        <v>9.6569500000000003E-2</v>
      </c>
      <c r="CN197">
        <v>8.6920200000000003E-2</v>
      </c>
      <c r="CO197">
        <v>8.3127199999999998E-2</v>
      </c>
      <c r="CP197">
        <v>31620.5</v>
      </c>
      <c r="CQ197">
        <v>27770.7</v>
      </c>
      <c r="CR197">
        <v>32442.1</v>
      </c>
      <c r="CS197">
        <v>30666.799999999999</v>
      </c>
      <c r="CT197">
        <v>40110.199999999997</v>
      </c>
      <c r="CU197">
        <v>39534.699999999997</v>
      </c>
      <c r="CV197">
        <v>47377.5</v>
      </c>
      <c r="CW197">
        <v>46763.6</v>
      </c>
      <c r="CX197">
        <v>2.62094</v>
      </c>
      <c r="CY197">
        <v>2.1274199999999999</v>
      </c>
      <c r="CZ197">
        <v>0</v>
      </c>
      <c r="DA197">
        <v>0</v>
      </c>
      <c r="DB197">
        <v>999.9</v>
      </c>
      <c r="DC197">
        <v>999.9</v>
      </c>
      <c r="DD197">
        <v>57.667000000000002</v>
      </c>
      <c r="DE197">
        <v>26.939</v>
      </c>
      <c r="DF197">
        <v>20.545100000000001</v>
      </c>
      <c r="DG197">
        <v>30.400200000000002</v>
      </c>
      <c r="DH197">
        <v>17.904599999999999</v>
      </c>
      <c r="DI197">
        <v>2</v>
      </c>
      <c r="DJ197">
        <v>-0.10639800000000001</v>
      </c>
      <c r="DK197">
        <v>2.5073599999999998</v>
      </c>
      <c r="DL197">
        <v>20.1907</v>
      </c>
      <c r="DM197">
        <v>5.2462799999999996</v>
      </c>
      <c r="DN197">
        <v>12.033899999999999</v>
      </c>
      <c r="DO197">
        <v>4.9667599999999998</v>
      </c>
      <c r="DP197">
        <v>3.2902999999999998</v>
      </c>
      <c r="DQ197">
        <v>9999</v>
      </c>
      <c r="DR197">
        <v>9999</v>
      </c>
      <c r="DS197">
        <v>534.9</v>
      </c>
      <c r="DT197">
        <v>9999</v>
      </c>
      <c r="DU197">
        <v>1.87103</v>
      </c>
      <c r="DV197">
        <v>1.8760699999999999</v>
      </c>
      <c r="DW197">
        <v>1.8762399999999999</v>
      </c>
      <c r="DX197">
        <v>1.8827799999999999</v>
      </c>
      <c r="DY197">
        <v>1.87558</v>
      </c>
      <c r="DZ197">
        <v>1.8746499999999999</v>
      </c>
      <c r="EA197">
        <v>1.8707400000000001</v>
      </c>
      <c r="EB197">
        <v>1.87463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-0.91800000000000004</v>
      </c>
      <c r="EQ197">
        <v>9.3100000000000002E-2</v>
      </c>
      <c r="ER197">
        <v>-0.91809090909089297</v>
      </c>
      <c r="ES197">
        <v>0</v>
      </c>
      <c r="ET197">
        <v>0</v>
      </c>
      <c r="EU197">
        <v>0</v>
      </c>
      <c r="EV197">
        <v>9.3060000000003001E-2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3.5</v>
      </c>
      <c r="FE197">
        <v>3.6</v>
      </c>
      <c r="FF197">
        <v>1.2402299999999999</v>
      </c>
      <c r="FG197">
        <v>2.5683600000000002</v>
      </c>
      <c r="FH197">
        <v>2.19604</v>
      </c>
      <c r="FI197">
        <v>2.66235</v>
      </c>
      <c r="FJ197">
        <v>2.4462899999999999</v>
      </c>
      <c r="FK197">
        <v>2.3107899999999999</v>
      </c>
      <c r="FL197">
        <v>31.6736</v>
      </c>
      <c r="FM197">
        <v>24.14</v>
      </c>
      <c r="FN197">
        <v>19</v>
      </c>
      <c r="FO197">
        <v>865.23099999999999</v>
      </c>
      <c r="FP197">
        <v>575.42100000000005</v>
      </c>
      <c r="FQ197">
        <v>17.866800000000001</v>
      </c>
      <c r="FR197">
        <v>25.625800000000002</v>
      </c>
      <c r="FS197">
        <v>30.0001</v>
      </c>
      <c r="FT197">
        <v>25.6052</v>
      </c>
      <c r="FU197">
        <v>25.605799999999999</v>
      </c>
      <c r="FV197">
        <v>24.8872</v>
      </c>
      <c r="FW197">
        <v>31.2819</v>
      </c>
      <c r="FX197">
        <v>0</v>
      </c>
      <c r="FY197">
        <v>17.873799999999999</v>
      </c>
      <c r="FZ197">
        <v>410</v>
      </c>
      <c r="GA197">
        <v>14.647600000000001</v>
      </c>
      <c r="GB197">
        <v>99.832499999999996</v>
      </c>
      <c r="GC197">
        <v>99.553399999999996</v>
      </c>
    </row>
    <row r="198" spans="1:185" x14ac:dyDescent="0.2">
      <c r="A198">
        <v>183</v>
      </c>
      <c r="B198">
        <v>1769186392.0999999</v>
      </c>
      <c r="C198">
        <v>3529.0999999046298</v>
      </c>
      <c r="D198" t="s">
        <v>664</v>
      </c>
      <c r="E198" t="s">
        <v>665</v>
      </c>
      <c r="F198">
        <v>15</v>
      </c>
      <c r="G198">
        <v>1769186384.03333</v>
      </c>
      <c r="H198">
        <f t="shared" si="26"/>
        <v>5.5968847163236654E-4</v>
      </c>
      <c r="I198">
        <v>0</v>
      </c>
      <c r="J198">
        <f t="shared" si="38"/>
        <v>2.8190646392848868E-4</v>
      </c>
      <c r="K198">
        <f t="shared" si="27"/>
        <v>7.3830377293506036E-3</v>
      </c>
      <c r="L198">
        <f t="shared" si="28"/>
        <v>69.769256177588403</v>
      </c>
      <c r="M198">
        <f t="shared" si="29"/>
        <v>1.5384016889894032</v>
      </c>
      <c r="N198">
        <f t="shared" si="30"/>
        <v>2.2049850797801334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26242.171644217528</v>
      </c>
      <c r="T198">
        <f t="shared" si="34"/>
        <v>799.99933333333297</v>
      </c>
      <c r="U198">
        <f t="shared" si="35"/>
        <v>674.39952279992906</v>
      </c>
      <c r="V198">
        <f t="shared" si="36"/>
        <v>0.84300010599999997</v>
      </c>
      <c r="W198">
        <f t="shared" si="37"/>
        <v>0.15870026499999998</v>
      </c>
      <c r="X198">
        <v>1</v>
      </c>
      <c r="Y198">
        <v>1769186384.03333</v>
      </c>
      <c r="Z198">
        <v>409.71379999999999</v>
      </c>
      <c r="AA198">
        <v>410.00966666666699</v>
      </c>
      <c r="AB198">
        <v>15.359066666666701</v>
      </c>
      <c r="AC198">
        <v>14.670206666666701</v>
      </c>
      <c r="AD198">
        <v>410.63186666666701</v>
      </c>
      <c r="AE198">
        <v>15.266019999999999</v>
      </c>
      <c r="AF198">
        <v>800.00606666666704</v>
      </c>
      <c r="AG198">
        <v>100.097266666667</v>
      </c>
      <c r="AH198">
        <v>6.5179553333333307E-2</v>
      </c>
      <c r="AI198">
        <v>18.99858</v>
      </c>
      <c r="AJ198">
        <v>999.9</v>
      </c>
      <c r="AK198">
        <v>999.9</v>
      </c>
      <c r="AL198">
        <v>0</v>
      </c>
      <c r="AM198">
        <v>0</v>
      </c>
      <c r="AN198">
        <v>4999.0666666666702</v>
      </c>
      <c r="AO198">
        <v>0</v>
      </c>
      <c r="AP198">
        <v>2.14547</v>
      </c>
      <c r="AQ198">
        <v>-0.29587213333333301</v>
      </c>
      <c r="AR198">
        <v>416.10466666666701</v>
      </c>
      <c r="AS198">
        <v>416.11426666666699</v>
      </c>
      <c r="AT198">
        <v>0.68886320000000001</v>
      </c>
      <c r="AU198">
        <v>410.00966666666699</v>
      </c>
      <c r="AV198">
        <v>14.670206666666701</v>
      </c>
      <c r="AW198">
        <v>1.5374000000000001</v>
      </c>
      <c r="AX198">
        <v>1.468448</v>
      </c>
      <c r="AY198">
        <v>13.3452866666667</v>
      </c>
      <c r="AZ198">
        <v>12.643520000000001</v>
      </c>
      <c r="BA198">
        <v>799.99933333333297</v>
      </c>
      <c r="BB198">
        <v>0.89999646666666699</v>
      </c>
      <c r="BC198">
        <v>0</v>
      </c>
      <c r="BD198">
        <v>0.10000353333333301</v>
      </c>
      <c r="BE198">
        <v>0</v>
      </c>
      <c r="BF198">
        <v>25</v>
      </c>
      <c r="BG198">
        <v>13191.006666666701</v>
      </c>
      <c r="BH198">
        <v>1769186165.0999999</v>
      </c>
      <c r="BI198" t="s">
        <v>633</v>
      </c>
      <c r="BJ198">
        <v>1769186165.0999999</v>
      </c>
      <c r="BK198">
        <v>1769186160.0999999</v>
      </c>
      <c r="BL198">
        <v>6</v>
      </c>
      <c r="BM198">
        <v>7.4999999999999997E-2</v>
      </c>
      <c r="BN198">
        <v>-5.7000000000000002E-2</v>
      </c>
      <c r="BO198">
        <v>-0.91800000000000004</v>
      </c>
      <c r="BP198">
        <v>9.2999999999999999E-2</v>
      </c>
      <c r="BQ198">
        <v>410</v>
      </c>
      <c r="BR198">
        <v>15</v>
      </c>
      <c r="BS198">
        <v>0.18</v>
      </c>
      <c r="BT198">
        <v>0.08</v>
      </c>
      <c r="BU198">
        <v>-0.28961190476190501</v>
      </c>
      <c r="BV198">
        <v>-0.11239410389610401</v>
      </c>
      <c r="BW198">
        <v>1.9410683184916899E-2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0.68917785714285695</v>
      </c>
      <c r="CD198">
        <v>-9.87428571428383E-3</v>
      </c>
      <c r="CE198">
        <v>1.39110484647188E-3</v>
      </c>
      <c r="CF198">
        <v>1</v>
      </c>
      <c r="CG198">
        <v>2</v>
      </c>
      <c r="CH198">
        <v>2</v>
      </c>
      <c r="CI198" t="s">
        <v>310</v>
      </c>
      <c r="CJ198">
        <v>3.5325600000000001</v>
      </c>
      <c r="CK198">
        <v>2.7033</v>
      </c>
      <c r="CL198">
        <v>9.7885200000000006E-2</v>
      </c>
      <c r="CM198">
        <v>9.6567100000000003E-2</v>
      </c>
      <c r="CN198">
        <v>8.6911199999999994E-2</v>
      </c>
      <c r="CO198">
        <v>8.3119999999999999E-2</v>
      </c>
      <c r="CP198">
        <v>31620</v>
      </c>
      <c r="CQ198">
        <v>27770.9</v>
      </c>
      <c r="CR198">
        <v>32441.5</v>
      </c>
      <c r="CS198">
        <v>30667</v>
      </c>
      <c r="CT198">
        <v>40109.599999999999</v>
      </c>
      <c r="CU198">
        <v>39535.4</v>
      </c>
      <c r="CV198">
        <v>47376.4</v>
      </c>
      <c r="CW198">
        <v>46764.1</v>
      </c>
      <c r="CX198">
        <v>2.6209600000000002</v>
      </c>
      <c r="CY198">
        <v>2.1272799999999998</v>
      </c>
      <c r="CZ198">
        <v>0</v>
      </c>
      <c r="DA198">
        <v>0</v>
      </c>
      <c r="DB198">
        <v>999.9</v>
      </c>
      <c r="DC198">
        <v>999.9</v>
      </c>
      <c r="DD198">
        <v>57.618000000000002</v>
      </c>
      <c r="DE198">
        <v>26.939</v>
      </c>
      <c r="DF198">
        <v>20.5291</v>
      </c>
      <c r="DG198">
        <v>30.6402</v>
      </c>
      <c r="DH198">
        <v>17.796500000000002</v>
      </c>
      <c r="DI198">
        <v>2</v>
      </c>
      <c r="DJ198">
        <v>-0.106248</v>
      </c>
      <c r="DK198">
        <v>2.53044</v>
      </c>
      <c r="DL198">
        <v>20.191099999999999</v>
      </c>
      <c r="DM198">
        <v>5.2516699999999998</v>
      </c>
      <c r="DN198">
        <v>12.033899999999999</v>
      </c>
      <c r="DO198">
        <v>4.9672000000000001</v>
      </c>
      <c r="DP198">
        <v>3.2909999999999999</v>
      </c>
      <c r="DQ198">
        <v>9999</v>
      </c>
      <c r="DR198">
        <v>9999</v>
      </c>
      <c r="DS198">
        <v>534.9</v>
      </c>
      <c r="DT198">
        <v>9999</v>
      </c>
      <c r="DU198">
        <v>1.87104</v>
      </c>
      <c r="DV198">
        <v>1.8760699999999999</v>
      </c>
      <c r="DW198">
        <v>1.8762399999999999</v>
      </c>
      <c r="DX198">
        <v>1.8827799999999999</v>
      </c>
      <c r="DY198">
        <v>1.8755900000000001</v>
      </c>
      <c r="DZ198">
        <v>1.87466</v>
      </c>
      <c r="EA198">
        <v>1.8707499999999999</v>
      </c>
      <c r="EB198">
        <v>1.8746400000000001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-0.91800000000000004</v>
      </c>
      <c r="EQ198">
        <v>9.3100000000000002E-2</v>
      </c>
      <c r="ER198">
        <v>-0.91809090909089297</v>
      </c>
      <c r="ES198">
        <v>0</v>
      </c>
      <c r="ET198">
        <v>0</v>
      </c>
      <c r="EU198">
        <v>0</v>
      </c>
      <c r="EV198">
        <v>9.3060000000003001E-2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3.8</v>
      </c>
      <c r="FE198">
        <v>3.9</v>
      </c>
      <c r="FF198">
        <v>1.2402299999999999</v>
      </c>
      <c r="FG198">
        <v>2.5720200000000002</v>
      </c>
      <c r="FH198">
        <v>2.19604</v>
      </c>
      <c r="FI198">
        <v>2.66235</v>
      </c>
      <c r="FJ198">
        <v>2.4462899999999999</v>
      </c>
      <c r="FK198">
        <v>2.2705099999999998</v>
      </c>
      <c r="FL198">
        <v>31.6736</v>
      </c>
      <c r="FM198">
        <v>24.1313</v>
      </c>
      <c r="FN198">
        <v>19</v>
      </c>
      <c r="FO198">
        <v>865.28300000000002</v>
      </c>
      <c r="FP198">
        <v>575.33799999999997</v>
      </c>
      <c r="FQ198">
        <v>17.8766</v>
      </c>
      <c r="FR198">
        <v>25.6279</v>
      </c>
      <c r="FS198">
        <v>30</v>
      </c>
      <c r="FT198">
        <v>25.607299999999999</v>
      </c>
      <c r="FU198">
        <v>25.607900000000001</v>
      </c>
      <c r="FV198">
        <v>24.885999999999999</v>
      </c>
      <c r="FW198">
        <v>31.2819</v>
      </c>
      <c r="FX198">
        <v>0</v>
      </c>
      <c r="FY198">
        <v>17.8766</v>
      </c>
      <c r="FZ198">
        <v>410</v>
      </c>
      <c r="GA198">
        <v>14.657400000000001</v>
      </c>
      <c r="GB198">
        <v>99.830200000000005</v>
      </c>
      <c r="GC198">
        <v>99.554199999999994</v>
      </c>
    </row>
    <row r="199" spans="1:185" x14ac:dyDescent="0.2">
      <c r="A199">
        <v>184</v>
      </c>
      <c r="B199">
        <v>1769186407.0999999</v>
      </c>
      <c r="C199">
        <v>3544.0999999046298</v>
      </c>
      <c r="D199" t="s">
        <v>666</v>
      </c>
      <c r="E199" t="s">
        <v>667</v>
      </c>
      <c r="F199">
        <v>15</v>
      </c>
      <c r="G199">
        <v>1769186399.03333</v>
      </c>
      <c r="H199">
        <f t="shared" si="26"/>
        <v>5.5851270744006903E-4</v>
      </c>
      <c r="I199">
        <v>0</v>
      </c>
      <c r="J199">
        <f t="shared" si="38"/>
        <v>-1.0883525013943969E-4</v>
      </c>
      <c r="K199">
        <f t="shared" si="27"/>
        <v>-2.8503594662754052E-3</v>
      </c>
      <c r="L199">
        <f t="shared" si="28"/>
        <v>69.755136124156252</v>
      </c>
      <c r="M199">
        <f t="shared" si="29"/>
        <v>1.5381511337088225</v>
      </c>
      <c r="N199">
        <f t="shared" si="30"/>
        <v>2.205072227184945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26251.815394644054</v>
      </c>
      <c r="T199">
        <f t="shared" si="34"/>
        <v>800.00040000000001</v>
      </c>
      <c r="U199">
        <f t="shared" si="35"/>
        <v>674.40036760001522</v>
      </c>
      <c r="V199">
        <f t="shared" si="36"/>
        <v>0.84300003800000001</v>
      </c>
      <c r="W199">
        <f t="shared" si="37"/>
        <v>0.15870009500000004</v>
      </c>
      <c r="X199">
        <v>1</v>
      </c>
      <c r="Y199">
        <v>1769186399.03333</v>
      </c>
      <c r="Z199">
        <v>409.705733333333</v>
      </c>
      <c r="AA199">
        <v>409.98820000000001</v>
      </c>
      <c r="AB199">
        <v>15.356446666666701</v>
      </c>
      <c r="AC199">
        <v>14.669033333333299</v>
      </c>
      <c r="AD199">
        <v>410.62373333333301</v>
      </c>
      <c r="AE199">
        <v>15.2633733333333</v>
      </c>
      <c r="AF199">
        <v>800.00766666666698</v>
      </c>
      <c r="AG199">
        <v>100.098</v>
      </c>
      <c r="AH199">
        <v>6.5219206666666696E-2</v>
      </c>
      <c r="AI199">
        <v>18.999213333333302</v>
      </c>
      <c r="AJ199">
        <v>999.9</v>
      </c>
      <c r="AK199">
        <v>999.9</v>
      </c>
      <c r="AL199">
        <v>0</v>
      </c>
      <c r="AM199">
        <v>0</v>
      </c>
      <c r="AN199">
        <v>5000.6333333333296</v>
      </c>
      <c r="AO199">
        <v>0</v>
      </c>
      <c r="AP199">
        <v>2.14547</v>
      </c>
      <c r="AQ199">
        <v>-0.28242373333333298</v>
      </c>
      <c r="AR199">
        <v>416.09539999999998</v>
      </c>
      <c r="AS199">
        <v>416.09199999999998</v>
      </c>
      <c r="AT199">
        <v>0.68739513333333302</v>
      </c>
      <c r="AU199">
        <v>409.98820000000001</v>
      </c>
      <c r="AV199">
        <v>14.669033333333299</v>
      </c>
      <c r="AW199">
        <v>1.5371506666666701</v>
      </c>
      <c r="AX199">
        <v>1.4683426666666699</v>
      </c>
      <c r="AY199">
        <v>13.342786666666701</v>
      </c>
      <c r="AZ199">
        <v>12.642426666666699</v>
      </c>
      <c r="BA199">
        <v>800.00040000000001</v>
      </c>
      <c r="BB199">
        <v>0.89999873333333302</v>
      </c>
      <c r="BC199">
        <v>0</v>
      </c>
      <c r="BD199">
        <v>0.100001266666667</v>
      </c>
      <c r="BE199">
        <v>0</v>
      </c>
      <c r="BF199">
        <v>25</v>
      </c>
      <c r="BG199">
        <v>13191.02</v>
      </c>
      <c r="BH199">
        <v>1769186165.0999999</v>
      </c>
      <c r="BI199" t="s">
        <v>633</v>
      </c>
      <c r="BJ199">
        <v>1769186165.0999999</v>
      </c>
      <c r="BK199">
        <v>1769186160.0999999</v>
      </c>
      <c r="BL199">
        <v>6</v>
      </c>
      <c r="BM199">
        <v>7.4999999999999997E-2</v>
      </c>
      <c r="BN199">
        <v>-5.7000000000000002E-2</v>
      </c>
      <c r="BO199">
        <v>-0.91800000000000004</v>
      </c>
      <c r="BP199">
        <v>9.2999999999999999E-2</v>
      </c>
      <c r="BQ199">
        <v>410</v>
      </c>
      <c r="BR199">
        <v>15</v>
      </c>
      <c r="BS199">
        <v>0.18</v>
      </c>
      <c r="BT199">
        <v>0.08</v>
      </c>
      <c r="BU199">
        <v>-0.28739609999999999</v>
      </c>
      <c r="BV199">
        <v>0.109565954887218</v>
      </c>
      <c r="BW199">
        <v>1.6981199562751698E-2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0.68742740000000002</v>
      </c>
      <c r="CD199">
        <v>-2.6657142857138402E-3</v>
      </c>
      <c r="CE199">
        <v>8.31998882210786E-4</v>
      </c>
      <c r="CF199">
        <v>1</v>
      </c>
      <c r="CG199">
        <v>2</v>
      </c>
      <c r="CH199">
        <v>2</v>
      </c>
      <c r="CI199" t="s">
        <v>310</v>
      </c>
      <c r="CJ199">
        <v>3.5325799999999998</v>
      </c>
      <c r="CK199">
        <v>2.7027800000000002</v>
      </c>
      <c r="CL199">
        <v>9.7881399999999993E-2</v>
      </c>
      <c r="CM199">
        <v>9.6564899999999995E-2</v>
      </c>
      <c r="CN199">
        <v>8.6907100000000001E-2</v>
      </c>
      <c r="CO199">
        <v>8.3117099999999999E-2</v>
      </c>
      <c r="CP199">
        <v>31619.9</v>
      </c>
      <c r="CQ199">
        <v>27770.9</v>
      </c>
      <c r="CR199">
        <v>32441.200000000001</v>
      </c>
      <c r="CS199">
        <v>30667</v>
      </c>
      <c r="CT199">
        <v>40109.800000000003</v>
      </c>
      <c r="CU199">
        <v>39535.4</v>
      </c>
      <c r="CV199">
        <v>47376.3</v>
      </c>
      <c r="CW199">
        <v>46763.9</v>
      </c>
      <c r="CX199">
        <v>2.6208</v>
      </c>
      <c r="CY199">
        <v>2.1270799999999999</v>
      </c>
      <c r="CZ199">
        <v>0</v>
      </c>
      <c r="DA199">
        <v>0</v>
      </c>
      <c r="DB199">
        <v>999.9</v>
      </c>
      <c r="DC199">
        <v>999.9</v>
      </c>
      <c r="DD199">
        <v>57.594000000000001</v>
      </c>
      <c r="DE199">
        <v>26.959</v>
      </c>
      <c r="DF199">
        <v>20.544799999999999</v>
      </c>
      <c r="DG199">
        <v>30.5502</v>
      </c>
      <c r="DH199">
        <v>17.816500000000001</v>
      </c>
      <c r="DI199">
        <v>2</v>
      </c>
      <c r="DJ199">
        <v>-0.106002</v>
      </c>
      <c r="DK199">
        <v>2.5398999999999998</v>
      </c>
      <c r="DL199">
        <v>20.1906</v>
      </c>
      <c r="DM199">
        <v>5.2478400000000001</v>
      </c>
      <c r="DN199">
        <v>12.033899999999999</v>
      </c>
      <c r="DO199">
        <v>4.9668400000000004</v>
      </c>
      <c r="DP199">
        <v>3.2906399999999998</v>
      </c>
      <c r="DQ199">
        <v>9999</v>
      </c>
      <c r="DR199">
        <v>9999</v>
      </c>
      <c r="DS199">
        <v>534.9</v>
      </c>
      <c r="DT199">
        <v>9999</v>
      </c>
      <c r="DU199">
        <v>1.8710500000000001</v>
      </c>
      <c r="DV199">
        <v>1.8760699999999999</v>
      </c>
      <c r="DW199">
        <v>1.8762399999999999</v>
      </c>
      <c r="DX199">
        <v>1.8827799999999999</v>
      </c>
      <c r="DY199">
        <v>1.87561</v>
      </c>
      <c r="DZ199">
        <v>1.8746499999999999</v>
      </c>
      <c r="EA199">
        <v>1.8707400000000001</v>
      </c>
      <c r="EB199">
        <v>1.87463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-0.91900000000000004</v>
      </c>
      <c r="EQ199">
        <v>9.2999999999999999E-2</v>
      </c>
      <c r="ER199">
        <v>-0.91809090909089297</v>
      </c>
      <c r="ES199">
        <v>0</v>
      </c>
      <c r="ET199">
        <v>0</v>
      </c>
      <c r="EU199">
        <v>0</v>
      </c>
      <c r="EV199">
        <v>9.3060000000003001E-2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4</v>
      </c>
      <c r="FE199">
        <v>4.0999999999999996</v>
      </c>
      <c r="FF199">
        <v>1.2402299999999999</v>
      </c>
      <c r="FG199">
        <v>2.5671400000000002</v>
      </c>
      <c r="FH199">
        <v>2.19604</v>
      </c>
      <c r="FI199">
        <v>2.66235</v>
      </c>
      <c r="FJ199">
        <v>2.4462899999999999</v>
      </c>
      <c r="FK199">
        <v>2.32178</v>
      </c>
      <c r="FL199">
        <v>31.6736</v>
      </c>
      <c r="FM199">
        <v>24.148800000000001</v>
      </c>
      <c r="FN199">
        <v>19</v>
      </c>
      <c r="FO199">
        <v>865.17</v>
      </c>
      <c r="FP199">
        <v>575.20799999999997</v>
      </c>
      <c r="FQ199">
        <v>17.879300000000001</v>
      </c>
      <c r="FR199">
        <v>25.6279</v>
      </c>
      <c r="FS199">
        <v>30.0001</v>
      </c>
      <c r="FT199">
        <v>25.609500000000001</v>
      </c>
      <c r="FU199">
        <v>25.610099999999999</v>
      </c>
      <c r="FV199">
        <v>24.8889</v>
      </c>
      <c r="FW199">
        <v>31.2819</v>
      </c>
      <c r="FX199">
        <v>0</v>
      </c>
      <c r="FY199">
        <v>17.875399999999999</v>
      </c>
      <c r="FZ199">
        <v>410</v>
      </c>
      <c r="GA199">
        <v>14.664</v>
      </c>
      <c r="GB199">
        <v>99.829899999999995</v>
      </c>
      <c r="GC199">
        <v>99.554000000000002</v>
      </c>
    </row>
    <row r="200" spans="1:185" x14ac:dyDescent="0.2">
      <c r="A200">
        <v>185</v>
      </c>
      <c r="B200">
        <v>1769186422.0999999</v>
      </c>
      <c r="C200">
        <v>3559.0999999046298</v>
      </c>
      <c r="D200" t="s">
        <v>668</v>
      </c>
      <c r="E200" t="s">
        <v>669</v>
      </c>
      <c r="F200">
        <v>15</v>
      </c>
      <c r="G200">
        <v>1769186414.03333</v>
      </c>
      <c r="H200">
        <f t="shared" si="26"/>
        <v>5.5804037563053968E-4</v>
      </c>
      <c r="I200">
        <v>0</v>
      </c>
      <c r="J200">
        <f t="shared" si="38"/>
        <v>-6.6960281142630507E-5</v>
      </c>
      <c r="K200">
        <f t="shared" si="27"/>
        <v>-1.7536677774418533E-3</v>
      </c>
      <c r="L200">
        <f t="shared" si="28"/>
        <v>69.737987893056655</v>
      </c>
      <c r="M200">
        <f t="shared" si="29"/>
        <v>1.5380385176405122</v>
      </c>
      <c r="N200">
        <f t="shared" si="30"/>
        <v>2.2054529591520442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26243.819243023619</v>
      </c>
      <c r="T200">
        <f t="shared" si="34"/>
        <v>800.00046666666697</v>
      </c>
      <c r="U200">
        <f t="shared" si="35"/>
        <v>674.40040780000857</v>
      </c>
      <c r="V200">
        <f t="shared" si="36"/>
        <v>0.84300001799999991</v>
      </c>
      <c r="W200">
        <f t="shared" si="37"/>
        <v>0.15870004499999998</v>
      </c>
      <c r="X200">
        <v>1</v>
      </c>
      <c r="Y200">
        <v>1769186414.03333</v>
      </c>
      <c r="Z200">
        <v>409.71159999999998</v>
      </c>
      <c r="AA200">
        <v>409.99520000000001</v>
      </c>
      <c r="AB200">
        <v>15.355506666666701</v>
      </c>
      <c r="AC200">
        <v>14.668673333333301</v>
      </c>
      <c r="AD200">
        <v>410.62959999999998</v>
      </c>
      <c r="AE200">
        <v>15.262446666666699</v>
      </c>
      <c r="AF200">
        <v>800.00686666666695</v>
      </c>
      <c r="AG200">
        <v>100.09699999999999</v>
      </c>
      <c r="AH200">
        <v>6.5016859999999996E-2</v>
      </c>
      <c r="AI200">
        <v>19.00198</v>
      </c>
      <c r="AJ200">
        <v>999.9</v>
      </c>
      <c r="AK200">
        <v>999.9</v>
      </c>
      <c r="AL200">
        <v>0</v>
      </c>
      <c r="AM200">
        <v>0</v>
      </c>
      <c r="AN200">
        <v>4999.3999999999996</v>
      </c>
      <c r="AO200">
        <v>0</v>
      </c>
      <c r="AP200">
        <v>2.14547</v>
      </c>
      <c r="AQ200">
        <v>-0.28354079999999998</v>
      </c>
      <c r="AR200">
        <v>416.101</v>
      </c>
      <c r="AS200">
        <v>416.09859999999998</v>
      </c>
      <c r="AT200">
        <v>0.68683353333333297</v>
      </c>
      <c r="AU200">
        <v>409.99520000000001</v>
      </c>
      <c r="AV200">
        <v>14.668673333333301</v>
      </c>
      <c r="AW200">
        <v>1.5370413333333299</v>
      </c>
      <c r="AX200">
        <v>1.4682900000000001</v>
      </c>
      <c r="AY200">
        <v>13.3416933333333</v>
      </c>
      <c r="AZ200">
        <v>12.64188</v>
      </c>
      <c r="BA200">
        <v>800.00046666666697</v>
      </c>
      <c r="BB200">
        <v>0.8999994</v>
      </c>
      <c r="BC200">
        <v>0</v>
      </c>
      <c r="BD200">
        <v>0.1000006</v>
      </c>
      <c r="BE200">
        <v>0</v>
      </c>
      <c r="BF200">
        <v>25</v>
      </c>
      <c r="BG200">
        <v>13191.0466666667</v>
      </c>
      <c r="BH200">
        <v>1769186165.0999999</v>
      </c>
      <c r="BI200" t="s">
        <v>633</v>
      </c>
      <c r="BJ200">
        <v>1769186165.0999999</v>
      </c>
      <c r="BK200">
        <v>1769186160.0999999</v>
      </c>
      <c r="BL200">
        <v>6</v>
      </c>
      <c r="BM200">
        <v>7.4999999999999997E-2</v>
      </c>
      <c r="BN200">
        <v>-5.7000000000000002E-2</v>
      </c>
      <c r="BO200">
        <v>-0.91800000000000004</v>
      </c>
      <c r="BP200">
        <v>9.2999999999999999E-2</v>
      </c>
      <c r="BQ200">
        <v>410</v>
      </c>
      <c r="BR200">
        <v>15</v>
      </c>
      <c r="BS200">
        <v>0.18</v>
      </c>
      <c r="BT200">
        <v>0.08</v>
      </c>
      <c r="BU200">
        <v>-0.28151880952380998</v>
      </c>
      <c r="BV200">
        <v>2.5349532467532399E-2</v>
      </c>
      <c r="BW200">
        <v>1.6523534306065402E-2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0.68683209523809496</v>
      </c>
      <c r="CD200">
        <v>-3.7508571428566898E-3</v>
      </c>
      <c r="CE200">
        <v>1.0613760118585399E-3</v>
      </c>
      <c r="CF200">
        <v>1</v>
      </c>
      <c r="CG200">
        <v>2</v>
      </c>
      <c r="CH200">
        <v>2</v>
      </c>
      <c r="CI200" t="s">
        <v>310</v>
      </c>
      <c r="CJ200">
        <v>3.5324800000000001</v>
      </c>
      <c r="CK200">
        <v>2.7030500000000002</v>
      </c>
      <c r="CL200">
        <v>9.7878900000000005E-2</v>
      </c>
      <c r="CM200">
        <v>9.6564700000000003E-2</v>
      </c>
      <c r="CN200">
        <v>8.6895100000000003E-2</v>
      </c>
      <c r="CO200">
        <v>8.3115099999999997E-2</v>
      </c>
      <c r="CP200">
        <v>31620</v>
      </c>
      <c r="CQ200">
        <v>27771</v>
      </c>
      <c r="CR200">
        <v>32441.3</v>
      </c>
      <c r="CS200">
        <v>30667.1</v>
      </c>
      <c r="CT200">
        <v>40110.5</v>
      </c>
      <c r="CU200">
        <v>39535.599999999999</v>
      </c>
      <c r="CV200">
        <v>47376.6</v>
      </c>
      <c r="CW200">
        <v>46764</v>
      </c>
      <c r="CX200">
        <v>2.6207600000000002</v>
      </c>
      <c r="CY200">
        <v>2.1271800000000001</v>
      </c>
      <c r="CZ200">
        <v>0</v>
      </c>
      <c r="DA200">
        <v>0</v>
      </c>
      <c r="DB200">
        <v>999.9</v>
      </c>
      <c r="DC200">
        <v>999.9</v>
      </c>
      <c r="DD200">
        <v>57.545000000000002</v>
      </c>
      <c r="DE200">
        <v>26.978999999999999</v>
      </c>
      <c r="DF200">
        <v>20.550899999999999</v>
      </c>
      <c r="DG200">
        <v>30.670200000000001</v>
      </c>
      <c r="DH200">
        <v>17.836500000000001</v>
      </c>
      <c r="DI200">
        <v>2</v>
      </c>
      <c r="DJ200">
        <v>-0.105827</v>
      </c>
      <c r="DK200">
        <v>2.5619299999999998</v>
      </c>
      <c r="DL200">
        <v>20.1907</v>
      </c>
      <c r="DM200">
        <v>5.2507099999999998</v>
      </c>
      <c r="DN200">
        <v>12.033899999999999</v>
      </c>
      <c r="DO200">
        <v>4.9670800000000002</v>
      </c>
      <c r="DP200">
        <v>3.2909999999999999</v>
      </c>
      <c r="DQ200">
        <v>9999</v>
      </c>
      <c r="DR200">
        <v>9999</v>
      </c>
      <c r="DS200">
        <v>535</v>
      </c>
      <c r="DT200">
        <v>9999</v>
      </c>
      <c r="DU200">
        <v>1.87103</v>
      </c>
      <c r="DV200">
        <v>1.8760699999999999</v>
      </c>
      <c r="DW200">
        <v>1.87626</v>
      </c>
      <c r="DX200">
        <v>1.8827799999999999</v>
      </c>
      <c r="DY200">
        <v>1.87558</v>
      </c>
      <c r="DZ200">
        <v>1.8746100000000001</v>
      </c>
      <c r="EA200">
        <v>1.87073</v>
      </c>
      <c r="EB200">
        <v>1.8745700000000001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-0.91800000000000004</v>
      </c>
      <c r="EQ200">
        <v>9.3100000000000002E-2</v>
      </c>
      <c r="ER200">
        <v>-0.91809090909089297</v>
      </c>
      <c r="ES200">
        <v>0</v>
      </c>
      <c r="ET200">
        <v>0</v>
      </c>
      <c r="EU200">
        <v>0</v>
      </c>
      <c r="EV200">
        <v>9.3060000000003001E-2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4.3</v>
      </c>
      <c r="FE200">
        <v>4.4000000000000004</v>
      </c>
      <c r="FF200">
        <v>1.2402299999999999</v>
      </c>
      <c r="FG200">
        <v>2.5708000000000002</v>
      </c>
      <c r="FH200">
        <v>2.19604</v>
      </c>
      <c r="FI200">
        <v>2.66235</v>
      </c>
      <c r="FJ200">
        <v>2.4462899999999999</v>
      </c>
      <c r="FK200">
        <v>2.2717299999999998</v>
      </c>
      <c r="FL200">
        <v>31.6736</v>
      </c>
      <c r="FM200">
        <v>24.1313</v>
      </c>
      <c r="FN200">
        <v>19</v>
      </c>
      <c r="FO200">
        <v>865.16399999999999</v>
      </c>
      <c r="FP200">
        <v>575.30899999999997</v>
      </c>
      <c r="FQ200">
        <v>17.872199999999999</v>
      </c>
      <c r="FR200">
        <v>25.630099999999999</v>
      </c>
      <c r="FS200">
        <v>30.0002</v>
      </c>
      <c r="FT200">
        <v>25.611499999999999</v>
      </c>
      <c r="FU200">
        <v>25.612300000000001</v>
      </c>
      <c r="FV200">
        <v>24.889399999999998</v>
      </c>
      <c r="FW200">
        <v>31.2819</v>
      </c>
      <c r="FX200">
        <v>0</v>
      </c>
      <c r="FY200">
        <v>17.869499999999999</v>
      </c>
      <c r="FZ200">
        <v>410</v>
      </c>
      <c r="GA200">
        <v>14.6752</v>
      </c>
      <c r="GB200">
        <v>99.830299999999994</v>
      </c>
      <c r="GC200">
        <v>99.554199999999994</v>
      </c>
    </row>
    <row r="201" spans="1:185" x14ac:dyDescent="0.2">
      <c r="A201">
        <v>186</v>
      </c>
      <c r="B201">
        <v>1769186437.0999999</v>
      </c>
      <c r="C201">
        <v>3574.0999999046298</v>
      </c>
      <c r="D201" t="s">
        <v>670</v>
      </c>
      <c r="E201" t="s">
        <v>671</v>
      </c>
      <c r="F201">
        <v>15</v>
      </c>
      <c r="G201">
        <v>1769186429.03333</v>
      </c>
      <c r="H201">
        <f t="shared" si="26"/>
        <v>5.5630663693909566E-4</v>
      </c>
      <c r="I201">
        <v>0</v>
      </c>
      <c r="J201">
        <f t="shared" si="38"/>
        <v>3.2888341975091944E-4</v>
      </c>
      <c r="K201">
        <f t="shared" si="27"/>
        <v>8.6133487779650256E-3</v>
      </c>
      <c r="L201">
        <f t="shared" si="28"/>
        <v>69.723082518739446</v>
      </c>
      <c r="M201">
        <f t="shared" si="29"/>
        <v>1.5377654419609843</v>
      </c>
      <c r="N201">
        <f t="shared" si="30"/>
        <v>2.2055327825583153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26250.363155250157</v>
      </c>
      <c r="T201">
        <f t="shared" si="34"/>
        <v>799.998066666667</v>
      </c>
      <c r="U201">
        <f t="shared" si="35"/>
        <v>674.39843979983209</v>
      </c>
      <c r="V201">
        <f t="shared" si="36"/>
        <v>0.84300008699999995</v>
      </c>
      <c r="W201">
        <f t="shared" si="37"/>
        <v>0.15870002261999999</v>
      </c>
      <c r="X201">
        <v>1</v>
      </c>
      <c r="Y201">
        <v>1769186429.03333</v>
      </c>
      <c r="Z201">
        <v>409.70246666666702</v>
      </c>
      <c r="AA201">
        <v>409.99813333333299</v>
      </c>
      <c r="AB201">
        <v>15.352686666666701</v>
      </c>
      <c r="AC201">
        <v>14.66798</v>
      </c>
      <c r="AD201">
        <v>410.62060000000002</v>
      </c>
      <c r="AE201">
        <v>15.2596333333333</v>
      </c>
      <c r="AF201">
        <v>800.00073333333296</v>
      </c>
      <c r="AG201">
        <v>100.097466666667</v>
      </c>
      <c r="AH201">
        <v>6.5161239999999995E-2</v>
      </c>
      <c r="AI201">
        <v>19.002559999999999</v>
      </c>
      <c r="AJ201">
        <v>999.9</v>
      </c>
      <c r="AK201">
        <v>999.9</v>
      </c>
      <c r="AL201">
        <v>0</v>
      </c>
      <c r="AM201">
        <v>0</v>
      </c>
      <c r="AN201">
        <v>5000.4666666666699</v>
      </c>
      <c r="AO201">
        <v>0</v>
      </c>
      <c r="AP201">
        <v>2.14547</v>
      </c>
      <c r="AQ201">
        <v>-0.29564820000000003</v>
      </c>
      <c r="AR201">
        <v>416.09053333333298</v>
      </c>
      <c r="AS201">
        <v>416.101333333333</v>
      </c>
      <c r="AT201">
        <v>0.684703533333333</v>
      </c>
      <c r="AU201">
        <v>409.99813333333299</v>
      </c>
      <c r="AV201">
        <v>14.66798</v>
      </c>
      <c r="AW201">
        <v>1.5367646666666701</v>
      </c>
      <c r="AX201">
        <v>1.4682280000000001</v>
      </c>
      <c r="AY201">
        <v>13.3389466666667</v>
      </c>
      <c r="AZ201">
        <v>12.64124</v>
      </c>
      <c r="BA201">
        <v>799.998066666667</v>
      </c>
      <c r="BB201">
        <v>0.9</v>
      </c>
      <c r="BC201">
        <v>0</v>
      </c>
      <c r="BD201">
        <v>0.10000009999999999</v>
      </c>
      <c r="BE201">
        <v>0</v>
      </c>
      <c r="BF201">
        <v>25</v>
      </c>
      <c r="BG201">
        <v>13191.006666666701</v>
      </c>
      <c r="BH201">
        <v>1769186165.0999999</v>
      </c>
      <c r="BI201" t="s">
        <v>633</v>
      </c>
      <c r="BJ201">
        <v>1769186165.0999999</v>
      </c>
      <c r="BK201">
        <v>1769186160.0999999</v>
      </c>
      <c r="BL201">
        <v>6</v>
      </c>
      <c r="BM201">
        <v>7.4999999999999997E-2</v>
      </c>
      <c r="BN201">
        <v>-5.7000000000000002E-2</v>
      </c>
      <c r="BO201">
        <v>-0.91800000000000004</v>
      </c>
      <c r="BP201">
        <v>9.2999999999999999E-2</v>
      </c>
      <c r="BQ201">
        <v>410</v>
      </c>
      <c r="BR201">
        <v>15</v>
      </c>
      <c r="BS201">
        <v>0.18</v>
      </c>
      <c r="BT201">
        <v>0.08</v>
      </c>
      <c r="BU201">
        <v>-0.28988645000000002</v>
      </c>
      <c r="BV201">
        <v>-1.6331323308270598E-2</v>
      </c>
      <c r="BW201">
        <v>2.1843711281453501E-2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0.68491270000000004</v>
      </c>
      <c r="CD201">
        <v>-1.84682706766841E-3</v>
      </c>
      <c r="CE201">
        <v>1.1293790373475201E-3</v>
      </c>
      <c r="CF201">
        <v>1</v>
      </c>
      <c r="CG201">
        <v>2</v>
      </c>
      <c r="CH201">
        <v>2</v>
      </c>
      <c r="CI201" t="s">
        <v>310</v>
      </c>
      <c r="CJ201">
        <v>3.5325099999999998</v>
      </c>
      <c r="CK201">
        <v>2.7031200000000002</v>
      </c>
      <c r="CL201">
        <v>9.7881099999999999E-2</v>
      </c>
      <c r="CM201">
        <v>9.6559699999999998E-2</v>
      </c>
      <c r="CN201">
        <v>8.6891899999999994E-2</v>
      </c>
      <c r="CO201">
        <v>8.3112599999999995E-2</v>
      </c>
      <c r="CP201">
        <v>31620.1</v>
      </c>
      <c r="CQ201">
        <v>27770.7</v>
      </c>
      <c r="CR201">
        <v>32441.5</v>
      </c>
      <c r="CS201">
        <v>30666.6</v>
      </c>
      <c r="CT201">
        <v>40110.800000000003</v>
      </c>
      <c r="CU201">
        <v>39535.199999999997</v>
      </c>
      <c r="CV201">
        <v>47376.7</v>
      </c>
      <c r="CW201">
        <v>46763.5</v>
      </c>
      <c r="CX201">
        <v>2.62086</v>
      </c>
      <c r="CY201">
        <v>2.1271</v>
      </c>
      <c r="CZ201">
        <v>0</v>
      </c>
      <c r="DA201">
        <v>0</v>
      </c>
      <c r="DB201">
        <v>999.9</v>
      </c>
      <c r="DC201">
        <v>999.9</v>
      </c>
      <c r="DD201">
        <v>57.52</v>
      </c>
      <c r="DE201">
        <v>26.978999999999999</v>
      </c>
      <c r="DF201">
        <v>20.542899999999999</v>
      </c>
      <c r="DG201">
        <v>30.700199999999999</v>
      </c>
      <c r="DH201">
        <v>17.7925</v>
      </c>
      <c r="DI201">
        <v>2</v>
      </c>
      <c r="DJ201">
        <v>-0.10574600000000001</v>
      </c>
      <c r="DK201">
        <v>2.5693899999999998</v>
      </c>
      <c r="DL201">
        <v>20.1906</v>
      </c>
      <c r="DM201">
        <v>5.2503500000000001</v>
      </c>
      <c r="DN201">
        <v>12.033899999999999</v>
      </c>
      <c r="DO201">
        <v>4.9670800000000002</v>
      </c>
      <c r="DP201">
        <v>3.2909999999999999</v>
      </c>
      <c r="DQ201">
        <v>9999</v>
      </c>
      <c r="DR201">
        <v>9999</v>
      </c>
      <c r="DS201">
        <v>535</v>
      </c>
      <c r="DT201">
        <v>9999</v>
      </c>
      <c r="DU201">
        <v>1.8710500000000001</v>
      </c>
      <c r="DV201">
        <v>1.8760699999999999</v>
      </c>
      <c r="DW201">
        <v>1.87626</v>
      </c>
      <c r="DX201">
        <v>1.8827799999999999</v>
      </c>
      <c r="DY201">
        <v>1.8755900000000001</v>
      </c>
      <c r="DZ201">
        <v>1.8746499999999999</v>
      </c>
      <c r="EA201">
        <v>1.87073</v>
      </c>
      <c r="EB201">
        <v>1.87463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-0.91800000000000004</v>
      </c>
      <c r="EQ201">
        <v>9.3100000000000002E-2</v>
      </c>
      <c r="ER201">
        <v>-0.91809090909089297</v>
      </c>
      <c r="ES201">
        <v>0</v>
      </c>
      <c r="ET201">
        <v>0</v>
      </c>
      <c r="EU201">
        <v>0</v>
      </c>
      <c r="EV201">
        <v>9.3060000000003001E-2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4.5</v>
      </c>
      <c r="FE201">
        <v>4.5999999999999996</v>
      </c>
      <c r="FF201">
        <v>1.2402299999999999</v>
      </c>
      <c r="FG201">
        <v>2.5683600000000002</v>
      </c>
      <c r="FH201">
        <v>2.19604</v>
      </c>
      <c r="FI201">
        <v>2.66235</v>
      </c>
      <c r="FJ201">
        <v>2.4462899999999999</v>
      </c>
      <c r="FK201">
        <v>2.2985799999999998</v>
      </c>
      <c r="FL201">
        <v>31.695499999999999</v>
      </c>
      <c r="FM201">
        <v>24.14</v>
      </c>
      <c r="FN201">
        <v>19</v>
      </c>
      <c r="FO201">
        <v>865.25900000000001</v>
      </c>
      <c r="FP201">
        <v>575.24800000000005</v>
      </c>
      <c r="FQ201">
        <v>17.863099999999999</v>
      </c>
      <c r="FR201">
        <v>25.632300000000001</v>
      </c>
      <c r="FS201">
        <v>30.0002</v>
      </c>
      <c r="FT201">
        <v>25.611599999999999</v>
      </c>
      <c r="FU201">
        <v>25.612300000000001</v>
      </c>
      <c r="FV201">
        <v>24.890499999999999</v>
      </c>
      <c r="FW201">
        <v>31.2819</v>
      </c>
      <c r="FX201">
        <v>0</v>
      </c>
      <c r="FY201">
        <v>17.861699999999999</v>
      </c>
      <c r="FZ201">
        <v>410</v>
      </c>
      <c r="GA201">
        <v>14.6836</v>
      </c>
      <c r="GB201">
        <v>99.830600000000004</v>
      </c>
      <c r="GC201">
        <v>99.552800000000005</v>
      </c>
    </row>
    <row r="202" spans="1:185" x14ac:dyDescent="0.2">
      <c r="A202">
        <v>187</v>
      </c>
      <c r="B202">
        <v>1769186452.0999999</v>
      </c>
      <c r="C202">
        <v>3589.0999999046298</v>
      </c>
      <c r="D202" t="s">
        <v>672</v>
      </c>
      <c r="E202" t="s">
        <v>673</v>
      </c>
      <c r="F202">
        <v>15</v>
      </c>
      <c r="G202">
        <v>1769186444.03333</v>
      </c>
      <c r="H202">
        <f t="shared" si="26"/>
        <v>5.5605328988526785E-4</v>
      </c>
      <c r="I202">
        <v>0</v>
      </c>
      <c r="J202">
        <f t="shared" si="38"/>
        <v>6.7322113522521872E-4</v>
      </c>
      <c r="K202">
        <f t="shared" si="27"/>
        <v>1.7631440486674622E-2</v>
      </c>
      <c r="L202">
        <f t="shared" si="28"/>
        <v>69.727867848126863</v>
      </c>
      <c r="M202">
        <f t="shared" si="29"/>
        <v>1.5377270414903759</v>
      </c>
      <c r="N202">
        <f t="shared" si="30"/>
        <v>2.2053263479096685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26287.552267226722</v>
      </c>
      <c r="T202">
        <f t="shared" si="34"/>
        <v>799.99766666666699</v>
      </c>
      <c r="U202">
        <f t="shared" si="35"/>
        <v>674.3978622804982</v>
      </c>
      <c r="V202">
        <f t="shared" si="36"/>
        <v>0.84299978659999997</v>
      </c>
      <c r="W202">
        <f t="shared" si="37"/>
        <v>0.15869963539600002</v>
      </c>
      <c r="X202">
        <v>1</v>
      </c>
      <c r="Y202">
        <v>1769186444.03333</v>
      </c>
      <c r="Z202">
        <v>409.69413333333301</v>
      </c>
      <c r="AA202">
        <v>410.00093333333302</v>
      </c>
      <c r="AB202">
        <v>15.3524733333333</v>
      </c>
      <c r="AC202">
        <v>14.668086666666699</v>
      </c>
      <c r="AD202">
        <v>410.61226666666698</v>
      </c>
      <c r="AE202">
        <v>15.2593933333333</v>
      </c>
      <c r="AF202">
        <v>800.01046666666696</v>
      </c>
      <c r="AG202">
        <v>100.096066666667</v>
      </c>
      <c r="AH202">
        <v>6.5451813333333303E-2</v>
      </c>
      <c r="AI202">
        <v>19.001059999999999</v>
      </c>
      <c r="AJ202">
        <v>999.9</v>
      </c>
      <c r="AK202">
        <v>999.9</v>
      </c>
      <c r="AL202">
        <v>0</v>
      </c>
      <c r="AM202">
        <v>0</v>
      </c>
      <c r="AN202">
        <v>5006.6333333333296</v>
      </c>
      <c r="AO202">
        <v>0</v>
      </c>
      <c r="AP202">
        <v>2.14547</v>
      </c>
      <c r="AQ202">
        <v>-0.3067588</v>
      </c>
      <c r="AR202">
        <v>416.08199999999999</v>
      </c>
      <c r="AS202">
        <v>416.1044</v>
      </c>
      <c r="AT202">
        <v>0.68439066666666704</v>
      </c>
      <c r="AU202">
        <v>410.00093333333302</v>
      </c>
      <c r="AV202">
        <v>14.668086666666699</v>
      </c>
      <c r="AW202">
        <v>1.5367213333333301</v>
      </c>
      <c r="AX202">
        <v>1.4682166666666701</v>
      </c>
      <c r="AY202">
        <v>13.338506666666699</v>
      </c>
      <c r="AZ202">
        <v>12.641113333333299</v>
      </c>
      <c r="BA202">
        <v>799.99766666666699</v>
      </c>
      <c r="BB202">
        <v>0.90000460000000004</v>
      </c>
      <c r="BC202">
        <v>0</v>
      </c>
      <c r="BD202">
        <v>9.9995313333333294E-2</v>
      </c>
      <c r="BE202">
        <v>0</v>
      </c>
      <c r="BF202">
        <v>25</v>
      </c>
      <c r="BG202">
        <v>13191.006666666701</v>
      </c>
      <c r="BH202">
        <v>1769186165.0999999</v>
      </c>
      <c r="BI202" t="s">
        <v>633</v>
      </c>
      <c r="BJ202">
        <v>1769186165.0999999</v>
      </c>
      <c r="BK202">
        <v>1769186160.0999999</v>
      </c>
      <c r="BL202">
        <v>6</v>
      </c>
      <c r="BM202">
        <v>7.4999999999999997E-2</v>
      </c>
      <c r="BN202">
        <v>-5.7000000000000002E-2</v>
      </c>
      <c r="BO202">
        <v>-0.91800000000000004</v>
      </c>
      <c r="BP202">
        <v>9.2999999999999999E-2</v>
      </c>
      <c r="BQ202">
        <v>410</v>
      </c>
      <c r="BR202">
        <v>15</v>
      </c>
      <c r="BS202">
        <v>0.18</v>
      </c>
      <c r="BT202">
        <v>0.08</v>
      </c>
      <c r="BU202">
        <v>-0.299905095238095</v>
      </c>
      <c r="BV202">
        <v>-0.13227654545454501</v>
      </c>
      <c r="BW202">
        <v>2.0225288112386101E-2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0.68470766666666705</v>
      </c>
      <c r="CD202">
        <v>-7.8783896103899204E-3</v>
      </c>
      <c r="CE202">
        <v>1.3345959379004299E-3</v>
      </c>
      <c r="CF202">
        <v>1</v>
      </c>
      <c r="CG202">
        <v>2</v>
      </c>
      <c r="CH202">
        <v>2</v>
      </c>
      <c r="CI202" t="s">
        <v>310</v>
      </c>
      <c r="CJ202">
        <v>3.5325199999999999</v>
      </c>
      <c r="CK202">
        <v>2.7036199999999999</v>
      </c>
      <c r="CL202">
        <v>9.78773E-2</v>
      </c>
      <c r="CM202">
        <v>9.6558199999999997E-2</v>
      </c>
      <c r="CN202">
        <v>8.6867799999999995E-2</v>
      </c>
      <c r="CO202">
        <v>8.31118E-2</v>
      </c>
      <c r="CP202">
        <v>31620.1</v>
      </c>
      <c r="CQ202">
        <v>27771.9</v>
      </c>
      <c r="CR202">
        <v>32441.4</v>
      </c>
      <c r="CS202">
        <v>30667.8</v>
      </c>
      <c r="CT202">
        <v>40111.800000000003</v>
      </c>
      <c r="CU202">
        <v>39536.800000000003</v>
      </c>
      <c r="CV202">
        <v>47376.5</v>
      </c>
      <c r="CW202">
        <v>46765.4</v>
      </c>
      <c r="CX202">
        <v>2.6208399999999998</v>
      </c>
      <c r="CY202">
        <v>2.1271</v>
      </c>
      <c r="CZ202">
        <v>0</v>
      </c>
      <c r="DA202">
        <v>0</v>
      </c>
      <c r="DB202">
        <v>999.9</v>
      </c>
      <c r="DC202">
        <v>999.9</v>
      </c>
      <c r="DD202">
        <v>57.472000000000001</v>
      </c>
      <c r="DE202">
        <v>26.989000000000001</v>
      </c>
      <c r="DF202">
        <v>20.536999999999999</v>
      </c>
      <c r="DG202">
        <v>30.370200000000001</v>
      </c>
      <c r="DH202">
        <v>17.836500000000001</v>
      </c>
      <c r="DI202">
        <v>2</v>
      </c>
      <c r="DJ202">
        <v>-0.105754</v>
      </c>
      <c r="DK202">
        <v>2.56419</v>
      </c>
      <c r="DL202">
        <v>20.1905</v>
      </c>
      <c r="DM202">
        <v>5.2486800000000002</v>
      </c>
      <c r="DN202">
        <v>12.033899999999999</v>
      </c>
      <c r="DO202">
        <v>4.9668400000000004</v>
      </c>
      <c r="DP202">
        <v>3.2909999999999999</v>
      </c>
      <c r="DQ202">
        <v>9999</v>
      </c>
      <c r="DR202">
        <v>9999</v>
      </c>
      <c r="DS202">
        <v>535</v>
      </c>
      <c r="DT202">
        <v>9999</v>
      </c>
      <c r="DU202">
        <v>1.8710500000000001</v>
      </c>
      <c r="DV202">
        <v>1.87608</v>
      </c>
      <c r="DW202">
        <v>1.87632</v>
      </c>
      <c r="DX202">
        <v>1.8828</v>
      </c>
      <c r="DY202">
        <v>1.8756200000000001</v>
      </c>
      <c r="DZ202">
        <v>1.8746799999999999</v>
      </c>
      <c r="EA202">
        <v>1.8707800000000001</v>
      </c>
      <c r="EB202">
        <v>1.8746799999999999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-0.91800000000000004</v>
      </c>
      <c r="EQ202">
        <v>9.2999999999999999E-2</v>
      </c>
      <c r="ER202">
        <v>-0.91809090909089297</v>
      </c>
      <c r="ES202">
        <v>0</v>
      </c>
      <c r="ET202">
        <v>0</v>
      </c>
      <c r="EU202">
        <v>0</v>
      </c>
      <c r="EV202">
        <v>9.3060000000003001E-2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4.8</v>
      </c>
      <c r="FE202">
        <v>4.9000000000000004</v>
      </c>
      <c r="FF202">
        <v>1.2402299999999999</v>
      </c>
      <c r="FG202">
        <v>2.5659200000000002</v>
      </c>
      <c r="FH202">
        <v>2.19604</v>
      </c>
      <c r="FI202">
        <v>2.66235</v>
      </c>
      <c r="FJ202">
        <v>2.4462899999999999</v>
      </c>
      <c r="FK202">
        <v>2.2949199999999998</v>
      </c>
      <c r="FL202">
        <v>31.695499999999999</v>
      </c>
      <c r="FM202">
        <v>24.148800000000001</v>
      </c>
      <c r="FN202">
        <v>19</v>
      </c>
      <c r="FO202">
        <v>865.27599999999995</v>
      </c>
      <c r="FP202">
        <v>575.27200000000005</v>
      </c>
      <c r="FQ202">
        <v>17.859400000000001</v>
      </c>
      <c r="FR202">
        <v>25.632300000000001</v>
      </c>
      <c r="FS202">
        <v>30</v>
      </c>
      <c r="FT202">
        <v>25.613800000000001</v>
      </c>
      <c r="FU202">
        <v>25.6144</v>
      </c>
      <c r="FV202">
        <v>24.889800000000001</v>
      </c>
      <c r="FW202">
        <v>31.2819</v>
      </c>
      <c r="FX202">
        <v>0</v>
      </c>
      <c r="FY202">
        <v>17.858499999999999</v>
      </c>
      <c r="FZ202">
        <v>410</v>
      </c>
      <c r="GA202">
        <v>14.699400000000001</v>
      </c>
      <c r="GB202">
        <v>99.830299999999994</v>
      </c>
      <c r="GC202">
        <v>99.556899999999999</v>
      </c>
    </row>
    <row r="203" spans="1:185" x14ac:dyDescent="0.2">
      <c r="A203">
        <v>188</v>
      </c>
      <c r="B203">
        <v>1769186467.0999999</v>
      </c>
      <c r="C203">
        <v>3604.0999999046298</v>
      </c>
      <c r="D203" t="s">
        <v>674</v>
      </c>
      <c r="E203" t="s">
        <v>675</v>
      </c>
      <c r="F203">
        <v>15</v>
      </c>
      <c r="G203">
        <v>1769186459.03333</v>
      </c>
      <c r="H203">
        <f t="shared" si="26"/>
        <v>5.5299635152590912E-4</v>
      </c>
      <c r="I203">
        <v>0</v>
      </c>
      <c r="J203">
        <f t="shared" si="38"/>
        <v>8.1891287531014282E-4</v>
      </c>
      <c r="K203">
        <f t="shared" si="27"/>
        <v>2.1447059323192668E-2</v>
      </c>
      <c r="L203">
        <f t="shared" si="28"/>
        <v>69.70964745093589</v>
      </c>
      <c r="M203">
        <f t="shared" si="29"/>
        <v>1.5372644659838408</v>
      </c>
      <c r="N203">
        <f t="shared" si="30"/>
        <v>2.2052391916998602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26220.545236650953</v>
      </c>
      <c r="T203">
        <f t="shared" si="34"/>
        <v>800.00046666666697</v>
      </c>
      <c r="U203">
        <f t="shared" si="35"/>
        <v>674.40020171988806</v>
      </c>
      <c r="V203">
        <f t="shared" si="36"/>
        <v>0.84299976039999946</v>
      </c>
      <c r="W203">
        <f t="shared" si="37"/>
        <v>0.15869955690399989</v>
      </c>
      <c r="X203">
        <v>1</v>
      </c>
      <c r="Y203">
        <v>1769186459.03333</v>
      </c>
      <c r="Z203">
        <v>409.68446666666699</v>
      </c>
      <c r="AA203">
        <v>409.99446666666699</v>
      </c>
      <c r="AB203">
        <v>15.3478866666667</v>
      </c>
      <c r="AC203">
        <v>14.667253333333299</v>
      </c>
      <c r="AD203">
        <v>410.6026</v>
      </c>
      <c r="AE203">
        <v>15.2548333333333</v>
      </c>
      <c r="AF203">
        <v>800.00346666666701</v>
      </c>
      <c r="AG203">
        <v>100.095666666667</v>
      </c>
      <c r="AH203">
        <v>6.5645400000000007E-2</v>
      </c>
      <c r="AI203">
        <v>19.000426666666701</v>
      </c>
      <c r="AJ203">
        <v>999.9</v>
      </c>
      <c r="AK203">
        <v>999.9</v>
      </c>
      <c r="AL203">
        <v>0</v>
      </c>
      <c r="AM203">
        <v>0</v>
      </c>
      <c r="AN203">
        <v>4995.6000000000004</v>
      </c>
      <c r="AO203">
        <v>0</v>
      </c>
      <c r="AP203">
        <v>2.14547</v>
      </c>
      <c r="AQ203">
        <v>-0.30989993333333299</v>
      </c>
      <c r="AR203">
        <v>416.070333333333</v>
      </c>
      <c r="AS203">
        <v>416.09739999999999</v>
      </c>
      <c r="AT203">
        <v>0.68063859999999998</v>
      </c>
      <c r="AU203">
        <v>409.99446666666699</v>
      </c>
      <c r="AV203">
        <v>14.667253333333299</v>
      </c>
      <c r="AW203">
        <v>1.5362566666666699</v>
      </c>
      <c r="AX203">
        <v>1.46812733333333</v>
      </c>
      <c r="AY203">
        <v>13.333866666666699</v>
      </c>
      <c r="AZ203">
        <v>12.6402</v>
      </c>
      <c r="BA203">
        <v>800.00046666666697</v>
      </c>
      <c r="BB203">
        <v>0.90000566666666604</v>
      </c>
      <c r="BC203">
        <v>0</v>
      </c>
      <c r="BD203">
        <v>9.9994253333333297E-2</v>
      </c>
      <c r="BE203">
        <v>0</v>
      </c>
      <c r="BF203">
        <v>25</v>
      </c>
      <c r="BG203">
        <v>13191.06</v>
      </c>
      <c r="BH203">
        <v>1769186165.0999999</v>
      </c>
      <c r="BI203" t="s">
        <v>633</v>
      </c>
      <c r="BJ203">
        <v>1769186165.0999999</v>
      </c>
      <c r="BK203">
        <v>1769186160.0999999</v>
      </c>
      <c r="BL203">
        <v>6</v>
      </c>
      <c r="BM203">
        <v>7.4999999999999997E-2</v>
      </c>
      <c r="BN203">
        <v>-5.7000000000000002E-2</v>
      </c>
      <c r="BO203">
        <v>-0.91800000000000004</v>
      </c>
      <c r="BP203">
        <v>9.2999999999999999E-2</v>
      </c>
      <c r="BQ203">
        <v>410</v>
      </c>
      <c r="BR203">
        <v>15</v>
      </c>
      <c r="BS203">
        <v>0.18</v>
      </c>
      <c r="BT203">
        <v>0.08</v>
      </c>
      <c r="BU203">
        <v>-0.31019449999999998</v>
      </c>
      <c r="BV203">
        <v>-2.73063157894733E-2</v>
      </c>
      <c r="BW203">
        <v>1.9643511576344998E-2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0.68122335000000001</v>
      </c>
      <c r="CD203">
        <v>-1.18112932330833E-2</v>
      </c>
      <c r="CE203">
        <v>1.4829650459468101E-3</v>
      </c>
      <c r="CF203">
        <v>1</v>
      </c>
      <c r="CG203">
        <v>2</v>
      </c>
      <c r="CH203">
        <v>2</v>
      </c>
      <c r="CI203" t="s">
        <v>310</v>
      </c>
      <c r="CJ203">
        <v>3.5324900000000001</v>
      </c>
      <c r="CK203">
        <v>2.7033499999999999</v>
      </c>
      <c r="CL203">
        <v>9.7871899999999998E-2</v>
      </c>
      <c r="CM203">
        <v>9.6558699999999997E-2</v>
      </c>
      <c r="CN203">
        <v>8.6860199999999999E-2</v>
      </c>
      <c r="CO203">
        <v>8.3108000000000001E-2</v>
      </c>
      <c r="CP203">
        <v>31620.799999999999</v>
      </c>
      <c r="CQ203">
        <v>27772.2</v>
      </c>
      <c r="CR203">
        <v>32441.9</v>
      </c>
      <c r="CS203">
        <v>30668.2</v>
      </c>
      <c r="CT203">
        <v>40112.699999999997</v>
      </c>
      <c r="CU203">
        <v>39537.599999999999</v>
      </c>
      <c r="CV203">
        <v>47377.2</v>
      </c>
      <c r="CW203">
        <v>46766.1</v>
      </c>
      <c r="CX203">
        <v>2.6207600000000002</v>
      </c>
      <c r="CY203">
        <v>2.12696</v>
      </c>
      <c r="CZ203">
        <v>0</v>
      </c>
      <c r="DA203">
        <v>0</v>
      </c>
      <c r="DB203">
        <v>999.9</v>
      </c>
      <c r="DC203">
        <v>999.9</v>
      </c>
      <c r="DD203">
        <v>57.447000000000003</v>
      </c>
      <c r="DE203">
        <v>26.989000000000001</v>
      </c>
      <c r="DF203">
        <v>20.5291</v>
      </c>
      <c r="DG203">
        <v>30.490200000000002</v>
      </c>
      <c r="DH203">
        <v>17.804500000000001</v>
      </c>
      <c r="DI203">
        <v>2</v>
      </c>
      <c r="DJ203">
        <v>-0.105957</v>
      </c>
      <c r="DK203">
        <v>2.52068</v>
      </c>
      <c r="DL203">
        <v>20.191299999999998</v>
      </c>
      <c r="DM203">
        <v>5.2498800000000001</v>
      </c>
      <c r="DN203">
        <v>12.033899999999999</v>
      </c>
      <c r="DO203">
        <v>4.9668799999999997</v>
      </c>
      <c r="DP203">
        <v>3.2909999999999999</v>
      </c>
      <c r="DQ203">
        <v>9999</v>
      </c>
      <c r="DR203">
        <v>9999</v>
      </c>
      <c r="DS203">
        <v>535</v>
      </c>
      <c r="DT203">
        <v>9999</v>
      </c>
      <c r="DU203">
        <v>1.8710599999999999</v>
      </c>
      <c r="DV203">
        <v>1.87609</v>
      </c>
      <c r="DW203">
        <v>1.8763099999999999</v>
      </c>
      <c r="DX203">
        <v>1.8827799999999999</v>
      </c>
      <c r="DY203">
        <v>1.87561</v>
      </c>
      <c r="DZ203">
        <v>1.8746799999999999</v>
      </c>
      <c r="EA203">
        <v>1.87079</v>
      </c>
      <c r="EB203">
        <v>1.8746499999999999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-0.91800000000000004</v>
      </c>
      <c r="EQ203">
        <v>9.2999999999999999E-2</v>
      </c>
      <c r="ER203">
        <v>-0.91809090909089297</v>
      </c>
      <c r="ES203">
        <v>0</v>
      </c>
      <c r="ET203">
        <v>0</v>
      </c>
      <c r="EU203">
        <v>0</v>
      </c>
      <c r="EV203">
        <v>9.3060000000003001E-2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5</v>
      </c>
      <c r="FE203">
        <v>5.0999999999999996</v>
      </c>
      <c r="FF203">
        <v>1.2402299999999999</v>
      </c>
      <c r="FG203">
        <v>2.5683600000000002</v>
      </c>
      <c r="FH203">
        <v>2.19604</v>
      </c>
      <c r="FI203">
        <v>2.66235</v>
      </c>
      <c r="FJ203">
        <v>2.4462899999999999</v>
      </c>
      <c r="FK203">
        <v>2.2875999999999999</v>
      </c>
      <c r="FL203">
        <v>31.695499999999999</v>
      </c>
      <c r="FM203">
        <v>24.1313</v>
      </c>
      <c r="FN203">
        <v>19</v>
      </c>
      <c r="FO203">
        <v>865.20100000000002</v>
      </c>
      <c r="FP203">
        <v>575.16399999999999</v>
      </c>
      <c r="FQ203">
        <v>17.861899999999999</v>
      </c>
      <c r="FR203">
        <v>25.632300000000001</v>
      </c>
      <c r="FS203">
        <v>30</v>
      </c>
      <c r="FT203">
        <v>25.613800000000001</v>
      </c>
      <c r="FU203">
        <v>25.6144</v>
      </c>
      <c r="FV203">
        <v>24.891100000000002</v>
      </c>
      <c r="FW203">
        <v>31.2819</v>
      </c>
      <c r="FX203">
        <v>0</v>
      </c>
      <c r="FY203">
        <v>17.866399999999999</v>
      </c>
      <c r="FZ203">
        <v>410</v>
      </c>
      <c r="GA203">
        <v>14.7149</v>
      </c>
      <c r="GB203">
        <v>99.831800000000001</v>
      </c>
      <c r="GC203">
        <v>99.558300000000003</v>
      </c>
    </row>
    <row r="204" spans="1:185" x14ac:dyDescent="0.2">
      <c r="A204">
        <v>189</v>
      </c>
      <c r="B204">
        <v>1769186482.0999999</v>
      </c>
      <c r="C204">
        <v>3619.0999999046298</v>
      </c>
      <c r="D204" t="s">
        <v>676</v>
      </c>
      <c r="E204" t="s">
        <v>677</v>
      </c>
      <c r="F204">
        <v>15</v>
      </c>
      <c r="G204">
        <v>1769186474.03333</v>
      </c>
      <c r="H204">
        <f t="shared" si="26"/>
        <v>5.5055053140270062E-4</v>
      </c>
      <c r="I204">
        <v>0</v>
      </c>
      <c r="J204">
        <f t="shared" si="38"/>
        <v>7.84011972496909E-4</v>
      </c>
      <c r="K204">
        <f t="shared" si="27"/>
        <v>2.05330161378478E-2</v>
      </c>
      <c r="L204">
        <f t="shared" si="28"/>
        <v>69.704981341596707</v>
      </c>
      <c r="M204">
        <f t="shared" si="29"/>
        <v>1.5368993974666147</v>
      </c>
      <c r="N204">
        <f t="shared" si="30"/>
        <v>2.2048630784862779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26237.998054160846</v>
      </c>
      <c r="T204">
        <f t="shared" si="34"/>
        <v>799.99980000000005</v>
      </c>
      <c r="U204">
        <f t="shared" si="35"/>
        <v>674.39966340004207</v>
      </c>
      <c r="V204">
        <f t="shared" si="36"/>
        <v>0.84299979000000003</v>
      </c>
      <c r="W204">
        <f t="shared" si="37"/>
        <v>0.15869947500000001</v>
      </c>
      <c r="X204">
        <v>1</v>
      </c>
      <c r="Y204">
        <v>1769186474.03333</v>
      </c>
      <c r="Z204">
        <v>409.68086666666699</v>
      </c>
      <c r="AA204">
        <v>409.98846666666702</v>
      </c>
      <c r="AB204">
        <v>15.34436</v>
      </c>
      <c r="AC204">
        <v>14.666740000000001</v>
      </c>
      <c r="AD204">
        <v>410.59886666666699</v>
      </c>
      <c r="AE204">
        <v>15.251286666666701</v>
      </c>
      <c r="AF204">
        <v>800.00986666666699</v>
      </c>
      <c r="AG204">
        <v>100.094933333333</v>
      </c>
      <c r="AH204">
        <v>6.5607573333333294E-2</v>
      </c>
      <c r="AI204">
        <v>18.997693333333299</v>
      </c>
      <c r="AJ204">
        <v>999.9</v>
      </c>
      <c r="AK204">
        <v>999.9</v>
      </c>
      <c r="AL204">
        <v>0</v>
      </c>
      <c r="AM204">
        <v>0</v>
      </c>
      <c r="AN204">
        <v>4998.4666666666699</v>
      </c>
      <c r="AO204">
        <v>0</v>
      </c>
      <c r="AP204">
        <v>2.14547</v>
      </c>
      <c r="AQ204">
        <v>-0.30741366666666697</v>
      </c>
      <c r="AR204">
        <v>416.06506666666701</v>
      </c>
      <c r="AS204">
        <v>416.091133333333</v>
      </c>
      <c r="AT204">
        <v>0.67760293333333299</v>
      </c>
      <c r="AU204">
        <v>409.98846666666702</v>
      </c>
      <c r="AV204">
        <v>14.666740000000001</v>
      </c>
      <c r="AW204">
        <v>1.5358913333333299</v>
      </c>
      <c r="AX204">
        <v>1.4680660000000001</v>
      </c>
      <c r="AY204">
        <v>13.330220000000001</v>
      </c>
      <c r="AZ204">
        <v>12.639566666666701</v>
      </c>
      <c r="BA204">
        <v>799.99980000000005</v>
      </c>
      <c r="BB204">
        <v>0.900007</v>
      </c>
      <c r="BC204">
        <v>0</v>
      </c>
      <c r="BD204">
        <v>9.9992999999999999E-2</v>
      </c>
      <c r="BE204">
        <v>0</v>
      </c>
      <c r="BF204">
        <v>25</v>
      </c>
      <c r="BG204">
        <v>13191.053333333301</v>
      </c>
      <c r="BH204">
        <v>1769186165.0999999</v>
      </c>
      <c r="BI204" t="s">
        <v>633</v>
      </c>
      <c r="BJ204">
        <v>1769186165.0999999</v>
      </c>
      <c r="BK204">
        <v>1769186160.0999999</v>
      </c>
      <c r="BL204">
        <v>6</v>
      </c>
      <c r="BM204">
        <v>7.4999999999999997E-2</v>
      </c>
      <c r="BN204">
        <v>-5.7000000000000002E-2</v>
      </c>
      <c r="BO204">
        <v>-0.91800000000000004</v>
      </c>
      <c r="BP204">
        <v>9.2999999999999999E-2</v>
      </c>
      <c r="BQ204">
        <v>410</v>
      </c>
      <c r="BR204">
        <v>15</v>
      </c>
      <c r="BS204">
        <v>0.18</v>
      </c>
      <c r="BT204">
        <v>0.08</v>
      </c>
      <c r="BU204">
        <v>-0.30997714285714301</v>
      </c>
      <c r="BV204">
        <v>8.3524831168830402E-2</v>
      </c>
      <c r="BW204">
        <v>1.8800384090011901E-2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0.67823447619047605</v>
      </c>
      <c r="CD204">
        <v>-1.11119999999999E-2</v>
      </c>
      <c r="CE204">
        <v>1.3952439834102901E-3</v>
      </c>
      <c r="CF204">
        <v>1</v>
      </c>
      <c r="CG204">
        <v>2</v>
      </c>
      <c r="CH204">
        <v>2</v>
      </c>
      <c r="CI204" t="s">
        <v>310</v>
      </c>
      <c r="CJ204">
        <v>3.5325799999999998</v>
      </c>
      <c r="CK204">
        <v>2.7035</v>
      </c>
      <c r="CL204">
        <v>9.7874199999999995E-2</v>
      </c>
      <c r="CM204">
        <v>9.6557699999999996E-2</v>
      </c>
      <c r="CN204">
        <v>8.6843600000000007E-2</v>
      </c>
      <c r="CO204">
        <v>8.3100499999999994E-2</v>
      </c>
      <c r="CP204">
        <v>31621.1</v>
      </c>
      <c r="CQ204">
        <v>27772.799999999999</v>
      </c>
      <c r="CR204">
        <v>32442.3</v>
      </c>
      <c r="CS204">
        <v>30668.9</v>
      </c>
      <c r="CT204">
        <v>40114</v>
      </c>
      <c r="CU204">
        <v>39539</v>
      </c>
      <c r="CV204">
        <v>47377.9</v>
      </c>
      <c r="CW204">
        <v>46767.3</v>
      </c>
      <c r="CX204">
        <v>2.62046</v>
      </c>
      <c r="CY204">
        <v>2.1269999999999998</v>
      </c>
      <c r="CZ204">
        <v>0</v>
      </c>
      <c r="DA204">
        <v>0</v>
      </c>
      <c r="DB204">
        <v>999.9</v>
      </c>
      <c r="DC204">
        <v>999.9</v>
      </c>
      <c r="DD204">
        <v>57.398000000000003</v>
      </c>
      <c r="DE204">
        <v>27.009</v>
      </c>
      <c r="DF204">
        <v>20.535699999999999</v>
      </c>
      <c r="DG204">
        <v>30.6402</v>
      </c>
      <c r="DH204">
        <v>17.784500000000001</v>
      </c>
      <c r="DI204">
        <v>2</v>
      </c>
      <c r="DJ204">
        <v>-0.10598</v>
      </c>
      <c r="DK204">
        <v>2.5189599999999999</v>
      </c>
      <c r="DL204">
        <v>20.191500000000001</v>
      </c>
      <c r="DM204">
        <v>5.2498800000000001</v>
      </c>
      <c r="DN204">
        <v>12.033899999999999</v>
      </c>
      <c r="DO204">
        <v>4.9669600000000003</v>
      </c>
      <c r="DP204">
        <v>3.2909999999999999</v>
      </c>
      <c r="DQ204">
        <v>9999</v>
      </c>
      <c r="DR204">
        <v>9999</v>
      </c>
      <c r="DS204">
        <v>535</v>
      </c>
      <c r="DT204">
        <v>9999</v>
      </c>
      <c r="DU204">
        <v>1.87107</v>
      </c>
      <c r="DV204">
        <v>1.87608</v>
      </c>
      <c r="DW204">
        <v>1.8763000000000001</v>
      </c>
      <c r="DX204">
        <v>1.88279</v>
      </c>
      <c r="DY204">
        <v>1.87561</v>
      </c>
      <c r="DZ204">
        <v>1.8746700000000001</v>
      </c>
      <c r="EA204">
        <v>1.8707800000000001</v>
      </c>
      <c r="EB204">
        <v>1.87466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-0.91800000000000004</v>
      </c>
      <c r="EQ204">
        <v>9.3100000000000002E-2</v>
      </c>
      <c r="ER204">
        <v>-0.91809090909089297</v>
      </c>
      <c r="ES204">
        <v>0</v>
      </c>
      <c r="ET204">
        <v>0</v>
      </c>
      <c r="EU204">
        <v>0</v>
      </c>
      <c r="EV204">
        <v>9.3060000000003001E-2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5.3</v>
      </c>
      <c r="FE204">
        <v>5.4</v>
      </c>
      <c r="FF204">
        <v>1.2402299999999999</v>
      </c>
      <c r="FG204">
        <v>2.5634800000000002</v>
      </c>
      <c r="FH204">
        <v>2.19604</v>
      </c>
      <c r="FI204">
        <v>2.66235</v>
      </c>
      <c r="FJ204">
        <v>2.4462899999999999</v>
      </c>
      <c r="FK204">
        <v>2.32178</v>
      </c>
      <c r="FL204">
        <v>31.717300000000002</v>
      </c>
      <c r="FM204">
        <v>24.148800000000001</v>
      </c>
      <c r="FN204">
        <v>19</v>
      </c>
      <c r="FO204">
        <v>864.92200000000003</v>
      </c>
      <c r="FP204">
        <v>575.19500000000005</v>
      </c>
      <c r="FQ204">
        <v>17.869399999999999</v>
      </c>
      <c r="FR204">
        <v>25.632300000000001</v>
      </c>
      <c r="FS204">
        <v>30</v>
      </c>
      <c r="FT204">
        <v>25.613800000000001</v>
      </c>
      <c r="FU204">
        <v>25.6144</v>
      </c>
      <c r="FV204">
        <v>24.8916</v>
      </c>
      <c r="FW204">
        <v>31.2819</v>
      </c>
      <c r="FX204">
        <v>0</v>
      </c>
      <c r="FY204">
        <v>17.871300000000002</v>
      </c>
      <c r="FZ204">
        <v>410</v>
      </c>
      <c r="GA204">
        <v>14.733000000000001</v>
      </c>
      <c r="GB204">
        <v>99.833200000000005</v>
      </c>
      <c r="GC204">
        <v>99.5608</v>
      </c>
    </row>
    <row r="205" spans="1:185" x14ac:dyDescent="0.2">
      <c r="A205">
        <v>190</v>
      </c>
      <c r="B205">
        <v>1769186497.0999999</v>
      </c>
      <c r="C205">
        <v>3634.0999999046298</v>
      </c>
      <c r="D205" t="s">
        <v>678</v>
      </c>
      <c r="E205" t="s">
        <v>679</v>
      </c>
      <c r="F205">
        <v>15</v>
      </c>
      <c r="G205">
        <v>1769186489.03333</v>
      </c>
      <c r="H205">
        <f t="shared" si="26"/>
        <v>5.4356118607170928E-4</v>
      </c>
      <c r="I205">
        <v>0</v>
      </c>
      <c r="J205">
        <f t="shared" si="38"/>
        <v>5.9371241299450441E-4</v>
      </c>
      <c r="K205">
        <f t="shared" si="27"/>
        <v>1.554913315728068E-2</v>
      </c>
      <c r="L205">
        <f t="shared" si="28"/>
        <v>69.708817680413247</v>
      </c>
      <c r="M205">
        <f t="shared" si="29"/>
        <v>1.5367307892569388</v>
      </c>
      <c r="N205">
        <f t="shared" si="30"/>
        <v>2.2044998615558629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26288.316425063804</v>
      </c>
      <c r="T205">
        <f t="shared" si="34"/>
        <v>799.99913333333302</v>
      </c>
      <c r="U205">
        <f t="shared" si="35"/>
        <v>674.3990423602454</v>
      </c>
      <c r="V205">
        <f t="shared" si="36"/>
        <v>0.84299971619999969</v>
      </c>
      <c r="W205">
        <f t="shared" si="37"/>
        <v>0.15869943341199996</v>
      </c>
      <c r="X205">
        <v>1</v>
      </c>
      <c r="Y205">
        <v>1769186489.03333</v>
      </c>
      <c r="Z205">
        <v>409.69306666666699</v>
      </c>
      <c r="AA205">
        <v>409.99086666666699</v>
      </c>
      <c r="AB205">
        <v>15.3429533333333</v>
      </c>
      <c r="AC205">
        <v>14.6739333333333</v>
      </c>
      <c r="AD205">
        <v>410.61113333333299</v>
      </c>
      <c r="AE205">
        <v>15.249886666666701</v>
      </c>
      <c r="AF205">
        <v>800.00800000000004</v>
      </c>
      <c r="AG205">
        <v>100.093066666667</v>
      </c>
      <c r="AH205">
        <v>6.5667826666666707E-2</v>
      </c>
      <c r="AI205">
        <v>18.995053333333299</v>
      </c>
      <c r="AJ205">
        <v>999.9</v>
      </c>
      <c r="AK205">
        <v>999.9</v>
      </c>
      <c r="AL205">
        <v>0</v>
      </c>
      <c r="AM205">
        <v>0</v>
      </c>
      <c r="AN205">
        <v>5006.8</v>
      </c>
      <c r="AO205">
        <v>0</v>
      </c>
      <c r="AP205">
        <v>2.14547</v>
      </c>
      <c r="AQ205">
        <v>-0.297916666666667</v>
      </c>
      <c r="AR205">
        <v>416.07693333333299</v>
      </c>
      <c r="AS205">
        <v>416.09666666666698</v>
      </c>
      <c r="AT205">
        <v>0.66902459999999997</v>
      </c>
      <c r="AU205">
        <v>409.99086666666699</v>
      </c>
      <c r="AV205">
        <v>14.6739333333333</v>
      </c>
      <c r="AW205">
        <v>1.53572466666667</v>
      </c>
      <c r="AX205">
        <v>1.4687600000000001</v>
      </c>
      <c r="AY205">
        <v>13.328573333333299</v>
      </c>
      <c r="AZ205">
        <v>12.6467733333333</v>
      </c>
      <c r="BA205">
        <v>799.99913333333302</v>
      </c>
      <c r="BB205">
        <v>0.90000733333333305</v>
      </c>
      <c r="BC205">
        <v>0</v>
      </c>
      <c r="BD205">
        <v>9.9992593333333296E-2</v>
      </c>
      <c r="BE205">
        <v>0</v>
      </c>
      <c r="BF205">
        <v>25</v>
      </c>
      <c r="BG205">
        <v>13191.04</v>
      </c>
      <c r="BH205">
        <v>1769186165.0999999</v>
      </c>
      <c r="BI205" t="s">
        <v>633</v>
      </c>
      <c r="BJ205">
        <v>1769186165.0999999</v>
      </c>
      <c r="BK205">
        <v>1769186160.0999999</v>
      </c>
      <c r="BL205">
        <v>6</v>
      </c>
      <c r="BM205">
        <v>7.4999999999999997E-2</v>
      </c>
      <c r="BN205">
        <v>-5.7000000000000002E-2</v>
      </c>
      <c r="BO205">
        <v>-0.91800000000000004</v>
      </c>
      <c r="BP205">
        <v>9.2999999999999999E-2</v>
      </c>
      <c r="BQ205">
        <v>410</v>
      </c>
      <c r="BR205">
        <v>15</v>
      </c>
      <c r="BS205">
        <v>0.18</v>
      </c>
      <c r="BT205">
        <v>0.08</v>
      </c>
      <c r="BU205">
        <v>-0.29508515000000002</v>
      </c>
      <c r="BV205">
        <v>0.107551714285714</v>
      </c>
      <c r="BW205">
        <v>3.3808522146457402E-2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0.67097830000000003</v>
      </c>
      <c r="CD205">
        <v>-8.21141052631576E-2</v>
      </c>
      <c r="CE205">
        <v>9.8189429884280206E-3</v>
      </c>
      <c r="CF205">
        <v>1</v>
      </c>
      <c r="CG205">
        <v>2</v>
      </c>
      <c r="CH205">
        <v>2</v>
      </c>
      <c r="CI205" t="s">
        <v>310</v>
      </c>
      <c r="CJ205">
        <v>3.53247</v>
      </c>
      <c r="CK205">
        <v>2.70322</v>
      </c>
      <c r="CL205">
        <v>9.7874799999999998E-2</v>
      </c>
      <c r="CM205">
        <v>9.6559199999999998E-2</v>
      </c>
      <c r="CN205">
        <v>8.6859099999999995E-2</v>
      </c>
      <c r="CO205">
        <v>8.3226599999999998E-2</v>
      </c>
      <c r="CP205">
        <v>31621.200000000001</v>
      </c>
      <c r="CQ205">
        <v>27772.7</v>
      </c>
      <c r="CR205">
        <v>32442.400000000001</v>
      </c>
      <c r="CS205">
        <v>30668.799999999999</v>
      </c>
      <c r="CT205">
        <v>40113.5</v>
      </c>
      <c r="CU205">
        <v>39533.4</v>
      </c>
      <c r="CV205">
        <v>47378.2</v>
      </c>
      <c r="CW205">
        <v>46767.3</v>
      </c>
      <c r="CX205">
        <v>2.6206999999999998</v>
      </c>
      <c r="CY205">
        <v>2.1267800000000001</v>
      </c>
      <c r="CZ205">
        <v>0</v>
      </c>
      <c r="DA205">
        <v>0</v>
      </c>
      <c r="DB205">
        <v>999.9</v>
      </c>
      <c r="DC205">
        <v>999.9</v>
      </c>
      <c r="DD205">
        <v>57.38</v>
      </c>
      <c r="DE205">
        <v>27.018999999999998</v>
      </c>
      <c r="DF205">
        <v>20.541499999999999</v>
      </c>
      <c r="DG205">
        <v>30.520199999999999</v>
      </c>
      <c r="DH205">
        <v>17.892600000000002</v>
      </c>
      <c r="DI205">
        <v>2</v>
      </c>
      <c r="DJ205">
        <v>-0.10637000000000001</v>
      </c>
      <c r="DK205">
        <v>2.4895499999999999</v>
      </c>
      <c r="DL205">
        <v>20.1919</v>
      </c>
      <c r="DM205">
        <v>5.2501199999999999</v>
      </c>
      <c r="DN205">
        <v>12.033899999999999</v>
      </c>
      <c r="DO205">
        <v>4.96692</v>
      </c>
      <c r="DP205">
        <v>3.2909999999999999</v>
      </c>
      <c r="DQ205">
        <v>9999</v>
      </c>
      <c r="DR205">
        <v>9999</v>
      </c>
      <c r="DS205">
        <v>535</v>
      </c>
      <c r="DT205">
        <v>9999</v>
      </c>
      <c r="DU205">
        <v>1.87104</v>
      </c>
      <c r="DV205">
        <v>1.87608</v>
      </c>
      <c r="DW205">
        <v>1.87629</v>
      </c>
      <c r="DX205">
        <v>1.88279</v>
      </c>
      <c r="DY205">
        <v>1.87561</v>
      </c>
      <c r="DZ205">
        <v>1.87469</v>
      </c>
      <c r="EA205">
        <v>1.8708</v>
      </c>
      <c r="EB205">
        <v>1.8746799999999999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-0.91800000000000004</v>
      </c>
      <c r="EQ205">
        <v>9.3100000000000002E-2</v>
      </c>
      <c r="ER205">
        <v>-0.91809090909089297</v>
      </c>
      <c r="ES205">
        <v>0</v>
      </c>
      <c r="ET205">
        <v>0</v>
      </c>
      <c r="EU205">
        <v>0</v>
      </c>
      <c r="EV205">
        <v>9.3060000000003001E-2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5.5</v>
      </c>
      <c r="FE205">
        <v>5.6</v>
      </c>
      <c r="FF205">
        <v>1.2402299999999999</v>
      </c>
      <c r="FG205">
        <v>2.5622600000000002</v>
      </c>
      <c r="FH205">
        <v>2.19604</v>
      </c>
      <c r="FI205">
        <v>2.66235</v>
      </c>
      <c r="FJ205">
        <v>2.4462899999999999</v>
      </c>
      <c r="FK205">
        <v>2.2936999999999999</v>
      </c>
      <c r="FL205">
        <v>31.717300000000002</v>
      </c>
      <c r="FM205">
        <v>24.14</v>
      </c>
      <c r="FN205">
        <v>19</v>
      </c>
      <c r="FO205">
        <v>865.18</v>
      </c>
      <c r="FP205">
        <v>575.04999999999995</v>
      </c>
      <c r="FQ205">
        <v>17.878499999999999</v>
      </c>
      <c r="FR205">
        <v>25.632300000000001</v>
      </c>
      <c r="FS205">
        <v>30.0001</v>
      </c>
      <c r="FT205">
        <v>25.616</v>
      </c>
      <c r="FU205">
        <v>25.616599999999998</v>
      </c>
      <c r="FV205">
        <v>24.892199999999999</v>
      </c>
      <c r="FW205">
        <v>30.994399999999999</v>
      </c>
      <c r="FX205">
        <v>0</v>
      </c>
      <c r="FY205">
        <v>17.881799999999998</v>
      </c>
      <c r="FZ205">
        <v>410</v>
      </c>
      <c r="GA205">
        <v>14.742900000000001</v>
      </c>
      <c r="GB205">
        <v>99.833600000000004</v>
      </c>
      <c r="GC205">
        <v>99.560699999999997</v>
      </c>
    </row>
    <row r="206" spans="1:185" x14ac:dyDescent="0.2">
      <c r="A206">
        <v>191</v>
      </c>
      <c r="B206">
        <v>1769186512.0999999</v>
      </c>
      <c r="C206">
        <v>3649.0999999046298</v>
      </c>
      <c r="D206" t="s">
        <v>680</v>
      </c>
      <c r="E206" t="s">
        <v>681</v>
      </c>
      <c r="F206">
        <v>15</v>
      </c>
      <c r="G206">
        <v>1769186504.03333</v>
      </c>
      <c r="H206">
        <f t="shared" si="26"/>
        <v>5.3247192414436571E-4</v>
      </c>
      <c r="I206">
        <v>0</v>
      </c>
      <c r="J206">
        <f t="shared" si="38"/>
        <v>7.567411577661953E-4</v>
      </c>
      <c r="K206">
        <f t="shared" si="27"/>
        <v>1.9818802454127288E-2</v>
      </c>
      <c r="L206">
        <f t="shared" si="28"/>
        <v>69.7418925994956</v>
      </c>
      <c r="M206">
        <f t="shared" si="29"/>
        <v>1.5376991661838628</v>
      </c>
      <c r="N206">
        <f t="shared" si="30"/>
        <v>2.2048428983915818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26223.977087401803</v>
      </c>
      <c r="T206">
        <f t="shared" si="34"/>
        <v>800.00033333333295</v>
      </c>
      <c r="U206">
        <f t="shared" si="35"/>
        <v>674.40006979991188</v>
      </c>
      <c r="V206">
        <f t="shared" si="36"/>
        <v>0.84299973600000022</v>
      </c>
      <c r="W206">
        <f t="shared" si="37"/>
        <v>0.15869946992000006</v>
      </c>
      <c r="X206">
        <v>1</v>
      </c>
      <c r="Y206">
        <v>1769186504.03333</v>
      </c>
      <c r="Z206">
        <v>409.70460000000003</v>
      </c>
      <c r="AA206">
        <v>410.00206666666702</v>
      </c>
      <c r="AB206">
        <v>15.3527733333333</v>
      </c>
      <c r="AC206">
        <v>14.6974066666667</v>
      </c>
      <c r="AD206">
        <v>410.62273333333297</v>
      </c>
      <c r="AE206">
        <v>15.259679999999999</v>
      </c>
      <c r="AF206">
        <v>800.00559999999996</v>
      </c>
      <c r="AG206">
        <v>100.092333333333</v>
      </c>
      <c r="AH206">
        <v>6.5412293333333302E-2</v>
      </c>
      <c r="AI206">
        <v>18.9975466666667</v>
      </c>
      <c r="AJ206">
        <v>999.9</v>
      </c>
      <c r="AK206">
        <v>999.9</v>
      </c>
      <c r="AL206">
        <v>0</v>
      </c>
      <c r="AM206">
        <v>0</v>
      </c>
      <c r="AN206">
        <v>4996.2666666666701</v>
      </c>
      <c r="AO206">
        <v>0</v>
      </c>
      <c r="AP206">
        <v>2.14547</v>
      </c>
      <c r="AQ206">
        <v>-0.29740193333333298</v>
      </c>
      <c r="AR206">
        <v>416.09280000000001</v>
      </c>
      <c r="AS206">
        <v>416.11779999999999</v>
      </c>
      <c r="AT206">
        <v>0.65534840000000005</v>
      </c>
      <c r="AU206">
        <v>410.00206666666702</v>
      </c>
      <c r="AV206">
        <v>14.6974066666667</v>
      </c>
      <c r="AW206">
        <v>1.5366946666666701</v>
      </c>
      <c r="AX206">
        <v>1.47109666666667</v>
      </c>
      <c r="AY206">
        <v>13.338233333333299</v>
      </c>
      <c r="AZ206">
        <v>12.67102</v>
      </c>
      <c r="BA206">
        <v>800.00033333333295</v>
      </c>
      <c r="BB206">
        <v>0.90000686666666696</v>
      </c>
      <c r="BC206">
        <v>0</v>
      </c>
      <c r="BD206">
        <v>9.99930666666667E-2</v>
      </c>
      <c r="BE206">
        <v>0</v>
      </c>
      <c r="BF206">
        <v>25</v>
      </c>
      <c r="BG206">
        <v>13191.06</v>
      </c>
      <c r="BH206">
        <v>1769186165.0999999</v>
      </c>
      <c r="BI206" t="s">
        <v>633</v>
      </c>
      <c r="BJ206">
        <v>1769186165.0999999</v>
      </c>
      <c r="BK206">
        <v>1769186160.0999999</v>
      </c>
      <c r="BL206">
        <v>6</v>
      </c>
      <c r="BM206">
        <v>7.4999999999999997E-2</v>
      </c>
      <c r="BN206">
        <v>-5.7000000000000002E-2</v>
      </c>
      <c r="BO206">
        <v>-0.91800000000000004</v>
      </c>
      <c r="BP206">
        <v>9.2999999999999999E-2</v>
      </c>
      <c r="BQ206">
        <v>410</v>
      </c>
      <c r="BR206">
        <v>15</v>
      </c>
      <c r="BS206">
        <v>0.18</v>
      </c>
      <c r="BT206">
        <v>0.08</v>
      </c>
      <c r="BU206">
        <v>-0.28748861904761902</v>
      </c>
      <c r="BV206">
        <v>-0.15860501298701299</v>
      </c>
      <c r="BW206">
        <v>2.5654834167084199E-2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0.65591976190476198</v>
      </c>
      <c r="CD206">
        <v>-4.2417662337653301E-3</v>
      </c>
      <c r="CE206">
        <v>4.0256183897012798E-3</v>
      </c>
      <c r="CF206">
        <v>1</v>
      </c>
      <c r="CG206">
        <v>2</v>
      </c>
      <c r="CH206">
        <v>2</v>
      </c>
      <c r="CI206" t="s">
        <v>310</v>
      </c>
      <c r="CJ206">
        <v>3.5325199999999999</v>
      </c>
      <c r="CK206">
        <v>2.7033700000000001</v>
      </c>
      <c r="CL206">
        <v>9.7876500000000005E-2</v>
      </c>
      <c r="CM206">
        <v>9.6556100000000006E-2</v>
      </c>
      <c r="CN206">
        <v>8.6894700000000005E-2</v>
      </c>
      <c r="CO206">
        <v>8.3236400000000002E-2</v>
      </c>
      <c r="CP206">
        <v>31620.3</v>
      </c>
      <c r="CQ206">
        <v>27773</v>
      </c>
      <c r="CR206">
        <v>32441.5</v>
      </c>
      <c r="CS206">
        <v>30669</v>
      </c>
      <c r="CT206">
        <v>40110.699999999997</v>
      </c>
      <c r="CU206">
        <v>39533</v>
      </c>
      <c r="CV206">
        <v>47376.7</v>
      </c>
      <c r="CW206">
        <v>46767.4</v>
      </c>
      <c r="CX206">
        <v>2.6206800000000001</v>
      </c>
      <c r="CY206">
        <v>2.1267800000000001</v>
      </c>
      <c r="CZ206">
        <v>0</v>
      </c>
      <c r="DA206">
        <v>0</v>
      </c>
      <c r="DB206">
        <v>999.9</v>
      </c>
      <c r="DC206">
        <v>999.9</v>
      </c>
      <c r="DD206">
        <v>57.331000000000003</v>
      </c>
      <c r="DE206">
        <v>27.018999999999998</v>
      </c>
      <c r="DF206">
        <v>20.524799999999999</v>
      </c>
      <c r="DG206">
        <v>30.520199999999999</v>
      </c>
      <c r="DH206">
        <v>17.7925</v>
      </c>
      <c r="DI206">
        <v>2</v>
      </c>
      <c r="DJ206">
        <v>-0.106459</v>
      </c>
      <c r="DK206">
        <v>2.4885799999999998</v>
      </c>
      <c r="DL206">
        <v>20.1921</v>
      </c>
      <c r="DM206">
        <v>5.2498800000000001</v>
      </c>
      <c r="DN206">
        <v>12.033899999999999</v>
      </c>
      <c r="DO206">
        <v>4.9670800000000002</v>
      </c>
      <c r="DP206">
        <v>3.2909999999999999</v>
      </c>
      <c r="DQ206">
        <v>9999</v>
      </c>
      <c r="DR206">
        <v>9999</v>
      </c>
      <c r="DS206">
        <v>535</v>
      </c>
      <c r="DT206">
        <v>9999</v>
      </c>
      <c r="DU206">
        <v>1.87107</v>
      </c>
      <c r="DV206">
        <v>1.8761099999999999</v>
      </c>
      <c r="DW206">
        <v>1.87629</v>
      </c>
      <c r="DX206">
        <v>1.8827799999999999</v>
      </c>
      <c r="DY206">
        <v>1.8755999999999999</v>
      </c>
      <c r="DZ206">
        <v>1.8746799999999999</v>
      </c>
      <c r="EA206">
        <v>1.8708</v>
      </c>
      <c r="EB206">
        <v>1.87469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-0.91800000000000004</v>
      </c>
      <c r="EQ206">
        <v>9.3100000000000002E-2</v>
      </c>
      <c r="ER206">
        <v>-0.91809090909089297</v>
      </c>
      <c r="ES206">
        <v>0</v>
      </c>
      <c r="ET206">
        <v>0</v>
      </c>
      <c r="EU206">
        <v>0</v>
      </c>
      <c r="EV206">
        <v>9.3060000000003001E-2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5.8</v>
      </c>
      <c r="FE206">
        <v>5.9</v>
      </c>
      <c r="FF206">
        <v>1.2402299999999999</v>
      </c>
      <c r="FG206">
        <v>2.5732400000000002</v>
      </c>
      <c r="FH206">
        <v>2.19604</v>
      </c>
      <c r="FI206">
        <v>2.66235</v>
      </c>
      <c r="FJ206">
        <v>2.4462899999999999</v>
      </c>
      <c r="FK206">
        <v>2.2644000000000002</v>
      </c>
      <c r="FL206">
        <v>31.717300000000002</v>
      </c>
      <c r="FM206">
        <v>24.14</v>
      </c>
      <c r="FN206">
        <v>19</v>
      </c>
      <c r="FO206">
        <v>865.16099999999994</v>
      </c>
      <c r="FP206">
        <v>575.04999999999995</v>
      </c>
      <c r="FQ206">
        <v>17.8856</v>
      </c>
      <c r="FR206">
        <v>25.632300000000001</v>
      </c>
      <c r="FS206">
        <v>30.0001</v>
      </c>
      <c r="FT206">
        <v>25.616</v>
      </c>
      <c r="FU206">
        <v>25.616599999999998</v>
      </c>
      <c r="FV206">
        <v>24.893799999999999</v>
      </c>
      <c r="FW206">
        <v>30.994399999999999</v>
      </c>
      <c r="FX206">
        <v>0</v>
      </c>
      <c r="FY206">
        <v>17.887</v>
      </c>
      <c r="FZ206">
        <v>410</v>
      </c>
      <c r="GA206">
        <v>14.7475</v>
      </c>
      <c r="GB206">
        <v>99.830699999999993</v>
      </c>
      <c r="GC206">
        <v>99.561000000000007</v>
      </c>
    </row>
    <row r="207" spans="1:185" x14ac:dyDescent="0.2">
      <c r="A207">
        <v>192</v>
      </c>
      <c r="B207">
        <v>1769186527.0999999</v>
      </c>
      <c r="C207">
        <v>3664.0999999046298</v>
      </c>
      <c r="D207" t="s">
        <v>682</v>
      </c>
      <c r="E207" t="s">
        <v>683</v>
      </c>
      <c r="F207">
        <v>15</v>
      </c>
      <c r="G207">
        <v>1769186519.03333</v>
      </c>
      <c r="H207">
        <f t="shared" si="26"/>
        <v>5.3651521629178027E-4</v>
      </c>
      <c r="I207">
        <v>0</v>
      </c>
      <c r="J207">
        <f t="shared" si="38"/>
        <v>6.3434772537855903E-4</v>
      </c>
      <c r="K207">
        <f t="shared" si="27"/>
        <v>1.6613358646454024E-2</v>
      </c>
      <c r="L207">
        <f t="shared" si="28"/>
        <v>69.767579901823439</v>
      </c>
      <c r="M207">
        <f t="shared" si="29"/>
        <v>1.538295609195512</v>
      </c>
      <c r="N207">
        <f t="shared" si="30"/>
        <v>2.2048860106086425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26247.681249280493</v>
      </c>
      <c r="T207">
        <f t="shared" si="34"/>
        <v>799.99846666666701</v>
      </c>
      <c r="U207">
        <f t="shared" si="35"/>
        <v>674.3984813204338</v>
      </c>
      <c r="V207">
        <f t="shared" si="36"/>
        <v>0.84299971740000024</v>
      </c>
      <c r="W207">
        <f t="shared" si="37"/>
        <v>0.15869938444400006</v>
      </c>
      <c r="X207">
        <v>1</v>
      </c>
      <c r="Y207">
        <v>1769186519.03333</v>
      </c>
      <c r="Z207">
        <v>409.70813333333302</v>
      </c>
      <c r="AA207">
        <v>410.00366666666702</v>
      </c>
      <c r="AB207">
        <v>15.358786666666701</v>
      </c>
      <c r="AC207">
        <v>14.698446666666699</v>
      </c>
      <c r="AD207">
        <v>410.62613333333297</v>
      </c>
      <c r="AE207">
        <v>15.2657066666667</v>
      </c>
      <c r="AF207">
        <v>800.00453333333303</v>
      </c>
      <c r="AG207">
        <v>100.09180000000001</v>
      </c>
      <c r="AH207">
        <v>6.5565460000000006E-2</v>
      </c>
      <c r="AI207">
        <v>18.997859999999999</v>
      </c>
      <c r="AJ207">
        <v>999.9</v>
      </c>
      <c r="AK207">
        <v>999.9</v>
      </c>
      <c r="AL207">
        <v>0</v>
      </c>
      <c r="AM207">
        <v>0</v>
      </c>
      <c r="AN207">
        <v>5000.2</v>
      </c>
      <c r="AO207">
        <v>0</v>
      </c>
      <c r="AP207">
        <v>2.14547</v>
      </c>
      <c r="AQ207">
        <v>-0.29556280000000001</v>
      </c>
      <c r="AR207">
        <v>416.09879999999998</v>
      </c>
      <c r="AS207">
        <v>416.11986666666701</v>
      </c>
      <c r="AT207">
        <v>0.66033759999999997</v>
      </c>
      <c r="AU207">
        <v>410.00366666666702</v>
      </c>
      <c r="AV207">
        <v>14.698446666666699</v>
      </c>
      <c r="AW207">
        <v>1.5372906666666699</v>
      </c>
      <c r="AX207">
        <v>1.47119466666667</v>
      </c>
      <c r="AY207">
        <v>13.3441733333333</v>
      </c>
      <c r="AZ207">
        <v>12.672040000000001</v>
      </c>
      <c r="BA207">
        <v>799.99846666666701</v>
      </c>
      <c r="BB207">
        <v>0.90000806666666699</v>
      </c>
      <c r="BC207">
        <v>0</v>
      </c>
      <c r="BD207">
        <v>9.9991886666666696E-2</v>
      </c>
      <c r="BE207">
        <v>0</v>
      </c>
      <c r="BF207">
        <v>25</v>
      </c>
      <c r="BG207">
        <v>13191.04</v>
      </c>
      <c r="BH207">
        <v>1769186165.0999999</v>
      </c>
      <c r="BI207" t="s">
        <v>633</v>
      </c>
      <c r="BJ207">
        <v>1769186165.0999999</v>
      </c>
      <c r="BK207">
        <v>1769186160.0999999</v>
      </c>
      <c r="BL207">
        <v>6</v>
      </c>
      <c r="BM207">
        <v>7.4999999999999997E-2</v>
      </c>
      <c r="BN207">
        <v>-5.7000000000000002E-2</v>
      </c>
      <c r="BO207">
        <v>-0.91800000000000004</v>
      </c>
      <c r="BP207">
        <v>9.2999999999999999E-2</v>
      </c>
      <c r="BQ207">
        <v>410</v>
      </c>
      <c r="BR207">
        <v>15</v>
      </c>
      <c r="BS207">
        <v>0.18</v>
      </c>
      <c r="BT207">
        <v>0.08</v>
      </c>
      <c r="BU207">
        <v>-0.29905854999999998</v>
      </c>
      <c r="BV207">
        <v>2.8948105263158101E-2</v>
      </c>
      <c r="BW207">
        <v>2.6244320902768702E-2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0.65940399999999999</v>
      </c>
      <c r="CD207">
        <v>2.6111909774435799E-2</v>
      </c>
      <c r="CE207">
        <v>2.6011386160679699E-3</v>
      </c>
      <c r="CF207">
        <v>1</v>
      </c>
      <c r="CG207">
        <v>2</v>
      </c>
      <c r="CH207">
        <v>2</v>
      </c>
      <c r="CI207" t="s">
        <v>310</v>
      </c>
      <c r="CJ207">
        <v>3.53254</v>
      </c>
      <c r="CK207">
        <v>2.7034199999999999</v>
      </c>
      <c r="CL207">
        <v>9.7872000000000001E-2</v>
      </c>
      <c r="CM207">
        <v>9.6552200000000005E-2</v>
      </c>
      <c r="CN207">
        <v>8.6915599999999996E-2</v>
      </c>
      <c r="CO207">
        <v>8.3235400000000001E-2</v>
      </c>
      <c r="CP207">
        <v>31621.200000000001</v>
      </c>
      <c r="CQ207">
        <v>27773.1</v>
      </c>
      <c r="CR207">
        <v>32442.3</v>
      </c>
      <c r="CS207">
        <v>30668.9</v>
      </c>
      <c r="CT207">
        <v>40110.699999999997</v>
      </c>
      <c r="CU207">
        <v>39533.199999999997</v>
      </c>
      <c r="CV207">
        <v>47377.9</v>
      </c>
      <c r="CW207">
        <v>46767.5</v>
      </c>
      <c r="CX207">
        <v>2.6204999999999998</v>
      </c>
      <c r="CY207">
        <v>2.1265800000000001</v>
      </c>
      <c r="CZ207">
        <v>0</v>
      </c>
      <c r="DA207">
        <v>0</v>
      </c>
      <c r="DB207">
        <v>999.9</v>
      </c>
      <c r="DC207">
        <v>999.9</v>
      </c>
      <c r="DD207">
        <v>57.307000000000002</v>
      </c>
      <c r="DE207">
        <v>27.029</v>
      </c>
      <c r="DF207">
        <v>20.528400000000001</v>
      </c>
      <c r="DG207">
        <v>30.490200000000002</v>
      </c>
      <c r="DH207">
        <v>17.816500000000001</v>
      </c>
      <c r="DI207">
        <v>2</v>
      </c>
      <c r="DJ207">
        <v>-0.106242</v>
      </c>
      <c r="DK207">
        <v>2.5032700000000001</v>
      </c>
      <c r="DL207">
        <v>20.191600000000001</v>
      </c>
      <c r="DM207">
        <v>5.25</v>
      </c>
      <c r="DN207">
        <v>12.033899999999999</v>
      </c>
      <c r="DO207">
        <v>4.9671200000000004</v>
      </c>
      <c r="DP207">
        <v>3.2909999999999999</v>
      </c>
      <c r="DQ207">
        <v>9999</v>
      </c>
      <c r="DR207">
        <v>9999</v>
      </c>
      <c r="DS207">
        <v>535</v>
      </c>
      <c r="DT207">
        <v>9999</v>
      </c>
      <c r="DU207">
        <v>1.8711</v>
      </c>
      <c r="DV207">
        <v>1.8761399999999999</v>
      </c>
      <c r="DW207">
        <v>1.8763399999999999</v>
      </c>
      <c r="DX207">
        <v>1.88279</v>
      </c>
      <c r="DY207">
        <v>1.87561</v>
      </c>
      <c r="DZ207">
        <v>1.87469</v>
      </c>
      <c r="EA207">
        <v>1.8708100000000001</v>
      </c>
      <c r="EB207">
        <v>1.8746799999999999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-0.91800000000000004</v>
      </c>
      <c r="EQ207">
        <v>9.3100000000000002E-2</v>
      </c>
      <c r="ER207">
        <v>-0.91809090909089297</v>
      </c>
      <c r="ES207">
        <v>0</v>
      </c>
      <c r="ET207">
        <v>0</v>
      </c>
      <c r="EU207">
        <v>0</v>
      </c>
      <c r="EV207">
        <v>9.3060000000003001E-2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6</v>
      </c>
      <c r="FE207">
        <v>6.1</v>
      </c>
      <c r="FF207">
        <v>1.2402299999999999</v>
      </c>
      <c r="FG207">
        <v>2.5683600000000002</v>
      </c>
      <c r="FH207">
        <v>2.19604</v>
      </c>
      <c r="FI207">
        <v>2.66235</v>
      </c>
      <c r="FJ207">
        <v>2.4462899999999999</v>
      </c>
      <c r="FK207">
        <v>2.3547400000000001</v>
      </c>
      <c r="FL207">
        <v>31.717300000000002</v>
      </c>
      <c r="FM207">
        <v>24.148800000000001</v>
      </c>
      <c r="FN207">
        <v>19</v>
      </c>
      <c r="FO207">
        <v>864.99400000000003</v>
      </c>
      <c r="FP207">
        <v>574.89700000000005</v>
      </c>
      <c r="FQ207">
        <v>17.892399999999999</v>
      </c>
      <c r="FR207">
        <v>25.630099999999999</v>
      </c>
      <c r="FS207">
        <v>30</v>
      </c>
      <c r="FT207">
        <v>25.616</v>
      </c>
      <c r="FU207">
        <v>25.616599999999998</v>
      </c>
      <c r="FV207">
        <v>24.893599999999999</v>
      </c>
      <c r="FW207">
        <v>30.994399999999999</v>
      </c>
      <c r="FX207">
        <v>0</v>
      </c>
      <c r="FY207">
        <v>17.879100000000001</v>
      </c>
      <c r="FZ207">
        <v>410</v>
      </c>
      <c r="GA207">
        <v>14.7484</v>
      </c>
      <c r="GB207">
        <v>99.833100000000002</v>
      </c>
      <c r="GC207">
        <v>99.561099999999996</v>
      </c>
    </row>
    <row r="208" spans="1:185" x14ac:dyDescent="0.2">
      <c r="A208">
        <v>193</v>
      </c>
      <c r="B208">
        <v>1769186542.0999999</v>
      </c>
      <c r="C208">
        <v>3679.0999999046298</v>
      </c>
      <c r="D208" t="s">
        <v>684</v>
      </c>
      <c r="E208" t="s">
        <v>685</v>
      </c>
      <c r="F208">
        <v>15</v>
      </c>
      <c r="G208">
        <v>1769186534.03333</v>
      </c>
      <c r="H208">
        <f t="shared" ref="H208:H233" si="39">AF208*Q208*(AB208-AC208)/(1000*X208*(1000-Q208*AB208))</f>
        <v>5.3772768277232012E-4</v>
      </c>
      <c r="I208">
        <v>0</v>
      </c>
      <c r="J208">
        <f t="shared" si="38"/>
        <v>8.4784022712898368E-4</v>
      </c>
      <c r="K208">
        <f t="shared" ref="K208:K233" si="40">AF208*Q208*(AA208-Z208*(1000-Q208*AC208)/(1000-Q208*AB208))/(1000*X208)</f>
        <v>2.2204657169345204E-2</v>
      </c>
      <c r="L208">
        <f t="shared" ref="L208:L233" si="41">(M208/N208*100)</f>
        <v>69.749195311456518</v>
      </c>
      <c r="M208">
        <f t="shared" ref="M208:M233" si="42">AB208*(AG208+AH208)/1000</f>
        <v>1.5384847264687904</v>
      </c>
      <c r="N208">
        <f t="shared" ref="N208:N233" si="43">0.61365*EXP(17.502*AI208/(240.97+AI208))</f>
        <v>2.2057383165481332</v>
      </c>
      <c r="O208">
        <v>0</v>
      </c>
      <c r="P208">
        <v>0</v>
      </c>
      <c r="Q208">
        <f t="shared" ref="Q208:Q233" si="44">IF(O208*$H$13&gt;=S208,1,(S208/(S208-O208*$H$13)))</f>
        <v>1</v>
      </c>
      <c r="R208">
        <f t="shared" ref="R208:R233" si="45">(Q208-1)*100</f>
        <v>0</v>
      </c>
      <c r="S208">
        <f t="shared" ref="S208:S233" si="46">MAX(0,($B$13+$C$13*AN208)/(1+$D$13*AN208)*AG208/(AI208+273)*$E$13)</f>
        <v>26228.777953401848</v>
      </c>
      <c r="T208">
        <f t="shared" ref="T208:T233" si="47">$B$11*AO208+$C$11*AP208+$D$11*BA208</f>
        <v>799.99913333333302</v>
      </c>
      <c r="U208">
        <f t="shared" ref="U208:U233" si="48">T208*V208</f>
        <v>674.39891804038007</v>
      </c>
      <c r="V208">
        <f t="shared" ref="V208:V233" si="49">($B$11*$D$9+$C$11*$D$9+$D$11*(BB208*$E$9+BC208*$F$9+BD208*$G$9+BE208*$H$9))/($B$11+$C$11+$D$11)</f>
        <v>0.8429995607999996</v>
      </c>
      <c r="W208">
        <f t="shared" ref="W208:W233" si="50">($B$11*$L$9+$C$11*$L$9+$D$11*(BB208*$M$9+BC208*$N$9+BD208*$O$9+BE208*$P$9))/($B$11+$C$11+$D$11)</f>
        <v>0.15869908388799994</v>
      </c>
      <c r="X208">
        <v>1</v>
      </c>
      <c r="Y208">
        <v>1769186534.03333</v>
      </c>
      <c r="Z208">
        <v>409.69159999999999</v>
      </c>
      <c r="AA208">
        <v>409.99473333333299</v>
      </c>
      <c r="AB208">
        <v>15.360773333333301</v>
      </c>
      <c r="AC208">
        <v>14.69894</v>
      </c>
      <c r="AD208">
        <v>410.60966666666701</v>
      </c>
      <c r="AE208">
        <v>15.2676866666667</v>
      </c>
      <c r="AF208">
        <v>800.00166666666701</v>
      </c>
      <c r="AG208">
        <v>100.091266666667</v>
      </c>
      <c r="AH208">
        <v>6.5456766666666694E-2</v>
      </c>
      <c r="AI208">
        <v>19.004053333333299</v>
      </c>
      <c r="AJ208">
        <v>999.9</v>
      </c>
      <c r="AK208">
        <v>999.9</v>
      </c>
      <c r="AL208">
        <v>0</v>
      </c>
      <c r="AM208">
        <v>0</v>
      </c>
      <c r="AN208">
        <v>4997.2</v>
      </c>
      <c r="AO208">
        <v>0</v>
      </c>
      <c r="AP208">
        <v>2.14547</v>
      </c>
      <c r="AQ208">
        <v>-0.30305779999999999</v>
      </c>
      <c r="AR208">
        <v>416.08306666666698</v>
      </c>
      <c r="AS208">
        <v>416.111066666667</v>
      </c>
      <c r="AT208">
        <v>0.66180760000000005</v>
      </c>
      <c r="AU208">
        <v>409.99473333333299</v>
      </c>
      <c r="AV208">
        <v>14.69894</v>
      </c>
      <c r="AW208">
        <v>1.53747733333333</v>
      </c>
      <c r="AX208">
        <v>1.471236</v>
      </c>
      <c r="AY208">
        <v>13.3460533333333</v>
      </c>
      <c r="AZ208">
        <v>12.672466666666701</v>
      </c>
      <c r="BA208">
        <v>799.99913333333302</v>
      </c>
      <c r="BB208">
        <v>0.90001193333333296</v>
      </c>
      <c r="BC208">
        <v>0</v>
      </c>
      <c r="BD208">
        <v>9.9987973333333299E-2</v>
      </c>
      <c r="BE208">
        <v>0</v>
      </c>
      <c r="BF208">
        <v>25</v>
      </c>
      <c r="BG208">
        <v>13191.0666666667</v>
      </c>
      <c r="BH208">
        <v>1769186165.0999999</v>
      </c>
      <c r="BI208" t="s">
        <v>633</v>
      </c>
      <c r="BJ208">
        <v>1769186165.0999999</v>
      </c>
      <c r="BK208">
        <v>1769186160.0999999</v>
      </c>
      <c r="BL208">
        <v>6</v>
      </c>
      <c r="BM208">
        <v>7.4999999999999997E-2</v>
      </c>
      <c r="BN208">
        <v>-5.7000000000000002E-2</v>
      </c>
      <c r="BO208">
        <v>-0.91800000000000004</v>
      </c>
      <c r="BP208">
        <v>9.2999999999999999E-2</v>
      </c>
      <c r="BQ208">
        <v>410</v>
      </c>
      <c r="BR208">
        <v>15</v>
      </c>
      <c r="BS208">
        <v>0.18</v>
      </c>
      <c r="BT208">
        <v>0.08</v>
      </c>
      <c r="BU208">
        <v>-0.29937439999999998</v>
      </c>
      <c r="BV208">
        <v>-8.7600541353383396E-2</v>
      </c>
      <c r="BW208">
        <v>2.2775604855634499E-2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0.66218115</v>
      </c>
      <c r="CD208">
        <v>-3.03225563909885E-3</v>
      </c>
      <c r="CE208">
        <v>8.6192385249510696E-4</v>
      </c>
      <c r="CF208">
        <v>1</v>
      </c>
      <c r="CG208">
        <v>2</v>
      </c>
      <c r="CH208">
        <v>2</v>
      </c>
      <c r="CI208" t="s">
        <v>310</v>
      </c>
      <c r="CJ208">
        <v>3.5325299999999999</v>
      </c>
      <c r="CK208">
        <v>2.7032799999999999</v>
      </c>
      <c r="CL208">
        <v>9.7874600000000006E-2</v>
      </c>
      <c r="CM208">
        <v>9.6557199999999996E-2</v>
      </c>
      <c r="CN208">
        <v>8.6912699999999996E-2</v>
      </c>
      <c r="CO208">
        <v>8.3237199999999997E-2</v>
      </c>
      <c r="CP208">
        <v>31621.5</v>
      </c>
      <c r="CQ208">
        <v>27773.8</v>
      </c>
      <c r="CR208">
        <v>32442.7</v>
      </c>
      <c r="CS208">
        <v>30669.9</v>
      </c>
      <c r="CT208">
        <v>40111.4</v>
      </c>
      <c r="CU208">
        <v>39534.300000000003</v>
      </c>
      <c r="CV208">
        <v>47378.5</v>
      </c>
      <c r="CW208">
        <v>46768.9</v>
      </c>
      <c r="CX208">
        <v>2.6207600000000002</v>
      </c>
      <c r="CY208">
        <v>2.1265800000000001</v>
      </c>
      <c r="CZ208">
        <v>0</v>
      </c>
      <c r="DA208">
        <v>0</v>
      </c>
      <c r="DB208">
        <v>999.9</v>
      </c>
      <c r="DC208">
        <v>999.9</v>
      </c>
      <c r="DD208">
        <v>57.258000000000003</v>
      </c>
      <c r="DE208">
        <v>27.029</v>
      </c>
      <c r="DF208">
        <v>20.5092</v>
      </c>
      <c r="DG208">
        <v>30.400200000000002</v>
      </c>
      <c r="DH208">
        <v>17.864599999999999</v>
      </c>
      <c r="DI208">
        <v>2</v>
      </c>
      <c r="DJ208">
        <v>-0.10599</v>
      </c>
      <c r="DK208">
        <v>2.5480900000000002</v>
      </c>
      <c r="DL208">
        <v>20.190799999999999</v>
      </c>
      <c r="DM208">
        <v>5.2507099999999998</v>
      </c>
      <c r="DN208">
        <v>12.033899999999999</v>
      </c>
      <c r="DO208">
        <v>4.9671599999999998</v>
      </c>
      <c r="DP208">
        <v>3.2909999999999999</v>
      </c>
      <c r="DQ208">
        <v>9999</v>
      </c>
      <c r="DR208">
        <v>9999</v>
      </c>
      <c r="DS208">
        <v>535</v>
      </c>
      <c r="DT208">
        <v>9999</v>
      </c>
      <c r="DU208">
        <v>1.8711100000000001</v>
      </c>
      <c r="DV208">
        <v>1.8761099999999999</v>
      </c>
      <c r="DW208">
        <v>1.87636</v>
      </c>
      <c r="DX208">
        <v>1.88279</v>
      </c>
      <c r="DY208">
        <v>1.87561</v>
      </c>
      <c r="DZ208">
        <v>1.87469</v>
      </c>
      <c r="EA208">
        <v>1.8708199999999999</v>
      </c>
      <c r="EB208">
        <v>1.8746799999999999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-0.91800000000000004</v>
      </c>
      <c r="EQ208">
        <v>9.3100000000000002E-2</v>
      </c>
      <c r="ER208">
        <v>-0.91809090909089297</v>
      </c>
      <c r="ES208">
        <v>0</v>
      </c>
      <c r="ET208">
        <v>0</v>
      </c>
      <c r="EU208">
        <v>0</v>
      </c>
      <c r="EV208">
        <v>9.3060000000003001E-2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6.3</v>
      </c>
      <c r="FE208">
        <v>6.4</v>
      </c>
      <c r="FF208">
        <v>1.2402299999999999</v>
      </c>
      <c r="FG208">
        <v>2.5708000000000002</v>
      </c>
      <c r="FH208">
        <v>2.19604</v>
      </c>
      <c r="FI208">
        <v>2.66235</v>
      </c>
      <c r="FJ208">
        <v>2.4462899999999999</v>
      </c>
      <c r="FK208">
        <v>2.2753899999999998</v>
      </c>
      <c r="FL208">
        <v>31.717300000000002</v>
      </c>
      <c r="FM208">
        <v>24.1313</v>
      </c>
      <c r="FN208">
        <v>19</v>
      </c>
      <c r="FO208">
        <v>865.23599999999999</v>
      </c>
      <c r="FP208">
        <v>574.92100000000005</v>
      </c>
      <c r="FQ208">
        <v>17.873799999999999</v>
      </c>
      <c r="FR208">
        <v>25.630099999999999</v>
      </c>
      <c r="FS208">
        <v>30.0002</v>
      </c>
      <c r="FT208">
        <v>25.616</v>
      </c>
      <c r="FU208">
        <v>25.6187</v>
      </c>
      <c r="FV208">
        <v>24.892600000000002</v>
      </c>
      <c r="FW208">
        <v>30.994399999999999</v>
      </c>
      <c r="FX208">
        <v>0</v>
      </c>
      <c r="FY208">
        <v>17.866800000000001</v>
      </c>
      <c r="FZ208">
        <v>410</v>
      </c>
      <c r="GA208">
        <v>14.7524</v>
      </c>
      <c r="GB208">
        <v>99.834500000000006</v>
      </c>
      <c r="GC208">
        <v>99.564099999999996</v>
      </c>
    </row>
    <row r="209" spans="1:185" x14ac:dyDescent="0.2">
      <c r="A209">
        <v>194</v>
      </c>
      <c r="B209">
        <v>1769186696.0999999</v>
      </c>
      <c r="C209">
        <v>3833.0999999046298</v>
      </c>
      <c r="D209" t="s">
        <v>686</v>
      </c>
      <c r="E209" t="s">
        <v>687</v>
      </c>
      <c r="F209">
        <v>15</v>
      </c>
      <c r="G209">
        <v>1769186688.0999999</v>
      </c>
      <c r="H209">
        <f t="shared" si="39"/>
        <v>-1.3732292345694328E-3</v>
      </c>
      <c r="I209">
        <v>0</v>
      </c>
      <c r="J209">
        <f t="shared" ref="J209:J233" si="51">K209*(0.0003137/0.0082157)</f>
        <v>-0.19034578492552631</v>
      </c>
      <c r="K209">
        <f t="shared" si="40"/>
        <v>-4.9850936092210594</v>
      </c>
      <c r="L209">
        <f t="shared" si="41"/>
        <v>68.197741456127218</v>
      </c>
      <c r="M209">
        <f t="shared" si="42"/>
        <v>1.491642665766179</v>
      </c>
      <c r="N209">
        <f t="shared" si="43"/>
        <v>2.1872317673830568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26304.695666471485</v>
      </c>
      <c r="T209">
        <f t="shared" si="47"/>
        <v>999.9982</v>
      </c>
      <c r="U209">
        <f t="shared" si="48"/>
        <v>842.9981348006263</v>
      </c>
      <c r="V209">
        <f t="shared" si="49"/>
        <v>0.84299965220000028</v>
      </c>
      <c r="W209">
        <f t="shared" si="50"/>
        <v>0.15869888365200005</v>
      </c>
      <c r="X209">
        <v>1</v>
      </c>
      <c r="Y209">
        <v>1769186688.0999999</v>
      </c>
      <c r="Z209">
        <v>416.8306</v>
      </c>
      <c r="AA209">
        <v>409.88366666666701</v>
      </c>
      <c r="AB209">
        <v>14.8932533333333</v>
      </c>
      <c r="AC209">
        <v>16.584240000000001</v>
      </c>
      <c r="AD209">
        <v>417.74873333333301</v>
      </c>
      <c r="AE209">
        <v>14.8002</v>
      </c>
      <c r="AF209">
        <v>799.99293333333401</v>
      </c>
      <c r="AG209">
        <v>100.090666666667</v>
      </c>
      <c r="AH209">
        <v>6.4929453333333303E-2</v>
      </c>
      <c r="AI209">
        <v>18.8691</v>
      </c>
      <c r="AJ209">
        <v>999.9</v>
      </c>
      <c r="AK209">
        <v>999.9</v>
      </c>
      <c r="AL209">
        <v>0</v>
      </c>
      <c r="AM209">
        <v>0</v>
      </c>
      <c r="AN209">
        <v>5007.7333333333299</v>
      </c>
      <c r="AO209">
        <v>0</v>
      </c>
      <c r="AP209">
        <v>2.1283080000000001</v>
      </c>
      <c r="AQ209">
        <v>6.94697866666667</v>
      </c>
      <c r="AR209">
        <v>423.131466666667</v>
      </c>
      <c r="AS209">
        <v>416.79593333333298</v>
      </c>
      <c r="AT209">
        <v>-1.69099886666667</v>
      </c>
      <c r="AU209">
        <v>409.88366666666701</v>
      </c>
      <c r="AV209">
        <v>16.584240000000001</v>
      </c>
      <c r="AW209">
        <v>1.4906740000000001</v>
      </c>
      <c r="AX209">
        <v>1.6599266666666701</v>
      </c>
      <c r="AY209">
        <v>12.866666666666699</v>
      </c>
      <c r="AZ209">
        <v>14.5265</v>
      </c>
      <c r="BA209">
        <v>999.9982</v>
      </c>
      <c r="BB209">
        <v>0.90001526666666698</v>
      </c>
      <c r="BC209">
        <v>0</v>
      </c>
      <c r="BD209">
        <v>9.9984859999999995E-2</v>
      </c>
      <c r="BE209">
        <v>0</v>
      </c>
      <c r="BF209">
        <v>25</v>
      </c>
      <c r="BG209">
        <v>16488.84</v>
      </c>
      <c r="BH209">
        <v>1769186165.0999999</v>
      </c>
      <c r="BI209" t="s">
        <v>633</v>
      </c>
      <c r="BJ209">
        <v>1769186165.0999999</v>
      </c>
      <c r="BK209">
        <v>1769186160.0999999</v>
      </c>
      <c r="BL209">
        <v>6</v>
      </c>
      <c r="BM209">
        <v>7.4999999999999997E-2</v>
      </c>
      <c r="BN209">
        <v>-5.7000000000000002E-2</v>
      </c>
      <c r="BO209">
        <v>-0.91800000000000004</v>
      </c>
      <c r="BP209">
        <v>9.2999999999999999E-2</v>
      </c>
      <c r="BQ209">
        <v>410</v>
      </c>
      <c r="BR209">
        <v>15</v>
      </c>
      <c r="BS209">
        <v>0.18</v>
      </c>
      <c r="BT209">
        <v>0.08</v>
      </c>
      <c r="BU209">
        <v>9.4051799999999997</v>
      </c>
      <c r="BV209">
        <v>-44.230948051947998</v>
      </c>
      <c r="BW209">
        <v>4.5491236607996903</v>
      </c>
      <c r="BX209">
        <v>0</v>
      </c>
      <c r="BY209">
        <v>0</v>
      </c>
      <c r="BZ209">
        <v>0</v>
      </c>
      <c r="CA209">
        <v>0</v>
      </c>
      <c r="CB209">
        <v>-1</v>
      </c>
      <c r="CC209">
        <v>-1.8323563333333299</v>
      </c>
      <c r="CD209">
        <v>4.00105012987013</v>
      </c>
      <c r="CE209">
        <v>0.43915394524377699</v>
      </c>
      <c r="CF209">
        <v>0</v>
      </c>
      <c r="CG209">
        <v>0</v>
      </c>
      <c r="CH209">
        <v>2</v>
      </c>
      <c r="CI209" t="s">
        <v>290</v>
      </c>
      <c r="CJ209">
        <v>3.5324800000000001</v>
      </c>
      <c r="CK209">
        <v>2.70268</v>
      </c>
      <c r="CL209">
        <v>9.8540199999999994E-2</v>
      </c>
      <c r="CM209">
        <v>9.6582699999999994E-2</v>
      </c>
      <c r="CN209">
        <v>8.7862499999999996E-2</v>
      </c>
      <c r="CO209">
        <v>9.0254100000000004E-2</v>
      </c>
      <c r="CP209">
        <v>31601.200000000001</v>
      </c>
      <c r="CQ209">
        <v>27775.9</v>
      </c>
      <c r="CR209">
        <v>32445.8</v>
      </c>
      <c r="CS209">
        <v>30673</v>
      </c>
      <c r="CT209">
        <v>40072.400000000001</v>
      </c>
      <c r="CU209">
        <v>39226.800000000003</v>
      </c>
      <c r="CV209">
        <v>47383.1</v>
      </c>
      <c r="CW209">
        <v>46774</v>
      </c>
      <c r="CX209">
        <v>2.6185800000000001</v>
      </c>
      <c r="CY209">
        <v>2.1288999999999998</v>
      </c>
      <c r="CZ209">
        <v>0</v>
      </c>
      <c r="DA209">
        <v>0</v>
      </c>
      <c r="DB209">
        <v>999.9</v>
      </c>
      <c r="DC209">
        <v>999.9</v>
      </c>
      <c r="DD209">
        <v>56.933999999999997</v>
      </c>
      <c r="DE209">
        <v>27.13</v>
      </c>
      <c r="DF209">
        <v>20.5169</v>
      </c>
      <c r="DG209">
        <v>30.590199999999999</v>
      </c>
      <c r="DH209">
        <v>17.840499999999999</v>
      </c>
      <c r="DI209">
        <v>2</v>
      </c>
      <c r="DJ209">
        <v>-0.10867499999999999</v>
      </c>
      <c r="DK209">
        <v>2.2875399999999999</v>
      </c>
      <c r="DL209">
        <v>20.188800000000001</v>
      </c>
      <c r="DM209">
        <v>5.2469999999999999</v>
      </c>
      <c r="DN209">
        <v>12.033899999999999</v>
      </c>
      <c r="DO209">
        <v>4.9663199999999996</v>
      </c>
      <c r="DP209">
        <v>3.29054</v>
      </c>
      <c r="DQ209">
        <v>9999</v>
      </c>
      <c r="DR209">
        <v>9999</v>
      </c>
      <c r="DS209">
        <v>535</v>
      </c>
      <c r="DT209">
        <v>9999</v>
      </c>
      <c r="DU209">
        <v>1.8710500000000001</v>
      </c>
      <c r="DV209">
        <v>1.87608</v>
      </c>
      <c r="DW209">
        <v>1.87632</v>
      </c>
      <c r="DX209">
        <v>1.8827799999999999</v>
      </c>
      <c r="DY209">
        <v>1.87561</v>
      </c>
      <c r="DZ209">
        <v>1.87469</v>
      </c>
      <c r="EA209">
        <v>1.8708</v>
      </c>
      <c r="EB209">
        <v>1.8746799999999999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-0.91800000000000004</v>
      </c>
      <c r="EQ209">
        <v>9.3100000000000002E-2</v>
      </c>
      <c r="ER209">
        <v>-0.91809090909089297</v>
      </c>
      <c r="ES209">
        <v>0</v>
      </c>
      <c r="ET209">
        <v>0</v>
      </c>
      <c r="EU209">
        <v>0</v>
      </c>
      <c r="EV209">
        <v>9.3060000000003001E-2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8.8000000000000007</v>
      </c>
      <c r="FE209">
        <v>8.9</v>
      </c>
      <c r="FF209">
        <v>1.24268</v>
      </c>
      <c r="FG209">
        <v>2.5732400000000002</v>
      </c>
      <c r="FH209">
        <v>2.19604</v>
      </c>
      <c r="FI209">
        <v>2.66235</v>
      </c>
      <c r="FJ209">
        <v>2.4462899999999999</v>
      </c>
      <c r="FK209">
        <v>2.2692899999999998</v>
      </c>
      <c r="FL209">
        <v>31.8049</v>
      </c>
      <c r="FM209">
        <v>24.1313</v>
      </c>
      <c r="FN209">
        <v>19</v>
      </c>
      <c r="FO209">
        <v>863.41600000000005</v>
      </c>
      <c r="FP209">
        <v>576.79499999999996</v>
      </c>
      <c r="FQ209">
        <v>16.638400000000001</v>
      </c>
      <c r="FR209">
        <v>25.646799999999999</v>
      </c>
      <c r="FS209">
        <v>29.994599999999998</v>
      </c>
      <c r="FT209">
        <v>25.628900000000002</v>
      </c>
      <c r="FU209">
        <v>25.627300000000002</v>
      </c>
      <c r="FV209">
        <v>24.936299999999999</v>
      </c>
      <c r="FW209">
        <v>24.6311</v>
      </c>
      <c r="FX209">
        <v>0</v>
      </c>
      <c r="FY209">
        <v>16.866</v>
      </c>
      <c r="FZ209">
        <v>410</v>
      </c>
      <c r="GA209">
        <v>15.976599999999999</v>
      </c>
      <c r="GB209">
        <v>99.843999999999994</v>
      </c>
      <c r="GC209">
        <v>99.574700000000007</v>
      </c>
    </row>
    <row r="210" spans="1:185" x14ac:dyDescent="0.2">
      <c r="A210">
        <v>195</v>
      </c>
      <c r="B210">
        <v>1769186711.0999999</v>
      </c>
      <c r="C210">
        <v>3848.0999999046298</v>
      </c>
      <c r="D210" t="s">
        <v>688</v>
      </c>
      <c r="E210" t="s">
        <v>689</v>
      </c>
      <c r="F210">
        <v>15</v>
      </c>
      <c r="G210">
        <v>1769186703.03333</v>
      </c>
      <c r="H210">
        <f t="shared" si="39"/>
        <v>-2.0426799733170146E-4</v>
      </c>
      <c r="I210">
        <v>0</v>
      </c>
      <c r="J210">
        <f t="shared" si="51"/>
        <v>-5.6256376676800772E-2</v>
      </c>
      <c r="K210">
        <f t="shared" si="40"/>
        <v>-1.4733360339929615</v>
      </c>
      <c r="L210">
        <f t="shared" si="41"/>
        <v>72.893865745322415</v>
      </c>
      <c r="M210">
        <f t="shared" si="42"/>
        <v>1.5846753695882738</v>
      </c>
      <c r="N210">
        <f t="shared" si="43"/>
        <v>2.1739488685163635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26271.277740318983</v>
      </c>
      <c r="T210">
        <f t="shared" si="47"/>
        <v>1000.00006666667</v>
      </c>
      <c r="U210">
        <f t="shared" si="48"/>
        <v>842.9999407999951</v>
      </c>
      <c r="V210">
        <f t="shared" si="49"/>
        <v>0.84299988459999997</v>
      </c>
      <c r="W210">
        <f t="shared" si="50"/>
        <v>0.15869962055600001</v>
      </c>
      <c r="X210">
        <v>1</v>
      </c>
      <c r="Y210">
        <v>1769186703.03333</v>
      </c>
      <c r="Z210">
        <v>412.10313333333301</v>
      </c>
      <c r="AA210">
        <v>410.15620000000001</v>
      </c>
      <c r="AB210">
        <v>15.82244</v>
      </c>
      <c r="AC210">
        <v>16.073740000000001</v>
      </c>
      <c r="AD210">
        <v>413.02133333333302</v>
      </c>
      <c r="AE210">
        <v>15.7293533333333</v>
      </c>
      <c r="AF210">
        <v>799.98400000000004</v>
      </c>
      <c r="AG210">
        <v>100.088733333333</v>
      </c>
      <c r="AH210">
        <v>6.4932573333333299E-2</v>
      </c>
      <c r="AI210">
        <v>18.771619999999999</v>
      </c>
      <c r="AJ210">
        <v>999.9</v>
      </c>
      <c r="AK210">
        <v>999.9</v>
      </c>
      <c r="AL210">
        <v>0</v>
      </c>
      <c r="AM210">
        <v>0</v>
      </c>
      <c r="AN210">
        <v>5000.8666666666704</v>
      </c>
      <c r="AO210">
        <v>0</v>
      </c>
      <c r="AP210">
        <v>2.1435133333333298</v>
      </c>
      <c r="AQ210">
        <v>1.94696133333333</v>
      </c>
      <c r="AR210">
        <v>418.72846666666698</v>
      </c>
      <c r="AS210">
        <v>416.85666666666702</v>
      </c>
      <c r="AT210">
        <v>-0.251308804</v>
      </c>
      <c r="AU210">
        <v>410.15620000000001</v>
      </c>
      <c r="AV210">
        <v>16.073740000000001</v>
      </c>
      <c r="AW210">
        <v>1.5836460000000001</v>
      </c>
      <c r="AX210">
        <v>1.6088</v>
      </c>
      <c r="AY210">
        <v>13.800140000000001</v>
      </c>
      <c r="AZ210">
        <v>14.042120000000001</v>
      </c>
      <c r="BA210">
        <v>1000.00006666667</v>
      </c>
      <c r="BB210">
        <v>0.90000519999999995</v>
      </c>
      <c r="BC210">
        <v>0</v>
      </c>
      <c r="BD210">
        <v>9.9994846666666706E-2</v>
      </c>
      <c r="BE210">
        <v>0</v>
      </c>
      <c r="BF210">
        <v>25.106666666666701</v>
      </c>
      <c r="BG210">
        <v>16488.813333333299</v>
      </c>
      <c r="BH210">
        <v>1769186165.0999999</v>
      </c>
      <c r="BI210" t="s">
        <v>633</v>
      </c>
      <c r="BJ210">
        <v>1769186165.0999999</v>
      </c>
      <c r="BK210">
        <v>1769186160.0999999</v>
      </c>
      <c r="BL210">
        <v>6</v>
      </c>
      <c r="BM210">
        <v>7.4999999999999997E-2</v>
      </c>
      <c r="BN210">
        <v>-5.7000000000000002E-2</v>
      </c>
      <c r="BO210">
        <v>-0.91800000000000004</v>
      </c>
      <c r="BP210">
        <v>9.2999999999999999E-2</v>
      </c>
      <c r="BQ210">
        <v>410</v>
      </c>
      <c r="BR210">
        <v>15</v>
      </c>
      <c r="BS210">
        <v>0.18</v>
      </c>
      <c r="BT210">
        <v>0.08</v>
      </c>
      <c r="BU210">
        <v>2.8980314285714299</v>
      </c>
      <c r="BV210">
        <v>-14.158634805194801</v>
      </c>
      <c r="BW210">
        <v>1.47129302661132</v>
      </c>
      <c r="BX210">
        <v>0</v>
      </c>
      <c r="BY210">
        <v>0</v>
      </c>
      <c r="BZ210">
        <v>0</v>
      </c>
      <c r="CA210">
        <v>0</v>
      </c>
      <c r="CB210">
        <v>-1</v>
      </c>
      <c r="CC210">
        <v>-0.61136152666666699</v>
      </c>
      <c r="CD210">
        <v>5.4177972685714302</v>
      </c>
      <c r="CE210">
        <v>0.55002113686404097</v>
      </c>
      <c r="CF210">
        <v>0</v>
      </c>
      <c r="CG210">
        <v>0</v>
      </c>
      <c r="CH210">
        <v>2</v>
      </c>
      <c r="CI210" t="s">
        <v>290</v>
      </c>
      <c r="CJ210">
        <v>3.5325299999999999</v>
      </c>
      <c r="CK210">
        <v>2.7024499999999998</v>
      </c>
      <c r="CL210">
        <v>9.8123600000000005E-2</v>
      </c>
      <c r="CM210">
        <v>9.6588400000000005E-2</v>
      </c>
      <c r="CN210">
        <v>8.9514899999999994E-2</v>
      </c>
      <c r="CO210">
        <v>8.7280800000000006E-2</v>
      </c>
      <c r="CP210">
        <v>31616.1</v>
      </c>
      <c r="CQ210">
        <v>27776.2</v>
      </c>
      <c r="CR210">
        <v>32446.2</v>
      </c>
      <c r="CS210">
        <v>30673.599999999999</v>
      </c>
      <c r="CT210">
        <v>39998.1</v>
      </c>
      <c r="CU210">
        <v>39359.599999999999</v>
      </c>
      <c r="CV210">
        <v>47383.8</v>
      </c>
      <c r="CW210">
        <v>46774.7</v>
      </c>
      <c r="CX210">
        <v>2.6199400000000002</v>
      </c>
      <c r="CY210">
        <v>2.1274199999999999</v>
      </c>
      <c r="CZ210">
        <v>0</v>
      </c>
      <c r="DA210">
        <v>0</v>
      </c>
      <c r="DB210">
        <v>999.9</v>
      </c>
      <c r="DC210">
        <v>999.9</v>
      </c>
      <c r="DD210">
        <v>56.91</v>
      </c>
      <c r="DE210">
        <v>27.13</v>
      </c>
      <c r="DF210">
        <v>20.5078</v>
      </c>
      <c r="DG210">
        <v>30.440200000000001</v>
      </c>
      <c r="DH210">
        <v>17.864599999999999</v>
      </c>
      <c r="DI210">
        <v>2</v>
      </c>
      <c r="DJ210">
        <v>-0.10720499999999999</v>
      </c>
      <c r="DK210">
        <v>2.4255100000000001</v>
      </c>
      <c r="DL210">
        <v>20.186</v>
      </c>
      <c r="DM210">
        <v>5.24688</v>
      </c>
      <c r="DN210">
        <v>12.033899999999999</v>
      </c>
      <c r="DO210">
        <v>4.96624</v>
      </c>
      <c r="DP210">
        <v>3.2906</v>
      </c>
      <c r="DQ210">
        <v>9999</v>
      </c>
      <c r="DR210">
        <v>9999</v>
      </c>
      <c r="DS210">
        <v>535</v>
      </c>
      <c r="DT210">
        <v>9999</v>
      </c>
      <c r="DU210">
        <v>1.87107</v>
      </c>
      <c r="DV210">
        <v>1.8761000000000001</v>
      </c>
      <c r="DW210">
        <v>1.87635</v>
      </c>
      <c r="DX210">
        <v>1.8827799999999999</v>
      </c>
      <c r="DY210">
        <v>1.87561</v>
      </c>
      <c r="DZ210">
        <v>1.87469</v>
      </c>
      <c r="EA210">
        <v>1.8708199999999999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-0.91800000000000004</v>
      </c>
      <c r="EQ210">
        <v>9.3100000000000002E-2</v>
      </c>
      <c r="ER210">
        <v>-0.91809090909089297</v>
      </c>
      <c r="ES210">
        <v>0</v>
      </c>
      <c r="ET210">
        <v>0</v>
      </c>
      <c r="EU210">
        <v>0</v>
      </c>
      <c r="EV210">
        <v>9.3060000000003001E-2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9.1</v>
      </c>
      <c r="FE210">
        <v>9.1999999999999993</v>
      </c>
      <c r="FF210">
        <v>1.24146</v>
      </c>
      <c r="FG210">
        <v>2.5708000000000002</v>
      </c>
      <c r="FH210">
        <v>2.19604</v>
      </c>
      <c r="FI210">
        <v>2.66235</v>
      </c>
      <c r="FJ210">
        <v>2.4462899999999999</v>
      </c>
      <c r="FK210">
        <v>2.2997999999999998</v>
      </c>
      <c r="FL210">
        <v>31.8049</v>
      </c>
      <c r="FM210">
        <v>24.14</v>
      </c>
      <c r="FN210">
        <v>19</v>
      </c>
      <c r="FO210">
        <v>864.68</v>
      </c>
      <c r="FP210">
        <v>575.63599999999997</v>
      </c>
      <c r="FQ210">
        <v>17.1691</v>
      </c>
      <c r="FR210">
        <v>25.652799999999999</v>
      </c>
      <c r="FS210">
        <v>30.0001</v>
      </c>
      <c r="FT210">
        <v>25.628900000000002</v>
      </c>
      <c r="FU210">
        <v>25.6252</v>
      </c>
      <c r="FV210">
        <v>24.915800000000001</v>
      </c>
      <c r="FW210">
        <v>28.183700000000002</v>
      </c>
      <c r="FX210">
        <v>0</v>
      </c>
      <c r="FY210">
        <v>17.349799999999998</v>
      </c>
      <c r="FZ210">
        <v>410</v>
      </c>
      <c r="GA210">
        <v>15.279500000000001</v>
      </c>
      <c r="GB210">
        <v>99.845399999999998</v>
      </c>
      <c r="GC210">
        <v>99.576400000000007</v>
      </c>
    </row>
    <row r="211" spans="1:185" x14ac:dyDescent="0.2">
      <c r="A211">
        <v>196</v>
      </c>
      <c r="B211">
        <v>1769186726.0999999</v>
      </c>
      <c r="C211">
        <v>3863.0999999046298</v>
      </c>
      <c r="D211" t="s">
        <v>690</v>
      </c>
      <c r="E211" t="s">
        <v>691</v>
      </c>
      <c r="F211">
        <v>15</v>
      </c>
      <c r="G211">
        <v>1769186718.03333</v>
      </c>
      <c r="H211">
        <f t="shared" si="39"/>
        <v>4.7682014635674842E-4</v>
      </c>
      <c r="I211">
        <v>0</v>
      </c>
      <c r="J211">
        <f t="shared" si="51"/>
        <v>-2.3999710959930951E-2</v>
      </c>
      <c r="K211">
        <f t="shared" si="40"/>
        <v>-0.62854454999523335</v>
      </c>
      <c r="L211">
        <f t="shared" si="41"/>
        <v>73.509979566170841</v>
      </c>
      <c r="M211">
        <f t="shared" si="42"/>
        <v>1.5977910037556846</v>
      </c>
      <c r="N211">
        <f t="shared" si="43"/>
        <v>2.1735701916736558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26262.708502414487</v>
      </c>
      <c r="T211">
        <f t="shared" si="47"/>
        <v>999.99959999999999</v>
      </c>
      <c r="U211">
        <f t="shared" si="48"/>
        <v>842.9998311999326</v>
      </c>
      <c r="V211">
        <f t="shared" si="49"/>
        <v>0.84300016840000003</v>
      </c>
      <c r="W211">
        <f t="shared" si="50"/>
        <v>0.15870018714399997</v>
      </c>
      <c r="X211">
        <v>1</v>
      </c>
      <c r="Y211">
        <v>1769186718.03333</v>
      </c>
      <c r="Z211">
        <v>410.63786666666698</v>
      </c>
      <c r="AA211">
        <v>410.09693333333303</v>
      </c>
      <c r="AB211">
        <v>15.95336</v>
      </c>
      <c r="AC211">
        <v>15.36684</v>
      </c>
      <c r="AD211">
        <v>411.55593333333297</v>
      </c>
      <c r="AE211">
        <v>15.860286666666701</v>
      </c>
      <c r="AF211">
        <v>799.99533333333295</v>
      </c>
      <c r="AG211">
        <v>100.08906666666699</v>
      </c>
      <c r="AH211">
        <v>6.4819646666666703E-2</v>
      </c>
      <c r="AI211">
        <v>18.768833333333301</v>
      </c>
      <c r="AJ211">
        <v>999.9</v>
      </c>
      <c r="AK211">
        <v>999.9</v>
      </c>
      <c r="AL211">
        <v>0</v>
      </c>
      <c r="AM211">
        <v>0</v>
      </c>
      <c r="AN211">
        <v>4999.3999999999996</v>
      </c>
      <c r="AO211">
        <v>0</v>
      </c>
      <c r="AP211">
        <v>2.14547</v>
      </c>
      <c r="AQ211">
        <v>0.54092180000000001</v>
      </c>
      <c r="AR211">
        <v>417.29513333333301</v>
      </c>
      <c r="AS211">
        <v>416.49720000000002</v>
      </c>
      <c r="AT211">
        <v>0.58651233333333297</v>
      </c>
      <c r="AU211">
        <v>410.09693333333303</v>
      </c>
      <c r="AV211">
        <v>15.36684</v>
      </c>
      <c r="AW211">
        <v>1.59675533333333</v>
      </c>
      <c r="AX211">
        <v>1.538052</v>
      </c>
      <c r="AY211">
        <v>13.9275133333333</v>
      </c>
      <c r="AZ211">
        <v>13.350813333333299</v>
      </c>
      <c r="BA211">
        <v>999.99959999999999</v>
      </c>
      <c r="BB211">
        <v>0.89999786666666703</v>
      </c>
      <c r="BC211">
        <v>0</v>
      </c>
      <c r="BD211">
        <v>0.100002253333333</v>
      </c>
      <c r="BE211">
        <v>0</v>
      </c>
      <c r="BF211">
        <v>25.5555733333333</v>
      </c>
      <c r="BG211">
        <v>16488.759999999998</v>
      </c>
      <c r="BH211">
        <v>1769186165.0999999</v>
      </c>
      <c r="BI211" t="s">
        <v>633</v>
      </c>
      <c r="BJ211">
        <v>1769186165.0999999</v>
      </c>
      <c r="BK211">
        <v>1769186160.0999999</v>
      </c>
      <c r="BL211">
        <v>6</v>
      </c>
      <c r="BM211">
        <v>7.4999999999999997E-2</v>
      </c>
      <c r="BN211">
        <v>-5.7000000000000002E-2</v>
      </c>
      <c r="BO211">
        <v>-0.91800000000000004</v>
      </c>
      <c r="BP211">
        <v>9.2999999999999999E-2</v>
      </c>
      <c r="BQ211">
        <v>410</v>
      </c>
      <c r="BR211">
        <v>15</v>
      </c>
      <c r="BS211">
        <v>0.18</v>
      </c>
      <c r="BT211">
        <v>0.08</v>
      </c>
      <c r="BU211">
        <v>0.76933605000000005</v>
      </c>
      <c r="BV211">
        <v>-3.85025517293233</v>
      </c>
      <c r="BW211">
        <v>0.37771785441311601</v>
      </c>
      <c r="BX211">
        <v>0</v>
      </c>
      <c r="BY211">
        <v>0</v>
      </c>
      <c r="BZ211">
        <v>0</v>
      </c>
      <c r="CA211">
        <v>0</v>
      </c>
      <c r="CB211">
        <v>-1</v>
      </c>
      <c r="CC211">
        <v>0.42777684700000002</v>
      </c>
      <c r="CD211">
        <v>2.7220432520300699</v>
      </c>
      <c r="CE211">
        <v>0.26454090072098202</v>
      </c>
      <c r="CF211">
        <v>0</v>
      </c>
      <c r="CG211">
        <v>0</v>
      </c>
      <c r="CH211">
        <v>2</v>
      </c>
      <c r="CI211" t="s">
        <v>290</v>
      </c>
      <c r="CJ211">
        <v>3.5325299999999999</v>
      </c>
      <c r="CK211">
        <v>2.7026400000000002</v>
      </c>
      <c r="CL211">
        <v>9.7970100000000004E-2</v>
      </c>
      <c r="CM211">
        <v>9.65665E-2</v>
      </c>
      <c r="CN211">
        <v>8.9181499999999997E-2</v>
      </c>
      <c r="CO211">
        <v>8.4725099999999998E-2</v>
      </c>
      <c r="CP211">
        <v>31620.2</v>
      </c>
      <c r="CQ211">
        <v>27776.3</v>
      </c>
      <c r="CR211">
        <v>32444.9</v>
      </c>
      <c r="CS211">
        <v>30673</v>
      </c>
      <c r="CT211">
        <v>40011.5</v>
      </c>
      <c r="CU211">
        <v>39472.400000000001</v>
      </c>
      <c r="CV211">
        <v>47381.8</v>
      </c>
      <c r="CW211">
        <v>46773.8</v>
      </c>
      <c r="CX211">
        <v>2.62086</v>
      </c>
      <c r="CY211">
        <v>2.1264400000000001</v>
      </c>
      <c r="CZ211">
        <v>0</v>
      </c>
      <c r="DA211">
        <v>0</v>
      </c>
      <c r="DB211">
        <v>999.9</v>
      </c>
      <c r="DC211">
        <v>999.9</v>
      </c>
      <c r="DD211">
        <v>56.898000000000003</v>
      </c>
      <c r="DE211">
        <v>27.15</v>
      </c>
      <c r="DF211">
        <v>20.526299999999999</v>
      </c>
      <c r="DG211">
        <v>30.380199999999999</v>
      </c>
      <c r="DH211">
        <v>17.868600000000001</v>
      </c>
      <c r="DI211">
        <v>2</v>
      </c>
      <c r="DJ211">
        <v>-0.10781300000000001</v>
      </c>
      <c r="DK211">
        <v>1.9257500000000001</v>
      </c>
      <c r="DL211">
        <v>20.1938</v>
      </c>
      <c r="DM211">
        <v>5.2492799999999997</v>
      </c>
      <c r="DN211">
        <v>12.033899999999999</v>
      </c>
      <c r="DO211">
        <v>4.9666399999999999</v>
      </c>
      <c r="DP211">
        <v>3.2909999999999999</v>
      </c>
      <c r="DQ211">
        <v>9999</v>
      </c>
      <c r="DR211">
        <v>9999</v>
      </c>
      <c r="DS211">
        <v>535</v>
      </c>
      <c r="DT211">
        <v>9999</v>
      </c>
      <c r="DU211">
        <v>1.8711100000000001</v>
      </c>
      <c r="DV211">
        <v>1.87609</v>
      </c>
      <c r="DW211">
        <v>1.87635</v>
      </c>
      <c r="DX211">
        <v>1.8827799999999999</v>
      </c>
      <c r="DY211">
        <v>1.87561</v>
      </c>
      <c r="DZ211">
        <v>1.8746799999999999</v>
      </c>
      <c r="EA211">
        <v>1.8708100000000001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-0.91900000000000004</v>
      </c>
      <c r="EQ211">
        <v>9.3100000000000002E-2</v>
      </c>
      <c r="ER211">
        <v>-0.91809090909089297</v>
      </c>
      <c r="ES211">
        <v>0</v>
      </c>
      <c r="ET211">
        <v>0</v>
      </c>
      <c r="EU211">
        <v>0</v>
      </c>
      <c r="EV211">
        <v>9.3060000000003001E-2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9.3000000000000007</v>
      </c>
      <c r="FE211">
        <v>9.4</v>
      </c>
      <c r="FF211">
        <v>1.2402299999999999</v>
      </c>
      <c r="FG211">
        <v>2.5695800000000002</v>
      </c>
      <c r="FH211">
        <v>2.19604</v>
      </c>
      <c r="FI211">
        <v>2.66235</v>
      </c>
      <c r="FJ211">
        <v>2.4462899999999999</v>
      </c>
      <c r="FK211">
        <v>2.2741699999999998</v>
      </c>
      <c r="FL211">
        <v>31.8049</v>
      </c>
      <c r="FM211">
        <v>24.1313</v>
      </c>
      <c r="FN211">
        <v>19</v>
      </c>
      <c r="FO211">
        <v>865.53599999999994</v>
      </c>
      <c r="FP211">
        <v>574.90899999999999</v>
      </c>
      <c r="FQ211">
        <v>17.642600000000002</v>
      </c>
      <c r="FR211">
        <v>25.6584</v>
      </c>
      <c r="FS211">
        <v>30</v>
      </c>
      <c r="FT211">
        <v>25.628900000000002</v>
      </c>
      <c r="FU211">
        <v>25.627300000000002</v>
      </c>
      <c r="FV211">
        <v>24.9055</v>
      </c>
      <c r="FW211">
        <v>30.306000000000001</v>
      </c>
      <c r="FX211">
        <v>0</v>
      </c>
      <c r="FY211">
        <v>17.8324</v>
      </c>
      <c r="FZ211">
        <v>410</v>
      </c>
      <c r="GA211">
        <v>14.8338</v>
      </c>
      <c r="GB211">
        <v>99.841200000000001</v>
      </c>
      <c r="GC211">
        <v>99.5745</v>
      </c>
    </row>
    <row r="212" spans="1:185" x14ac:dyDescent="0.2">
      <c r="A212">
        <v>197</v>
      </c>
      <c r="B212">
        <v>1769186741.0999999</v>
      </c>
      <c r="C212">
        <v>3878.0999999046298</v>
      </c>
      <c r="D212" t="s">
        <v>692</v>
      </c>
      <c r="E212" t="s">
        <v>693</v>
      </c>
      <c r="F212">
        <v>15</v>
      </c>
      <c r="G212">
        <v>1769186733.03333</v>
      </c>
      <c r="H212">
        <f t="shared" si="39"/>
        <v>7.5331102960010015E-4</v>
      </c>
      <c r="I212">
        <v>0</v>
      </c>
      <c r="J212">
        <f t="shared" si="51"/>
        <v>-1.2764443928758357E-2</v>
      </c>
      <c r="K212">
        <f t="shared" si="40"/>
        <v>-0.33429659542715978</v>
      </c>
      <c r="L212">
        <f t="shared" si="41"/>
        <v>72.690834302997501</v>
      </c>
      <c r="M212">
        <f t="shared" si="42"/>
        <v>1.583530404193332</v>
      </c>
      <c r="N212">
        <f t="shared" si="43"/>
        <v>2.178445768819623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26259.719675107837</v>
      </c>
      <c r="T212">
        <f t="shared" si="47"/>
        <v>999.99946666666699</v>
      </c>
      <c r="U212">
        <f t="shared" si="48"/>
        <v>842.99994039979231</v>
      </c>
      <c r="V212">
        <f t="shared" si="49"/>
        <v>0.84300039000000004</v>
      </c>
      <c r="W212">
        <f t="shared" si="50"/>
        <v>0.15870097499999999</v>
      </c>
      <c r="X212">
        <v>1</v>
      </c>
      <c r="Y212">
        <v>1769186733.03333</v>
      </c>
      <c r="Z212">
        <v>410.06966666666699</v>
      </c>
      <c r="AA212">
        <v>410.037933333333</v>
      </c>
      <c r="AB212">
        <v>15.8109</v>
      </c>
      <c r="AC212">
        <v>14.8841466666667</v>
      </c>
      <c r="AD212">
        <v>410.987666666667</v>
      </c>
      <c r="AE212">
        <v>15.7178533333333</v>
      </c>
      <c r="AF212">
        <v>799.99766666666699</v>
      </c>
      <c r="AG212">
        <v>100.08920000000001</v>
      </c>
      <c r="AH212">
        <v>6.5149479999999996E-2</v>
      </c>
      <c r="AI212">
        <v>18.804680000000001</v>
      </c>
      <c r="AJ212">
        <v>999.9</v>
      </c>
      <c r="AK212">
        <v>999.9</v>
      </c>
      <c r="AL212">
        <v>0</v>
      </c>
      <c r="AM212">
        <v>0</v>
      </c>
      <c r="AN212">
        <v>4999.4333333333298</v>
      </c>
      <c r="AO212">
        <v>0</v>
      </c>
      <c r="AP212">
        <v>2.14547</v>
      </c>
      <c r="AQ212">
        <v>3.1711850666666701E-2</v>
      </c>
      <c r="AR212">
        <v>416.6574</v>
      </c>
      <c r="AS212">
        <v>416.23326666666702</v>
      </c>
      <c r="AT212">
        <v>0.92675486666666695</v>
      </c>
      <c r="AU212">
        <v>410.037933333333</v>
      </c>
      <c r="AV212">
        <v>14.8841466666667</v>
      </c>
      <c r="AW212">
        <v>1.58250133333333</v>
      </c>
      <c r="AX212">
        <v>1.4897419999999999</v>
      </c>
      <c r="AY212">
        <v>13.7893666666667</v>
      </c>
      <c r="AZ212">
        <v>12.862959999999999</v>
      </c>
      <c r="BA212">
        <v>999.99946666666699</v>
      </c>
      <c r="BB212">
        <v>0.89998699999999998</v>
      </c>
      <c r="BC212">
        <v>0</v>
      </c>
      <c r="BD212">
        <v>0.100013</v>
      </c>
      <c r="BE212">
        <v>0</v>
      </c>
      <c r="BF212">
        <v>25.666699999999999</v>
      </c>
      <c r="BG212">
        <v>16488.726666666698</v>
      </c>
      <c r="BH212">
        <v>1769186165.0999999</v>
      </c>
      <c r="BI212" t="s">
        <v>633</v>
      </c>
      <c r="BJ212">
        <v>1769186165.0999999</v>
      </c>
      <c r="BK212">
        <v>1769186160.0999999</v>
      </c>
      <c r="BL212">
        <v>6</v>
      </c>
      <c r="BM212">
        <v>7.4999999999999997E-2</v>
      </c>
      <c r="BN212">
        <v>-5.7000000000000002E-2</v>
      </c>
      <c r="BO212">
        <v>-0.91800000000000004</v>
      </c>
      <c r="BP212">
        <v>9.2999999999999999E-2</v>
      </c>
      <c r="BQ212">
        <v>410</v>
      </c>
      <c r="BR212">
        <v>15</v>
      </c>
      <c r="BS212">
        <v>0.18</v>
      </c>
      <c r="BT212">
        <v>0.08</v>
      </c>
      <c r="BU212">
        <v>0.141562417142857</v>
      </c>
      <c r="BV212">
        <v>-1.5648319651947999</v>
      </c>
      <c r="BW212">
        <v>0.16326765081771999</v>
      </c>
      <c r="BX212">
        <v>0</v>
      </c>
      <c r="BY212">
        <v>0</v>
      </c>
      <c r="BZ212">
        <v>0</v>
      </c>
      <c r="CA212">
        <v>0</v>
      </c>
      <c r="CB212">
        <v>-1</v>
      </c>
      <c r="CC212">
        <v>0.86027352380952404</v>
      </c>
      <c r="CD212">
        <v>0.98247335064935004</v>
      </c>
      <c r="CE212">
        <v>0.10214795996173701</v>
      </c>
      <c r="CF212">
        <v>0</v>
      </c>
      <c r="CG212">
        <v>0</v>
      </c>
      <c r="CH212">
        <v>2</v>
      </c>
      <c r="CI212" t="s">
        <v>290</v>
      </c>
      <c r="CJ212">
        <v>3.5325099999999998</v>
      </c>
      <c r="CK212">
        <v>2.7028699999999999</v>
      </c>
      <c r="CL212">
        <v>9.7907300000000003E-2</v>
      </c>
      <c r="CM212">
        <v>9.6556299999999998E-2</v>
      </c>
      <c r="CN212">
        <v>8.8409600000000005E-2</v>
      </c>
      <c r="CO212">
        <v>8.3319599999999994E-2</v>
      </c>
      <c r="CP212">
        <v>31622.3</v>
      </c>
      <c r="CQ212">
        <v>27776</v>
      </c>
      <c r="CR212">
        <v>32444.799999999999</v>
      </c>
      <c r="CS212">
        <v>30672.400000000001</v>
      </c>
      <c r="CT212">
        <v>40046.699999999997</v>
      </c>
      <c r="CU212">
        <v>39534.199999999997</v>
      </c>
      <c r="CV212">
        <v>47382.1</v>
      </c>
      <c r="CW212">
        <v>46773.1</v>
      </c>
      <c r="CX212">
        <v>2.6211000000000002</v>
      </c>
      <c r="CY212">
        <v>2.1253199999999999</v>
      </c>
      <c r="CZ212">
        <v>0</v>
      </c>
      <c r="DA212">
        <v>0</v>
      </c>
      <c r="DB212">
        <v>999.9</v>
      </c>
      <c r="DC212">
        <v>999.9</v>
      </c>
      <c r="DD212">
        <v>56.848999999999997</v>
      </c>
      <c r="DE212">
        <v>27.16</v>
      </c>
      <c r="DF212">
        <v>20.522200000000002</v>
      </c>
      <c r="DG212">
        <v>30.260200000000001</v>
      </c>
      <c r="DH212">
        <v>17.852599999999999</v>
      </c>
      <c r="DI212">
        <v>2</v>
      </c>
      <c r="DJ212">
        <v>-0.108433</v>
      </c>
      <c r="DK212">
        <v>1.60972</v>
      </c>
      <c r="DL212">
        <v>20.196300000000001</v>
      </c>
      <c r="DM212">
        <v>5.2471199999999998</v>
      </c>
      <c r="DN212">
        <v>12.033899999999999</v>
      </c>
      <c r="DO212">
        <v>4.9666800000000002</v>
      </c>
      <c r="DP212">
        <v>3.2906399999999998</v>
      </c>
      <c r="DQ212">
        <v>9999</v>
      </c>
      <c r="DR212">
        <v>9999</v>
      </c>
      <c r="DS212">
        <v>535</v>
      </c>
      <c r="DT212">
        <v>9999</v>
      </c>
      <c r="DU212">
        <v>1.8711199999999999</v>
      </c>
      <c r="DV212">
        <v>1.8761099999999999</v>
      </c>
      <c r="DW212">
        <v>1.87636</v>
      </c>
      <c r="DX212">
        <v>1.8827799999999999</v>
      </c>
      <c r="DY212">
        <v>1.87561</v>
      </c>
      <c r="DZ212">
        <v>1.87469</v>
      </c>
      <c r="EA212">
        <v>1.8708400000000001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-0.91800000000000004</v>
      </c>
      <c r="EQ212">
        <v>9.3100000000000002E-2</v>
      </c>
      <c r="ER212">
        <v>-0.91809090909089297</v>
      </c>
      <c r="ES212">
        <v>0</v>
      </c>
      <c r="ET212">
        <v>0</v>
      </c>
      <c r="EU212">
        <v>0</v>
      </c>
      <c r="EV212">
        <v>9.3060000000003001E-2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9.6</v>
      </c>
      <c r="FE212">
        <v>9.6999999999999993</v>
      </c>
      <c r="FF212">
        <v>1.2402299999999999</v>
      </c>
      <c r="FG212">
        <v>2.5695800000000002</v>
      </c>
      <c r="FH212">
        <v>2.19604</v>
      </c>
      <c r="FI212">
        <v>2.66235</v>
      </c>
      <c r="FJ212">
        <v>2.4462899999999999</v>
      </c>
      <c r="FK212">
        <v>2.32056</v>
      </c>
      <c r="FL212">
        <v>31.8049</v>
      </c>
      <c r="FM212">
        <v>24.148800000000001</v>
      </c>
      <c r="FN212">
        <v>19</v>
      </c>
      <c r="FO212">
        <v>865.79399999999998</v>
      </c>
      <c r="FP212">
        <v>574.07600000000002</v>
      </c>
      <c r="FQ212">
        <v>18.0932</v>
      </c>
      <c r="FR212">
        <v>25.662700000000001</v>
      </c>
      <c r="FS212">
        <v>30</v>
      </c>
      <c r="FT212">
        <v>25.6311</v>
      </c>
      <c r="FU212">
        <v>25.6295</v>
      </c>
      <c r="FV212">
        <v>24.902100000000001</v>
      </c>
      <c r="FW212">
        <v>31.777999999999999</v>
      </c>
      <c r="FX212">
        <v>0</v>
      </c>
      <c r="FY212">
        <v>18.234500000000001</v>
      </c>
      <c r="FZ212">
        <v>410</v>
      </c>
      <c r="GA212">
        <v>14.557</v>
      </c>
      <c r="GB212">
        <v>99.841499999999996</v>
      </c>
      <c r="GC212">
        <v>99.572900000000004</v>
      </c>
    </row>
    <row r="213" spans="1:185" x14ac:dyDescent="0.2">
      <c r="A213">
        <v>198</v>
      </c>
      <c r="B213">
        <v>1769186756.0999999</v>
      </c>
      <c r="C213">
        <v>3893.0999999046298</v>
      </c>
      <c r="D213" t="s">
        <v>694</v>
      </c>
      <c r="E213" t="s">
        <v>695</v>
      </c>
      <c r="F213">
        <v>15</v>
      </c>
      <c r="G213">
        <v>1769186748.03333</v>
      </c>
      <c r="H213">
        <f t="shared" si="39"/>
        <v>8.2460986584389833E-4</v>
      </c>
      <c r="I213">
        <v>0</v>
      </c>
      <c r="J213">
        <f t="shared" si="51"/>
        <v>-6.2216967012937588E-3</v>
      </c>
      <c r="K213">
        <f t="shared" si="40"/>
        <v>-0.16294419378010561</v>
      </c>
      <c r="L213">
        <f t="shared" si="41"/>
        <v>71.547317888192836</v>
      </c>
      <c r="M213">
        <f t="shared" si="42"/>
        <v>1.5654003639644429</v>
      </c>
      <c r="N213">
        <f t="shared" si="43"/>
        <v>2.1879231956824681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26341.950533543648</v>
      </c>
      <c r="T213">
        <f t="shared" si="47"/>
        <v>999.99786666666705</v>
      </c>
      <c r="U213">
        <f t="shared" si="48"/>
        <v>842.99835499967298</v>
      </c>
      <c r="V213">
        <f t="shared" si="49"/>
        <v>0.8430001533999999</v>
      </c>
      <c r="W213">
        <f t="shared" si="50"/>
        <v>0.15870034452399998</v>
      </c>
      <c r="X213">
        <v>1</v>
      </c>
      <c r="Y213">
        <v>1769186748.03333</v>
      </c>
      <c r="Z213">
        <v>409.80653333333299</v>
      </c>
      <c r="AA213">
        <v>410.02526666666699</v>
      </c>
      <c r="AB213">
        <v>15.6302066666667</v>
      </c>
      <c r="AC213">
        <v>14.615553333333301</v>
      </c>
      <c r="AD213">
        <v>410.72460000000001</v>
      </c>
      <c r="AE213">
        <v>15.537133333333299</v>
      </c>
      <c r="AF213">
        <v>799.99839999999995</v>
      </c>
      <c r="AG213">
        <v>100.087133333333</v>
      </c>
      <c r="AH213">
        <v>6.5116560000000004E-2</v>
      </c>
      <c r="AI213">
        <v>18.87416</v>
      </c>
      <c r="AJ213">
        <v>999.9</v>
      </c>
      <c r="AK213">
        <v>999.9</v>
      </c>
      <c r="AL213">
        <v>0</v>
      </c>
      <c r="AM213">
        <v>0</v>
      </c>
      <c r="AN213">
        <v>5014.1000000000004</v>
      </c>
      <c r="AO213">
        <v>0</v>
      </c>
      <c r="AP213">
        <v>2.14547</v>
      </c>
      <c r="AQ213">
        <v>-0.21865246666666699</v>
      </c>
      <c r="AR213">
        <v>416.31366666666702</v>
      </c>
      <c r="AS213">
        <v>416.10693333333302</v>
      </c>
      <c r="AT213">
        <v>1.014637</v>
      </c>
      <c r="AU213">
        <v>410.02526666666699</v>
      </c>
      <c r="AV213">
        <v>14.615553333333301</v>
      </c>
      <c r="AW213">
        <v>1.5643786666666699</v>
      </c>
      <c r="AX213">
        <v>1.462828</v>
      </c>
      <c r="AY213">
        <v>13.61228</v>
      </c>
      <c r="AZ213">
        <v>12.584946666666699</v>
      </c>
      <c r="BA213">
        <v>999.99786666666705</v>
      </c>
      <c r="BB213">
        <v>0.89999546666666697</v>
      </c>
      <c r="BC213">
        <v>0</v>
      </c>
      <c r="BD213">
        <v>0.100004553333333</v>
      </c>
      <c r="BE213">
        <v>0</v>
      </c>
      <c r="BF213">
        <v>25.677800000000001</v>
      </c>
      <c r="BG213">
        <v>16488.733333333301</v>
      </c>
      <c r="BH213">
        <v>1769186165.0999999</v>
      </c>
      <c r="BI213" t="s">
        <v>633</v>
      </c>
      <c r="BJ213">
        <v>1769186165.0999999</v>
      </c>
      <c r="BK213">
        <v>1769186160.0999999</v>
      </c>
      <c r="BL213">
        <v>6</v>
      </c>
      <c r="BM213">
        <v>7.4999999999999997E-2</v>
      </c>
      <c r="BN213">
        <v>-5.7000000000000002E-2</v>
      </c>
      <c r="BO213">
        <v>-0.91800000000000004</v>
      </c>
      <c r="BP213">
        <v>9.2999999999999999E-2</v>
      </c>
      <c r="BQ213">
        <v>410</v>
      </c>
      <c r="BR213">
        <v>15</v>
      </c>
      <c r="BS213">
        <v>0.18</v>
      </c>
      <c r="BT213">
        <v>0.08</v>
      </c>
      <c r="BU213">
        <v>-0.170655854285714</v>
      </c>
      <c r="BV213">
        <v>-0.84609992571428605</v>
      </c>
      <c r="BW213">
        <v>9.05745757112872E-2</v>
      </c>
      <c r="BX213">
        <v>0</v>
      </c>
      <c r="BY213">
        <v>0</v>
      </c>
      <c r="BZ213">
        <v>0</v>
      </c>
      <c r="CA213">
        <v>0</v>
      </c>
      <c r="CB213">
        <v>-1</v>
      </c>
      <c r="CC213">
        <v>1.00319076190476</v>
      </c>
      <c r="CD213">
        <v>0.18817098701298801</v>
      </c>
      <c r="CE213">
        <v>2.2148779527602899E-2</v>
      </c>
      <c r="CF213">
        <v>0</v>
      </c>
      <c r="CG213">
        <v>0</v>
      </c>
      <c r="CH213">
        <v>2</v>
      </c>
      <c r="CI213" t="s">
        <v>290</v>
      </c>
      <c r="CJ213">
        <v>3.5325600000000001</v>
      </c>
      <c r="CK213">
        <v>2.7028599999999998</v>
      </c>
      <c r="CL213">
        <v>9.7869700000000004E-2</v>
      </c>
      <c r="CM213">
        <v>9.6541399999999999E-2</v>
      </c>
      <c r="CN213">
        <v>8.76918E-2</v>
      </c>
      <c r="CO213">
        <v>8.2599400000000003E-2</v>
      </c>
      <c r="CP213">
        <v>31623.3</v>
      </c>
      <c r="CQ213">
        <v>27776.799999999999</v>
      </c>
      <c r="CR213">
        <v>32444.5</v>
      </c>
      <c r="CS213">
        <v>30672.799999999999</v>
      </c>
      <c r="CT213">
        <v>40078.699999999997</v>
      </c>
      <c r="CU213">
        <v>39566.5</v>
      </c>
      <c r="CV213">
        <v>47381.4</v>
      </c>
      <c r="CW213">
        <v>46773.7</v>
      </c>
      <c r="CX213">
        <v>2.6212399999999998</v>
      </c>
      <c r="CY213">
        <v>2.12486</v>
      </c>
      <c r="CZ213">
        <v>0</v>
      </c>
      <c r="DA213">
        <v>0</v>
      </c>
      <c r="DB213">
        <v>999.9</v>
      </c>
      <c r="DC213">
        <v>999.9</v>
      </c>
      <c r="DD213">
        <v>56.848999999999997</v>
      </c>
      <c r="DE213">
        <v>27.17</v>
      </c>
      <c r="DF213">
        <v>20.533899999999999</v>
      </c>
      <c r="DG213">
        <v>30.350200000000001</v>
      </c>
      <c r="DH213">
        <v>17.936699999999998</v>
      </c>
      <c r="DI213">
        <v>2</v>
      </c>
      <c r="DJ213">
        <v>-0.107805</v>
      </c>
      <c r="DK213">
        <v>1.5546800000000001</v>
      </c>
      <c r="DL213">
        <v>20.197199999999999</v>
      </c>
      <c r="DM213">
        <v>5.25</v>
      </c>
      <c r="DN213">
        <v>12.033899999999999</v>
      </c>
      <c r="DO213">
        <v>4.9670800000000002</v>
      </c>
      <c r="DP213">
        <v>3.2909999999999999</v>
      </c>
      <c r="DQ213">
        <v>9999</v>
      </c>
      <c r="DR213">
        <v>9999</v>
      </c>
      <c r="DS213">
        <v>535</v>
      </c>
      <c r="DT213">
        <v>9999</v>
      </c>
      <c r="DU213">
        <v>1.8710599999999999</v>
      </c>
      <c r="DV213">
        <v>1.87609</v>
      </c>
      <c r="DW213">
        <v>1.87635</v>
      </c>
      <c r="DX213">
        <v>1.8827799999999999</v>
      </c>
      <c r="DY213">
        <v>1.87561</v>
      </c>
      <c r="DZ213">
        <v>1.87469</v>
      </c>
      <c r="EA213">
        <v>1.8708199999999999</v>
      </c>
      <c r="EB213">
        <v>1.8746799999999999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-0.91800000000000004</v>
      </c>
      <c r="EQ213">
        <v>9.2999999999999999E-2</v>
      </c>
      <c r="ER213">
        <v>-0.91809090909089297</v>
      </c>
      <c r="ES213">
        <v>0</v>
      </c>
      <c r="ET213">
        <v>0</v>
      </c>
      <c r="EU213">
        <v>0</v>
      </c>
      <c r="EV213">
        <v>9.3060000000003001E-2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9.8000000000000007</v>
      </c>
      <c r="FE213">
        <v>9.9</v>
      </c>
      <c r="FF213">
        <v>1.2402299999999999</v>
      </c>
      <c r="FG213">
        <v>2.5647000000000002</v>
      </c>
      <c r="FH213">
        <v>2.19604</v>
      </c>
      <c r="FI213">
        <v>2.66235</v>
      </c>
      <c r="FJ213">
        <v>2.4462899999999999</v>
      </c>
      <c r="FK213">
        <v>2.3095699999999999</v>
      </c>
      <c r="FL213">
        <v>31.8049</v>
      </c>
      <c r="FM213">
        <v>24.14</v>
      </c>
      <c r="FN213">
        <v>19</v>
      </c>
      <c r="FO213">
        <v>865.95899999999995</v>
      </c>
      <c r="FP213">
        <v>573.74800000000005</v>
      </c>
      <c r="FQ213">
        <v>18.417300000000001</v>
      </c>
      <c r="FR213">
        <v>25.665800000000001</v>
      </c>
      <c r="FS213">
        <v>30.0002</v>
      </c>
      <c r="FT213">
        <v>25.633299999999998</v>
      </c>
      <c r="FU213">
        <v>25.631599999999999</v>
      </c>
      <c r="FV213">
        <v>24.901599999999998</v>
      </c>
      <c r="FW213">
        <v>32.063299999999998</v>
      </c>
      <c r="FX213">
        <v>0</v>
      </c>
      <c r="FY213">
        <v>18.487500000000001</v>
      </c>
      <c r="FZ213">
        <v>410</v>
      </c>
      <c r="GA213">
        <v>14.505000000000001</v>
      </c>
      <c r="GB213">
        <v>99.840400000000002</v>
      </c>
      <c r="GC213">
        <v>99.573999999999998</v>
      </c>
    </row>
    <row r="214" spans="1:185" x14ac:dyDescent="0.2">
      <c r="A214">
        <v>199</v>
      </c>
      <c r="B214">
        <v>1769186771.0999999</v>
      </c>
      <c r="C214">
        <v>3908.0999999046298</v>
      </c>
      <c r="D214" t="s">
        <v>696</v>
      </c>
      <c r="E214" t="s">
        <v>697</v>
      </c>
      <c r="F214">
        <v>15</v>
      </c>
      <c r="G214">
        <v>1769186763.03333</v>
      </c>
      <c r="H214">
        <f t="shared" si="39"/>
        <v>7.7300070303999084E-4</v>
      </c>
      <c r="I214">
        <v>0</v>
      </c>
      <c r="J214">
        <f t="shared" si="51"/>
        <v>-3.9818887613046168E-3</v>
      </c>
      <c r="K214">
        <f t="shared" si="40"/>
        <v>-0.10428435924848689</v>
      </c>
      <c r="L214">
        <f t="shared" si="41"/>
        <v>70.57562066828271</v>
      </c>
      <c r="M214">
        <f t="shared" si="42"/>
        <v>1.5517966116211563</v>
      </c>
      <c r="N214">
        <f t="shared" si="43"/>
        <v>2.1987714694212346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26206.525650850919</v>
      </c>
      <c r="T214">
        <f t="shared" si="47"/>
        <v>1000.00086666667</v>
      </c>
      <c r="U214">
        <f t="shared" si="48"/>
        <v>843.00110660032863</v>
      </c>
      <c r="V214">
        <f t="shared" si="49"/>
        <v>0.84300037599999988</v>
      </c>
      <c r="W214">
        <f t="shared" si="50"/>
        <v>0.15870093999999998</v>
      </c>
      <c r="X214">
        <v>1</v>
      </c>
      <c r="Y214">
        <v>1769186763.03333</v>
      </c>
      <c r="Z214">
        <v>409.71806666666703</v>
      </c>
      <c r="AA214">
        <v>409.98360000000002</v>
      </c>
      <c r="AB214">
        <v>15.494526666666699</v>
      </c>
      <c r="AC214">
        <v>14.543253333333301</v>
      </c>
      <c r="AD214">
        <v>410.594066666667</v>
      </c>
      <c r="AE214">
        <v>15.404526666666699</v>
      </c>
      <c r="AF214">
        <v>800.005</v>
      </c>
      <c r="AG214">
        <v>100.086266666667</v>
      </c>
      <c r="AH214">
        <v>6.5009006666666702E-2</v>
      </c>
      <c r="AI214">
        <v>18.9533666666667</v>
      </c>
      <c r="AJ214">
        <v>999.9</v>
      </c>
      <c r="AK214">
        <v>999.9</v>
      </c>
      <c r="AL214">
        <v>0</v>
      </c>
      <c r="AM214">
        <v>0</v>
      </c>
      <c r="AN214">
        <v>4993</v>
      </c>
      <c r="AO214">
        <v>0</v>
      </c>
      <c r="AP214">
        <v>2.14547</v>
      </c>
      <c r="AQ214">
        <v>-0.30775540000000001</v>
      </c>
      <c r="AR214">
        <v>416.12479999999999</v>
      </c>
      <c r="AS214">
        <v>416.03399999999999</v>
      </c>
      <c r="AT214">
        <v>0.95431960000000005</v>
      </c>
      <c r="AU214">
        <v>409.98360000000002</v>
      </c>
      <c r="AV214">
        <v>14.543253333333301</v>
      </c>
      <c r="AW214">
        <v>1.5510953333333299</v>
      </c>
      <c r="AX214">
        <v>1.4555800000000001</v>
      </c>
      <c r="AY214">
        <v>13.4813333333333</v>
      </c>
      <c r="AZ214">
        <v>12.509359999999999</v>
      </c>
      <c r="BA214">
        <v>1000.00086666667</v>
      </c>
      <c r="BB214">
        <v>0.89998746666666696</v>
      </c>
      <c r="BC214">
        <v>0</v>
      </c>
      <c r="BD214">
        <v>0.100012533333333</v>
      </c>
      <c r="BE214">
        <v>0</v>
      </c>
      <c r="BF214">
        <v>25.677800000000001</v>
      </c>
      <c r="BG214">
        <v>16488.733333333301</v>
      </c>
      <c r="BH214">
        <v>1769186794.0999999</v>
      </c>
      <c r="BI214" t="s">
        <v>698</v>
      </c>
      <c r="BJ214">
        <v>1769186793.0999999</v>
      </c>
      <c r="BK214">
        <v>1769186794.0999999</v>
      </c>
      <c r="BL214">
        <v>7</v>
      </c>
      <c r="BM214">
        <v>4.2000000000000003E-2</v>
      </c>
      <c r="BN214">
        <v>-3.0000000000000001E-3</v>
      </c>
      <c r="BO214">
        <v>-0.876</v>
      </c>
      <c r="BP214">
        <v>0.09</v>
      </c>
      <c r="BQ214">
        <v>410</v>
      </c>
      <c r="BR214">
        <v>15</v>
      </c>
      <c r="BS214">
        <v>0.14000000000000001</v>
      </c>
      <c r="BT214">
        <v>0.1</v>
      </c>
      <c r="BU214">
        <v>-0.29067266666666702</v>
      </c>
      <c r="BV214">
        <v>-0.20646529870129801</v>
      </c>
      <c r="BW214">
        <v>2.7822981833854302E-2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0.97836842857142903</v>
      </c>
      <c r="CD214">
        <v>-0.35990727272727202</v>
      </c>
      <c r="CE214">
        <v>3.67314163957147E-2</v>
      </c>
      <c r="CF214">
        <v>0</v>
      </c>
      <c r="CG214">
        <v>1</v>
      </c>
      <c r="CH214">
        <v>2</v>
      </c>
      <c r="CI214" t="s">
        <v>301</v>
      </c>
      <c r="CJ214">
        <v>3.5325299999999999</v>
      </c>
      <c r="CK214">
        <v>2.7029000000000001</v>
      </c>
      <c r="CL214">
        <v>9.7856399999999996E-2</v>
      </c>
      <c r="CM214">
        <v>9.6549300000000005E-2</v>
      </c>
      <c r="CN214">
        <v>8.73284E-2</v>
      </c>
      <c r="CO214">
        <v>8.2557500000000006E-2</v>
      </c>
      <c r="CP214">
        <v>31623.4</v>
      </c>
      <c r="CQ214">
        <v>27776</v>
      </c>
      <c r="CR214">
        <v>32444.1</v>
      </c>
      <c r="CS214">
        <v>30672.2</v>
      </c>
      <c r="CT214">
        <v>40094.9</v>
      </c>
      <c r="CU214">
        <v>39567.599999999999</v>
      </c>
      <c r="CV214">
        <v>47381.2</v>
      </c>
      <c r="CW214">
        <v>46772.7</v>
      </c>
      <c r="CX214">
        <v>2.6211600000000002</v>
      </c>
      <c r="CY214">
        <v>2.1246800000000001</v>
      </c>
      <c r="CZ214">
        <v>0</v>
      </c>
      <c r="DA214">
        <v>0</v>
      </c>
      <c r="DB214">
        <v>999.9</v>
      </c>
      <c r="DC214">
        <v>999.9</v>
      </c>
      <c r="DD214">
        <v>56.805999999999997</v>
      </c>
      <c r="DE214">
        <v>27.190999999999999</v>
      </c>
      <c r="DF214">
        <v>20.541799999999999</v>
      </c>
      <c r="DG214">
        <v>30.620200000000001</v>
      </c>
      <c r="DH214">
        <v>17.892600000000002</v>
      </c>
      <c r="DI214">
        <v>2</v>
      </c>
      <c r="DJ214">
        <v>-0.107378</v>
      </c>
      <c r="DK214">
        <v>1.6967300000000001</v>
      </c>
      <c r="DL214">
        <v>20.194900000000001</v>
      </c>
      <c r="DM214">
        <v>5.2465200000000003</v>
      </c>
      <c r="DN214">
        <v>12.033899999999999</v>
      </c>
      <c r="DO214">
        <v>4.9666399999999999</v>
      </c>
      <c r="DP214">
        <v>3.2905199999999999</v>
      </c>
      <c r="DQ214">
        <v>9999</v>
      </c>
      <c r="DR214">
        <v>9999</v>
      </c>
      <c r="DS214">
        <v>535.1</v>
      </c>
      <c r="DT214">
        <v>9999</v>
      </c>
      <c r="DU214">
        <v>1.8710599999999999</v>
      </c>
      <c r="DV214">
        <v>1.8761000000000001</v>
      </c>
      <c r="DW214">
        <v>1.87635</v>
      </c>
      <c r="DX214">
        <v>1.8827799999999999</v>
      </c>
      <c r="DY214">
        <v>1.87561</v>
      </c>
      <c r="DZ214">
        <v>1.87469</v>
      </c>
      <c r="EA214">
        <v>1.8707499999999999</v>
      </c>
      <c r="EB214">
        <v>1.8746799999999999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-0.876</v>
      </c>
      <c r="EQ214">
        <v>0.09</v>
      </c>
      <c r="ER214">
        <v>-0.91809090909089297</v>
      </c>
      <c r="ES214">
        <v>0</v>
      </c>
      <c r="ET214">
        <v>0</v>
      </c>
      <c r="EU214">
        <v>0</v>
      </c>
      <c r="EV214">
        <v>9.3060000000003001E-2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10.1</v>
      </c>
      <c r="FE214">
        <v>10.199999999999999</v>
      </c>
      <c r="FF214">
        <v>1.2402299999999999</v>
      </c>
      <c r="FG214">
        <v>2.5732400000000002</v>
      </c>
      <c r="FH214">
        <v>2.19604</v>
      </c>
      <c r="FI214">
        <v>2.66235</v>
      </c>
      <c r="FJ214">
        <v>2.4462899999999999</v>
      </c>
      <c r="FK214">
        <v>2.2814899999999998</v>
      </c>
      <c r="FL214">
        <v>31.826899999999998</v>
      </c>
      <c r="FM214">
        <v>24.14</v>
      </c>
      <c r="FN214">
        <v>19</v>
      </c>
      <c r="FO214">
        <v>865.91899999999998</v>
      </c>
      <c r="FP214">
        <v>573.64499999999998</v>
      </c>
      <c r="FQ214">
        <v>18.573499999999999</v>
      </c>
      <c r="FR214">
        <v>25.666799999999999</v>
      </c>
      <c r="FS214">
        <v>30.000399999999999</v>
      </c>
      <c r="FT214">
        <v>25.635400000000001</v>
      </c>
      <c r="FU214">
        <v>25.634899999999998</v>
      </c>
      <c r="FV214">
        <v>24.9008</v>
      </c>
      <c r="FW214">
        <v>32.063299999999998</v>
      </c>
      <c r="FX214">
        <v>0</v>
      </c>
      <c r="FY214">
        <v>18.5733</v>
      </c>
      <c r="FZ214">
        <v>410</v>
      </c>
      <c r="GA214">
        <v>14.534800000000001</v>
      </c>
      <c r="GB214">
        <v>99.839500000000001</v>
      </c>
      <c r="GC214">
        <v>99.572000000000003</v>
      </c>
    </row>
    <row r="215" spans="1:185" x14ac:dyDescent="0.2">
      <c r="A215">
        <v>200</v>
      </c>
      <c r="B215">
        <v>1769186796.0999999</v>
      </c>
      <c r="C215">
        <v>3933.0999999046298</v>
      </c>
      <c r="D215" t="s">
        <v>699</v>
      </c>
      <c r="E215" t="s">
        <v>700</v>
      </c>
      <c r="F215">
        <v>15</v>
      </c>
      <c r="G215">
        <v>1769186795.0999999</v>
      </c>
      <c r="H215">
        <f t="shared" si="39"/>
        <v>-7.3065534130551456E-7</v>
      </c>
      <c r="I215">
        <v>0</v>
      </c>
      <c r="J215">
        <f t="shared" si="51"/>
        <v>-5.3842602949461221E-4</v>
      </c>
      <c r="K215">
        <f t="shared" si="40"/>
        <v>-1.4101200926104193E-2</v>
      </c>
      <c r="L215">
        <f t="shared" si="41"/>
        <v>66.019440427888426</v>
      </c>
      <c r="M215">
        <f t="shared" si="42"/>
        <v>1.45538454648017</v>
      </c>
      <c r="N215">
        <f t="shared" si="43"/>
        <v>2.204478767235015</v>
      </c>
      <c r="O215">
        <v>481</v>
      </c>
      <c r="P215">
        <v>60</v>
      </c>
      <c r="Q215">
        <f t="shared" si="44"/>
        <v>1</v>
      </c>
      <c r="R215">
        <f t="shared" si="45"/>
        <v>0</v>
      </c>
      <c r="S215">
        <f t="shared" si="46"/>
        <v>26278.586682448858</v>
      </c>
      <c r="T215">
        <f t="shared" si="47"/>
        <v>999.99900000000002</v>
      </c>
      <c r="U215">
        <f t="shared" si="48"/>
        <v>842.99812200103509</v>
      </c>
      <c r="V215">
        <f t="shared" si="49"/>
        <v>0.84299896500000004</v>
      </c>
      <c r="W215">
        <f t="shared" si="50"/>
        <v>0.15869838689999999</v>
      </c>
      <c r="X215">
        <v>1</v>
      </c>
      <c r="Y215">
        <v>1769186795.0999999</v>
      </c>
      <c r="Z215">
        <v>410.00599999999997</v>
      </c>
      <c r="AA215">
        <v>409.988</v>
      </c>
      <c r="AB215">
        <v>14.5303</v>
      </c>
      <c r="AC215">
        <v>14.5312</v>
      </c>
      <c r="AD215">
        <v>410.88200000000001</v>
      </c>
      <c r="AE215">
        <v>14.4407</v>
      </c>
      <c r="AF215">
        <v>800.04300000000001</v>
      </c>
      <c r="AG215">
        <v>100.086</v>
      </c>
      <c r="AH215">
        <v>7.6043899999999998E-2</v>
      </c>
      <c r="AI215">
        <v>18.994900000000001</v>
      </c>
      <c r="AJ215">
        <v>999.9</v>
      </c>
      <c r="AK215">
        <v>999.9</v>
      </c>
      <c r="AL215">
        <v>0</v>
      </c>
      <c r="AM215">
        <v>0</v>
      </c>
      <c r="AN215">
        <v>5005.5</v>
      </c>
      <c r="AO215">
        <v>0</v>
      </c>
      <c r="AP215">
        <v>2.14547</v>
      </c>
      <c r="AQ215">
        <v>1.7883300000000001E-2</v>
      </c>
      <c r="AR215">
        <v>416.05099999999999</v>
      </c>
      <c r="AS215">
        <v>416.03399999999999</v>
      </c>
      <c r="AT215">
        <v>-8.564E-4</v>
      </c>
      <c r="AU215">
        <v>409.988</v>
      </c>
      <c r="AV215">
        <v>14.5312</v>
      </c>
      <c r="AW215">
        <v>1.45428</v>
      </c>
      <c r="AX215">
        <v>1.4543699999999999</v>
      </c>
      <c r="AY215">
        <v>12.495799999999999</v>
      </c>
      <c r="AZ215">
        <v>12.496700000000001</v>
      </c>
      <c r="BA215">
        <v>999.99900000000002</v>
      </c>
      <c r="BB215">
        <v>0.90002000000000004</v>
      </c>
      <c r="BC215">
        <v>0</v>
      </c>
      <c r="BD215">
        <v>9.9979499999999999E-2</v>
      </c>
      <c r="BE215">
        <v>0</v>
      </c>
      <c r="BF215">
        <v>26</v>
      </c>
      <c r="BG215">
        <v>16488.900000000001</v>
      </c>
      <c r="BH215">
        <v>1769186794.0999999</v>
      </c>
      <c r="BI215" t="s">
        <v>698</v>
      </c>
      <c r="BJ215">
        <v>1769186793.0999999</v>
      </c>
      <c r="BK215">
        <v>1769186794.0999999</v>
      </c>
      <c r="BL215">
        <v>7</v>
      </c>
      <c r="BM215">
        <v>4.2000000000000003E-2</v>
      </c>
      <c r="BN215">
        <v>-3.0000000000000001E-3</v>
      </c>
      <c r="BO215">
        <v>-0.876</v>
      </c>
      <c r="BP215">
        <v>0.09</v>
      </c>
      <c r="BQ215">
        <v>410</v>
      </c>
      <c r="BR215">
        <v>15</v>
      </c>
      <c r="BS215">
        <v>0.14000000000000001</v>
      </c>
      <c r="BT215">
        <v>0.1</v>
      </c>
      <c r="BU215">
        <v>-4.1588214285714298E-2</v>
      </c>
      <c r="BV215">
        <v>0.26263076883116898</v>
      </c>
      <c r="BW215">
        <v>6.5558462471150297E-2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5.9444746666666701E-2</v>
      </c>
      <c r="CD215">
        <v>-0.849291614805194</v>
      </c>
      <c r="CE215">
        <v>0.14141420349481601</v>
      </c>
      <c r="CF215">
        <v>0</v>
      </c>
      <c r="CG215">
        <v>1</v>
      </c>
      <c r="CH215">
        <v>2</v>
      </c>
      <c r="CI215" t="s">
        <v>301</v>
      </c>
      <c r="CJ215">
        <v>3.5337000000000001</v>
      </c>
      <c r="CK215">
        <v>2.7129500000000002</v>
      </c>
      <c r="CL215">
        <v>9.7887000000000002E-2</v>
      </c>
      <c r="CM215">
        <v>9.6535399999999993E-2</v>
      </c>
      <c r="CN215">
        <v>8.3423600000000001E-2</v>
      </c>
      <c r="CO215">
        <v>8.2525100000000004E-2</v>
      </c>
      <c r="CP215">
        <v>31620.799999999999</v>
      </c>
      <c r="CQ215">
        <v>27775.3</v>
      </c>
      <c r="CR215">
        <v>32442.7</v>
      </c>
      <c r="CS215">
        <v>30670.9</v>
      </c>
      <c r="CT215">
        <v>40270</v>
      </c>
      <c r="CU215">
        <v>39567.800000000003</v>
      </c>
      <c r="CV215">
        <v>47379.199999999997</v>
      </c>
      <c r="CW215">
        <v>46771.3</v>
      </c>
      <c r="CX215">
        <v>1.68072</v>
      </c>
      <c r="CY215">
        <v>1.59642</v>
      </c>
      <c r="CZ215">
        <v>0</v>
      </c>
      <c r="DA215">
        <v>0</v>
      </c>
      <c r="DB215">
        <v>999.9</v>
      </c>
      <c r="DC215">
        <v>999.9</v>
      </c>
      <c r="DD215">
        <v>56.756999999999998</v>
      </c>
      <c r="DE215">
        <v>27.201000000000001</v>
      </c>
      <c r="DF215">
        <v>20.538799999999998</v>
      </c>
      <c r="DG215">
        <v>30.5702</v>
      </c>
      <c r="DH215">
        <v>18.273199999999999</v>
      </c>
      <c r="DI215">
        <v>2</v>
      </c>
      <c r="DJ215">
        <v>-0.10073</v>
      </c>
      <c r="DK215">
        <v>3.14453</v>
      </c>
      <c r="DL215">
        <v>20.168399999999998</v>
      </c>
      <c r="DM215">
        <v>5.2437699999999996</v>
      </c>
      <c r="DN215">
        <v>12.033899999999999</v>
      </c>
      <c r="DO215">
        <v>4.9657999999999998</v>
      </c>
      <c r="DP215">
        <v>3.2898200000000002</v>
      </c>
      <c r="DQ215">
        <v>9999</v>
      </c>
      <c r="DR215">
        <v>9999</v>
      </c>
      <c r="DS215">
        <v>535.1</v>
      </c>
      <c r="DT215">
        <v>9999</v>
      </c>
      <c r="DU215">
        <v>1.8710599999999999</v>
      </c>
      <c r="DV215">
        <v>1.8761099999999999</v>
      </c>
      <c r="DW215">
        <v>1.87636</v>
      </c>
      <c r="DX215">
        <v>1.8827799999999999</v>
      </c>
      <c r="DY215">
        <v>1.87561</v>
      </c>
      <c r="DZ215">
        <v>1.87469</v>
      </c>
      <c r="EA215">
        <v>1.8708100000000001</v>
      </c>
      <c r="EB215">
        <v>1.87469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-0.876</v>
      </c>
      <c r="EQ215">
        <v>8.9599999999999999E-2</v>
      </c>
      <c r="ER215">
        <v>-0.87579999999997005</v>
      </c>
      <c r="ES215">
        <v>0</v>
      </c>
      <c r="ET215">
        <v>0</v>
      </c>
      <c r="EU215">
        <v>0</v>
      </c>
      <c r="EV215">
        <v>8.9636363636364194E-2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0.1</v>
      </c>
      <c r="FE215">
        <v>0</v>
      </c>
      <c r="FF215">
        <v>1.2402299999999999</v>
      </c>
      <c r="FG215">
        <v>2.5659200000000002</v>
      </c>
      <c r="FH215">
        <v>2.19604</v>
      </c>
      <c r="FI215">
        <v>2.66235</v>
      </c>
      <c r="FJ215">
        <v>2.4462899999999999</v>
      </c>
      <c r="FK215">
        <v>2.31934</v>
      </c>
      <c r="FL215">
        <v>31.826899999999998</v>
      </c>
      <c r="FM215">
        <v>24.1313</v>
      </c>
      <c r="FN215">
        <v>19</v>
      </c>
      <c r="FO215">
        <v>295.68200000000002</v>
      </c>
      <c r="FP215">
        <v>275.392</v>
      </c>
      <c r="FQ215">
        <v>17.425599999999999</v>
      </c>
      <c r="FR215">
        <v>25.666799999999999</v>
      </c>
      <c r="FS215">
        <v>29.997699999999998</v>
      </c>
      <c r="FT215">
        <v>25.659099999999999</v>
      </c>
      <c r="FU215">
        <v>25.654699999999998</v>
      </c>
      <c r="FV215">
        <v>24.903600000000001</v>
      </c>
      <c r="FW215">
        <v>30.491900000000001</v>
      </c>
      <c r="FX215">
        <v>0</v>
      </c>
      <c r="FY215">
        <v>17.514900000000001</v>
      </c>
      <c r="FZ215">
        <v>410</v>
      </c>
      <c r="GA215">
        <v>15.162100000000001</v>
      </c>
      <c r="GB215">
        <v>99.8352</v>
      </c>
      <c r="GC215">
        <v>99.568600000000004</v>
      </c>
    </row>
    <row r="216" spans="1:185" x14ac:dyDescent="0.2">
      <c r="A216">
        <v>201</v>
      </c>
      <c r="B216">
        <v>1769186811.0999999</v>
      </c>
      <c r="C216">
        <v>3948.0999999046298</v>
      </c>
      <c r="D216" t="s">
        <v>701</v>
      </c>
      <c r="E216" t="s">
        <v>702</v>
      </c>
      <c r="F216">
        <v>15</v>
      </c>
      <c r="G216">
        <v>1769186803.03333</v>
      </c>
      <c r="H216">
        <f t="shared" si="39"/>
        <v>4.6200482111982357E-4</v>
      </c>
      <c r="I216">
        <v>0</v>
      </c>
      <c r="J216">
        <f t="shared" si="51"/>
        <v>8.0403411261118125E-4</v>
      </c>
      <c r="K216">
        <f t="shared" si="40"/>
        <v>2.105738941338757E-2</v>
      </c>
      <c r="L216">
        <f t="shared" si="41"/>
        <v>69.198051970485878</v>
      </c>
      <c r="M216">
        <f t="shared" si="42"/>
        <v>1.5232295563478722</v>
      </c>
      <c r="N216">
        <f t="shared" si="43"/>
        <v>2.2012607479146307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26263.210276349488</v>
      </c>
      <c r="T216">
        <f t="shared" si="47"/>
        <v>999.99746666666704</v>
      </c>
      <c r="U216">
        <f t="shared" si="48"/>
        <v>842.99807639946323</v>
      </c>
      <c r="V216">
        <f t="shared" si="49"/>
        <v>0.84300021199999997</v>
      </c>
      <c r="W216">
        <f t="shared" si="50"/>
        <v>0.15870053000000003</v>
      </c>
      <c r="X216">
        <v>1</v>
      </c>
      <c r="Y216">
        <v>1769186803.03333</v>
      </c>
      <c r="Z216">
        <v>409.70286666666698</v>
      </c>
      <c r="AA216">
        <v>409.965666666667</v>
      </c>
      <c r="AB216">
        <v>15.209073333333301</v>
      </c>
      <c r="AC216">
        <v>14.6406266666667</v>
      </c>
      <c r="AD216">
        <v>410.5788</v>
      </c>
      <c r="AE216">
        <v>15.11946</v>
      </c>
      <c r="AF216">
        <v>800.388466666667</v>
      </c>
      <c r="AG216">
        <v>100.085666666667</v>
      </c>
      <c r="AH216">
        <v>6.702002E-2</v>
      </c>
      <c r="AI216">
        <v>18.971493333333299</v>
      </c>
      <c r="AJ216">
        <v>999.9</v>
      </c>
      <c r="AK216">
        <v>999.9</v>
      </c>
      <c r="AL216">
        <v>0</v>
      </c>
      <c r="AM216">
        <v>0</v>
      </c>
      <c r="AN216">
        <v>5002.6333333333296</v>
      </c>
      <c r="AO216">
        <v>0</v>
      </c>
      <c r="AP216">
        <v>2.1097160000000001</v>
      </c>
      <c r="AQ216">
        <v>-0.26248771999999998</v>
      </c>
      <c r="AR216">
        <v>416.03039999999999</v>
      </c>
      <c r="AS216">
        <v>416.05693333333301</v>
      </c>
      <c r="AT216">
        <v>0.56845604000000005</v>
      </c>
      <c r="AU216">
        <v>409.965666666667</v>
      </c>
      <c r="AV216">
        <v>14.6406266666667</v>
      </c>
      <c r="AW216">
        <v>1.52221266666667</v>
      </c>
      <c r="AX216">
        <v>1.4653179999999999</v>
      </c>
      <c r="AY216">
        <v>13.190899999999999</v>
      </c>
      <c r="AZ216">
        <v>12.6109066666667</v>
      </c>
      <c r="BA216">
        <v>999.99746666666704</v>
      </c>
      <c r="BB216">
        <v>0.89999293333333297</v>
      </c>
      <c r="BC216">
        <v>0</v>
      </c>
      <c r="BD216">
        <v>0.100007066666667</v>
      </c>
      <c r="BE216">
        <v>0</v>
      </c>
      <c r="BF216">
        <v>26</v>
      </c>
      <c r="BG216">
        <v>16488.7133333333</v>
      </c>
      <c r="BH216">
        <v>1769186794.0999999</v>
      </c>
      <c r="BI216" t="s">
        <v>698</v>
      </c>
      <c r="BJ216">
        <v>1769186793.0999999</v>
      </c>
      <c r="BK216">
        <v>1769186794.0999999</v>
      </c>
      <c r="BL216">
        <v>7</v>
      </c>
      <c r="BM216">
        <v>4.2000000000000003E-2</v>
      </c>
      <c r="BN216">
        <v>-3.0000000000000001E-3</v>
      </c>
      <c r="BO216">
        <v>-0.876</v>
      </c>
      <c r="BP216">
        <v>0.09</v>
      </c>
      <c r="BQ216">
        <v>410</v>
      </c>
      <c r="BR216">
        <v>15</v>
      </c>
      <c r="BS216">
        <v>0.14000000000000001</v>
      </c>
      <c r="BT216">
        <v>0.1</v>
      </c>
      <c r="BU216">
        <v>-0.181842576190476</v>
      </c>
      <c r="BV216">
        <v>-1.29992002597403</v>
      </c>
      <c r="BW216">
        <v>0.14466867007765399</v>
      </c>
      <c r="BX216">
        <v>0</v>
      </c>
      <c r="BY216">
        <v>0</v>
      </c>
      <c r="BZ216">
        <v>0</v>
      </c>
      <c r="CA216">
        <v>0</v>
      </c>
      <c r="CB216">
        <v>-1</v>
      </c>
      <c r="CC216">
        <v>0.373423770952381</v>
      </c>
      <c r="CD216">
        <v>2.9560596007792199</v>
      </c>
      <c r="CE216">
        <v>0.31909868834479299</v>
      </c>
      <c r="CF216">
        <v>0</v>
      </c>
      <c r="CG216">
        <v>0</v>
      </c>
      <c r="CH216">
        <v>2</v>
      </c>
      <c r="CI216" t="s">
        <v>290</v>
      </c>
      <c r="CJ216">
        <v>3.53254</v>
      </c>
      <c r="CK216">
        <v>2.70303</v>
      </c>
      <c r="CL216">
        <v>9.7846799999999998E-2</v>
      </c>
      <c r="CM216">
        <v>9.6544599999999994E-2</v>
      </c>
      <c r="CN216">
        <v>8.70837E-2</v>
      </c>
      <c r="CO216">
        <v>8.3107600000000004E-2</v>
      </c>
      <c r="CP216">
        <v>31623.8</v>
      </c>
      <c r="CQ216">
        <v>27776.9</v>
      </c>
      <c r="CR216">
        <v>32444.2</v>
      </c>
      <c r="CS216">
        <v>30673</v>
      </c>
      <c r="CT216">
        <v>40106</v>
      </c>
      <c r="CU216">
        <v>39544.6</v>
      </c>
      <c r="CV216">
        <v>47381.2</v>
      </c>
      <c r="CW216">
        <v>46774.400000000001</v>
      </c>
      <c r="CX216">
        <v>2.6177999999999999</v>
      </c>
      <c r="CY216">
        <v>2.1231599999999999</v>
      </c>
      <c r="CZ216">
        <v>0</v>
      </c>
      <c r="DA216">
        <v>0</v>
      </c>
      <c r="DB216">
        <v>999.9</v>
      </c>
      <c r="DC216">
        <v>999.9</v>
      </c>
      <c r="DD216">
        <v>56.732999999999997</v>
      </c>
      <c r="DE216">
        <v>27.190999999999999</v>
      </c>
      <c r="DF216">
        <v>20.517600000000002</v>
      </c>
      <c r="DG216">
        <v>30.3902</v>
      </c>
      <c r="DH216">
        <v>17.868600000000001</v>
      </c>
      <c r="DI216">
        <v>2</v>
      </c>
      <c r="DJ216">
        <v>-0.103815</v>
      </c>
      <c r="DK216">
        <v>2.7312699999999999</v>
      </c>
      <c r="DL216">
        <v>20.1799</v>
      </c>
      <c r="DM216">
        <v>5.2501199999999999</v>
      </c>
      <c r="DN216">
        <v>12.033899999999999</v>
      </c>
      <c r="DO216">
        <v>4.9671599999999998</v>
      </c>
      <c r="DP216">
        <v>3.2910200000000001</v>
      </c>
      <c r="DQ216">
        <v>9999</v>
      </c>
      <c r="DR216">
        <v>9999</v>
      </c>
      <c r="DS216">
        <v>535.1</v>
      </c>
      <c r="DT216">
        <v>9999</v>
      </c>
      <c r="DU216">
        <v>1.87107</v>
      </c>
      <c r="DV216">
        <v>1.8761099999999999</v>
      </c>
      <c r="DW216">
        <v>1.87635</v>
      </c>
      <c r="DX216">
        <v>1.88279</v>
      </c>
      <c r="DY216">
        <v>1.87561</v>
      </c>
      <c r="DZ216">
        <v>1.87469</v>
      </c>
      <c r="EA216">
        <v>1.8708</v>
      </c>
      <c r="EB216">
        <v>1.87469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-0.876</v>
      </c>
      <c r="EQ216">
        <v>8.9700000000000002E-2</v>
      </c>
      <c r="ER216">
        <v>-0.87579999999997005</v>
      </c>
      <c r="ES216">
        <v>0</v>
      </c>
      <c r="ET216">
        <v>0</v>
      </c>
      <c r="EU216">
        <v>0</v>
      </c>
      <c r="EV216">
        <v>8.9636363636364194E-2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0.3</v>
      </c>
      <c r="FE216">
        <v>0.3</v>
      </c>
      <c r="FF216">
        <v>1.24146</v>
      </c>
      <c r="FG216">
        <v>2.5695800000000002</v>
      </c>
      <c r="FH216">
        <v>2.19604</v>
      </c>
      <c r="FI216">
        <v>2.66235</v>
      </c>
      <c r="FJ216">
        <v>2.4462899999999999</v>
      </c>
      <c r="FK216">
        <v>2.3059099999999999</v>
      </c>
      <c r="FL216">
        <v>31.848800000000001</v>
      </c>
      <c r="FM216">
        <v>24.1313</v>
      </c>
      <c r="FN216">
        <v>19</v>
      </c>
      <c r="FO216">
        <v>862.89800000000002</v>
      </c>
      <c r="FP216">
        <v>572.54399999999998</v>
      </c>
      <c r="FQ216">
        <v>17.529800000000002</v>
      </c>
      <c r="FR216">
        <v>25.668800000000001</v>
      </c>
      <c r="FS216">
        <v>29.999500000000001</v>
      </c>
      <c r="FT216">
        <v>25.6419</v>
      </c>
      <c r="FU216">
        <v>25.6402</v>
      </c>
      <c r="FV216">
        <v>24.904800000000002</v>
      </c>
      <c r="FW216">
        <v>31.265699999999999</v>
      </c>
      <c r="FX216">
        <v>0</v>
      </c>
      <c r="FY216">
        <v>17.580200000000001</v>
      </c>
      <c r="FZ216">
        <v>410</v>
      </c>
      <c r="GA216">
        <v>14.6189</v>
      </c>
      <c r="GB216">
        <v>99.839600000000004</v>
      </c>
      <c r="GC216">
        <v>99.575199999999995</v>
      </c>
    </row>
    <row r="217" spans="1:185" x14ac:dyDescent="0.2">
      <c r="A217">
        <v>202</v>
      </c>
      <c r="B217">
        <v>1769186826.0999999</v>
      </c>
      <c r="C217">
        <v>3963.0999999046298</v>
      </c>
      <c r="D217" t="s">
        <v>703</v>
      </c>
      <c r="E217" t="s">
        <v>704</v>
      </c>
      <c r="F217">
        <v>15</v>
      </c>
      <c r="G217">
        <v>1769186818.03333</v>
      </c>
      <c r="H217">
        <f t="shared" si="39"/>
        <v>6.009261949661127E-4</v>
      </c>
      <c r="I217">
        <v>0</v>
      </c>
      <c r="J217">
        <f t="shared" si="51"/>
        <v>-1.7757492345396564E-4</v>
      </c>
      <c r="K217">
        <f t="shared" si="40"/>
        <v>-4.650628940455038E-3</v>
      </c>
      <c r="L217">
        <f t="shared" si="41"/>
        <v>70.212073674889496</v>
      </c>
      <c r="M217">
        <f t="shared" si="42"/>
        <v>1.5433533644142983</v>
      </c>
      <c r="N217">
        <f t="shared" si="43"/>
        <v>2.19813101028842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26245.367021952199</v>
      </c>
      <c r="T217">
        <f t="shared" si="47"/>
        <v>999.99846666666701</v>
      </c>
      <c r="U217">
        <f t="shared" si="48"/>
        <v>842.99919939924587</v>
      </c>
      <c r="V217">
        <f t="shared" si="49"/>
        <v>0.84300049199999993</v>
      </c>
      <c r="W217">
        <f t="shared" si="50"/>
        <v>0.15870123</v>
      </c>
      <c r="X217">
        <v>1</v>
      </c>
      <c r="Y217">
        <v>1769186818.03333</v>
      </c>
      <c r="Z217">
        <v>409.69746666666703</v>
      </c>
      <c r="AA217">
        <v>409.99939999999998</v>
      </c>
      <c r="AB217">
        <v>15.4105733333333</v>
      </c>
      <c r="AC217">
        <v>14.6709933333333</v>
      </c>
      <c r="AD217">
        <v>410.57299999999998</v>
      </c>
      <c r="AE217">
        <v>15.320926666666701</v>
      </c>
      <c r="AF217">
        <v>800.00213333333295</v>
      </c>
      <c r="AG217">
        <v>100.08386666666701</v>
      </c>
      <c r="AH217">
        <v>6.5123966666666699E-2</v>
      </c>
      <c r="AI217">
        <v>18.948699999999999</v>
      </c>
      <c r="AJ217">
        <v>999.9</v>
      </c>
      <c r="AK217">
        <v>999.9</v>
      </c>
      <c r="AL217">
        <v>0</v>
      </c>
      <c r="AM217">
        <v>0</v>
      </c>
      <c r="AN217">
        <v>4999.4333333333298</v>
      </c>
      <c r="AO217">
        <v>0</v>
      </c>
      <c r="AP217">
        <v>2.08901</v>
      </c>
      <c r="AQ217">
        <v>-0.302134133333333</v>
      </c>
      <c r="AR217">
        <v>416.109733333333</v>
      </c>
      <c r="AS217">
        <v>416.10419999999999</v>
      </c>
      <c r="AT217">
        <v>0.73956046666666697</v>
      </c>
      <c r="AU217">
        <v>409.99939999999998</v>
      </c>
      <c r="AV217">
        <v>14.6709933333333</v>
      </c>
      <c r="AW217">
        <v>1.54235066666667</v>
      </c>
      <c r="AX217">
        <v>1.4683333333333299</v>
      </c>
      <c r="AY217">
        <v>13.394593333333299</v>
      </c>
      <c r="AZ217">
        <v>12.642333333333299</v>
      </c>
      <c r="BA217">
        <v>999.99846666666701</v>
      </c>
      <c r="BB217">
        <v>0.89998359999999999</v>
      </c>
      <c r="BC217">
        <v>0</v>
      </c>
      <c r="BD217">
        <v>0.10001640000000001</v>
      </c>
      <c r="BE217">
        <v>0</v>
      </c>
      <c r="BF217">
        <v>26</v>
      </c>
      <c r="BG217">
        <v>16488.6733333333</v>
      </c>
      <c r="BH217">
        <v>1769186794.0999999</v>
      </c>
      <c r="BI217" t="s">
        <v>698</v>
      </c>
      <c r="BJ217">
        <v>1769186793.0999999</v>
      </c>
      <c r="BK217">
        <v>1769186794.0999999</v>
      </c>
      <c r="BL217">
        <v>7</v>
      </c>
      <c r="BM217">
        <v>4.2000000000000003E-2</v>
      </c>
      <c r="BN217">
        <v>-3.0000000000000001E-3</v>
      </c>
      <c r="BO217">
        <v>-0.876</v>
      </c>
      <c r="BP217">
        <v>0.09</v>
      </c>
      <c r="BQ217">
        <v>410</v>
      </c>
      <c r="BR217">
        <v>15</v>
      </c>
      <c r="BS217">
        <v>0.14000000000000001</v>
      </c>
      <c r="BT217">
        <v>0.1</v>
      </c>
      <c r="BU217">
        <v>-0.31555169999999999</v>
      </c>
      <c r="BV217">
        <v>0.27282667669173</v>
      </c>
      <c r="BW217">
        <v>2.9922755887618401E-2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0.73241855</v>
      </c>
      <c r="CD217">
        <v>0.12229881203007401</v>
      </c>
      <c r="CE217">
        <v>1.20841512464674E-2</v>
      </c>
      <c r="CF217">
        <v>0</v>
      </c>
      <c r="CG217">
        <v>1</v>
      </c>
      <c r="CH217">
        <v>2</v>
      </c>
      <c r="CI217" t="s">
        <v>301</v>
      </c>
      <c r="CJ217">
        <v>3.5324499999999999</v>
      </c>
      <c r="CK217">
        <v>2.7026500000000002</v>
      </c>
      <c r="CL217">
        <v>9.7852800000000004E-2</v>
      </c>
      <c r="CM217">
        <v>9.6542299999999998E-2</v>
      </c>
      <c r="CN217">
        <v>8.71643E-2</v>
      </c>
      <c r="CO217">
        <v>8.3104899999999995E-2</v>
      </c>
      <c r="CP217">
        <v>31623.1</v>
      </c>
      <c r="CQ217">
        <v>27777.5</v>
      </c>
      <c r="CR217">
        <v>32443.7</v>
      </c>
      <c r="CS217">
        <v>30673.7</v>
      </c>
      <c r="CT217">
        <v>40101.9</v>
      </c>
      <c r="CU217">
        <v>39545.5</v>
      </c>
      <c r="CV217">
        <v>47380.6</v>
      </c>
      <c r="CW217">
        <v>46775.3</v>
      </c>
      <c r="CX217">
        <v>2.6195599999999999</v>
      </c>
      <c r="CY217">
        <v>2.1240800000000002</v>
      </c>
      <c r="CZ217">
        <v>0</v>
      </c>
      <c r="DA217">
        <v>0</v>
      </c>
      <c r="DB217">
        <v>999.9</v>
      </c>
      <c r="DC217">
        <v>999.9</v>
      </c>
      <c r="DD217">
        <v>56.709000000000003</v>
      </c>
      <c r="DE217">
        <v>27.201000000000001</v>
      </c>
      <c r="DF217">
        <v>20.5197</v>
      </c>
      <c r="DG217">
        <v>30.450199999999999</v>
      </c>
      <c r="DH217">
        <v>17.9207</v>
      </c>
      <c r="DI217">
        <v>2</v>
      </c>
      <c r="DJ217">
        <v>-0.10424600000000001</v>
      </c>
      <c r="DK217">
        <v>2.5884399999999999</v>
      </c>
      <c r="DL217">
        <v>20.182400000000001</v>
      </c>
      <c r="DM217">
        <v>5.2485600000000003</v>
      </c>
      <c r="DN217">
        <v>12.033899999999999</v>
      </c>
      <c r="DO217">
        <v>4.9668000000000001</v>
      </c>
      <c r="DP217">
        <v>3.2907600000000001</v>
      </c>
      <c r="DQ217">
        <v>9999</v>
      </c>
      <c r="DR217">
        <v>9999</v>
      </c>
      <c r="DS217">
        <v>535.1</v>
      </c>
      <c r="DT217">
        <v>9999</v>
      </c>
      <c r="DU217">
        <v>1.87114</v>
      </c>
      <c r="DV217">
        <v>1.8761699999999999</v>
      </c>
      <c r="DW217">
        <v>1.87635</v>
      </c>
      <c r="DX217">
        <v>1.88279</v>
      </c>
      <c r="DY217">
        <v>1.87561</v>
      </c>
      <c r="DZ217">
        <v>1.87469</v>
      </c>
      <c r="EA217">
        <v>1.87083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-0.876</v>
      </c>
      <c r="EQ217">
        <v>8.9700000000000002E-2</v>
      </c>
      <c r="ER217">
        <v>-0.87579999999997005</v>
      </c>
      <c r="ES217">
        <v>0</v>
      </c>
      <c r="ET217">
        <v>0</v>
      </c>
      <c r="EU217">
        <v>0</v>
      </c>
      <c r="EV217">
        <v>8.9636363636364194E-2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0.6</v>
      </c>
      <c r="FE217">
        <v>0.5</v>
      </c>
      <c r="FF217">
        <v>1.24146</v>
      </c>
      <c r="FG217">
        <v>2.5744600000000002</v>
      </c>
      <c r="FH217">
        <v>2.19604</v>
      </c>
      <c r="FI217">
        <v>2.66235</v>
      </c>
      <c r="FJ217">
        <v>2.4462899999999999</v>
      </c>
      <c r="FK217">
        <v>2.2900399999999999</v>
      </c>
      <c r="FL217">
        <v>31.848800000000001</v>
      </c>
      <c r="FM217">
        <v>24.1313</v>
      </c>
      <c r="FN217">
        <v>19</v>
      </c>
      <c r="FO217">
        <v>864.53300000000002</v>
      </c>
      <c r="FP217">
        <v>573.27099999999996</v>
      </c>
      <c r="FQ217">
        <v>17.6401</v>
      </c>
      <c r="FR217">
        <v>25.670100000000001</v>
      </c>
      <c r="FS217">
        <v>30</v>
      </c>
      <c r="FT217">
        <v>25.6419</v>
      </c>
      <c r="FU217">
        <v>25.642399999999999</v>
      </c>
      <c r="FV217">
        <v>24.905799999999999</v>
      </c>
      <c r="FW217">
        <v>31.265699999999999</v>
      </c>
      <c r="FX217">
        <v>0</v>
      </c>
      <c r="FY217">
        <v>17.689900000000002</v>
      </c>
      <c r="FZ217">
        <v>410</v>
      </c>
      <c r="GA217">
        <v>14.6189</v>
      </c>
      <c r="GB217">
        <v>99.838399999999993</v>
      </c>
      <c r="GC217">
        <v>99.577200000000005</v>
      </c>
    </row>
    <row r="218" spans="1:185" x14ac:dyDescent="0.2">
      <c r="A218">
        <v>203</v>
      </c>
      <c r="B218">
        <v>1769186841.0999999</v>
      </c>
      <c r="C218">
        <v>3978.0999999046298</v>
      </c>
      <c r="D218" t="s">
        <v>705</v>
      </c>
      <c r="E218" t="s">
        <v>706</v>
      </c>
      <c r="F218">
        <v>15</v>
      </c>
      <c r="G218">
        <v>1769186833.03333</v>
      </c>
      <c r="H218">
        <f t="shared" si="39"/>
        <v>6.153798585562132E-4</v>
      </c>
      <c r="I218">
        <v>0</v>
      </c>
      <c r="J218">
        <f t="shared" si="51"/>
        <v>-1.1309958632976602E-3</v>
      </c>
      <c r="K218">
        <f t="shared" si="40"/>
        <v>-2.962041030951414E-2</v>
      </c>
      <c r="L218">
        <f t="shared" si="41"/>
        <v>70.301663378941825</v>
      </c>
      <c r="M218">
        <f t="shared" si="42"/>
        <v>1.5449811907972995</v>
      </c>
      <c r="N218">
        <f t="shared" si="43"/>
        <v>2.1976452853889135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26230.583486923169</v>
      </c>
      <c r="T218">
        <f t="shared" si="47"/>
        <v>1000</v>
      </c>
      <c r="U218">
        <f t="shared" si="48"/>
        <v>843.00042599999995</v>
      </c>
      <c r="V218">
        <f t="shared" si="49"/>
        <v>0.84300042599999991</v>
      </c>
      <c r="W218">
        <f t="shared" si="50"/>
        <v>0.158701065</v>
      </c>
      <c r="X218">
        <v>1</v>
      </c>
      <c r="Y218">
        <v>1769186833.03333</v>
      </c>
      <c r="Z218">
        <v>409.71186666666699</v>
      </c>
      <c r="AA218">
        <v>409.99</v>
      </c>
      <c r="AB218">
        <v>15.4270666666667</v>
      </c>
      <c r="AC218">
        <v>14.6697133333333</v>
      </c>
      <c r="AD218">
        <v>410.58760000000001</v>
      </c>
      <c r="AE218">
        <v>15.33742</v>
      </c>
      <c r="AF218">
        <v>800.004866666667</v>
      </c>
      <c r="AG218">
        <v>100.0826</v>
      </c>
      <c r="AH218">
        <v>6.4837240000000004E-2</v>
      </c>
      <c r="AI218">
        <v>18.945160000000001</v>
      </c>
      <c r="AJ218">
        <v>999.9</v>
      </c>
      <c r="AK218">
        <v>999.9</v>
      </c>
      <c r="AL218">
        <v>0</v>
      </c>
      <c r="AM218">
        <v>0</v>
      </c>
      <c r="AN218">
        <v>4997</v>
      </c>
      <c r="AO218">
        <v>0</v>
      </c>
      <c r="AP218">
        <v>2.08901</v>
      </c>
      <c r="AQ218">
        <v>-0.27803133333333302</v>
      </c>
      <c r="AR218">
        <v>416.131666666667</v>
      </c>
      <c r="AS218">
        <v>416.09393333333298</v>
      </c>
      <c r="AT218">
        <v>0.75735233333333296</v>
      </c>
      <c r="AU218">
        <v>409.99</v>
      </c>
      <c r="AV218">
        <v>14.6697133333333</v>
      </c>
      <c r="AW218">
        <v>1.5439813333333301</v>
      </c>
      <c r="AX218">
        <v>1.4681833333333301</v>
      </c>
      <c r="AY218">
        <v>13.4107866666667</v>
      </c>
      <c r="AZ218">
        <v>12.6407666666667</v>
      </c>
      <c r="BA218">
        <v>1000</v>
      </c>
      <c r="BB218">
        <v>0.89998579999999995</v>
      </c>
      <c r="BC218">
        <v>0</v>
      </c>
      <c r="BD218">
        <v>0.1000142</v>
      </c>
      <c r="BE218">
        <v>0</v>
      </c>
      <c r="BF218">
        <v>26</v>
      </c>
      <c r="BG218">
        <v>16488.706666666701</v>
      </c>
      <c r="BH218">
        <v>1769186794.0999999</v>
      </c>
      <c r="BI218" t="s">
        <v>698</v>
      </c>
      <c r="BJ218">
        <v>1769186793.0999999</v>
      </c>
      <c r="BK218">
        <v>1769186794.0999999</v>
      </c>
      <c r="BL218">
        <v>7</v>
      </c>
      <c r="BM218">
        <v>4.2000000000000003E-2</v>
      </c>
      <c r="BN218">
        <v>-3.0000000000000001E-3</v>
      </c>
      <c r="BO218">
        <v>-0.876</v>
      </c>
      <c r="BP218">
        <v>0.09</v>
      </c>
      <c r="BQ218">
        <v>410</v>
      </c>
      <c r="BR218">
        <v>15</v>
      </c>
      <c r="BS218">
        <v>0.14000000000000001</v>
      </c>
      <c r="BT218">
        <v>0.1</v>
      </c>
      <c r="BU218">
        <v>-0.27794247619047602</v>
      </c>
      <c r="BV218">
        <v>6.34144675324676E-2</v>
      </c>
      <c r="BW218">
        <v>1.88479751789064E-2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0.75306223809523798</v>
      </c>
      <c r="CD218">
        <v>6.8864103896104201E-2</v>
      </c>
      <c r="CE218">
        <v>7.0731992956966899E-3</v>
      </c>
      <c r="CF218">
        <v>1</v>
      </c>
      <c r="CG218">
        <v>2</v>
      </c>
      <c r="CH218">
        <v>2</v>
      </c>
      <c r="CI218" t="s">
        <v>310</v>
      </c>
      <c r="CJ218">
        <v>3.5325299999999999</v>
      </c>
      <c r="CK218">
        <v>2.7028400000000001</v>
      </c>
      <c r="CL218">
        <v>9.7850000000000006E-2</v>
      </c>
      <c r="CM218">
        <v>9.6543000000000004E-2</v>
      </c>
      <c r="CN218">
        <v>8.7234000000000006E-2</v>
      </c>
      <c r="CO218">
        <v>8.3102099999999998E-2</v>
      </c>
      <c r="CP218">
        <v>31622.9</v>
      </c>
      <c r="CQ218">
        <v>27777.1</v>
      </c>
      <c r="CR218">
        <v>32443.4</v>
      </c>
      <c r="CS218">
        <v>30673.200000000001</v>
      </c>
      <c r="CT218">
        <v>40098.400000000001</v>
      </c>
      <c r="CU218">
        <v>39545.1</v>
      </c>
      <c r="CV218">
        <v>47380.2</v>
      </c>
      <c r="CW218">
        <v>46774.6</v>
      </c>
      <c r="CX218">
        <v>2.6203599999999998</v>
      </c>
      <c r="CY218">
        <v>2.1240399999999999</v>
      </c>
      <c r="CZ218">
        <v>0</v>
      </c>
      <c r="DA218">
        <v>0</v>
      </c>
      <c r="DB218">
        <v>999.9</v>
      </c>
      <c r="DC218">
        <v>999.9</v>
      </c>
      <c r="DD218">
        <v>56.66</v>
      </c>
      <c r="DE218">
        <v>27.210999999999999</v>
      </c>
      <c r="DF218">
        <v>20.514099999999999</v>
      </c>
      <c r="DG218">
        <v>30.540199999999999</v>
      </c>
      <c r="DH218">
        <v>17.840499999999999</v>
      </c>
      <c r="DI218">
        <v>2</v>
      </c>
      <c r="DJ218">
        <v>-0.104488</v>
      </c>
      <c r="DK218">
        <v>2.4491499999999999</v>
      </c>
      <c r="DL218">
        <v>20.184999999999999</v>
      </c>
      <c r="DM218">
        <v>5.2501199999999999</v>
      </c>
      <c r="DN218">
        <v>12.033899999999999</v>
      </c>
      <c r="DO218">
        <v>4.9669600000000003</v>
      </c>
      <c r="DP218">
        <v>3.2909999999999999</v>
      </c>
      <c r="DQ218">
        <v>9999</v>
      </c>
      <c r="DR218">
        <v>9999</v>
      </c>
      <c r="DS218">
        <v>535.1</v>
      </c>
      <c r="DT218">
        <v>9999</v>
      </c>
      <c r="DU218">
        <v>1.8710800000000001</v>
      </c>
      <c r="DV218">
        <v>1.8761000000000001</v>
      </c>
      <c r="DW218">
        <v>1.8763300000000001</v>
      </c>
      <c r="DX218">
        <v>1.8827799999999999</v>
      </c>
      <c r="DY218">
        <v>1.8755999999999999</v>
      </c>
      <c r="DZ218">
        <v>1.8746799999999999</v>
      </c>
      <c r="EA218">
        <v>1.8708100000000001</v>
      </c>
      <c r="EB218">
        <v>1.8746700000000001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-0.875</v>
      </c>
      <c r="EQ218">
        <v>8.9599999999999999E-2</v>
      </c>
      <c r="ER218">
        <v>-0.87579999999997005</v>
      </c>
      <c r="ES218">
        <v>0</v>
      </c>
      <c r="ET218">
        <v>0</v>
      </c>
      <c r="EU218">
        <v>0</v>
      </c>
      <c r="EV218">
        <v>8.9636363636364194E-2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0.8</v>
      </c>
      <c r="FE218">
        <v>0.8</v>
      </c>
      <c r="FF218">
        <v>1.2402299999999999</v>
      </c>
      <c r="FG218">
        <v>2.5732400000000002</v>
      </c>
      <c r="FH218">
        <v>2.19604</v>
      </c>
      <c r="FI218">
        <v>2.66235</v>
      </c>
      <c r="FJ218">
        <v>2.4462899999999999</v>
      </c>
      <c r="FK218">
        <v>2.2997999999999998</v>
      </c>
      <c r="FL218">
        <v>31.848800000000001</v>
      </c>
      <c r="FM218">
        <v>24.14</v>
      </c>
      <c r="FN218">
        <v>19</v>
      </c>
      <c r="FO218">
        <v>865.31200000000001</v>
      </c>
      <c r="FP218">
        <v>573.26300000000003</v>
      </c>
      <c r="FQ218">
        <v>17.7591</v>
      </c>
      <c r="FR218">
        <v>25.672699999999999</v>
      </c>
      <c r="FS218">
        <v>30.0002</v>
      </c>
      <c r="FT218">
        <v>25.643999999999998</v>
      </c>
      <c r="FU218">
        <v>25.644500000000001</v>
      </c>
      <c r="FV218">
        <v>24.906600000000001</v>
      </c>
      <c r="FW218">
        <v>31.265699999999999</v>
      </c>
      <c r="FX218">
        <v>0</v>
      </c>
      <c r="FY218">
        <v>17.803999999999998</v>
      </c>
      <c r="FZ218">
        <v>410</v>
      </c>
      <c r="GA218">
        <v>14.6189</v>
      </c>
      <c r="GB218">
        <v>99.837400000000002</v>
      </c>
      <c r="GC218">
        <v>99.575800000000001</v>
      </c>
    </row>
    <row r="219" spans="1:185" x14ac:dyDescent="0.2">
      <c r="A219">
        <v>204</v>
      </c>
      <c r="B219">
        <v>1769186856.0999999</v>
      </c>
      <c r="C219">
        <v>3993.0999999046298</v>
      </c>
      <c r="D219" t="s">
        <v>707</v>
      </c>
      <c r="E219" t="s">
        <v>708</v>
      </c>
      <c r="F219">
        <v>15</v>
      </c>
      <c r="G219">
        <v>1769186848.03333</v>
      </c>
      <c r="H219">
        <f t="shared" si="39"/>
        <v>6.2799619624560735E-4</v>
      </c>
      <c r="I219">
        <v>0</v>
      </c>
      <c r="J219">
        <f t="shared" si="51"/>
        <v>-1.0840710754158867E-3</v>
      </c>
      <c r="K219">
        <f t="shared" si="40"/>
        <v>-2.8391465522136752E-2</v>
      </c>
      <c r="L219">
        <f t="shared" si="41"/>
        <v>70.328485331720998</v>
      </c>
      <c r="M219">
        <f t="shared" si="42"/>
        <v>1.5464656408371922</v>
      </c>
      <c r="N219">
        <f t="shared" si="43"/>
        <v>2.1989178830496918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26240.111000335557</v>
      </c>
      <c r="T219">
        <f t="shared" si="47"/>
        <v>999.999866666667</v>
      </c>
      <c r="U219">
        <f t="shared" si="48"/>
        <v>843.00031159994376</v>
      </c>
      <c r="V219">
        <f t="shared" si="49"/>
        <v>0.84300042399999997</v>
      </c>
      <c r="W219">
        <f t="shared" si="50"/>
        <v>0.15870105999999998</v>
      </c>
      <c r="X219">
        <v>1</v>
      </c>
      <c r="Y219">
        <v>1769186848.03333</v>
      </c>
      <c r="Z219">
        <v>409.716133333333</v>
      </c>
      <c r="AA219">
        <v>410.00226666666703</v>
      </c>
      <c r="AB219">
        <v>15.4417333333333</v>
      </c>
      <c r="AC219">
        <v>14.6688666666667</v>
      </c>
      <c r="AD219">
        <v>410.59193333333297</v>
      </c>
      <c r="AE219">
        <v>15.352093333333301</v>
      </c>
      <c r="AF219">
        <v>800.00713333333294</v>
      </c>
      <c r="AG219">
        <v>100.08353333333299</v>
      </c>
      <c r="AH219">
        <v>6.49155133333333E-2</v>
      </c>
      <c r="AI219">
        <v>18.954433333333299</v>
      </c>
      <c r="AJ219">
        <v>999.9</v>
      </c>
      <c r="AK219">
        <v>999.9</v>
      </c>
      <c r="AL219">
        <v>0</v>
      </c>
      <c r="AM219">
        <v>0</v>
      </c>
      <c r="AN219">
        <v>4998.6666666666697</v>
      </c>
      <c r="AO219">
        <v>0</v>
      </c>
      <c r="AP219">
        <v>2.08901</v>
      </c>
      <c r="AQ219">
        <v>-0.28618553333333302</v>
      </c>
      <c r="AR219">
        <v>416.14206666666701</v>
      </c>
      <c r="AS219">
        <v>416.106066666667</v>
      </c>
      <c r="AT219">
        <v>0.77286253333333299</v>
      </c>
      <c r="AU219">
        <v>410.00226666666703</v>
      </c>
      <c r="AV219">
        <v>14.6688666666667</v>
      </c>
      <c r="AW219">
        <v>1.5454633333333301</v>
      </c>
      <c r="AX219">
        <v>1.4681120000000001</v>
      </c>
      <c r="AY219">
        <v>13.425520000000001</v>
      </c>
      <c r="AZ219">
        <v>12.640053333333301</v>
      </c>
      <c r="BA219">
        <v>999.999866666667</v>
      </c>
      <c r="BB219">
        <v>0.89998586666666702</v>
      </c>
      <c r="BC219">
        <v>0</v>
      </c>
      <c r="BD219">
        <v>0.10001413333333301</v>
      </c>
      <c r="BE219">
        <v>0</v>
      </c>
      <c r="BF219">
        <v>26</v>
      </c>
      <c r="BG219">
        <v>16488.6933333333</v>
      </c>
      <c r="BH219">
        <v>1769186794.0999999</v>
      </c>
      <c r="BI219" t="s">
        <v>698</v>
      </c>
      <c r="BJ219">
        <v>1769186793.0999999</v>
      </c>
      <c r="BK219">
        <v>1769186794.0999999</v>
      </c>
      <c r="BL219">
        <v>7</v>
      </c>
      <c r="BM219">
        <v>4.2000000000000003E-2</v>
      </c>
      <c r="BN219">
        <v>-3.0000000000000001E-3</v>
      </c>
      <c r="BO219">
        <v>-0.876</v>
      </c>
      <c r="BP219">
        <v>0.09</v>
      </c>
      <c r="BQ219">
        <v>410</v>
      </c>
      <c r="BR219">
        <v>15</v>
      </c>
      <c r="BS219">
        <v>0.14000000000000001</v>
      </c>
      <c r="BT219">
        <v>0.1</v>
      </c>
      <c r="BU219">
        <v>-0.28185295238095198</v>
      </c>
      <c r="BV219">
        <v>-0.10005389610389601</v>
      </c>
      <c r="BW219">
        <v>2.3726986344618901E-2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0.76993009523809497</v>
      </c>
      <c r="CD219">
        <v>6.4129480519481696E-2</v>
      </c>
      <c r="CE219">
        <v>6.5421340839119197E-3</v>
      </c>
      <c r="CF219">
        <v>1</v>
      </c>
      <c r="CG219">
        <v>2</v>
      </c>
      <c r="CH219">
        <v>2</v>
      </c>
      <c r="CI219" t="s">
        <v>310</v>
      </c>
      <c r="CJ219">
        <v>3.5325500000000001</v>
      </c>
      <c r="CK219">
        <v>2.7025299999999999</v>
      </c>
      <c r="CL219">
        <v>9.7858000000000001E-2</v>
      </c>
      <c r="CM219">
        <v>9.6545500000000006E-2</v>
      </c>
      <c r="CN219">
        <v>8.7302900000000003E-2</v>
      </c>
      <c r="CO219">
        <v>8.3097000000000004E-2</v>
      </c>
      <c r="CP219">
        <v>31622.9</v>
      </c>
      <c r="CQ219">
        <v>27776.5</v>
      </c>
      <c r="CR219">
        <v>32443.7</v>
      </c>
      <c r="CS219">
        <v>30672.7</v>
      </c>
      <c r="CT219">
        <v>40095.9</v>
      </c>
      <c r="CU219">
        <v>39544.699999999997</v>
      </c>
      <c r="CV219">
        <v>47381</v>
      </c>
      <c r="CW219">
        <v>46773.9</v>
      </c>
      <c r="CX219">
        <v>2.6203799999999999</v>
      </c>
      <c r="CY219">
        <v>2.1240999999999999</v>
      </c>
      <c r="CZ219">
        <v>0</v>
      </c>
      <c r="DA219">
        <v>0</v>
      </c>
      <c r="DB219">
        <v>999.9</v>
      </c>
      <c r="DC219">
        <v>999.9</v>
      </c>
      <c r="DD219">
        <v>56.634999999999998</v>
      </c>
      <c r="DE219">
        <v>27.210999999999999</v>
      </c>
      <c r="DF219">
        <v>20.506499999999999</v>
      </c>
      <c r="DG219">
        <v>30.3902</v>
      </c>
      <c r="DH219">
        <v>17.904599999999999</v>
      </c>
      <c r="DI219">
        <v>2</v>
      </c>
      <c r="DJ219">
        <v>-0.104398</v>
      </c>
      <c r="DK219">
        <v>2.3775900000000001</v>
      </c>
      <c r="DL219">
        <v>20.186199999999999</v>
      </c>
      <c r="DM219">
        <v>5.2485600000000003</v>
      </c>
      <c r="DN219">
        <v>12.033899999999999</v>
      </c>
      <c r="DO219">
        <v>4.9670399999999999</v>
      </c>
      <c r="DP219">
        <v>3.2909999999999999</v>
      </c>
      <c r="DQ219">
        <v>9999</v>
      </c>
      <c r="DR219">
        <v>9999</v>
      </c>
      <c r="DS219">
        <v>535.1</v>
      </c>
      <c r="DT219">
        <v>9999</v>
      </c>
      <c r="DU219">
        <v>1.8710800000000001</v>
      </c>
      <c r="DV219">
        <v>1.87608</v>
      </c>
      <c r="DW219">
        <v>1.8763099999999999</v>
      </c>
      <c r="DX219">
        <v>1.8827799999999999</v>
      </c>
      <c r="DY219">
        <v>1.87561</v>
      </c>
      <c r="DZ219">
        <v>1.87466</v>
      </c>
      <c r="EA219">
        <v>1.8708</v>
      </c>
      <c r="EB219">
        <v>1.8746799999999999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-0.876</v>
      </c>
      <c r="EQ219">
        <v>8.9599999999999999E-2</v>
      </c>
      <c r="ER219">
        <v>-0.87579999999997005</v>
      </c>
      <c r="ES219">
        <v>0</v>
      </c>
      <c r="ET219">
        <v>0</v>
      </c>
      <c r="EU219">
        <v>0</v>
      </c>
      <c r="EV219">
        <v>8.9636363636364194E-2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1.1000000000000001</v>
      </c>
      <c r="FE219">
        <v>1</v>
      </c>
      <c r="FF219">
        <v>1.2402299999999999</v>
      </c>
      <c r="FG219">
        <v>2.5659200000000002</v>
      </c>
      <c r="FH219">
        <v>2.19604</v>
      </c>
      <c r="FI219">
        <v>2.66235</v>
      </c>
      <c r="FJ219">
        <v>2.4462899999999999</v>
      </c>
      <c r="FK219">
        <v>2.3071299999999999</v>
      </c>
      <c r="FL219">
        <v>31.848800000000001</v>
      </c>
      <c r="FM219">
        <v>24.1313</v>
      </c>
      <c r="FN219">
        <v>19</v>
      </c>
      <c r="FO219">
        <v>865.36599999999999</v>
      </c>
      <c r="FP219">
        <v>573.32000000000005</v>
      </c>
      <c r="FQ219">
        <v>17.864000000000001</v>
      </c>
      <c r="FR219">
        <v>25.673500000000001</v>
      </c>
      <c r="FS219">
        <v>30.0001</v>
      </c>
      <c r="FT219">
        <v>25.6462</v>
      </c>
      <c r="FU219">
        <v>25.645600000000002</v>
      </c>
      <c r="FV219">
        <v>24.906099999999999</v>
      </c>
      <c r="FW219">
        <v>31.265699999999999</v>
      </c>
      <c r="FX219">
        <v>0</v>
      </c>
      <c r="FY219">
        <v>17.898299999999999</v>
      </c>
      <c r="FZ219">
        <v>410</v>
      </c>
      <c r="GA219">
        <v>14.605399999999999</v>
      </c>
      <c r="GB219">
        <v>99.838700000000003</v>
      </c>
      <c r="GC219">
        <v>99.574100000000001</v>
      </c>
    </row>
    <row r="220" spans="1:185" x14ac:dyDescent="0.2">
      <c r="A220">
        <v>205</v>
      </c>
      <c r="B220">
        <v>1769186871.0999999</v>
      </c>
      <c r="C220">
        <v>4008.0999999046298</v>
      </c>
      <c r="D220" t="s">
        <v>709</v>
      </c>
      <c r="E220" t="s">
        <v>710</v>
      </c>
      <c r="F220">
        <v>15</v>
      </c>
      <c r="G220">
        <v>1769186863.03333</v>
      </c>
      <c r="H220">
        <f t="shared" si="39"/>
        <v>6.4669969857179029E-4</v>
      </c>
      <c r="I220">
        <v>0</v>
      </c>
      <c r="J220">
        <f t="shared" si="51"/>
        <v>-6.6972858633200852E-4</v>
      </c>
      <c r="K220">
        <f t="shared" si="40"/>
        <v>-1.7539971777902078E-2</v>
      </c>
      <c r="L220">
        <f t="shared" si="41"/>
        <v>70.291644325639879</v>
      </c>
      <c r="M220">
        <f t="shared" si="42"/>
        <v>1.5472296222762909</v>
      </c>
      <c r="N220">
        <f t="shared" si="43"/>
        <v>2.2011572458149438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26263.607168824485</v>
      </c>
      <c r="T220">
        <f t="shared" si="47"/>
        <v>999.99900000000002</v>
      </c>
      <c r="U220">
        <f t="shared" si="48"/>
        <v>842.99947499968209</v>
      </c>
      <c r="V220">
        <f t="shared" si="49"/>
        <v>0.84300031800000008</v>
      </c>
      <c r="W220">
        <f t="shared" si="50"/>
        <v>0.15870079500000001</v>
      </c>
      <c r="X220">
        <v>1</v>
      </c>
      <c r="Y220">
        <v>1769186863.03333</v>
      </c>
      <c r="Z220">
        <v>409.7002</v>
      </c>
      <c r="AA220">
        <v>410.00946666666698</v>
      </c>
      <c r="AB220">
        <v>15.44946</v>
      </c>
      <c r="AC220">
        <v>14.6535733333333</v>
      </c>
      <c r="AD220">
        <v>410.57586666666703</v>
      </c>
      <c r="AE220">
        <v>15.359806666666699</v>
      </c>
      <c r="AF220">
        <v>799.99900000000002</v>
      </c>
      <c r="AG220">
        <v>100.08306666666699</v>
      </c>
      <c r="AH220">
        <v>6.4745766666666704E-2</v>
      </c>
      <c r="AI220">
        <v>18.970739999999999</v>
      </c>
      <c r="AJ220">
        <v>999.9</v>
      </c>
      <c r="AK220">
        <v>999.9</v>
      </c>
      <c r="AL220">
        <v>0</v>
      </c>
      <c r="AM220">
        <v>0</v>
      </c>
      <c r="AN220">
        <v>5002.8</v>
      </c>
      <c r="AO220">
        <v>0</v>
      </c>
      <c r="AP220">
        <v>2.08901</v>
      </c>
      <c r="AQ220">
        <v>-0.30926720000000002</v>
      </c>
      <c r="AR220">
        <v>416.12906666666697</v>
      </c>
      <c r="AS220">
        <v>416.10673333333301</v>
      </c>
      <c r="AT220">
        <v>0.79587600000000003</v>
      </c>
      <c r="AU220">
        <v>410.00946666666698</v>
      </c>
      <c r="AV220">
        <v>14.6535733333333</v>
      </c>
      <c r="AW220">
        <v>1.5462293333333299</v>
      </c>
      <c r="AX220">
        <v>1.4665746666666699</v>
      </c>
      <c r="AY220">
        <v>13.4331</v>
      </c>
      <c r="AZ220">
        <v>12.6240733333333</v>
      </c>
      <c r="BA220">
        <v>999.99900000000002</v>
      </c>
      <c r="BB220">
        <v>0.89998940000000005</v>
      </c>
      <c r="BC220">
        <v>0</v>
      </c>
      <c r="BD220">
        <v>0.10001060000000001</v>
      </c>
      <c r="BE220">
        <v>0</v>
      </c>
      <c r="BF220">
        <v>26</v>
      </c>
      <c r="BG220">
        <v>16488.7133333333</v>
      </c>
      <c r="BH220">
        <v>1769186794.0999999</v>
      </c>
      <c r="BI220" t="s">
        <v>698</v>
      </c>
      <c r="BJ220">
        <v>1769186793.0999999</v>
      </c>
      <c r="BK220">
        <v>1769186794.0999999</v>
      </c>
      <c r="BL220">
        <v>7</v>
      </c>
      <c r="BM220">
        <v>4.2000000000000003E-2</v>
      </c>
      <c r="BN220">
        <v>-3.0000000000000001E-3</v>
      </c>
      <c r="BO220">
        <v>-0.876</v>
      </c>
      <c r="BP220">
        <v>0.09</v>
      </c>
      <c r="BQ220">
        <v>410</v>
      </c>
      <c r="BR220">
        <v>15</v>
      </c>
      <c r="BS220">
        <v>0.14000000000000001</v>
      </c>
      <c r="BT220">
        <v>0.1</v>
      </c>
      <c r="BU220">
        <v>-0.30335780952380997</v>
      </c>
      <c r="BV220">
        <v>-0.209910233766233</v>
      </c>
      <c r="BW220">
        <v>3.6572903229445501E-2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0.78893585714285697</v>
      </c>
      <c r="CD220">
        <v>0.124582051948053</v>
      </c>
      <c r="CE220">
        <v>1.4087320368688599E-2</v>
      </c>
      <c r="CF220">
        <v>0</v>
      </c>
      <c r="CG220">
        <v>1</v>
      </c>
      <c r="CH220">
        <v>2</v>
      </c>
      <c r="CI220" t="s">
        <v>301</v>
      </c>
      <c r="CJ220">
        <v>3.5325199999999999</v>
      </c>
      <c r="CK220">
        <v>2.70255</v>
      </c>
      <c r="CL220">
        <v>9.7851300000000002E-2</v>
      </c>
      <c r="CM220">
        <v>9.6539700000000006E-2</v>
      </c>
      <c r="CN220">
        <v>8.7266899999999994E-2</v>
      </c>
      <c r="CO220">
        <v>8.2931699999999997E-2</v>
      </c>
      <c r="CP220">
        <v>31622.400000000001</v>
      </c>
      <c r="CQ220">
        <v>27777.200000000001</v>
      </c>
      <c r="CR220">
        <v>32442.9</v>
      </c>
      <c r="CS220">
        <v>30673.200000000001</v>
      </c>
      <c r="CT220">
        <v>40096.5</v>
      </c>
      <c r="CU220">
        <v>39552.9</v>
      </c>
      <c r="CV220">
        <v>47379.8</v>
      </c>
      <c r="CW220">
        <v>46774.9</v>
      </c>
      <c r="CX220">
        <v>2.6204999999999998</v>
      </c>
      <c r="CY220">
        <v>2.1238000000000001</v>
      </c>
      <c r="CZ220">
        <v>0</v>
      </c>
      <c r="DA220">
        <v>0</v>
      </c>
      <c r="DB220">
        <v>999.9</v>
      </c>
      <c r="DC220">
        <v>999.9</v>
      </c>
      <c r="DD220">
        <v>56.610999999999997</v>
      </c>
      <c r="DE220">
        <v>27.231000000000002</v>
      </c>
      <c r="DF220">
        <v>20.520499999999998</v>
      </c>
      <c r="DG220">
        <v>30.450199999999999</v>
      </c>
      <c r="DH220">
        <v>17.884599999999999</v>
      </c>
      <c r="DI220">
        <v>2</v>
      </c>
      <c r="DJ220">
        <v>-0.10433099999999999</v>
      </c>
      <c r="DK220">
        <v>2.3596699999999999</v>
      </c>
      <c r="DL220">
        <v>20.186399999999999</v>
      </c>
      <c r="DM220">
        <v>5.2496400000000003</v>
      </c>
      <c r="DN220">
        <v>12.033899999999999</v>
      </c>
      <c r="DO220">
        <v>4.9670399999999999</v>
      </c>
      <c r="DP220">
        <v>3.2909999999999999</v>
      </c>
      <c r="DQ220">
        <v>9999</v>
      </c>
      <c r="DR220">
        <v>9999</v>
      </c>
      <c r="DS220">
        <v>535.1</v>
      </c>
      <c r="DT220">
        <v>9999</v>
      </c>
      <c r="DU220">
        <v>1.8711100000000001</v>
      </c>
      <c r="DV220">
        <v>1.87612</v>
      </c>
      <c r="DW220">
        <v>1.87636</v>
      </c>
      <c r="DX220">
        <v>1.88279</v>
      </c>
      <c r="DY220">
        <v>1.8756200000000001</v>
      </c>
      <c r="DZ220">
        <v>1.87469</v>
      </c>
      <c r="EA220">
        <v>1.87086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-0.876</v>
      </c>
      <c r="EQ220">
        <v>8.9700000000000002E-2</v>
      </c>
      <c r="ER220">
        <v>-0.87579999999997005</v>
      </c>
      <c r="ES220">
        <v>0</v>
      </c>
      <c r="ET220">
        <v>0</v>
      </c>
      <c r="EU220">
        <v>0</v>
      </c>
      <c r="EV220">
        <v>8.9636363636364194E-2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1.3</v>
      </c>
      <c r="FE220">
        <v>1.3</v>
      </c>
      <c r="FF220">
        <v>1.24146</v>
      </c>
      <c r="FG220">
        <v>2.5708000000000002</v>
      </c>
      <c r="FH220">
        <v>2.19604</v>
      </c>
      <c r="FI220">
        <v>2.66235</v>
      </c>
      <c r="FJ220">
        <v>2.4462899999999999</v>
      </c>
      <c r="FK220">
        <v>2.2583000000000002</v>
      </c>
      <c r="FL220">
        <v>31.870699999999999</v>
      </c>
      <c r="FM220">
        <v>24.1313</v>
      </c>
      <c r="FN220">
        <v>19</v>
      </c>
      <c r="FO220">
        <v>865.50199999999995</v>
      </c>
      <c r="FP220">
        <v>573.10400000000004</v>
      </c>
      <c r="FQ220">
        <v>17.941700000000001</v>
      </c>
      <c r="FR220">
        <v>25.6755</v>
      </c>
      <c r="FS220">
        <v>30.0001</v>
      </c>
      <c r="FT220">
        <v>25.6477</v>
      </c>
      <c r="FU220">
        <v>25.646699999999999</v>
      </c>
      <c r="FV220">
        <v>24.9071</v>
      </c>
      <c r="FW220">
        <v>31.538499999999999</v>
      </c>
      <c r="FX220">
        <v>0</v>
      </c>
      <c r="FY220">
        <v>17.956299999999999</v>
      </c>
      <c r="FZ220">
        <v>410</v>
      </c>
      <c r="GA220">
        <v>14.607900000000001</v>
      </c>
      <c r="GB220">
        <v>99.836200000000005</v>
      </c>
      <c r="GC220">
        <v>99.5762</v>
      </c>
    </row>
    <row r="221" spans="1:185" x14ac:dyDescent="0.2">
      <c r="A221">
        <v>206</v>
      </c>
      <c r="B221">
        <v>1769186886.0999999</v>
      </c>
      <c r="C221">
        <v>4023.0999999046298</v>
      </c>
      <c r="D221" t="s">
        <v>711</v>
      </c>
      <c r="E221" t="s">
        <v>712</v>
      </c>
      <c r="F221">
        <v>15</v>
      </c>
      <c r="G221">
        <v>1769186878.03333</v>
      </c>
      <c r="H221">
        <f t="shared" si="39"/>
        <v>6.5594524609413152E-4</v>
      </c>
      <c r="I221">
        <v>0</v>
      </c>
      <c r="J221">
        <f t="shared" si="51"/>
        <v>-1.2844862498490282E-3</v>
      </c>
      <c r="K221">
        <f t="shared" si="40"/>
        <v>-3.3640273136387185E-2</v>
      </c>
      <c r="L221">
        <f t="shared" si="41"/>
        <v>70.130781757730887</v>
      </c>
      <c r="M221">
        <f t="shared" si="42"/>
        <v>1.5457081990422259</v>
      </c>
      <c r="N221">
        <f t="shared" si="43"/>
        <v>2.2040367443527527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26227.684736007395</v>
      </c>
      <c r="T221">
        <f t="shared" si="47"/>
        <v>999.99739999999997</v>
      </c>
      <c r="U221">
        <f t="shared" si="48"/>
        <v>842.99805419936035</v>
      </c>
      <c r="V221">
        <f t="shared" si="49"/>
        <v>0.84300024600000001</v>
      </c>
      <c r="W221">
        <f t="shared" si="50"/>
        <v>0.15870061500000002</v>
      </c>
      <c r="X221">
        <v>1</v>
      </c>
      <c r="Y221">
        <v>1769186878.03333</v>
      </c>
      <c r="Z221">
        <v>409.69353333333299</v>
      </c>
      <c r="AA221">
        <v>409.98739999999998</v>
      </c>
      <c r="AB221">
        <v>15.434053333333299</v>
      </c>
      <c r="AC221">
        <v>14.6267866666667</v>
      </c>
      <c r="AD221">
        <v>410.56926666666698</v>
      </c>
      <c r="AE221">
        <v>15.3444</v>
      </c>
      <c r="AF221">
        <v>800.00993333333304</v>
      </c>
      <c r="AG221">
        <v>100.0844</v>
      </c>
      <c r="AH221">
        <v>6.4806799999999998E-2</v>
      </c>
      <c r="AI221">
        <v>18.991686666666698</v>
      </c>
      <c r="AJ221">
        <v>999.9</v>
      </c>
      <c r="AK221">
        <v>999.9</v>
      </c>
      <c r="AL221">
        <v>0</v>
      </c>
      <c r="AM221">
        <v>0</v>
      </c>
      <c r="AN221">
        <v>4997.1333333333296</v>
      </c>
      <c r="AO221">
        <v>0</v>
      </c>
      <c r="AP221">
        <v>2.08901</v>
      </c>
      <c r="AQ221">
        <v>-0.2938598</v>
      </c>
      <c r="AR221">
        <v>416.11579999999998</v>
      </c>
      <c r="AS221">
        <v>416.07313333333298</v>
      </c>
      <c r="AT221">
        <v>0.80726279999999995</v>
      </c>
      <c r="AU221">
        <v>409.98739999999998</v>
      </c>
      <c r="AV221">
        <v>14.6267866666667</v>
      </c>
      <c r="AW221">
        <v>1.5447059999999999</v>
      </c>
      <c r="AX221">
        <v>1.4639133333333301</v>
      </c>
      <c r="AY221">
        <v>13.4180266666667</v>
      </c>
      <c r="AZ221">
        <v>12.5963666666667</v>
      </c>
      <c r="BA221">
        <v>999.99739999999997</v>
      </c>
      <c r="BB221">
        <v>0.89999180000000001</v>
      </c>
      <c r="BC221">
        <v>0</v>
      </c>
      <c r="BD221">
        <v>0.10000820000000001</v>
      </c>
      <c r="BE221">
        <v>0</v>
      </c>
      <c r="BF221">
        <v>26</v>
      </c>
      <c r="BG221">
        <v>16488.7133333333</v>
      </c>
      <c r="BH221">
        <v>1769186794.0999999</v>
      </c>
      <c r="BI221" t="s">
        <v>698</v>
      </c>
      <c r="BJ221">
        <v>1769186793.0999999</v>
      </c>
      <c r="BK221">
        <v>1769186794.0999999</v>
      </c>
      <c r="BL221">
        <v>7</v>
      </c>
      <c r="BM221">
        <v>4.2000000000000003E-2</v>
      </c>
      <c r="BN221">
        <v>-3.0000000000000001E-3</v>
      </c>
      <c r="BO221">
        <v>-0.876</v>
      </c>
      <c r="BP221">
        <v>0.09</v>
      </c>
      <c r="BQ221">
        <v>410</v>
      </c>
      <c r="BR221">
        <v>15</v>
      </c>
      <c r="BS221">
        <v>0.14000000000000001</v>
      </c>
      <c r="BT221">
        <v>0.1</v>
      </c>
      <c r="BU221">
        <v>-0.30892214285714298</v>
      </c>
      <c r="BV221">
        <v>0.145208103896104</v>
      </c>
      <c r="BW221">
        <v>3.1650173513833701E-2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0.80876628571428599</v>
      </c>
      <c r="CD221">
        <v>-2.8316649350647101E-2</v>
      </c>
      <c r="CE221">
        <v>4.21374686950606E-3</v>
      </c>
      <c r="CF221">
        <v>1</v>
      </c>
      <c r="CG221">
        <v>2</v>
      </c>
      <c r="CH221">
        <v>2</v>
      </c>
      <c r="CI221" t="s">
        <v>310</v>
      </c>
      <c r="CJ221">
        <v>3.5325199999999999</v>
      </c>
      <c r="CK221">
        <v>2.7027899999999998</v>
      </c>
      <c r="CL221">
        <v>9.7850800000000002E-2</v>
      </c>
      <c r="CM221">
        <v>9.6541699999999994E-2</v>
      </c>
      <c r="CN221">
        <v>8.7208300000000002E-2</v>
      </c>
      <c r="CO221">
        <v>8.2920400000000005E-2</v>
      </c>
      <c r="CP221">
        <v>31622.799999999999</v>
      </c>
      <c r="CQ221">
        <v>27777.200000000001</v>
      </c>
      <c r="CR221">
        <v>32443.4</v>
      </c>
      <c r="CS221">
        <v>30673.3</v>
      </c>
      <c r="CT221">
        <v>40099.800000000003</v>
      </c>
      <c r="CU221">
        <v>39553.5</v>
      </c>
      <c r="CV221">
        <v>47380.4</v>
      </c>
      <c r="CW221">
        <v>46775</v>
      </c>
      <c r="CX221">
        <v>2.6204000000000001</v>
      </c>
      <c r="CY221">
        <v>2.1240800000000002</v>
      </c>
      <c r="CZ221">
        <v>0</v>
      </c>
      <c r="DA221">
        <v>0</v>
      </c>
      <c r="DB221">
        <v>999.9</v>
      </c>
      <c r="DC221">
        <v>999.9</v>
      </c>
      <c r="DD221">
        <v>56.561999999999998</v>
      </c>
      <c r="DE221">
        <v>27.231000000000002</v>
      </c>
      <c r="DF221">
        <v>20.504799999999999</v>
      </c>
      <c r="DG221">
        <v>30.690200000000001</v>
      </c>
      <c r="DH221">
        <v>17.864599999999999</v>
      </c>
      <c r="DI221">
        <v>2</v>
      </c>
      <c r="DJ221">
        <v>-0.104075</v>
      </c>
      <c r="DK221">
        <v>2.4121000000000001</v>
      </c>
      <c r="DL221">
        <v>20.185199999999998</v>
      </c>
      <c r="DM221">
        <v>5.2503500000000001</v>
      </c>
      <c r="DN221">
        <v>12.033899999999999</v>
      </c>
      <c r="DO221">
        <v>4.9671599999999998</v>
      </c>
      <c r="DP221">
        <v>3.2909999999999999</v>
      </c>
      <c r="DQ221">
        <v>9999</v>
      </c>
      <c r="DR221">
        <v>9999</v>
      </c>
      <c r="DS221">
        <v>535.1</v>
      </c>
      <c r="DT221">
        <v>9999</v>
      </c>
      <c r="DU221">
        <v>1.8711599999999999</v>
      </c>
      <c r="DV221">
        <v>1.8761399999999999</v>
      </c>
      <c r="DW221">
        <v>1.8763700000000001</v>
      </c>
      <c r="DX221">
        <v>1.88279</v>
      </c>
      <c r="DY221">
        <v>1.87561</v>
      </c>
      <c r="DZ221">
        <v>1.87469</v>
      </c>
      <c r="EA221">
        <v>1.87086</v>
      </c>
      <c r="EB221">
        <v>1.8747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-0.876</v>
      </c>
      <c r="EQ221">
        <v>8.9599999999999999E-2</v>
      </c>
      <c r="ER221">
        <v>-0.87579999999997005</v>
      </c>
      <c r="ES221">
        <v>0</v>
      </c>
      <c r="ET221">
        <v>0</v>
      </c>
      <c r="EU221">
        <v>0</v>
      </c>
      <c r="EV221">
        <v>8.9636363636364194E-2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1.6</v>
      </c>
      <c r="FE221">
        <v>1.5</v>
      </c>
      <c r="FF221">
        <v>1.2402299999999999</v>
      </c>
      <c r="FG221">
        <v>2.5708000000000002</v>
      </c>
      <c r="FH221">
        <v>2.19604</v>
      </c>
      <c r="FI221">
        <v>2.66235</v>
      </c>
      <c r="FJ221">
        <v>2.4462899999999999</v>
      </c>
      <c r="FK221">
        <v>2.33521</v>
      </c>
      <c r="FL221">
        <v>31.870699999999999</v>
      </c>
      <c r="FM221">
        <v>24.14</v>
      </c>
      <c r="FN221">
        <v>19</v>
      </c>
      <c r="FO221">
        <v>865.41899999999998</v>
      </c>
      <c r="FP221">
        <v>573.34199999999998</v>
      </c>
      <c r="FQ221">
        <v>17.972799999999999</v>
      </c>
      <c r="FR221">
        <v>25.6755</v>
      </c>
      <c r="FS221">
        <v>30.0002</v>
      </c>
      <c r="FT221">
        <v>25.648299999999999</v>
      </c>
      <c r="FU221">
        <v>25.648900000000001</v>
      </c>
      <c r="FV221">
        <v>24.9072</v>
      </c>
      <c r="FW221">
        <v>31.538499999999999</v>
      </c>
      <c r="FX221">
        <v>0</v>
      </c>
      <c r="FY221">
        <v>17.971</v>
      </c>
      <c r="FZ221">
        <v>410</v>
      </c>
      <c r="GA221">
        <v>14.607900000000001</v>
      </c>
      <c r="GB221">
        <v>99.837599999999995</v>
      </c>
      <c r="GC221">
        <v>99.576499999999996</v>
      </c>
    </row>
    <row r="222" spans="1:185" x14ac:dyDescent="0.2">
      <c r="A222">
        <v>207</v>
      </c>
      <c r="B222">
        <v>1769186901.0999999</v>
      </c>
      <c r="C222">
        <v>4038.0999999046298</v>
      </c>
      <c r="D222" t="s">
        <v>713</v>
      </c>
      <c r="E222" t="s">
        <v>714</v>
      </c>
      <c r="F222">
        <v>15</v>
      </c>
      <c r="G222">
        <v>1769186893.03333</v>
      </c>
      <c r="H222">
        <f t="shared" si="39"/>
        <v>6.483485258251809E-4</v>
      </c>
      <c r="I222">
        <v>0</v>
      </c>
      <c r="J222">
        <f t="shared" si="51"/>
        <v>-7.4007824140191498E-4</v>
      </c>
      <c r="K222">
        <f t="shared" si="40"/>
        <v>-1.938240614563504E-2</v>
      </c>
      <c r="L222">
        <f t="shared" si="41"/>
        <v>70.009805164797285</v>
      </c>
      <c r="M222">
        <f t="shared" si="42"/>
        <v>1.5446262966166935</v>
      </c>
      <c r="N222">
        <f t="shared" si="43"/>
        <v>2.2062999503866223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26272.571174967281</v>
      </c>
      <c r="T222">
        <f t="shared" si="47"/>
        <v>999.99839999999995</v>
      </c>
      <c r="U222">
        <f t="shared" si="48"/>
        <v>842.99879319977276</v>
      </c>
      <c r="V222">
        <f t="shared" si="49"/>
        <v>0.84300014199999995</v>
      </c>
      <c r="W222">
        <f t="shared" si="50"/>
        <v>0.15870035499999996</v>
      </c>
      <c r="X222">
        <v>1</v>
      </c>
      <c r="Y222">
        <v>1769186893.03333</v>
      </c>
      <c r="Z222">
        <v>409.69206666666702</v>
      </c>
      <c r="AA222">
        <v>409.999866666667</v>
      </c>
      <c r="AB222">
        <v>15.423306666666701</v>
      </c>
      <c r="AC222">
        <v>14.6253733333333</v>
      </c>
      <c r="AD222">
        <v>410.56786666666699</v>
      </c>
      <c r="AE222">
        <v>15.333679999999999</v>
      </c>
      <c r="AF222">
        <v>800.00273333333303</v>
      </c>
      <c r="AG222">
        <v>100.0838</v>
      </c>
      <c r="AH222">
        <v>6.5041619999999994E-2</v>
      </c>
      <c r="AI222">
        <v>19.008133333333301</v>
      </c>
      <c r="AJ222">
        <v>999.9</v>
      </c>
      <c r="AK222">
        <v>999.9</v>
      </c>
      <c r="AL222">
        <v>0</v>
      </c>
      <c r="AM222">
        <v>0</v>
      </c>
      <c r="AN222">
        <v>5004.8</v>
      </c>
      <c r="AO222">
        <v>0</v>
      </c>
      <c r="AP222">
        <v>2.08901</v>
      </c>
      <c r="AQ222">
        <v>-0.30777793333333298</v>
      </c>
      <c r="AR222">
        <v>416.109733333333</v>
      </c>
      <c r="AS222">
        <v>416.08519999999999</v>
      </c>
      <c r="AT222">
        <v>0.79794473333333304</v>
      </c>
      <c r="AU222">
        <v>409.999866666667</v>
      </c>
      <c r="AV222">
        <v>14.6253733333333</v>
      </c>
      <c r="AW222">
        <v>1.5436253333333301</v>
      </c>
      <c r="AX222">
        <v>1.4637646666666699</v>
      </c>
      <c r="AY222">
        <v>13.407253333333299</v>
      </c>
      <c r="AZ222">
        <v>12.594806666666701</v>
      </c>
      <c r="BA222">
        <v>999.99839999999995</v>
      </c>
      <c r="BB222">
        <v>0.89999526666666696</v>
      </c>
      <c r="BC222">
        <v>0</v>
      </c>
      <c r="BD222">
        <v>0.100004733333333</v>
      </c>
      <c r="BE222">
        <v>0</v>
      </c>
      <c r="BF222">
        <v>26</v>
      </c>
      <c r="BG222">
        <v>16488.753333333301</v>
      </c>
      <c r="BH222">
        <v>1769186794.0999999</v>
      </c>
      <c r="BI222" t="s">
        <v>698</v>
      </c>
      <c r="BJ222">
        <v>1769186793.0999999</v>
      </c>
      <c r="BK222">
        <v>1769186794.0999999</v>
      </c>
      <c r="BL222">
        <v>7</v>
      </c>
      <c r="BM222">
        <v>4.2000000000000003E-2</v>
      </c>
      <c r="BN222">
        <v>-3.0000000000000001E-3</v>
      </c>
      <c r="BO222">
        <v>-0.876</v>
      </c>
      <c r="BP222">
        <v>0.09</v>
      </c>
      <c r="BQ222">
        <v>410</v>
      </c>
      <c r="BR222">
        <v>15</v>
      </c>
      <c r="BS222">
        <v>0.14000000000000001</v>
      </c>
      <c r="BT222">
        <v>0.1</v>
      </c>
      <c r="BU222">
        <v>-0.30602299999999999</v>
      </c>
      <c r="BV222">
        <v>1.7807532467532701E-2</v>
      </c>
      <c r="BW222">
        <v>1.4656483674957199E-2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0.80069061904761896</v>
      </c>
      <c r="CD222">
        <v>-3.6773454545453201E-2</v>
      </c>
      <c r="CE222">
        <v>3.8789319157799401E-3</v>
      </c>
      <c r="CF222">
        <v>1</v>
      </c>
      <c r="CG222">
        <v>2</v>
      </c>
      <c r="CH222">
        <v>2</v>
      </c>
      <c r="CI222" t="s">
        <v>310</v>
      </c>
      <c r="CJ222">
        <v>3.5325199999999999</v>
      </c>
      <c r="CK222">
        <v>2.7026400000000002</v>
      </c>
      <c r="CL222">
        <v>9.7849199999999997E-2</v>
      </c>
      <c r="CM222">
        <v>9.6545199999999998E-2</v>
      </c>
      <c r="CN222">
        <v>8.7146100000000004E-2</v>
      </c>
      <c r="CO222">
        <v>8.2915299999999997E-2</v>
      </c>
      <c r="CP222">
        <v>31621.7</v>
      </c>
      <c r="CQ222">
        <v>27776.9</v>
      </c>
      <c r="CR222">
        <v>32442.2</v>
      </c>
      <c r="CS222">
        <v>30673.1</v>
      </c>
      <c r="CT222">
        <v>40101.300000000003</v>
      </c>
      <c r="CU222">
        <v>39553.4</v>
      </c>
      <c r="CV222">
        <v>47379</v>
      </c>
      <c r="CW222">
        <v>46774.7</v>
      </c>
      <c r="CX222">
        <v>2.6204200000000002</v>
      </c>
      <c r="CY222">
        <v>2.1238199999999998</v>
      </c>
      <c r="CZ222">
        <v>0</v>
      </c>
      <c r="DA222">
        <v>0</v>
      </c>
      <c r="DB222">
        <v>999.9</v>
      </c>
      <c r="DC222">
        <v>999.9</v>
      </c>
      <c r="DD222">
        <v>56.537999999999997</v>
      </c>
      <c r="DE222">
        <v>27.241</v>
      </c>
      <c r="DF222">
        <v>20.5078</v>
      </c>
      <c r="DG222">
        <v>30.630199999999999</v>
      </c>
      <c r="DH222">
        <v>17.916699999999999</v>
      </c>
      <c r="DI222">
        <v>2</v>
      </c>
      <c r="DJ222">
        <v>-0.101311</v>
      </c>
      <c r="DK222">
        <v>2.9984199999999999</v>
      </c>
      <c r="DL222">
        <v>20.1736</v>
      </c>
      <c r="DM222">
        <v>5.2501199999999999</v>
      </c>
      <c r="DN222">
        <v>12.033899999999999</v>
      </c>
      <c r="DO222">
        <v>4.9669999999999996</v>
      </c>
      <c r="DP222">
        <v>3.2909999999999999</v>
      </c>
      <c r="DQ222">
        <v>9999</v>
      </c>
      <c r="DR222">
        <v>9999</v>
      </c>
      <c r="DS222">
        <v>535.1</v>
      </c>
      <c r="DT222">
        <v>9999</v>
      </c>
      <c r="DU222">
        <v>1.8711800000000001</v>
      </c>
      <c r="DV222">
        <v>1.8761399999999999</v>
      </c>
      <c r="DW222">
        <v>1.8763700000000001</v>
      </c>
      <c r="DX222">
        <v>1.88279</v>
      </c>
      <c r="DY222">
        <v>1.87561</v>
      </c>
      <c r="DZ222">
        <v>1.87469</v>
      </c>
      <c r="EA222">
        <v>1.8708499999999999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-0.876</v>
      </c>
      <c r="EQ222">
        <v>8.9700000000000002E-2</v>
      </c>
      <c r="ER222">
        <v>-0.87579999999997005</v>
      </c>
      <c r="ES222">
        <v>0</v>
      </c>
      <c r="ET222">
        <v>0</v>
      </c>
      <c r="EU222">
        <v>0</v>
      </c>
      <c r="EV222">
        <v>8.9636363636364194E-2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1.8</v>
      </c>
      <c r="FE222">
        <v>1.8</v>
      </c>
      <c r="FF222">
        <v>1.2402299999999999</v>
      </c>
      <c r="FG222">
        <v>2.5695800000000002</v>
      </c>
      <c r="FH222">
        <v>2.19604</v>
      </c>
      <c r="FI222">
        <v>2.66235</v>
      </c>
      <c r="FJ222">
        <v>2.4462899999999999</v>
      </c>
      <c r="FK222">
        <v>2.3046899999999999</v>
      </c>
      <c r="FL222">
        <v>31.870699999999999</v>
      </c>
      <c r="FM222">
        <v>24.1313</v>
      </c>
      <c r="FN222">
        <v>19</v>
      </c>
      <c r="FO222">
        <v>865.45500000000004</v>
      </c>
      <c r="FP222">
        <v>573.14300000000003</v>
      </c>
      <c r="FQ222">
        <v>17.734300000000001</v>
      </c>
      <c r="FR222">
        <v>25.6755</v>
      </c>
      <c r="FS222">
        <v>30.000699999999998</v>
      </c>
      <c r="FT222">
        <v>25.6495</v>
      </c>
      <c r="FU222">
        <v>25.648900000000001</v>
      </c>
      <c r="FV222">
        <v>24.905799999999999</v>
      </c>
      <c r="FW222">
        <v>31.538499999999999</v>
      </c>
      <c r="FX222">
        <v>0</v>
      </c>
      <c r="FY222">
        <v>17.7242</v>
      </c>
      <c r="FZ222">
        <v>410</v>
      </c>
      <c r="GA222">
        <v>14.607900000000001</v>
      </c>
      <c r="GB222">
        <v>99.834299999999999</v>
      </c>
      <c r="GC222">
        <v>99.575699999999998</v>
      </c>
    </row>
    <row r="223" spans="1:185" x14ac:dyDescent="0.2">
      <c r="A223">
        <v>208</v>
      </c>
      <c r="B223">
        <v>1769186916.0999999</v>
      </c>
      <c r="C223">
        <v>4053.0999999046298</v>
      </c>
      <c r="D223" t="s">
        <v>715</v>
      </c>
      <c r="E223" t="s">
        <v>716</v>
      </c>
      <c r="F223">
        <v>15</v>
      </c>
      <c r="G223">
        <v>1769186908.03333</v>
      </c>
      <c r="H223">
        <f t="shared" si="39"/>
        <v>6.3736600829002025E-4</v>
      </c>
      <c r="I223">
        <v>0</v>
      </c>
      <c r="J223">
        <f t="shared" si="51"/>
        <v>-1.1143680133555121E-3</v>
      </c>
      <c r="K223">
        <f t="shared" si="40"/>
        <v>-2.9184932379103856E-2</v>
      </c>
      <c r="L223">
        <f t="shared" si="41"/>
        <v>69.968546533032324</v>
      </c>
      <c r="M223">
        <f t="shared" si="42"/>
        <v>1.5431618979209616</v>
      </c>
      <c r="N223">
        <f t="shared" si="43"/>
        <v>2.2055080095060013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26229.206926452334</v>
      </c>
      <c r="T223">
        <f t="shared" si="47"/>
        <v>999.99753333333297</v>
      </c>
      <c r="U223">
        <f t="shared" si="48"/>
        <v>842.99800259979725</v>
      </c>
      <c r="V223">
        <f t="shared" si="49"/>
        <v>0.84300008199999987</v>
      </c>
      <c r="W223">
        <f t="shared" si="50"/>
        <v>0.15870020499999998</v>
      </c>
      <c r="X223">
        <v>1</v>
      </c>
      <c r="Y223">
        <v>1769186908.03333</v>
      </c>
      <c r="Z223">
        <v>409.70639999999997</v>
      </c>
      <c r="AA223">
        <v>409.99633333333298</v>
      </c>
      <c r="AB223">
        <v>15.4088333333333</v>
      </c>
      <c r="AC223">
        <v>14.624406666666699</v>
      </c>
      <c r="AD223">
        <v>410.58213333333299</v>
      </c>
      <c r="AE223">
        <v>15.319179999999999</v>
      </c>
      <c r="AF223">
        <v>800.00459999999998</v>
      </c>
      <c r="AG223">
        <v>100.08306666666699</v>
      </c>
      <c r="AH223">
        <v>6.4807253333333301E-2</v>
      </c>
      <c r="AI223">
        <v>19.002379999999999</v>
      </c>
      <c r="AJ223">
        <v>999.9</v>
      </c>
      <c r="AK223">
        <v>999.9</v>
      </c>
      <c r="AL223">
        <v>0</v>
      </c>
      <c r="AM223">
        <v>0</v>
      </c>
      <c r="AN223">
        <v>4997.6000000000004</v>
      </c>
      <c r="AO223">
        <v>0</v>
      </c>
      <c r="AP223">
        <v>2.08901</v>
      </c>
      <c r="AQ223">
        <v>-0.29004099999999999</v>
      </c>
      <c r="AR223">
        <v>416.11813333333299</v>
      </c>
      <c r="AS223">
        <v>416.08126666666698</v>
      </c>
      <c r="AT223">
        <v>0.78441539999999998</v>
      </c>
      <c r="AU223">
        <v>409.99633333333298</v>
      </c>
      <c r="AV223">
        <v>14.624406666666699</v>
      </c>
      <c r="AW223">
        <v>1.54216466666667</v>
      </c>
      <c r="AX223">
        <v>1.4636579999999999</v>
      </c>
      <c r="AY223">
        <v>13.3927266666667</v>
      </c>
      <c r="AZ223">
        <v>12.5937066666667</v>
      </c>
      <c r="BA223">
        <v>999.99753333333297</v>
      </c>
      <c r="BB223">
        <v>0.89999726666666702</v>
      </c>
      <c r="BC223">
        <v>0</v>
      </c>
      <c r="BD223">
        <v>0.100002733333333</v>
      </c>
      <c r="BE223">
        <v>0</v>
      </c>
      <c r="BF223">
        <v>26</v>
      </c>
      <c r="BG223">
        <v>16488.746666666699</v>
      </c>
      <c r="BH223">
        <v>1769186794.0999999</v>
      </c>
      <c r="BI223" t="s">
        <v>698</v>
      </c>
      <c r="BJ223">
        <v>1769186793.0999999</v>
      </c>
      <c r="BK223">
        <v>1769186794.0999999</v>
      </c>
      <c r="BL223">
        <v>7</v>
      </c>
      <c r="BM223">
        <v>4.2000000000000003E-2</v>
      </c>
      <c r="BN223">
        <v>-3.0000000000000001E-3</v>
      </c>
      <c r="BO223">
        <v>-0.876</v>
      </c>
      <c r="BP223">
        <v>0.09</v>
      </c>
      <c r="BQ223">
        <v>410</v>
      </c>
      <c r="BR223">
        <v>15</v>
      </c>
      <c r="BS223">
        <v>0.14000000000000001</v>
      </c>
      <c r="BT223">
        <v>0.1</v>
      </c>
      <c r="BU223">
        <v>-0.292284285714286</v>
      </c>
      <c r="BV223">
        <v>8.2098077922077906E-2</v>
      </c>
      <c r="BW223">
        <v>1.94749121500381E-2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0.787390095238095</v>
      </c>
      <c r="CD223">
        <v>-5.42692987012992E-2</v>
      </c>
      <c r="CE223">
        <v>5.6712358517494099E-3</v>
      </c>
      <c r="CF223">
        <v>1</v>
      </c>
      <c r="CG223">
        <v>2</v>
      </c>
      <c r="CH223">
        <v>2</v>
      </c>
      <c r="CI223" t="s">
        <v>310</v>
      </c>
      <c r="CJ223">
        <v>3.5325099999999998</v>
      </c>
      <c r="CK223">
        <v>2.70262</v>
      </c>
      <c r="CL223">
        <v>9.7848500000000005E-2</v>
      </c>
      <c r="CM223">
        <v>9.6536200000000003E-2</v>
      </c>
      <c r="CN223">
        <v>8.7079900000000002E-2</v>
      </c>
      <c r="CO223">
        <v>8.2907099999999997E-2</v>
      </c>
      <c r="CP223">
        <v>31622.7</v>
      </c>
      <c r="CQ223">
        <v>27777.5</v>
      </c>
      <c r="CR223">
        <v>32443.200000000001</v>
      </c>
      <c r="CS223">
        <v>30673.5</v>
      </c>
      <c r="CT223">
        <v>40105.300000000003</v>
      </c>
      <c r="CU223">
        <v>39554.400000000001</v>
      </c>
      <c r="CV223">
        <v>47380.1</v>
      </c>
      <c r="CW223">
        <v>46775.5</v>
      </c>
      <c r="CX223">
        <v>2.62018</v>
      </c>
      <c r="CY223">
        <v>2.1238199999999998</v>
      </c>
      <c r="CZ223">
        <v>0</v>
      </c>
      <c r="DA223">
        <v>0</v>
      </c>
      <c r="DB223">
        <v>999.9</v>
      </c>
      <c r="DC223">
        <v>999.9</v>
      </c>
      <c r="DD223">
        <v>56.512999999999998</v>
      </c>
      <c r="DE223">
        <v>27.260999999999999</v>
      </c>
      <c r="DF223">
        <v>20.522099999999998</v>
      </c>
      <c r="DG223">
        <v>30.690200000000001</v>
      </c>
      <c r="DH223">
        <v>17.868600000000001</v>
      </c>
      <c r="DI223">
        <v>2</v>
      </c>
      <c r="DJ223">
        <v>-0.10310999999999999</v>
      </c>
      <c r="DK223">
        <v>2.6887400000000001</v>
      </c>
      <c r="DL223">
        <v>20.180099999999999</v>
      </c>
      <c r="DM223">
        <v>5.2503500000000001</v>
      </c>
      <c r="DN223">
        <v>12.033899999999999</v>
      </c>
      <c r="DO223">
        <v>4.9671200000000004</v>
      </c>
      <c r="DP223">
        <v>3.2909999999999999</v>
      </c>
      <c r="DQ223">
        <v>9999</v>
      </c>
      <c r="DR223">
        <v>9999</v>
      </c>
      <c r="DS223">
        <v>535.1</v>
      </c>
      <c r="DT223">
        <v>9999</v>
      </c>
      <c r="DU223">
        <v>1.8711</v>
      </c>
      <c r="DV223">
        <v>1.8760699999999999</v>
      </c>
      <c r="DW223">
        <v>1.87632</v>
      </c>
      <c r="DX223">
        <v>1.8827799999999999</v>
      </c>
      <c r="DY223">
        <v>1.87561</v>
      </c>
      <c r="DZ223">
        <v>1.8746799999999999</v>
      </c>
      <c r="EA223">
        <v>1.8707800000000001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-0.876</v>
      </c>
      <c r="EQ223">
        <v>8.9700000000000002E-2</v>
      </c>
      <c r="ER223">
        <v>-0.87579999999997005</v>
      </c>
      <c r="ES223">
        <v>0</v>
      </c>
      <c r="ET223">
        <v>0</v>
      </c>
      <c r="EU223">
        <v>0</v>
      </c>
      <c r="EV223">
        <v>8.9636363636364194E-2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2</v>
      </c>
      <c r="FE223">
        <v>2</v>
      </c>
      <c r="FF223">
        <v>1.24146</v>
      </c>
      <c r="FG223">
        <v>2.5756800000000002</v>
      </c>
      <c r="FH223">
        <v>2.19604</v>
      </c>
      <c r="FI223">
        <v>2.66235</v>
      </c>
      <c r="FJ223">
        <v>2.4462899999999999</v>
      </c>
      <c r="FK223">
        <v>2.2949199999999998</v>
      </c>
      <c r="FL223">
        <v>31.870699999999999</v>
      </c>
      <c r="FM223">
        <v>24.14</v>
      </c>
      <c r="FN223">
        <v>19</v>
      </c>
      <c r="FO223">
        <v>865.24800000000005</v>
      </c>
      <c r="FP223">
        <v>573.16700000000003</v>
      </c>
      <c r="FQ223">
        <v>17.7044</v>
      </c>
      <c r="FR223">
        <v>25.6755</v>
      </c>
      <c r="FS223">
        <v>29.999700000000001</v>
      </c>
      <c r="FT223">
        <v>25.650500000000001</v>
      </c>
      <c r="FU223">
        <v>25.651</v>
      </c>
      <c r="FV223">
        <v>24.907399999999999</v>
      </c>
      <c r="FW223">
        <v>31.538499999999999</v>
      </c>
      <c r="FX223">
        <v>0</v>
      </c>
      <c r="FY223">
        <v>17.724599999999999</v>
      </c>
      <c r="FZ223">
        <v>410</v>
      </c>
      <c r="GA223">
        <v>14.607900000000001</v>
      </c>
      <c r="GB223">
        <v>99.837000000000003</v>
      </c>
      <c r="GC223">
        <v>99.577200000000005</v>
      </c>
    </row>
    <row r="224" spans="1:185" x14ac:dyDescent="0.2">
      <c r="A224">
        <v>209</v>
      </c>
      <c r="B224">
        <v>1769186931.0999999</v>
      </c>
      <c r="C224">
        <v>4068.0999999046298</v>
      </c>
      <c r="D224" t="s">
        <v>717</v>
      </c>
      <c r="E224" t="s">
        <v>718</v>
      </c>
      <c r="F224">
        <v>15</v>
      </c>
      <c r="G224">
        <v>1769186923.03333</v>
      </c>
      <c r="H224">
        <f t="shared" si="39"/>
        <v>6.3098243290856271E-4</v>
      </c>
      <c r="I224">
        <v>0</v>
      </c>
      <c r="J224">
        <f t="shared" si="51"/>
        <v>-6.8833821960103271E-4</v>
      </c>
      <c r="K224">
        <f t="shared" si="40"/>
        <v>-1.802735196294614E-2</v>
      </c>
      <c r="L224">
        <f t="shared" si="41"/>
        <v>69.965616575060182</v>
      </c>
      <c r="M224">
        <f t="shared" si="42"/>
        <v>1.5422051991146601</v>
      </c>
      <c r="N224">
        <f t="shared" si="43"/>
        <v>2.2042329855839391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26263.49277440834</v>
      </c>
      <c r="T224">
        <f t="shared" si="47"/>
        <v>1000.0018</v>
      </c>
      <c r="U224">
        <f t="shared" si="48"/>
        <v>843.00149339995619</v>
      </c>
      <c r="V224">
        <f t="shared" si="49"/>
        <v>0.84299997599999943</v>
      </c>
      <c r="W224">
        <f t="shared" si="50"/>
        <v>0.15870019983999986</v>
      </c>
      <c r="X224">
        <v>1</v>
      </c>
      <c r="Y224">
        <v>1769186923.03333</v>
      </c>
      <c r="Z224">
        <v>409.69466666666699</v>
      </c>
      <c r="AA224">
        <v>409.99526666666702</v>
      </c>
      <c r="AB224">
        <v>15.3991133333333</v>
      </c>
      <c r="AC224">
        <v>14.622540000000001</v>
      </c>
      <c r="AD224">
        <v>410.57040000000001</v>
      </c>
      <c r="AE224">
        <v>15.3095</v>
      </c>
      <c r="AF224">
        <v>800.00926666666601</v>
      </c>
      <c r="AG224">
        <v>100.084133333333</v>
      </c>
      <c r="AH224">
        <v>6.4827566666666697E-2</v>
      </c>
      <c r="AI224">
        <v>18.993113333333302</v>
      </c>
      <c r="AJ224">
        <v>999.9</v>
      </c>
      <c r="AK224">
        <v>999.9</v>
      </c>
      <c r="AL224">
        <v>0</v>
      </c>
      <c r="AM224">
        <v>0</v>
      </c>
      <c r="AN224">
        <v>5003.0666666666702</v>
      </c>
      <c r="AO224">
        <v>0</v>
      </c>
      <c r="AP224">
        <v>2.08901</v>
      </c>
      <c r="AQ224">
        <v>-0.300773133333333</v>
      </c>
      <c r="AR224">
        <v>416.10233333333298</v>
      </c>
      <c r="AS224">
        <v>416.07960000000003</v>
      </c>
      <c r="AT224">
        <v>0.77657359999999998</v>
      </c>
      <c r="AU224">
        <v>409.99526666666702</v>
      </c>
      <c r="AV224">
        <v>14.622540000000001</v>
      </c>
      <c r="AW224">
        <v>1.54120733333333</v>
      </c>
      <c r="AX224">
        <v>1.4634846666666701</v>
      </c>
      <c r="AY224">
        <v>13.383226666666699</v>
      </c>
      <c r="AZ224">
        <v>12.59192</v>
      </c>
      <c r="BA224">
        <v>1000.0018</v>
      </c>
      <c r="BB224">
        <v>0.89999693333333297</v>
      </c>
      <c r="BC224">
        <v>0</v>
      </c>
      <c r="BD224">
        <v>0.100002933333333</v>
      </c>
      <c r="BE224">
        <v>0</v>
      </c>
      <c r="BF224">
        <v>26</v>
      </c>
      <c r="BG224">
        <v>16488.8</v>
      </c>
      <c r="BH224">
        <v>1769186794.0999999</v>
      </c>
      <c r="BI224" t="s">
        <v>698</v>
      </c>
      <c r="BJ224">
        <v>1769186793.0999999</v>
      </c>
      <c r="BK224">
        <v>1769186794.0999999</v>
      </c>
      <c r="BL224">
        <v>7</v>
      </c>
      <c r="BM224">
        <v>4.2000000000000003E-2</v>
      </c>
      <c r="BN224">
        <v>-3.0000000000000001E-3</v>
      </c>
      <c r="BO224">
        <v>-0.876</v>
      </c>
      <c r="BP224">
        <v>0.09</v>
      </c>
      <c r="BQ224">
        <v>410</v>
      </c>
      <c r="BR224">
        <v>15</v>
      </c>
      <c r="BS224">
        <v>0.14000000000000001</v>
      </c>
      <c r="BT224">
        <v>0.1</v>
      </c>
      <c r="BU224">
        <v>-0.29495854999999999</v>
      </c>
      <c r="BV224">
        <v>-0.17580825563909799</v>
      </c>
      <c r="BW224">
        <v>2.03412233124633E-2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0.77761780000000003</v>
      </c>
      <c r="CD224">
        <v>-8.1311278195473E-3</v>
      </c>
      <c r="CE224">
        <v>2.75031544736236E-3</v>
      </c>
      <c r="CF224">
        <v>1</v>
      </c>
      <c r="CG224">
        <v>2</v>
      </c>
      <c r="CH224">
        <v>2</v>
      </c>
      <c r="CI224" t="s">
        <v>310</v>
      </c>
      <c r="CJ224">
        <v>3.53254</v>
      </c>
      <c r="CK224">
        <v>2.7024400000000002</v>
      </c>
      <c r="CL224">
        <v>9.7849900000000004E-2</v>
      </c>
      <c r="CM224">
        <v>9.6541199999999994E-2</v>
      </c>
      <c r="CN224">
        <v>8.7098599999999998E-2</v>
      </c>
      <c r="CO224">
        <v>8.2906300000000002E-2</v>
      </c>
      <c r="CP224">
        <v>31623.200000000001</v>
      </c>
      <c r="CQ224">
        <v>27777.9</v>
      </c>
      <c r="CR224">
        <v>32443.7</v>
      </c>
      <c r="CS224">
        <v>30674.1</v>
      </c>
      <c r="CT224">
        <v>40105.199999999997</v>
      </c>
      <c r="CU224">
        <v>39555.1</v>
      </c>
      <c r="CV224">
        <v>47381</v>
      </c>
      <c r="CW224">
        <v>46776.3</v>
      </c>
      <c r="CX224">
        <v>2.6204200000000002</v>
      </c>
      <c r="CY224">
        <v>2.12364</v>
      </c>
      <c r="CZ224">
        <v>0</v>
      </c>
      <c r="DA224">
        <v>0</v>
      </c>
      <c r="DB224">
        <v>999.9</v>
      </c>
      <c r="DC224">
        <v>999.9</v>
      </c>
      <c r="DD224">
        <v>56.488999999999997</v>
      </c>
      <c r="DE224">
        <v>27.260999999999999</v>
      </c>
      <c r="DF224">
        <v>20.513200000000001</v>
      </c>
      <c r="DG224">
        <v>30.510200000000001</v>
      </c>
      <c r="DH224">
        <v>17.8446</v>
      </c>
      <c r="DI224">
        <v>2</v>
      </c>
      <c r="DJ224">
        <v>-0.10363</v>
      </c>
      <c r="DK224">
        <v>2.6307800000000001</v>
      </c>
      <c r="DL224">
        <v>20.1815</v>
      </c>
      <c r="DM224">
        <v>5.2515499999999999</v>
      </c>
      <c r="DN224">
        <v>12.033899999999999</v>
      </c>
      <c r="DO224">
        <v>4.9673600000000002</v>
      </c>
      <c r="DP224">
        <v>3.2909999999999999</v>
      </c>
      <c r="DQ224">
        <v>9999</v>
      </c>
      <c r="DR224">
        <v>9999</v>
      </c>
      <c r="DS224">
        <v>535.1</v>
      </c>
      <c r="DT224">
        <v>9999</v>
      </c>
      <c r="DU224">
        <v>1.87107</v>
      </c>
      <c r="DV224">
        <v>1.8760699999999999</v>
      </c>
      <c r="DW224">
        <v>1.87635</v>
      </c>
      <c r="DX224">
        <v>1.88279</v>
      </c>
      <c r="DY224">
        <v>1.87561</v>
      </c>
      <c r="DZ224">
        <v>1.87469</v>
      </c>
      <c r="EA224">
        <v>1.8707800000000001</v>
      </c>
      <c r="EB224">
        <v>1.8746799999999999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-0.876</v>
      </c>
      <c r="EQ224">
        <v>8.9700000000000002E-2</v>
      </c>
      <c r="ER224">
        <v>-0.87579999999997005</v>
      </c>
      <c r="ES224">
        <v>0</v>
      </c>
      <c r="ET224">
        <v>0</v>
      </c>
      <c r="EU224">
        <v>0</v>
      </c>
      <c r="EV224">
        <v>8.9636363636364194E-2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2.2999999999999998</v>
      </c>
      <c r="FE224">
        <v>2.2999999999999998</v>
      </c>
      <c r="FF224">
        <v>1.24146</v>
      </c>
      <c r="FG224">
        <v>2.5671400000000002</v>
      </c>
      <c r="FH224">
        <v>2.19604</v>
      </c>
      <c r="FI224">
        <v>2.66235</v>
      </c>
      <c r="FJ224">
        <v>2.4462899999999999</v>
      </c>
      <c r="FK224">
        <v>2.3046899999999999</v>
      </c>
      <c r="FL224">
        <v>31.870699999999999</v>
      </c>
      <c r="FM224">
        <v>24.14</v>
      </c>
      <c r="FN224">
        <v>19</v>
      </c>
      <c r="FO224">
        <v>865.47199999999998</v>
      </c>
      <c r="FP224">
        <v>573.029</v>
      </c>
      <c r="FQ224">
        <v>17.731100000000001</v>
      </c>
      <c r="FR224">
        <v>25.674299999999999</v>
      </c>
      <c r="FS224">
        <v>29.9999</v>
      </c>
      <c r="FT224">
        <v>25.650500000000001</v>
      </c>
      <c r="FU224">
        <v>25.651</v>
      </c>
      <c r="FV224">
        <v>24.9084</v>
      </c>
      <c r="FW224">
        <v>31.538499999999999</v>
      </c>
      <c r="FX224">
        <v>0</v>
      </c>
      <c r="FY224">
        <v>17.740100000000002</v>
      </c>
      <c r="FZ224">
        <v>410</v>
      </c>
      <c r="GA224">
        <v>14.607900000000001</v>
      </c>
      <c r="GB224">
        <v>99.838899999999995</v>
      </c>
      <c r="GC224">
        <v>99.578999999999994</v>
      </c>
    </row>
    <row r="225" spans="1:185" x14ac:dyDescent="0.2">
      <c r="A225">
        <v>210</v>
      </c>
      <c r="B225">
        <v>1769186946.0999999</v>
      </c>
      <c r="C225">
        <v>4083.0999999046298</v>
      </c>
      <c r="D225" t="s">
        <v>719</v>
      </c>
      <c r="E225" t="s">
        <v>720</v>
      </c>
      <c r="F225">
        <v>15</v>
      </c>
      <c r="G225">
        <v>1769186938.03333</v>
      </c>
      <c r="H225">
        <f t="shared" si="39"/>
        <v>6.35631039484374E-4</v>
      </c>
      <c r="I225">
        <v>0</v>
      </c>
      <c r="J225">
        <f t="shared" si="51"/>
        <v>-1.0341856291909079E-3</v>
      </c>
      <c r="K225">
        <f t="shared" si="40"/>
        <v>-2.7084982064850945E-2</v>
      </c>
      <c r="L225">
        <f t="shared" si="41"/>
        <v>70.001295188054698</v>
      </c>
      <c r="M225">
        <f t="shared" si="42"/>
        <v>1.5426713362190256</v>
      </c>
      <c r="N225">
        <f t="shared" si="43"/>
        <v>2.2037754188329264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26243.77674431667</v>
      </c>
      <c r="T225">
        <f t="shared" si="47"/>
        <v>999.99926666666704</v>
      </c>
      <c r="U225">
        <f t="shared" si="48"/>
        <v>842.99944979995041</v>
      </c>
      <c r="V225">
        <f t="shared" si="49"/>
        <v>0.84300006799999994</v>
      </c>
      <c r="W225">
        <f t="shared" si="50"/>
        <v>0.15870017000000003</v>
      </c>
      <c r="X225">
        <v>1</v>
      </c>
      <c r="Y225">
        <v>1769186938.03333</v>
      </c>
      <c r="Z225">
        <v>409.703466666667</v>
      </c>
      <c r="AA225">
        <v>409.995133333333</v>
      </c>
      <c r="AB225">
        <v>15.403919999999999</v>
      </c>
      <c r="AC225">
        <v>14.6216266666667</v>
      </c>
      <c r="AD225">
        <v>410.57940000000002</v>
      </c>
      <c r="AE225">
        <v>15.3142866666667</v>
      </c>
      <c r="AF225">
        <v>800.00660000000005</v>
      </c>
      <c r="AG225">
        <v>100.0834</v>
      </c>
      <c r="AH225">
        <v>6.4571180000000006E-2</v>
      </c>
      <c r="AI225">
        <v>18.989786666666699</v>
      </c>
      <c r="AJ225">
        <v>999.9</v>
      </c>
      <c r="AK225">
        <v>999.9</v>
      </c>
      <c r="AL225">
        <v>0</v>
      </c>
      <c r="AM225">
        <v>0</v>
      </c>
      <c r="AN225">
        <v>4999.8</v>
      </c>
      <c r="AO225">
        <v>0</v>
      </c>
      <c r="AP225">
        <v>2.08901</v>
      </c>
      <c r="AQ225">
        <v>-0.291843666666667</v>
      </c>
      <c r="AR225">
        <v>416.113133333333</v>
      </c>
      <c r="AS225">
        <v>416.07900000000001</v>
      </c>
      <c r="AT225">
        <v>0.78230133333333296</v>
      </c>
      <c r="AU225">
        <v>409.995133333333</v>
      </c>
      <c r="AV225">
        <v>14.6216266666667</v>
      </c>
      <c r="AW225">
        <v>1.5416746666666701</v>
      </c>
      <c r="AX225">
        <v>1.4633799999999999</v>
      </c>
      <c r="AY225">
        <v>13.3878533333333</v>
      </c>
      <c r="AZ225">
        <v>12.5908</v>
      </c>
      <c r="BA225">
        <v>999.99926666666704</v>
      </c>
      <c r="BB225">
        <v>0.89999773333333299</v>
      </c>
      <c r="BC225">
        <v>0</v>
      </c>
      <c r="BD225">
        <v>0.10000226666666701</v>
      </c>
      <c r="BE225">
        <v>0</v>
      </c>
      <c r="BF225">
        <v>26</v>
      </c>
      <c r="BG225">
        <v>16488.759999999998</v>
      </c>
      <c r="BH225">
        <v>1769186794.0999999</v>
      </c>
      <c r="BI225" t="s">
        <v>698</v>
      </c>
      <c r="BJ225">
        <v>1769186793.0999999</v>
      </c>
      <c r="BK225">
        <v>1769186794.0999999</v>
      </c>
      <c r="BL225">
        <v>7</v>
      </c>
      <c r="BM225">
        <v>4.2000000000000003E-2</v>
      </c>
      <c r="BN225">
        <v>-3.0000000000000001E-3</v>
      </c>
      <c r="BO225">
        <v>-0.876</v>
      </c>
      <c r="BP225">
        <v>0.09</v>
      </c>
      <c r="BQ225">
        <v>410</v>
      </c>
      <c r="BR225">
        <v>15</v>
      </c>
      <c r="BS225">
        <v>0.14000000000000001</v>
      </c>
      <c r="BT225">
        <v>0.1</v>
      </c>
      <c r="BU225">
        <v>-0.29962155000000001</v>
      </c>
      <c r="BV225">
        <v>0.14060539849624001</v>
      </c>
      <c r="BW225">
        <v>1.6342946311712001E-2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0.78103920000000004</v>
      </c>
      <c r="CD225">
        <v>1.71349172932325E-2</v>
      </c>
      <c r="CE225">
        <v>1.9769308182129202E-3</v>
      </c>
      <c r="CF225">
        <v>1</v>
      </c>
      <c r="CG225">
        <v>2</v>
      </c>
      <c r="CH225">
        <v>2</v>
      </c>
      <c r="CI225" t="s">
        <v>310</v>
      </c>
      <c r="CJ225">
        <v>3.5325299999999999</v>
      </c>
      <c r="CK225">
        <v>2.70262</v>
      </c>
      <c r="CL225">
        <v>9.7852999999999996E-2</v>
      </c>
      <c r="CM225">
        <v>9.6538399999999996E-2</v>
      </c>
      <c r="CN225">
        <v>8.7113899999999994E-2</v>
      </c>
      <c r="CO225">
        <v>8.2899600000000004E-2</v>
      </c>
      <c r="CP225">
        <v>31623.3</v>
      </c>
      <c r="CQ225">
        <v>27777.9</v>
      </c>
      <c r="CR225">
        <v>32444</v>
      </c>
      <c r="CS225">
        <v>30674</v>
      </c>
      <c r="CT225">
        <v>40104.9</v>
      </c>
      <c r="CU225">
        <v>39555.199999999997</v>
      </c>
      <c r="CV225">
        <v>47381.5</v>
      </c>
      <c r="CW225">
        <v>46776</v>
      </c>
      <c r="CX225">
        <v>2.6205400000000001</v>
      </c>
      <c r="CY225">
        <v>2.1237599999999999</v>
      </c>
      <c r="CZ225">
        <v>0</v>
      </c>
      <c r="DA225">
        <v>0</v>
      </c>
      <c r="DB225">
        <v>999.9</v>
      </c>
      <c r="DC225">
        <v>999.9</v>
      </c>
      <c r="DD225">
        <v>56.44</v>
      </c>
      <c r="DE225">
        <v>27.260999999999999</v>
      </c>
      <c r="DF225">
        <v>20.495899999999999</v>
      </c>
      <c r="DG225">
        <v>30.360199999999999</v>
      </c>
      <c r="DH225">
        <v>17.880600000000001</v>
      </c>
      <c r="DI225">
        <v>2</v>
      </c>
      <c r="DJ225">
        <v>-0.103813</v>
      </c>
      <c r="DK225">
        <v>2.59856</v>
      </c>
      <c r="DL225">
        <v>20.181999999999999</v>
      </c>
      <c r="DM225">
        <v>5.2501199999999999</v>
      </c>
      <c r="DN225">
        <v>12.033899999999999</v>
      </c>
      <c r="DO225">
        <v>4.9671200000000004</v>
      </c>
      <c r="DP225">
        <v>3.2909999999999999</v>
      </c>
      <c r="DQ225">
        <v>9999</v>
      </c>
      <c r="DR225">
        <v>9999</v>
      </c>
      <c r="DS225">
        <v>535.1</v>
      </c>
      <c r="DT225">
        <v>9999</v>
      </c>
      <c r="DU225">
        <v>1.87107</v>
      </c>
      <c r="DV225">
        <v>1.87609</v>
      </c>
      <c r="DW225">
        <v>1.87632</v>
      </c>
      <c r="DX225">
        <v>1.8827799999999999</v>
      </c>
      <c r="DY225">
        <v>1.87561</v>
      </c>
      <c r="DZ225">
        <v>1.87469</v>
      </c>
      <c r="EA225">
        <v>1.8707499999999999</v>
      </c>
      <c r="EB225">
        <v>1.8746700000000001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-0.875</v>
      </c>
      <c r="EQ225">
        <v>8.9700000000000002E-2</v>
      </c>
      <c r="ER225">
        <v>-0.87579999999997005</v>
      </c>
      <c r="ES225">
        <v>0</v>
      </c>
      <c r="ET225">
        <v>0</v>
      </c>
      <c r="EU225">
        <v>0</v>
      </c>
      <c r="EV225">
        <v>8.9636363636364194E-2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2.5</v>
      </c>
      <c r="FE225">
        <v>2.5</v>
      </c>
      <c r="FF225">
        <v>1.2402299999999999</v>
      </c>
      <c r="FG225">
        <v>2.5756800000000002</v>
      </c>
      <c r="FH225">
        <v>2.19604</v>
      </c>
      <c r="FI225">
        <v>2.66235</v>
      </c>
      <c r="FJ225">
        <v>2.4462899999999999</v>
      </c>
      <c r="FK225">
        <v>2.2631800000000002</v>
      </c>
      <c r="FL225">
        <v>31.870699999999999</v>
      </c>
      <c r="FM225">
        <v>24.1313</v>
      </c>
      <c r="FN225">
        <v>19</v>
      </c>
      <c r="FO225">
        <v>865.58299999999997</v>
      </c>
      <c r="FP225">
        <v>573.12099999999998</v>
      </c>
      <c r="FQ225">
        <v>17.752600000000001</v>
      </c>
      <c r="FR225">
        <v>25.673300000000001</v>
      </c>
      <c r="FS225">
        <v>30.0002</v>
      </c>
      <c r="FT225">
        <v>25.650500000000001</v>
      </c>
      <c r="FU225">
        <v>25.651</v>
      </c>
      <c r="FV225">
        <v>24.9085</v>
      </c>
      <c r="FW225">
        <v>31.538499999999999</v>
      </c>
      <c r="FX225">
        <v>0</v>
      </c>
      <c r="FY225">
        <v>17.761800000000001</v>
      </c>
      <c r="FZ225">
        <v>410</v>
      </c>
      <c r="GA225">
        <v>14.607900000000001</v>
      </c>
      <c r="GB225">
        <v>99.839699999999993</v>
      </c>
      <c r="GC225">
        <v>99.578500000000005</v>
      </c>
    </row>
    <row r="226" spans="1:185" x14ac:dyDescent="0.2">
      <c r="A226">
        <v>211</v>
      </c>
      <c r="B226">
        <v>1769186961.0999999</v>
      </c>
      <c r="C226">
        <v>4098.0999999046298</v>
      </c>
      <c r="D226" t="s">
        <v>721</v>
      </c>
      <c r="E226" t="s">
        <v>722</v>
      </c>
      <c r="F226">
        <v>15</v>
      </c>
      <c r="G226">
        <v>1769186953.03333</v>
      </c>
      <c r="H226">
        <f t="shared" si="39"/>
        <v>6.360925431405037E-4</v>
      </c>
      <c r="I226">
        <v>0</v>
      </c>
      <c r="J226">
        <f t="shared" si="51"/>
        <v>-9.5395896618934671E-4</v>
      </c>
      <c r="K226">
        <f t="shared" si="40"/>
        <v>-2.4983872102396606E-2</v>
      </c>
      <c r="L226">
        <f t="shared" si="41"/>
        <v>69.987548056547524</v>
      </c>
      <c r="M226">
        <f t="shared" si="42"/>
        <v>1.5426347078894738</v>
      </c>
      <c r="N226">
        <f t="shared" si="43"/>
        <v>2.2041559544893303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26234.734963473627</v>
      </c>
      <c r="T226">
        <f t="shared" si="47"/>
        <v>999.99866666666696</v>
      </c>
      <c r="U226">
        <f t="shared" si="48"/>
        <v>842.99887160000571</v>
      </c>
      <c r="V226">
        <f t="shared" si="49"/>
        <v>0.84299999559999961</v>
      </c>
      <c r="W226">
        <f t="shared" si="50"/>
        <v>0.15869996301599992</v>
      </c>
      <c r="X226">
        <v>1</v>
      </c>
      <c r="Y226">
        <v>1769186953.03333</v>
      </c>
      <c r="Z226">
        <v>409.70600000000002</v>
      </c>
      <c r="AA226">
        <v>410.00053333333301</v>
      </c>
      <c r="AB226">
        <v>15.40368</v>
      </c>
      <c r="AC226">
        <v>14.620813333333301</v>
      </c>
      <c r="AD226">
        <v>410.58179999999999</v>
      </c>
      <c r="AE226">
        <v>15.314033333333301</v>
      </c>
      <c r="AF226">
        <v>800.00133333333304</v>
      </c>
      <c r="AG226">
        <v>100.082266666667</v>
      </c>
      <c r="AH226">
        <v>6.4886993333333295E-2</v>
      </c>
      <c r="AI226">
        <v>18.992553333333301</v>
      </c>
      <c r="AJ226">
        <v>999.9</v>
      </c>
      <c r="AK226">
        <v>999.9</v>
      </c>
      <c r="AL226">
        <v>0</v>
      </c>
      <c r="AM226">
        <v>0</v>
      </c>
      <c r="AN226">
        <v>4998.3999999999996</v>
      </c>
      <c r="AO226">
        <v>0</v>
      </c>
      <c r="AP226">
        <v>2.08901</v>
      </c>
      <c r="AQ226">
        <v>-0.29444993333333302</v>
      </c>
      <c r="AR226">
        <v>416.11573333333303</v>
      </c>
      <c r="AS226">
        <v>416.084</v>
      </c>
      <c r="AT226">
        <v>0.78286173333333298</v>
      </c>
      <c r="AU226">
        <v>410.00053333333301</v>
      </c>
      <c r="AV226">
        <v>14.620813333333301</v>
      </c>
      <c r="AW226">
        <v>1.5416339999999999</v>
      </c>
      <c r="AX226">
        <v>1.4632833333333299</v>
      </c>
      <c r="AY226">
        <v>13.387453333333299</v>
      </c>
      <c r="AZ226">
        <v>12.5898066666667</v>
      </c>
      <c r="BA226">
        <v>999.99866666666696</v>
      </c>
      <c r="BB226">
        <v>0.90000053333333296</v>
      </c>
      <c r="BC226">
        <v>0</v>
      </c>
      <c r="BD226">
        <v>9.9999480000000002E-2</v>
      </c>
      <c r="BE226">
        <v>0</v>
      </c>
      <c r="BF226">
        <v>26</v>
      </c>
      <c r="BG226">
        <v>16488.766666666699</v>
      </c>
      <c r="BH226">
        <v>1769186794.0999999</v>
      </c>
      <c r="BI226" t="s">
        <v>698</v>
      </c>
      <c r="BJ226">
        <v>1769186793.0999999</v>
      </c>
      <c r="BK226">
        <v>1769186794.0999999</v>
      </c>
      <c r="BL226">
        <v>7</v>
      </c>
      <c r="BM226">
        <v>4.2000000000000003E-2</v>
      </c>
      <c r="BN226">
        <v>-3.0000000000000001E-3</v>
      </c>
      <c r="BO226">
        <v>-0.876</v>
      </c>
      <c r="BP226">
        <v>0.09</v>
      </c>
      <c r="BQ226">
        <v>410</v>
      </c>
      <c r="BR226">
        <v>15</v>
      </c>
      <c r="BS226">
        <v>0.14000000000000001</v>
      </c>
      <c r="BT226">
        <v>0.1</v>
      </c>
      <c r="BU226">
        <v>-0.29169315000000001</v>
      </c>
      <c r="BV226">
        <v>-0.17846323308270601</v>
      </c>
      <c r="BW226">
        <v>2.9794644470567198E-2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0.78290435000000003</v>
      </c>
      <c r="CD226">
        <v>-1.25726165413534E-2</v>
      </c>
      <c r="CE226">
        <v>2.17527631060975E-3</v>
      </c>
      <c r="CF226">
        <v>1</v>
      </c>
      <c r="CG226">
        <v>2</v>
      </c>
      <c r="CH226">
        <v>2</v>
      </c>
      <c r="CI226" t="s">
        <v>310</v>
      </c>
      <c r="CJ226">
        <v>3.53254</v>
      </c>
      <c r="CK226">
        <v>2.7027899999999998</v>
      </c>
      <c r="CL226">
        <v>9.7852400000000006E-2</v>
      </c>
      <c r="CM226">
        <v>9.6540600000000004E-2</v>
      </c>
      <c r="CN226">
        <v>8.7086200000000002E-2</v>
      </c>
      <c r="CO226">
        <v>8.2891999999999993E-2</v>
      </c>
      <c r="CP226">
        <v>31622.6</v>
      </c>
      <c r="CQ226">
        <v>27778.6</v>
      </c>
      <c r="CR226">
        <v>32443.1</v>
      </c>
      <c r="CS226">
        <v>30674.799999999999</v>
      </c>
      <c r="CT226">
        <v>40105.1</v>
      </c>
      <c r="CU226">
        <v>39556.5</v>
      </c>
      <c r="CV226">
        <v>47380.2</v>
      </c>
      <c r="CW226">
        <v>46777.2</v>
      </c>
      <c r="CX226">
        <v>2.6204399999999999</v>
      </c>
      <c r="CY226">
        <v>2.1237599999999999</v>
      </c>
      <c r="CZ226">
        <v>0</v>
      </c>
      <c r="DA226">
        <v>0</v>
      </c>
      <c r="DB226">
        <v>999.9</v>
      </c>
      <c r="DC226">
        <v>999.9</v>
      </c>
      <c r="DD226">
        <v>56.427999999999997</v>
      </c>
      <c r="DE226">
        <v>27.280999999999999</v>
      </c>
      <c r="DF226">
        <v>20.513999999999999</v>
      </c>
      <c r="DG226">
        <v>30.510200000000001</v>
      </c>
      <c r="DH226">
        <v>17.836500000000001</v>
      </c>
      <c r="DI226">
        <v>2</v>
      </c>
      <c r="DJ226">
        <v>-0.10377599999999999</v>
      </c>
      <c r="DK226">
        <v>2.5868600000000002</v>
      </c>
      <c r="DL226">
        <v>20.182099999999998</v>
      </c>
      <c r="DM226">
        <v>5.2502399999999998</v>
      </c>
      <c r="DN226">
        <v>12.033899999999999</v>
      </c>
      <c r="DO226">
        <v>4.9670800000000002</v>
      </c>
      <c r="DP226">
        <v>3.2909999999999999</v>
      </c>
      <c r="DQ226">
        <v>9999</v>
      </c>
      <c r="DR226">
        <v>9999</v>
      </c>
      <c r="DS226">
        <v>535.1</v>
      </c>
      <c r="DT226">
        <v>9999</v>
      </c>
      <c r="DU226">
        <v>1.8711100000000001</v>
      </c>
      <c r="DV226">
        <v>1.8761099999999999</v>
      </c>
      <c r="DW226">
        <v>1.87636</v>
      </c>
      <c r="DX226">
        <v>1.8827799999999999</v>
      </c>
      <c r="DY226">
        <v>1.87561</v>
      </c>
      <c r="DZ226">
        <v>1.87469</v>
      </c>
      <c r="EA226">
        <v>1.8708199999999999</v>
      </c>
      <c r="EB226">
        <v>1.87469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-0.875</v>
      </c>
      <c r="EQ226">
        <v>8.9700000000000002E-2</v>
      </c>
      <c r="ER226">
        <v>-0.87579999999997005</v>
      </c>
      <c r="ES226">
        <v>0</v>
      </c>
      <c r="ET226">
        <v>0</v>
      </c>
      <c r="EU226">
        <v>0</v>
      </c>
      <c r="EV226">
        <v>8.9636363636364194E-2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2.8</v>
      </c>
      <c r="FE226">
        <v>2.8</v>
      </c>
      <c r="FF226">
        <v>1.24146</v>
      </c>
      <c r="FG226">
        <v>2.5732400000000002</v>
      </c>
      <c r="FH226">
        <v>2.19604</v>
      </c>
      <c r="FI226">
        <v>2.66235</v>
      </c>
      <c r="FJ226">
        <v>2.4462899999999999</v>
      </c>
      <c r="FK226">
        <v>2.2973599999999998</v>
      </c>
      <c r="FL226">
        <v>31.9146</v>
      </c>
      <c r="FM226">
        <v>24.14</v>
      </c>
      <c r="FN226">
        <v>19</v>
      </c>
      <c r="FO226">
        <v>865.49</v>
      </c>
      <c r="FP226">
        <v>573.12099999999998</v>
      </c>
      <c r="FQ226">
        <v>17.772600000000001</v>
      </c>
      <c r="FR226">
        <v>25.673300000000001</v>
      </c>
      <c r="FS226">
        <v>30.0001</v>
      </c>
      <c r="FT226">
        <v>25.650500000000001</v>
      </c>
      <c r="FU226">
        <v>25.651</v>
      </c>
      <c r="FV226">
        <v>24.907900000000001</v>
      </c>
      <c r="FW226">
        <v>31.538499999999999</v>
      </c>
      <c r="FX226">
        <v>0</v>
      </c>
      <c r="FY226">
        <v>17.776900000000001</v>
      </c>
      <c r="FZ226">
        <v>410</v>
      </c>
      <c r="GA226">
        <v>14.607900000000001</v>
      </c>
      <c r="GB226">
        <v>99.837100000000007</v>
      </c>
      <c r="GC226">
        <v>99.581100000000006</v>
      </c>
    </row>
    <row r="227" spans="1:185" x14ac:dyDescent="0.2">
      <c r="A227">
        <v>212</v>
      </c>
      <c r="B227">
        <v>1769186976.0999999</v>
      </c>
      <c r="C227">
        <v>4113.0999999046298</v>
      </c>
      <c r="D227" t="s">
        <v>723</v>
      </c>
      <c r="E227" t="s">
        <v>724</v>
      </c>
      <c r="F227">
        <v>15</v>
      </c>
      <c r="G227">
        <v>1769186968.03333</v>
      </c>
      <c r="H227">
        <f t="shared" si="39"/>
        <v>6.3369199826219082E-4</v>
      </c>
      <c r="I227">
        <v>0</v>
      </c>
      <c r="J227">
        <f t="shared" si="51"/>
        <v>-4.3735872802028452E-4</v>
      </c>
      <c r="K227">
        <f t="shared" si="40"/>
        <v>-1.1454281484846195E-2</v>
      </c>
      <c r="L227">
        <f t="shared" si="41"/>
        <v>69.955330914473478</v>
      </c>
      <c r="M227">
        <f t="shared" si="42"/>
        <v>1.5422126517632337</v>
      </c>
      <c r="N227">
        <f t="shared" si="43"/>
        <v>2.2045677314409731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26245.406675187816</v>
      </c>
      <c r="T227">
        <f t="shared" si="47"/>
        <v>999.99959999999999</v>
      </c>
      <c r="U227">
        <f t="shared" si="48"/>
        <v>842.99985519992276</v>
      </c>
      <c r="V227">
        <f t="shared" si="49"/>
        <v>0.84300019239999968</v>
      </c>
      <c r="W227">
        <f t="shared" si="50"/>
        <v>0.15869998730399995</v>
      </c>
      <c r="X227">
        <v>1</v>
      </c>
      <c r="Y227">
        <v>1769186968.03333</v>
      </c>
      <c r="Z227">
        <v>409.69040000000001</v>
      </c>
      <c r="AA227">
        <v>410.00060000000002</v>
      </c>
      <c r="AB227">
        <v>15.39944</v>
      </c>
      <c r="AC227">
        <v>14.619533333333299</v>
      </c>
      <c r="AD227">
        <v>410.56613333333303</v>
      </c>
      <c r="AE227">
        <v>15.3097866666667</v>
      </c>
      <c r="AF227">
        <v>800.01046666666696</v>
      </c>
      <c r="AG227">
        <v>100.082333333333</v>
      </c>
      <c r="AH227">
        <v>6.4987073333333298E-2</v>
      </c>
      <c r="AI227">
        <v>18.995546666666701</v>
      </c>
      <c r="AJ227">
        <v>999.9</v>
      </c>
      <c r="AK227">
        <v>999.9</v>
      </c>
      <c r="AL227">
        <v>0</v>
      </c>
      <c r="AM227">
        <v>0</v>
      </c>
      <c r="AN227">
        <v>5000.2</v>
      </c>
      <c r="AO227">
        <v>0</v>
      </c>
      <c r="AP227">
        <v>2.0735039999999998</v>
      </c>
      <c r="AQ227">
        <v>-0.31014206666666699</v>
      </c>
      <c r="AR227">
        <v>416.09800000000001</v>
      </c>
      <c r="AS227">
        <v>416.08359999999999</v>
      </c>
      <c r="AT227">
        <v>0.77989560000000002</v>
      </c>
      <c r="AU227">
        <v>410.00060000000002</v>
      </c>
      <c r="AV227">
        <v>14.619533333333299</v>
      </c>
      <c r="AW227">
        <v>1.541212</v>
      </c>
      <c r="AX227">
        <v>1.46315866666667</v>
      </c>
      <c r="AY227">
        <v>13.38326</v>
      </c>
      <c r="AZ227">
        <v>12.5884933333333</v>
      </c>
      <c r="BA227">
        <v>999.99959999999999</v>
      </c>
      <c r="BB227">
        <v>0.90000093333333298</v>
      </c>
      <c r="BC227">
        <v>0</v>
      </c>
      <c r="BD227">
        <v>9.9999320000000003E-2</v>
      </c>
      <c r="BE227">
        <v>0</v>
      </c>
      <c r="BF227">
        <v>26</v>
      </c>
      <c r="BG227">
        <v>16488.7866666667</v>
      </c>
      <c r="BH227">
        <v>1769186794.0999999</v>
      </c>
      <c r="BI227" t="s">
        <v>698</v>
      </c>
      <c r="BJ227">
        <v>1769186793.0999999</v>
      </c>
      <c r="BK227">
        <v>1769186794.0999999</v>
      </c>
      <c r="BL227">
        <v>7</v>
      </c>
      <c r="BM227">
        <v>4.2000000000000003E-2</v>
      </c>
      <c r="BN227">
        <v>-3.0000000000000001E-3</v>
      </c>
      <c r="BO227">
        <v>-0.876</v>
      </c>
      <c r="BP227">
        <v>0.09</v>
      </c>
      <c r="BQ227">
        <v>410</v>
      </c>
      <c r="BR227">
        <v>15</v>
      </c>
      <c r="BS227">
        <v>0.14000000000000001</v>
      </c>
      <c r="BT227">
        <v>0.1</v>
      </c>
      <c r="BU227">
        <v>-0.313450476190476</v>
      </c>
      <c r="BV227">
        <v>2.1313558441557599E-2</v>
      </c>
      <c r="BW227">
        <v>1.9864922117280599E-2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0.78004571428571401</v>
      </c>
      <c r="CD227">
        <v>-6.3272727272726398E-3</v>
      </c>
      <c r="CE227">
        <v>1.0947060550388699E-3</v>
      </c>
      <c r="CF227">
        <v>1</v>
      </c>
      <c r="CG227">
        <v>2</v>
      </c>
      <c r="CH227">
        <v>2</v>
      </c>
      <c r="CI227" t="s">
        <v>310</v>
      </c>
      <c r="CJ227">
        <v>3.53254</v>
      </c>
      <c r="CK227">
        <v>2.7025999999999999</v>
      </c>
      <c r="CL227">
        <v>9.7849400000000003E-2</v>
      </c>
      <c r="CM227">
        <v>9.6538600000000002E-2</v>
      </c>
      <c r="CN227">
        <v>8.7076100000000003E-2</v>
      </c>
      <c r="CO227">
        <v>8.2887699999999995E-2</v>
      </c>
      <c r="CP227">
        <v>31622.6</v>
      </c>
      <c r="CQ227">
        <v>27778.6</v>
      </c>
      <c r="CR227">
        <v>32443</v>
      </c>
      <c r="CS227">
        <v>30674.799999999999</v>
      </c>
      <c r="CT227">
        <v>40105.599999999999</v>
      </c>
      <c r="CU227">
        <v>39556.699999999997</v>
      </c>
      <c r="CV227">
        <v>47380.3</v>
      </c>
      <c r="CW227">
        <v>46777.1</v>
      </c>
      <c r="CX227">
        <v>2.6204200000000002</v>
      </c>
      <c r="CY227">
        <v>2.1239599999999998</v>
      </c>
      <c r="CZ227">
        <v>0</v>
      </c>
      <c r="DA227">
        <v>0</v>
      </c>
      <c r="DB227">
        <v>999.9</v>
      </c>
      <c r="DC227">
        <v>999.9</v>
      </c>
      <c r="DD227">
        <v>56.402999999999999</v>
      </c>
      <c r="DE227">
        <v>27.280999999999999</v>
      </c>
      <c r="DF227">
        <v>20.5063</v>
      </c>
      <c r="DG227">
        <v>30.3902</v>
      </c>
      <c r="DH227">
        <v>17.868600000000001</v>
      </c>
      <c r="DI227">
        <v>2</v>
      </c>
      <c r="DJ227">
        <v>-0.104059</v>
      </c>
      <c r="DK227">
        <v>2.5748099999999998</v>
      </c>
      <c r="DL227">
        <v>20.182400000000001</v>
      </c>
      <c r="DM227">
        <v>5.2501199999999999</v>
      </c>
      <c r="DN227">
        <v>12.033899999999999</v>
      </c>
      <c r="DO227">
        <v>4.9672000000000001</v>
      </c>
      <c r="DP227">
        <v>3.2909999999999999</v>
      </c>
      <c r="DQ227">
        <v>9999</v>
      </c>
      <c r="DR227">
        <v>9999</v>
      </c>
      <c r="DS227">
        <v>535.1</v>
      </c>
      <c r="DT227">
        <v>9999</v>
      </c>
      <c r="DU227">
        <v>1.87107</v>
      </c>
      <c r="DV227">
        <v>1.8761099999999999</v>
      </c>
      <c r="DW227">
        <v>1.87635</v>
      </c>
      <c r="DX227">
        <v>1.88279</v>
      </c>
      <c r="DY227">
        <v>1.87561</v>
      </c>
      <c r="DZ227">
        <v>1.87469</v>
      </c>
      <c r="EA227">
        <v>1.87083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-0.876</v>
      </c>
      <c r="EQ227">
        <v>8.9599999999999999E-2</v>
      </c>
      <c r="ER227">
        <v>-0.87579999999997005</v>
      </c>
      <c r="ES227">
        <v>0</v>
      </c>
      <c r="ET227">
        <v>0</v>
      </c>
      <c r="EU227">
        <v>0</v>
      </c>
      <c r="EV227">
        <v>8.9636363636364194E-2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3</v>
      </c>
      <c r="FE227">
        <v>3</v>
      </c>
      <c r="FF227">
        <v>1.2402299999999999</v>
      </c>
      <c r="FG227">
        <v>2.5659200000000002</v>
      </c>
      <c r="FH227">
        <v>2.19604</v>
      </c>
      <c r="FI227">
        <v>2.66235</v>
      </c>
      <c r="FJ227">
        <v>2.4462899999999999</v>
      </c>
      <c r="FK227">
        <v>2.2644000000000002</v>
      </c>
      <c r="FL227">
        <v>31.892700000000001</v>
      </c>
      <c r="FM227">
        <v>24.14</v>
      </c>
      <c r="FN227">
        <v>19</v>
      </c>
      <c r="FO227">
        <v>865.47199999999998</v>
      </c>
      <c r="FP227">
        <v>573.274</v>
      </c>
      <c r="FQ227">
        <v>17.7836</v>
      </c>
      <c r="FR227">
        <v>25.671099999999999</v>
      </c>
      <c r="FS227">
        <v>30.0001</v>
      </c>
      <c r="FT227">
        <v>25.650500000000001</v>
      </c>
      <c r="FU227">
        <v>25.651</v>
      </c>
      <c r="FV227">
        <v>24.9085</v>
      </c>
      <c r="FW227">
        <v>31.538499999999999</v>
      </c>
      <c r="FX227">
        <v>0</v>
      </c>
      <c r="FY227">
        <v>17.785499999999999</v>
      </c>
      <c r="FZ227">
        <v>410</v>
      </c>
      <c r="GA227">
        <v>14.607900000000001</v>
      </c>
      <c r="GB227">
        <v>99.837100000000007</v>
      </c>
      <c r="GC227">
        <v>99.581000000000003</v>
      </c>
    </row>
    <row r="228" spans="1:185" x14ac:dyDescent="0.2">
      <c r="A228">
        <v>213</v>
      </c>
      <c r="B228">
        <v>1769186991.0999999</v>
      </c>
      <c r="C228">
        <v>4128.0999999046298</v>
      </c>
      <c r="D228" t="s">
        <v>725</v>
      </c>
      <c r="E228" t="s">
        <v>726</v>
      </c>
      <c r="F228">
        <v>15</v>
      </c>
      <c r="G228">
        <v>1769186983.03333</v>
      </c>
      <c r="H228">
        <f t="shared" si="39"/>
        <v>6.3139626457935918E-4</v>
      </c>
      <c r="I228">
        <v>0</v>
      </c>
      <c r="J228">
        <f t="shared" si="51"/>
        <v>-1.1272414942209259E-3</v>
      </c>
      <c r="K228">
        <f t="shared" si="40"/>
        <v>-2.9522084616100924E-2</v>
      </c>
      <c r="L228">
        <f t="shared" si="41"/>
        <v>69.918333016024121</v>
      </c>
      <c r="M228">
        <f t="shared" si="42"/>
        <v>1.5418016972727613</v>
      </c>
      <c r="N228">
        <f t="shared" si="43"/>
        <v>2.205146534199272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26232.682156562671</v>
      </c>
      <c r="T228">
        <f t="shared" si="47"/>
        <v>999.99940000000004</v>
      </c>
      <c r="U228">
        <f t="shared" si="48"/>
        <v>842.99951539998744</v>
      </c>
      <c r="V228">
        <f t="shared" si="49"/>
        <v>0.84300002120000017</v>
      </c>
      <c r="W228">
        <f t="shared" si="50"/>
        <v>0.15870000103200005</v>
      </c>
      <c r="X228">
        <v>1</v>
      </c>
      <c r="Y228">
        <v>1769186983.03333</v>
      </c>
      <c r="Z228">
        <v>409.72013333333302</v>
      </c>
      <c r="AA228">
        <v>410.00659999999999</v>
      </c>
      <c r="AB228">
        <v>15.3955066666667</v>
      </c>
      <c r="AC228">
        <v>14.618413333333301</v>
      </c>
      <c r="AD228">
        <v>410.596</v>
      </c>
      <c r="AE228">
        <v>15.3058933333333</v>
      </c>
      <c r="AF228">
        <v>800.00120000000004</v>
      </c>
      <c r="AG228">
        <v>100.081533333333</v>
      </c>
      <c r="AH228">
        <v>6.4680146666666702E-2</v>
      </c>
      <c r="AI228">
        <v>18.999753333333299</v>
      </c>
      <c r="AJ228">
        <v>999.9</v>
      </c>
      <c r="AK228">
        <v>999.9</v>
      </c>
      <c r="AL228">
        <v>0</v>
      </c>
      <c r="AM228">
        <v>0</v>
      </c>
      <c r="AN228">
        <v>4998.2</v>
      </c>
      <c r="AO228">
        <v>0</v>
      </c>
      <c r="AP228">
        <v>2.0352619999999999</v>
      </c>
      <c r="AQ228">
        <v>-0.28641553333333297</v>
      </c>
      <c r="AR228">
        <v>416.12653333333299</v>
      </c>
      <c r="AS228">
        <v>416.089133333333</v>
      </c>
      <c r="AT228">
        <v>0.77710939999999995</v>
      </c>
      <c r="AU228">
        <v>410.00659999999999</v>
      </c>
      <c r="AV228">
        <v>14.618413333333301</v>
      </c>
      <c r="AW228">
        <v>1.540808</v>
      </c>
      <c r="AX228">
        <v>1.4630339999999999</v>
      </c>
      <c r="AY228">
        <v>13.379246666666701</v>
      </c>
      <c r="AZ228">
        <v>12.58722</v>
      </c>
      <c r="BA228">
        <v>999.99940000000004</v>
      </c>
      <c r="BB228">
        <v>0.90000006666666699</v>
      </c>
      <c r="BC228">
        <v>0</v>
      </c>
      <c r="BD228">
        <v>9.9999959999999999E-2</v>
      </c>
      <c r="BE228">
        <v>0</v>
      </c>
      <c r="BF228">
        <v>26</v>
      </c>
      <c r="BG228">
        <v>16488.773333333302</v>
      </c>
      <c r="BH228">
        <v>1769186794.0999999</v>
      </c>
      <c r="BI228" t="s">
        <v>698</v>
      </c>
      <c r="BJ228">
        <v>1769186793.0999999</v>
      </c>
      <c r="BK228">
        <v>1769186794.0999999</v>
      </c>
      <c r="BL228">
        <v>7</v>
      </c>
      <c r="BM228">
        <v>4.2000000000000003E-2</v>
      </c>
      <c r="BN228">
        <v>-3.0000000000000001E-3</v>
      </c>
      <c r="BO228">
        <v>-0.876</v>
      </c>
      <c r="BP228">
        <v>0.09</v>
      </c>
      <c r="BQ228">
        <v>410</v>
      </c>
      <c r="BR228">
        <v>15</v>
      </c>
      <c r="BS228">
        <v>0.14000000000000001</v>
      </c>
      <c r="BT228">
        <v>0.1</v>
      </c>
      <c r="BU228">
        <v>-0.29375604999999999</v>
      </c>
      <c r="BV228">
        <v>6.5095082706767296E-2</v>
      </c>
      <c r="BW228">
        <v>1.9876458136385899E-2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0.77753099999999997</v>
      </c>
      <c r="CD228">
        <v>-1.49417142857135E-2</v>
      </c>
      <c r="CE228">
        <v>1.8713673076122699E-3</v>
      </c>
      <c r="CF228">
        <v>1</v>
      </c>
      <c r="CG228">
        <v>2</v>
      </c>
      <c r="CH228">
        <v>2</v>
      </c>
      <c r="CI228" t="s">
        <v>310</v>
      </c>
      <c r="CJ228">
        <v>3.5325500000000001</v>
      </c>
      <c r="CK228">
        <v>2.7022699999999999</v>
      </c>
      <c r="CL228">
        <v>9.7853599999999999E-2</v>
      </c>
      <c r="CM228">
        <v>9.6539600000000003E-2</v>
      </c>
      <c r="CN228">
        <v>8.7059600000000001E-2</v>
      </c>
      <c r="CO228">
        <v>8.2883499999999999E-2</v>
      </c>
      <c r="CP228">
        <v>31622.9</v>
      </c>
      <c r="CQ228">
        <v>27779.7</v>
      </c>
      <c r="CR228">
        <v>32443.5</v>
      </c>
      <c r="CS228">
        <v>30676</v>
      </c>
      <c r="CT228">
        <v>40106.9</v>
      </c>
      <c r="CU228">
        <v>39558.800000000003</v>
      </c>
      <c r="CV228">
        <v>47381</v>
      </c>
      <c r="CW228">
        <v>46779.4</v>
      </c>
      <c r="CX228">
        <v>2.6203799999999999</v>
      </c>
      <c r="CY228">
        <v>2.1236999999999999</v>
      </c>
      <c r="CZ228">
        <v>0</v>
      </c>
      <c r="DA228">
        <v>0</v>
      </c>
      <c r="DB228">
        <v>999.9</v>
      </c>
      <c r="DC228">
        <v>999.9</v>
      </c>
      <c r="DD228">
        <v>56.354999999999997</v>
      </c>
      <c r="DE228">
        <v>27.280999999999999</v>
      </c>
      <c r="DF228">
        <v>20.489899999999999</v>
      </c>
      <c r="DG228">
        <v>30.630199999999999</v>
      </c>
      <c r="DH228">
        <v>17.8566</v>
      </c>
      <c r="DI228">
        <v>2</v>
      </c>
      <c r="DJ228">
        <v>-0.10385800000000001</v>
      </c>
      <c r="DK228">
        <v>2.7180599999999999</v>
      </c>
      <c r="DL228">
        <v>20.1797</v>
      </c>
      <c r="DM228">
        <v>5.2501199999999999</v>
      </c>
      <c r="DN228">
        <v>12.033899999999999</v>
      </c>
      <c r="DO228">
        <v>4.9668799999999997</v>
      </c>
      <c r="DP228">
        <v>3.2909999999999999</v>
      </c>
      <c r="DQ228">
        <v>9999</v>
      </c>
      <c r="DR228">
        <v>9999</v>
      </c>
      <c r="DS228">
        <v>535.1</v>
      </c>
      <c r="DT228">
        <v>9999</v>
      </c>
      <c r="DU228">
        <v>1.8710599999999999</v>
      </c>
      <c r="DV228">
        <v>1.8761000000000001</v>
      </c>
      <c r="DW228">
        <v>1.8763300000000001</v>
      </c>
      <c r="DX228">
        <v>1.8827799999999999</v>
      </c>
      <c r="DY228">
        <v>1.87561</v>
      </c>
      <c r="DZ228">
        <v>1.8746799999999999</v>
      </c>
      <c r="EA228">
        <v>1.8708</v>
      </c>
      <c r="EB228">
        <v>1.8746799999999999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-0.876</v>
      </c>
      <c r="EQ228">
        <v>8.9599999999999999E-2</v>
      </c>
      <c r="ER228">
        <v>-0.87579999999997005</v>
      </c>
      <c r="ES228">
        <v>0</v>
      </c>
      <c r="ET228">
        <v>0</v>
      </c>
      <c r="EU228">
        <v>0</v>
      </c>
      <c r="EV228">
        <v>8.9636363636364194E-2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3.3</v>
      </c>
      <c r="FE228">
        <v>3.3</v>
      </c>
      <c r="FF228">
        <v>1.2402299999999999</v>
      </c>
      <c r="FG228">
        <v>2.5744600000000002</v>
      </c>
      <c r="FH228">
        <v>2.19604</v>
      </c>
      <c r="FI228">
        <v>2.66235</v>
      </c>
      <c r="FJ228">
        <v>2.4462899999999999</v>
      </c>
      <c r="FK228">
        <v>2.2680699999999998</v>
      </c>
      <c r="FL228">
        <v>31.9146</v>
      </c>
      <c r="FM228">
        <v>24.1313</v>
      </c>
      <c r="FN228">
        <v>19</v>
      </c>
      <c r="FO228">
        <v>865.43499999999995</v>
      </c>
      <c r="FP228">
        <v>573.07500000000005</v>
      </c>
      <c r="FQ228">
        <v>17.7728</v>
      </c>
      <c r="FR228">
        <v>25.669</v>
      </c>
      <c r="FS228">
        <v>30.0002</v>
      </c>
      <c r="FT228">
        <v>25.650500000000001</v>
      </c>
      <c r="FU228">
        <v>25.651</v>
      </c>
      <c r="FV228">
        <v>24.909300000000002</v>
      </c>
      <c r="FW228">
        <v>31.538499999999999</v>
      </c>
      <c r="FX228">
        <v>0</v>
      </c>
      <c r="FY228">
        <v>17.755500000000001</v>
      </c>
      <c r="FZ228">
        <v>410</v>
      </c>
      <c r="GA228">
        <v>14.607900000000001</v>
      </c>
      <c r="GB228">
        <v>99.838499999999996</v>
      </c>
      <c r="GC228">
        <v>99.585499999999996</v>
      </c>
    </row>
    <row r="229" spans="1:185" x14ac:dyDescent="0.2">
      <c r="A229">
        <v>214</v>
      </c>
      <c r="B229">
        <v>1769187006.0999999</v>
      </c>
      <c r="C229">
        <v>4143.0999999046298</v>
      </c>
      <c r="D229" t="s">
        <v>727</v>
      </c>
      <c r="E229" t="s">
        <v>728</v>
      </c>
      <c r="F229">
        <v>15</v>
      </c>
      <c r="G229">
        <v>1769186998.03333</v>
      </c>
      <c r="H229">
        <f t="shared" si="39"/>
        <v>6.2907331625434201E-4</v>
      </c>
      <c r="I229">
        <v>0</v>
      </c>
      <c r="J229">
        <f t="shared" si="51"/>
        <v>-1.3780029045948584E-3</v>
      </c>
      <c r="K229">
        <f t="shared" si="40"/>
        <v>-3.6089443618998969E-2</v>
      </c>
      <c r="L229">
        <f t="shared" si="41"/>
        <v>69.88196347198344</v>
      </c>
      <c r="M229">
        <f t="shared" si="42"/>
        <v>1.5414209395167753</v>
      </c>
      <c r="N229">
        <f t="shared" si="43"/>
        <v>2.2057493277714646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26269.909170234947</v>
      </c>
      <c r="T229">
        <f t="shared" si="47"/>
        <v>999.99873333333301</v>
      </c>
      <c r="U229">
        <f t="shared" si="48"/>
        <v>842.99904219986092</v>
      </c>
      <c r="V229">
        <f t="shared" si="49"/>
        <v>0.84300011000000052</v>
      </c>
      <c r="W229">
        <f t="shared" si="50"/>
        <v>0.15869988524000012</v>
      </c>
      <c r="X229">
        <v>1</v>
      </c>
      <c r="Y229">
        <v>1769186998.03333</v>
      </c>
      <c r="Z229">
        <v>409.72053333333298</v>
      </c>
      <c r="AA229">
        <v>409.99759999999998</v>
      </c>
      <c r="AB229">
        <v>15.391719999999999</v>
      </c>
      <c r="AC229">
        <v>14.6174866666667</v>
      </c>
      <c r="AD229">
        <v>410.59640000000002</v>
      </c>
      <c r="AE229">
        <v>15.3020866666667</v>
      </c>
      <c r="AF229">
        <v>800.00533333333306</v>
      </c>
      <c r="AG229">
        <v>100.081533333333</v>
      </c>
      <c r="AH229">
        <v>6.458026E-2</v>
      </c>
      <c r="AI229">
        <v>19.0041333333333</v>
      </c>
      <c r="AJ229">
        <v>999.9</v>
      </c>
      <c r="AK229">
        <v>999.9</v>
      </c>
      <c r="AL229">
        <v>0</v>
      </c>
      <c r="AM229">
        <v>0</v>
      </c>
      <c r="AN229">
        <v>5004.3999999999996</v>
      </c>
      <c r="AO229">
        <v>0</v>
      </c>
      <c r="AP229">
        <v>2.0325500000000001</v>
      </c>
      <c r="AQ229">
        <v>-0.27707106666666698</v>
      </c>
      <c r="AR229">
        <v>416.12546666666702</v>
      </c>
      <c r="AS229">
        <v>416.07953333333302</v>
      </c>
      <c r="AT229">
        <v>0.77425066666666698</v>
      </c>
      <c r="AU229">
        <v>409.99759999999998</v>
      </c>
      <c r="AV229">
        <v>14.6174866666667</v>
      </c>
      <c r="AW229">
        <v>1.54042733333333</v>
      </c>
      <c r="AX229">
        <v>1.4629399999999999</v>
      </c>
      <c r="AY229">
        <v>13.37546</v>
      </c>
      <c r="AZ229">
        <v>12.586233333333301</v>
      </c>
      <c r="BA229">
        <v>999.99873333333301</v>
      </c>
      <c r="BB229">
        <v>0.90000213333333401</v>
      </c>
      <c r="BC229">
        <v>0</v>
      </c>
      <c r="BD229">
        <v>9.9998066666666705E-2</v>
      </c>
      <c r="BE229">
        <v>0</v>
      </c>
      <c r="BF229">
        <v>26</v>
      </c>
      <c r="BG229">
        <v>16488.78</v>
      </c>
      <c r="BH229">
        <v>1769186794.0999999</v>
      </c>
      <c r="BI229" t="s">
        <v>698</v>
      </c>
      <c r="BJ229">
        <v>1769186793.0999999</v>
      </c>
      <c r="BK229">
        <v>1769186794.0999999</v>
      </c>
      <c r="BL229">
        <v>7</v>
      </c>
      <c r="BM229">
        <v>4.2000000000000003E-2</v>
      </c>
      <c r="BN229">
        <v>-3.0000000000000001E-3</v>
      </c>
      <c r="BO229">
        <v>-0.876</v>
      </c>
      <c r="BP229">
        <v>0.09</v>
      </c>
      <c r="BQ229">
        <v>410</v>
      </c>
      <c r="BR229">
        <v>15</v>
      </c>
      <c r="BS229">
        <v>0.14000000000000001</v>
      </c>
      <c r="BT229">
        <v>0.1</v>
      </c>
      <c r="BU229">
        <v>-0.28159147619047598</v>
      </c>
      <c r="BV229">
        <v>4.3888519480519403E-2</v>
      </c>
      <c r="BW229">
        <v>2.3491748935721202E-2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0.774463809523809</v>
      </c>
      <c r="CD229">
        <v>-2.6757662337651301E-3</v>
      </c>
      <c r="CE229">
        <v>1.1436410367163599E-3</v>
      </c>
      <c r="CF229">
        <v>1</v>
      </c>
      <c r="CG229">
        <v>2</v>
      </c>
      <c r="CH229">
        <v>2</v>
      </c>
      <c r="CI229" t="s">
        <v>310</v>
      </c>
      <c r="CJ229">
        <v>3.5325700000000002</v>
      </c>
      <c r="CK229">
        <v>2.7025700000000001</v>
      </c>
      <c r="CL229">
        <v>9.7849500000000006E-2</v>
      </c>
      <c r="CM229">
        <v>9.6534099999999998E-2</v>
      </c>
      <c r="CN229">
        <v>8.70557E-2</v>
      </c>
      <c r="CO229">
        <v>8.2882700000000004E-2</v>
      </c>
      <c r="CP229">
        <v>31622.6</v>
      </c>
      <c r="CQ229">
        <v>27779.5</v>
      </c>
      <c r="CR229">
        <v>32443.1</v>
      </c>
      <c r="CS229">
        <v>30675.599999999999</v>
      </c>
      <c r="CT229">
        <v>40106.699999999997</v>
      </c>
      <c r="CU229">
        <v>39558.300000000003</v>
      </c>
      <c r="CV229">
        <v>47380.5</v>
      </c>
      <c r="CW229">
        <v>46778.8</v>
      </c>
      <c r="CX229">
        <v>2.6203599999999998</v>
      </c>
      <c r="CY229">
        <v>2.12358</v>
      </c>
      <c r="CZ229">
        <v>0</v>
      </c>
      <c r="DA229">
        <v>0</v>
      </c>
      <c r="DB229">
        <v>999.9</v>
      </c>
      <c r="DC229">
        <v>999.9</v>
      </c>
      <c r="DD229">
        <v>56.33</v>
      </c>
      <c r="DE229">
        <v>27.300999999999998</v>
      </c>
      <c r="DF229">
        <v>20.504200000000001</v>
      </c>
      <c r="DG229">
        <v>30.600200000000001</v>
      </c>
      <c r="DH229">
        <v>17.796500000000002</v>
      </c>
      <c r="DI229">
        <v>2</v>
      </c>
      <c r="DJ229">
        <v>-0.103728</v>
      </c>
      <c r="DK229">
        <v>2.6513</v>
      </c>
      <c r="DL229">
        <v>20.181000000000001</v>
      </c>
      <c r="DM229">
        <v>5.2501199999999999</v>
      </c>
      <c r="DN229">
        <v>12.033899999999999</v>
      </c>
      <c r="DO229">
        <v>4.9670800000000002</v>
      </c>
      <c r="DP229">
        <v>3.2909999999999999</v>
      </c>
      <c r="DQ229">
        <v>9999</v>
      </c>
      <c r="DR229">
        <v>9999</v>
      </c>
      <c r="DS229">
        <v>535.1</v>
      </c>
      <c r="DT229">
        <v>9999</v>
      </c>
      <c r="DU229">
        <v>1.8711500000000001</v>
      </c>
      <c r="DV229">
        <v>1.8761099999999999</v>
      </c>
      <c r="DW229">
        <v>1.87636</v>
      </c>
      <c r="DX229">
        <v>1.8827799999999999</v>
      </c>
      <c r="DY229">
        <v>1.87561</v>
      </c>
      <c r="DZ229">
        <v>1.8746799999999999</v>
      </c>
      <c r="EA229">
        <v>1.87083</v>
      </c>
      <c r="EB229">
        <v>1.8746799999999999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-0.875</v>
      </c>
      <c r="EQ229">
        <v>8.9700000000000002E-2</v>
      </c>
      <c r="ER229">
        <v>-0.87579999999997005</v>
      </c>
      <c r="ES229">
        <v>0</v>
      </c>
      <c r="ET229">
        <v>0</v>
      </c>
      <c r="EU229">
        <v>0</v>
      </c>
      <c r="EV229">
        <v>8.9636363636364194E-2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3.5</v>
      </c>
      <c r="FE229">
        <v>3.5</v>
      </c>
      <c r="FF229">
        <v>1.24146</v>
      </c>
      <c r="FG229">
        <v>2.5720200000000002</v>
      </c>
      <c r="FH229">
        <v>2.19604</v>
      </c>
      <c r="FI229">
        <v>2.66235</v>
      </c>
      <c r="FJ229">
        <v>2.4462899999999999</v>
      </c>
      <c r="FK229">
        <v>2.2949199999999998</v>
      </c>
      <c r="FL229">
        <v>31.892700000000001</v>
      </c>
      <c r="FM229">
        <v>24.14</v>
      </c>
      <c r="FN229">
        <v>19</v>
      </c>
      <c r="FO229">
        <v>865.41600000000005</v>
      </c>
      <c r="FP229">
        <v>572.98400000000004</v>
      </c>
      <c r="FQ229">
        <v>17.7456</v>
      </c>
      <c r="FR229">
        <v>25.669</v>
      </c>
      <c r="FS229">
        <v>30.0001</v>
      </c>
      <c r="FT229">
        <v>25.650500000000001</v>
      </c>
      <c r="FU229">
        <v>25.651</v>
      </c>
      <c r="FV229">
        <v>24.909300000000002</v>
      </c>
      <c r="FW229">
        <v>31.538499999999999</v>
      </c>
      <c r="FX229">
        <v>0</v>
      </c>
      <c r="FY229">
        <v>17.7425</v>
      </c>
      <c r="FZ229">
        <v>410</v>
      </c>
      <c r="GA229">
        <v>14.607900000000001</v>
      </c>
      <c r="GB229">
        <v>99.837299999999999</v>
      </c>
      <c r="GC229">
        <v>99.584199999999996</v>
      </c>
    </row>
    <row r="230" spans="1:185" x14ac:dyDescent="0.2">
      <c r="A230">
        <v>215</v>
      </c>
      <c r="B230">
        <v>1769187021.0999999</v>
      </c>
      <c r="C230">
        <v>4158.0999999046298</v>
      </c>
      <c r="D230" t="s">
        <v>729</v>
      </c>
      <c r="E230" t="s">
        <v>730</v>
      </c>
      <c r="F230">
        <v>15</v>
      </c>
      <c r="G230">
        <v>1769187013.03333</v>
      </c>
      <c r="H230">
        <f t="shared" si="39"/>
        <v>6.2572606825500045E-4</v>
      </c>
      <c r="I230">
        <v>0</v>
      </c>
      <c r="J230">
        <f t="shared" si="51"/>
        <v>-9.4442916209979192E-4</v>
      </c>
      <c r="K230">
        <f t="shared" si="40"/>
        <v>-2.4734289662299201E-2</v>
      </c>
      <c r="L230">
        <f t="shared" si="41"/>
        <v>69.862742047195979</v>
      </c>
      <c r="M230">
        <f t="shared" si="42"/>
        <v>1.5409200371582685</v>
      </c>
      <c r="N230">
        <f t="shared" si="43"/>
        <v>2.2056392177067647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26225.605148073773</v>
      </c>
      <c r="T230">
        <f t="shared" si="47"/>
        <v>999.99800000000005</v>
      </c>
      <c r="U230">
        <f t="shared" si="48"/>
        <v>842.9983769998737</v>
      </c>
      <c r="V230">
        <f t="shared" si="49"/>
        <v>0.84300006299999963</v>
      </c>
      <c r="W230">
        <f t="shared" si="50"/>
        <v>0.15869983269999993</v>
      </c>
      <c r="X230">
        <v>1</v>
      </c>
      <c r="Y230">
        <v>1769187013.03333</v>
      </c>
      <c r="Z230">
        <v>409.70293333333302</v>
      </c>
      <c r="AA230">
        <v>409.99246666666699</v>
      </c>
      <c r="AB230">
        <v>15.386620000000001</v>
      </c>
      <c r="AC230">
        <v>14.6165</v>
      </c>
      <c r="AD230">
        <v>410.5788</v>
      </c>
      <c r="AE230">
        <v>15.29698</v>
      </c>
      <c r="AF230">
        <v>800.00293333333298</v>
      </c>
      <c r="AG230">
        <v>100.08199999999999</v>
      </c>
      <c r="AH230">
        <v>6.4753293333333295E-2</v>
      </c>
      <c r="AI230">
        <v>19.003333333333298</v>
      </c>
      <c r="AJ230">
        <v>999.9</v>
      </c>
      <c r="AK230">
        <v>999.9</v>
      </c>
      <c r="AL230">
        <v>0</v>
      </c>
      <c r="AM230">
        <v>0</v>
      </c>
      <c r="AN230">
        <v>4997.0666666666702</v>
      </c>
      <c r="AO230">
        <v>0</v>
      </c>
      <c r="AP230">
        <v>2.0084626666666701</v>
      </c>
      <c r="AQ230">
        <v>-0.28942053333333301</v>
      </c>
      <c r="AR230">
        <v>416.10546666666698</v>
      </c>
      <c r="AS230">
        <v>416.073933333333</v>
      </c>
      <c r="AT230">
        <v>0.77010480000000003</v>
      </c>
      <c r="AU230">
        <v>409.99246666666699</v>
      </c>
      <c r="AV230">
        <v>14.6165</v>
      </c>
      <c r="AW230">
        <v>1.5399240000000001</v>
      </c>
      <c r="AX230">
        <v>1.46285133333333</v>
      </c>
      <c r="AY230">
        <v>13.37044</v>
      </c>
      <c r="AZ230">
        <v>12.5853066666667</v>
      </c>
      <c r="BA230">
        <v>999.99800000000005</v>
      </c>
      <c r="BB230">
        <v>0.90000273333333303</v>
      </c>
      <c r="BC230">
        <v>0</v>
      </c>
      <c r="BD230">
        <v>9.9997433333333302E-2</v>
      </c>
      <c r="BE230">
        <v>0</v>
      </c>
      <c r="BF230">
        <v>26</v>
      </c>
      <c r="BG230">
        <v>16488.773333333302</v>
      </c>
      <c r="BH230">
        <v>1769186794.0999999</v>
      </c>
      <c r="BI230" t="s">
        <v>698</v>
      </c>
      <c r="BJ230">
        <v>1769186793.0999999</v>
      </c>
      <c r="BK230">
        <v>1769186794.0999999</v>
      </c>
      <c r="BL230">
        <v>7</v>
      </c>
      <c r="BM230">
        <v>4.2000000000000003E-2</v>
      </c>
      <c r="BN230">
        <v>-3.0000000000000001E-3</v>
      </c>
      <c r="BO230">
        <v>-0.876</v>
      </c>
      <c r="BP230">
        <v>0.09</v>
      </c>
      <c r="BQ230">
        <v>410</v>
      </c>
      <c r="BR230">
        <v>15</v>
      </c>
      <c r="BS230">
        <v>0.14000000000000001</v>
      </c>
      <c r="BT230">
        <v>0.1</v>
      </c>
      <c r="BU230">
        <v>-0.28786790476190499</v>
      </c>
      <c r="BV230">
        <v>-7.0381558441559106E-2</v>
      </c>
      <c r="BW230">
        <v>2.48655769055953E-2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0.77178899999999995</v>
      </c>
      <c r="CD230">
        <v>-3.3463324675324098E-2</v>
      </c>
      <c r="CE230">
        <v>4.3511369395442603E-3</v>
      </c>
      <c r="CF230">
        <v>1</v>
      </c>
      <c r="CG230">
        <v>2</v>
      </c>
      <c r="CH230">
        <v>2</v>
      </c>
      <c r="CI230" t="s">
        <v>310</v>
      </c>
      <c r="CJ230">
        <v>3.5325899999999999</v>
      </c>
      <c r="CK230">
        <v>2.7026500000000002</v>
      </c>
      <c r="CL230">
        <v>9.78493E-2</v>
      </c>
      <c r="CM230">
        <v>9.6542299999999998E-2</v>
      </c>
      <c r="CN230">
        <v>8.6994699999999994E-2</v>
      </c>
      <c r="CO230">
        <v>8.2874600000000007E-2</v>
      </c>
      <c r="CP230">
        <v>31623.1</v>
      </c>
      <c r="CQ230">
        <v>27779.5</v>
      </c>
      <c r="CR230">
        <v>32443.599999999999</v>
      </c>
      <c r="CS230">
        <v>30675.9</v>
      </c>
      <c r="CT230">
        <v>40109.9</v>
      </c>
      <c r="CU230">
        <v>39559</v>
      </c>
      <c r="CV230">
        <v>47381</v>
      </c>
      <c r="CW230">
        <v>46779.199999999997</v>
      </c>
      <c r="CX230">
        <v>2.6203599999999998</v>
      </c>
      <c r="CY230">
        <v>2.1234799999999998</v>
      </c>
      <c r="CZ230">
        <v>0</v>
      </c>
      <c r="DA230">
        <v>0</v>
      </c>
      <c r="DB230">
        <v>999.9</v>
      </c>
      <c r="DC230">
        <v>999.9</v>
      </c>
      <c r="DD230">
        <v>56.311999999999998</v>
      </c>
      <c r="DE230">
        <v>27.300999999999998</v>
      </c>
      <c r="DF230">
        <v>20.495999999999999</v>
      </c>
      <c r="DG230">
        <v>30.4802</v>
      </c>
      <c r="DH230">
        <v>17.892600000000002</v>
      </c>
      <c r="DI230">
        <v>2</v>
      </c>
      <c r="DJ230">
        <v>-0.104087</v>
      </c>
      <c r="DK230">
        <v>2.6640600000000001</v>
      </c>
      <c r="DL230">
        <v>20.180800000000001</v>
      </c>
      <c r="DM230">
        <v>5.2498800000000001</v>
      </c>
      <c r="DN230">
        <v>12.033899999999999</v>
      </c>
      <c r="DO230">
        <v>4.9671200000000004</v>
      </c>
      <c r="DP230">
        <v>3.2909999999999999</v>
      </c>
      <c r="DQ230">
        <v>9999</v>
      </c>
      <c r="DR230">
        <v>9999</v>
      </c>
      <c r="DS230">
        <v>535.1</v>
      </c>
      <c r="DT230">
        <v>9999</v>
      </c>
      <c r="DU230">
        <v>1.8711100000000001</v>
      </c>
      <c r="DV230">
        <v>1.8761099999999999</v>
      </c>
      <c r="DW230">
        <v>1.8763700000000001</v>
      </c>
      <c r="DX230">
        <v>1.8827799999999999</v>
      </c>
      <c r="DY230">
        <v>1.87561</v>
      </c>
      <c r="DZ230">
        <v>1.87469</v>
      </c>
      <c r="EA230">
        <v>1.8708199999999999</v>
      </c>
      <c r="EB230">
        <v>1.8746799999999999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-0.876</v>
      </c>
      <c r="EQ230">
        <v>8.9599999999999999E-2</v>
      </c>
      <c r="ER230">
        <v>-0.87579999999997005</v>
      </c>
      <c r="ES230">
        <v>0</v>
      </c>
      <c r="ET230">
        <v>0</v>
      </c>
      <c r="EU230">
        <v>0</v>
      </c>
      <c r="EV230">
        <v>8.9636363636364194E-2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3.8</v>
      </c>
      <c r="FE230">
        <v>3.8</v>
      </c>
      <c r="FF230">
        <v>1.2402299999999999</v>
      </c>
      <c r="FG230">
        <v>2.5634800000000002</v>
      </c>
      <c r="FH230">
        <v>2.19604</v>
      </c>
      <c r="FI230">
        <v>2.66235</v>
      </c>
      <c r="FJ230">
        <v>2.4462899999999999</v>
      </c>
      <c r="FK230">
        <v>2.3022499999999999</v>
      </c>
      <c r="FL230">
        <v>31.9146</v>
      </c>
      <c r="FM230">
        <v>24.14</v>
      </c>
      <c r="FN230">
        <v>19</v>
      </c>
      <c r="FO230">
        <v>865.41600000000005</v>
      </c>
      <c r="FP230">
        <v>572.90700000000004</v>
      </c>
      <c r="FQ230">
        <v>17.738099999999999</v>
      </c>
      <c r="FR230">
        <v>25.666799999999999</v>
      </c>
      <c r="FS230">
        <v>30</v>
      </c>
      <c r="FT230">
        <v>25.650500000000001</v>
      </c>
      <c r="FU230">
        <v>25.651</v>
      </c>
      <c r="FV230">
        <v>24.907900000000001</v>
      </c>
      <c r="FW230">
        <v>31.538499999999999</v>
      </c>
      <c r="FX230">
        <v>0</v>
      </c>
      <c r="FY230">
        <v>17.732399999999998</v>
      </c>
      <c r="FZ230">
        <v>410</v>
      </c>
      <c r="GA230">
        <v>14.6082</v>
      </c>
      <c r="GB230">
        <v>99.8386</v>
      </c>
      <c r="GC230">
        <v>99.584999999999994</v>
      </c>
    </row>
    <row r="231" spans="1:185" x14ac:dyDescent="0.2">
      <c r="A231">
        <v>216</v>
      </c>
      <c r="B231">
        <v>1769187036.0999999</v>
      </c>
      <c r="C231">
        <v>4173.0999999046298</v>
      </c>
      <c r="D231" t="s">
        <v>731</v>
      </c>
      <c r="E231" t="s">
        <v>732</v>
      </c>
      <c r="F231">
        <v>15</v>
      </c>
      <c r="G231">
        <v>1769187028.03333</v>
      </c>
      <c r="H231">
        <f t="shared" si="39"/>
        <v>6.1948061432867067E-4</v>
      </c>
      <c r="I231">
        <v>0</v>
      </c>
      <c r="J231">
        <f t="shared" si="51"/>
        <v>-1.8462415803726452E-4</v>
      </c>
      <c r="K231">
        <f t="shared" si="40"/>
        <v>-4.8352460796517501E-3</v>
      </c>
      <c r="L231">
        <f t="shared" si="41"/>
        <v>69.822337872632104</v>
      </c>
      <c r="M231">
        <f t="shared" si="42"/>
        <v>1.5400628223847475</v>
      </c>
      <c r="N231">
        <f t="shared" si="43"/>
        <v>2.2056878490578269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26250.830473991573</v>
      </c>
      <c r="T231">
        <f t="shared" si="47"/>
        <v>999.99793333333298</v>
      </c>
      <c r="U231">
        <f t="shared" si="48"/>
        <v>842.99807320038087</v>
      </c>
      <c r="V231">
        <f t="shared" si="49"/>
        <v>0.84299981539999969</v>
      </c>
      <c r="W231">
        <f t="shared" si="50"/>
        <v>0.15869949952399995</v>
      </c>
      <c r="X231">
        <v>1</v>
      </c>
      <c r="Y231">
        <v>1769187028.03333</v>
      </c>
      <c r="Z231">
        <v>409.69540000000001</v>
      </c>
      <c r="AA231">
        <v>410.00659999999999</v>
      </c>
      <c r="AB231">
        <v>15.37792</v>
      </c>
      <c r="AC231">
        <v>14.615486666666699</v>
      </c>
      <c r="AD231">
        <v>410.57133333333297</v>
      </c>
      <c r="AE231">
        <v>15.2882533333333</v>
      </c>
      <c r="AF231">
        <v>800.01</v>
      </c>
      <c r="AG231">
        <v>100.082666666667</v>
      </c>
      <c r="AH231">
        <v>6.5001053333333406E-2</v>
      </c>
      <c r="AI231">
        <v>19.003686666666699</v>
      </c>
      <c r="AJ231">
        <v>999.9</v>
      </c>
      <c r="AK231">
        <v>999.9</v>
      </c>
      <c r="AL231">
        <v>0</v>
      </c>
      <c r="AM231">
        <v>0</v>
      </c>
      <c r="AN231">
        <v>5001.2</v>
      </c>
      <c r="AO231">
        <v>0</v>
      </c>
      <c r="AP231">
        <v>1.9760899999999999</v>
      </c>
      <c r="AQ231">
        <v>-0.31115520000000002</v>
      </c>
      <c r="AR231">
        <v>416.09399999999999</v>
      </c>
      <c r="AS231">
        <v>416.08793333333301</v>
      </c>
      <c r="AT231">
        <v>0.76241793333333396</v>
      </c>
      <c r="AU231">
        <v>410.00659999999999</v>
      </c>
      <c r="AV231">
        <v>14.615486666666699</v>
      </c>
      <c r="AW231">
        <v>1.539064</v>
      </c>
      <c r="AX231">
        <v>1.4627586666666701</v>
      </c>
      <c r="AY231">
        <v>13.3618533333333</v>
      </c>
      <c r="AZ231">
        <v>12.584339999999999</v>
      </c>
      <c r="BA231">
        <v>999.99793333333298</v>
      </c>
      <c r="BB231">
        <v>0.90000673333333303</v>
      </c>
      <c r="BC231">
        <v>0</v>
      </c>
      <c r="BD231">
        <v>9.9993286666666695E-2</v>
      </c>
      <c r="BE231">
        <v>0</v>
      </c>
      <c r="BF231">
        <v>26</v>
      </c>
      <c r="BG231">
        <v>16488.793333333299</v>
      </c>
      <c r="BH231">
        <v>1769186794.0999999</v>
      </c>
      <c r="BI231" t="s">
        <v>698</v>
      </c>
      <c r="BJ231">
        <v>1769186793.0999999</v>
      </c>
      <c r="BK231">
        <v>1769186794.0999999</v>
      </c>
      <c r="BL231">
        <v>7</v>
      </c>
      <c r="BM231">
        <v>4.2000000000000003E-2</v>
      </c>
      <c r="BN231">
        <v>-3.0000000000000001E-3</v>
      </c>
      <c r="BO231">
        <v>-0.876</v>
      </c>
      <c r="BP231">
        <v>0.09</v>
      </c>
      <c r="BQ231">
        <v>410</v>
      </c>
      <c r="BR231">
        <v>15</v>
      </c>
      <c r="BS231">
        <v>0.14000000000000001</v>
      </c>
      <c r="BT231">
        <v>0.1</v>
      </c>
      <c r="BU231">
        <v>-0.31334719047619097</v>
      </c>
      <c r="BV231">
        <v>7.8423896103897509E-3</v>
      </c>
      <c r="BW231">
        <v>1.4311057262261199E-2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0.76313157142857102</v>
      </c>
      <c r="CD231">
        <v>-1.4384883116881599E-2</v>
      </c>
      <c r="CE231">
        <v>1.64175198438476E-3</v>
      </c>
      <c r="CF231">
        <v>1</v>
      </c>
      <c r="CG231">
        <v>2</v>
      </c>
      <c r="CH231">
        <v>2</v>
      </c>
      <c r="CI231" t="s">
        <v>310</v>
      </c>
      <c r="CJ231">
        <v>3.5325000000000002</v>
      </c>
      <c r="CK231">
        <v>2.7027600000000001</v>
      </c>
      <c r="CL231">
        <v>9.7846299999999997E-2</v>
      </c>
      <c r="CM231">
        <v>9.6538799999999994E-2</v>
      </c>
      <c r="CN231">
        <v>8.6988499999999996E-2</v>
      </c>
      <c r="CO231">
        <v>8.2872399999999999E-2</v>
      </c>
      <c r="CP231">
        <v>31623</v>
      </c>
      <c r="CQ231">
        <v>27779.3</v>
      </c>
      <c r="CR231">
        <v>32443.3</v>
      </c>
      <c r="CS231">
        <v>30675.5</v>
      </c>
      <c r="CT231">
        <v>40109.9</v>
      </c>
      <c r="CU231">
        <v>39558.6</v>
      </c>
      <c r="CV231">
        <v>47380.7</v>
      </c>
      <c r="CW231">
        <v>46778.5</v>
      </c>
      <c r="CX231">
        <v>2.6204200000000002</v>
      </c>
      <c r="CY231">
        <v>2.1238199999999998</v>
      </c>
      <c r="CZ231">
        <v>0</v>
      </c>
      <c r="DA231">
        <v>0</v>
      </c>
      <c r="DB231">
        <v>999.9</v>
      </c>
      <c r="DC231">
        <v>999.9</v>
      </c>
      <c r="DD231">
        <v>56.286999999999999</v>
      </c>
      <c r="DE231">
        <v>27.311</v>
      </c>
      <c r="DF231">
        <v>20.5015</v>
      </c>
      <c r="DG231">
        <v>30.540199999999999</v>
      </c>
      <c r="DH231">
        <v>17.8766</v>
      </c>
      <c r="DI231">
        <v>2</v>
      </c>
      <c r="DJ231">
        <v>-0.103963</v>
      </c>
      <c r="DK231">
        <v>2.6829499999999999</v>
      </c>
      <c r="DL231">
        <v>20.180700000000002</v>
      </c>
      <c r="DM231">
        <v>5.2510700000000003</v>
      </c>
      <c r="DN231">
        <v>12.033899999999999</v>
      </c>
      <c r="DO231">
        <v>4.9671200000000004</v>
      </c>
      <c r="DP231">
        <v>3.2909999999999999</v>
      </c>
      <c r="DQ231">
        <v>9999</v>
      </c>
      <c r="DR231">
        <v>9999</v>
      </c>
      <c r="DS231">
        <v>535.1</v>
      </c>
      <c r="DT231">
        <v>9999</v>
      </c>
      <c r="DU231">
        <v>1.8711100000000001</v>
      </c>
      <c r="DV231">
        <v>1.8761300000000001</v>
      </c>
      <c r="DW231">
        <v>1.87635</v>
      </c>
      <c r="DX231">
        <v>1.8827799999999999</v>
      </c>
      <c r="DY231">
        <v>1.87561</v>
      </c>
      <c r="DZ231">
        <v>1.87469</v>
      </c>
      <c r="EA231">
        <v>1.87083</v>
      </c>
      <c r="EB231">
        <v>1.8746799999999999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-0.875</v>
      </c>
      <c r="EQ231">
        <v>8.9599999999999999E-2</v>
      </c>
      <c r="ER231">
        <v>-0.87579999999997005</v>
      </c>
      <c r="ES231">
        <v>0</v>
      </c>
      <c r="ET231">
        <v>0</v>
      </c>
      <c r="EU231">
        <v>0</v>
      </c>
      <c r="EV231">
        <v>8.9636363636364194E-2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4</v>
      </c>
      <c r="FE231">
        <v>4</v>
      </c>
      <c r="FF231">
        <v>1.24146</v>
      </c>
      <c r="FG231">
        <v>2.5769000000000002</v>
      </c>
      <c r="FH231">
        <v>2.19604</v>
      </c>
      <c r="FI231">
        <v>2.66235</v>
      </c>
      <c r="FJ231">
        <v>2.4462899999999999</v>
      </c>
      <c r="FK231">
        <v>2.2924799999999999</v>
      </c>
      <c r="FL231">
        <v>31.892700000000001</v>
      </c>
      <c r="FM231">
        <v>24.1313</v>
      </c>
      <c r="FN231">
        <v>19</v>
      </c>
      <c r="FO231">
        <v>865.47199999999998</v>
      </c>
      <c r="FP231">
        <v>573.16700000000003</v>
      </c>
      <c r="FQ231">
        <v>17.725899999999999</v>
      </c>
      <c r="FR231">
        <v>25.666799999999999</v>
      </c>
      <c r="FS231">
        <v>30.0001</v>
      </c>
      <c r="FT231">
        <v>25.650500000000001</v>
      </c>
      <c r="FU231">
        <v>25.651</v>
      </c>
      <c r="FV231">
        <v>24.909500000000001</v>
      </c>
      <c r="FW231">
        <v>31.538499999999999</v>
      </c>
      <c r="FX231">
        <v>0</v>
      </c>
      <c r="FY231">
        <v>17.721599999999999</v>
      </c>
      <c r="FZ231">
        <v>410</v>
      </c>
      <c r="GA231">
        <v>14.610200000000001</v>
      </c>
      <c r="GB231">
        <v>99.837900000000005</v>
      </c>
      <c r="GC231">
        <v>99.583699999999993</v>
      </c>
    </row>
    <row r="232" spans="1:185" x14ac:dyDescent="0.2">
      <c r="A232">
        <v>217</v>
      </c>
      <c r="B232">
        <v>1769187051.0999999</v>
      </c>
      <c r="C232">
        <v>4188.0999999046298</v>
      </c>
      <c r="D232" t="s">
        <v>733</v>
      </c>
      <c r="E232" t="s">
        <v>734</v>
      </c>
      <c r="F232">
        <v>15</v>
      </c>
      <c r="G232">
        <v>1769187043.03333</v>
      </c>
      <c r="H232">
        <f t="shared" si="39"/>
        <v>6.1825933041844685E-4</v>
      </c>
      <c r="I232">
        <v>0</v>
      </c>
      <c r="J232">
        <f t="shared" si="51"/>
        <v>-5.790015221600307E-4</v>
      </c>
      <c r="K232">
        <f t="shared" si="40"/>
        <v>-1.5163859756487612E-2</v>
      </c>
      <c r="L232">
        <f t="shared" si="41"/>
        <v>69.820777353675652</v>
      </c>
      <c r="M232">
        <f t="shared" si="42"/>
        <v>1.5398656814555478</v>
      </c>
      <c r="N232">
        <f t="shared" si="43"/>
        <v>2.2054547941444294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26251.986446792591</v>
      </c>
      <c r="T232">
        <f t="shared" si="47"/>
        <v>999.99966666666705</v>
      </c>
      <c r="U232">
        <f t="shared" si="48"/>
        <v>842.99940840010379</v>
      </c>
      <c r="V232">
        <f t="shared" si="49"/>
        <v>0.84299968939999992</v>
      </c>
      <c r="W232">
        <f t="shared" si="50"/>
        <v>0.15869931444399998</v>
      </c>
      <c r="X232">
        <v>1</v>
      </c>
      <c r="Y232">
        <v>1769187043.03333</v>
      </c>
      <c r="Z232">
        <v>409.69466666666699</v>
      </c>
      <c r="AA232">
        <v>409.99233333333302</v>
      </c>
      <c r="AB232">
        <v>15.376099999999999</v>
      </c>
      <c r="AC232">
        <v>14.615159999999999</v>
      </c>
      <c r="AD232">
        <v>410.570533333333</v>
      </c>
      <c r="AE232">
        <v>15.2864466666667</v>
      </c>
      <c r="AF232">
        <v>800.00120000000004</v>
      </c>
      <c r="AG232">
        <v>100.081866666667</v>
      </c>
      <c r="AH232">
        <v>6.4833826666666705E-2</v>
      </c>
      <c r="AI232">
        <v>19.001993333333299</v>
      </c>
      <c r="AJ232">
        <v>999.9</v>
      </c>
      <c r="AK232">
        <v>999.9</v>
      </c>
      <c r="AL232">
        <v>0</v>
      </c>
      <c r="AM232">
        <v>0</v>
      </c>
      <c r="AN232">
        <v>5001.3999999999996</v>
      </c>
      <c r="AO232">
        <v>0</v>
      </c>
      <c r="AP232">
        <v>1.9760899999999999</v>
      </c>
      <c r="AQ232">
        <v>-0.29749953333333301</v>
      </c>
      <c r="AR232">
        <v>416.0926</v>
      </c>
      <c r="AS232">
        <v>416.07319999999999</v>
      </c>
      <c r="AT232">
        <v>0.76093719999999998</v>
      </c>
      <c r="AU232">
        <v>409.99233333333302</v>
      </c>
      <c r="AV232">
        <v>14.615159999999999</v>
      </c>
      <c r="AW232">
        <v>1.5388693333333301</v>
      </c>
      <c r="AX232">
        <v>1.46271333333333</v>
      </c>
      <c r="AY232">
        <v>13.359920000000001</v>
      </c>
      <c r="AZ232">
        <v>12.58386</v>
      </c>
      <c r="BA232">
        <v>999.99966666666705</v>
      </c>
      <c r="BB232">
        <v>0.90000899999999995</v>
      </c>
      <c r="BC232">
        <v>0</v>
      </c>
      <c r="BD232">
        <v>9.9990953333333299E-2</v>
      </c>
      <c r="BE232">
        <v>0</v>
      </c>
      <c r="BF232">
        <v>26</v>
      </c>
      <c r="BG232">
        <v>16488.8266666667</v>
      </c>
      <c r="BH232">
        <v>1769186794.0999999</v>
      </c>
      <c r="BI232" t="s">
        <v>698</v>
      </c>
      <c r="BJ232">
        <v>1769186793.0999999</v>
      </c>
      <c r="BK232">
        <v>1769186794.0999999</v>
      </c>
      <c r="BL232">
        <v>7</v>
      </c>
      <c r="BM232">
        <v>4.2000000000000003E-2</v>
      </c>
      <c r="BN232">
        <v>-3.0000000000000001E-3</v>
      </c>
      <c r="BO232">
        <v>-0.876</v>
      </c>
      <c r="BP232">
        <v>0.09</v>
      </c>
      <c r="BQ232">
        <v>410</v>
      </c>
      <c r="BR232">
        <v>15</v>
      </c>
      <c r="BS232">
        <v>0.14000000000000001</v>
      </c>
      <c r="BT232">
        <v>0.1</v>
      </c>
      <c r="BU232">
        <v>-0.30282589999999998</v>
      </c>
      <c r="BV232">
        <v>8.7698796992481301E-2</v>
      </c>
      <c r="BW232">
        <v>2.01185265138876E-2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0.76103690000000002</v>
      </c>
      <c r="CD232">
        <v>-1.6951578947366E-3</v>
      </c>
      <c r="CE232">
        <v>1.0376439610964799E-3</v>
      </c>
      <c r="CF232">
        <v>1</v>
      </c>
      <c r="CG232">
        <v>2</v>
      </c>
      <c r="CH232">
        <v>2</v>
      </c>
      <c r="CI232" t="s">
        <v>310</v>
      </c>
      <c r="CJ232">
        <v>3.5325600000000001</v>
      </c>
      <c r="CK232">
        <v>2.7024300000000001</v>
      </c>
      <c r="CL232">
        <v>9.7848599999999994E-2</v>
      </c>
      <c r="CM232">
        <v>9.6531500000000006E-2</v>
      </c>
      <c r="CN232">
        <v>8.6979200000000007E-2</v>
      </c>
      <c r="CO232">
        <v>8.2867700000000002E-2</v>
      </c>
      <c r="CP232">
        <v>31623.200000000001</v>
      </c>
      <c r="CQ232">
        <v>27779.599999999999</v>
      </c>
      <c r="CR232">
        <v>32443.599999999999</v>
      </c>
      <c r="CS232">
        <v>30675.599999999999</v>
      </c>
      <c r="CT232">
        <v>40110.9</v>
      </c>
      <c r="CU232">
        <v>39558.9</v>
      </c>
      <c r="CV232">
        <v>47381.3</v>
      </c>
      <c r="CW232">
        <v>46778.7</v>
      </c>
      <c r="CX232">
        <v>2.6204000000000001</v>
      </c>
      <c r="CY232">
        <v>2.1236000000000002</v>
      </c>
      <c r="CZ232">
        <v>0</v>
      </c>
      <c r="DA232">
        <v>0</v>
      </c>
      <c r="DB232">
        <v>999.9</v>
      </c>
      <c r="DC232">
        <v>999.9</v>
      </c>
      <c r="DD232">
        <v>56.262999999999998</v>
      </c>
      <c r="DE232">
        <v>27.332000000000001</v>
      </c>
      <c r="DF232">
        <v>20.5166</v>
      </c>
      <c r="DG232">
        <v>30.510300000000001</v>
      </c>
      <c r="DH232">
        <v>17.796500000000002</v>
      </c>
      <c r="DI232">
        <v>2</v>
      </c>
      <c r="DJ232">
        <v>-0.10401000000000001</v>
      </c>
      <c r="DK232">
        <v>2.6815000000000002</v>
      </c>
      <c r="DL232">
        <v>20.180700000000002</v>
      </c>
      <c r="DM232">
        <v>5.2498800000000001</v>
      </c>
      <c r="DN232">
        <v>12.033899999999999</v>
      </c>
      <c r="DO232">
        <v>4.9670800000000002</v>
      </c>
      <c r="DP232">
        <v>3.2910200000000001</v>
      </c>
      <c r="DQ232">
        <v>9999</v>
      </c>
      <c r="DR232">
        <v>9999</v>
      </c>
      <c r="DS232">
        <v>535.1</v>
      </c>
      <c r="DT232">
        <v>9999</v>
      </c>
      <c r="DU232">
        <v>1.8711</v>
      </c>
      <c r="DV232">
        <v>1.87612</v>
      </c>
      <c r="DW232">
        <v>1.87635</v>
      </c>
      <c r="DX232">
        <v>1.8827799999999999</v>
      </c>
      <c r="DY232">
        <v>1.87561</v>
      </c>
      <c r="DZ232">
        <v>1.8746799999999999</v>
      </c>
      <c r="EA232">
        <v>1.8708</v>
      </c>
      <c r="EB232">
        <v>1.8746799999999999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-0.876</v>
      </c>
      <c r="EQ232">
        <v>8.9599999999999999E-2</v>
      </c>
      <c r="ER232">
        <v>-0.87579999999997005</v>
      </c>
      <c r="ES232">
        <v>0</v>
      </c>
      <c r="ET232">
        <v>0</v>
      </c>
      <c r="EU232">
        <v>0</v>
      </c>
      <c r="EV232">
        <v>8.9636363636364194E-2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4.3</v>
      </c>
      <c r="FE232">
        <v>4.3</v>
      </c>
      <c r="FF232">
        <v>1.24146</v>
      </c>
      <c r="FG232">
        <v>2.5659200000000002</v>
      </c>
      <c r="FH232">
        <v>2.19604</v>
      </c>
      <c r="FI232">
        <v>2.66235</v>
      </c>
      <c r="FJ232">
        <v>2.4462899999999999</v>
      </c>
      <c r="FK232">
        <v>2.32056</v>
      </c>
      <c r="FL232">
        <v>31.9146</v>
      </c>
      <c r="FM232">
        <v>24.14</v>
      </c>
      <c r="FN232">
        <v>19</v>
      </c>
      <c r="FO232">
        <v>865.45299999999997</v>
      </c>
      <c r="FP232">
        <v>572.99900000000002</v>
      </c>
      <c r="FQ232">
        <v>17.717199999999998</v>
      </c>
      <c r="FR232">
        <v>25.6648</v>
      </c>
      <c r="FS232">
        <v>30.0001</v>
      </c>
      <c r="FT232">
        <v>25.650500000000001</v>
      </c>
      <c r="FU232">
        <v>25.651</v>
      </c>
      <c r="FV232">
        <v>24.910499999999999</v>
      </c>
      <c r="FW232">
        <v>31.538499999999999</v>
      </c>
      <c r="FX232">
        <v>0</v>
      </c>
      <c r="FY232">
        <v>17.715900000000001</v>
      </c>
      <c r="FZ232">
        <v>410</v>
      </c>
      <c r="GA232">
        <v>14.614599999999999</v>
      </c>
      <c r="GB232">
        <v>99.839100000000002</v>
      </c>
      <c r="GC232">
        <v>99.584000000000003</v>
      </c>
    </row>
    <row r="233" spans="1:185" x14ac:dyDescent="0.2">
      <c r="A233">
        <v>218</v>
      </c>
      <c r="B233">
        <v>1769187066.0999999</v>
      </c>
      <c r="C233">
        <v>4203.0999999046298</v>
      </c>
      <c r="D233" t="s">
        <v>735</v>
      </c>
      <c r="E233" t="s">
        <v>736</v>
      </c>
      <c r="F233">
        <v>15</v>
      </c>
      <c r="G233">
        <v>1769187058.03333</v>
      </c>
      <c r="H233">
        <f t="shared" si="39"/>
        <v>6.1506577549100716E-4</v>
      </c>
      <c r="I233">
        <v>0</v>
      </c>
      <c r="J233">
        <f t="shared" si="51"/>
        <v>-1.0955308371105883E-3</v>
      </c>
      <c r="K233">
        <f t="shared" si="40"/>
        <v>-2.8691592918232256E-2</v>
      </c>
      <c r="L233">
        <f t="shared" si="41"/>
        <v>69.8057820052247</v>
      </c>
      <c r="M233">
        <f t="shared" si="42"/>
        <v>1.5393511618093667</v>
      </c>
      <c r="N233">
        <f t="shared" si="43"/>
        <v>2.2051914864217865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26217.903027455595</v>
      </c>
      <c r="T233">
        <f t="shared" si="47"/>
        <v>1000.0001999999999</v>
      </c>
      <c r="U233">
        <f t="shared" si="48"/>
        <v>842.99989659994594</v>
      </c>
      <c r="V233">
        <f t="shared" si="49"/>
        <v>0.84299972800000034</v>
      </c>
      <c r="W233">
        <f t="shared" si="50"/>
        <v>0.15869932000000003</v>
      </c>
      <c r="X233">
        <v>1</v>
      </c>
      <c r="Y233">
        <v>1769187058.03333</v>
      </c>
      <c r="Z233">
        <v>409.71319999999997</v>
      </c>
      <c r="AA233">
        <v>409.99233333333302</v>
      </c>
      <c r="AB233">
        <v>15.3710133333333</v>
      </c>
      <c r="AC233">
        <v>14.6140066666667</v>
      </c>
      <c r="AD233">
        <v>410.58906666666701</v>
      </c>
      <c r="AE233">
        <v>15.2813866666667</v>
      </c>
      <c r="AF233">
        <v>800.00826666666705</v>
      </c>
      <c r="AG233">
        <v>100.08159999999999</v>
      </c>
      <c r="AH233">
        <v>6.4768259999999994E-2</v>
      </c>
      <c r="AI233">
        <v>19.000080000000001</v>
      </c>
      <c r="AJ233">
        <v>999.9</v>
      </c>
      <c r="AK233">
        <v>999.9</v>
      </c>
      <c r="AL233">
        <v>0</v>
      </c>
      <c r="AM233">
        <v>0</v>
      </c>
      <c r="AN233">
        <v>4995.7666666666701</v>
      </c>
      <c r="AO233">
        <v>0</v>
      </c>
      <c r="AP233">
        <v>1.9760899999999999</v>
      </c>
      <c r="AQ233">
        <v>-0.27916466666666701</v>
      </c>
      <c r="AR233">
        <v>416.10913333333298</v>
      </c>
      <c r="AS233">
        <v>416.07273333333302</v>
      </c>
      <c r="AT233">
        <v>0.75702320000000001</v>
      </c>
      <c r="AU233">
        <v>409.99233333333302</v>
      </c>
      <c r="AV233">
        <v>14.6140066666667</v>
      </c>
      <c r="AW233">
        <v>1.538354</v>
      </c>
      <c r="AX233">
        <v>1.4625906666666699</v>
      </c>
      <c r="AY233">
        <v>13.3547933333333</v>
      </c>
      <c r="AZ233">
        <v>12.582599999999999</v>
      </c>
      <c r="BA233">
        <v>1000.0001999999999</v>
      </c>
      <c r="BB233">
        <v>0.90000906666666702</v>
      </c>
      <c r="BC233">
        <v>0</v>
      </c>
      <c r="BD233">
        <v>9.9990933333333296E-2</v>
      </c>
      <c r="BE233">
        <v>0</v>
      </c>
      <c r="BF233">
        <v>26</v>
      </c>
      <c r="BG233">
        <v>16488.833333333299</v>
      </c>
      <c r="BH233">
        <v>1769186794.0999999</v>
      </c>
      <c r="BI233" t="s">
        <v>698</v>
      </c>
      <c r="BJ233">
        <v>1769186793.0999999</v>
      </c>
      <c r="BK233">
        <v>1769186794.0999999</v>
      </c>
      <c r="BL233">
        <v>7</v>
      </c>
      <c r="BM233">
        <v>4.2000000000000003E-2</v>
      </c>
      <c r="BN233">
        <v>-3.0000000000000001E-3</v>
      </c>
      <c r="BO233">
        <v>-0.876</v>
      </c>
      <c r="BP233">
        <v>0.09</v>
      </c>
      <c r="BQ233">
        <v>410</v>
      </c>
      <c r="BR233">
        <v>15</v>
      </c>
      <c r="BS233">
        <v>0.14000000000000001</v>
      </c>
      <c r="BT233">
        <v>0.1</v>
      </c>
      <c r="BU233">
        <v>-0.283528619047619</v>
      </c>
      <c r="BV233">
        <v>0.102155376623376</v>
      </c>
      <c r="BW233">
        <v>2.0436497385283199E-2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0.75825519047619006</v>
      </c>
      <c r="CD233">
        <v>-2.8743974025973999E-2</v>
      </c>
      <c r="CE233">
        <v>3.0377377644595399E-3</v>
      </c>
      <c r="CF233">
        <v>1</v>
      </c>
      <c r="CG233">
        <v>2</v>
      </c>
      <c r="CH233">
        <v>2</v>
      </c>
      <c r="CI233" t="s">
        <v>310</v>
      </c>
      <c r="CJ233">
        <v>3.53247</v>
      </c>
      <c r="CK233">
        <v>2.70275</v>
      </c>
      <c r="CL233">
        <v>9.7854200000000002E-2</v>
      </c>
      <c r="CM233">
        <v>9.6540100000000004E-2</v>
      </c>
      <c r="CN233">
        <v>8.6937E-2</v>
      </c>
      <c r="CO233">
        <v>8.28681E-2</v>
      </c>
      <c r="CP233">
        <v>31622.799999999999</v>
      </c>
      <c r="CQ233">
        <v>27780.2</v>
      </c>
      <c r="CR233">
        <v>32443.4</v>
      </c>
      <c r="CS233">
        <v>30676.5</v>
      </c>
      <c r="CT233">
        <v>40112.199999999997</v>
      </c>
      <c r="CU233">
        <v>39560.199999999997</v>
      </c>
      <c r="CV233">
        <v>47380.6</v>
      </c>
      <c r="CW233">
        <v>46780.2</v>
      </c>
      <c r="CX233">
        <v>2.6206</v>
      </c>
      <c r="CY233">
        <v>2.1234199999999999</v>
      </c>
      <c r="CZ233">
        <v>0</v>
      </c>
      <c r="DA233">
        <v>0</v>
      </c>
      <c r="DB233">
        <v>999.9</v>
      </c>
      <c r="DC233">
        <v>999.9</v>
      </c>
      <c r="DD233">
        <v>56.22</v>
      </c>
      <c r="DE233">
        <v>27.341999999999999</v>
      </c>
      <c r="DF233">
        <v>20.514399999999998</v>
      </c>
      <c r="DG233">
        <v>30.630299999999998</v>
      </c>
      <c r="DH233">
        <v>17.9407</v>
      </c>
      <c r="DI233">
        <v>2</v>
      </c>
      <c r="DJ233">
        <v>-0.10412</v>
      </c>
      <c r="DK233">
        <v>2.6526900000000002</v>
      </c>
      <c r="DL233">
        <v>20.180800000000001</v>
      </c>
      <c r="DM233">
        <v>5.25</v>
      </c>
      <c r="DN233">
        <v>12.033899999999999</v>
      </c>
      <c r="DO233">
        <v>4.9670399999999999</v>
      </c>
      <c r="DP233">
        <v>3.2909999999999999</v>
      </c>
      <c r="DQ233">
        <v>9999</v>
      </c>
      <c r="DR233">
        <v>9999</v>
      </c>
      <c r="DS233">
        <v>535.1</v>
      </c>
      <c r="DT233">
        <v>9999</v>
      </c>
      <c r="DU233">
        <v>1.87117</v>
      </c>
      <c r="DV233">
        <v>1.8761699999999999</v>
      </c>
      <c r="DW233">
        <v>1.87636</v>
      </c>
      <c r="DX233">
        <v>1.8828100000000001</v>
      </c>
      <c r="DY233">
        <v>1.87561</v>
      </c>
      <c r="DZ233">
        <v>1.87469</v>
      </c>
      <c r="EA233">
        <v>1.8708400000000001</v>
      </c>
      <c r="EB233">
        <v>1.87469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-0.876</v>
      </c>
      <c r="EQ233">
        <v>8.9700000000000002E-2</v>
      </c>
      <c r="ER233">
        <v>-0.87579999999997005</v>
      </c>
      <c r="ES233">
        <v>0</v>
      </c>
      <c r="ET233">
        <v>0</v>
      </c>
      <c r="EU233">
        <v>0</v>
      </c>
      <c r="EV233">
        <v>8.9636363636364194E-2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4.5</v>
      </c>
      <c r="FE233">
        <v>4.5</v>
      </c>
      <c r="FF233">
        <v>1.24146</v>
      </c>
      <c r="FG233">
        <v>2.5659200000000002</v>
      </c>
      <c r="FH233">
        <v>2.19604</v>
      </c>
      <c r="FI233">
        <v>2.66235</v>
      </c>
      <c r="FJ233">
        <v>2.4462899999999999</v>
      </c>
      <c r="FK233">
        <v>2.2961399999999998</v>
      </c>
      <c r="FL233">
        <v>31.9146</v>
      </c>
      <c r="FM233">
        <v>24.1313</v>
      </c>
      <c r="FN233">
        <v>19</v>
      </c>
      <c r="FO233">
        <v>865.64</v>
      </c>
      <c r="FP233">
        <v>572.86099999999999</v>
      </c>
      <c r="FQ233">
        <v>17.7333</v>
      </c>
      <c r="FR233">
        <v>25.6647</v>
      </c>
      <c r="FS233">
        <v>30</v>
      </c>
      <c r="FT233">
        <v>25.650500000000001</v>
      </c>
      <c r="FU233">
        <v>25.651</v>
      </c>
      <c r="FV233">
        <v>24.910699999999999</v>
      </c>
      <c r="FW233">
        <v>31.538499999999999</v>
      </c>
      <c r="FX233">
        <v>0</v>
      </c>
      <c r="FY233">
        <v>17.7288</v>
      </c>
      <c r="FZ233">
        <v>410</v>
      </c>
      <c r="GA233">
        <v>14.6297</v>
      </c>
      <c r="GB233">
        <v>99.837999999999994</v>
      </c>
      <c r="GC233">
        <v>99.587100000000007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2026-01-23T11:56:32Z</dcterms:created>
  <dcterms:modified xsi:type="dcterms:W3CDTF">2026-03-31T16:24:41Z</dcterms:modified>
</cp:coreProperties>
</file>