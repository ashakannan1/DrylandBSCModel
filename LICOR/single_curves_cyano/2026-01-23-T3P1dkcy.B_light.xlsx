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E1DB58F9E19C7BF5D171E8563621A48A" xr6:coauthVersionLast="47" xr6:coauthVersionMax="47" xr10:uidLastSave="{2AEDF5D0-1496-694D-9679-9D94B294B631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16" i="1"/>
  <c r="W291" i="1"/>
  <c r="V291" i="1"/>
  <c r="T291" i="1"/>
  <c r="S291" i="1"/>
  <c r="Q291" i="1" s="1"/>
  <c r="H291" i="1" s="1"/>
  <c r="N291" i="1"/>
  <c r="M291" i="1"/>
  <c r="W290" i="1"/>
  <c r="V290" i="1"/>
  <c r="T290" i="1"/>
  <c r="U290" i="1" s="1"/>
  <c r="S290" i="1"/>
  <c r="Q290" i="1" s="1"/>
  <c r="K290" i="1" s="1"/>
  <c r="N290" i="1"/>
  <c r="M290" i="1"/>
  <c r="L290" i="1" s="1"/>
  <c r="W289" i="1"/>
  <c r="V289" i="1"/>
  <c r="T289" i="1"/>
  <c r="S289" i="1"/>
  <c r="Q289" i="1" s="1"/>
  <c r="N289" i="1"/>
  <c r="M289" i="1"/>
  <c r="W288" i="1"/>
  <c r="V288" i="1"/>
  <c r="T288" i="1"/>
  <c r="S288" i="1"/>
  <c r="Q288" i="1" s="1"/>
  <c r="N288" i="1"/>
  <c r="M288" i="1"/>
  <c r="W287" i="1"/>
  <c r="V287" i="1"/>
  <c r="T287" i="1"/>
  <c r="U287" i="1" s="1"/>
  <c r="S287" i="1"/>
  <c r="Q287" i="1" s="1"/>
  <c r="K287" i="1" s="1"/>
  <c r="N287" i="1"/>
  <c r="M287" i="1"/>
  <c r="W286" i="1"/>
  <c r="V286" i="1"/>
  <c r="T286" i="1"/>
  <c r="S286" i="1"/>
  <c r="Q286" i="1" s="1"/>
  <c r="N286" i="1"/>
  <c r="M286" i="1"/>
  <c r="W285" i="1"/>
  <c r="V285" i="1"/>
  <c r="T285" i="1"/>
  <c r="S285" i="1"/>
  <c r="Q285" i="1" s="1"/>
  <c r="N285" i="1"/>
  <c r="M285" i="1"/>
  <c r="W284" i="1"/>
  <c r="V284" i="1"/>
  <c r="T284" i="1"/>
  <c r="U284" i="1" s="1"/>
  <c r="S284" i="1"/>
  <c r="Q284" i="1" s="1"/>
  <c r="N284" i="1"/>
  <c r="M284" i="1"/>
  <c r="L284" i="1" s="1"/>
  <c r="W283" i="1"/>
  <c r="V283" i="1"/>
  <c r="T283" i="1"/>
  <c r="S283" i="1"/>
  <c r="Q283" i="1" s="1"/>
  <c r="N283" i="1"/>
  <c r="M283" i="1"/>
  <c r="W282" i="1"/>
  <c r="V282" i="1"/>
  <c r="T282" i="1"/>
  <c r="S282" i="1"/>
  <c r="Q282" i="1" s="1"/>
  <c r="N282" i="1"/>
  <c r="M282" i="1"/>
  <c r="K282" i="1"/>
  <c r="W281" i="1"/>
  <c r="V281" i="1"/>
  <c r="T281" i="1"/>
  <c r="S281" i="1"/>
  <c r="Q281" i="1" s="1"/>
  <c r="N281" i="1"/>
  <c r="M281" i="1"/>
  <c r="L281" i="1" s="1"/>
  <c r="W280" i="1"/>
  <c r="V280" i="1"/>
  <c r="T280" i="1"/>
  <c r="S280" i="1"/>
  <c r="Q280" i="1" s="1"/>
  <c r="K280" i="1" s="1"/>
  <c r="N280" i="1"/>
  <c r="M280" i="1"/>
  <c r="W279" i="1"/>
  <c r="V279" i="1"/>
  <c r="T279" i="1"/>
  <c r="U279" i="1" s="1"/>
  <c r="S279" i="1"/>
  <c r="Q279" i="1" s="1"/>
  <c r="K279" i="1" s="1"/>
  <c r="N279" i="1"/>
  <c r="M279" i="1"/>
  <c r="W278" i="1"/>
  <c r="V278" i="1"/>
  <c r="T278" i="1"/>
  <c r="S278" i="1"/>
  <c r="Q278" i="1" s="1"/>
  <c r="K278" i="1" s="1"/>
  <c r="N278" i="1"/>
  <c r="M278" i="1"/>
  <c r="W277" i="1"/>
  <c r="V277" i="1"/>
  <c r="T277" i="1"/>
  <c r="S277" i="1"/>
  <c r="Q277" i="1"/>
  <c r="N277" i="1"/>
  <c r="M277" i="1"/>
  <c r="W276" i="1"/>
  <c r="V276" i="1"/>
  <c r="T276" i="1"/>
  <c r="U276" i="1" s="1"/>
  <c r="S276" i="1"/>
  <c r="Q276" i="1" s="1"/>
  <c r="N276" i="1"/>
  <c r="M276" i="1"/>
  <c r="L276" i="1" s="1"/>
  <c r="W275" i="1"/>
  <c r="V275" i="1"/>
  <c r="T275" i="1"/>
  <c r="S275" i="1"/>
  <c r="Q275" i="1" s="1"/>
  <c r="N275" i="1"/>
  <c r="M275" i="1"/>
  <c r="W274" i="1"/>
  <c r="V274" i="1"/>
  <c r="T274" i="1"/>
  <c r="S274" i="1"/>
  <c r="Q274" i="1" s="1"/>
  <c r="K274" i="1" s="1"/>
  <c r="N274" i="1"/>
  <c r="M274" i="1"/>
  <c r="W273" i="1"/>
  <c r="V273" i="1"/>
  <c r="T273" i="1"/>
  <c r="U273" i="1" s="1"/>
  <c r="S273" i="1"/>
  <c r="Q273" i="1" s="1"/>
  <c r="N273" i="1"/>
  <c r="M273" i="1"/>
  <c r="W272" i="1"/>
  <c r="V272" i="1"/>
  <c r="U272" i="1"/>
  <c r="T272" i="1"/>
  <c r="S272" i="1"/>
  <c r="Q272" i="1" s="1"/>
  <c r="K272" i="1" s="1"/>
  <c r="N272" i="1"/>
  <c r="M272" i="1"/>
  <c r="W271" i="1"/>
  <c r="V271" i="1"/>
  <c r="T271" i="1"/>
  <c r="S271" i="1"/>
  <c r="Q271" i="1" s="1"/>
  <c r="K271" i="1" s="1"/>
  <c r="N271" i="1"/>
  <c r="M271" i="1"/>
  <c r="L271" i="1" s="1"/>
  <c r="W270" i="1"/>
  <c r="V270" i="1"/>
  <c r="T270" i="1"/>
  <c r="U270" i="1" s="1"/>
  <c r="S270" i="1"/>
  <c r="Q270" i="1" s="1"/>
  <c r="K270" i="1" s="1"/>
  <c r="N270" i="1"/>
  <c r="M270" i="1"/>
  <c r="W269" i="1"/>
  <c r="V269" i="1"/>
  <c r="T269" i="1"/>
  <c r="U269" i="1" s="1"/>
  <c r="S269" i="1"/>
  <c r="Q269" i="1"/>
  <c r="N269" i="1"/>
  <c r="M269" i="1"/>
  <c r="W268" i="1"/>
  <c r="V268" i="1"/>
  <c r="T268" i="1"/>
  <c r="U268" i="1" s="1"/>
  <c r="S268" i="1"/>
  <c r="Q268" i="1" s="1"/>
  <c r="N268" i="1"/>
  <c r="M268" i="1"/>
  <c r="L268" i="1" s="1"/>
  <c r="W267" i="1"/>
  <c r="V267" i="1"/>
  <c r="T267" i="1"/>
  <c r="U267" i="1" s="1"/>
  <c r="S267" i="1"/>
  <c r="Q267" i="1" s="1"/>
  <c r="N267" i="1"/>
  <c r="M267" i="1"/>
  <c r="L267" i="1" s="1"/>
  <c r="W266" i="1"/>
  <c r="V266" i="1"/>
  <c r="T266" i="1"/>
  <c r="S266" i="1"/>
  <c r="Q266" i="1" s="1"/>
  <c r="K266" i="1" s="1"/>
  <c r="N266" i="1"/>
  <c r="M266" i="1"/>
  <c r="W265" i="1"/>
  <c r="V265" i="1"/>
  <c r="T265" i="1"/>
  <c r="S265" i="1"/>
  <c r="Q265" i="1" s="1"/>
  <c r="N265" i="1"/>
  <c r="M265" i="1"/>
  <c r="W264" i="1"/>
  <c r="V264" i="1"/>
  <c r="T264" i="1"/>
  <c r="U264" i="1" s="1"/>
  <c r="S264" i="1"/>
  <c r="Q264" i="1" s="1"/>
  <c r="K264" i="1" s="1"/>
  <c r="N264" i="1"/>
  <c r="M264" i="1"/>
  <c r="L264" i="1" s="1"/>
  <c r="W263" i="1"/>
  <c r="V263" i="1"/>
  <c r="T263" i="1"/>
  <c r="U263" i="1" s="1"/>
  <c r="S263" i="1"/>
  <c r="Q263" i="1"/>
  <c r="K263" i="1" s="1"/>
  <c r="N263" i="1"/>
  <c r="M263" i="1"/>
  <c r="W262" i="1"/>
  <c r="V262" i="1"/>
  <c r="T262" i="1"/>
  <c r="S262" i="1"/>
  <c r="Q262" i="1" s="1"/>
  <c r="K262" i="1" s="1"/>
  <c r="N262" i="1"/>
  <c r="M262" i="1"/>
  <c r="W261" i="1"/>
  <c r="V261" i="1"/>
  <c r="T261" i="1"/>
  <c r="U261" i="1" s="1"/>
  <c r="S261" i="1"/>
  <c r="Q261" i="1" s="1"/>
  <c r="N261" i="1"/>
  <c r="M261" i="1"/>
  <c r="W260" i="1"/>
  <c r="V260" i="1"/>
  <c r="T260" i="1"/>
  <c r="U260" i="1" s="1"/>
  <c r="S260" i="1"/>
  <c r="Q260" i="1" s="1"/>
  <c r="N260" i="1"/>
  <c r="M260" i="1"/>
  <c r="L260" i="1" s="1"/>
  <c r="W259" i="1"/>
  <c r="V259" i="1"/>
  <c r="T259" i="1"/>
  <c r="S259" i="1"/>
  <c r="Q259" i="1" s="1"/>
  <c r="N259" i="1"/>
  <c r="M259" i="1"/>
  <c r="L259" i="1" s="1"/>
  <c r="W258" i="1"/>
  <c r="V258" i="1"/>
  <c r="T258" i="1"/>
  <c r="S258" i="1"/>
  <c r="Q258" i="1" s="1"/>
  <c r="N258" i="1"/>
  <c r="M258" i="1"/>
  <c r="L258" i="1" s="1"/>
  <c r="W257" i="1"/>
  <c r="V257" i="1"/>
  <c r="T257" i="1"/>
  <c r="U257" i="1" s="1"/>
  <c r="S257" i="1"/>
  <c r="Q257" i="1" s="1"/>
  <c r="N257" i="1"/>
  <c r="M257" i="1"/>
  <c r="K257" i="1"/>
  <c r="W256" i="1"/>
  <c r="V256" i="1"/>
  <c r="T256" i="1"/>
  <c r="U256" i="1" s="1"/>
  <c r="S256" i="1"/>
  <c r="Q256" i="1" s="1"/>
  <c r="N256" i="1"/>
  <c r="M256" i="1"/>
  <c r="L256" i="1" s="1"/>
  <c r="W255" i="1"/>
  <c r="V255" i="1"/>
  <c r="T255" i="1"/>
  <c r="U255" i="1" s="1"/>
  <c r="S255" i="1"/>
  <c r="Q255" i="1"/>
  <c r="N255" i="1"/>
  <c r="M255" i="1"/>
  <c r="W254" i="1"/>
  <c r="V254" i="1"/>
  <c r="T254" i="1"/>
  <c r="S254" i="1"/>
  <c r="Q254" i="1" s="1"/>
  <c r="K254" i="1" s="1"/>
  <c r="N254" i="1"/>
  <c r="M254" i="1"/>
  <c r="W253" i="1"/>
  <c r="V253" i="1"/>
  <c r="T253" i="1"/>
  <c r="S253" i="1"/>
  <c r="Q253" i="1" s="1"/>
  <c r="N253" i="1"/>
  <c r="M253" i="1"/>
  <c r="W252" i="1"/>
  <c r="V252" i="1"/>
  <c r="T252" i="1"/>
  <c r="S252" i="1"/>
  <c r="Q252" i="1" s="1"/>
  <c r="N252" i="1"/>
  <c r="M252" i="1"/>
  <c r="W251" i="1"/>
  <c r="V251" i="1"/>
  <c r="T251" i="1"/>
  <c r="U251" i="1" s="1"/>
  <c r="S251" i="1"/>
  <c r="Q251" i="1" s="1"/>
  <c r="N251" i="1"/>
  <c r="M251" i="1"/>
  <c r="W250" i="1"/>
  <c r="V250" i="1"/>
  <c r="T250" i="1"/>
  <c r="S250" i="1"/>
  <c r="Q250" i="1"/>
  <c r="K250" i="1" s="1"/>
  <c r="N250" i="1"/>
  <c r="M250" i="1"/>
  <c r="W249" i="1"/>
  <c r="V249" i="1"/>
  <c r="T249" i="1"/>
  <c r="U249" i="1" s="1"/>
  <c r="S249" i="1"/>
  <c r="Q249" i="1" s="1"/>
  <c r="N249" i="1"/>
  <c r="M249" i="1"/>
  <c r="L249" i="1" s="1"/>
  <c r="W248" i="1"/>
  <c r="V248" i="1"/>
  <c r="T248" i="1"/>
  <c r="U248" i="1" s="1"/>
  <c r="S248" i="1"/>
  <c r="Q248" i="1" s="1"/>
  <c r="N248" i="1"/>
  <c r="M248" i="1"/>
  <c r="W247" i="1"/>
  <c r="V247" i="1"/>
  <c r="T247" i="1"/>
  <c r="S247" i="1"/>
  <c r="Q247" i="1" s="1"/>
  <c r="K247" i="1" s="1"/>
  <c r="N247" i="1"/>
  <c r="M247" i="1"/>
  <c r="W246" i="1"/>
  <c r="V246" i="1"/>
  <c r="U246" i="1"/>
  <c r="T246" i="1"/>
  <c r="S246" i="1"/>
  <c r="Q246" i="1" s="1"/>
  <c r="N246" i="1"/>
  <c r="M246" i="1"/>
  <c r="L246" i="1" s="1"/>
  <c r="W245" i="1"/>
  <c r="V245" i="1"/>
  <c r="T245" i="1"/>
  <c r="U245" i="1" s="1"/>
  <c r="S245" i="1"/>
  <c r="Q245" i="1" s="1"/>
  <c r="H245" i="1" s="1"/>
  <c r="N245" i="1"/>
  <c r="M245" i="1"/>
  <c r="W244" i="1"/>
  <c r="V244" i="1"/>
  <c r="T244" i="1"/>
  <c r="U244" i="1" s="1"/>
  <c r="S244" i="1"/>
  <c r="Q244" i="1" s="1"/>
  <c r="N244" i="1"/>
  <c r="M244" i="1"/>
  <c r="L244" i="1" s="1"/>
  <c r="W243" i="1"/>
  <c r="V243" i="1"/>
  <c r="T243" i="1"/>
  <c r="S243" i="1"/>
  <c r="Q243" i="1" s="1"/>
  <c r="N243" i="1"/>
  <c r="M243" i="1"/>
  <c r="W242" i="1"/>
  <c r="V242" i="1"/>
  <c r="T242" i="1"/>
  <c r="U242" i="1" s="1"/>
  <c r="S242" i="1"/>
  <c r="Q242" i="1" s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 s="1"/>
  <c r="H239" i="1" s="1"/>
  <c r="N239" i="1"/>
  <c r="M239" i="1"/>
  <c r="W238" i="1"/>
  <c r="V238" i="1"/>
  <c r="T238" i="1"/>
  <c r="S238" i="1"/>
  <c r="Q238" i="1" s="1"/>
  <c r="R238" i="1" s="1"/>
  <c r="N238" i="1"/>
  <c r="M238" i="1"/>
  <c r="W237" i="1"/>
  <c r="V237" i="1"/>
  <c r="T237" i="1"/>
  <c r="S237" i="1"/>
  <c r="Q237" i="1" s="1"/>
  <c r="N237" i="1"/>
  <c r="M237" i="1"/>
  <c r="W236" i="1"/>
  <c r="V236" i="1"/>
  <c r="T236" i="1"/>
  <c r="S236" i="1"/>
  <c r="Q236" i="1" s="1"/>
  <c r="H236" i="1" s="1"/>
  <c r="N236" i="1"/>
  <c r="M236" i="1"/>
  <c r="W235" i="1"/>
  <c r="V235" i="1"/>
  <c r="T235" i="1"/>
  <c r="S235" i="1"/>
  <c r="Q235" i="1" s="1"/>
  <c r="N235" i="1"/>
  <c r="M235" i="1"/>
  <c r="W234" i="1"/>
  <c r="V234" i="1"/>
  <c r="T234" i="1"/>
  <c r="U234" i="1" s="1"/>
  <c r="S234" i="1"/>
  <c r="Q234" i="1" s="1"/>
  <c r="N234" i="1"/>
  <c r="M234" i="1"/>
  <c r="W233" i="1"/>
  <c r="V233" i="1"/>
  <c r="T233" i="1"/>
  <c r="U233" i="1" s="1"/>
  <c r="S233" i="1"/>
  <c r="Q233" i="1" s="1"/>
  <c r="N233" i="1"/>
  <c r="M233" i="1"/>
  <c r="W232" i="1"/>
  <c r="V232" i="1"/>
  <c r="T232" i="1"/>
  <c r="S232" i="1"/>
  <c r="Q232" i="1" s="1"/>
  <c r="N232" i="1"/>
  <c r="M232" i="1"/>
  <c r="W231" i="1"/>
  <c r="V231" i="1"/>
  <c r="T231" i="1"/>
  <c r="S231" i="1"/>
  <c r="Q231" i="1" s="1"/>
  <c r="H231" i="1" s="1"/>
  <c r="N231" i="1"/>
  <c r="M231" i="1"/>
  <c r="W230" i="1"/>
  <c r="V230" i="1"/>
  <c r="U230" i="1"/>
  <c r="T230" i="1"/>
  <c r="S230" i="1"/>
  <c r="Q230" i="1" s="1"/>
  <c r="R230" i="1" s="1"/>
  <c r="N230" i="1"/>
  <c r="M230" i="1"/>
  <c r="W229" i="1"/>
  <c r="V229" i="1"/>
  <c r="T229" i="1"/>
  <c r="S229" i="1"/>
  <c r="Q229" i="1" s="1"/>
  <c r="R229" i="1" s="1"/>
  <c r="N229" i="1"/>
  <c r="M229" i="1"/>
  <c r="W228" i="1"/>
  <c r="V228" i="1"/>
  <c r="U228" i="1"/>
  <c r="T228" i="1"/>
  <c r="S228" i="1"/>
  <c r="Q228" i="1" s="1"/>
  <c r="N228" i="1"/>
  <c r="M228" i="1"/>
  <c r="L228" i="1"/>
  <c r="W227" i="1"/>
  <c r="V227" i="1"/>
  <c r="T227" i="1"/>
  <c r="U227" i="1" s="1"/>
  <c r="S227" i="1"/>
  <c r="Q227" i="1" s="1"/>
  <c r="N227" i="1"/>
  <c r="M227" i="1"/>
  <c r="L227" i="1" s="1"/>
  <c r="W226" i="1"/>
  <c r="V226" i="1"/>
  <c r="U226" i="1" s="1"/>
  <c r="T226" i="1"/>
  <c r="S226" i="1"/>
  <c r="Q226" i="1"/>
  <c r="H226" i="1" s="1"/>
  <c r="N226" i="1"/>
  <c r="M226" i="1"/>
  <c r="W225" i="1"/>
  <c r="V225" i="1"/>
  <c r="T225" i="1"/>
  <c r="S225" i="1"/>
  <c r="Q225" i="1" s="1"/>
  <c r="R225" i="1" s="1"/>
  <c r="N225" i="1"/>
  <c r="M225" i="1"/>
  <c r="W224" i="1"/>
  <c r="V224" i="1"/>
  <c r="T224" i="1"/>
  <c r="U224" i="1" s="1"/>
  <c r="S224" i="1"/>
  <c r="Q224" i="1" s="1"/>
  <c r="N224" i="1"/>
  <c r="M224" i="1"/>
  <c r="L224" i="1" s="1"/>
  <c r="W223" i="1"/>
  <c r="V223" i="1"/>
  <c r="T223" i="1"/>
  <c r="S223" i="1"/>
  <c r="Q223" i="1" s="1"/>
  <c r="K223" i="1" s="1"/>
  <c r="N223" i="1"/>
  <c r="M223" i="1"/>
  <c r="W222" i="1"/>
  <c r="V222" i="1"/>
  <c r="T222" i="1"/>
  <c r="U222" i="1" s="1"/>
  <c r="S222" i="1"/>
  <c r="Q222" i="1" s="1"/>
  <c r="R222" i="1" s="1"/>
  <c r="N222" i="1"/>
  <c r="M222" i="1"/>
  <c r="L222" i="1" s="1"/>
  <c r="W221" i="1"/>
  <c r="V221" i="1"/>
  <c r="T221" i="1"/>
  <c r="U221" i="1" s="1"/>
  <c r="S221" i="1"/>
  <c r="Q221" i="1" s="1"/>
  <c r="N221" i="1"/>
  <c r="M221" i="1"/>
  <c r="W220" i="1"/>
  <c r="V220" i="1"/>
  <c r="T220" i="1"/>
  <c r="U220" i="1" s="1"/>
  <c r="S220" i="1"/>
  <c r="Q220" i="1" s="1"/>
  <c r="N220" i="1"/>
  <c r="M220" i="1"/>
  <c r="L220" i="1" s="1"/>
  <c r="W219" i="1"/>
  <c r="V219" i="1"/>
  <c r="T219" i="1"/>
  <c r="S219" i="1"/>
  <c r="Q219" i="1" s="1"/>
  <c r="K219" i="1" s="1"/>
  <c r="N219" i="1"/>
  <c r="M219" i="1"/>
  <c r="L219" i="1" s="1"/>
  <c r="H219" i="1"/>
  <c r="W218" i="1"/>
  <c r="V218" i="1"/>
  <c r="U218" i="1"/>
  <c r="T218" i="1"/>
  <c r="S218" i="1"/>
  <c r="Q218" i="1"/>
  <c r="H218" i="1" s="1"/>
  <c r="N218" i="1"/>
  <c r="M218" i="1"/>
  <c r="W217" i="1"/>
  <c r="V217" i="1"/>
  <c r="T217" i="1"/>
  <c r="S217" i="1"/>
  <c r="Q217" i="1" s="1"/>
  <c r="R217" i="1" s="1"/>
  <c r="N217" i="1"/>
  <c r="M217" i="1"/>
  <c r="K217" i="1"/>
  <c r="H217" i="1"/>
  <c r="W216" i="1"/>
  <c r="V216" i="1"/>
  <c r="U216" i="1" s="1"/>
  <c r="T216" i="1"/>
  <c r="S216" i="1"/>
  <c r="Q216" i="1" s="1"/>
  <c r="N216" i="1"/>
  <c r="M216" i="1"/>
  <c r="W215" i="1"/>
  <c r="V215" i="1"/>
  <c r="T215" i="1"/>
  <c r="S215" i="1"/>
  <c r="Q215" i="1" s="1"/>
  <c r="H215" i="1" s="1"/>
  <c r="N215" i="1"/>
  <c r="M215" i="1"/>
  <c r="W214" i="1"/>
  <c r="V214" i="1"/>
  <c r="U214" i="1" s="1"/>
  <c r="T214" i="1"/>
  <c r="S214" i="1"/>
  <c r="Q214" i="1" s="1"/>
  <c r="N214" i="1"/>
  <c r="M214" i="1"/>
  <c r="K214" i="1"/>
  <c r="W213" i="1"/>
  <c r="V213" i="1"/>
  <c r="T213" i="1"/>
  <c r="S213" i="1"/>
  <c r="Q213" i="1"/>
  <c r="H213" i="1" s="1"/>
  <c r="N213" i="1"/>
  <c r="M213" i="1"/>
  <c r="W212" i="1"/>
  <c r="V212" i="1"/>
  <c r="T212" i="1"/>
  <c r="S212" i="1"/>
  <c r="Q212" i="1" s="1"/>
  <c r="N212" i="1"/>
  <c r="M212" i="1"/>
  <c r="W211" i="1"/>
  <c r="V211" i="1"/>
  <c r="T211" i="1"/>
  <c r="U211" i="1" s="1"/>
  <c r="S211" i="1"/>
  <c r="Q211" i="1" s="1"/>
  <c r="N211" i="1"/>
  <c r="M211" i="1"/>
  <c r="W210" i="1"/>
  <c r="V210" i="1"/>
  <c r="U210" i="1" s="1"/>
  <c r="T210" i="1"/>
  <c r="S210" i="1"/>
  <c r="Q210" i="1" s="1"/>
  <c r="N210" i="1"/>
  <c r="M210" i="1"/>
  <c r="H210" i="1"/>
  <c r="W209" i="1"/>
  <c r="V209" i="1"/>
  <c r="T209" i="1"/>
  <c r="S209" i="1"/>
  <c r="Q209" i="1" s="1"/>
  <c r="K209" i="1" s="1"/>
  <c r="N209" i="1"/>
  <c r="M209" i="1"/>
  <c r="W208" i="1"/>
  <c r="V208" i="1"/>
  <c r="T208" i="1"/>
  <c r="U208" i="1" s="1"/>
  <c r="S208" i="1"/>
  <c r="Q208" i="1" s="1"/>
  <c r="N208" i="1"/>
  <c r="M208" i="1"/>
  <c r="L208" i="1" s="1"/>
  <c r="W207" i="1"/>
  <c r="V207" i="1"/>
  <c r="T207" i="1"/>
  <c r="S207" i="1"/>
  <c r="Q207" i="1" s="1"/>
  <c r="H207" i="1" s="1"/>
  <c r="N207" i="1"/>
  <c r="M207" i="1"/>
  <c r="W206" i="1"/>
  <c r="V206" i="1"/>
  <c r="T206" i="1"/>
  <c r="S206" i="1"/>
  <c r="Q206" i="1" s="1"/>
  <c r="N206" i="1"/>
  <c r="M206" i="1"/>
  <c r="W205" i="1"/>
  <c r="V205" i="1"/>
  <c r="T205" i="1"/>
  <c r="U205" i="1" s="1"/>
  <c r="S205" i="1"/>
  <c r="Q205" i="1"/>
  <c r="N205" i="1"/>
  <c r="M205" i="1"/>
  <c r="W204" i="1"/>
  <c r="V204" i="1"/>
  <c r="T204" i="1"/>
  <c r="S204" i="1"/>
  <c r="Q204" i="1" s="1"/>
  <c r="K204" i="1" s="1"/>
  <c r="N204" i="1"/>
  <c r="M204" i="1"/>
  <c r="W203" i="1"/>
  <c r="V203" i="1"/>
  <c r="T203" i="1"/>
  <c r="S203" i="1"/>
  <c r="Q203" i="1" s="1"/>
  <c r="N203" i="1"/>
  <c r="M203" i="1"/>
  <c r="W202" i="1"/>
  <c r="V202" i="1"/>
  <c r="U202" i="1" s="1"/>
  <c r="T202" i="1"/>
  <c r="S202" i="1"/>
  <c r="Q202" i="1" s="1"/>
  <c r="N202" i="1"/>
  <c r="M202" i="1"/>
  <c r="W201" i="1"/>
  <c r="V201" i="1"/>
  <c r="U201" i="1" s="1"/>
  <c r="T201" i="1"/>
  <c r="S201" i="1"/>
  <c r="Q201" i="1" s="1"/>
  <c r="N201" i="1"/>
  <c r="M201" i="1"/>
  <c r="L201" i="1" s="1"/>
  <c r="W200" i="1"/>
  <c r="V200" i="1"/>
  <c r="T200" i="1"/>
  <c r="S200" i="1"/>
  <c r="Q200" i="1"/>
  <c r="K200" i="1" s="1"/>
  <c r="N200" i="1"/>
  <c r="M200" i="1"/>
  <c r="L200" i="1" s="1"/>
  <c r="W199" i="1"/>
  <c r="V199" i="1"/>
  <c r="T199" i="1"/>
  <c r="U199" i="1" s="1"/>
  <c r="S199" i="1"/>
  <c r="Q199" i="1" s="1"/>
  <c r="R199" i="1" s="1"/>
  <c r="N199" i="1"/>
  <c r="M199" i="1"/>
  <c r="W198" i="1"/>
  <c r="V198" i="1"/>
  <c r="T198" i="1"/>
  <c r="S198" i="1"/>
  <c r="Q198" i="1"/>
  <c r="K198" i="1" s="1"/>
  <c r="N198" i="1"/>
  <c r="M198" i="1"/>
  <c r="W197" i="1"/>
  <c r="V197" i="1"/>
  <c r="T197" i="1"/>
  <c r="U197" i="1" s="1"/>
  <c r="S197" i="1"/>
  <c r="Q197" i="1" s="1"/>
  <c r="N197" i="1"/>
  <c r="M197" i="1"/>
  <c r="W196" i="1"/>
  <c r="V196" i="1"/>
  <c r="T196" i="1"/>
  <c r="S196" i="1"/>
  <c r="Q196" i="1" s="1"/>
  <c r="K196" i="1" s="1"/>
  <c r="N196" i="1"/>
  <c r="M196" i="1"/>
  <c r="W195" i="1"/>
  <c r="V195" i="1"/>
  <c r="T195" i="1"/>
  <c r="U195" i="1" s="1"/>
  <c r="S195" i="1"/>
  <c r="Q195" i="1" s="1"/>
  <c r="R195" i="1" s="1"/>
  <c r="N195" i="1"/>
  <c r="M195" i="1"/>
  <c r="W194" i="1"/>
  <c r="V194" i="1"/>
  <c r="T194" i="1"/>
  <c r="S194" i="1"/>
  <c r="Q194" i="1" s="1"/>
  <c r="K194" i="1" s="1"/>
  <c r="N194" i="1"/>
  <c r="M194" i="1"/>
  <c r="L194" i="1"/>
  <c r="W193" i="1"/>
  <c r="V193" i="1"/>
  <c r="U193" i="1"/>
  <c r="T193" i="1"/>
  <c r="S193" i="1"/>
  <c r="Q193" i="1" s="1"/>
  <c r="N193" i="1"/>
  <c r="M193" i="1"/>
  <c r="W192" i="1"/>
  <c r="V192" i="1"/>
  <c r="U192" i="1" s="1"/>
  <c r="T192" i="1"/>
  <c r="S192" i="1"/>
  <c r="Q192" i="1" s="1"/>
  <c r="N192" i="1"/>
  <c r="M192" i="1"/>
  <c r="W191" i="1"/>
  <c r="V191" i="1"/>
  <c r="U191" i="1"/>
  <c r="T191" i="1"/>
  <c r="S191" i="1"/>
  <c r="Q191" i="1" s="1"/>
  <c r="R191" i="1" s="1"/>
  <c r="N191" i="1"/>
  <c r="M191" i="1"/>
  <c r="W190" i="1"/>
  <c r="V190" i="1"/>
  <c r="T190" i="1"/>
  <c r="U190" i="1" s="1"/>
  <c r="S190" i="1"/>
  <c r="Q190" i="1" s="1"/>
  <c r="N190" i="1"/>
  <c r="M190" i="1"/>
  <c r="L190" i="1" s="1"/>
  <c r="W189" i="1"/>
  <c r="V189" i="1"/>
  <c r="T189" i="1"/>
  <c r="S189" i="1"/>
  <c r="Q189" i="1" s="1"/>
  <c r="N189" i="1"/>
  <c r="M189" i="1"/>
  <c r="L189" i="1" s="1"/>
  <c r="W188" i="1"/>
  <c r="V188" i="1"/>
  <c r="T188" i="1"/>
  <c r="S188" i="1"/>
  <c r="Q188" i="1" s="1"/>
  <c r="K188" i="1" s="1"/>
  <c r="N188" i="1"/>
  <c r="M188" i="1"/>
  <c r="L188" i="1" s="1"/>
  <c r="W187" i="1"/>
  <c r="V187" i="1"/>
  <c r="T187" i="1"/>
  <c r="U187" i="1" s="1"/>
  <c r="S187" i="1"/>
  <c r="Q187" i="1" s="1"/>
  <c r="R187" i="1" s="1"/>
  <c r="N187" i="1"/>
  <c r="M187" i="1"/>
  <c r="L187" i="1" s="1"/>
  <c r="W186" i="1"/>
  <c r="V186" i="1"/>
  <c r="T186" i="1"/>
  <c r="U186" i="1" s="1"/>
  <c r="S186" i="1"/>
  <c r="Q186" i="1"/>
  <c r="K186" i="1" s="1"/>
  <c r="N186" i="1"/>
  <c r="M186" i="1"/>
  <c r="L186" i="1"/>
  <c r="W185" i="1"/>
  <c r="V185" i="1"/>
  <c r="T185" i="1"/>
  <c r="S185" i="1"/>
  <c r="Q185" i="1" s="1"/>
  <c r="N185" i="1"/>
  <c r="M185" i="1"/>
  <c r="L185" i="1" s="1"/>
  <c r="W184" i="1"/>
  <c r="V184" i="1"/>
  <c r="T184" i="1"/>
  <c r="S184" i="1"/>
  <c r="Q184" i="1"/>
  <c r="K184" i="1" s="1"/>
  <c r="N184" i="1"/>
  <c r="M184" i="1"/>
  <c r="W183" i="1"/>
  <c r="V183" i="1"/>
  <c r="T183" i="1"/>
  <c r="U183" i="1" s="1"/>
  <c r="S183" i="1"/>
  <c r="Q183" i="1" s="1"/>
  <c r="R183" i="1" s="1"/>
  <c r="N183" i="1"/>
  <c r="M183" i="1"/>
  <c r="L183" i="1" s="1"/>
  <c r="W182" i="1"/>
  <c r="V182" i="1"/>
  <c r="T182" i="1"/>
  <c r="S182" i="1"/>
  <c r="Q182" i="1"/>
  <c r="N182" i="1"/>
  <c r="M182" i="1"/>
  <c r="L182" i="1"/>
  <c r="W181" i="1"/>
  <c r="V181" i="1"/>
  <c r="T181" i="1"/>
  <c r="U181" i="1" s="1"/>
  <c r="S181" i="1"/>
  <c r="Q181" i="1"/>
  <c r="N181" i="1"/>
  <c r="M181" i="1"/>
  <c r="W180" i="1"/>
  <c r="V180" i="1"/>
  <c r="T180" i="1"/>
  <c r="S180" i="1"/>
  <c r="Q180" i="1" s="1"/>
  <c r="N180" i="1"/>
  <c r="M180" i="1"/>
  <c r="L180" i="1" s="1"/>
  <c r="W179" i="1"/>
  <c r="V179" i="1"/>
  <c r="T179" i="1"/>
  <c r="U179" i="1" s="1"/>
  <c r="S179" i="1"/>
  <c r="Q179" i="1" s="1"/>
  <c r="R179" i="1" s="1"/>
  <c r="N179" i="1"/>
  <c r="M179" i="1"/>
  <c r="L179" i="1" s="1"/>
  <c r="W178" i="1"/>
  <c r="V178" i="1"/>
  <c r="T178" i="1"/>
  <c r="S178" i="1"/>
  <c r="Q178" i="1"/>
  <c r="N178" i="1"/>
  <c r="L178" i="1" s="1"/>
  <c r="M178" i="1"/>
  <c r="W177" i="1"/>
  <c r="V177" i="1"/>
  <c r="T177" i="1"/>
  <c r="U177" i="1" s="1"/>
  <c r="S177" i="1"/>
  <c r="Q177" i="1" s="1"/>
  <c r="N177" i="1"/>
  <c r="M177" i="1"/>
  <c r="W176" i="1"/>
  <c r="V176" i="1"/>
  <c r="T176" i="1"/>
  <c r="S176" i="1"/>
  <c r="Q176" i="1"/>
  <c r="K176" i="1" s="1"/>
  <c r="N176" i="1"/>
  <c r="M176" i="1"/>
  <c r="L176" i="1" s="1"/>
  <c r="W175" i="1"/>
  <c r="V175" i="1"/>
  <c r="T175" i="1"/>
  <c r="U175" i="1" s="1"/>
  <c r="S175" i="1"/>
  <c r="Q175" i="1" s="1"/>
  <c r="R175" i="1" s="1"/>
  <c r="N175" i="1"/>
  <c r="M175" i="1"/>
  <c r="L175" i="1" s="1"/>
  <c r="W174" i="1"/>
  <c r="V174" i="1"/>
  <c r="T174" i="1"/>
  <c r="S174" i="1"/>
  <c r="Q174" i="1"/>
  <c r="K174" i="1" s="1"/>
  <c r="N174" i="1"/>
  <c r="M174" i="1"/>
  <c r="L174" i="1" s="1"/>
  <c r="W173" i="1"/>
  <c r="V173" i="1"/>
  <c r="T173" i="1"/>
  <c r="U173" i="1" s="1"/>
  <c r="S173" i="1"/>
  <c r="Q173" i="1" s="1"/>
  <c r="N173" i="1"/>
  <c r="M173" i="1"/>
  <c r="W172" i="1"/>
  <c r="V172" i="1"/>
  <c r="U172" i="1" s="1"/>
  <c r="T172" i="1"/>
  <c r="S172" i="1"/>
  <c r="Q172" i="1" s="1"/>
  <c r="K172" i="1" s="1"/>
  <c r="N172" i="1"/>
  <c r="M172" i="1"/>
  <c r="L172" i="1" s="1"/>
  <c r="W171" i="1"/>
  <c r="V171" i="1"/>
  <c r="U171" i="1"/>
  <c r="T171" i="1"/>
  <c r="S171" i="1"/>
  <c r="Q171" i="1" s="1"/>
  <c r="N171" i="1"/>
  <c r="M171" i="1"/>
  <c r="W170" i="1"/>
  <c r="V170" i="1"/>
  <c r="T170" i="1"/>
  <c r="U170" i="1" s="1"/>
  <c r="S170" i="1"/>
  <c r="Q170" i="1" s="1"/>
  <c r="N170" i="1"/>
  <c r="M170" i="1"/>
  <c r="L170" i="1" s="1"/>
  <c r="W169" i="1"/>
  <c r="V169" i="1"/>
  <c r="T169" i="1"/>
  <c r="U169" i="1" s="1"/>
  <c r="S169" i="1"/>
  <c r="Q169" i="1" s="1"/>
  <c r="N169" i="1"/>
  <c r="M169" i="1"/>
  <c r="W168" i="1"/>
  <c r="V168" i="1"/>
  <c r="T168" i="1"/>
  <c r="S168" i="1"/>
  <c r="Q168" i="1"/>
  <c r="N168" i="1"/>
  <c r="M168" i="1"/>
  <c r="L168" i="1" s="1"/>
  <c r="W167" i="1"/>
  <c r="V167" i="1"/>
  <c r="T167" i="1"/>
  <c r="U167" i="1" s="1"/>
  <c r="S167" i="1"/>
  <c r="Q167" i="1" s="1"/>
  <c r="K167" i="1" s="1"/>
  <c r="N167" i="1"/>
  <c r="M167" i="1"/>
  <c r="W166" i="1"/>
  <c r="V166" i="1"/>
  <c r="T166" i="1"/>
  <c r="S166" i="1"/>
  <c r="Q166" i="1" s="1"/>
  <c r="R166" i="1" s="1"/>
  <c r="N166" i="1"/>
  <c r="M166" i="1"/>
  <c r="W165" i="1"/>
  <c r="V165" i="1"/>
  <c r="T165" i="1"/>
  <c r="U165" i="1" s="1"/>
  <c r="S165" i="1"/>
  <c r="Q165" i="1" s="1"/>
  <c r="K165" i="1" s="1"/>
  <c r="N165" i="1"/>
  <c r="M165" i="1"/>
  <c r="W164" i="1"/>
  <c r="V164" i="1"/>
  <c r="T164" i="1"/>
  <c r="S164" i="1"/>
  <c r="Q164" i="1" s="1"/>
  <c r="R164" i="1" s="1"/>
  <c r="N164" i="1"/>
  <c r="M164" i="1"/>
  <c r="L164" i="1" s="1"/>
  <c r="W163" i="1"/>
  <c r="V163" i="1"/>
  <c r="T163" i="1"/>
  <c r="S163" i="1"/>
  <c r="Q163" i="1" s="1"/>
  <c r="K163" i="1" s="1"/>
  <c r="N163" i="1"/>
  <c r="M163" i="1"/>
  <c r="W162" i="1"/>
  <c r="V162" i="1"/>
  <c r="T162" i="1"/>
  <c r="S162" i="1"/>
  <c r="Q162" i="1" s="1"/>
  <c r="R162" i="1" s="1"/>
  <c r="N162" i="1"/>
  <c r="M162" i="1"/>
  <c r="K162" i="1"/>
  <c r="W161" i="1"/>
  <c r="V161" i="1"/>
  <c r="T161" i="1"/>
  <c r="S161" i="1"/>
  <c r="Q161" i="1" s="1"/>
  <c r="K161" i="1" s="1"/>
  <c r="N161" i="1"/>
  <c r="M161" i="1"/>
  <c r="W160" i="1"/>
  <c r="V160" i="1"/>
  <c r="T160" i="1"/>
  <c r="S160" i="1"/>
  <c r="Q160" i="1" s="1"/>
  <c r="R160" i="1" s="1"/>
  <c r="N160" i="1"/>
  <c r="M160" i="1"/>
  <c r="L160" i="1" s="1"/>
  <c r="K160" i="1"/>
  <c r="H160" i="1"/>
  <c r="W159" i="1"/>
  <c r="V159" i="1"/>
  <c r="T159" i="1"/>
  <c r="S159" i="1"/>
  <c r="Q159" i="1" s="1"/>
  <c r="K159" i="1" s="1"/>
  <c r="N159" i="1"/>
  <c r="M159" i="1"/>
  <c r="W158" i="1"/>
  <c r="V158" i="1"/>
  <c r="T158" i="1"/>
  <c r="S158" i="1"/>
  <c r="Q158" i="1" s="1"/>
  <c r="R158" i="1" s="1"/>
  <c r="N158" i="1"/>
  <c r="M158" i="1"/>
  <c r="L158" i="1" s="1"/>
  <c r="K158" i="1"/>
  <c r="H158" i="1"/>
  <c r="W157" i="1"/>
  <c r="V157" i="1"/>
  <c r="T157" i="1"/>
  <c r="S157" i="1"/>
  <c r="Q157" i="1" s="1"/>
  <c r="K157" i="1" s="1"/>
  <c r="N157" i="1"/>
  <c r="M157" i="1"/>
  <c r="W156" i="1"/>
  <c r="V156" i="1"/>
  <c r="T156" i="1"/>
  <c r="S156" i="1"/>
  <c r="Q156" i="1" s="1"/>
  <c r="N156" i="1"/>
  <c r="M156" i="1"/>
  <c r="L156" i="1" s="1"/>
  <c r="W155" i="1"/>
  <c r="V155" i="1"/>
  <c r="T155" i="1"/>
  <c r="S155" i="1"/>
  <c r="Q155" i="1" s="1"/>
  <c r="K155" i="1" s="1"/>
  <c r="N155" i="1"/>
  <c r="M155" i="1"/>
  <c r="W154" i="1"/>
  <c r="V154" i="1"/>
  <c r="T154" i="1"/>
  <c r="S154" i="1"/>
  <c r="Q154" i="1" s="1"/>
  <c r="K154" i="1" s="1"/>
  <c r="N154" i="1"/>
  <c r="M154" i="1"/>
  <c r="W153" i="1"/>
  <c r="V153" i="1"/>
  <c r="T153" i="1"/>
  <c r="U153" i="1" s="1"/>
  <c r="S153" i="1"/>
  <c r="Q153" i="1" s="1"/>
  <c r="K153" i="1" s="1"/>
  <c r="N153" i="1"/>
  <c r="M153" i="1"/>
  <c r="W152" i="1"/>
  <c r="V152" i="1"/>
  <c r="T152" i="1"/>
  <c r="S152" i="1"/>
  <c r="Q152" i="1"/>
  <c r="N152" i="1"/>
  <c r="M152" i="1"/>
  <c r="L152" i="1" s="1"/>
  <c r="W151" i="1"/>
  <c r="V151" i="1"/>
  <c r="T151" i="1"/>
  <c r="S151" i="1"/>
  <c r="Q151" i="1" s="1"/>
  <c r="N151" i="1"/>
  <c r="M151" i="1"/>
  <c r="W150" i="1"/>
  <c r="V150" i="1"/>
  <c r="T150" i="1"/>
  <c r="S150" i="1"/>
  <c r="Q150" i="1" s="1"/>
  <c r="N150" i="1"/>
  <c r="M150" i="1"/>
  <c r="L150" i="1" s="1"/>
  <c r="W149" i="1"/>
  <c r="V149" i="1"/>
  <c r="T149" i="1"/>
  <c r="S149" i="1"/>
  <c r="Q149" i="1" s="1"/>
  <c r="R149" i="1"/>
  <c r="N149" i="1"/>
  <c r="M149" i="1"/>
  <c r="W148" i="1"/>
  <c r="V148" i="1"/>
  <c r="T148" i="1"/>
  <c r="S148" i="1"/>
  <c r="Q148" i="1" s="1"/>
  <c r="R148" i="1" s="1"/>
  <c r="N148" i="1"/>
  <c r="M148" i="1"/>
  <c r="W147" i="1"/>
  <c r="V147" i="1"/>
  <c r="T147" i="1"/>
  <c r="S147" i="1"/>
  <c r="Q147" i="1" s="1"/>
  <c r="K147" i="1" s="1"/>
  <c r="N147" i="1"/>
  <c r="M147" i="1"/>
  <c r="W146" i="1"/>
  <c r="V146" i="1"/>
  <c r="T146" i="1"/>
  <c r="U146" i="1" s="1"/>
  <c r="S146" i="1"/>
  <c r="Q146" i="1" s="1"/>
  <c r="R146" i="1" s="1"/>
  <c r="N146" i="1"/>
  <c r="M146" i="1"/>
  <c r="K146" i="1"/>
  <c r="W145" i="1"/>
  <c r="V145" i="1"/>
  <c r="T145" i="1"/>
  <c r="S145" i="1"/>
  <c r="Q145" i="1" s="1"/>
  <c r="N145" i="1"/>
  <c r="M145" i="1"/>
  <c r="W144" i="1"/>
  <c r="V144" i="1"/>
  <c r="T144" i="1"/>
  <c r="S144" i="1"/>
  <c r="Q144" i="1" s="1"/>
  <c r="R144" i="1" s="1"/>
  <c r="N144" i="1"/>
  <c r="M144" i="1"/>
  <c r="L144" i="1"/>
  <c r="H144" i="1"/>
  <c r="W143" i="1"/>
  <c r="V143" i="1"/>
  <c r="T143" i="1"/>
  <c r="S143" i="1"/>
  <c r="Q143" i="1" s="1"/>
  <c r="K143" i="1" s="1"/>
  <c r="N143" i="1"/>
  <c r="M143" i="1"/>
  <c r="W142" i="1"/>
  <c r="V142" i="1"/>
  <c r="U142" i="1" s="1"/>
  <c r="T142" i="1"/>
  <c r="S142" i="1"/>
  <c r="Q142" i="1" s="1"/>
  <c r="R142" i="1" s="1"/>
  <c r="N142" i="1"/>
  <c r="M142" i="1"/>
  <c r="K142" i="1"/>
  <c r="H142" i="1"/>
  <c r="W141" i="1"/>
  <c r="V141" i="1"/>
  <c r="T141" i="1"/>
  <c r="S141" i="1"/>
  <c r="Q141" i="1" s="1"/>
  <c r="N141" i="1"/>
  <c r="M141" i="1"/>
  <c r="W140" i="1"/>
  <c r="V140" i="1"/>
  <c r="T140" i="1"/>
  <c r="S140" i="1"/>
  <c r="Q140" i="1" s="1"/>
  <c r="R140" i="1" s="1"/>
  <c r="N140" i="1"/>
  <c r="M140" i="1"/>
  <c r="L140" i="1"/>
  <c r="W139" i="1"/>
  <c r="V139" i="1"/>
  <c r="T139" i="1"/>
  <c r="S139" i="1"/>
  <c r="Q139" i="1" s="1"/>
  <c r="N139" i="1"/>
  <c r="M139" i="1"/>
  <c r="W138" i="1"/>
  <c r="V138" i="1"/>
  <c r="U138" i="1"/>
  <c r="T138" i="1"/>
  <c r="S138" i="1"/>
  <c r="Q138" i="1" s="1"/>
  <c r="R138" i="1" s="1"/>
  <c r="N138" i="1"/>
  <c r="M138" i="1"/>
  <c r="W137" i="1"/>
  <c r="V137" i="1"/>
  <c r="T137" i="1"/>
  <c r="S137" i="1"/>
  <c r="Q137" i="1" s="1"/>
  <c r="N137" i="1"/>
  <c r="M137" i="1"/>
  <c r="W136" i="1"/>
  <c r="V136" i="1"/>
  <c r="T136" i="1"/>
  <c r="S136" i="1"/>
  <c r="Q136" i="1" s="1"/>
  <c r="N136" i="1"/>
  <c r="M136" i="1"/>
  <c r="W135" i="1"/>
  <c r="V135" i="1"/>
  <c r="T135" i="1"/>
  <c r="S135" i="1"/>
  <c r="Q135" i="1" s="1"/>
  <c r="N135" i="1"/>
  <c r="M135" i="1"/>
  <c r="W134" i="1"/>
  <c r="V134" i="1"/>
  <c r="T134" i="1"/>
  <c r="S134" i="1"/>
  <c r="Q134" i="1" s="1"/>
  <c r="N134" i="1"/>
  <c r="M134" i="1"/>
  <c r="W133" i="1"/>
  <c r="V133" i="1"/>
  <c r="T133" i="1"/>
  <c r="S133" i="1"/>
  <c r="Q133" i="1" s="1"/>
  <c r="N133" i="1"/>
  <c r="M133" i="1"/>
  <c r="W132" i="1"/>
  <c r="V132" i="1"/>
  <c r="T132" i="1"/>
  <c r="S132" i="1"/>
  <c r="Q132" i="1" s="1"/>
  <c r="R132" i="1" s="1"/>
  <c r="N132" i="1"/>
  <c r="L132" i="1" s="1"/>
  <c r="M132" i="1"/>
  <c r="W131" i="1"/>
  <c r="V131" i="1"/>
  <c r="T131" i="1"/>
  <c r="S131" i="1"/>
  <c r="Q131" i="1" s="1"/>
  <c r="K131" i="1" s="1"/>
  <c r="N131" i="1"/>
  <c r="M131" i="1"/>
  <c r="W130" i="1"/>
  <c r="V130" i="1"/>
  <c r="U130" i="1"/>
  <c r="T130" i="1"/>
  <c r="S130" i="1"/>
  <c r="Q130" i="1" s="1"/>
  <c r="R130" i="1" s="1"/>
  <c r="N130" i="1"/>
  <c r="M130" i="1"/>
  <c r="W129" i="1"/>
  <c r="V129" i="1"/>
  <c r="T129" i="1"/>
  <c r="S129" i="1"/>
  <c r="Q129" i="1" s="1"/>
  <c r="N129" i="1"/>
  <c r="M129" i="1"/>
  <c r="L129" i="1" s="1"/>
  <c r="W128" i="1"/>
  <c r="V128" i="1"/>
  <c r="T128" i="1"/>
  <c r="S128" i="1"/>
  <c r="Q128" i="1" s="1"/>
  <c r="R128" i="1" s="1"/>
  <c r="N128" i="1"/>
  <c r="L128" i="1" s="1"/>
  <c r="M128" i="1"/>
  <c r="W127" i="1"/>
  <c r="V127" i="1"/>
  <c r="T127" i="1"/>
  <c r="U127" i="1" s="1"/>
  <c r="S127" i="1"/>
  <c r="Q127" i="1" s="1"/>
  <c r="N127" i="1"/>
  <c r="M127" i="1"/>
  <c r="W126" i="1"/>
  <c r="V126" i="1"/>
  <c r="T126" i="1"/>
  <c r="S126" i="1"/>
  <c r="Q126" i="1" s="1"/>
  <c r="R126" i="1" s="1"/>
  <c r="N126" i="1"/>
  <c r="M126" i="1"/>
  <c r="W125" i="1"/>
  <c r="V125" i="1"/>
  <c r="T125" i="1"/>
  <c r="S125" i="1"/>
  <c r="Q125" i="1" s="1"/>
  <c r="N125" i="1"/>
  <c r="M125" i="1"/>
  <c r="W124" i="1"/>
  <c r="V124" i="1"/>
  <c r="U124" i="1" s="1"/>
  <c r="T124" i="1"/>
  <c r="S124" i="1"/>
  <c r="Q124" i="1" s="1"/>
  <c r="R124" i="1" s="1"/>
  <c r="N124" i="1"/>
  <c r="M124" i="1"/>
  <c r="L124" i="1"/>
  <c r="K124" i="1"/>
  <c r="W123" i="1"/>
  <c r="V123" i="1"/>
  <c r="T123" i="1"/>
  <c r="S123" i="1"/>
  <c r="Q123" i="1"/>
  <c r="N123" i="1"/>
  <c r="M123" i="1"/>
  <c r="W122" i="1"/>
  <c r="V122" i="1"/>
  <c r="U122" i="1"/>
  <c r="T122" i="1"/>
  <c r="S122" i="1"/>
  <c r="Q122" i="1"/>
  <c r="N122" i="1"/>
  <c r="M122" i="1"/>
  <c r="W121" i="1"/>
  <c r="V121" i="1"/>
  <c r="T121" i="1"/>
  <c r="U121" i="1" s="1"/>
  <c r="S121" i="1"/>
  <c r="Q121" i="1" s="1"/>
  <c r="N121" i="1"/>
  <c r="M121" i="1"/>
  <c r="L121" i="1" s="1"/>
  <c r="W120" i="1"/>
  <c r="V120" i="1"/>
  <c r="T120" i="1"/>
  <c r="S120" i="1"/>
  <c r="Q120" i="1"/>
  <c r="K120" i="1" s="1"/>
  <c r="N120" i="1"/>
  <c r="M120" i="1"/>
  <c r="L120" i="1"/>
  <c r="W119" i="1"/>
  <c r="V119" i="1"/>
  <c r="T119" i="1"/>
  <c r="S119" i="1"/>
  <c r="Q119" i="1" s="1"/>
  <c r="N119" i="1"/>
  <c r="M119" i="1"/>
  <c r="W118" i="1"/>
  <c r="V118" i="1"/>
  <c r="T118" i="1"/>
  <c r="S118" i="1"/>
  <c r="Q118" i="1"/>
  <c r="H118" i="1" s="1"/>
  <c r="N118" i="1"/>
  <c r="M118" i="1"/>
  <c r="W117" i="1"/>
  <c r="V117" i="1"/>
  <c r="T117" i="1"/>
  <c r="S117" i="1"/>
  <c r="Q117" i="1" s="1"/>
  <c r="N117" i="1"/>
  <c r="M117" i="1"/>
  <c r="W116" i="1"/>
  <c r="V116" i="1"/>
  <c r="U116" i="1" s="1"/>
  <c r="T116" i="1"/>
  <c r="S116" i="1"/>
  <c r="Q116" i="1" s="1"/>
  <c r="R116" i="1" s="1"/>
  <c r="N116" i="1"/>
  <c r="M116" i="1"/>
  <c r="W115" i="1"/>
  <c r="V115" i="1"/>
  <c r="T115" i="1"/>
  <c r="S115" i="1"/>
  <c r="Q115" i="1" s="1"/>
  <c r="N115" i="1"/>
  <c r="M115" i="1"/>
  <c r="W114" i="1"/>
  <c r="V114" i="1"/>
  <c r="T114" i="1"/>
  <c r="S114" i="1"/>
  <c r="Q114" i="1" s="1"/>
  <c r="R114" i="1" s="1"/>
  <c r="N114" i="1"/>
  <c r="M114" i="1"/>
  <c r="W113" i="1"/>
  <c r="V113" i="1"/>
  <c r="T113" i="1"/>
  <c r="U113" i="1" s="1"/>
  <c r="S113" i="1"/>
  <c r="Q113" i="1" s="1"/>
  <c r="N113" i="1"/>
  <c r="M113" i="1"/>
  <c r="L113" i="1" s="1"/>
  <c r="W112" i="1"/>
  <c r="V112" i="1"/>
  <c r="T112" i="1"/>
  <c r="S112" i="1"/>
  <c r="Q112" i="1" s="1"/>
  <c r="N112" i="1"/>
  <c r="M112" i="1"/>
  <c r="K112" i="1"/>
  <c r="W111" i="1"/>
  <c r="V111" i="1"/>
  <c r="T111" i="1"/>
  <c r="S111" i="1"/>
  <c r="Q111" i="1" s="1"/>
  <c r="N111" i="1"/>
  <c r="M111" i="1"/>
  <c r="W110" i="1"/>
  <c r="V110" i="1"/>
  <c r="T110" i="1"/>
  <c r="S110" i="1"/>
  <c r="Q110" i="1" s="1"/>
  <c r="N110" i="1"/>
  <c r="M110" i="1"/>
  <c r="L110" i="1"/>
  <c r="W109" i="1"/>
  <c r="V109" i="1"/>
  <c r="T109" i="1"/>
  <c r="U109" i="1" s="1"/>
  <c r="S109" i="1"/>
  <c r="Q109" i="1" s="1"/>
  <c r="N109" i="1"/>
  <c r="M109" i="1"/>
  <c r="W108" i="1"/>
  <c r="V108" i="1"/>
  <c r="T108" i="1"/>
  <c r="S108" i="1"/>
  <c r="Q108" i="1" s="1"/>
  <c r="N108" i="1"/>
  <c r="M108" i="1"/>
  <c r="W107" i="1"/>
  <c r="V107" i="1"/>
  <c r="T107" i="1"/>
  <c r="S107" i="1"/>
  <c r="Q107" i="1" s="1"/>
  <c r="N107" i="1"/>
  <c r="M107" i="1"/>
  <c r="L107" i="1" s="1"/>
  <c r="W106" i="1"/>
  <c r="V106" i="1"/>
  <c r="T106" i="1"/>
  <c r="S106" i="1"/>
  <c r="Q106" i="1" s="1"/>
  <c r="R106" i="1" s="1"/>
  <c r="N106" i="1"/>
  <c r="M106" i="1"/>
  <c r="L106" i="1" s="1"/>
  <c r="W105" i="1"/>
  <c r="V105" i="1"/>
  <c r="T105" i="1"/>
  <c r="S105" i="1"/>
  <c r="Q105" i="1"/>
  <c r="K105" i="1" s="1"/>
  <c r="N105" i="1"/>
  <c r="M105" i="1"/>
  <c r="L105" i="1" s="1"/>
  <c r="W104" i="1"/>
  <c r="V104" i="1"/>
  <c r="T104" i="1"/>
  <c r="S104" i="1"/>
  <c r="Q104" i="1" s="1"/>
  <c r="R104" i="1" s="1"/>
  <c r="N104" i="1"/>
  <c r="M104" i="1"/>
  <c r="L104" i="1" s="1"/>
  <c r="W103" i="1"/>
  <c r="V103" i="1"/>
  <c r="T103" i="1"/>
  <c r="S103" i="1"/>
  <c r="Q103" i="1" s="1"/>
  <c r="N103" i="1"/>
  <c r="M103" i="1"/>
  <c r="W102" i="1"/>
  <c r="V102" i="1"/>
  <c r="T102" i="1"/>
  <c r="S102" i="1"/>
  <c r="Q102" i="1" s="1"/>
  <c r="N102" i="1"/>
  <c r="M102" i="1"/>
  <c r="W101" i="1"/>
  <c r="V101" i="1"/>
  <c r="T101" i="1"/>
  <c r="U101" i="1" s="1"/>
  <c r="S101" i="1"/>
  <c r="Q101" i="1" s="1"/>
  <c r="N101" i="1"/>
  <c r="M101" i="1"/>
  <c r="W100" i="1"/>
  <c r="V100" i="1"/>
  <c r="T100" i="1"/>
  <c r="U100" i="1" s="1"/>
  <c r="S100" i="1"/>
  <c r="Q100" i="1" s="1"/>
  <c r="N100" i="1"/>
  <c r="M100" i="1"/>
  <c r="W99" i="1"/>
  <c r="V99" i="1"/>
  <c r="T99" i="1"/>
  <c r="S99" i="1"/>
  <c r="Q99" i="1" s="1"/>
  <c r="N99" i="1"/>
  <c r="M99" i="1"/>
  <c r="W98" i="1"/>
  <c r="V98" i="1"/>
  <c r="T98" i="1"/>
  <c r="S98" i="1"/>
  <c r="Q98" i="1" s="1"/>
  <c r="N98" i="1"/>
  <c r="M98" i="1"/>
  <c r="L98" i="1" s="1"/>
  <c r="W97" i="1"/>
  <c r="V97" i="1"/>
  <c r="T97" i="1"/>
  <c r="S97" i="1"/>
  <c r="Q97" i="1" s="1"/>
  <c r="N97" i="1"/>
  <c r="M97" i="1"/>
  <c r="W96" i="1"/>
  <c r="V96" i="1"/>
  <c r="T96" i="1"/>
  <c r="S96" i="1"/>
  <c r="Q96" i="1" s="1"/>
  <c r="H96" i="1" s="1"/>
  <c r="N96" i="1"/>
  <c r="M96" i="1"/>
  <c r="W95" i="1"/>
  <c r="V95" i="1"/>
  <c r="T95" i="1"/>
  <c r="S95" i="1"/>
  <c r="Q95" i="1" s="1"/>
  <c r="N95" i="1"/>
  <c r="M95" i="1"/>
  <c r="W94" i="1"/>
  <c r="V94" i="1"/>
  <c r="T94" i="1"/>
  <c r="S94" i="1"/>
  <c r="Q94" i="1" s="1"/>
  <c r="H94" i="1" s="1"/>
  <c r="N94" i="1"/>
  <c r="M94" i="1"/>
  <c r="L94" i="1" s="1"/>
  <c r="W93" i="1"/>
  <c r="V93" i="1"/>
  <c r="T93" i="1"/>
  <c r="S93" i="1"/>
  <c r="Q93" i="1" s="1"/>
  <c r="N93" i="1"/>
  <c r="M93" i="1"/>
  <c r="W92" i="1"/>
  <c r="V92" i="1"/>
  <c r="T92" i="1"/>
  <c r="S92" i="1"/>
  <c r="Q92" i="1" s="1"/>
  <c r="H92" i="1" s="1"/>
  <c r="N92" i="1"/>
  <c r="M92" i="1"/>
  <c r="L92" i="1" s="1"/>
  <c r="W91" i="1"/>
  <c r="V91" i="1"/>
  <c r="T91" i="1"/>
  <c r="S91" i="1"/>
  <c r="Q91" i="1" s="1"/>
  <c r="N91" i="1"/>
  <c r="M91" i="1"/>
  <c r="W90" i="1"/>
  <c r="V90" i="1"/>
  <c r="T90" i="1"/>
  <c r="U90" i="1" s="1"/>
  <c r="S90" i="1"/>
  <c r="Q90" i="1" s="1"/>
  <c r="N90" i="1"/>
  <c r="M90" i="1"/>
  <c r="W89" i="1"/>
  <c r="V89" i="1"/>
  <c r="T89" i="1"/>
  <c r="U89" i="1" s="1"/>
  <c r="S89" i="1"/>
  <c r="R89" i="1"/>
  <c r="Q89" i="1"/>
  <c r="K89" i="1" s="1"/>
  <c r="N89" i="1"/>
  <c r="M89" i="1"/>
  <c r="L89" i="1" s="1"/>
  <c r="W88" i="1"/>
  <c r="V88" i="1"/>
  <c r="T88" i="1"/>
  <c r="U88" i="1" s="1"/>
  <c r="S88" i="1"/>
  <c r="Q88" i="1" s="1"/>
  <c r="N88" i="1"/>
  <c r="M88" i="1"/>
  <c r="W87" i="1"/>
  <c r="V87" i="1"/>
  <c r="T87" i="1"/>
  <c r="S87" i="1"/>
  <c r="Q87" i="1"/>
  <c r="N87" i="1"/>
  <c r="M87" i="1"/>
  <c r="W86" i="1"/>
  <c r="V86" i="1"/>
  <c r="T86" i="1"/>
  <c r="U86" i="1" s="1"/>
  <c r="S86" i="1"/>
  <c r="Q86" i="1" s="1"/>
  <c r="N86" i="1"/>
  <c r="M86" i="1"/>
  <c r="L86" i="1" s="1"/>
  <c r="W85" i="1"/>
  <c r="V85" i="1"/>
  <c r="T85" i="1"/>
  <c r="S85" i="1"/>
  <c r="Q85" i="1" s="1"/>
  <c r="K85" i="1" s="1"/>
  <c r="N85" i="1"/>
  <c r="M85" i="1"/>
  <c r="L85" i="1" s="1"/>
  <c r="W84" i="1"/>
  <c r="V84" i="1"/>
  <c r="T84" i="1"/>
  <c r="S84" i="1"/>
  <c r="Q84" i="1" s="1"/>
  <c r="N84" i="1"/>
  <c r="L84" i="1" s="1"/>
  <c r="M84" i="1"/>
  <c r="W83" i="1"/>
  <c r="V83" i="1"/>
  <c r="T83" i="1"/>
  <c r="U83" i="1" s="1"/>
  <c r="S83" i="1"/>
  <c r="Q83" i="1" s="1"/>
  <c r="K83" i="1" s="1"/>
  <c r="N83" i="1"/>
  <c r="M83" i="1"/>
  <c r="W82" i="1"/>
  <c r="V82" i="1"/>
  <c r="T82" i="1"/>
  <c r="S82" i="1"/>
  <c r="Q82" i="1" s="1"/>
  <c r="N82" i="1"/>
  <c r="L82" i="1" s="1"/>
  <c r="M82" i="1"/>
  <c r="W81" i="1"/>
  <c r="V81" i="1"/>
  <c r="T81" i="1"/>
  <c r="S81" i="1"/>
  <c r="Q81" i="1"/>
  <c r="N81" i="1"/>
  <c r="M81" i="1"/>
  <c r="W80" i="1"/>
  <c r="V80" i="1"/>
  <c r="T80" i="1"/>
  <c r="U80" i="1" s="1"/>
  <c r="S80" i="1"/>
  <c r="Q80" i="1" s="1"/>
  <c r="N80" i="1"/>
  <c r="M80" i="1"/>
  <c r="L80" i="1"/>
  <c r="W79" i="1"/>
  <c r="V79" i="1"/>
  <c r="T79" i="1"/>
  <c r="S79" i="1"/>
  <c r="Q79" i="1" s="1"/>
  <c r="N79" i="1"/>
  <c r="M79" i="1"/>
  <c r="W78" i="1"/>
  <c r="V78" i="1"/>
  <c r="T78" i="1"/>
  <c r="S78" i="1"/>
  <c r="Q78" i="1" s="1"/>
  <c r="N78" i="1"/>
  <c r="M78" i="1"/>
  <c r="W77" i="1"/>
  <c r="V77" i="1"/>
  <c r="T77" i="1"/>
  <c r="U77" i="1" s="1"/>
  <c r="S77" i="1"/>
  <c r="Q77" i="1" s="1"/>
  <c r="K77" i="1" s="1"/>
  <c r="N77" i="1"/>
  <c r="M77" i="1"/>
  <c r="W76" i="1"/>
  <c r="V76" i="1"/>
  <c r="T76" i="1"/>
  <c r="S76" i="1"/>
  <c r="Q76" i="1" s="1"/>
  <c r="N76" i="1"/>
  <c r="M76" i="1"/>
  <c r="W75" i="1"/>
  <c r="V75" i="1"/>
  <c r="T75" i="1"/>
  <c r="U75" i="1" s="1"/>
  <c r="S75" i="1"/>
  <c r="Q75" i="1" s="1"/>
  <c r="K75" i="1" s="1"/>
  <c r="N75" i="1"/>
  <c r="M75" i="1"/>
  <c r="W74" i="1"/>
  <c r="V74" i="1"/>
  <c r="T74" i="1"/>
  <c r="S74" i="1"/>
  <c r="Q74" i="1" s="1"/>
  <c r="N74" i="1"/>
  <c r="M74" i="1"/>
  <c r="L74" i="1"/>
  <c r="W73" i="1"/>
  <c r="V73" i="1"/>
  <c r="T73" i="1"/>
  <c r="U73" i="1" s="1"/>
  <c r="S73" i="1"/>
  <c r="Q73" i="1"/>
  <c r="K73" i="1" s="1"/>
  <c r="N73" i="1"/>
  <c r="M73" i="1"/>
  <c r="W72" i="1"/>
  <c r="V72" i="1"/>
  <c r="T72" i="1"/>
  <c r="S72" i="1"/>
  <c r="Q72" i="1" s="1"/>
  <c r="N72" i="1"/>
  <c r="M72" i="1"/>
  <c r="L72" i="1"/>
  <c r="W71" i="1"/>
  <c r="V71" i="1"/>
  <c r="T71" i="1"/>
  <c r="U71" i="1" s="1"/>
  <c r="S71" i="1"/>
  <c r="Q71" i="1"/>
  <c r="K71" i="1" s="1"/>
  <c r="N71" i="1"/>
  <c r="M71" i="1"/>
  <c r="L71" i="1" s="1"/>
  <c r="W70" i="1"/>
  <c r="V70" i="1"/>
  <c r="T70" i="1"/>
  <c r="U70" i="1" s="1"/>
  <c r="S70" i="1"/>
  <c r="Q70" i="1" s="1"/>
  <c r="N70" i="1"/>
  <c r="M70" i="1"/>
  <c r="L70" i="1" s="1"/>
  <c r="W69" i="1"/>
  <c r="V69" i="1"/>
  <c r="T69" i="1"/>
  <c r="S69" i="1"/>
  <c r="Q69" i="1"/>
  <c r="K69" i="1" s="1"/>
  <c r="N69" i="1"/>
  <c r="M69" i="1"/>
  <c r="L69" i="1" s="1"/>
  <c r="W68" i="1"/>
  <c r="V68" i="1"/>
  <c r="T68" i="1"/>
  <c r="S68" i="1"/>
  <c r="Q68" i="1" s="1"/>
  <c r="N68" i="1"/>
  <c r="M68" i="1"/>
  <c r="L68" i="1" s="1"/>
  <c r="W67" i="1"/>
  <c r="V67" i="1"/>
  <c r="T67" i="1"/>
  <c r="U67" i="1" s="1"/>
  <c r="S67" i="1"/>
  <c r="Q67" i="1" s="1"/>
  <c r="K67" i="1" s="1"/>
  <c r="N67" i="1"/>
  <c r="M67" i="1"/>
  <c r="L67" i="1" s="1"/>
  <c r="W66" i="1"/>
  <c r="V66" i="1"/>
  <c r="T66" i="1"/>
  <c r="S66" i="1"/>
  <c r="Q66" i="1" s="1"/>
  <c r="N66" i="1"/>
  <c r="M66" i="1"/>
  <c r="L66" i="1"/>
  <c r="W65" i="1"/>
  <c r="V65" i="1"/>
  <c r="T65" i="1"/>
  <c r="U65" i="1" s="1"/>
  <c r="S65" i="1"/>
  <c r="Q65" i="1"/>
  <c r="N65" i="1"/>
  <c r="M65" i="1"/>
  <c r="W64" i="1"/>
  <c r="V64" i="1"/>
  <c r="T64" i="1"/>
  <c r="S64" i="1"/>
  <c r="Q64" i="1" s="1"/>
  <c r="N64" i="1"/>
  <c r="M64" i="1"/>
  <c r="L64" i="1" s="1"/>
  <c r="W63" i="1"/>
  <c r="V63" i="1"/>
  <c r="T63" i="1"/>
  <c r="U63" i="1" s="1"/>
  <c r="S63" i="1"/>
  <c r="Q63" i="1" s="1"/>
  <c r="K63" i="1" s="1"/>
  <c r="N63" i="1"/>
  <c r="M63" i="1"/>
  <c r="W62" i="1"/>
  <c r="V62" i="1"/>
  <c r="T62" i="1"/>
  <c r="S62" i="1"/>
  <c r="Q62" i="1" s="1"/>
  <c r="N62" i="1"/>
  <c r="L62" i="1" s="1"/>
  <c r="M62" i="1"/>
  <c r="W61" i="1"/>
  <c r="V61" i="1"/>
  <c r="T61" i="1"/>
  <c r="U61" i="1" s="1"/>
  <c r="S61" i="1"/>
  <c r="Q61" i="1"/>
  <c r="K61" i="1" s="1"/>
  <c r="N61" i="1"/>
  <c r="M61" i="1"/>
  <c r="W60" i="1"/>
  <c r="V60" i="1"/>
  <c r="T60" i="1"/>
  <c r="U60" i="1" s="1"/>
  <c r="S60" i="1"/>
  <c r="Q60" i="1" s="1"/>
  <c r="N60" i="1"/>
  <c r="M60" i="1"/>
  <c r="L60" i="1" s="1"/>
  <c r="W59" i="1"/>
  <c r="V59" i="1"/>
  <c r="T59" i="1"/>
  <c r="U59" i="1" s="1"/>
  <c r="S59" i="1"/>
  <c r="Q59" i="1"/>
  <c r="K59" i="1" s="1"/>
  <c r="N59" i="1"/>
  <c r="M59" i="1"/>
  <c r="W58" i="1"/>
  <c r="V58" i="1"/>
  <c r="T58" i="1"/>
  <c r="S58" i="1"/>
  <c r="Q58" i="1" s="1"/>
  <c r="N58" i="1"/>
  <c r="M58" i="1"/>
  <c r="L58" i="1"/>
  <c r="W57" i="1"/>
  <c r="V57" i="1"/>
  <c r="T57" i="1"/>
  <c r="U57" i="1" s="1"/>
  <c r="S57" i="1"/>
  <c r="Q57" i="1" s="1"/>
  <c r="N57" i="1"/>
  <c r="M57" i="1"/>
  <c r="W56" i="1"/>
  <c r="V56" i="1"/>
  <c r="T56" i="1"/>
  <c r="S56" i="1"/>
  <c r="Q56" i="1" s="1"/>
  <c r="N56" i="1"/>
  <c r="L56" i="1" s="1"/>
  <c r="M56" i="1"/>
  <c r="W55" i="1"/>
  <c r="V55" i="1"/>
  <c r="T55" i="1"/>
  <c r="U55" i="1" s="1"/>
  <c r="S55" i="1"/>
  <c r="Q55" i="1" s="1"/>
  <c r="K55" i="1" s="1"/>
  <c r="R55" i="1"/>
  <c r="N55" i="1"/>
  <c r="M55" i="1"/>
  <c r="W54" i="1"/>
  <c r="V54" i="1"/>
  <c r="T54" i="1"/>
  <c r="U54" i="1" s="1"/>
  <c r="S54" i="1"/>
  <c r="Q54" i="1" s="1"/>
  <c r="N54" i="1"/>
  <c r="M54" i="1"/>
  <c r="W53" i="1"/>
  <c r="V53" i="1"/>
  <c r="T53" i="1"/>
  <c r="U53" i="1" s="1"/>
  <c r="S53" i="1"/>
  <c r="Q53" i="1"/>
  <c r="K53" i="1" s="1"/>
  <c r="N53" i="1"/>
  <c r="M53" i="1"/>
  <c r="W52" i="1"/>
  <c r="V52" i="1"/>
  <c r="T52" i="1"/>
  <c r="S52" i="1"/>
  <c r="Q52" i="1" s="1"/>
  <c r="N52" i="1"/>
  <c r="M52" i="1"/>
  <c r="L52" i="1" s="1"/>
  <c r="W51" i="1"/>
  <c r="V51" i="1"/>
  <c r="T51" i="1"/>
  <c r="U51" i="1" s="1"/>
  <c r="S51" i="1"/>
  <c r="Q51" i="1" s="1"/>
  <c r="N51" i="1"/>
  <c r="M51" i="1"/>
  <c r="W50" i="1"/>
  <c r="V50" i="1"/>
  <c r="T50" i="1"/>
  <c r="S50" i="1"/>
  <c r="Q50" i="1" s="1"/>
  <c r="N50" i="1"/>
  <c r="L50" i="1" s="1"/>
  <c r="M50" i="1"/>
  <c r="W49" i="1"/>
  <c r="V49" i="1"/>
  <c r="T49" i="1"/>
  <c r="U49" i="1" s="1"/>
  <c r="S49" i="1"/>
  <c r="Q49" i="1" s="1"/>
  <c r="R49" i="1"/>
  <c r="N49" i="1"/>
  <c r="M49" i="1"/>
  <c r="W48" i="1"/>
  <c r="V48" i="1"/>
  <c r="T48" i="1"/>
  <c r="S48" i="1"/>
  <c r="Q48" i="1" s="1"/>
  <c r="N48" i="1"/>
  <c r="M48" i="1"/>
  <c r="L48" i="1"/>
  <c r="W47" i="1"/>
  <c r="V47" i="1"/>
  <c r="T47" i="1"/>
  <c r="S47" i="1"/>
  <c r="Q47" i="1"/>
  <c r="R47" i="1" s="1"/>
  <c r="N47" i="1"/>
  <c r="M47" i="1"/>
  <c r="W46" i="1"/>
  <c r="V46" i="1"/>
  <c r="T46" i="1"/>
  <c r="U46" i="1" s="1"/>
  <c r="S46" i="1"/>
  <c r="Q46" i="1" s="1"/>
  <c r="R46" i="1" s="1"/>
  <c r="N46" i="1"/>
  <c r="M46" i="1"/>
  <c r="L46" i="1" s="1"/>
  <c r="W45" i="1"/>
  <c r="V45" i="1"/>
  <c r="T45" i="1"/>
  <c r="U45" i="1" s="1"/>
  <c r="S45" i="1"/>
  <c r="Q45" i="1" s="1"/>
  <c r="N45" i="1"/>
  <c r="M45" i="1"/>
  <c r="W44" i="1"/>
  <c r="V44" i="1"/>
  <c r="T44" i="1"/>
  <c r="S44" i="1"/>
  <c r="Q44" i="1" s="1"/>
  <c r="R44" i="1" s="1"/>
  <c r="N44" i="1"/>
  <c r="L44" i="1" s="1"/>
  <c r="M44" i="1"/>
  <c r="W43" i="1"/>
  <c r="V43" i="1"/>
  <c r="T43" i="1"/>
  <c r="U43" i="1" s="1"/>
  <c r="S43" i="1"/>
  <c r="Q43" i="1"/>
  <c r="N43" i="1"/>
  <c r="M43" i="1"/>
  <c r="W42" i="1"/>
  <c r="V42" i="1"/>
  <c r="T42" i="1"/>
  <c r="U42" i="1" s="1"/>
  <c r="S42" i="1"/>
  <c r="Q42" i="1" s="1"/>
  <c r="R42" i="1" s="1"/>
  <c r="N42" i="1"/>
  <c r="M42" i="1"/>
  <c r="L42" i="1"/>
  <c r="W41" i="1"/>
  <c r="V41" i="1"/>
  <c r="T41" i="1"/>
  <c r="U41" i="1" s="1"/>
  <c r="S41" i="1"/>
  <c r="Q41" i="1" s="1"/>
  <c r="R41" i="1" s="1"/>
  <c r="N41" i="1"/>
  <c r="M41" i="1"/>
  <c r="W40" i="1"/>
  <c r="V40" i="1"/>
  <c r="T40" i="1"/>
  <c r="S40" i="1"/>
  <c r="Q40" i="1" s="1"/>
  <c r="R40" i="1" s="1"/>
  <c r="N40" i="1"/>
  <c r="M40" i="1"/>
  <c r="K40" i="1"/>
  <c r="W39" i="1"/>
  <c r="V39" i="1"/>
  <c r="T39" i="1"/>
  <c r="U39" i="1" s="1"/>
  <c r="S39" i="1"/>
  <c r="Q39" i="1"/>
  <c r="R39" i="1" s="1"/>
  <c r="N39" i="1"/>
  <c r="M39" i="1"/>
  <c r="W38" i="1"/>
  <c r="V38" i="1"/>
  <c r="T38" i="1"/>
  <c r="S38" i="1"/>
  <c r="Q38" i="1" s="1"/>
  <c r="R38" i="1" s="1"/>
  <c r="N38" i="1"/>
  <c r="M38" i="1"/>
  <c r="L38" i="1" s="1"/>
  <c r="W37" i="1"/>
  <c r="V37" i="1"/>
  <c r="T37" i="1"/>
  <c r="S37" i="1"/>
  <c r="Q37" i="1" s="1"/>
  <c r="N37" i="1"/>
  <c r="M37" i="1"/>
  <c r="L37" i="1" s="1"/>
  <c r="W36" i="1"/>
  <c r="V36" i="1"/>
  <c r="T36" i="1"/>
  <c r="U36" i="1" s="1"/>
  <c r="S36" i="1"/>
  <c r="Q36" i="1" s="1"/>
  <c r="R36" i="1" s="1"/>
  <c r="N36" i="1"/>
  <c r="M36" i="1"/>
  <c r="W35" i="1"/>
  <c r="V35" i="1"/>
  <c r="T35" i="1"/>
  <c r="S35" i="1"/>
  <c r="Q35" i="1"/>
  <c r="N35" i="1"/>
  <c r="M35" i="1"/>
  <c r="W34" i="1"/>
  <c r="V34" i="1"/>
  <c r="T34" i="1"/>
  <c r="U34" i="1" s="1"/>
  <c r="S34" i="1"/>
  <c r="Q34" i="1" s="1"/>
  <c r="N34" i="1"/>
  <c r="M34" i="1"/>
  <c r="L34" i="1" s="1"/>
  <c r="W33" i="1"/>
  <c r="V33" i="1"/>
  <c r="T33" i="1"/>
  <c r="U33" i="1" s="1"/>
  <c r="S33" i="1"/>
  <c r="Q33" i="1"/>
  <c r="R33" i="1" s="1"/>
  <c r="N33" i="1"/>
  <c r="M33" i="1"/>
  <c r="L33" i="1" s="1"/>
  <c r="W32" i="1"/>
  <c r="V32" i="1"/>
  <c r="T32" i="1"/>
  <c r="U32" i="1" s="1"/>
  <c r="S32" i="1"/>
  <c r="Q32" i="1" s="1"/>
  <c r="N32" i="1"/>
  <c r="M32" i="1"/>
  <c r="L32" i="1" s="1"/>
  <c r="W31" i="1"/>
  <c r="V31" i="1"/>
  <c r="T31" i="1"/>
  <c r="U31" i="1" s="1"/>
  <c r="S31" i="1"/>
  <c r="Q31" i="1" s="1"/>
  <c r="R31" i="1" s="1"/>
  <c r="N31" i="1"/>
  <c r="M31" i="1"/>
  <c r="W30" i="1"/>
  <c r="V30" i="1"/>
  <c r="T30" i="1"/>
  <c r="S30" i="1"/>
  <c r="Q30" i="1" s="1"/>
  <c r="R30" i="1" s="1"/>
  <c r="N30" i="1"/>
  <c r="M30" i="1"/>
  <c r="W29" i="1"/>
  <c r="V29" i="1"/>
  <c r="T29" i="1"/>
  <c r="S29" i="1"/>
  <c r="Q29" i="1" s="1"/>
  <c r="N29" i="1"/>
  <c r="M29" i="1"/>
  <c r="L29" i="1" s="1"/>
  <c r="W28" i="1"/>
  <c r="V28" i="1"/>
  <c r="T28" i="1"/>
  <c r="U28" i="1" s="1"/>
  <c r="S28" i="1"/>
  <c r="Q28" i="1" s="1"/>
  <c r="R28" i="1" s="1"/>
  <c r="N28" i="1"/>
  <c r="M28" i="1"/>
  <c r="L28" i="1" s="1"/>
  <c r="W27" i="1"/>
  <c r="V27" i="1"/>
  <c r="T27" i="1"/>
  <c r="S27" i="1"/>
  <c r="Q27" i="1" s="1"/>
  <c r="R27" i="1" s="1"/>
  <c r="N27" i="1"/>
  <c r="M27" i="1"/>
  <c r="W26" i="1"/>
  <c r="V26" i="1"/>
  <c r="T26" i="1"/>
  <c r="U26" i="1" s="1"/>
  <c r="S26" i="1"/>
  <c r="Q26" i="1" s="1"/>
  <c r="N26" i="1"/>
  <c r="M26" i="1"/>
  <c r="L26" i="1" s="1"/>
  <c r="W25" i="1"/>
  <c r="V25" i="1"/>
  <c r="T25" i="1"/>
  <c r="U25" i="1" s="1"/>
  <c r="S25" i="1"/>
  <c r="Q25" i="1" s="1"/>
  <c r="N25" i="1"/>
  <c r="M25" i="1"/>
  <c r="L25" i="1" s="1"/>
  <c r="W24" i="1"/>
  <c r="V24" i="1"/>
  <c r="T24" i="1"/>
  <c r="S24" i="1"/>
  <c r="Q24" i="1" s="1"/>
  <c r="N24" i="1"/>
  <c r="M24" i="1"/>
  <c r="L24" i="1"/>
  <c r="W23" i="1"/>
  <c r="V23" i="1"/>
  <c r="T23" i="1"/>
  <c r="U23" i="1" s="1"/>
  <c r="S23" i="1"/>
  <c r="Q23" i="1" s="1"/>
  <c r="R23" i="1" s="1"/>
  <c r="N23" i="1"/>
  <c r="M23" i="1"/>
  <c r="W22" i="1"/>
  <c r="V22" i="1"/>
  <c r="T22" i="1"/>
  <c r="U22" i="1" s="1"/>
  <c r="S22" i="1"/>
  <c r="Q22" i="1" s="1"/>
  <c r="R22" i="1" s="1"/>
  <c r="N22" i="1"/>
  <c r="M22" i="1"/>
  <c r="W21" i="1"/>
  <c r="V21" i="1"/>
  <c r="T21" i="1"/>
  <c r="S21" i="1"/>
  <c r="Q21" i="1" s="1"/>
  <c r="N21" i="1"/>
  <c r="M21" i="1"/>
  <c r="W20" i="1"/>
  <c r="V20" i="1"/>
  <c r="T20" i="1"/>
  <c r="U20" i="1" s="1"/>
  <c r="S20" i="1"/>
  <c r="Q20" i="1" s="1"/>
  <c r="R20" i="1" s="1"/>
  <c r="N20" i="1"/>
  <c r="M20" i="1"/>
  <c r="L20" i="1"/>
  <c r="W19" i="1"/>
  <c r="V19" i="1"/>
  <c r="T19" i="1"/>
  <c r="S19" i="1"/>
  <c r="Q19" i="1"/>
  <c r="N19" i="1"/>
  <c r="M19" i="1"/>
  <c r="L19" i="1" s="1"/>
  <c r="W18" i="1"/>
  <c r="V18" i="1"/>
  <c r="U18" i="1"/>
  <c r="T18" i="1"/>
  <c r="S18" i="1"/>
  <c r="Q18" i="1" s="1"/>
  <c r="R18" i="1" s="1"/>
  <c r="N18" i="1"/>
  <c r="M18" i="1"/>
  <c r="L18" i="1"/>
  <c r="K18" i="1"/>
  <c r="W17" i="1"/>
  <c r="V17" i="1"/>
  <c r="T17" i="1"/>
  <c r="U17" i="1" s="1"/>
  <c r="S17" i="1"/>
  <c r="Q17" i="1" s="1"/>
  <c r="N17" i="1"/>
  <c r="M17" i="1"/>
  <c r="L17" i="1" s="1"/>
  <c r="W16" i="1"/>
  <c r="V16" i="1"/>
  <c r="T16" i="1"/>
  <c r="U16" i="1" s="1"/>
  <c r="S16" i="1"/>
  <c r="Q16" i="1" s="1"/>
  <c r="R16" i="1" s="1"/>
  <c r="N16" i="1"/>
  <c r="M16" i="1"/>
  <c r="L16" i="1"/>
  <c r="H197" i="1" l="1"/>
  <c r="K197" i="1"/>
  <c r="K17" i="1"/>
  <c r="H17" i="1"/>
  <c r="R101" i="1"/>
  <c r="K101" i="1"/>
  <c r="H101" i="1"/>
  <c r="H235" i="1"/>
  <c r="K235" i="1"/>
  <c r="R235" i="1"/>
  <c r="R243" i="1"/>
  <c r="K243" i="1"/>
  <c r="H243" i="1"/>
  <c r="K261" i="1"/>
  <c r="H261" i="1"/>
  <c r="H189" i="1"/>
  <c r="K189" i="1"/>
  <c r="K259" i="1"/>
  <c r="H259" i="1"/>
  <c r="L36" i="1"/>
  <c r="K215" i="1"/>
  <c r="H106" i="1"/>
  <c r="K106" i="1"/>
  <c r="H140" i="1"/>
  <c r="U178" i="1"/>
  <c r="L202" i="1"/>
  <c r="U24" i="1"/>
  <c r="U30" i="1"/>
  <c r="U35" i="1"/>
  <c r="U40" i="1"/>
  <c r="L57" i="1"/>
  <c r="L63" i="1"/>
  <c r="U66" i="1"/>
  <c r="U74" i="1"/>
  <c r="L77" i="1"/>
  <c r="L78" i="1"/>
  <c r="U79" i="1"/>
  <c r="L83" i="1"/>
  <c r="U87" i="1"/>
  <c r="L96" i="1"/>
  <c r="U99" i="1"/>
  <c r="U108" i="1"/>
  <c r="L112" i="1"/>
  <c r="H116" i="1"/>
  <c r="L117" i="1"/>
  <c r="L133" i="1"/>
  <c r="H138" i="1"/>
  <c r="K140" i="1"/>
  <c r="L141" i="1"/>
  <c r="L148" i="1"/>
  <c r="U151" i="1"/>
  <c r="H157" i="1"/>
  <c r="L162" i="1"/>
  <c r="H167" i="1"/>
  <c r="L173" i="1"/>
  <c r="L191" i="1"/>
  <c r="U203" i="1"/>
  <c r="R219" i="1"/>
  <c r="H225" i="1"/>
  <c r="H238" i="1"/>
  <c r="U240" i="1"/>
  <c r="L252" i="1"/>
  <c r="L261" i="1"/>
  <c r="L266" i="1"/>
  <c r="U277" i="1"/>
  <c r="U282" i="1"/>
  <c r="L289" i="1"/>
  <c r="L291" i="1"/>
  <c r="H159" i="1"/>
  <c r="K116" i="1"/>
  <c r="K138" i="1"/>
  <c r="H18" i="1"/>
  <c r="L21" i="1"/>
  <c r="L27" i="1"/>
  <c r="U29" i="1"/>
  <c r="U38" i="1"/>
  <c r="K42" i="1"/>
  <c r="L43" i="1"/>
  <c r="U52" i="1"/>
  <c r="L55" i="1"/>
  <c r="U58" i="1"/>
  <c r="L61" i="1"/>
  <c r="R63" i="1"/>
  <c r="U64" i="1"/>
  <c r="U72" i="1"/>
  <c r="L76" i="1"/>
  <c r="U78" i="1"/>
  <c r="L81" i="1"/>
  <c r="L90" i="1"/>
  <c r="U91" i="1"/>
  <c r="U97" i="1"/>
  <c r="U107" i="1"/>
  <c r="L116" i="1"/>
  <c r="U119" i="1"/>
  <c r="U129" i="1"/>
  <c r="U134" i="1"/>
  <c r="L137" i="1"/>
  <c r="U150" i="1"/>
  <c r="L155" i="1"/>
  <c r="L159" i="1"/>
  <c r="H165" i="1"/>
  <c r="U182" i="1"/>
  <c r="L184" i="1"/>
  <c r="L198" i="1"/>
  <c r="L205" i="1"/>
  <c r="L206" i="1"/>
  <c r="L212" i="1"/>
  <c r="R213" i="1"/>
  <c r="U215" i="1"/>
  <c r="U219" i="1"/>
  <c r="U239" i="1"/>
  <c r="U252" i="1"/>
  <c r="L255" i="1"/>
  <c r="U262" i="1"/>
  <c r="L265" i="1"/>
  <c r="U271" i="1"/>
  <c r="L274" i="1"/>
  <c r="U285" i="1"/>
  <c r="L288" i="1"/>
  <c r="U96" i="1"/>
  <c r="L100" i="1"/>
  <c r="U112" i="1"/>
  <c r="U117" i="1"/>
  <c r="U118" i="1"/>
  <c r="U149" i="1"/>
  <c r="L154" i="1"/>
  <c r="R157" i="1"/>
  <c r="U162" i="1"/>
  <c r="L165" i="1"/>
  <c r="U168" i="1"/>
  <c r="U174" i="1"/>
  <c r="L195" i="1"/>
  <c r="L196" i="1"/>
  <c r="L197" i="1"/>
  <c r="L204" i="1"/>
  <c r="U207" i="1"/>
  <c r="R231" i="1"/>
  <c r="U232" i="1"/>
  <c r="L254" i="1"/>
  <c r="L257" i="1"/>
  <c r="U280" i="1"/>
  <c r="L283" i="1"/>
  <c r="L287" i="1"/>
  <c r="U21" i="1"/>
  <c r="L40" i="1"/>
  <c r="U44" i="1"/>
  <c r="U50" i="1"/>
  <c r="L53" i="1"/>
  <c r="L54" i="1"/>
  <c r="U56" i="1"/>
  <c r="U62" i="1"/>
  <c r="L65" i="1"/>
  <c r="L73" i="1"/>
  <c r="U76" i="1"/>
  <c r="L79" i="1"/>
  <c r="U82" i="1"/>
  <c r="U95" i="1"/>
  <c r="L99" i="1"/>
  <c r="U103" i="1"/>
  <c r="U110" i="1"/>
  <c r="U126" i="1"/>
  <c r="U137" i="1"/>
  <c r="K144" i="1"/>
  <c r="L145" i="1"/>
  <c r="U147" i="1"/>
  <c r="L151" i="1"/>
  <c r="R153" i="1"/>
  <c r="U155" i="1"/>
  <c r="R165" i="1"/>
  <c r="U166" i="1"/>
  <c r="L181" i="1"/>
  <c r="U185" i="1"/>
  <c r="U189" i="1"/>
  <c r="L193" i="1"/>
  <c r="L203" i="1"/>
  <c r="L216" i="1"/>
  <c r="U223" i="1"/>
  <c r="L236" i="1"/>
  <c r="U237" i="1"/>
  <c r="U243" i="1"/>
  <c r="L253" i="1"/>
  <c r="U259" i="1"/>
  <c r="L263" i="1"/>
  <c r="U265" i="1"/>
  <c r="L272" i="1"/>
  <c r="U274" i="1"/>
  <c r="L282" i="1"/>
  <c r="L286" i="1"/>
  <c r="R24" i="1"/>
  <c r="K24" i="1"/>
  <c r="L122" i="1"/>
  <c r="K65" i="1"/>
  <c r="R65" i="1"/>
  <c r="R136" i="1"/>
  <c r="K136" i="1"/>
  <c r="H136" i="1"/>
  <c r="U200" i="1"/>
  <c r="R98" i="1"/>
  <c r="K98" i="1"/>
  <c r="R134" i="1"/>
  <c r="K134" i="1"/>
  <c r="H134" i="1"/>
  <c r="R150" i="1"/>
  <c r="K150" i="1"/>
  <c r="H150" i="1"/>
  <c r="K169" i="1"/>
  <c r="R169" i="1"/>
  <c r="H193" i="1"/>
  <c r="K193" i="1"/>
  <c r="R211" i="1"/>
  <c r="K211" i="1"/>
  <c r="H211" i="1"/>
  <c r="L218" i="1"/>
  <c r="R26" i="1"/>
  <c r="K26" i="1"/>
  <c r="H26" i="1"/>
  <c r="U27" i="1"/>
  <c r="L30" i="1"/>
  <c r="U37" i="1"/>
  <c r="L41" i="1"/>
  <c r="K57" i="1"/>
  <c r="R57" i="1"/>
  <c r="R168" i="1"/>
  <c r="K168" i="1"/>
  <c r="H168" i="1"/>
  <c r="R34" i="1"/>
  <c r="H34" i="1"/>
  <c r="K34" i="1"/>
  <c r="H177" i="1"/>
  <c r="K177" i="1"/>
  <c r="R53" i="1"/>
  <c r="K87" i="1"/>
  <c r="R87" i="1"/>
  <c r="L130" i="1"/>
  <c r="U140" i="1"/>
  <c r="R170" i="1"/>
  <c r="K170" i="1"/>
  <c r="H170" i="1"/>
  <c r="K79" i="1"/>
  <c r="R79" i="1"/>
  <c r="R32" i="1"/>
  <c r="K32" i="1"/>
  <c r="K51" i="1"/>
  <c r="R51" i="1"/>
  <c r="R77" i="1"/>
  <c r="L126" i="1"/>
  <c r="L88" i="1"/>
  <c r="L125" i="1"/>
  <c r="R227" i="1"/>
  <c r="H227" i="1"/>
  <c r="K227" i="1"/>
  <c r="L232" i="1"/>
  <c r="R233" i="1"/>
  <c r="K233" i="1"/>
  <c r="R75" i="1"/>
  <c r="R85" i="1"/>
  <c r="U98" i="1"/>
  <c r="L118" i="1"/>
  <c r="U136" i="1"/>
  <c r="R156" i="1"/>
  <c r="K156" i="1"/>
  <c r="H156" i="1"/>
  <c r="H185" i="1"/>
  <c r="K185" i="1"/>
  <c r="U194" i="1"/>
  <c r="U198" i="1"/>
  <c r="R61" i="1"/>
  <c r="R73" i="1"/>
  <c r="R83" i="1"/>
  <c r="R118" i="1"/>
  <c r="K118" i="1"/>
  <c r="R120" i="1"/>
  <c r="H120" i="1"/>
  <c r="U132" i="1"/>
  <c r="L248" i="1"/>
  <c r="R71" i="1"/>
  <c r="K111" i="1"/>
  <c r="H111" i="1"/>
  <c r="L210" i="1"/>
  <c r="U258" i="1"/>
  <c r="U286" i="1"/>
  <c r="L142" i="1"/>
  <c r="H257" i="1"/>
  <c r="R257" i="1"/>
  <c r="K81" i="1"/>
  <c r="R81" i="1"/>
  <c r="R112" i="1"/>
  <c r="H112" i="1"/>
  <c r="H132" i="1"/>
  <c r="U206" i="1"/>
  <c r="R59" i="1"/>
  <c r="R69" i="1"/>
  <c r="H126" i="1"/>
  <c r="H128" i="1"/>
  <c r="U128" i="1"/>
  <c r="H130" i="1"/>
  <c r="K132" i="1"/>
  <c r="L138" i="1"/>
  <c r="H148" i="1"/>
  <c r="R152" i="1"/>
  <c r="K152" i="1"/>
  <c r="H152" i="1"/>
  <c r="L234" i="1"/>
  <c r="L238" i="1"/>
  <c r="R122" i="1"/>
  <c r="H122" i="1"/>
  <c r="K149" i="1"/>
  <c r="H149" i="1"/>
  <c r="U196" i="1"/>
  <c r="H205" i="1"/>
  <c r="K205" i="1"/>
  <c r="H173" i="1"/>
  <c r="K173" i="1"/>
  <c r="R261" i="1"/>
  <c r="R154" i="1"/>
  <c r="H154" i="1"/>
  <c r="H164" i="1"/>
  <c r="H201" i="1"/>
  <c r="K201" i="1"/>
  <c r="K164" i="1"/>
  <c r="H166" i="1"/>
  <c r="K171" i="1"/>
  <c r="R171" i="1"/>
  <c r="H181" i="1"/>
  <c r="K181" i="1"/>
  <c r="U204" i="1"/>
  <c r="L226" i="1"/>
  <c r="U19" i="1"/>
  <c r="L22" i="1"/>
  <c r="L35" i="1"/>
  <c r="H42" i="1"/>
  <c r="L45" i="1"/>
  <c r="U47" i="1"/>
  <c r="L51" i="1"/>
  <c r="R67" i="1"/>
  <c r="U81" i="1"/>
  <c r="L87" i="1"/>
  <c r="U92" i="1"/>
  <c r="H105" i="1"/>
  <c r="R110" i="1"/>
  <c r="K110" i="1"/>
  <c r="U111" i="1"/>
  <c r="K122" i="1"/>
  <c r="H124" i="1"/>
  <c r="K126" i="1"/>
  <c r="K128" i="1"/>
  <c r="K130" i="1"/>
  <c r="U144" i="1"/>
  <c r="H146" i="1"/>
  <c r="K148" i="1"/>
  <c r="K151" i="1"/>
  <c r="H151" i="1"/>
  <c r="H162" i="1"/>
  <c r="L163" i="1"/>
  <c r="K166" i="1"/>
  <c r="L177" i="1"/>
  <c r="L192" i="1"/>
  <c r="U212" i="1"/>
  <c r="U213" i="1"/>
  <c r="U229" i="1"/>
  <c r="L242" i="1"/>
  <c r="L250" i="1"/>
  <c r="U253" i="1"/>
  <c r="U254" i="1"/>
  <c r="U266" i="1"/>
  <c r="L275" i="1"/>
  <c r="U278" i="1"/>
  <c r="U288" i="1"/>
  <c r="L59" i="1"/>
  <c r="U68" i="1"/>
  <c r="U69" i="1"/>
  <c r="L75" i="1"/>
  <c r="U84" i="1"/>
  <c r="U85" i="1"/>
  <c r="L91" i="1"/>
  <c r="U93" i="1"/>
  <c r="U94" i="1"/>
  <c r="L102" i="1"/>
  <c r="U104" i="1"/>
  <c r="U105" i="1"/>
  <c r="U115" i="1"/>
  <c r="U123" i="1"/>
  <c r="U125" i="1"/>
  <c r="L134" i="1"/>
  <c r="L136" i="1"/>
  <c r="L146" i="1"/>
  <c r="U154" i="1"/>
  <c r="U157" i="1"/>
  <c r="R161" i="1"/>
  <c r="L166" i="1"/>
  <c r="L167" i="1"/>
  <c r="L169" i="1"/>
  <c r="L171" i="1"/>
  <c r="U176" i="1"/>
  <c r="U180" i="1"/>
  <c r="U184" i="1"/>
  <c r="L199" i="1"/>
  <c r="L211" i="1"/>
  <c r="L214" i="1"/>
  <c r="L230" i="1"/>
  <c r="U238" i="1"/>
  <c r="U250" i="1"/>
  <c r="L273" i="1"/>
  <c r="U275" i="1"/>
  <c r="L279" i="1"/>
  <c r="L280" i="1"/>
  <c r="U283" i="1"/>
  <c r="U289" i="1"/>
  <c r="U291" i="1"/>
  <c r="U139" i="1"/>
  <c r="U141" i="1"/>
  <c r="U159" i="1"/>
  <c r="U163" i="1"/>
  <c r="R215" i="1"/>
  <c r="U235" i="1"/>
  <c r="U236" i="1"/>
  <c r="L240" i="1"/>
  <c r="R245" i="1"/>
  <c r="U102" i="1"/>
  <c r="U106" i="1"/>
  <c r="L108" i="1"/>
  <c r="U114" i="1"/>
  <c r="U120" i="1"/>
  <c r="U131" i="1"/>
  <c r="U133" i="1"/>
  <c r="U135" i="1"/>
  <c r="U143" i="1"/>
  <c r="U145" i="1"/>
  <c r="U158" i="1"/>
  <c r="U161" i="1"/>
  <c r="U188" i="1"/>
  <c r="U209" i="1"/>
  <c r="U217" i="1"/>
  <c r="U225" i="1"/>
  <c r="U231" i="1"/>
  <c r="U241" i="1"/>
  <c r="U247" i="1"/>
  <c r="L251" i="1"/>
  <c r="L262" i="1"/>
  <c r="L269" i="1"/>
  <c r="L270" i="1"/>
  <c r="L277" i="1"/>
  <c r="L278" i="1"/>
  <c r="U281" i="1"/>
  <c r="L285" i="1"/>
  <c r="K37" i="1"/>
  <c r="H37" i="1"/>
  <c r="R37" i="1"/>
  <c r="K45" i="1"/>
  <c r="H45" i="1"/>
  <c r="R45" i="1"/>
  <c r="K21" i="1"/>
  <c r="H21" i="1"/>
  <c r="R21" i="1"/>
  <c r="K29" i="1"/>
  <c r="H29" i="1"/>
  <c r="R29" i="1"/>
  <c r="K113" i="1"/>
  <c r="H113" i="1"/>
  <c r="K107" i="1"/>
  <c r="R107" i="1"/>
  <c r="H107" i="1"/>
  <c r="R202" i="1"/>
  <c r="H202" i="1"/>
  <c r="K202" i="1"/>
  <c r="K49" i="1"/>
  <c r="H49" i="1"/>
  <c r="R50" i="1"/>
  <c r="K50" i="1"/>
  <c r="R52" i="1"/>
  <c r="K52" i="1"/>
  <c r="R54" i="1"/>
  <c r="K54" i="1"/>
  <c r="R56" i="1"/>
  <c r="K56" i="1"/>
  <c r="R58" i="1"/>
  <c r="K58" i="1"/>
  <c r="R60" i="1"/>
  <c r="K60" i="1"/>
  <c r="R62" i="1"/>
  <c r="K62" i="1"/>
  <c r="R64" i="1"/>
  <c r="K64" i="1"/>
  <c r="R66" i="1"/>
  <c r="K66" i="1"/>
  <c r="R68" i="1"/>
  <c r="K68" i="1"/>
  <c r="R70" i="1"/>
  <c r="K70" i="1"/>
  <c r="R72" i="1"/>
  <c r="K72" i="1"/>
  <c r="R74" i="1"/>
  <c r="K74" i="1"/>
  <c r="R76" i="1"/>
  <c r="K76" i="1"/>
  <c r="R78" i="1"/>
  <c r="K78" i="1"/>
  <c r="R80" i="1"/>
  <c r="K80" i="1"/>
  <c r="R82" i="1"/>
  <c r="K82" i="1"/>
  <c r="R84" i="1"/>
  <c r="K84" i="1"/>
  <c r="R86" i="1"/>
  <c r="K86" i="1"/>
  <c r="R88" i="1"/>
  <c r="K88" i="1"/>
  <c r="R90" i="1"/>
  <c r="K90" i="1"/>
  <c r="L95" i="1"/>
  <c r="R100" i="1"/>
  <c r="K100" i="1"/>
  <c r="H100" i="1"/>
  <c r="R102" i="1"/>
  <c r="K102" i="1"/>
  <c r="H102" i="1"/>
  <c r="L115" i="1"/>
  <c r="K117" i="1"/>
  <c r="R117" i="1"/>
  <c r="H117" i="1"/>
  <c r="K119" i="1"/>
  <c r="H119" i="1"/>
  <c r="R119" i="1"/>
  <c r="K31" i="1"/>
  <c r="H31" i="1"/>
  <c r="H25" i="1"/>
  <c r="K25" i="1"/>
  <c r="K97" i="1"/>
  <c r="H97" i="1"/>
  <c r="K121" i="1"/>
  <c r="R121" i="1"/>
  <c r="H121" i="1"/>
  <c r="K123" i="1"/>
  <c r="H123" i="1"/>
  <c r="R123" i="1"/>
  <c r="R178" i="1"/>
  <c r="H178" i="1"/>
  <c r="K178" i="1"/>
  <c r="H20" i="1"/>
  <c r="H36" i="1"/>
  <c r="K44" i="1"/>
  <c r="U48" i="1"/>
  <c r="L93" i="1"/>
  <c r="K95" i="1"/>
  <c r="H95" i="1"/>
  <c r="R95" i="1"/>
  <c r="R96" i="1"/>
  <c r="K96" i="1"/>
  <c r="R97" i="1"/>
  <c r="R99" i="1"/>
  <c r="K99" i="1"/>
  <c r="H99" i="1"/>
  <c r="L114" i="1"/>
  <c r="K115" i="1"/>
  <c r="H115" i="1"/>
  <c r="R115" i="1"/>
  <c r="K125" i="1"/>
  <c r="R125" i="1"/>
  <c r="H125" i="1"/>
  <c r="K127" i="1"/>
  <c r="H127" i="1"/>
  <c r="R127" i="1"/>
  <c r="K23" i="1"/>
  <c r="H23" i="1"/>
  <c r="K33" i="1"/>
  <c r="H33" i="1"/>
  <c r="R48" i="1"/>
  <c r="K48" i="1"/>
  <c r="K19" i="1"/>
  <c r="H19" i="1"/>
  <c r="H38" i="1"/>
  <c r="K129" i="1"/>
  <c r="R129" i="1"/>
  <c r="H129" i="1"/>
  <c r="K137" i="1"/>
  <c r="R137" i="1"/>
  <c r="H137" i="1"/>
  <c r="K139" i="1"/>
  <c r="H139" i="1"/>
  <c r="R139" i="1"/>
  <c r="K141" i="1"/>
  <c r="R141" i="1"/>
  <c r="H141" i="1"/>
  <c r="R92" i="1"/>
  <c r="K92" i="1"/>
  <c r="K103" i="1"/>
  <c r="H103" i="1"/>
  <c r="K39" i="1"/>
  <c r="H39" i="1"/>
  <c r="K47" i="1"/>
  <c r="H47" i="1"/>
  <c r="H28" i="1"/>
  <c r="K41" i="1"/>
  <c r="H41" i="1"/>
  <c r="K20" i="1"/>
  <c r="R25" i="1"/>
  <c r="K28" i="1"/>
  <c r="H30" i="1"/>
  <c r="H46" i="1"/>
  <c r="K30" i="1"/>
  <c r="K38" i="1"/>
  <c r="K46" i="1"/>
  <c r="H58" i="1"/>
  <c r="H62" i="1"/>
  <c r="H64" i="1"/>
  <c r="H66" i="1"/>
  <c r="H68" i="1"/>
  <c r="H70" i="1"/>
  <c r="H72" i="1"/>
  <c r="H74" i="1"/>
  <c r="H76" i="1"/>
  <c r="H78" i="1"/>
  <c r="H80" i="1"/>
  <c r="H82" i="1"/>
  <c r="H84" i="1"/>
  <c r="H86" i="1"/>
  <c r="H88" i="1"/>
  <c r="H90" i="1"/>
  <c r="K93" i="1"/>
  <c r="H93" i="1"/>
  <c r="R93" i="1"/>
  <c r="R94" i="1"/>
  <c r="K94" i="1"/>
  <c r="K109" i="1"/>
  <c r="H109" i="1"/>
  <c r="R109" i="1"/>
  <c r="K133" i="1"/>
  <c r="R133" i="1"/>
  <c r="H133" i="1"/>
  <c r="K135" i="1"/>
  <c r="H135" i="1"/>
  <c r="R135" i="1"/>
  <c r="K145" i="1"/>
  <c r="R145" i="1"/>
  <c r="H145" i="1"/>
  <c r="K91" i="1"/>
  <c r="H91" i="1"/>
  <c r="R91" i="1"/>
  <c r="R103" i="1"/>
  <c r="H44" i="1"/>
  <c r="R17" i="1"/>
  <c r="K36" i="1"/>
  <c r="H22" i="1"/>
  <c r="K27" i="1"/>
  <c r="H27" i="1"/>
  <c r="K35" i="1"/>
  <c r="H35" i="1"/>
  <c r="K43" i="1"/>
  <c r="H43" i="1"/>
  <c r="H16" i="1"/>
  <c r="R19" i="1"/>
  <c r="K22" i="1"/>
  <c r="R35" i="1"/>
  <c r="R43" i="1"/>
  <c r="H50" i="1"/>
  <c r="H52" i="1"/>
  <c r="H54" i="1"/>
  <c r="H56" i="1"/>
  <c r="H60" i="1"/>
  <c r="K16" i="1"/>
  <c r="L23" i="1"/>
  <c r="H24" i="1"/>
  <c r="L31" i="1"/>
  <c r="H32" i="1"/>
  <c r="L39" i="1"/>
  <c r="H40" i="1"/>
  <c r="L47" i="1"/>
  <c r="H48" i="1"/>
  <c r="L49" i="1"/>
  <c r="R108" i="1"/>
  <c r="K108" i="1"/>
  <c r="H108" i="1"/>
  <c r="R113" i="1"/>
  <c r="H179" i="1"/>
  <c r="K179" i="1"/>
  <c r="R180" i="1"/>
  <c r="H180" i="1"/>
  <c r="R190" i="1"/>
  <c r="H190" i="1"/>
  <c r="R206" i="1"/>
  <c r="H206" i="1"/>
  <c r="R251" i="1"/>
  <c r="K251" i="1"/>
  <c r="H251" i="1"/>
  <c r="L101" i="1"/>
  <c r="L111" i="1"/>
  <c r="R131" i="1"/>
  <c r="R143" i="1"/>
  <c r="R147" i="1"/>
  <c r="L149" i="1"/>
  <c r="U152" i="1"/>
  <c r="R155" i="1"/>
  <c r="L157" i="1"/>
  <c r="U160" i="1"/>
  <c r="R163" i="1"/>
  <c r="H191" i="1"/>
  <c r="K191" i="1"/>
  <c r="R192" i="1"/>
  <c r="H192" i="1"/>
  <c r="R234" i="1"/>
  <c r="K234" i="1"/>
  <c r="H234" i="1"/>
  <c r="R172" i="1"/>
  <c r="H172" i="1"/>
  <c r="R182" i="1"/>
  <c r="H182" i="1"/>
  <c r="R105" i="1"/>
  <c r="H183" i="1"/>
  <c r="K183" i="1"/>
  <c r="R184" i="1"/>
  <c r="H184" i="1"/>
  <c r="R194" i="1"/>
  <c r="H194" i="1"/>
  <c r="H195" i="1"/>
  <c r="K195" i="1"/>
  <c r="R196" i="1"/>
  <c r="H196" i="1"/>
  <c r="H51" i="1"/>
  <c r="H53" i="1"/>
  <c r="H55" i="1"/>
  <c r="H57" i="1"/>
  <c r="H59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R111" i="1"/>
  <c r="H114" i="1"/>
  <c r="H153" i="1"/>
  <c r="H161" i="1"/>
  <c r="H169" i="1"/>
  <c r="R174" i="1"/>
  <c r="H174" i="1"/>
  <c r="K190" i="1"/>
  <c r="K206" i="1"/>
  <c r="R216" i="1"/>
  <c r="K216" i="1"/>
  <c r="H216" i="1"/>
  <c r="L97" i="1"/>
  <c r="L103" i="1"/>
  <c r="H104" i="1"/>
  <c r="K114" i="1"/>
  <c r="H131" i="1"/>
  <c r="H143" i="1"/>
  <c r="H147" i="1"/>
  <c r="U148" i="1"/>
  <c r="R151" i="1"/>
  <c r="L153" i="1"/>
  <c r="U156" i="1"/>
  <c r="R159" i="1"/>
  <c r="L161" i="1"/>
  <c r="U164" i="1"/>
  <c r="R167" i="1"/>
  <c r="H175" i="1"/>
  <c r="K175" i="1"/>
  <c r="R176" i="1"/>
  <c r="H176" i="1"/>
  <c r="K180" i="1"/>
  <c r="R186" i="1"/>
  <c r="H186" i="1"/>
  <c r="R198" i="1"/>
  <c r="H198" i="1"/>
  <c r="H199" i="1"/>
  <c r="K199" i="1"/>
  <c r="R200" i="1"/>
  <c r="H200" i="1"/>
  <c r="H209" i="1"/>
  <c r="R209" i="1"/>
  <c r="R214" i="1"/>
  <c r="H214" i="1"/>
  <c r="H98" i="1"/>
  <c r="K104" i="1"/>
  <c r="L109" i="1"/>
  <c r="H110" i="1"/>
  <c r="L119" i="1"/>
  <c r="L123" i="1"/>
  <c r="L127" i="1"/>
  <c r="L131" i="1"/>
  <c r="L135" i="1"/>
  <c r="L139" i="1"/>
  <c r="L143" i="1"/>
  <c r="L147" i="1"/>
  <c r="H155" i="1"/>
  <c r="H163" i="1"/>
  <c r="H171" i="1"/>
  <c r="K182" i="1"/>
  <c r="H187" i="1"/>
  <c r="K187" i="1"/>
  <c r="R188" i="1"/>
  <c r="H188" i="1"/>
  <c r="K192" i="1"/>
  <c r="H203" i="1"/>
  <c r="K203" i="1"/>
  <c r="R203" i="1"/>
  <c r="R204" i="1"/>
  <c r="H204" i="1"/>
  <c r="H221" i="1"/>
  <c r="K221" i="1"/>
  <c r="R221" i="1"/>
  <c r="H223" i="1"/>
  <c r="R223" i="1"/>
  <c r="R228" i="1"/>
  <c r="K228" i="1"/>
  <c r="R242" i="1"/>
  <c r="K242" i="1"/>
  <c r="R252" i="1"/>
  <c r="H252" i="1"/>
  <c r="K252" i="1"/>
  <c r="H253" i="1"/>
  <c r="R253" i="1"/>
  <c r="R207" i="1"/>
  <c r="R212" i="1"/>
  <c r="K212" i="1"/>
  <c r="R220" i="1"/>
  <c r="K220" i="1"/>
  <c r="K225" i="1"/>
  <c r="R239" i="1"/>
  <c r="R240" i="1"/>
  <c r="K240" i="1"/>
  <c r="H240" i="1"/>
  <c r="H241" i="1"/>
  <c r="R241" i="1"/>
  <c r="R248" i="1"/>
  <c r="K248" i="1"/>
  <c r="H248" i="1"/>
  <c r="H249" i="1"/>
  <c r="R249" i="1"/>
  <c r="K269" i="1"/>
  <c r="R269" i="1"/>
  <c r="H269" i="1"/>
  <c r="K277" i="1"/>
  <c r="R277" i="1"/>
  <c r="H277" i="1"/>
  <c r="K285" i="1"/>
  <c r="R285" i="1"/>
  <c r="H285" i="1"/>
  <c r="R208" i="1"/>
  <c r="K208" i="1"/>
  <c r="R232" i="1"/>
  <c r="K232" i="1"/>
  <c r="H232" i="1"/>
  <c r="R268" i="1"/>
  <c r="H268" i="1"/>
  <c r="K268" i="1"/>
  <c r="R276" i="1"/>
  <c r="H276" i="1"/>
  <c r="K276" i="1"/>
  <c r="R284" i="1"/>
  <c r="H284" i="1"/>
  <c r="K284" i="1"/>
  <c r="R224" i="1"/>
  <c r="K224" i="1"/>
  <c r="H224" i="1"/>
  <c r="L235" i="1"/>
  <c r="R244" i="1"/>
  <c r="K244" i="1"/>
  <c r="R246" i="1"/>
  <c r="K246" i="1"/>
  <c r="H246" i="1"/>
  <c r="H247" i="1"/>
  <c r="R247" i="1"/>
  <c r="R226" i="1"/>
  <c r="K226" i="1"/>
  <c r="H228" i="1"/>
  <c r="K267" i="1"/>
  <c r="R267" i="1"/>
  <c r="H267" i="1"/>
  <c r="K275" i="1"/>
  <c r="R275" i="1"/>
  <c r="H275" i="1"/>
  <c r="K283" i="1"/>
  <c r="R283" i="1"/>
  <c r="H283" i="1"/>
  <c r="K289" i="1"/>
  <c r="H289" i="1"/>
  <c r="R289" i="1"/>
  <c r="R210" i="1"/>
  <c r="K210" i="1"/>
  <c r="H212" i="1"/>
  <c r="R218" i="1"/>
  <c r="K218" i="1"/>
  <c r="H220" i="1"/>
  <c r="H230" i="1"/>
  <c r="K238" i="1"/>
  <c r="H242" i="1"/>
  <c r="K253" i="1"/>
  <c r="R255" i="1"/>
  <c r="K255" i="1"/>
  <c r="H255" i="1"/>
  <c r="R173" i="1"/>
  <c r="R177" i="1"/>
  <c r="R181" i="1"/>
  <c r="R185" i="1"/>
  <c r="R189" i="1"/>
  <c r="R193" i="1"/>
  <c r="R197" i="1"/>
  <c r="R201" i="1"/>
  <c r="R205" i="1"/>
  <c r="K207" i="1"/>
  <c r="H208" i="1"/>
  <c r="K213" i="1"/>
  <c r="H222" i="1"/>
  <c r="K230" i="1"/>
  <c r="H237" i="1"/>
  <c r="K237" i="1"/>
  <c r="K239" i="1"/>
  <c r="K241" i="1"/>
  <c r="K249" i="1"/>
  <c r="R256" i="1"/>
  <c r="H256" i="1"/>
  <c r="K256" i="1"/>
  <c r="R258" i="1"/>
  <c r="H258" i="1"/>
  <c r="K258" i="1"/>
  <c r="K281" i="1"/>
  <c r="H281" i="1"/>
  <c r="R281" i="1"/>
  <c r="K222" i="1"/>
  <c r="H229" i="1"/>
  <c r="K229" i="1"/>
  <c r="K231" i="1"/>
  <c r="H233" i="1"/>
  <c r="R236" i="1"/>
  <c r="K236" i="1"/>
  <c r="R237" i="1"/>
  <c r="H244" i="1"/>
  <c r="R260" i="1"/>
  <c r="H260" i="1"/>
  <c r="K260" i="1"/>
  <c r="K265" i="1"/>
  <c r="H265" i="1"/>
  <c r="R265" i="1"/>
  <c r="K273" i="1"/>
  <c r="H273" i="1"/>
  <c r="R273" i="1"/>
  <c r="K245" i="1"/>
  <c r="R262" i="1"/>
  <c r="H262" i="1"/>
  <c r="R270" i="1"/>
  <c r="H270" i="1"/>
  <c r="R278" i="1"/>
  <c r="H278" i="1"/>
  <c r="R286" i="1"/>
  <c r="H286" i="1"/>
  <c r="L213" i="1"/>
  <c r="L221" i="1"/>
  <c r="L229" i="1"/>
  <c r="L237" i="1"/>
  <c r="L245" i="1"/>
  <c r="R259" i="1"/>
  <c r="R263" i="1"/>
  <c r="R271" i="1"/>
  <c r="R279" i="1"/>
  <c r="R287" i="1"/>
  <c r="R250" i="1"/>
  <c r="H250" i="1"/>
  <c r="R264" i="1"/>
  <c r="H264" i="1"/>
  <c r="R272" i="1"/>
  <c r="H272" i="1"/>
  <c r="R280" i="1"/>
  <c r="H280" i="1"/>
  <c r="R288" i="1"/>
  <c r="H288" i="1"/>
  <c r="L243" i="1"/>
  <c r="R254" i="1"/>
  <c r="H254" i="1"/>
  <c r="R266" i="1"/>
  <c r="H266" i="1"/>
  <c r="R274" i="1"/>
  <c r="H274" i="1"/>
  <c r="R282" i="1"/>
  <c r="H282" i="1"/>
  <c r="K286" i="1"/>
  <c r="R290" i="1"/>
  <c r="H290" i="1"/>
  <c r="K291" i="1"/>
  <c r="R291" i="1"/>
  <c r="L209" i="1"/>
  <c r="L217" i="1"/>
  <c r="L225" i="1"/>
  <c r="L233" i="1"/>
  <c r="L241" i="1"/>
  <c r="H263" i="1"/>
  <c r="H271" i="1"/>
  <c r="H279" i="1"/>
  <c r="H287" i="1"/>
  <c r="K288" i="1"/>
  <c r="L207" i="1"/>
  <c r="L215" i="1"/>
  <c r="L223" i="1"/>
  <c r="L231" i="1"/>
  <c r="L239" i="1"/>
  <c r="L247" i="1"/>
</calcChain>
</file>

<file path=xl/sharedStrings.xml><?xml version="1.0" encoding="utf-8"?>
<sst xmlns="http://schemas.openxmlformats.org/spreadsheetml/2006/main" count="3224" uniqueCount="859">
  <si>
    <t>File opened</t>
  </si>
  <si>
    <t>2026-01-23 13:54:54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</si>
  <si>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</si>
  <si>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</si>
  <si>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</si>
  <si>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</si>
  <si>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</si>
  <si>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</si>
  <si>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</si>
  <si>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</si>
  <si>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</si>
  <si>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</si>
  <si>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</si>
  <si>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{"co2bspanconc1": "2473", "h2obspan2a": "0.0704999", "h2obspanconc1": "12.29", "co2bzero": "0.99384", "h2oaspan2b": "0.0721966", "h2oaspanconc2": "0", "co2aspan2a": "0.299679", "co2aspanconc2": "301.4", "h2obspan2": "0", "h2obspanconc2": "0", "co2aspan2b": "0.296788", "h2oaspan1": "1.01335", "h2oaspan2": "0", "h2obspan1": "1.03315", "co2bspan1": "1.00094", "flowmeterzero": "1.00472", "co2aspanconc1": "2473", "h2obspan2b": "0.0728367", "h2obzero": "1.08151", "chamberpressurezero": "2.63782", "flowazero": "0.34786", "co2bspan2": "-0.0359676", "h2oazero": "1.07438", "h2oaspanconc1": "12.29", "tbzero": "0.0726261", "co2bspan2a": "0.295418", "flowbzero": "0.30857", "h2oaspan2a": "0.0712457", "co2aspan2": "-0.033915", "ssb_ref": "38888.9", "co2aspan1": "1.00052", "co2bspan2b": "0.292556", "co2azero": "0.922307", "oxygen": "21", "tazero": "0.0117626", "co2bspanconc2": "301.4", "ssa_ref": "39976.8"}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</si>
  <si>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</si>
  <si>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</si>
  <si>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</si>
  <si>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</si>
  <si>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</si>
  <si>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</si>
  <si>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</si>
  <si>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</si>
  <si>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</si>
  <si>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</si>
  <si>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</si>
  <si>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</si>
  <si>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</si>
  <si>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</si>
  <si>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</si>
  <si>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</si>
  <si>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</si>
  <si>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</si>
  <si>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</si>
  <si>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</si>
  <si>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13:54:54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</si>
  <si>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</si>
  <si>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</si>
  <si>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</si>
  <si>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</si>
  <si>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</si>
  <si>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</si>
  <si>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</si>
  <si>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</si>
  <si>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</si>
  <si>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</si>
  <si>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</si>
  <si>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</si>
  <si>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</si>
  <si>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</si>
  <si>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</si>
  <si>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</si>
  <si>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</si>
  <si>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</si>
  <si>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</si>
  <si>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</si>
  <si>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</si>
  <si>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</si>
  <si>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</si>
  <si>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</si>
  <si>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</si>
  <si>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</si>
  <si>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</si>
  <si>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</si>
  <si>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</si>
  <si>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</si>
  <si>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</si>
  <si>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</si>
  <si>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</si>
  <si>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</si>
  <si>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</si>
  <si>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</si>
  <si>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</si>
  <si>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</si>
  <si>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</si>
  <si>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</si>
  <si>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</si>
  <si>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</si>
  <si>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</si>
  <si>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</si>
  <si>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</si>
  <si>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</si>
  <si>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</si>
  <si>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</si>
  <si>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</si>
  <si>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</si>
  <si>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</si>
  <si>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</si>
  <si>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7.94339 89.0828 380.817 626.813 857.511 1065.25 1243.56 1421.93</t>
  </si>
  <si>
    <t>Fs_true</t>
  </si>
  <si>
    <t>0.103495 102.566 401.354 601.39 801.465 1002.45 1200.72 1401.29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</si>
  <si>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</si>
  <si>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</si>
  <si>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</si>
  <si>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</si>
  <si>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</si>
  <si>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</si>
  <si>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</si>
  <si>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</si>
  <si>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</si>
  <si>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</si>
  <si>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</si>
  <si>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</si>
  <si>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</si>
  <si>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</si>
  <si>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</si>
  <si>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</si>
  <si>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</si>
  <si>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</si>
  <si>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</si>
  <si>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</si>
  <si>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</si>
  <si>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</si>
  <si>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</si>
  <si>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</si>
  <si>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</si>
  <si>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</si>
  <si>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</si>
  <si>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</si>
  <si>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</si>
  <si>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</si>
  <si>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</si>
  <si>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</si>
  <si>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</si>
  <si>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</si>
  <si>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</si>
  <si>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</si>
  <si>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</si>
  <si>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</si>
  <si>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</si>
  <si>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</si>
  <si>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</si>
  <si>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</si>
  <si>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</si>
  <si>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</si>
  <si>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</si>
  <si>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</si>
  <si>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</si>
  <si>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</si>
  <si>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</si>
  <si>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</si>
  <si>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</si>
  <si>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</si>
  <si>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</si>
  <si>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</si>
  <si>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</si>
  <si>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</si>
  <si>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</si>
  <si>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</si>
  <si>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</si>
  <si>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</si>
  <si>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</si>
  <si>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</si>
  <si>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</si>
  <si>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</si>
  <si>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</si>
  <si>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</si>
  <si>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</si>
  <si>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</si>
  <si>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</si>
  <si>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</si>
  <si>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</si>
  <si>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</si>
  <si>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</si>
  <si>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</si>
  <si>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</si>
  <si>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</si>
  <si>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</si>
  <si>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</si>
  <si>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</si>
  <si>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</si>
  <si>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</si>
  <si>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</si>
  <si>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</si>
  <si>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</si>
  <si>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</si>
  <si>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</si>
  <si>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</si>
  <si>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</si>
  <si>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</si>
  <si>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</si>
  <si>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</si>
  <si>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</si>
  <si>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</si>
  <si>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</si>
  <si>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</si>
  <si>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</si>
  <si>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</si>
  <si>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</si>
  <si>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</si>
  <si>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</si>
  <si>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</si>
  <si>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</si>
  <si>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</si>
  <si>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</si>
  <si>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</si>
  <si>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</si>
  <si>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</si>
  <si>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</si>
  <si>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</si>
  <si>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</si>
  <si>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</si>
  <si>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</si>
  <si>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</si>
  <si>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</si>
  <si>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</si>
  <si>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</si>
  <si>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</si>
  <si>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</si>
  <si>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</si>
  <si>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</si>
  <si>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</si>
  <si>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</si>
  <si>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</si>
  <si>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</si>
  <si>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</si>
  <si>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</si>
  <si>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</si>
  <si>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</si>
  <si>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</si>
  <si>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</si>
  <si>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</si>
  <si>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</si>
  <si>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</si>
  <si>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</si>
  <si>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AccH2O_hum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</si>
  <si>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</si>
  <si>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</si>
  <si>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</si>
  <si>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</si>
  <si>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</si>
  <si>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</si>
  <si>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</si>
  <si>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</si>
  <si>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</si>
  <si>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</si>
  <si>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</si>
  <si>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</si>
  <si>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</si>
  <si>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</si>
  <si>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</si>
  <si>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</si>
  <si>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</si>
  <si>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</si>
  <si>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</si>
  <si>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</si>
  <si>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</si>
  <si>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</si>
  <si>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</si>
  <si>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</si>
  <si>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</si>
  <si>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</si>
  <si>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</si>
  <si>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</si>
  <si>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</si>
  <si>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</si>
  <si>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</si>
  <si>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</si>
  <si>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</si>
  <si>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</si>
  <si>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</si>
  <si>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</si>
  <si>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</si>
  <si>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</si>
  <si>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</si>
  <si>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</si>
  <si>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</si>
  <si>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</si>
  <si>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</si>
  <si>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</si>
  <si>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</si>
  <si>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</si>
  <si>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</si>
  <si>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</si>
  <si>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</si>
  <si>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</si>
  <si>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</si>
  <si>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</si>
  <si>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</si>
  <si>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</si>
  <si>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</si>
  <si>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</si>
  <si>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</si>
  <si>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</si>
  <si>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</si>
  <si>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</si>
  <si>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</si>
  <si>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</si>
  <si>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20260123 13:56:01</t>
  </si>
  <si>
    <t>13:56:01</t>
  </si>
  <si>
    <t>13:56:25</t>
  </si>
  <si>
    <t>0/2</t>
  </si>
  <si>
    <t>10111111</t>
  </si>
  <si>
    <t>oioooooo</t>
  </si>
  <si>
    <t>off</t>
  </si>
  <si>
    <t>on</t>
  </si>
  <si>
    <t>20260123 13:56:27</t>
  </si>
  <si>
    <t>13:56:27</t>
  </si>
  <si>
    <t>1/2</t>
  </si>
  <si>
    <t>20260123 13:56:42</t>
  </si>
  <si>
    <t>13:56:42</t>
  </si>
  <si>
    <t>20260123 13:56:57</t>
  </si>
  <si>
    <t>13:56:57</t>
  </si>
  <si>
    <t>20260123 13:57:12</t>
  </si>
  <si>
    <t>13:57:12</t>
  </si>
  <si>
    <t>2/2</t>
  </si>
  <si>
    <t>20260123 13:57:27</t>
  </si>
  <si>
    <t>13:57:27</t>
  </si>
  <si>
    <t>20260123 13:57:42</t>
  </si>
  <si>
    <t>13:57:42</t>
  </si>
  <si>
    <t>20260123 13:57:57</t>
  </si>
  <si>
    <t>13:57:57</t>
  </si>
  <si>
    <t>20260123 13:58:12</t>
  </si>
  <si>
    <t>13:58:12</t>
  </si>
  <si>
    <t>20260123 13:58:27</t>
  </si>
  <si>
    <t>13:58:27</t>
  </si>
  <si>
    <t>20260123 13:58:42</t>
  </si>
  <si>
    <t>13:58:42</t>
  </si>
  <si>
    <t>20260123 13:58:57</t>
  </si>
  <si>
    <t>13:58:57</t>
  </si>
  <si>
    <t>20260123 13:59:12</t>
  </si>
  <si>
    <t>13:59:12</t>
  </si>
  <si>
    <t>20260123 13:59:27</t>
  </si>
  <si>
    <t>13:59:27</t>
  </si>
  <si>
    <t>20260123 13:59:42</t>
  </si>
  <si>
    <t>13:59:42</t>
  </si>
  <si>
    <t>20260123 13:59:57</t>
  </si>
  <si>
    <t>13:59:57</t>
  </si>
  <si>
    <t>20260123 14:00:12</t>
  </si>
  <si>
    <t>14:00:12</t>
  </si>
  <si>
    <t>20260123 14:00:27</t>
  </si>
  <si>
    <t>14:00:27</t>
  </si>
  <si>
    <t>20260123 14:00:42</t>
  </si>
  <si>
    <t>14:00:42</t>
  </si>
  <si>
    <t>20260123 14:00:57</t>
  </si>
  <si>
    <t>14:00:57</t>
  </si>
  <si>
    <t>20260123 14:01:12</t>
  </si>
  <si>
    <t>14:01:12</t>
  </si>
  <si>
    <t>20260123 14:01:27</t>
  </si>
  <si>
    <t>14:01:27</t>
  </si>
  <si>
    <t>20260123 14:01:42</t>
  </si>
  <si>
    <t>14:01:42</t>
  </si>
  <si>
    <t>20260123 14:01:57</t>
  </si>
  <si>
    <t>14:01:57</t>
  </si>
  <si>
    <t>20260123 14:02:12</t>
  </si>
  <si>
    <t>14:02:12</t>
  </si>
  <si>
    <t>20260123 14:02:27</t>
  </si>
  <si>
    <t>14:02:27</t>
  </si>
  <si>
    <t>20260123 14:02:42</t>
  </si>
  <si>
    <t>14:02:42</t>
  </si>
  <si>
    <t>20260123 14:02:57</t>
  </si>
  <si>
    <t>14:02:57</t>
  </si>
  <si>
    <t>20260123 14:03:12</t>
  </si>
  <si>
    <t>14:03:12</t>
  </si>
  <si>
    <t>20260123 14:03:27</t>
  </si>
  <si>
    <t>14:03:27</t>
  </si>
  <si>
    <t>20260123 14:03:42</t>
  </si>
  <si>
    <t>14:03:42</t>
  </si>
  <si>
    <t>20260123 14:03:57</t>
  </si>
  <si>
    <t>14:03:57</t>
  </si>
  <si>
    <t>20260123 14:04:12</t>
  </si>
  <si>
    <t>14:04:12</t>
  </si>
  <si>
    <t>20260123 14:04:27</t>
  </si>
  <si>
    <t>14:04:27</t>
  </si>
  <si>
    <t>20260123 14:04:42</t>
  </si>
  <si>
    <t>14:04:42</t>
  </si>
  <si>
    <t>20260123 14:04:57</t>
  </si>
  <si>
    <t>14:04:57</t>
  </si>
  <si>
    <t>20260123 14:05:12</t>
  </si>
  <si>
    <t>14:05:12</t>
  </si>
  <si>
    <t>20260123 14:05:27</t>
  </si>
  <si>
    <t>14:05:27</t>
  </si>
  <si>
    <t>20260123 14:05:42</t>
  </si>
  <si>
    <t>14:05:42</t>
  </si>
  <si>
    <t>20260123 14:05:57</t>
  </si>
  <si>
    <t>14:05:57</t>
  </si>
  <si>
    <t>20260123 14:06:12</t>
  </si>
  <si>
    <t>14:06:12</t>
  </si>
  <si>
    <t>20260123 14:06:27</t>
  </si>
  <si>
    <t>14:06:27</t>
  </si>
  <si>
    <t>14:06:49</t>
  </si>
  <si>
    <t>20260123 14:06:51</t>
  </si>
  <si>
    <t>14:06:51</t>
  </si>
  <si>
    <t>20260123 14:07:06</t>
  </si>
  <si>
    <t>14:07:06</t>
  </si>
  <si>
    <t>20260123 14:10:08</t>
  </si>
  <si>
    <t>14:10:08</t>
  </si>
  <si>
    <t>20260123 14:10:23</t>
  </si>
  <si>
    <t>14:10:23</t>
  </si>
  <si>
    <t>20260123 14:10:38</t>
  </si>
  <si>
    <t>14:10:38</t>
  </si>
  <si>
    <t>20260123 14:10:53</t>
  </si>
  <si>
    <t>14:10:53</t>
  </si>
  <si>
    <t>20260123 14:11:08</t>
  </si>
  <si>
    <t>14:11:08</t>
  </si>
  <si>
    <t>20260123 14:11:23</t>
  </si>
  <si>
    <t>14:11:23</t>
  </si>
  <si>
    <t>20260123 14:11:38</t>
  </si>
  <si>
    <t>14:11:38</t>
  </si>
  <si>
    <t>20260123 14:11:53</t>
  </si>
  <si>
    <t>14:11:53</t>
  </si>
  <si>
    <t>20260123 14:12:08</t>
  </si>
  <si>
    <t>14:12:08</t>
  </si>
  <si>
    <t>20260123 14:12:23</t>
  </si>
  <si>
    <t>14:12:23</t>
  </si>
  <si>
    <t>20260123 14:12:38</t>
  </si>
  <si>
    <t>14:12:38</t>
  </si>
  <si>
    <t>20260123 14:12:53</t>
  </si>
  <si>
    <t>14:12:53</t>
  </si>
  <si>
    <t>20260123 14:13:08</t>
  </si>
  <si>
    <t>14:13:08</t>
  </si>
  <si>
    <t>20260123 14:13:23</t>
  </si>
  <si>
    <t>14:13:23</t>
  </si>
  <si>
    <t>20260123 14:13:38</t>
  </si>
  <si>
    <t>14:13:38</t>
  </si>
  <si>
    <t>20260123 14:13:53</t>
  </si>
  <si>
    <t>14:13:53</t>
  </si>
  <si>
    <t>20260123 14:14:08</t>
  </si>
  <si>
    <t>14:14:08</t>
  </si>
  <si>
    <t>20260123 14:14:23</t>
  </si>
  <si>
    <t>14:14:23</t>
  </si>
  <si>
    <t>20260123 14:14:38</t>
  </si>
  <si>
    <t>14:14:38</t>
  </si>
  <si>
    <t>20260123 14:14:53</t>
  </si>
  <si>
    <t>14:14:53</t>
  </si>
  <si>
    <t>20260123 14:15:08</t>
  </si>
  <si>
    <t>14:15:08</t>
  </si>
  <si>
    <t>20260123 14:15:23</t>
  </si>
  <si>
    <t>14:15:23</t>
  </si>
  <si>
    <t>20260123 14:15:38</t>
  </si>
  <si>
    <t>14:15:38</t>
  </si>
  <si>
    <t>20260123 14:15:53</t>
  </si>
  <si>
    <t>14:15:53</t>
  </si>
  <si>
    <t>20260123 14:16:08</t>
  </si>
  <si>
    <t>14:16:08</t>
  </si>
  <si>
    <t>20260123 14:16:23</t>
  </si>
  <si>
    <t>14:16:23</t>
  </si>
  <si>
    <t>20260123 14:16:38</t>
  </si>
  <si>
    <t>14:16:38</t>
  </si>
  <si>
    <t>20260123 14:16:53</t>
  </si>
  <si>
    <t>14:16:53</t>
  </si>
  <si>
    <t>14:17:15</t>
  </si>
  <si>
    <t>20260123 14:17:17</t>
  </si>
  <si>
    <t>14:17:17</t>
  </si>
  <si>
    <t>20260123 14:17:32</t>
  </si>
  <si>
    <t>14:17:32</t>
  </si>
  <si>
    <t>20260123 14:17:47</t>
  </si>
  <si>
    <t>14:17:47</t>
  </si>
  <si>
    <t>20260123 14:18:02</t>
  </si>
  <si>
    <t>14:18:02</t>
  </si>
  <si>
    <t>20260123 14:18:17</t>
  </si>
  <si>
    <t>14:18:17</t>
  </si>
  <si>
    <t>20260123 14:18:32</t>
  </si>
  <si>
    <t>14:18:32</t>
  </si>
  <si>
    <t>20260123 14:18:47</t>
  </si>
  <si>
    <t>14:18:47</t>
  </si>
  <si>
    <t>20260123 14:19:02</t>
  </si>
  <si>
    <t>14:19:02</t>
  </si>
  <si>
    <t>20260123 14:19:17</t>
  </si>
  <si>
    <t>14:19:17</t>
  </si>
  <si>
    <t>20260123 14:19:32</t>
  </si>
  <si>
    <t>14:19:32</t>
  </si>
  <si>
    <t>20260123 14:19:47</t>
  </si>
  <si>
    <t>14:19:47</t>
  </si>
  <si>
    <t>20260123 14:20:02</t>
  </si>
  <si>
    <t>14:20:02</t>
  </si>
  <si>
    <t>20260123 14:20:17</t>
  </si>
  <si>
    <t>14:20:17</t>
  </si>
  <si>
    <t>20260123 14:20:32</t>
  </si>
  <si>
    <t>14:20:32</t>
  </si>
  <si>
    <t>20260123 14:20:48</t>
  </si>
  <si>
    <t>14:20:48</t>
  </si>
  <si>
    <t>20260123 14:23:53</t>
  </si>
  <si>
    <t>14:23:53</t>
  </si>
  <si>
    <t>20260123 14:24:08</t>
  </si>
  <si>
    <t>14:24:08</t>
  </si>
  <si>
    <t>20260123 14:24:23</t>
  </si>
  <si>
    <t>14:24:23</t>
  </si>
  <si>
    <t>20260123 14:24:38</t>
  </si>
  <si>
    <t>14:24:38</t>
  </si>
  <si>
    <t>20260123 14:24:53</t>
  </si>
  <si>
    <t>14:24:53</t>
  </si>
  <si>
    <t>20260123 14:25:08</t>
  </si>
  <si>
    <t>14:25:08</t>
  </si>
  <si>
    <t>20260123 14:25:23</t>
  </si>
  <si>
    <t>14:25:23</t>
  </si>
  <si>
    <t>20260123 14:25:38</t>
  </si>
  <si>
    <t>14:25:38</t>
  </si>
  <si>
    <t>20260123 14:25:53</t>
  </si>
  <si>
    <t>14:25:53</t>
  </si>
  <si>
    <t>20260123 14:26:08</t>
  </si>
  <si>
    <t>14:26:08</t>
  </si>
  <si>
    <t>20260123 14:26:23</t>
  </si>
  <si>
    <t>14:26:23</t>
  </si>
  <si>
    <t>20260123 14:26:38</t>
  </si>
  <si>
    <t>14:26:38</t>
  </si>
  <si>
    <t>20260123 14:26:53</t>
  </si>
  <si>
    <t>14:26:53</t>
  </si>
  <si>
    <t>20260123 14:27:08</t>
  </si>
  <si>
    <t>14:27:08</t>
  </si>
  <si>
    <t>20260123 14:27:23</t>
  </si>
  <si>
    <t>14:27:23</t>
  </si>
  <si>
    <t>14:27:43</t>
  </si>
  <si>
    <t>20260123 14:27:45</t>
  </si>
  <si>
    <t>14:27:45</t>
  </si>
  <si>
    <t>20260123 14:28:00</t>
  </si>
  <si>
    <t>14:28:00</t>
  </si>
  <si>
    <t>20260123 14:28:15</t>
  </si>
  <si>
    <t>14:28:15</t>
  </si>
  <si>
    <t>20260123 14:28:30</t>
  </si>
  <si>
    <t>14:28:30</t>
  </si>
  <si>
    <t>20260123 14:28:45</t>
  </si>
  <si>
    <t>14:28:45</t>
  </si>
  <si>
    <t>20260123 14:29:00</t>
  </si>
  <si>
    <t>14:29:00</t>
  </si>
  <si>
    <t>20260123 14:29:15</t>
  </si>
  <si>
    <t>14:29:15</t>
  </si>
  <si>
    <t>20260123 14:29:30</t>
  </si>
  <si>
    <t>14:29:30</t>
  </si>
  <si>
    <t>20260123 14:29:45</t>
  </si>
  <si>
    <t>14:29:45</t>
  </si>
  <si>
    <t>20260123 14:30:00</t>
  </si>
  <si>
    <t>14:30:00</t>
  </si>
  <si>
    <t>20260123 14:30:15</t>
  </si>
  <si>
    <t>14:30:15</t>
  </si>
  <si>
    <t>20260123 14:30:30</t>
  </si>
  <si>
    <t>14:30:30</t>
  </si>
  <si>
    <t>20260123 14:30:45</t>
  </si>
  <si>
    <t>14:30:45</t>
  </si>
  <si>
    <t>20260123 14:31:00</t>
  </si>
  <si>
    <t>14:31:00</t>
  </si>
  <si>
    <t>20260123 14:31:15</t>
  </si>
  <si>
    <t>14:31:15</t>
  </si>
  <si>
    <t>20260123 14:31:30</t>
  </si>
  <si>
    <t>14:31:30</t>
  </si>
  <si>
    <t>20260123 14:31:45</t>
  </si>
  <si>
    <t>14:31:45</t>
  </si>
  <si>
    <t>20260123 14:32:00</t>
  </si>
  <si>
    <t>14:32:00</t>
  </si>
  <si>
    <t>20260123 14:32:15</t>
  </si>
  <si>
    <t>14:32:15</t>
  </si>
  <si>
    <t>20260123 14:32:30</t>
  </si>
  <si>
    <t>14:32:30</t>
  </si>
  <si>
    <t>20260123 14:32:45</t>
  </si>
  <si>
    <t>14:32:45</t>
  </si>
  <si>
    <t>20260123 14:33:00</t>
  </si>
  <si>
    <t>14:33:00</t>
  </si>
  <si>
    <t>20260123 14:33:15</t>
  </si>
  <si>
    <t>14:33:15</t>
  </si>
  <si>
    <t>20260123 14:33:30</t>
  </si>
  <si>
    <t>14:33:30</t>
  </si>
  <si>
    <t>20260123 14:35:44</t>
  </si>
  <si>
    <t>14:35:44</t>
  </si>
  <si>
    <t>20260123 14:35:59</t>
  </si>
  <si>
    <t>14:35:59</t>
  </si>
  <si>
    <t>20260123 14:36:14</t>
  </si>
  <si>
    <t>14:36:14</t>
  </si>
  <si>
    <t>20260123 14:36:29</t>
  </si>
  <si>
    <t>14:36:29</t>
  </si>
  <si>
    <t>20260123 14:36:44</t>
  </si>
  <si>
    <t>14:36:44</t>
  </si>
  <si>
    <t>20260123 14:36:59</t>
  </si>
  <si>
    <t>14:36:59</t>
  </si>
  <si>
    <t>20260123 14:37:14</t>
  </si>
  <si>
    <t>14:37:14</t>
  </si>
  <si>
    <t>20260123 14:37:29</t>
  </si>
  <si>
    <t>14:37:29</t>
  </si>
  <si>
    <t>20260123 14:37:44</t>
  </si>
  <si>
    <t>14:37:44</t>
  </si>
  <si>
    <t>14:38:04</t>
  </si>
  <si>
    <t>20260123 14:38:06</t>
  </si>
  <si>
    <t>14:38:06</t>
  </si>
  <si>
    <t>20260123 14:38:21</t>
  </si>
  <si>
    <t>14:38:21</t>
  </si>
  <si>
    <t>20260123 14:38:36</t>
  </si>
  <si>
    <t>14:38:36</t>
  </si>
  <si>
    <t>20260123 14:38:51</t>
  </si>
  <si>
    <t>14:38:51</t>
  </si>
  <si>
    <t>20260123 14:39:06</t>
  </si>
  <si>
    <t>14:39:06</t>
  </si>
  <si>
    <t>20260123 14:39:21</t>
  </si>
  <si>
    <t>14:39:21</t>
  </si>
  <si>
    <t>20260123 14:39:36</t>
  </si>
  <si>
    <t>14:39:36</t>
  </si>
  <si>
    <t>20260123 14:39:51</t>
  </si>
  <si>
    <t>14:39:51</t>
  </si>
  <si>
    <t>20260123 14:40:06</t>
  </si>
  <si>
    <t>14:40:06</t>
  </si>
  <si>
    <t>20260123 14:40:21</t>
  </si>
  <si>
    <t>14:40:21</t>
  </si>
  <si>
    <t>20260123 14:40:36</t>
  </si>
  <si>
    <t>14:40:36</t>
  </si>
  <si>
    <t>20260123 14:40:51</t>
  </si>
  <si>
    <t>14:40:51</t>
  </si>
  <si>
    <t>20260123 14:41:06</t>
  </si>
  <si>
    <t>14:41:06</t>
  </si>
  <si>
    <t>20260123 14:41:21</t>
  </si>
  <si>
    <t>14:41:21</t>
  </si>
  <si>
    <t>20260123 14:41:36</t>
  </si>
  <si>
    <t>14:41:36</t>
  </si>
  <si>
    <t>20260123 14:41:51</t>
  </si>
  <si>
    <t>14:41:51</t>
  </si>
  <si>
    <t>20260123 14:42:06</t>
  </si>
  <si>
    <t>14:42:06</t>
  </si>
  <si>
    <t>20260123 14:44:11</t>
  </si>
  <si>
    <t>14:44:11</t>
  </si>
  <si>
    <t>20260123 14:44:26</t>
  </si>
  <si>
    <t>14:44:26</t>
  </si>
  <si>
    <t>20260123 14:44:41</t>
  </si>
  <si>
    <t>14:44:41</t>
  </si>
  <si>
    <t>20260123 14:44:56</t>
  </si>
  <si>
    <t>14:44:56</t>
  </si>
  <si>
    <t>20260123 14:45:11</t>
  </si>
  <si>
    <t>14:45:11</t>
  </si>
  <si>
    <t>20260123 14:45:26</t>
  </si>
  <si>
    <t>14:45:26</t>
  </si>
  <si>
    <t>20260123 14:45:41</t>
  </si>
  <si>
    <t>14:45:41</t>
  </si>
  <si>
    <t>20260123 14:45:56</t>
  </si>
  <si>
    <t>14:45:56</t>
  </si>
  <si>
    <t>20260123 14:46:11</t>
  </si>
  <si>
    <t>14:46:11</t>
  </si>
  <si>
    <t>20260123 14:46:26</t>
  </si>
  <si>
    <t>14:46:26</t>
  </si>
  <si>
    <t>20260123 14:46:41</t>
  </si>
  <si>
    <t>14:46:41</t>
  </si>
  <si>
    <t>20260123 14:46:56</t>
  </si>
  <si>
    <t>14:46:56</t>
  </si>
  <si>
    <t>20260123 14:47:11</t>
  </si>
  <si>
    <t>14:47:11</t>
  </si>
  <si>
    <t>20260123 14:47:26</t>
  </si>
  <si>
    <t>14:47:26</t>
  </si>
  <si>
    <t>20260123 14:47:41</t>
  </si>
  <si>
    <t>14:47:41</t>
  </si>
  <si>
    <t>20260123 14:47:56</t>
  </si>
  <si>
    <t>14:47:56</t>
  </si>
  <si>
    <t>20260123 14:48:11</t>
  </si>
  <si>
    <t>14:48:11</t>
  </si>
  <si>
    <t>14:48:33</t>
  </si>
  <si>
    <t>20260123 14:48:35</t>
  </si>
  <si>
    <t>14:48:35</t>
  </si>
  <si>
    <t>20260123 14:48:50</t>
  </si>
  <si>
    <t>14:48:50</t>
  </si>
  <si>
    <t>20260123 14:49:05</t>
  </si>
  <si>
    <t>14:49:05</t>
  </si>
  <si>
    <t>20260123 14:49:20</t>
  </si>
  <si>
    <t>14:49:20</t>
  </si>
  <si>
    <t>20260123 14:49:35</t>
  </si>
  <si>
    <t>14:49:35</t>
  </si>
  <si>
    <t>20260123 14:49:50</t>
  </si>
  <si>
    <t>14:49:50</t>
  </si>
  <si>
    <t>20260123 14:50:05</t>
  </si>
  <si>
    <t>14:50:05</t>
  </si>
  <si>
    <t>20260123 14:50:20</t>
  </si>
  <si>
    <t>14:50:20</t>
  </si>
  <si>
    <t>20260123 14:50:35</t>
  </si>
  <si>
    <t>14:50:35</t>
  </si>
  <si>
    <t>20260123 14:50:50</t>
  </si>
  <si>
    <t>14:50:50</t>
  </si>
  <si>
    <t>20260123 14:51:05</t>
  </si>
  <si>
    <t>14:51:05</t>
  </si>
  <si>
    <t>20260123 14:51:20</t>
  </si>
  <si>
    <t>14:51:20</t>
  </si>
  <si>
    <t>20260123 14:51:35</t>
  </si>
  <si>
    <t>14:51:35</t>
  </si>
  <si>
    <t>20260123 14:51:50</t>
  </si>
  <si>
    <t>14:51:50</t>
  </si>
  <si>
    <t>20260123 14:52:05</t>
  </si>
  <si>
    <t>14:52:05</t>
  </si>
  <si>
    <t>20260123 14:52:20</t>
  </si>
  <si>
    <t>14:52:20</t>
  </si>
  <si>
    <t>20260123 14:54:32</t>
  </si>
  <si>
    <t>14:54:32</t>
  </si>
  <si>
    <t>20260123 14:54:47</t>
  </si>
  <si>
    <t>14:54:47</t>
  </si>
  <si>
    <t>20260123 14:55:02</t>
  </si>
  <si>
    <t>14:55:02</t>
  </si>
  <si>
    <t>20260123 14:55:17</t>
  </si>
  <si>
    <t>14:55:17</t>
  </si>
  <si>
    <t>20260123 14:55:32</t>
  </si>
  <si>
    <t>14:55:32</t>
  </si>
  <si>
    <t>20260123 14:55:47</t>
  </si>
  <si>
    <t>14:55:47</t>
  </si>
  <si>
    <t>20260123 14:56:02</t>
  </si>
  <si>
    <t>14:56:02</t>
  </si>
  <si>
    <t>20260123 14:56:17</t>
  </si>
  <si>
    <t>14:56:17</t>
  </si>
  <si>
    <t>20260123 14:56:32</t>
  </si>
  <si>
    <t>14:56:32</t>
  </si>
  <si>
    <t>20260123 14:56:47</t>
  </si>
  <si>
    <t>14:56:47</t>
  </si>
  <si>
    <t>20260123 14:57:02</t>
  </si>
  <si>
    <t>14:57:02</t>
  </si>
  <si>
    <t>20260123 14:57:17</t>
  </si>
  <si>
    <t>14:57:17</t>
  </si>
  <si>
    <t>20260123 14:57:32</t>
  </si>
  <si>
    <t>14:57:32</t>
  </si>
  <si>
    <t>20260123 14:57:47</t>
  </si>
  <si>
    <t>14:57:47</t>
  </si>
  <si>
    <t>20260123 14:58:02</t>
  </si>
  <si>
    <t>14:58:02</t>
  </si>
  <si>
    <t>20260123 14:58:17</t>
  </si>
  <si>
    <t>14:58:17</t>
  </si>
  <si>
    <t>20260123 14:58:32</t>
  </si>
  <si>
    <t>14:58:32</t>
  </si>
  <si>
    <t>14:58:50</t>
  </si>
  <si>
    <t>20260123 14:58:52</t>
  </si>
  <si>
    <t>14:58:52</t>
  </si>
  <si>
    <t>14:59:12</t>
  </si>
  <si>
    <t>20260123 14:59:14</t>
  </si>
  <si>
    <t>14:59:14</t>
  </si>
  <si>
    <t>20260123 14:59:29</t>
  </si>
  <si>
    <t>14:59:29</t>
  </si>
  <si>
    <t>20260123 14:59:44</t>
  </si>
  <si>
    <t>14:59:44</t>
  </si>
  <si>
    <t>20260123 14:59:59</t>
  </si>
  <si>
    <t>14:59:59</t>
  </si>
  <si>
    <t>20260123 15:00:14</t>
  </si>
  <si>
    <t>15:00:14</t>
  </si>
  <si>
    <t>20260123 15:00:29</t>
  </si>
  <si>
    <t>15:00:29</t>
  </si>
  <si>
    <t>20260123 15:00:44</t>
  </si>
  <si>
    <t>15:00:44</t>
  </si>
  <si>
    <t>20260123 15:00:59</t>
  </si>
  <si>
    <t>15:00:59</t>
  </si>
  <si>
    <t>20260123 15:01:14</t>
  </si>
  <si>
    <t>15:01:14</t>
  </si>
  <si>
    <t>20260123 15:01:29</t>
  </si>
  <si>
    <t>15:01:29</t>
  </si>
  <si>
    <t>20260123 15:01:44</t>
  </si>
  <si>
    <t>15:01:44</t>
  </si>
  <si>
    <t>20260123 15:01:59</t>
  </si>
  <si>
    <t>15:01:59</t>
  </si>
  <si>
    <t>20260123 15:04:41</t>
  </si>
  <si>
    <t>15:04:41</t>
  </si>
  <si>
    <t>20260123 15:04:56</t>
  </si>
  <si>
    <t>15:04:56</t>
  </si>
  <si>
    <t>20260123 15:05:11</t>
  </si>
  <si>
    <t>15:05:11</t>
  </si>
  <si>
    <t>20260123 15:05:26</t>
  </si>
  <si>
    <t>15:05:26</t>
  </si>
  <si>
    <t>20260123 15:05:41</t>
  </si>
  <si>
    <t>15:05:41</t>
  </si>
  <si>
    <t>20260123 15:05:56</t>
  </si>
  <si>
    <t>15:05:56</t>
  </si>
  <si>
    <t>20260123 15:06:11</t>
  </si>
  <si>
    <t>15:06:11</t>
  </si>
  <si>
    <t>20260123 15:06:26</t>
  </si>
  <si>
    <t>15:06:26</t>
  </si>
  <si>
    <t>20260123 15:06:41</t>
  </si>
  <si>
    <t>15:06:41</t>
  </si>
  <si>
    <t>20260123 15:06:56</t>
  </si>
  <si>
    <t>15:06:56</t>
  </si>
  <si>
    <t>20260123 15:07:11</t>
  </si>
  <si>
    <t>15:07:11</t>
  </si>
  <si>
    <t>20260123 15:07:26</t>
  </si>
  <si>
    <t>15:07:26</t>
  </si>
  <si>
    <t>20260123 15:07:41</t>
  </si>
  <si>
    <t>15:07:41</t>
  </si>
  <si>
    <t>20260123 15:07:56</t>
  </si>
  <si>
    <t>15:07:56</t>
  </si>
  <si>
    <t>20260123 15:08:11</t>
  </si>
  <si>
    <t>15:08:11</t>
  </si>
  <si>
    <t>20260123 15:08:26</t>
  </si>
  <si>
    <t>15:08:26</t>
  </si>
  <si>
    <t>20260123 15:08:41</t>
  </si>
  <si>
    <t>15:08:41</t>
  </si>
  <si>
    <t>20260123 15:08:56</t>
  </si>
  <si>
    <t>15:08:56</t>
  </si>
  <si>
    <t>15:09:22</t>
  </si>
  <si>
    <t>20260123 15:09:24</t>
  </si>
  <si>
    <t>15:09:24</t>
  </si>
  <si>
    <t>15:09:44</t>
  </si>
  <si>
    <t>20260123 15:09:46</t>
  </si>
  <si>
    <t>15:09:46</t>
  </si>
  <si>
    <t>20260123 15:10:01</t>
  </si>
  <si>
    <t>15:10:01</t>
  </si>
  <si>
    <t>20260123 15:10:16</t>
  </si>
  <si>
    <t>15:10:16</t>
  </si>
  <si>
    <t>20260123 15:10:31</t>
  </si>
  <si>
    <t>15:10:31</t>
  </si>
  <si>
    <t>20260123 15:10:46</t>
  </si>
  <si>
    <t>15:10:46</t>
  </si>
  <si>
    <t>20260123 15:11:01</t>
  </si>
  <si>
    <t>15:11:01</t>
  </si>
  <si>
    <t>20260123 15:11:16</t>
  </si>
  <si>
    <t>15:11:16</t>
  </si>
  <si>
    <t>20260123 15:11:31</t>
  </si>
  <si>
    <t>15:11:31</t>
  </si>
  <si>
    <t>20260123 15:11:46</t>
  </si>
  <si>
    <t>15:11:46</t>
  </si>
  <si>
    <t>20260123 15:12:01</t>
  </si>
  <si>
    <t>15:12:01</t>
  </si>
  <si>
    <t>20260123 15:12:16</t>
  </si>
  <si>
    <t>15:12:16</t>
  </si>
  <si>
    <t>20260123 15:12:31</t>
  </si>
  <si>
    <t>15:12:31</t>
  </si>
  <si>
    <t>20260123 15:14:46</t>
  </si>
  <si>
    <t>15:14:46</t>
  </si>
  <si>
    <t>20260123 15:15:01</t>
  </si>
  <si>
    <t>15:15:01</t>
  </si>
  <si>
    <t>20260123 15:15:16</t>
  </si>
  <si>
    <t>15:15:16</t>
  </si>
  <si>
    <t>20260123 15:15:31</t>
  </si>
  <si>
    <t>15:15:31</t>
  </si>
  <si>
    <t>20260123 15:15:46</t>
  </si>
  <si>
    <t>15:15:46</t>
  </si>
  <si>
    <t>20260123 15:16:01</t>
  </si>
  <si>
    <t>15:16:01</t>
  </si>
  <si>
    <t>20260123 15:16:16</t>
  </si>
  <si>
    <t>15:16:16</t>
  </si>
  <si>
    <t>20260123 15:16:31</t>
  </si>
  <si>
    <t>15:16:31</t>
  </si>
  <si>
    <t>20260123 15:16:46</t>
  </si>
  <si>
    <t>15:16:46</t>
  </si>
  <si>
    <t>20260123 15:17:01</t>
  </si>
  <si>
    <t>15:17:01</t>
  </si>
  <si>
    <t>20260123 15:17:16</t>
  </si>
  <si>
    <t>15:17:16</t>
  </si>
  <si>
    <t>20260123 15:17:31</t>
  </si>
  <si>
    <t>15:17:31</t>
  </si>
  <si>
    <t>20260123 15:17:46</t>
  </si>
  <si>
    <t>15:17:46</t>
  </si>
  <si>
    <t>20260123 15:18:01</t>
  </si>
  <si>
    <t>15:18:01</t>
  </si>
  <si>
    <t>20260123 15:18:16</t>
  </si>
  <si>
    <t>15:18:16</t>
  </si>
  <si>
    <t>20260123 15:18:31</t>
  </si>
  <si>
    <t>15:18:31</t>
  </si>
  <si>
    <t>20260123 15:18:46</t>
  </si>
  <si>
    <t>15:18:46</t>
  </si>
  <si>
    <t>20260123 15:19:01</t>
  </si>
  <si>
    <t>15:19:01</t>
  </si>
  <si>
    <t>20260123 15:19:16</t>
  </si>
  <si>
    <t>15:19:16</t>
  </si>
  <si>
    <t>20260123 15:19:31</t>
  </si>
  <si>
    <t>15:19:31</t>
  </si>
  <si>
    <t>15:19:52</t>
  </si>
  <si>
    <t>20260123 15:19:54</t>
  </si>
  <si>
    <t>15:19:54</t>
  </si>
  <si>
    <t>15:20:14</t>
  </si>
  <si>
    <t>20260123 15:20:16</t>
  </si>
  <si>
    <t>15:20:16</t>
  </si>
  <si>
    <t>20260123 15:20:31</t>
  </si>
  <si>
    <t>15:20:31</t>
  </si>
  <si>
    <t>20260123 15:20:46</t>
  </si>
  <si>
    <t>15:20:46</t>
  </si>
  <si>
    <t>20260123 15:21:01</t>
  </si>
  <si>
    <t>15:21:01</t>
  </si>
  <si>
    <t>20260123 15:21:16</t>
  </si>
  <si>
    <t>15:21:16</t>
  </si>
  <si>
    <t>20260123 15:21:31</t>
  </si>
  <si>
    <t>15:21:31</t>
  </si>
  <si>
    <t>20260123 15:21:46</t>
  </si>
  <si>
    <t>15:21:46</t>
  </si>
  <si>
    <t>20260123 15:22:01</t>
  </si>
  <si>
    <t>15:22:01</t>
  </si>
  <si>
    <t>20260123 15:22:16</t>
  </si>
  <si>
    <t>15:22:16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</si>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</sst>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291"/>
  <sheetViews>
    <sheetView tabSelected="1" topLeftCell="A287" workbookViewId="0">
      <selection activeCell="I287" sqref="I287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858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1769194561</v>
      </c>
      <c r="C16">
        <v>0</v>
      </c>
      <c r="D16" t="s">
        <v>287</v>
      </c>
      <c r="E16" t="s">
        <v>288</v>
      </c>
      <c r="F16">
        <v>15</v>
      </c>
      <c r="G16">
        <v>1769194552.5</v>
      </c>
      <c r="H16">
        <f t="shared" ref="H16:H79" si="0">AF16*Q16*(AB16-AC16)/(1000*X16*(1000-Q16*AB16))</f>
        <v>4.6892284376237267E-4</v>
      </c>
      <c r="I16">
        <v>0</v>
      </c>
      <c r="J16">
        <f>K16*(0.0002153/0.0080229)</f>
        <v>-3.8534912188153504E-2</v>
      </c>
      <c r="K16">
        <f t="shared" ref="K16:K79" si="1">AF16*Q16*(AA16-Z16*(1000-Q16*AC16)/(1000-Q16*AB16))/(1000*X16)</f>
        <v>-1.4359579516690049</v>
      </c>
      <c r="L16">
        <f t="shared" ref="L16:L79" si="2">(M16/N16*100)</f>
        <v>72.993025908099909</v>
      </c>
      <c r="M16">
        <f t="shared" ref="M16:M79" si="3">AB16*(AG16+AH16)/1000</f>
        <v>1.59897287882521</v>
      </c>
      <c r="N16">
        <f t="shared" ref="N16:N79" si="4">0.61365*EXP(17.502*AI16/(240.97+AI16))</f>
        <v>2.1905830850722068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26234.523891396082</v>
      </c>
      <c r="T16">
        <f t="shared" ref="T16:T79" si="8">$B$11*AO16+$C$11*AP16+$D$11*BA16</f>
        <v>300.0005625</v>
      </c>
      <c r="U16">
        <f t="shared" ref="U16:U79" si="9">T16*V16</f>
        <v>252.90001704289287</v>
      </c>
      <c r="V16">
        <f t="shared" ref="V16:V79" si="10">($B$11*$D$9+$C$11*$D$9+$D$11*(BB16*$E$9+BC16*$F$9+BD16*$G$9+BE16*$H$9))/($B$11+$C$11+$D$11)</f>
        <v>0.84299847618750001</v>
      </c>
      <c r="W16">
        <f t="shared" ref="W16:W79" si="11">($B$11*$L$9+$C$11*$L$9+$D$11*(BB16*$M$9+BC16*$N$9+BD16*$O$9+BE16*$P$9))/($B$11+$C$11+$D$11)</f>
        <v>0.15869610520875002</v>
      </c>
      <c r="X16">
        <v>1</v>
      </c>
      <c r="Y16">
        <v>1769194552.5</v>
      </c>
      <c r="Z16">
        <v>411.61675000000002</v>
      </c>
      <c r="AA16">
        <v>410.0630625</v>
      </c>
      <c r="AB16">
        <v>15.964281250000001</v>
      </c>
      <c r="AC16">
        <v>15.38748125</v>
      </c>
      <c r="AD16">
        <v>412.46974999999998</v>
      </c>
      <c r="AE16">
        <v>15.871281249999999</v>
      </c>
      <c r="AF16">
        <v>799.99450000000002</v>
      </c>
      <c r="AG16">
        <v>100.0944375</v>
      </c>
      <c r="AH16">
        <v>6.4965468750000005E-2</v>
      </c>
      <c r="AI16">
        <v>18.8936125</v>
      </c>
      <c r="AJ16">
        <v>999.9</v>
      </c>
      <c r="AK16">
        <v>999.9</v>
      </c>
      <c r="AL16">
        <v>0</v>
      </c>
      <c r="AM16">
        <v>0</v>
      </c>
      <c r="AN16">
        <v>4996.375</v>
      </c>
      <c r="AO16">
        <v>0</v>
      </c>
      <c r="AP16">
        <v>1.68123</v>
      </c>
      <c r="AQ16">
        <v>1.5306189375000001</v>
      </c>
      <c r="AR16">
        <v>418.2698125</v>
      </c>
      <c r="AS16">
        <v>416.47149999999999</v>
      </c>
      <c r="AT16">
        <v>0.57378687500000003</v>
      </c>
      <c r="AU16">
        <v>410.0630625</v>
      </c>
      <c r="AV16">
        <v>15.38748125</v>
      </c>
      <c r="AW16">
        <v>1.59763375</v>
      </c>
      <c r="AX16">
        <v>1.54020125</v>
      </c>
      <c r="AY16">
        <v>13.93600625</v>
      </c>
      <c r="AZ16">
        <v>13.372468749999999</v>
      </c>
      <c r="BA16">
        <v>300.0005625</v>
      </c>
      <c r="BB16">
        <v>0.90005206250000003</v>
      </c>
      <c r="BC16">
        <v>0</v>
      </c>
      <c r="BD16">
        <v>9.9947981249999998E-2</v>
      </c>
      <c r="BE16">
        <v>0</v>
      </c>
      <c r="BF16">
        <v>25</v>
      </c>
      <c r="BG16">
        <v>4946.7162500000004</v>
      </c>
      <c r="BH16">
        <v>1769194585</v>
      </c>
      <c r="BI16" t="s">
        <v>289</v>
      </c>
      <c r="BJ16">
        <v>1769194579</v>
      </c>
      <c r="BK16">
        <v>1769194585</v>
      </c>
      <c r="BL16">
        <v>1</v>
      </c>
      <c r="BM16">
        <v>2.3E-2</v>
      </c>
      <c r="BN16">
        <v>3.0000000000000001E-3</v>
      </c>
      <c r="BO16">
        <v>-0.85299999999999998</v>
      </c>
      <c r="BP16">
        <v>9.2999999999999999E-2</v>
      </c>
      <c r="BQ16">
        <v>410</v>
      </c>
      <c r="BR16">
        <v>15</v>
      </c>
      <c r="BS16">
        <v>0.28000000000000003</v>
      </c>
      <c r="BT16">
        <v>0.05</v>
      </c>
      <c r="BU16">
        <v>2.0560881000000002</v>
      </c>
      <c r="BV16">
        <v>-10.116708812030099</v>
      </c>
      <c r="BW16">
        <v>0.990103549207905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0.43554393050000001</v>
      </c>
      <c r="CD16">
        <v>2.6389918840601498</v>
      </c>
      <c r="CE16">
        <v>0.256651792359953</v>
      </c>
      <c r="CF16">
        <v>0</v>
      </c>
      <c r="CG16">
        <v>0</v>
      </c>
      <c r="CH16">
        <v>2</v>
      </c>
      <c r="CI16" t="s">
        <v>290</v>
      </c>
      <c r="CJ16">
        <v>3.5325600000000001</v>
      </c>
      <c r="CK16">
        <v>2.7026699999999999</v>
      </c>
      <c r="CL16">
        <v>9.7921400000000006E-2</v>
      </c>
      <c r="CM16">
        <v>9.6438899999999994E-2</v>
      </c>
      <c r="CN16">
        <v>8.9317499999999994E-2</v>
      </c>
      <c r="CO16">
        <v>8.4805500000000006E-2</v>
      </c>
      <c r="CP16">
        <v>31593.4</v>
      </c>
      <c r="CQ16">
        <v>27762.2</v>
      </c>
      <c r="CR16">
        <v>32417.7</v>
      </c>
      <c r="CS16">
        <v>30655.4</v>
      </c>
      <c r="CT16">
        <v>39978.9</v>
      </c>
      <c r="CU16">
        <v>39451</v>
      </c>
      <c r="CV16">
        <v>47348.5</v>
      </c>
      <c r="CW16">
        <v>46753</v>
      </c>
      <c r="CX16">
        <v>2.6125400000000001</v>
      </c>
      <c r="CY16">
        <v>2.1230600000000002</v>
      </c>
      <c r="CZ16">
        <v>0</v>
      </c>
      <c r="DA16">
        <v>0</v>
      </c>
      <c r="DB16">
        <v>999.9</v>
      </c>
      <c r="DC16">
        <v>999.9</v>
      </c>
      <c r="DD16">
        <v>67.983000000000004</v>
      </c>
      <c r="DE16">
        <v>26.736999999999998</v>
      </c>
      <c r="DF16">
        <v>23.934699999999999</v>
      </c>
      <c r="DG16">
        <v>30.44</v>
      </c>
      <c r="DH16">
        <v>16.049700000000001</v>
      </c>
      <c r="DI16">
        <v>2</v>
      </c>
      <c r="DJ16">
        <v>-6.4064999999999997E-2</v>
      </c>
      <c r="DK16">
        <v>2.3368699999999998</v>
      </c>
      <c r="DL16">
        <v>20.214300000000001</v>
      </c>
      <c r="DM16">
        <v>5.24688</v>
      </c>
      <c r="DN16">
        <v>12.033899999999999</v>
      </c>
      <c r="DO16">
        <v>4.9668400000000004</v>
      </c>
      <c r="DP16">
        <v>3.2906399999999998</v>
      </c>
      <c r="DQ16">
        <v>536</v>
      </c>
      <c r="DR16">
        <v>9999</v>
      </c>
      <c r="DS16">
        <v>9999</v>
      </c>
      <c r="DT16">
        <v>9999</v>
      </c>
      <c r="DU16">
        <v>1.8710800000000001</v>
      </c>
      <c r="DV16">
        <v>1.87609</v>
      </c>
      <c r="DW16">
        <v>1.8762799999999999</v>
      </c>
      <c r="DX16">
        <v>1.88279</v>
      </c>
      <c r="DY16">
        <v>1.87558</v>
      </c>
      <c r="DZ16">
        <v>1.87469</v>
      </c>
      <c r="EA16">
        <v>1.8708</v>
      </c>
      <c r="EB16">
        <v>1.8746100000000001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-0.85299999999999998</v>
      </c>
      <c r="EQ16">
        <v>9.2999999999999999E-2</v>
      </c>
      <c r="ER16">
        <v>-0.876</v>
      </c>
      <c r="ES16">
        <v>0</v>
      </c>
      <c r="ET16">
        <v>0</v>
      </c>
      <c r="EU16">
        <v>0</v>
      </c>
      <c r="EV16">
        <v>0.09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129.5</v>
      </c>
      <c r="FE16">
        <v>129.4</v>
      </c>
      <c r="FF16">
        <v>1.2365699999999999</v>
      </c>
      <c r="FG16">
        <v>2.5817899999999998</v>
      </c>
      <c r="FH16">
        <v>2.19604</v>
      </c>
      <c r="FI16">
        <v>2.65991</v>
      </c>
      <c r="FJ16">
        <v>2.4462899999999999</v>
      </c>
      <c r="FK16">
        <v>2.2546400000000002</v>
      </c>
      <c r="FL16">
        <v>31.608000000000001</v>
      </c>
      <c r="FM16">
        <v>24.14</v>
      </c>
      <c r="FN16">
        <v>19</v>
      </c>
      <c r="FO16">
        <v>866.29899999999998</v>
      </c>
      <c r="FP16">
        <v>578.197</v>
      </c>
      <c r="FQ16">
        <v>17.755500000000001</v>
      </c>
      <c r="FR16">
        <v>26.164200000000001</v>
      </c>
      <c r="FS16">
        <v>29.9999</v>
      </c>
      <c r="FT16">
        <v>26.1631</v>
      </c>
      <c r="FU16">
        <v>26.159800000000001</v>
      </c>
      <c r="FV16">
        <v>24.8127</v>
      </c>
      <c r="FW16">
        <v>39.887900000000002</v>
      </c>
      <c r="FX16">
        <v>52.322299999999998</v>
      </c>
      <c r="FY16">
        <v>17.802099999999999</v>
      </c>
      <c r="FZ16">
        <v>410</v>
      </c>
      <c r="GA16">
        <v>14.883800000000001</v>
      </c>
      <c r="GB16">
        <v>99.765600000000006</v>
      </c>
      <c r="GC16">
        <v>99.525099999999995</v>
      </c>
    </row>
    <row r="17" spans="1:185" x14ac:dyDescent="0.2">
      <c r="A17">
        <v>2</v>
      </c>
      <c r="B17">
        <v>1769194587</v>
      </c>
      <c r="C17">
        <v>26</v>
      </c>
      <c r="D17" t="s">
        <v>295</v>
      </c>
      <c r="E17" t="s">
        <v>296</v>
      </c>
      <c r="F17">
        <v>15</v>
      </c>
      <c r="G17">
        <v>1769194586</v>
      </c>
      <c r="H17">
        <f t="shared" si="0"/>
        <v>-5.6849292192562679E-7</v>
      </c>
      <c r="I17">
        <v>0</v>
      </c>
      <c r="J17">
        <f t="shared" ref="J17:J80" si="12">K17*(0.0002153/0.0080229)</f>
        <v>3.4975311156417008E-4</v>
      </c>
      <c r="K17">
        <f t="shared" si="1"/>
        <v>1.3033136269243753E-2</v>
      </c>
      <c r="L17">
        <f t="shared" si="2"/>
        <v>68.274288742222467</v>
      </c>
      <c r="M17">
        <f t="shared" si="3"/>
        <v>1.4962951999955298</v>
      </c>
      <c r="N17">
        <f t="shared" si="4"/>
        <v>2.191593977119215</v>
      </c>
      <c r="O17">
        <v>509</v>
      </c>
      <c r="P17">
        <v>64</v>
      </c>
      <c r="Q17">
        <f t="shared" si="5"/>
        <v>1</v>
      </c>
      <c r="R17">
        <f t="shared" si="6"/>
        <v>0</v>
      </c>
      <c r="S17">
        <f t="shared" si="7"/>
        <v>26238.326416515138</v>
      </c>
      <c r="T17">
        <f t="shared" si="8"/>
        <v>299.99900000000002</v>
      </c>
      <c r="U17">
        <f t="shared" si="9"/>
        <v>252.89887620093603</v>
      </c>
      <c r="V17">
        <f t="shared" si="10"/>
        <v>0.84299906400000002</v>
      </c>
      <c r="W17">
        <f t="shared" si="11"/>
        <v>0.15869727024000002</v>
      </c>
      <c r="X17">
        <v>1</v>
      </c>
      <c r="Y17">
        <v>1769194586</v>
      </c>
      <c r="Z17">
        <v>410.03899999999999</v>
      </c>
      <c r="AA17">
        <v>410.05500000000001</v>
      </c>
      <c r="AB17">
        <v>14.9369</v>
      </c>
      <c r="AC17">
        <v>14.9376</v>
      </c>
      <c r="AD17">
        <v>410.892</v>
      </c>
      <c r="AE17">
        <v>14.8438</v>
      </c>
      <c r="AF17">
        <v>800.00199999999995</v>
      </c>
      <c r="AG17">
        <v>100.09699999999999</v>
      </c>
      <c r="AH17">
        <v>7.7413700000000002E-2</v>
      </c>
      <c r="AI17">
        <v>18.901</v>
      </c>
      <c r="AJ17">
        <v>999.9</v>
      </c>
      <c r="AK17">
        <v>999.9</v>
      </c>
      <c r="AL17">
        <v>0</v>
      </c>
      <c r="AM17">
        <v>0</v>
      </c>
      <c r="AN17">
        <v>4997</v>
      </c>
      <c r="AO17">
        <v>0</v>
      </c>
      <c r="AP17">
        <v>1.6937899999999999</v>
      </c>
      <c r="AQ17">
        <v>-1.52893E-2</v>
      </c>
      <c r="AR17">
        <v>416.25700000000001</v>
      </c>
      <c r="AS17">
        <v>416.27300000000002</v>
      </c>
      <c r="AT17">
        <v>-7.3337599999999999E-4</v>
      </c>
      <c r="AU17">
        <v>410.05500000000001</v>
      </c>
      <c r="AV17">
        <v>14.9376</v>
      </c>
      <c r="AW17">
        <v>1.4951300000000001</v>
      </c>
      <c r="AX17">
        <v>1.4952099999999999</v>
      </c>
      <c r="AY17">
        <v>12.9185</v>
      </c>
      <c r="AZ17">
        <v>12.9192</v>
      </c>
      <c r="BA17">
        <v>299.99900000000002</v>
      </c>
      <c r="BB17">
        <v>0.90003699999999998</v>
      </c>
      <c r="BC17">
        <v>0</v>
      </c>
      <c r="BD17">
        <v>9.9963200000000002E-2</v>
      </c>
      <c r="BE17">
        <v>0</v>
      </c>
      <c r="BF17">
        <v>24.7</v>
      </c>
      <c r="BG17">
        <v>4946.67</v>
      </c>
      <c r="BH17">
        <v>1769194585</v>
      </c>
      <c r="BI17" t="s">
        <v>289</v>
      </c>
      <c r="BJ17">
        <v>1769194579</v>
      </c>
      <c r="BK17">
        <v>1769194585</v>
      </c>
      <c r="BL17">
        <v>1</v>
      </c>
      <c r="BM17">
        <v>2.3E-2</v>
      </c>
      <c r="BN17">
        <v>3.0000000000000001E-3</v>
      </c>
      <c r="BO17">
        <v>-0.85299999999999998</v>
      </c>
      <c r="BP17">
        <v>9.2999999999999999E-2</v>
      </c>
      <c r="BQ17">
        <v>410</v>
      </c>
      <c r="BR17">
        <v>15</v>
      </c>
      <c r="BS17">
        <v>0.28000000000000003</v>
      </c>
      <c r="BT17">
        <v>0.05</v>
      </c>
      <c r="BU17">
        <v>-4.7229095238095301E-4</v>
      </c>
      <c r="BV17">
        <v>-0.21534159740259701</v>
      </c>
      <c r="BW17">
        <v>4.91426493253014E-2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2.8374118190476201E-2</v>
      </c>
      <c r="CD17">
        <v>-0.47989824335064901</v>
      </c>
      <c r="CE17">
        <v>9.0443760796219297E-2</v>
      </c>
      <c r="CF17">
        <v>0</v>
      </c>
      <c r="CG17">
        <v>1</v>
      </c>
      <c r="CH17">
        <v>2</v>
      </c>
      <c r="CI17" t="s">
        <v>297</v>
      </c>
      <c r="CJ17">
        <v>3.5335000000000001</v>
      </c>
      <c r="CK17">
        <v>2.7144699999999999</v>
      </c>
      <c r="CL17">
        <v>9.7783099999999998E-2</v>
      </c>
      <c r="CM17">
        <v>9.6440499999999998E-2</v>
      </c>
      <c r="CN17">
        <v>8.5018800000000005E-2</v>
      </c>
      <c r="CO17">
        <v>8.4119700000000006E-2</v>
      </c>
      <c r="CP17">
        <v>31599.4</v>
      </c>
      <c r="CQ17">
        <v>27763.9</v>
      </c>
      <c r="CR17">
        <v>32418.799999999999</v>
      </c>
      <c r="CS17">
        <v>30657.3</v>
      </c>
      <c r="CT17">
        <v>40174.6</v>
      </c>
      <c r="CU17">
        <v>39483.599999999999</v>
      </c>
      <c r="CV17">
        <v>47350.400000000001</v>
      </c>
      <c r="CW17">
        <v>46755.6</v>
      </c>
      <c r="CX17">
        <v>1.6388799999999999</v>
      </c>
      <c r="CY17">
        <v>1.5695399999999999</v>
      </c>
      <c r="CZ17">
        <v>0</v>
      </c>
      <c r="DA17">
        <v>0</v>
      </c>
      <c r="DB17">
        <v>999.9</v>
      </c>
      <c r="DC17">
        <v>999.9</v>
      </c>
      <c r="DD17">
        <v>67.733000000000004</v>
      </c>
      <c r="DE17">
        <v>26.757000000000001</v>
      </c>
      <c r="DF17">
        <v>23.877099999999999</v>
      </c>
      <c r="DG17">
        <v>30.55</v>
      </c>
      <c r="DH17">
        <v>16.5505</v>
      </c>
      <c r="DI17">
        <v>2</v>
      </c>
      <c r="DJ17">
        <v>-6.66606E-2</v>
      </c>
      <c r="DK17">
        <v>1.8859699999999999</v>
      </c>
      <c r="DL17">
        <v>20.2194</v>
      </c>
      <c r="DM17">
        <v>5.24472</v>
      </c>
      <c r="DN17">
        <v>12.033899999999999</v>
      </c>
      <c r="DO17">
        <v>4.9659599999999999</v>
      </c>
      <c r="DP17">
        <v>3.2901600000000002</v>
      </c>
      <c r="DQ17">
        <v>536</v>
      </c>
      <c r="DR17">
        <v>9999</v>
      </c>
      <c r="DS17">
        <v>9999</v>
      </c>
      <c r="DT17">
        <v>9999</v>
      </c>
      <c r="DU17">
        <v>1.87103</v>
      </c>
      <c r="DV17">
        <v>1.8760699999999999</v>
      </c>
      <c r="DW17">
        <v>1.87626</v>
      </c>
      <c r="DX17">
        <v>1.8827799999999999</v>
      </c>
      <c r="DY17">
        <v>1.87557</v>
      </c>
      <c r="DZ17">
        <v>1.8746499999999999</v>
      </c>
      <c r="EA17">
        <v>1.8707499999999999</v>
      </c>
      <c r="EB17">
        <v>1.87459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-0.85299999999999998</v>
      </c>
      <c r="EQ17">
        <v>9.3100000000000002E-2</v>
      </c>
      <c r="ER17">
        <v>-0.85300000000006504</v>
      </c>
      <c r="ES17">
        <v>0</v>
      </c>
      <c r="ET17">
        <v>0</v>
      </c>
      <c r="EU17">
        <v>0</v>
      </c>
      <c r="EV17">
        <v>9.3120000000002506E-2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1.2365699999999999</v>
      </c>
      <c r="FG17">
        <v>2.5805699999999998</v>
      </c>
      <c r="FH17">
        <v>2.19604</v>
      </c>
      <c r="FI17">
        <v>2.66113</v>
      </c>
      <c r="FJ17">
        <v>2.4462899999999999</v>
      </c>
      <c r="FK17">
        <v>2.3083499999999999</v>
      </c>
      <c r="FL17">
        <v>31.608000000000001</v>
      </c>
      <c r="FM17">
        <v>24.148800000000001</v>
      </c>
      <c r="FN17">
        <v>19</v>
      </c>
      <c r="FO17">
        <v>273.22899999999998</v>
      </c>
      <c r="FP17">
        <v>263.14499999999998</v>
      </c>
      <c r="FQ17">
        <v>18.1675</v>
      </c>
      <c r="FR17">
        <v>26.150500000000001</v>
      </c>
      <c r="FS17">
        <v>29.999700000000001</v>
      </c>
      <c r="FT17">
        <v>26.170200000000001</v>
      </c>
      <c r="FU17">
        <v>26.163799999999998</v>
      </c>
      <c r="FV17">
        <v>24.8125</v>
      </c>
      <c r="FW17">
        <v>38.785499999999999</v>
      </c>
      <c r="FX17">
        <v>52.322299999999998</v>
      </c>
      <c r="FY17">
        <v>18.197399999999998</v>
      </c>
      <c r="FZ17">
        <v>410</v>
      </c>
      <c r="GA17">
        <v>15.5205</v>
      </c>
      <c r="GB17">
        <v>99.769400000000005</v>
      </c>
      <c r="GC17">
        <v>99.530799999999999</v>
      </c>
    </row>
    <row r="18" spans="1:185" x14ac:dyDescent="0.2">
      <c r="A18">
        <v>3</v>
      </c>
      <c r="B18">
        <v>1769194602</v>
      </c>
      <c r="C18">
        <v>41</v>
      </c>
      <c r="D18" t="s">
        <v>298</v>
      </c>
      <c r="E18" t="s">
        <v>299</v>
      </c>
      <c r="F18">
        <v>15</v>
      </c>
      <c r="G18">
        <v>1769194593.9333301</v>
      </c>
      <c r="H18">
        <f t="shared" si="0"/>
        <v>5.6827147182330771E-4</v>
      </c>
      <c r="I18">
        <v>0</v>
      </c>
      <c r="J18">
        <f t="shared" si="12"/>
        <v>-3.0646435750140734E-3</v>
      </c>
      <c r="K18">
        <f t="shared" si="1"/>
        <v>-0.11420032019498565</v>
      </c>
      <c r="L18">
        <f t="shared" si="2"/>
        <v>71.407307845074214</v>
      </c>
      <c r="M18">
        <f t="shared" si="3"/>
        <v>1.5665278756250753</v>
      </c>
      <c r="N18">
        <f t="shared" si="4"/>
        <v>2.1937920962148931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26243.609697903601</v>
      </c>
      <c r="T18">
        <f t="shared" si="8"/>
        <v>300.000133333333</v>
      </c>
      <c r="U18">
        <f t="shared" si="9"/>
        <v>252.8997211998259</v>
      </c>
      <c r="V18">
        <f t="shared" si="10"/>
        <v>0.84299869600000021</v>
      </c>
      <c r="W18">
        <f t="shared" si="11"/>
        <v>0.15869674000000006</v>
      </c>
      <c r="X18">
        <v>1</v>
      </c>
      <c r="Y18">
        <v>1769194593.9333301</v>
      </c>
      <c r="Z18">
        <v>409.883733333333</v>
      </c>
      <c r="AA18">
        <v>410.03206666666699</v>
      </c>
      <c r="AB18">
        <v>15.639900000000001</v>
      </c>
      <c r="AC18">
        <v>14.9410133333333</v>
      </c>
      <c r="AD18">
        <v>410.73673333333301</v>
      </c>
      <c r="AE18">
        <v>15.5467733333333</v>
      </c>
      <c r="AF18">
        <v>800.39266666666697</v>
      </c>
      <c r="AG18">
        <v>100.094866666667</v>
      </c>
      <c r="AH18">
        <v>6.7402633333333295E-2</v>
      </c>
      <c r="AI18">
        <v>18.9170533333333</v>
      </c>
      <c r="AJ18">
        <v>999.9</v>
      </c>
      <c r="AK18">
        <v>999.9</v>
      </c>
      <c r="AL18">
        <v>0</v>
      </c>
      <c r="AM18">
        <v>0</v>
      </c>
      <c r="AN18">
        <v>4998.2</v>
      </c>
      <c r="AO18">
        <v>0</v>
      </c>
      <c r="AP18">
        <v>1.6937899999999999</v>
      </c>
      <c r="AQ18">
        <v>-0.148201573333333</v>
      </c>
      <c r="AR18">
        <v>416.39613333333301</v>
      </c>
      <c r="AS18">
        <v>416.25106666666699</v>
      </c>
      <c r="AT18">
        <v>0.69888684160000003</v>
      </c>
      <c r="AU18">
        <v>410.03206666666699</v>
      </c>
      <c r="AV18">
        <v>14.9410133333333</v>
      </c>
      <c r="AW18">
        <v>1.565474</v>
      </c>
      <c r="AX18">
        <v>1.4955193333333301</v>
      </c>
      <c r="AY18">
        <v>13.620760000000001</v>
      </c>
      <c r="AZ18">
        <v>12.9223466666667</v>
      </c>
      <c r="BA18">
        <v>300.000133333333</v>
      </c>
      <c r="BB18">
        <v>0.90004346666666701</v>
      </c>
      <c r="BC18">
        <v>0</v>
      </c>
      <c r="BD18">
        <v>9.9956533333333306E-2</v>
      </c>
      <c r="BE18">
        <v>0</v>
      </c>
      <c r="BF18">
        <v>24.279993333333302</v>
      </c>
      <c r="BG18">
        <v>4946.7</v>
      </c>
      <c r="BH18">
        <v>1769194585</v>
      </c>
      <c r="BI18" t="s">
        <v>289</v>
      </c>
      <c r="BJ18">
        <v>1769194579</v>
      </c>
      <c r="BK18">
        <v>1769194585</v>
      </c>
      <c r="BL18">
        <v>1</v>
      </c>
      <c r="BM18">
        <v>2.3E-2</v>
      </c>
      <c r="BN18">
        <v>3.0000000000000001E-3</v>
      </c>
      <c r="BO18">
        <v>-0.85299999999999998</v>
      </c>
      <c r="BP18">
        <v>9.2999999999999999E-2</v>
      </c>
      <c r="BQ18">
        <v>410</v>
      </c>
      <c r="BR18">
        <v>15</v>
      </c>
      <c r="BS18">
        <v>0.28000000000000003</v>
      </c>
      <c r="BT18">
        <v>0.05</v>
      </c>
      <c r="BU18">
        <v>-9.9171984761904794E-2</v>
      </c>
      <c r="BV18">
        <v>-0.78763927480519502</v>
      </c>
      <c r="BW18">
        <v>8.3443221777135104E-2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0.45249148780952397</v>
      </c>
      <c r="CD18">
        <v>3.7883014436883098</v>
      </c>
      <c r="CE18">
        <v>0.403057660593171</v>
      </c>
      <c r="CF18">
        <v>0</v>
      </c>
      <c r="CG18">
        <v>0</v>
      </c>
      <c r="CH18">
        <v>2</v>
      </c>
      <c r="CI18" t="s">
        <v>290</v>
      </c>
      <c r="CJ18">
        <v>3.5325600000000001</v>
      </c>
      <c r="CK18">
        <v>2.7029299999999998</v>
      </c>
      <c r="CL18">
        <v>9.7760200000000005E-2</v>
      </c>
      <c r="CM18">
        <v>9.6437400000000006E-2</v>
      </c>
      <c r="CN18">
        <v>8.8673500000000002E-2</v>
      </c>
      <c r="CO18">
        <v>8.3613999999999994E-2</v>
      </c>
      <c r="CP18">
        <v>31600.6</v>
      </c>
      <c r="CQ18">
        <v>27763.7</v>
      </c>
      <c r="CR18">
        <v>32419.200000000001</v>
      </c>
      <c r="CS18">
        <v>30656.9</v>
      </c>
      <c r="CT18">
        <v>40010</v>
      </c>
      <c r="CU18">
        <v>39506</v>
      </c>
      <c r="CV18">
        <v>47351.1</v>
      </c>
      <c r="CW18">
        <v>46755.6</v>
      </c>
      <c r="CX18">
        <v>2.6108600000000002</v>
      </c>
      <c r="CY18">
        <v>2.1208999999999998</v>
      </c>
      <c r="CZ18">
        <v>0</v>
      </c>
      <c r="DA18">
        <v>0</v>
      </c>
      <c r="DB18">
        <v>999.9</v>
      </c>
      <c r="DC18">
        <v>999.9</v>
      </c>
      <c r="DD18">
        <v>67.641000000000005</v>
      </c>
      <c r="DE18">
        <v>26.757000000000001</v>
      </c>
      <c r="DF18">
        <v>23.843299999999999</v>
      </c>
      <c r="DG18">
        <v>30.49</v>
      </c>
      <c r="DH18">
        <v>16.0337</v>
      </c>
      <c r="DI18">
        <v>2</v>
      </c>
      <c r="DJ18">
        <v>-6.7884100000000003E-2</v>
      </c>
      <c r="DK18">
        <v>1.7824</v>
      </c>
      <c r="DL18">
        <v>20.222300000000001</v>
      </c>
      <c r="DM18">
        <v>5.2493999999999996</v>
      </c>
      <c r="DN18">
        <v>12.033899999999999</v>
      </c>
      <c r="DO18">
        <v>4.9672000000000001</v>
      </c>
      <c r="DP18">
        <v>3.2909999999999999</v>
      </c>
      <c r="DQ18">
        <v>536</v>
      </c>
      <c r="DR18">
        <v>9999</v>
      </c>
      <c r="DS18">
        <v>9999</v>
      </c>
      <c r="DT18">
        <v>9999</v>
      </c>
      <c r="DU18">
        <v>1.87104</v>
      </c>
      <c r="DV18">
        <v>1.8760699999999999</v>
      </c>
      <c r="DW18">
        <v>1.8762399999999999</v>
      </c>
      <c r="DX18">
        <v>1.88279</v>
      </c>
      <c r="DY18">
        <v>1.8755299999999999</v>
      </c>
      <c r="DZ18">
        <v>1.8746499999999999</v>
      </c>
      <c r="EA18">
        <v>1.8707400000000001</v>
      </c>
      <c r="EB18">
        <v>1.8746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-0.85299999999999998</v>
      </c>
      <c r="EQ18">
        <v>9.3100000000000002E-2</v>
      </c>
      <c r="ER18">
        <v>-0.85300000000006504</v>
      </c>
      <c r="ES18">
        <v>0</v>
      </c>
      <c r="ET18">
        <v>0</v>
      </c>
      <c r="EU18">
        <v>0</v>
      </c>
      <c r="EV18">
        <v>9.3120000000002506E-2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0.4</v>
      </c>
      <c r="FE18">
        <v>0.3</v>
      </c>
      <c r="FF18">
        <v>1.2365699999999999</v>
      </c>
      <c r="FG18">
        <v>2.5817899999999998</v>
      </c>
      <c r="FH18">
        <v>2.19604</v>
      </c>
      <c r="FI18">
        <v>2.66113</v>
      </c>
      <c r="FJ18">
        <v>2.4462899999999999</v>
      </c>
      <c r="FK18">
        <v>2.2961399999999998</v>
      </c>
      <c r="FL18">
        <v>31.629799999999999</v>
      </c>
      <c r="FM18">
        <v>24.148800000000001</v>
      </c>
      <c r="FN18">
        <v>19</v>
      </c>
      <c r="FO18">
        <v>864.45799999999997</v>
      </c>
      <c r="FP18">
        <v>576.33100000000002</v>
      </c>
      <c r="FQ18">
        <v>18.367999999999999</v>
      </c>
      <c r="FR18">
        <v>26.1403</v>
      </c>
      <c r="FS18">
        <v>29.999700000000001</v>
      </c>
      <c r="FT18">
        <v>26.145900000000001</v>
      </c>
      <c r="FU18">
        <v>26.141300000000001</v>
      </c>
      <c r="FV18">
        <v>24.810099999999998</v>
      </c>
      <c r="FW18">
        <v>40.759900000000002</v>
      </c>
      <c r="FX18">
        <v>51.547800000000002</v>
      </c>
      <c r="FY18">
        <v>18.385200000000001</v>
      </c>
      <c r="FZ18">
        <v>410</v>
      </c>
      <c r="GA18">
        <v>14.638199999999999</v>
      </c>
      <c r="GB18">
        <v>99.770700000000005</v>
      </c>
      <c r="GC18">
        <v>99.5304</v>
      </c>
    </row>
    <row r="19" spans="1:185" x14ac:dyDescent="0.2">
      <c r="A19">
        <v>4</v>
      </c>
      <c r="B19">
        <v>1769194617</v>
      </c>
      <c r="C19">
        <v>56</v>
      </c>
      <c r="D19" t="s">
        <v>300</v>
      </c>
      <c r="E19" t="s">
        <v>301</v>
      </c>
      <c r="F19">
        <v>15</v>
      </c>
      <c r="G19">
        <v>1769194608.9333301</v>
      </c>
      <c r="H19">
        <f t="shared" si="0"/>
        <v>8.6247335374861666E-4</v>
      </c>
      <c r="I19">
        <v>0</v>
      </c>
      <c r="J19">
        <f t="shared" si="12"/>
        <v>-4.2246491892664554E-3</v>
      </c>
      <c r="K19">
        <f t="shared" si="1"/>
        <v>-0.15742655820049162</v>
      </c>
      <c r="L19">
        <f t="shared" si="2"/>
        <v>71.734524534932248</v>
      </c>
      <c r="M19">
        <f t="shared" si="3"/>
        <v>1.5773668771150855</v>
      </c>
      <c r="N19">
        <f t="shared" si="4"/>
        <v>2.1988950053568166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26251.383095855079</v>
      </c>
      <c r="T19">
        <f t="shared" si="8"/>
        <v>300.00126666666699</v>
      </c>
      <c r="U19">
        <f t="shared" si="9"/>
        <v>252.90073215858314</v>
      </c>
      <c r="V19">
        <f t="shared" si="10"/>
        <v>0.84299888119999999</v>
      </c>
      <c r="W19">
        <f t="shared" si="11"/>
        <v>0.15869702111199999</v>
      </c>
      <c r="X19">
        <v>1</v>
      </c>
      <c r="Y19">
        <v>1769194608.9333301</v>
      </c>
      <c r="Z19">
        <v>409.78120000000001</v>
      </c>
      <c r="AA19">
        <v>410.02620000000002</v>
      </c>
      <c r="AB19">
        <v>15.748333333333299</v>
      </c>
      <c r="AC19">
        <v>14.6872133333333</v>
      </c>
      <c r="AD19">
        <v>410.63420000000002</v>
      </c>
      <c r="AE19">
        <v>15.655226666666699</v>
      </c>
      <c r="AF19">
        <v>799.995133333333</v>
      </c>
      <c r="AG19">
        <v>100.0956</v>
      </c>
      <c r="AH19">
        <v>6.5276946666666696E-2</v>
      </c>
      <c r="AI19">
        <v>18.954266666666701</v>
      </c>
      <c r="AJ19">
        <v>999.9</v>
      </c>
      <c r="AK19">
        <v>999.9</v>
      </c>
      <c r="AL19">
        <v>0</v>
      </c>
      <c r="AM19">
        <v>0</v>
      </c>
      <c r="AN19">
        <v>5000</v>
      </c>
      <c r="AO19">
        <v>0</v>
      </c>
      <c r="AP19">
        <v>1.6937899999999999</v>
      </c>
      <c r="AQ19">
        <v>-0.24494433333333299</v>
      </c>
      <c r="AR19">
        <v>416.33780000000002</v>
      </c>
      <c r="AS19">
        <v>416.13806666666699</v>
      </c>
      <c r="AT19">
        <v>1.0611287333333299</v>
      </c>
      <c r="AU19">
        <v>410.02620000000002</v>
      </c>
      <c r="AV19">
        <v>14.6872133333333</v>
      </c>
      <c r="AW19">
        <v>1.57634133333333</v>
      </c>
      <c r="AX19">
        <v>1.4701266666666699</v>
      </c>
      <c r="AY19">
        <v>13.7294066666667</v>
      </c>
      <c r="AZ19">
        <v>12.6607533333333</v>
      </c>
      <c r="BA19">
        <v>300.00126666666699</v>
      </c>
      <c r="BB19">
        <v>0.90003999999999995</v>
      </c>
      <c r="BC19">
        <v>0</v>
      </c>
      <c r="BD19">
        <v>9.9960093333333305E-2</v>
      </c>
      <c r="BE19">
        <v>0</v>
      </c>
      <c r="BF19">
        <v>24</v>
      </c>
      <c r="BG19">
        <v>4946.7133333333304</v>
      </c>
      <c r="BH19">
        <v>1769194585</v>
      </c>
      <c r="BI19" t="s">
        <v>289</v>
      </c>
      <c r="BJ19">
        <v>1769194579</v>
      </c>
      <c r="BK19">
        <v>1769194585</v>
      </c>
      <c r="BL19">
        <v>1</v>
      </c>
      <c r="BM19">
        <v>2.3E-2</v>
      </c>
      <c r="BN19">
        <v>3.0000000000000001E-3</v>
      </c>
      <c r="BO19">
        <v>-0.85299999999999998</v>
      </c>
      <c r="BP19">
        <v>9.2999999999999999E-2</v>
      </c>
      <c r="BQ19">
        <v>410</v>
      </c>
      <c r="BR19">
        <v>15</v>
      </c>
      <c r="BS19">
        <v>0.28000000000000003</v>
      </c>
      <c r="BT19">
        <v>0.05</v>
      </c>
      <c r="BU19">
        <v>-0.236084047619048</v>
      </c>
      <c r="BV19">
        <v>-0.31121945454545502</v>
      </c>
      <c r="BW19">
        <v>4.2015622792204103E-2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1.0236758095238101</v>
      </c>
      <c r="CD19">
        <v>0.71943381818181895</v>
      </c>
      <c r="CE19">
        <v>7.3272186046677706E-2</v>
      </c>
      <c r="CF19">
        <v>0</v>
      </c>
      <c r="CG19">
        <v>1</v>
      </c>
      <c r="CH19">
        <v>2</v>
      </c>
      <c r="CI19" t="s">
        <v>297</v>
      </c>
      <c r="CJ19">
        <v>3.53261</v>
      </c>
      <c r="CK19">
        <v>2.7031499999999999</v>
      </c>
      <c r="CL19">
        <v>9.7751299999999999E-2</v>
      </c>
      <c r="CM19">
        <v>9.64362E-2</v>
      </c>
      <c r="CN19">
        <v>8.8184999999999999E-2</v>
      </c>
      <c r="CO19">
        <v>8.2477999999999996E-2</v>
      </c>
      <c r="CP19">
        <v>31602</v>
      </c>
      <c r="CQ19">
        <v>27764.6</v>
      </c>
      <c r="CR19">
        <v>32420.2</v>
      </c>
      <c r="CS19">
        <v>30657.8</v>
      </c>
      <c r="CT19">
        <v>40033.5</v>
      </c>
      <c r="CU19">
        <v>39557.300000000003</v>
      </c>
      <c r="CV19">
        <v>47352.7</v>
      </c>
      <c r="CW19">
        <v>46756.800000000003</v>
      </c>
      <c r="CX19">
        <v>2.6127199999999999</v>
      </c>
      <c r="CY19">
        <v>2.1215600000000001</v>
      </c>
      <c r="CZ19">
        <v>0</v>
      </c>
      <c r="DA19">
        <v>0</v>
      </c>
      <c r="DB19">
        <v>999.9</v>
      </c>
      <c r="DC19">
        <v>999.9</v>
      </c>
      <c r="DD19">
        <v>67.495000000000005</v>
      </c>
      <c r="DE19">
        <v>26.766999999999999</v>
      </c>
      <c r="DF19">
        <v>23.805199999999999</v>
      </c>
      <c r="DG19">
        <v>30.58</v>
      </c>
      <c r="DH19">
        <v>16.093800000000002</v>
      </c>
      <c r="DI19">
        <v>2</v>
      </c>
      <c r="DJ19">
        <v>-6.8684999999999996E-2</v>
      </c>
      <c r="DK19">
        <v>1.7855099999999999</v>
      </c>
      <c r="DL19">
        <v>20.221900000000002</v>
      </c>
      <c r="DM19">
        <v>5.2476000000000003</v>
      </c>
      <c r="DN19">
        <v>12.033899999999999</v>
      </c>
      <c r="DO19">
        <v>4.9670800000000002</v>
      </c>
      <c r="DP19">
        <v>3.2908400000000002</v>
      </c>
      <c r="DQ19">
        <v>536</v>
      </c>
      <c r="DR19">
        <v>9999</v>
      </c>
      <c r="DS19">
        <v>9999</v>
      </c>
      <c r="DT19">
        <v>9999</v>
      </c>
      <c r="DU19">
        <v>1.87103</v>
      </c>
      <c r="DV19">
        <v>1.8760699999999999</v>
      </c>
      <c r="DW19">
        <v>1.8762399999999999</v>
      </c>
      <c r="DX19">
        <v>1.8827799999999999</v>
      </c>
      <c r="DY19">
        <v>1.87557</v>
      </c>
      <c r="DZ19">
        <v>1.8746499999999999</v>
      </c>
      <c r="EA19">
        <v>1.87076</v>
      </c>
      <c r="EB19">
        <v>1.87456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-0.85299999999999998</v>
      </c>
      <c r="EQ19">
        <v>9.3100000000000002E-2</v>
      </c>
      <c r="ER19">
        <v>-0.85300000000006504</v>
      </c>
      <c r="ES19">
        <v>0</v>
      </c>
      <c r="ET19">
        <v>0</v>
      </c>
      <c r="EU19">
        <v>0</v>
      </c>
      <c r="EV19">
        <v>9.3120000000002506E-2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1.2353499999999999</v>
      </c>
      <c r="FG19">
        <v>2.5830099999999998</v>
      </c>
      <c r="FH19">
        <v>2.19604</v>
      </c>
      <c r="FI19">
        <v>2.66113</v>
      </c>
      <c r="FJ19">
        <v>2.4462899999999999</v>
      </c>
      <c r="FK19">
        <v>2.2863799999999999</v>
      </c>
      <c r="FL19">
        <v>31.629799999999999</v>
      </c>
      <c r="FM19">
        <v>24.148800000000001</v>
      </c>
      <c r="FN19">
        <v>19</v>
      </c>
      <c r="FO19">
        <v>866.02599999999995</v>
      </c>
      <c r="FP19">
        <v>576.73299999999995</v>
      </c>
      <c r="FQ19">
        <v>18.491299999999999</v>
      </c>
      <c r="FR19">
        <v>26.127500000000001</v>
      </c>
      <c r="FS19">
        <v>29.9998</v>
      </c>
      <c r="FT19">
        <v>26.135400000000001</v>
      </c>
      <c r="FU19">
        <v>26.131699999999999</v>
      </c>
      <c r="FV19">
        <v>24.809000000000001</v>
      </c>
      <c r="FW19">
        <v>41.354300000000002</v>
      </c>
      <c r="FX19">
        <v>50.784799999999997</v>
      </c>
      <c r="FY19">
        <v>18.496200000000002</v>
      </c>
      <c r="FZ19">
        <v>410</v>
      </c>
      <c r="GA19">
        <v>14.4473</v>
      </c>
      <c r="GB19">
        <v>99.774000000000001</v>
      </c>
      <c r="GC19">
        <v>99.533000000000001</v>
      </c>
    </row>
    <row r="20" spans="1:185" x14ac:dyDescent="0.2">
      <c r="A20">
        <v>5</v>
      </c>
      <c r="B20">
        <v>1769194632</v>
      </c>
      <c r="C20">
        <v>71</v>
      </c>
      <c r="D20" t="s">
        <v>302</v>
      </c>
      <c r="E20" t="s">
        <v>303</v>
      </c>
      <c r="F20">
        <v>15</v>
      </c>
      <c r="G20">
        <v>1769194623.9333301</v>
      </c>
      <c r="H20">
        <f t="shared" si="0"/>
        <v>9.1543555480817556E-4</v>
      </c>
      <c r="I20">
        <v>0</v>
      </c>
      <c r="J20">
        <f t="shared" si="12"/>
        <v>-4.0471558630370006E-3</v>
      </c>
      <c r="K20">
        <f t="shared" si="1"/>
        <v>-0.15081247920835833</v>
      </c>
      <c r="L20">
        <f t="shared" si="2"/>
        <v>70.962157463906493</v>
      </c>
      <c r="M20">
        <f t="shared" si="3"/>
        <v>1.5639793184961497</v>
      </c>
      <c r="N20">
        <f t="shared" si="4"/>
        <v>2.2039624701259077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26264.618594510001</v>
      </c>
      <c r="T20">
        <f t="shared" si="8"/>
        <v>300.000133333333</v>
      </c>
      <c r="U20">
        <f t="shared" si="9"/>
        <v>252.89978767985551</v>
      </c>
      <c r="V20">
        <f t="shared" si="10"/>
        <v>0.84299891760000034</v>
      </c>
      <c r="W20">
        <f t="shared" si="11"/>
        <v>0.15869726801600006</v>
      </c>
      <c r="X20">
        <v>1</v>
      </c>
      <c r="Y20">
        <v>1769194623.9333301</v>
      </c>
      <c r="Z20">
        <v>409.73046666666698</v>
      </c>
      <c r="AA20">
        <v>410.01080000000002</v>
      </c>
      <c r="AB20">
        <v>15.614506666666699</v>
      </c>
      <c r="AC20">
        <v>14.4880933333333</v>
      </c>
      <c r="AD20">
        <v>410.58346666666699</v>
      </c>
      <c r="AE20">
        <v>15.5214</v>
      </c>
      <c r="AF20">
        <v>800.00959999999998</v>
      </c>
      <c r="AG20">
        <v>100.09699999999999</v>
      </c>
      <c r="AH20">
        <v>6.4942473333333306E-2</v>
      </c>
      <c r="AI20">
        <v>18.991146666666701</v>
      </c>
      <c r="AJ20">
        <v>999.9</v>
      </c>
      <c r="AK20">
        <v>999.9</v>
      </c>
      <c r="AL20">
        <v>0</v>
      </c>
      <c r="AM20">
        <v>0</v>
      </c>
      <c r="AN20">
        <v>5002.6666666666697</v>
      </c>
      <c r="AO20">
        <v>0</v>
      </c>
      <c r="AP20">
        <v>1.6937899999999999</v>
      </c>
      <c r="AQ20">
        <v>-0.28037313333333302</v>
      </c>
      <c r="AR20">
        <v>416.2296</v>
      </c>
      <c r="AS20">
        <v>416.03833333333301</v>
      </c>
      <c r="AT20">
        <v>1.12643</v>
      </c>
      <c r="AU20">
        <v>410.01080000000002</v>
      </c>
      <c r="AV20">
        <v>14.4880933333333</v>
      </c>
      <c r="AW20">
        <v>1.5629666666666699</v>
      </c>
      <c r="AX20">
        <v>1.45021466666667</v>
      </c>
      <c r="AY20">
        <v>13.598413333333299</v>
      </c>
      <c r="AZ20">
        <v>12.4530866666667</v>
      </c>
      <c r="BA20">
        <v>300.000133333333</v>
      </c>
      <c r="BB20">
        <v>0.90003646666666703</v>
      </c>
      <c r="BC20">
        <v>0</v>
      </c>
      <c r="BD20">
        <v>9.9963546666666694E-2</v>
      </c>
      <c r="BE20">
        <v>0</v>
      </c>
      <c r="BF20">
        <v>24</v>
      </c>
      <c r="BG20">
        <v>4946.6886666666696</v>
      </c>
      <c r="BH20">
        <v>1769194585</v>
      </c>
      <c r="BI20" t="s">
        <v>289</v>
      </c>
      <c r="BJ20">
        <v>1769194579</v>
      </c>
      <c r="BK20">
        <v>1769194585</v>
      </c>
      <c r="BL20">
        <v>1</v>
      </c>
      <c r="BM20">
        <v>2.3E-2</v>
      </c>
      <c r="BN20">
        <v>3.0000000000000001E-3</v>
      </c>
      <c r="BO20">
        <v>-0.85299999999999998</v>
      </c>
      <c r="BP20">
        <v>9.2999999999999999E-2</v>
      </c>
      <c r="BQ20">
        <v>410</v>
      </c>
      <c r="BR20">
        <v>15</v>
      </c>
      <c r="BS20">
        <v>0.28000000000000003</v>
      </c>
      <c r="BT20">
        <v>0.05</v>
      </c>
      <c r="BU20">
        <v>-0.279212666666667</v>
      </c>
      <c r="BV20">
        <v>-8.0877818181818301E-2</v>
      </c>
      <c r="BW20">
        <v>3.0454492387875599E-2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1.12057904761905</v>
      </c>
      <c r="CD20">
        <v>4.8085714285712997E-2</v>
      </c>
      <c r="CE20">
        <v>2.0057712423514298E-2</v>
      </c>
      <c r="CF20">
        <v>1</v>
      </c>
      <c r="CG20">
        <v>2</v>
      </c>
      <c r="CH20">
        <v>2</v>
      </c>
      <c r="CI20" t="s">
        <v>304</v>
      </c>
      <c r="CJ20">
        <v>3.5325000000000002</v>
      </c>
      <c r="CK20">
        <v>2.7025600000000001</v>
      </c>
      <c r="CL20">
        <v>9.7742300000000004E-2</v>
      </c>
      <c r="CM20">
        <v>9.6435800000000002E-2</v>
      </c>
      <c r="CN20">
        <v>8.7591000000000002E-2</v>
      </c>
      <c r="CO20">
        <v>8.2094899999999998E-2</v>
      </c>
      <c r="CP20">
        <v>31603.1</v>
      </c>
      <c r="CQ20">
        <v>27765.9</v>
      </c>
      <c r="CR20">
        <v>32421</v>
      </c>
      <c r="CS20">
        <v>30659.200000000001</v>
      </c>
      <c r="CT20">
        <v>40061.199999999997</v>
      </c>
      <c r="CU20">
        <v>39576.1</v>
      </c>
      <c r="CV20">
        <v>47353.7</v>
      </c>
      <c r="CW20">
        <v>46759</v>
      </c>
      <c r="CX20">
        <v>2.6135199999999998</v>
      </c>
      <c r="CY20">
        <v>2.1220599999999998</v>
      </c>
      <c r="CZ20">
        <v>0</v>
      </c>
      <c r="DA20">
        <v>0</v>
      </c>
      <c r="DB20">
        <v>999.9</v>
      </c>
      <c r="DC20">
        <v>999.9</v>
      </c>
      <c r="DD20">
        <v>67.335999999999999</v>
      </c>
      <c r="DE20">
        <v>26.777999999999999</v>
      </c>
      <c r="DF20">
        <v>23.764700000000001</v>
      </c>
      <c r="DG20">
        <v>30.31</v>
      </c>
      <c r="DH20">
        <v>16.149799999999999</v>
      </c>
      <c r="DI20">
        <v>2</v>
      </c>
      <c r="DJ20">
        <v>-6.9597599999999996E-2</v>
      </c>
      <c r="DK20">
        <v>1.86052</v>
      </c>
      <c r="DL20">
        <v>20.220600000000001</v>
      </c>
      <c r="DM20">
        <v>5.2466400000000002</v>
      </c>
      <c r="DN20">
        <v>12.033899999999999</v>
      </c>
      <c r="DO20">
        <v>4.96692</v>
      </c>
      <c r="DP20">
        <v>3.2906399999999998</v>
      </c>
      <c r="DQ20">
        <v>536</v>
      </c>
      <c r="DR20">
        <v>9999</v>
      </c>
      <c r="DS20">
        <v>9999</v>
      </c>
      <c r="DT20">
        <v>9999</v>
      </c>
      <c r="DU20">
        <v>1.87103</v>
      </c>
      <c r="DV20">
        <v>1.8760699999999999</v>
      </c>
      <c r="DW20">
        <v>1.87626</v>
      </c>
      <c r="DX20">
        <v>1.8827799999999999</v>
      </c>
      <c r="DY20">
        <v>1.87557</v>
      </c>
      <c r="DZ20">
        <v>1.87463</v>
      </c>
      <c r="EA20">
        <v>1.8707499999999999</v>
      </c>
      <c r="EB20">
        <v>1.87456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-0.85299999999999998</v>
      </c>
      <c r="EQ20">
        <v>9.3200000000000005E-2</v>
      </c>
      <c r="ER20">
        <v>-0.85300000000006504</v>
      </c>
      <c r="ES20">
        <v>0</v>
      </c>
      <c r="ET20">
        <v>0</v>
      </c>
      <c r="EU20">
        <v>0</v>
      </c>
      <c r="EV20">
        <v>9.3120000000002506E-2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0.9</v>
      </c>
      <c r="FE20">
        <v>0.8</v>
      </c>
      <c r="FF20">
        <v>1.2353499999999999</v>
      </c>
      <c r="FG20">
        <v>2.5756800000000002</v>
      </c>
      <c r="FH20">
        <v>2.19604</v>
      </c>
      <c r="FI20">
        <v>2.66113</v>
      </c>
      <c r="FJ20">
        <v>2.4462899999999999</v>
      </c>
      <c r="FK20">
        <v>2.2973599999999998</v>
      </c>
      <c r="FL20">
        <v>31.629799999999999</v>
      </c>
      <c r="FM20">
        <v>24.148800000000001</v>
      </c>
      <c r="FN20">
        <v>19</v>
      </c>
      <c r="FO20">
        <v>866.60500000000002</v>
      </c>
      <c r="FP20">
        <v>577.005</v>
      </c>
      <c r="FQ20">
        <v>18.535699999999999</v>
      </c>
      <c r="FR20">
        <v>26.113299999999999</v>
      </c>
      <c r="FS20">
        <v>29.9998</v>
      </c>
      <c r="FT20">
        <v>26.1248</v>
      </c>
      <c r="FU20">
        <v>26.121600000000001</v>
      </c>
      <c r="FV20">
        <v>24.8062</v>
      </c>
      <c r="FW20">
        <v>41.354300000000002</v>
      </c>
      <c r="FX20">
        <v>50.009900000000002</v>
      </c>
      <c r="FY20">
        <v>18.530200000000001</v>
      </c>
      <c r="FZ20">
        <v>410</v>
      </c>
      <c r="GA20">
        <v>14.465199999999999</v>
      </c>
      <c r="GB20">
        <v>99.776300000000006</v>
      </c>
      <c r="GC20">
        <v>99.537599999999998</v>
      </c>
    </row>
    <row r="21" spans="1:185" x14ac:dyDescent="0.2">
      <c r="A21">
        <v>6</v>
      </c>
      <c r="B21">
        <v>1769194647</v>
      </c>
      <c r="C21">
        <v>86</v>
      </c>
      <c r="D21" t="s">
        <v>305</v>
      </c>
      <c r="E21" t="s">
        <v>306</v>
      </c>
      <c r="F21">
        <v>15</v>
      </c>
      <c r="G21">
        <v>1769194638.9333301</v>
      </c>
      <c r="H21">
        <f t="shared" si="0"/>
        <v>8.7478409620046673E-4</v>
      </c>
      <c r="I21">
        <v>0</v>
      </c>
      <c r="J21">
        <f t="shared" si="12"/>
        <v>-3.2950454191549277E-3</v>
      </c>
      <c r="K21">
        <f t="shared" si="1"/>
        <v>-0.1227859725654346</v>
      </c>
      <c r="L21">
        <f t="shared" si="2"/>
        <v>70.335780141424692</v>
      </c>
      <c r="M21">
        <f t="shared" si="3"/>
        <v>1.5523883905193745</v>
      </c>
      <c r="N21">
        <f t="shared" si="4"/>
        <v>2.2071105025038116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26248.771044411049</v>
      </c>
      <c r="T21">
        <f t="shared" si="8"/>
        <v>300.00073333333302</v>
      </c>
      <c r="U21">
        <f t="shared" si="9"/>
        <v>252.90031531925933</v>
      </c>
      <c r="V21">
        <f t="shared" si="10"/>
        <v>0.84299899039999993</v>
      </c>
      <c r="W21">
        <f t="shared" si="11"/>
        <v>0.158697372064</v>
      </c>
      <c r="X21">
        <v>1</v>
      </c>
      <c r="Y21">
        <v>1769194638.9333301</v>
      </c>
      <c r="Z21">
        <v>409.71699999999998</v>
      </c>
      <c r="AA21">
        <v>410.01153333333298</v>
      </c>
      <c r="AB21">
        <v>15.4987933333333</v>
      </c>
      <c r="AC21">
        <v>14.422266666666699</v>
      </c>
      <c r="AD21">
        <v>410.57</v>
      </c>
      <c r="AE21">
        <v>15.40568</v>
      </c>
      <c r="AF21">
        <v>800.00433333333297</v>
      </c>
      <c r="AG21">
        <v>100.096866666667</v>
      </c>
      <c r="AH21">
        <v>6.5020593333333307E-2</v>
      </c>
      <c r="AI21">
        <v>19.014019999999999</v>
      </c>
      <c r="AJ21">
        <v>999.9</v>
      </c>
      <c r="AK21">
        <v>999.9</v>
      </c>
      <c r="AL21">
        <v>0</v>
      </c>
      <c r="AM21">
        <v>0</v>
      </c>
      <c r="AN21">
        <v>5000.3999999999996</v>
      </c>
      <c r="AO21">
        <v>0</v>
      </c>
      <c r="AP21">
        <v>1.6937899999999999</v>
      </c>
      <c r="AQ21">
        <v>-0.29455366666666699</v>
      </c>
      <c r="AR21">
        <v>416.16719999999998</v>
      </c>
      <c r="AS21">
        <v>416.01139999999998</v>
      </c>
      <c r="AT21">
        <v>1.0765279999999999</v>
      </c>
      <c r="AU21">
        <v>410.01153333333298</v>
      </c>
      <c r="AV21">
        <v>14.422266666666699</v>
      </c>
      <c r="AW21">
        <v>1.5513826666666699</v>
      </c>
      <c r="AX21">
        <v>1.443624</v>
      </c>
      <c r="AY21">
        <v>13.484159999999999</v>
      </c>
      <c r="AZ21">
        <v>12.38378</v>
      </c>
      <c r="BA21">
        <v>300.00073333333302</v>
      </c>
      <c r="BB21">
        <v>0.90003520000000004</v>
      </c>
      <c r="BC21">
        <v>0</v>
      </c>
      <c r="BD21">
        <v>9.9964853333333298E-2</v>
      </c>
      <c r="BE21">
        <v>0</v>
      </c>
      <c r="BF21">
        <v>24</v>
      </c>
      <c r="BG21">
        <v>4946.6966666666704</v>
      </c>
      <c r="BH21">
        <v>1769194585</v>
      </c>
      <c r="BI21" t="s">
        <v>289</v>
      </c>
      <c r="BJ21">
        <v>1769194579</v>
      </c>
      <c r="BK21">
        <v>1769194585</v>
      </c>
      <c r="BL21">
        <v>1</v>
      </c>
      <c r="BM21">
        <v>2.3E-2</v>
      </c>
      <c r="BN21">
        <v>3.0000000000000001E-3</v>
      </c>
      <c r="BO21">
        <v>-0.85299999999999998</v>
      </c>
      <c r="BP21">
        <v>9.2999999999999999E-2</v>
      </c>
      <c r="BQ21">
        <v>410</v>
      </c>
      <c r="BR21">
        <v>15</v>
      </c>
      <c r="BS21">
        <v>0.28000000000000003</v>
      </c>
      <c r="BT21">
        <v>0.05</v>
      </c>
      <c r="BU21">
        <v>-0.29450389999999999</v>
      </c>
      <c r="BV21">
        <v>-6.15421353383463E-2</v>
      </c>
      <c r="BW21">
        <v>1.5803445475275301E-2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1.087264</v>
      </c>
      <c r="CD21">
        <v>-0.183299548872181</v>
      </c>
      <c r="CE21">
        <v>1.7856902138948999E-2</v>
      </c>
      <c r="CF21">
        <v>0</v>
      </c>
      <c r="CG21">
        <v>1</v>
      </c>
      <c r="CH21">
        <v>2</v>
      </c>
      <c r="CI21" t="s">
        <v>297</v>
      </c>
      <c r="CJ21">
        <v>3.5325700000000002</v>
      </c>
      <c r="CK21">
        <v>2.7028799999999999</v>
      </c>
      <c r="CL21">
        <v>9.77523E-2</v>
      </c>
      <c r="CM21">
        <v>9.6437899999999993E-2</v>
      </c>
      <c r="CN21">
        <v>8.7159299999999995E-2</v>
      </c>
      <c r="CO21">
        <v>8.1850800000000001E-2</v>
      </c>
      <c r="CP21">
        <v>31603.3</v>
      </c>
      <c r="CQ21">
        <v>27766.2</v>
      </c>
      <c r="CR21">
        <v>32421.5</v>
      </c>
      <c r="CS21">
        <v>30659.5</v>
      </c>
      <c r="CT21">
        <v>40081.300000000003</v>
      </c>
      <c r="CU21">
        <v>39587.5</v>
      </c>
      <c r="CV21">
        <v>47354.5</v>
      </c>
      <c r="CW21">
        <v>46759.7</v>
      </c>
      <c r="CX21">
        <v>2.6137199999999998</v>
      </c>
      <c r="CY21">
        <v>2.1217800000000002</v>
      </c>
      <c r="CZ21">
        <v>0</v>
      </c>
      <c r="DA21">
        <v>0</v>
      </c>
      <c r="DB21">
        <v>999.9</v>
      </c>
      <c r="DC21">
        <v>999.9</v>
      </c>
      <c r="DD21">
        <v>67.122</v>
      </c>
      <c r="DE21">
        <v>26.797999999999998</v>
      </c>
      <c r="DF21">
        <v>23.7195</v>
      </c>
      <c r="DG21">
        <v>30.37</v>
      </c>
      <c r="DH21">
        <v>16.113800000000001</v>
      </c>
      <c r="DI21">
        <v>2</v>
      </c>
      <c r="DJ21">
        <v>-6.6597600000000007E-2</v>
      </c>
      <c r="DK21">
        <v>2.7913299999999999</v>
      </c>
      <c r="DL21">
        <v>20.205200000000001</v>
      </c>
      <c r="DM21">
        <v>5.2495200000000004</v>
      </c>
      <c r="DN21">
        <v>12.033899999999999</v>
      </c>
      <c r="DO21">
        <v>4.96732</v>
      </c>
      <c r="DP21">
        <v>3.2909999999999999</v>
      </c>
      <c r="DQ21">
        <v>536</v>
      </c>
      <c r="DR21">
        <v>9999</v>
      </c>
      <c r="DS21">
        <v>9999</v>
      </c>
      <c r="DT21">
        <v>9999</v>
      </c>
      <c r="DU21">
        <v>1.87103</v>
      </c>
      <c r="DV21">
        <v>1.8760699999999999</v>
      </c>
      <c r="DW21">
        <v>1.8762300000000001</v>
      </c>
      <c r="DX21">
        <v>1.8827799999999999</v>
      </c>
      <c r="DY21">
        <v>1.87551</v>
      </c>
      <c r="DZ21">
        <v>1.87462</v>
      </c>
      <c r="EA21">
        <v>1.8707400000000001</v>
      </c>
      <c r="EB21">
        <v>1.8745499999999999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-0.85299999999999998</v>
      </c>
      <c r="EQ21">
        <v>9.3100000000000002E-2</v>
      </c>
      <c r="ER21">
        <v>-0.85300000000006504</v>
      </c>
      <c r="ES21">
        <v>0</v>
      </c>
      <c r="ET21">
        <v>0</v>
      </c>
      <c r="EU21">
        <v>0</v>
      </c>
      <c r="EV21">
        <v>9.3120000000002506E-2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1.2353499999999999</v>
      </c>
      <c r="FG21">
        <v>2.5817899999999998</v>
      </c>
      <c r="FH21">
        <v>2.19604</v>
      </c>
      <c r="FI21">
        <v>2.66113</v>
      </c>
      <c r="FJ21">
        <v>2.4462899999999999</v>
      </c>
      <c r="FK21">
        <v>2.2851599999999999</v>
      </c>
      <c r="FL21">
        <v>31.651700000000002</v>
      </c>
      <c r="FM21">
        <v>24.148800000000001</v>
      </c>
      <c r="FN21">
        <v>19</v>
      </c>
      <c r="FO21">
        <v>866.60199999999998</v>
      </c>
      <c r="FP21">
        <v>576.66</v>
      </c>
      <c r="FQ21">
        <v>17.934899999999999</v>
      </c>
      <c r="FR21">
        <v>26.095700000000001</v>
      </c>
      <c r="FS21">
        <v>29.999099999999999</v>
      </c>
      <c r="FT21">
        <v>26.1128</v>
      </c>
      <c r="FU21">
        <v>26.1097</v>
      </c>
      <c r="FV21">
        <v>24.8065</v>
      </c>
      <c r="FW21">
        <v>41.354300000000002</v>
      </c>
      <c r="FX21">
        <v>49.249699999999997</v>
      </c>
      <c r="FY21">
        <v>17.982099999999999</v>
      </c>
      <c r="FZ21">
        <v>410</v>
      </c>
      <c r="GA21">
        <v>14.4979</v>
      </c>
      <c r="GB21">
        <v>99.777900000000002</v>
      </c>
      <c r="GC21">
        <v>99.538899999999998</v>
      </c>
    </row>
    <row r="22" spans="1:185" x14ac:dyDescent="0.2">
      <c r="A22">
        <v>7</v>
      </c>
      <c r="B22">
        <v>1769194662</v>
      </c>
      <c r="C22">
        <v>101</v>
      </c>
      <c r="D22" t="s">
        <v>307</v>
      </c>
      <c r="E22" t="s">
        <v>308</v>
      </c>
      <c r="F22">
        <v>15</v>
      </c>
      <c r="G22">
        <v>1769194653.9333301</v>
      </c>
      <c r="H22">
        <f t="shared" si="0"/>
        <v>8.1727490441763063E-4</v>
      </c>
      <c r="I22">
        <v>0</v>
      </c>
      <c r="J22">
        <f t="shared" si="12"/>
        <v>-3.0372673317517534E-3</v>
      </c>
      <c r="K22">
        <f t="shared" si="1"/>
        <v>-0.11318017685049299</v>
      </c>
      <c r="L22">
        <f t="shared" si="2"/>
        <v>70.081245109985161</v>
      </c>
      <c r="M22">
        <f t="shared" si="3"/>
        <v>1.5439848005643362</v>
      </c>
      <c r="N22">
        <f t="shared" si="4"/>
        <v>2.2031355152740426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26227.305970705838</v>
      </c>
      <c r="T22">
        <f t="shared" si="8"/>
        <v>299.99973333333298</v>
      </c>
      <c r="U22">
        <f t="shared" si="9"/>
        <v>252.89954486020437</v>
      </c>
      <c r="V22">
        <f t="shared" si="10"/>
        <v>0.84299923219999973</v>
      </c>
      <c r="W22">
        <f t="shared" si="11"/>
        <v>0.15869796357199997</v>
      </c>
      <c r="X22">
        <v>1</v>
      </c>
      <c r="Y22">
        <v>1769194653.9333301</v>
      </c>
      <c r="Z22">
        <v>409.69673333333299</v>
      </c>
      <c r="AA22">
        <v>409.97379999999998</v>
      </c>
      <c r="AB22">
        <v>15.4146533333333</v>
      </c>
      <c r="AC22">
        <v>14.408813333333301</v>
      </c>
      <c r="AD22">
        <v>410.54973333333299</v>
      </c>
      <c r="AE22">
        <v>15.321533333333299</v>
      </c>
      <c r="AF22">
        <v>800.004866666667</v>
      </c>
      <c r="AG22">
        <v>100.09846666666699</v>
      </c>
      <c r="AH22">
        <v>6.4979579999999995E-2</v>
      </c>
      <c r="AI22">
        <v>18.985133333333302</v>
      </c>
      <c r="AJ22">
        <v>999.9</v>
      </c>
      <c r="AK22">
        <v>999.9</v>
      </c>
      <c r="AL22">
        <v>0</v>
      </c>
      <c r="AM22">
        <v>0</v>
      </c>
      <c r="AN22">
        <v>4996.3666666666704</v>
      </c>
      <c r="AO22">
        <v>0</v>
      </c>
      <c r="AP22">
        <v>1.6937899999999999</v>
      </c>
      <c r="AQ22">
        <v>-0.27703860000000002</v>
      </c>
      <c r="AR22">
        <v>416.111066666667</v>
      </c>
      <c r="AS22">
        <v>415.9674</v>
      </c>
      <c r="AT22">
        <v>1.00583633333333</v>
      </c>
      <c r="AU22">
        <v>409.97379999999998</v>
      </c>
      <c r="AV22">
        <v>14.408813333333301</v>
      </c>
      <c r="AW22">
        <v>1.54298466666667</v>
      </c>
      <c r="AX22">
        <v>1.4423026666666701</v>
      </c>
      <c r="AY22">
        <v>13.4008933333333</v>
      </c>
      <c r="AZ22">
        <v>12.369806666666699</v>
      </c>
      <c r="BA22">
        <v>299.99973333333298</v>
      </c>
      <c r="BB22">
        <v>0.90002733333333296</v>
      </c>
      <c r="BC22">
        <v>0</v>
      </c>
      <c r="BD22">
        <v>9.9972726666666706E-2</v>
      </c>
      <c r="BE22">
        <v>0</v>
      </c>
      <c r="BF22">
        <v>24</v>
      </c>
      <c r="BG22">
        <v>4946.67133333333</v>
      </c>
      <c r="BH22">
        <v>1769194585</v>
      </c>
      <c r="BI22" t="s">
        <v>289</v>
      </c>
      <c r="BJ22">
        <v>1769194579</v>
      </c>
      <c r="BK22">
        <v>1769194585</v>
      </c>
      <c r="BL22">
        <v>1</v>
      </c>
      <c r="BM22">
        <v>2.3E-2</v>
      </c>
      <c r="BN22">
        <v>3.0000000000000001E-3</v>
      </c>
      <c r="BO22">
        <v>-0.85299999999999998</v>
      </c>
      <c r="BP22">
        <v>9.2999999999999999E-2</v>
      </c>
      <c r="BQ22">
        <v>410</v>
      </c>
      <c r="BR22">
        <v>15</v>
      </c>
      <c r="BS22">
        <v>0.28000000000000003</v>
      </c>
      <c r="BT22">
        <v>0.05</v>
      </c>
      <c r="BU22">
        <v>-0.28253176190476198</v>
      </c>
      <c r="BV22">
        <v>9.3989844155844604E-2</v>
      </c>
      <c r="BW22">
        <v>2.2661883198140598E-2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1.02850004761905</v>
      </c>
      <c r="CD22">
        <v>-0.36064628571428498</v>
      </c>
      <c r="CE22">
        <v>3.8884241215465298E-2</v>
      </c>
      <c r="CF22">
        <v>0</v>
      </c>
      <c r="CG22">
        <v>1</v>
      </c>
      <c r="CH22">
        <v>2</v>
      </c>
      <c r="CI22" t="s">
        <v>297</v>
      </c>
      <c r="CJ22">
        <v>3.5325299999999999</v>
      </c>
      <c r="CK22">
        <v>2.7031399999999999</v>
      </c>
      <c r="CL22">
        <v>9.7742399999999993E-2</v>
      </c>
      <c r="CM22">
        <v>9.6433599999999994E-2</v>
      </c>
      <c r="CN22">
        <v>8.6998099999999995E-2</v>
      </c>
      <c r="CO22">
        <v>8.2183900000000004E-2</v>
      </c>
      <c r="CP22">
        <v>31605</v>
      </c>
      <c r="CQ22">
        <v>27769</v>
      </c>
      <c r="CR22">
        <v>32422.799999999999</v>
      </c>
      <c r="CS22">
        <v>30662.400000000001</v>
      </c>
      <c r="CT22">
        <v>40090</v>
      </c>
      <c r="CU22">
        <v>39576.199999999997</v>
      </c>
      <c r="CV22">
        <v>47356.2</v>
      </c>
      <c r="CW22">
        <v>46763.7</v>
      </c>
      <c r="CX22">
        <v>2.6141999999999999</v>
      </c>
      <c r="CY22">
        <v>2.1221199999999998</v>
      </c>
      <c r="CZ22">
        <v>0</v>
      </c>
      <c r="DA22">
        <v>0</v>
      </c>
      <c r="DB22">
        <v>999.9</v>
      </c>
      <c r="DC22">
        <v>999.9</v>
      </c>
      <c r="DD22">
        <v>66.921000000000006</v>
      </c>
      <c r="DE22">
        <v>26.808</v>
      </c>
      <c r="DF22">
        <v>23.662400000000002</v>
      </c>
      <c r="DG22">
        <v>30.58</v>
      </c>
      <c r="DH22">
        <v>16.029599999999999</v>
      </c>
      <c r="DI22">
        <v>2</v>
      </c>
      <c r="DJ22">
        <v>-7.0979700000000007E-2</v>
      </c>
      <c r="DK22">
        <v>2.3405999999999998</v>
      </c>
      <c r="DL22">
        <v>20.214400000000001</v>
      </c>
      <c r="DM22">
        <v>5.2497600000000002</v>
      </c>
      <c r="DN22">
        <v>12.033899999999999</v>
      </c>
      <c r="DO22">
        <v>4.9672000000000001</v>
      </c>
      <c r="DP22">
        <v>3.2910400000000002</v>
      </c>
      <c r="DQ22">
        <v>536</v>
      </c>
      <c r="DR22">
        <v>9999</v>
      </c>
      <c r="DS22">
        <v>9999</v>
      </c>
      <c r="DT22">
        <v>9999</v>
      </c>
      <c r="DU22">
        <v>1.87103</v>
      </c>
      <c r="DV22">
        <v>1.8760600000000001</v>
      </c>
      <c r="DW22">
        <v>1.8762300000000001</v>
      </c>
      <c r="DX22">
        <v>1.8827799999999999</v>
      </c>
      <c r="DY22">
        <v>1.8754900000000001</v>
      </c>
      <c r="DZ22">
        <v>1.8745700000000001</v>
      </c>
      <c r="EA22">
        <v>1.87073</v>
      </c>
      <c r="EB22">
        <v>1.8745400000000001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-0.85299999999999998</v>
      </c>
      <c r="EQ22">
        <v>9.3100000000000002E-2</v>
      </c>
      <c r="ER22">
        <v>-0.85300000000006504</v>
      </c>
      <c r="ES22">
        <v>0</v>
      </c>
      <c r="ET22">
        <v>0</v>
      </c>
      <c r="EU22">
        <v>0</v>
      </c>
      <c r="EV22">
        <v>9.3120000000002506E-2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1.2365699999999999</v>
      </c>
      <c r="FG22">
        <v>2.5842299999999998</v>
      </c>
      <c r="FH22">
        <v>2.19604</v>
      </c>
      <c r="FI22">
        <v>2.66113</v>
      </c>
      <c r="FJ22">
        <v>2.4462899999999999</v>
      </c>
      <c r="FK22">
        <v>2.2924799999999999</v>
      </c>
      <c r="FL22">
        <v>31.651700000000002</v>
      </c>
      <c r="FM22">
        <v>24.148800000000001</v>
      </c>
      <c r="FN22">
        <v>19</v>
      </c>
      <c r="FO22">
        <v>866.84699999999998</v>
      </c>
      <c r="FP22">
        <v>576.79100000000005</v>
      </c>
      <c r="FQ22">
        <v>17.960100000000001</v>
      </c>
      <c r="FR22">
        <v>26.078099999999999</v>
      </c>
      <c r="FS22">
        <v>29.998999999999999</v>
      </c>
      <c r="FT22">
        <v>26.100100000000001</v>
      </c>
      <c r="FU22">
        <v>26.097899999999999</v>
      </c>
      <c r="FV22">
        <v>24.810300000000002</v>
      </c>
      <c r="FW22">
        <v>40.8005</v>
      </c>
      <c r="FX22">
        <v>48.874099999999999</v>
      </c>
      <c r="FY22">
        <v>17.985399999999998</v>
      </c>
      <c r="FZ22">
        <v>410</v>
      </c>
      <c r="GA22">
        <v>14.4979</v>
      </c>
      <c r="GB22">
        <v>99.781700000000001</v>
      </c>
      <c r="GC22">
        <v>99.547899999999998</v>
      </c>
    </row>
    <row r="23" spans="1:185" x14ac:dyDescent="0.2">
      <c r="A23">
        <v>8</v>
      </c>
      <c r="B23">
        <v>1769194677</v>
      </c>
      <c r="C23">
        <v>116</v>
      </c>
      <c r="D23" t="s">
        <v>309</v>
      </c>
      <c r="E23" t="s">
        <v>310</v>
      </c>
      <c r="F23">
        <v>15</v>
      </c>
      <c r="G23">
        <v>1769194668.9333301</v>
      </c>
      <c r="H23">
        <f t="shared" si="0"/>
        <v>7.6821782271532704E-4</v>
      </c>
      <c r="I23">
        <v>0</v>
      </c>
      <c r="J23">
        <f t="shared" si="12"/>
        <v>-1.8937652781249525E-3</v>
      </c>
      <c r="K23">
        <f t="shared" si="1"/>
        <v>-7.0568924523310178E-2</v>
      </c>
      <c r="L23">
        <f t="shared" si="2"/>
        <v>70.142419362838154</v>
      </c>
      <c r="M23">
        <f t="shared" si="3"/>
        <v>1.5431773801651165</v>
      </c>
      <c r="N23">
        <f t="shared" si="4"/>
        <v>2.2000629493294901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26289.140162064017</v>
      </c>
      <c r="T23">
        <f t="shared" si="8"/>
        <v>299.99939999999998</v>
      </c>
      <c r="U23">
        <f t="shared" si="9"/>
        <v>252.89918682061472</v>
      </c>
      <c r="V23">
        <f t="shared" si="10"/>
        <v>0.84299897539999991</v>
      </c>
      <c r="W23">
        <f t="shared" si="11"/>
        <v>0.15869752944400001</v>
      </c>
      <c r="X23">
        <v>1</v>
      </c>
      <c r="Y23">
        <v>1769194668.9333301</v>
      </c>
      <c r="Z23">
        <v>409.68860000000001</v>
      </c>
      <c r="AA23">
        <v>409.99380000000002</v>
      </c>
      <c r="AB23">
        <v>15.40652</v>
      </c>
      <c r="AC23">
        <v>14.4610466666667</v>
      </c>
      <c r="AD23">
        <v>410.54160000000002</v>
      </c>
      <c r="AE23">
        <v>15.313413333333299</v>
      </c>
      <c r="AF23">
        <v>800.00379999999996</v>
      </c>
      <c r="AG23">
        <v>100.099</v>
      </c>
      <c r="AH23">
        <v>6.4916326666666704E-2</v>
      </c>
      <c r="AI23">
        <v>18.962773333333299</v>
      </c>
      <c r="AJ23">
        <v>999.9</v>
      </c>
      <c r="AK23">
        <v>999.9</v>
      </c>
      <c r="AL23">
        <v>0</v>
      </c>
      <c r="AM23">
        <v>0</v>
      </c>
      <c r="AN23">
        <v>5006.2</v>
      </c>
      <c r="AO23">
        <v>0</v>
      </c>
      <c r="AP23">
        <v>1.6937899999999999</v>
      </c>
      <c r="AQ23">
        <v>-0.30513526666666702</v>
      </c>
      <c r="AR23">
        <v>416.0992</v>
      </c>
      <c r="AS23">
        <v>416.00979999999998</v>
      </c>
      <c r="AT23">
        <v>0.94548359999999998</v>
      </c>
      <c r="AU23">
        <v>409.99380000000002</v>
      </c>
      <c r="AV23">
        <v>14.4610466666667</v>
      </c>
      <c r="AW23">
        <v>1.5421800000000001</v>
      </c>
      <c r="AX23">
        <v>1.447538</v>
      </c>
      <c r="AY23">
        <v>13.392886666666699</v>
      </c>
      <c r="AZ23">
        <v>12.424993333333299</v>
      </c>
      <c r="BA23">
        <v>299.99939999999998</v>
      </c>
      <c r="BB23">
        <v>0.90003279999999997</v>
      </c>
      <c r="BC23">
        <v>0</v>
      </c>
      <c r="BD23">
        <v>9.9967153333333295E-2</v>
      </c>
      <c r="BE23">
        <v>0</v>
      </c>
      <c r="BF23">
        <v>24</v>
      </c>
      <c r="BG23">
        <v>4946.6746666666704</v>
      </c>
      <c r="BH23">
        <v>1769194585</v>
      </c>
      <c r="BI23" t="s">
        <v>289</v>
      </c>
      <c r="BJ23">
        <v>1769194579</v>
      </c>
      <c r="BK23">
        <v>1769194585</v>
      </c>
      <c r="BL23">
        <v>1</v>
      </c>
      <c r="BM23">
        <v>2.3E-2</v>
      </c>
      <c r="BN23">
        <v>3.0000000000000001E-3</v>
      </c>
      <c r="BO23">
        <v>-0.85299999999999998</v>
      </c>
      <c r="BP23">
        <v>9.2999999999999999E-2</v>
      </c>
      <c r="BQ23">
        <v>410</v>
      </c>
      <c r="BR23">
        <v>15</v>
      </c>
      <c r="BS23">
        <v>0.28000000000000003</v>
      </c>
      <c r="BT23">
        <v>0.05</v>
      </c>
      <c r="BU23">
        <v>-0.29185195000000003</v>
      </c>
      <c r="BV23">
        <v>-0.124958210526316</v>
      </c>
      <c r="BW23">
        <v>2.5100965036179399E-2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0.94989749999999995</v>
      </c>
      <c r="CD23">
        <v>-5.4903969924810697E-2</v>
      </c>
      <c r="CE23">
        <v>1.6507947841873E-2</v>
      </c>
      <c r="CF23">
        <v>1</v>
      </c>
      <c r="CG23">
        <v>2</v>
      </c>
      <c r="CH23">
        <v>2</v>
      </c>
      <c r="CI23" t="s">
        <v>304</v>
      </c>
      <c r="CJ23">
        <v>3.53254</v>
      </c>
      <c r="CK23">
        <v>2.7025399999999999</v>
      </c>
      <c r="CL23">
        <v>9.7750799999999999E-2</v>
      </c>
      <c r="CM23">
        <v>9.6448599999999995E-2</v>
      </c>
      <c r="CN23">
        <v>8.7002700000000002E-2</v>
      </c>
      <c r="CO23">
        <v>8.2086999999999993E-2</v>
      </c>
      <c r="CP23">
        <v>31606</v>
      </c>
      <c r="CQ23">
        <v>27769.9</v>
      </c>
      <c r="CR23">
        <v>32424.1</v>
      </c>
      <c r="CS23">
        <v>30663.8</v>
      </c>
      <c r="CT23">
        <v>40091</v>
      </c>
      <c r="CU23">
        <v>39582.199999999997</v>
      </c>
      <c r="CV23">
        <v>47357.7</v>
      </c>
      <c r="CW23">
        <v>46765.7</v>
      </c>
      <c r="CX23">
        <v>2.6141399999999999</v>
      </c>
      <c r="CY23">
        <v>2.1222400000000001</v>
      </c>
      <c r="CZ23">
        <v>0</v>
      </c>
      <c r="DA23">
        <v>0</v>
      </c>
      <c r="DB23">
        <v>999.9</v>
      </c>
      <c r="DC23">
        <v>999.9</v>
      </c>
      <c r="DD23">
        <v>66.781000000000006</v>
      </c>
      <c r="DE23">
        <v>26.797999999999998</v>
      </c>
      <c r="DF23">
        <v>23.596299999999999</v>
      </c>
      <c r="DG23">
        <v>30.46</v>
      </c>
      <c r="DH23">
        <v>16.093800000000002</v>
      </c>
      <c r="DI23">
        <v>2</v>
      </c>
      <c r="DJ23">
        <v>-7.3239799999999994E-2</v>
      </c>
      <c r="DK23">
        <v>2.1734599999999999</v>
      </c>
      <c r="DL23">
        <v>20.217099999999999</v>
      </c>
      <c r="DM23">
        <v>5.2492799999999997</v>
      </c>
      <c r="DN23">
        <v>12.033899999999999</v>
      </c>
      <c r="DO23">
        <v>4.9673600000000002</v>
      </c>
      <c r="DP23">
        <v>3.2909999999999999</v>
      </c>
      <c r="DQ23">
        <v>536</v>
      </c>
      <c r="DR23">
        <v>9999</v>
      </c>
      <c r="DS23">
        <v>9999</v>
      </c>
      <c r="DT23">
        <v>9999</v>
      </c>
      <c r="DU23">
        <v>1.87103</v>
      </c>
      <c r="DV23">
        <v>1.8760699999999999</v>
      </c>
      <c r="DW23">
        <v>1.87625</v>
      </c>
      <c r="DX23">
        <v>1.8827799999999999</v>
      </c>
      <c r="DY23">
        <v>1.87557</v>
      </c>
      <c r="DZ23">
        <v>1.8746499999999999</v>
      </c>
      <c r="EA23">
        <v>1.87076</v>
      </c>
      <c r="EB23">
        <v>1.8746100000000001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-0.85299999999999998</v>
      </c>
      <c r="EQ23">
        <v>9.3100000000000002E-2</v>
      </c>
      <c r="ER23">
        <v>-0.85300000000006504</v>
      </c>
      <c r="ES23">
        <v>0</v>
      </c>
      <c r="ET23">
        <v>0</v>
      </c>
      <c r="EU23">
        <v>0</v>
      </c>
      <c r="EV23">
        <v>9.3120000000002506E-2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1.2353499999999999</v>
      </c>
      <c r="FG23">
        <v>2.5866699999999998</v>
      </c>
      <c r="FH23">
        <v>2.19604</v>
      </c>
      <c r="FI23">
        <v>2.65991</v>
      </c>
      <c r="FJ23">
        <v>2.4462899999999999</v>
      </c>
      <c r="FK23">
        <v>2.2546400000000002</v>
      </c>
      <c r="FL23">
        <v>31.6736</v>
      </c>
      <c r="FM23">
        <v>24.14</v>
      </c>
      <c r="FN23">
        <v>19</v>
      </c>
      <c r="FO23">
        <v>866.57399999999996</v>
      </c>
      <c r="FP23">
        <v>576.72900000000004</v>
      </c>
      <c r="FQ23">
        <v>18.040099999999999</v>
      </c>
      <c r="FR23">
        <v>26.059699999999999</v>
      </c>
      <c r="FS23">
        <v>29.999400000000001</v>
      </c>
      <c r="FT23">
        <v>26.086400000000001</v>
      </c>
      <c r="FU23">
        <v>26.0838</v>
      </c>
      <c r="FV23">
        <v>24.809100000000001</v>
      </c>
      <c r="FW23">
        <v>40.8005</v>
      </c>
      <c r="FX23">
        <v>48.122399999999999</v>
      </c>
      <c r="FY23">
        <v>18.057200000000002</v>
      </c>
      <c r="FZ23">
        <v>410</v>
      </c>
      <c r="GA23">
        <v>14.4979</v>
      </c>
      <c r="GB23">
        <v>99.7851</v>
      </c>
      <c r="GC23">
        <v>99.552199999999999</v>
      </c>
    </row>
    <row r="24" spans="1:185" x14ac:dyDescent="0.2">
      <c r="A24">
        <v>9</v>
      </c>
      <c r="B24">
        <v>1769194692</v>
      </c>
      <c r="C24">
        <v>131</v>
      </c>
      <c r="D24" t="s">
        <v>311</v>
      </c>
      <c r="E24" t="s">
        <v>312</v>
      </c>
      <c r="F24">
        <v>15</v>
      </c>
      <c r="G24">
        <v>1769194683.9333301</v>
      </c>
      <c r="H24">
        <f t="shared" si="0"/>
        <v>7.8660006448674172E-4</v>
      </c>
      <c r="I24">
        <v>0</v>
      </c>
      <c r="J24">
        <f t="shared" si="12"/>
        <v>-2.3008388319826385E-3</v>
      </c>
      <c r="K24">
        <f t="shared" si="1"/>
        <v>-8.5738039317758988E-2</v>
      </c>
      <c r="L24">
        <f t="shared" si="2"/>
        <v>70.150467113676513</v>
      </c>
      <c r="M24">
        <f t="shared" si="3"/>
        <v>1.542367576779007</v>
      </c>
      <c r="N24">
        <f t="shared" si="4"/>
        <v>2.1986561747046554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26247.037913652075</v>
      </c>
      <c r="T24">
        <f t="shared" si="8"/>
        <v>300.00200000000001</v>
      </c>
      <c r="U24">
        <f t="shared" si="9"/>
        <v>252.90147881861881</v>
      </c>
      <c r="V24">
        <f t="shared" si="10"/>
        <v>0.84299930940000001</v>
      </c>
      <c r="W24">
        <f t="shared" si="11"/>
        <v>0.158698234524</v>
      </c>
      <c r="X24">
        <v>1</v>
      </c>
      <c r="Y24">
        <v>1769194683.9333301</v>
      </c>
      <c r="Z24">
        <v>409.700533333333</v>
      </c>
      <c r="AA24">
        <v>409.99619999999999</v>
      </c>
      <c r="AB24">
        <v>15.39838</v>
      </c>
      <c r="AC24">
        <v>14.4302666666667</v>
      </c>
      <c r="AD24">
        <v>410.55346666666702</v>
      </c>
      <c r="AE24">
        <v>15.3052666666667</v>
      </c>
      <c r="AF24">
        <v>799.996933333333</v>
      </c>
      <c r="AG24">
        <v>100.09926666666701</v>
      </c>
      <c r="AH24">
        <v>6.5008846666666703E-2</v>
      </c>
      <c r="AI24">
        <v>18.952526666666699</v>
      </c>
      <c r="AJ24">
        <v>999.9</v>
      </c>
      <c r="AK24">
        <v>999.9</v>
      </c>
      <c r="AL24">
        <v>0</v>
      </c>
      <c r="AM24">
        <v>0</v>
      </c>
      <c r="AN24">
        <v>4999.1000000000004</v>
      </c>
      <c r="AO24">
        <v>0</v>
      </c>
      <c r="AP24">
        <v>1.6937899999999999</v>
      </c>
      <c r="AQ24">
        <v>-0.29558313333333303</v>
      </c>
      <c r="AR24">
        <v>416.10793333333299</v>
      </c>
      <c r="AS24">
        <v>415.99926666666698</v>
      </c>
      <c r="AT24">
        <v>0.96812140000000002</v>
      </c>
      <c r="AU24">
        <v>409.99619999999999</v>
      </c>
      <c r="AV24">
        <v>14.4302666666667</v>
      </c>
      <c r="AW24">
        <v>1.541366</v>
      </c>
      <c r="AX24">
        <v>1.44445933333333</v>
      </c>
      <c r="AY24">
        <v>13.3848066666667</v>
      </c>
      <c r="AZ24">
        <v>12.3925866666667</v>
      </c>
      <c r="BA24">
        <v>300.00200000000001</v>
      </c>
      <c r="BB24">
        <v>0.90002360000000003</v>
      </c>
      <c r="BC24">
        <v>0</v>
      </c>
      <c r="BD24">
        <v>9.9976419999999996E-2</v>
      </c>
      <c r="BE24">
        <v>0</v>
      </c>
      <c r="BF24">
        <v>24</v>
      </c>
      <c r="BG24">
        <v>4946.7026666666698</v>
      </c>
      <c r="BH24">
        <v>1769194585</v>
      </c>
      <c r="BI24" t="s">
        <v>289</v>
      </c>
      <c r="BJ24">
        <v>1769194579</v>
      </c>
      <c r="BK24">
        <v>1769194585</v>
      </c>
      <c r="BL24">
        <v>1</v>
      </c>
      <c r="BM24">
        <v>2.3E-2</v>
      </c>
      <c r="BN24">
        <v>3.0000000000000001E-3</v>
      </c>
      <c r="BO24">
        <v>-0.85299999999999998</v>
      </c>
      <c r="BP24">
        <v>9.2999999999999999E-2</v>
      </c>
      <c r="BQ24">
        <v>410</v>
      </c>
      <c r="BR24">
        <v>15</v>
      </c>
      <c r="BS24">
        <v>0.28000000000000003</v>
      </c>
      <c r="BT24">
        <v>0.05</v>
      </c>
      <c r="BU24">
        <v>-0.295394285714286</v>
      </c>
      <c r="BV24">
        <v>-6.8647246753246904E-2</v>
      </c>
      <c r="BW24">
        <v>2.67280786104067E-2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0.96203233333333305</v>
      </c>
      <c r="CD24">
        <v>9.8081999999999794E-2</v>
      </c>
      <c r="CE24">
        <v>1.01667731048293E-2</v>
      </c>
      <c r="CF24">
        <v>1</v>
      </c>
      <c r="CG24">
        <v>2</v>
      </c>
      <c r="CH24">
        <v>2</v>
      </c>
      <c r="CI24" t="s">
        <v>304</v>
      </c>
      <c r="CJ24">
        <v>3.5325199999999999</v>
      </c>
      <c r="CK24">
        <v>2.70282</v>
      </c>
      <c r="CL24">
        <v>9.7755099999999998E-2</v>
      </c>
      <c r="CM24">
        <v>9.6449599999999996E-2</v>
      </c>
      <c r="CN24">
        <v>8.6956000000000006E-2</v>
      </c>
      <c r="CO24">
        <v>8.1953600000000001E-2</v>
      </c>
      <c r="CP24">
        <v>31606.9</v>
      </c>
      <c r="CQ24">
        <v>27771.599999999999</v>
      </c>
      <c r="CR24">
        <v>32425.1</v>
      </c>
      <c r="CS24">
        <v>30665.599999999999</v>
      </c>
      <c r="CT24">
        <v>40094.6</v>
      </c>
      <c r="CU24">
        <v>39590.5</v>
      </c>
      <c r="CV24">
        <v>47359.6</v>
      </c>
      <c r="CW24">
        <v>46768.5</v>
      </c>
      <c r="CX24">
        <v>2.6147</v>
      </c>
      <c r="CY24">
        <v>2.1225399999999999</v>
      </c>
      <c r="CZ24">
        <v>0</v>
      </c>
      <c r="DA24">
        <v>0</v>
      </c>
      <c r="DB24">
        <v>999.9</v>
      </c>
      <c r="DC24">
        <v>999.9</v>
      </c>
      <c r="DD24">
        <v>66.584999999999994</v>
      </c>
      <c r="DE24">
        <v>26.827999999999999</v>
      </c>
      <c r="DF24">
        <v>23.567900000000002</v>
      </c>
      <c r="DG24">
        <v>30.25</v>
      </c>
      <c r="DH24">
        <v>16.165900000000001</v>
      </c>
      <c r="DI24">
        <v>2</v>
      </c>
      <c r="DJ24">
        <v>-7.5268299999999996E-2</v>
      </c>
      <c r="DK24">
        <v>2.0238399999999999</v>
      </c>
      <c r="DL24">
        <v>20.215900000000001</v>
      </c>
      <c r="DM24">
        <v>5.2496400000000003</v>
      </c>
      <c r="DN24">
        <v>12.033899999999999</v>
      </c>
      <c r="DO24">
        <v>4.9674399999999999</v>
      </c>
      <c r="DP24">
        <v>3.2909999999999999</v>
      </c>
      <c r="DQ24">
        <v>536</v>
      </c>
      <c r="DR24">
        <v>9999</v>
      </c>
      <c r="DS24">
        <v>9999</v>
      </c>
      <c r="DT24">
        <v>9999</v>
      </c>
      <c r="DU24">
        <v>1.87103</v>
      </c>
      <c r="DV24">
        <v>1.8760699999999999</v>
      </c>
      <c r="DW24">
        <v>1.8762300000000001</v>
      </c>
      <c r="DX24">
        <v>1.8827700000000001</v>
      </c>
      <c r="DY24">
        <v>1.87551</v>
      </c>
      <c r="DZ24">
        <v>1.87459</v>
      </c>
      <c r="EA24">
        <v>1.87073</v>
      </c>
      <c r="EB24">
        <v>1.8745700000000001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-0.85299999999999998</v>
      </c>
      <c r="EQ24">
        <v>9.3100000000000002E-2</v>
      </c>
      <c r="ER24">
        <v>-0.85300000000006504</v>
      </c>
      <c r="ES24">
        <v>0</v>
      </c>
      <c r="ET24">
        <v>0</v>
      </c>
      <c r="EU24">
        <v>0</v>
      </c>
      <c r="EV24">
        <v>9.3120000000002506E-2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1.2365699999999999</v>
      </c>
      <c r="FG24">
        <v>2.5842299999999998</v>
      </c>
      <c r="FH24">
        <v>2.19604</v>
      </c>
      <c r="FI24">
        <v>2.66113</v>
      </c>
      <c r="FJ24">
        <v>2.4462899999999999</v>
      </c>
      <c r="FK24">
        <v>2.3034699999999999</v>
      </c>
      <c r="FL24">
        <v>31.6736</v>
      </c>
      <c r="FM24">
        <v>24.148800000000001</v>
      </c>
      <c r="FN24">
        <v>19</v>
      </c>
      <c r="FO24">
        <v>866.85299999999995</v>
      </c>
      <c r="FP24">
        <v>576.79100000000005</v>
      </c>
      <c r="FQ24">
        <v>18.137599999999999</v>
      </c>
      <c r="FR24">
        <v>26.040299999999998</v>
      </c>
      <c r="FS24">
        <v>29.999400000000001</v>
      </c>
      <c r="FT24">
        <v>26.071100000000001</v>
      </c>
      <c r="FU24">
        <v>26.0685</v>
      </c>
      <c r="FV24">
        <v>24.8093</v>
      </c>
      <c r="FW24">
        <v>40.5169</v>
      </c>
      <c r="FX24">
        <v>47.378799999999998</v>
      </c>
      <c r="FY24">
        <v>18.154800000000002</v>
      </c>
      <c r="FZ24">
        <v>410</v>
      </c>
      <c r="GA24">
        <v>14.4979</v>
      </c>
      <c r="GB24">
        <v>99.788799999999995</v>
      </c>
      <c r="GC24">
        <v>99.558199999999999</v>
      </c>
    </row>
    <row r="25" spans="1:185" x14ac:dyDescent="0.2">
      <c r="A25">
        <v>10</v>
      </c>
      <c r="B25">
        <v>1769194707</v>
      </c>
      <c r="C25">
        <v>146</v>
      </c>
      <c r="D25" t="s">
        <v>313</v>
      </c>
      <c r="E25" t="s">
        <v>314</v>
      </c>
      <c r="F25">
        <v>15</v>
      </c>
      <c r="G25">
        <v>1769194698.9333301</v>
      </c>
      <c r="H25">
        <f t="shared" si="0"/>
        <v>7.8338217985994454E-4</v>
      </c>
      <c r="I25">
        <v>0</v>
      </c>
      <c r="J25">
        <f t="shared" si="12"/>
        <v>-2.7078502182756952E-3</v>
      </c>
      <c r="K25">
        <f t="shared" si="1"/>
        <v>-0.10090483751139839</v>
      </c>
      <c r="L25">
        <f t="shared" si="2"/>
        <v>70.119016484647403</v>
      </c>
      <c r="M25">
        <f t="shared" si="3"/>
        <v>1.5418403429811383</v>
      </c>
      <c r="N25">
        <f t="shared" si="4"/>
        <v>2.1988904298432725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26310.136488889188</v>
      </c>
      <c r="T25">
        <f t="shared" si="8"/>
        <v>300.00073333333302</v>
      </c>
      <c r="U25">
        <f t="shared" si="9"/>
        <v>252.9004671796306</v>
      </c>
      <c r="V25">
        <f t="shared" si="10"/>
        <v>0.84299949660000006</v>
      </c>
      <c r="W25">
        <f t="shared" si="11"/>
        <v>0.158698780476</v>
      </c>
      <c r="X25">
        <v>1</v>
      </c>
      <c r="Y25">
        <v>1769194698.9333301</v>
      </c>
      <c r="Z25">
        <v>409.71446666666702</v>
      </c>
      <c r="AA25">
        <v>409.98953333333299</v>
      </c>
      <c r="AB25">
        <v>15.3929266666667</v>
      </c>
      <c r="AC25">
        <v>14.428793333333299</v>
      </c>
      <c r="AD25">
        <v>410.56746666666697</v>
      </c>
      <c r="AE25">
        <v>15.299806666666701</v>
      </c>
      <c r="AF25">
        <v>800.01760000000002</v>
      </c>
      <c r="AG25">
        <v>100.100533333333</v>
      </c>
      <c r="AH25">
        <v>6.4976213333333296E-2</v>
      </c>
      <c r="AI25">
        <v>18.954233333333299</v>
      </c>
      <c r="AJ25">
        <v>999.9</v>
      </c>
      <c r="AK25">
        <v>999.9</v>
      </c>
      <c r="AL25">
        <v>0</v>
      </c>
      <c r="AM25">
        <v>0</v>
      </c>
      <c r="AN25">
        <v>5009.4666666666699</v>
      </c>
      <c r="AO25">
        <v>0</v>
      </c>
      <c r="AP25">
        <v>1.6937899999999999</v>
      </c>
      <c r="AQ25">
        <v>-0.27505306666666701</v>
      </c>
      <c r="AR25">
        <v>416.1198</v>
      </c>
      <c r="AS25">
        <v>415.99186666666702</v>
      </c>
      <c r="AT25">
        <v>0.96411526666666703</v>
      </c>
      <c r="AU25">
        <v>409.98953333333299</v>
      </c>
      <c r="AV25">
        <v>14.428793333333299</v>
      </c>
      <c r="AW25">
        <v>1.5408393333333299</v>
      </c>
      <c r="AX25">
        <v>1.4443313333333301</v>
      </c>
      <c r="AY25">
        <v>13.3795533333333</v>
      </c>
      <c r="AZ25">
        <v>12.39124</v>
      </c>
      <c r="BA25">
        <v>300.00073333333302</v>
      </c>
      <c r="BB25">
        <v>0.90001620000000004</v>
      </c>
      <c r="BC25">
        <v>0</v>
      </c>
      <c r="BD25">
        <v>9.9983779999999994E-2</v>
      </c>
      <c r="BE25">
        <v>0</v>
      </c>
      <c r="BF25">
        <v>24</v>
      </c>
      <c r="BG25">
        <v>4946.6719999999996</v>
      </c>
      <c r="BH25">
        <v>1769194585</v>
      </c>
      <c r="BI25" t="s">
        <v>289</v>
      </c>
      <c r="BJ25">
        <v>1769194579</v>
      </c>
      <c r="BK25">
        <v>1769194585</v>
      </c>
      <c r="BL25">
        <v>1</v>
      </c>
      <c r="BM25">
        <v>2.3E-2</v>
      </c>
      <c r="BN25">
        <v>3.0000000000000001E-3</v>
      </c>
      <c r="BO25">
        <v>-0.85299999999999998</v>
      </c>
      <c r="BP25">
        <v>9.2999999999999999E-2</v>
      </c>
      <c r="BQ25">
        <v>410</v>
      </c>
      <c r="BR25">
        <v>15</v>
      </c>
      <c r="BS25">
        <v>0.28000000000000003</v>
      </c>
      <c r="BT25">
        <v>0.05</v>
      </c>
      <c r="BU25">
        <v>-0.28983930000000002</v>
      </c>
      <c r="BV25">
        <v>0.11197615037594</v>
      </c>
      <c r="BW25">
        <v>3.5936047542961702E-2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0.96785659999999996</v>
      </c>
      <c r="CD25">
        <v>-5.37500751879713E-2</v>
      </c>
      <c r="CE25">
        <v>9.09540847570906E-3</v>
      </c>
      <c r="CF25">
        <v>1</v>
      </c>
      <c r="CG25">
        <v>2</v>
      </c>
      <c r="CH25">
        <v>2</v>
      </c>
      <c r="CI25" t="s">
        <v>304</v>
      </c>
      <c r="CJ25">
        <v>3.5325199999999999</v>
      </c>
      <c r="CK25">
        <v>2.7028300000000001</v>
      </c>
      <c r="CL25">
        <v>9.7768099999999997E-2</v>
      </c>
      <c r="CM25">
        <v>9.6452899999999994E-2</v>
      </c>
      <c r="CN25">
        <v>8.6935499999999999E-2</v>
      </c>
      <c r="CO25">
        <v>8.1976599999999997E-2</v>
      </c>
      <c r="CP25">
        <v>31608.7</v>
      </c>
      <c r="CQ25">
        <v>27773</v>
      </c>
      <c r="CR25">
        <v>32427.3</v>
      </c>
      <c r="CS25">
        <v>30667.200000000001</v>
      </c>
      <c r="CT25">
        <v>40097.800000000003</v>
      </c>
      <c r="CU25">
        <v>39591.4</v>
      </c>
      <c r="CV25">
        <v>47362.3</v>
      </c>
      <c r="CW25">
        <v>46770.7</v>
      </c>
      <c r="CX25">
        <v>2.6149</v>
      </c>
      <c r="CY25">
        <v>2.1231</v>
      </c>
      <c r="CZ25">
        <v>0</v>
      </c>
      <c r="DA25">
        <v>0</v>
      </c>
      <c r="DB25">
        <v>999.9</v>
      </c>
      <c r="DC25">
        <v>999.9</v>
      </c>
      <c r="DD25">
        <v>66.42</v>
      </c>
      <c r="DE25">
        <v>26.827999999999999</v>
      </c>
      <c r="DF25">
        <v>23.510300000000001</v>
      </c>
      <c r="DG25">
        <v>30.25</v>
      </c>
      <c r="DH25">
        <v>16.0777</v>
      </c>
      <c r="DI25">
        <v>2</v>
      </c>
      <c r="DJ25">
        <v>-7.7396300000000001E-2</v>
      </c>
      <c r="DK25">
        <v>1.91293</v>
      </c>
      <c r="DL25">
        <v>20.220700000000001</v>
      </c>
      <c r="DM25">
        <v>5.2503500000000001</v>
      </c>
      <c r="DN25">
        <v>12.033899999999999</v>
      </c>
      <c r="DO25">
        <v>4.9675599999999998</v>
      </c>
      <c r="DP25">
        <v>3.2909999999999999</v>
      </c>
      <c r="DQ25">
        <v>536</v>
      </c>
      <c r="DR25">
        <v>9999</v>
      </c>
      <c r="DS25">
        <v>9999</v>
      </c>
      <c r="DT25">
        <v>9999</v>
      </c>
      <c r="DU25">
        <v>1.87103</v>
      </c>
      <c r="DV25">
        <v>1.8760699999999999</v>
      </c>
      <c r="DW25">
        <v>1.8762399999999999</v>
      </c>
      <c r="DX25">
        <v>1.8827799999999999</v>
      </c>
      <c r="DY25">
        <v>1.8755200000000001</v>
      </c>
      <c r="DZ25">
        <v>1.8746100000000001</v>
      </c>
      <c r="EA25">
        <v>1.87073</v>
      </c>
      <c r="EB25">
        <v>1.87456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-0.85299999999999998</v>
      </c>
      <c r="EQ25">
        <v>9.3100000000000002E-2</v>
      </c>
      <c r="ER25">
        <v>-0.85300000000006504</v>
      </c>
      <c r="ES25">
        <v>0</v>
      </c>
      <c r="ET25">
        <v>0</v>
      </c>
      <c r="EU25">
        <v>0</v>
      </c>
      <c r="EV25">
        <v>9.3120000000002506E-2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1.2365699999999999</v>
      </c>
      <c r="FG25">
        <v>2.5830099999999998</v>
      </c>
      <c r="FH25">
        <v>2.19604</v>
      </c>
      <c r="FI25">
        <v>2.66113</v>
      </c>
      <c r="FJ25">
        <v>2.4462899999999999</v>
      </c>
      <c r="FK25">
        <v>2.2900399999999999</v>
      </c>
      <c r="FL25">
        <v>31.6736</v>
      </c>
      <c r="FM25">
        <v>24.157499999999999</v>
      </c>
      <c r="FN25">
        <v>19</v>
      </c>
      <c r="FO25">
        <v>866.78</v>
      </c>
      <c r="FP25">
        <v>577.04300000000001</v>
      </c>
      <c r="FQ25">
        <v>18.2394</v>
      </c>
      <c r="FR25">
        <v>26.019300000000001</v>
      </c>
      <c r="FS25">
        <v>29.999500000000001</v>
      </c>
      <c r="FT25">
        <v>26.0547</v>
      </c>
      <c r="FU25">
        <v>26.052299999999999</v>
      </c>
      <c r="FV25">
        <v>24.810300000000002</v>
      </c>
      <c r="FW25">
        <v>40.241700000000002</v>
      </c>
      <c r="FX25">
        <v>46.634599999999999</v>
      </c>
      <c r="FY25">
        <v>18.2529</v>
      </c>
      <c r="FZ25">
        <v>410</v>
      </c>
      <c r="GA25">
        <v>14.4979</v>
      </c>
      <c r="GB25">
        <v>99.794899999999998</v>
      </c>
      <c r="GC25">
        <v>99.563100000000006</v>
      </c>
    </row>
    <row r="26" spans="1:185" x14ac:dyDescent="0.2">
      <c r="A26">
        <v>11</v>
      </c>
      <c r="B26">
        <v>1769194722</v>
      </c>
      <c r="C26">
        <v>161</v>
      </c>
      <c r="D26" t="s">
        <v>315</v>
      </c>
      <c r="E26" t="s">
        <v>316</v>
      </c>
      <c r="F26">
        <v>15</v>
      </c>
      <c r="G26">
        <v>1769194713.9333301</v>
      </c>
      <c r="H26">
        <f t="shared" si="0"/>
        <v>7.5727406327756922E-4</v>
      </c>
      <c r="I26">
        <v>0</v>
      </c>
      <c r="J26">
        <f t="shared" si="12"/>
        <v>-2.4006898683867949E-3</v>
      </c>
      <c r="K26">
        <f t="shared" si="1"/>
        <v>-8.9458870158292694E-2</v>
      </c>
      <c r="L26">
        <f t="shared" si="2"/>
        <v>70.054044247314977</v>
      </c>
      <c r="M26">
        <f t="shared" si="3"/>
        <v>1.5413382590910563</v>
      </c>
      <c r="N26">
        <f t="shared" si="4"/>
        <v>2.2002131006878054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26196.268152093035</v>
      </c>
      <c r="T26">
        <f t="shared" si="8"/>
        <v>300.00106666666699</v>
      </c>
      <c r="U26">
        <f t="shared" si="9"/>
        <v>252.90078309958758</v>
      </c>
      <c r="V26">
        <f t="shared" si="10"/>
        <v>0.84299961300000037</v>
      </c>
      <c r="W26">
        <f t="shared" si="11"/>
        <v>0.15869896754000007</v>
      </c>
      <c r="X26">
        <v>1</v>
      </c>
      <c r="Y26">
        <v>1769194713.9333301</v>
      </c>
      <c r="Z26">
        <v>409.70693333333298</v>
      </c>
      <c r="AA26">
        <v>409.98293333333299</v>
      </c>
      <c r="AB26">
        <v>15.3878</v>
      </c>
      <c r="AC26">
        <v>14.455780000000001</v>
      </c>
      <c r="AD26">
        <v>410.55993333333299</v>
      </c>
      <c r="AE26">
        <v>15.294686666666699</v>
      </c>
      <c r="AF26">
        <v>800.00566666666703</v>
      </c>
      <c r="AG26">
        <v>100.100933333333</v>
      </c>
      <c r="AH26">
        <v>6.53190933333333E-2</v>
      </c>
      <c r="AI26">
        <v>18.9638666666667</v>
      </c>
      <c r="AJ26">
        <v>999.9</v>
      </c>
      <c r="AK26">
        <v>999.9</v>
      </c>
      <c r="AL26">
        <v>0</v>
      </c>
      <c r="AM26">
        <v>0</v>
      </c>
      <c r="AN26">
        <v>4990.8333333333303</v>
      </c>
      <c r="AO26">
        <v>0</v>
      </c>
      <c r="AP26">
        <v>1.6937899999999999</v>
      </c>
      <c r="AQ26">
        <v>-0.27595419999999998</v>
      </c>
      <c r="AR26">
        <v>416.109933333333</v>
      </c>
      <c r="AS26">
        <v>415.99653333333299</v>
      </c>
      <c r="AT26">
        <v>0.93201553333333298</v>
      </c>
      <c r="AU26">
        <v>409.98293333333299</v>
      </c>
      <c r="AV26">
        <v>14.455780000000001</v>
      </c>
      <c r="AW26">
        <v>1.5403340000000001</v>
      </c>
      <c r="AX26">
        <v>1.447038</v>
      </c>
      <c r="AY26">
        <v>13.3745266666667</v>
      </c>
      <c r="AZ26">
        <v>12.419726666666699</v>
      </c>
      <c r="BA26">
        <v>300.00106666666699</v>
      </c>
      <c r="BB26">
        <v>0.90001386666666705</v>
      </c>
      <c r="BC26">
        <v>0</v>
      </c>
      <c r="BD26">
        <v>9.9986166666666695E-2</v>
      </c>
      <c r="BE26">
        <v>0</v>
      </c>
      <c r="BF26">
        <v>24</v>
      </c>
      <c r="BG26">
        <v>4946.6760000000004</v>
      </c>
      <c r="BH26">
        <v>1769194585</v>
      </c>
      <c r="BI26" t="s">
        <v>289</v>
      </c>
      <c r="BJ26">
        <v>1769194579</v>
      </c>
      <c r="BK26">
        <v>1769194585</v>
      </c>
      <c r="BL26">
        <v>1</v>
      </c>
      <c r="BM26">
        <v>2.3E-2</v>
      </c>
      <c r="BN26">
        <v>3.0000000000000001E-3</v>
      </c>
      <c r="BO26">
        <v>-0.85299999999999998</v>
      </c>
      <c r="BP26">
        <v>9.2999999999999999E-2</v>
      </c>
      <c r="BQ26">
        <v>410</v>
      </c>
      <c r="BR26">
        <v>15</v>
      </c>
      <c r="BS26">
        <v>0.28000000000000003</v>
      </c>
      <c r="BT26">
        <v>0.05</v>
      </c>
      <c r="BU26">
        <v>-0.28084720000000002</v>
      </c>
      <c r="BV26">
        <v>-7.95804812030073E-2</v>
      </c>
      <c r="BW26">
        <v>3.72640621089542E-2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0.9408417</v>
      </c>
      <c r="CD26">
        <v>-0.17500249624060099</v>
      </c>
      <c r="CE26">
        <v>2.2240973488361501E-2</v>
      </c>
      <c r="CF26">
        <v>0</v>
      </c>
      <c r="CG26">
        <v>1</v>
      </c>
      <c r="CH26">
        <v>2</v>
      </c>
      <c r="CI26" t="s">
        <v>297</v>
      </c>
      <c r="CJ26">
        <v>3.5325000000000002</v>
      </c>
      <c r="CK26">
        <v>2.7030099999999999</v>
      </c>
      <c r="CL26">
        <v>9.7767000000000007E-2</v>
      </c>
      <c r="CM26">
        <v>9.6460000000000004E-2</v>
      </c>
      <c r="CN26">
        <v>8.6981699999999995E-2</v>
      </c>
      <c r="CO26">
        <v>8.2154900000000003E-2</v>
      </c>
      <c r="CP26">
        <v>31609.4</v>
      </c>
      <c r="CQ26">
        <v>27773.9</v>
      </c>
      <c r="CR26">
        <v>32427.9</v>
      </c>
      <c r="CS26">
        <v>30668.3</v>
      </c>
      <c r="CT26">
        <v>40096.400000000001</v>
      </c>
      <c r="CU26">
        <v>39584.9</v>
      </c>
      <c r="CV26">
        <v>47363.3</v>
      </c>
      <c r="CW26">
        <v>46772.4</v>
      </c>
      <c r="CX26">
        <v>2.6153</v>
      </c>
      <c r="CY26">
        <v>2.1235200000000001</v>
      </c>
      <c r="CZ26">
        <v>0</v>
      </c>
      <c r="DA26">
        <v>0</v>
      </c>
      <c r="DB26">
        <v>999.9</v>
      </c>
      <c r="DC26">
        <v>999.9</v>
      </c>
      <c r="DD26">
        <v>66.236999999999995</v>
      </c>
      <c r="DE26">
        <v>26.838000000000001</v>
      </c>
      <c r="DF26">
        <v>23.458600000000001</v>
      </c>
      <c r="DG26">
        <v>30.49</v>
      </c>
      <c r="DH26">
        <v>16.049700000000001</v>
      </c>
      <c r="DI26">
        <v>2</v>
      </c>
      <c r="DJ26">
        <v>-7.9420699999999997E-2</v>
      </c>
      <c r="DK26">
        <v>1.8579300000000001</v>
      </c>
      <c r="DL26">
        <v>20.221599999999999</v>
      </c>
      <c r="DM26">
        <v>5.2510700000000003</v>
      </c>
      <c r="DN26">
        <v>12.033899999999999</v>
      </c>
      <c r="DO26">
        <v>4.9676799999999997</v>
      </c>
      <c r="DP26">
        <v>3.2909999999999999</v>
      </c>
      <c r="DQ26">
        <v>536</v>
      </c>
      <c r="DR26">
        <v>9999</v>
      </c>
      <c r="DS26">
        <v>9999</v>
      </c>
      <c r="DT26">
        <v>9999</v>
      </c>
      <c r="DU26">
        <v>1.87104</v>
      </c>
      <c r="DV26">
        <v>1.8760699999999999</v>
      </c>
      <c r="DW26">
        <v>1.8762399999999999</v>
      </c>
      <c r="DX26">
        <v>1.8827799999999999</v>
      </c>
      <c r="DY26">
        <v>1.8755299999999999</v>
      </c>
      <c r="DZ26">
        <v>1.8746499999999999</v>
      </c>
      <c r="EA26">
        <v>1.87077</v>
      </c>
      <c r="EB26">
        <v>1.8745799999999999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-0.85299999999999998</v>
      </c>
      <c r="EQ26">
        <v>9.3200000000000005E-2</v>
      </c>
      <c r="ER26">
        <v>-0.85300000000006504</v>
      </c>
      <c r="ES26">
        <v>0</v>
      </c>
      <c r="ET26">
        <v>0</v>
      </c>
      <c r="EU26">
        <v>0</v>
      </c>
      <c r="EV26">
        <v>9.3120000000002506E-2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1.2365699999999999</v>
      </c>
      <c r="FG26">
        <v>2.5842299999999998</v>
      </c>
      <c r="FH26">
        <v>2.19604</v>
      </c>
      <c r="FI26">
        <v>2.66113</v>
      </c>
      <c r="FJ26">
        <v>2.4462899999999999</v>
      </c>
      <c r="FK26">
        <v>2.2875999999999999</v>
      </c>
      <c r="FL26">
        <v>31.6736</v>
      </c>
      <c r="FM26">
        <v>24.157499999999999</v>
      </c>
      <c r="FN26">
        <v>19</v>
      </c>
      <c r="FO26">
        <v>866.88900000000001</v>
      </c>
      <c r="FP26">
        <v>577.18299999999999</v>
      </c>
      <c r="FQ26">
        <v>18.325800000000001</v>
      </c>
      <c r="FR26">
        <v>25.996500000000001</v>
      </c>
      <c r="FS26">
        <v>29.999400000000001</v>
      </c>
      <c r="FT26">
        <v>26.0381</v>
      </c>
      <c r="FU26">
        <v>26.035599999999999</v>
      </c>
      <c r="FV26">
        <v>24.814299999999999</v>
      </c>
      <c r="FW26">
        <v>40.241700000000002</v>
      </c>
      <c r="FX26">
        <v>45.857500000000002</v>
      </c>
      <c r="FY26">
        <v>18.333600000000001</v>
      </c>
      <c r="FZ26">
        <v>410</v>
      </c>
      <c r="GA26">
        <v>14.4979</v>
      </c>
      <c r="GB26">
        <v>99.796800000000005</v>
      </c>
      <c r="GC26">
        <v>99.566599999999994</v>
      </c>
    </row>
    <row r="27" spans="1:185" x14ac:dyDescent="0.2">
      <c r="A27">
        <v>12</v>
      </c>
      <c r="B27">
        <v>1769194737</v>
      </c>
      <c r="C27">
        <v>176</v>
      </c>
      <c r="D27" t="s">
        <v>317</v>
      </c>
      <c r="E27" t="s">
        <v>318</v>
      </c>
      <c r="F27">
        <v>15</v>
      </c>
      <c r="G27">
        <v>1769194728.9333301</v>
      </c>
      <c r="H27">
        <f t="shared" si="0"/>
        <v>7.7549151616776121E-4</v>
      </c>
      <c r="I27">
        <v>0</v>
      </c>
      <c r="J27">
        <f t="shared" si="12"/>
        <v>-2.607335152735576E-3</v>
      </c>
      <c r="K27">
        <f t="shared" si="1"/>
        <v>-9.7159262410042968E-2</v>
      </c>
      <c r="L27">
        <f t="shared" si="2"/>
        <v>69.99232504429061</v>
      </c>
      <c r="M27">
        <f t="shared" si="3"/>
        <v>1.5413926405573637</v>
      </c>
      <c r="N27">
        <f t="shared" si="4"/>
        <v>2.2022309440099073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26257.864245048368</v>
      </c>
      <c r="T27">
        <f t="shared" si="8"/>
        <v>299.999666666667</v>
      </c>
      <c r="U27">
        <f t="shared" si="9"/>
        <v>252.89967664004743</v>
      </c>
      <c r="V27">
        <f t="shared" si="10"/>
        <v>0.84299985880000028</v>
      </c>
      <c r="W27">
        <f t="shared" si="11"/>
        <v>0.15869956904800006</v>
      </c>
      <c r="X27">
        <v>1</v>
      </c>
      <c r="Y27">
        <v>1769194728.9333301</v>
      </c>
      <c r="Z27">
        <v>409.733133333333</v>
      </c>
      <c r="AA27">
        <v>410.00886666666702</v>
      </c>
      <c r="AB27">
        <v>15.38838</v>
      </c>
      <c r="AC27">
        <v>14.4339266666667</v>
      </c>
      <c r="AD27">
        <v>410.58613333333301</v>
      </c>
      <c r="AE27">
        <v>15.295260000000001</v>
      </c>
      <c r="AF27">
        <v>799.99506666666696</v>
      </c>
      <c r="AG27">
        <v>100.100866666667</v>
      </c>
      <c r="AH27">
        <v>6.51443466666667E-2</v>
      </c>
      <c r="AI27">
        <v>18.978553333333299</v>
      </c>
      <c r="AJ27">
        <v>999.9</v>
      </c>
      <c r="AK27">
        <v>999.9</v>
      </c>
      <c r="AL27">
        <v>0</v>
      </c>
      <c r="AM27">
        <v>0</v>
      </c>
      <c r="AN27">
        <v>5001.2</v>
      </c>
      <c r="AO27">
        <v>0</v>
      </c>
      <c r="AP27">
        <v>1.6937899999999999</v>
      </c>
      <c r="AQ27">
        <v>-0.27572026666666699</v>
      </c>
      <c r="AR27">
        <v>416.13693333333299</v>
      </c>
      <c r="AS27">
        <v>416.01373333333299</v>
      </c>
      <c r="AT27">
        <v>0.95444580000000001</v>
      </c>
      <c r="AU27">
        <v>410.00886666666702</v>
      </c>
      <c r="AV27">
        <v>14.4339266666667</v>
      </c>
      <c r="AW27">
        <v>1.54038733333333</v>
      </c>
      <c r="AX27">
        <v>1.4448479999999999</v>
      </c>
      <c r="AY27">
        <v>13.3750533333333</v>
      </c>
      <c r="AZ27">
        <v>12.3966666666667</v>
      </c>
      <c r="BA27">
        <v>299.999666666667</v>
      </c>
      <c r="BB27">
        <v>0.90000586666666704</v>
      </c>
      <c r="BC27">
        <v>0</v>
      </c>
      <c r="BD27">
        <v>9.9994173333333297E-2</v>
      </c>
      <c r="BE27">
        <v>0</v>
      </c>
      <c r="BF27">
        <v>24</v>
      </c>
      <c r="BG27">
        <v>4946.6413333333303</v>
      </c>
      <c r="BH27">
        <v>1769194585</v>
      </c>
      <c r="BI27" t="s">
        <v>289</v>
      </c>
      <c r="BJ27">
        <v>1769194579</v>
      </c>
      <c r="BK27">
        <v>1769194585</v>
      </c>
      <c r="BL27">
        <v>1</v>
      </c>
      <c r="BM27">
        <v>2.3E-2</v>
      </c>
      <c r="BN27">
        <v>3.0000000000000001E-3</v>
      </c>
      <c r="BO27">
        <v>-0.85299999999999998</v>
      </c>
      <c r="BP27">
        <v>9.2999999999999999E-2</v>
      </c>
      <c r="BQ27">
        <v>410</v>
      </c>
      <c r="BR27">
        <v>15</v>
      </c>
      <c r="BS27">
        <v>0.28000000000000003</v>
      </c>
      <c r="BT27">
        <v>0.05</v>
      </c>
      <c r="BU27">
        <v>-0.28702219047618999</v>
      </c>
      <c r="BV27">
        <v>0.116475584415584</v>
      </c>
      <c r="BW27">
        <v>2.55350263394067E-2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0.947161380952381</v>
      </c>
      <c r="CD27">
        <v>0.119921922077923</v>
      </c>
      <c r="CE27">
        <v>1.34627842888184E-2</v>
      </c>
      <c r="CF27">
        <v>0</v>
      </c>
      <c r="CG27">
        <v>1</v>
      </c>
      <c r="CH27">
        <v>2</v>
      </c>
      <c r="CI27" t="s">
        <v>297</v>
      </c>
      <c r="CJ27">
        <v>3.5325799999999998</v>
      </c>
      <c r="CK27">
        <v>2.7030599999999998</v>
      </c>
      <c r="CL27">
        <v>9.7772700000000004E-2</v>
      </c>
      <c r="CM27">
        <v>9.6466300000000005E-2</v>
      </c>
      <c r="CN27">
        <v>8.6881799999999995E-2</v>
      </c>
      <c r="CO27">
        <v>8.1992499999999996E-2</v>
      </c>
      <c r="CP27">
        <v>31610.5</v>
      </c>
      <c r="CQ27">
        <v>27775.3</v>
      </c>
      <c r="CR27">
        <v>32429.200000000001</v>
      </c>
      <c r="CS27">
        <v>30670</v>
      </c>
      <c r="CT27">
        <v>40102.400000000001</v>
      </c>
      <c r="CU27">
        <v>39594.6</v>
      </c>
      <c r="CV27">
        <v>47365</v>
      </c>
      <c r="CW27">
        <v>46775.3</v>
      </c>
      <c r="CX27">
        <v>2.61572</v>
      </c>
      <c r="CY27">
        <v>2.1235400000000002</v>
      </c>
      <c r="CZ27">
        <v>0</v>
      </c>
      <c r="DA27">
        <v>0</v>
      </c>
      <c r="DB27">
        <v>999.9</v>
      </c>
      <c r="DC27">
        <v>999.9</v>
      </c>
      <c r="DD27">
        <v>66.03</v>
      </c>
      <c r="DE27">
        <v>26.838000000000001</v>
      </c>
      <c r="DF27">
        <v>23.385400000000001</v>
      </c>
      <c r="DG27">
        <v>30.25</v>
      </c>
      <c r="DH27">
        <v>16.041699999999999</v>
      </c>
      <c r="DI27">
        <v>2</v>
      </c>
      <c r="DJ27">
        <v>-8.1254099999999996E-2</v>
      </c>
      <c r="DK27">
        <v>1.8390599999999999</v>
      </c>
      <c r="DL27">
        <v>20.221699999999998</v>
      </c>
      <c r="DM27">
        <v>5.2498800000000001</v>
      </c>
      <c r="DN27">
        <v>12.033899999999999</v>
      </c>
      <c r="DO27">
        <v>4.9674800000000001</v>
      </c>
      <c r="DP27">
        <v>3.2909999999999999</v>
      </c>
      <c r="DQ27">
        <v>536.1</v>
      </c>
      <c r="DR27">
        <v>9999</v>
      </c>
      <c r="DS27">
        <v>9999</v>
      </c>
      <c r="DT27">
        <v>9999</v>
      </c>
      <c r="DU27">
        <v>1.87103</v>
      </c>
      <c r="DV27">
        <v>1.8760699999999999</v>
      </c>
      <c r="DW27">
        <v>1.8762300000000001</v>
      </c>
      <c r="DX27">
        <v>1.8827799999999999</v>
      </c>
      <c r="DY27">
        <v>1.8754999999999999</v>
      </c>
      <c r="DZ27">
        <v>1.87463</v>
      </c>
      <c r="EA27">
        <v>1.8707400000000001</v>
      </c>
      <c r="EB27">
        <v>1.87456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-0.85299999999999998</v>
      </c>
      <c r="EQ27">
        <v>9.3100000000000002E-2</v>
      </c>
      <c r="ER27">
        <v>-0.85300000000006504</v>
      </c>
      <c r="ES27">
        <v>0</v>
      </c>
      <c r="ET27">
        <v>0</v>
      </c>
      <c r="EU27">
        <v>0</v>
      </c>
      <c r="EV27">
        <v>9.3120000000002506E-2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1.2365699999999999</v>
      </c>
      <c r="FG27">
        <v>2.5830099999999998</v>
      </c>
      <c r="FH27">
        <v>2.19604</v>
      </c>
      <c r="FI27">
        <v>2.65991</v>
      </c>
      <c r="FJ27">
        <v>2.4462899999999999</v>
      </c>
      <c r="FK27">
        <v>2.2827099999999998</v>
      </c>
      <c r="FL27">
        <v>31.695499999999999</v>
      </c>
      <c r="FM27">
        <v>24.148800000000001</v>
      </c>
      <c r="FN27">
        <v>19</v>
      </c>
      <c r="FO27">
        <v>867.00099999999998</v>
      </c>
      <c r="FP27">
        <v>577.005</v>
      </c>
      <c r="FQ27">
        <v>18.3825</v>
      </c>
      <c r="FR27">
        <v>25.973600000000001</v>
      </c>
      <c r="FS27">
        <v>29.999500000000001</v>
      </c>
      <c r="FT27">
        <v>26.020600000000002</v>
      </c>
      <c r="FU27">
        <v>26.0181</v>
      </c>
      <c r="FV27">
        <v>24.813400000000001</v>
      </c>
      <c r="FW27">
        <v>39.971299999999999</v>
      </c>
      <c r="FX27">
        <v>45.096899999999998</v>
      </c>
      <c r="FY27">
        <v>18.3858</v>
      </c>
      <c r="FZ27">
        <v>410</v>
      </c>
      <c r="GA27">
        <v>14.4979</v>
      </c>
      <c r="GB27">
        <v>99.800600000000003</v>
      </c>
      <c r="GC27">
        <v>99.572500000000005</v>
      </c>
    </row>
    <row r="28" spans="1:185" x14ac:dyDescent="0.2">
      <c r="A28">
        <v>13</v>
      </c>
      <c r="B28">
        <v>1769194752</v>
      </c>
      <c r="C28">
        <v>191</v>
      </c>
      <c r="D28" t="s">
        <v>319</v>
      </c>
      <c r="E28" t="s">
        <v>320</v>
      </c>
      <c r="F28">
        <v>15</v>
      </c>
      <c r="G28">
        <v>1769194743.9333301</v>
      </c>
      <c r="H28">
        <f t="shared" si="0"/>
        <v>7.6883675774740482E-4</v>
      </c>
      <c r="I28">
        <v>0</v>
      </c>
      <c r="J28">
        <f t="shared" si="12"/>
        <v>-2.6684190742143924E-3</v>
      </c>
      <c r="K28">
        <f t="shared" si="1"/>
        <v>-9.943548253838666E-2</v>
      </c>
      <c r="L28">
        <f t="shared" si="2"/>
        <v>69.870099006859149</v>
      </c>
      <c r="M28">
        <f t="shared" si="3"/>
        <v>1.5400779841960519</v>
      </c>
      <c r="N28">
        <f t="shared" si="4"/>
        <v>2.2042018060470507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26220.058803482389</v>
      </c>
      <c r="T28">
        <f t="shared" si="8"/>
        <v>300.00073333333302</v>
      </c>
      <c r="U28">
        <f t="shared" si="9"/>
        <v>252.90061621999487</v>
      </c>
      <c r="V28">
        <f t="shared" si="10"/>
        <v>0.84299999339999998</v>
      </c>
      <c r="W28">
        <f t="shared" si="11"/>
        <v>0.15869994452399999</v>
      </c>
      <c r="X28">
        <v>1</v>
      </c>
      <c r="Y28">
        <v>1769194743.9333301</v>
      </c>
      <c r="Z28">
        <v>409.7242</v>
      </c>
      <c r="AA28">
        <v>409.99366666666702</v>
      </c>
      <c r="AB28">
        <v>15.375173333333301</v>
      </c>
      <c r="AC28">
        <v>14.4289133333333</v>
      </c>
      <c r="AD28">
        <v>410.5772</v>
      </c>
      <c r="AE28">
        <v>15.28206</v>
      </c>
      <c r="AF28">
        <v>800.00819999999999</v>
      </c>
      <c r="AG28">
        <v>100.101266666667</v>
      </c>
      <c r="AH28">
        <v>6.5277853333333302E-2</v>
      </c>
      <c r="AI28">
        <v>18.992886666666699</v>
      </c>
      <c r="AJ28">
        <v>999.9</v>
      </c>
      <c r="AK28">
        <v>999.9</v>
      </c>
      <c r="AL28">
        <v>0</v>
      </c>
      <c r="AM28">
        <v>0</v>
      </c>
      <c r="AN28">
        <v>4995.1666666666697</v>
      </c>
      <c r="AO28">
        <v>0</v>
      </c>
      <c r="AP28">
        <v>1.6937899999999999</v>
      </c>
      <c r="AQ28">
        <v>-0.269421466666667</v>
      </c>
      <c r="AR28">
        <v>416.12200000000001</v>
      </c>
      <c r="AS28">
        <v>415.99593333333303</v>
      </c>
      <c r="AT28">
        <v>0.94626326666666705</v>
      </c>
      <c r="AU28">
        <v>409.99366666666702</v>
      </c>
      <c r="AV28">
        <v>14.4289133333333</v>
      </c>
      <c r="AW28">
        <v>1.5390740000000001</v>
      </c>
      <c r="AX28">
        <v>1.4443506666666699</v>
      </c>
      <c r="AY28">
        <v>13.361966666666699</v>
      </c>
      <c r="AZ28">
        <v>12.391446666666701</v>
      </c>
      <c r="BA28">
        <v>300.00073333333302</v>
      </c>
      <c r="BB28">
        <v>0.90000080000000005</v>
      </c>
      <c r="BC28">
        <v>0</v>
      </c>
      <c r="BD28">
        <v>9.999922E-2</v>
      </c>
      <c r="BE28">
        <v>0</v>
      </c>
      <c r="BF28">
        <v>24</v>
      </c>
      <c r="BG28">
        <v>4946.6513333333296</v>
      </c>
      <c r="BH28">
        <v>1769194585</v>
      </c>
      <c r="BI28" t="s">
        <v>289</v>
      </c>
      <c r="BJ28">
        <v>1769194579</v>
      </c>
      <c r="BK28">
        <v>1769194585</v>
      </c>
      <c r="BL28">
        <v>1</v>
      </c>
      <c r="BM28">
        <v>2.3E-2</v>
      </c>
      <c r="BN28">
        <v>3.0000000000000001E-3</v>
      </c>
      <c r="BO28">
        <v>-0.85299999999999998</v>
      </c>
      <c r="BP28">
        <v>9.2999999999999999E-2</v>
      </c>
      <c r="BQ28">
        <v>410</v>
      </c>
      <c r="BR28">
        <v>15</v>
      </c>
      <c r="BS28">
        <v>0.28000000000000003</v>
      </c>
      <c r="BT28">
        <v>0.05</v>
      </c>
      <c r="BU28">
        <v>-0.27493905000000002</v>
      </c>
      <c r="BV28">
        <v>1.12509022556387E-2</v>
      </c>
      <c r="BW28">
        <v>2.5117892967912302E-2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0.94896605000000001</v>
      </c>
      <c r="CD28">
        <v>-2.5081398496241001E-2</v>
      </c>
      <c r="CE28">
        <v>7.0425713306646702E-3</v>
      </c>
      <c r="CF28">
        <v>1</v>
      </c>
      <c r="CG28">
        <v>2</v>
      </c>
      <c r="CH28">
        <v>2</v>
      </c>
      <c r="CI28" t="s">
        <v>304</v>
      </c>
      <c r="CJ28">
        <v>3.5325099999999998</v>
      </c>
      <c r="CK28">
        <v>2.7031000000000001</v>
      </c>
      <c r="CL28">
        <v>9.7776699999999994E-2</v>
      </c>
      <c r="CM28">
        <v>9.6463999999999994E-2</v>
      </c>
      <c r="CN28">
        <v>8.6875999999999995E-2</v>
      </c>
      <c r="CO28">
        <v>8.1974699999999998E-2</v>
      </c>
      <c r="CP28">
        <v>31611.3</v>
      </c>
      <c r="CQ28">
        <v>27777.200000000001</v>
      </c>
      <c r="CR28">
        <v>32430</v>
      </c>
      <c r="CS28">
        <v>30671.9</v>
      </c>
      <c r="CT28">
        <v>40103.199999999997</v>
      </c>
      <c r="CU28">
        <v>39597.599999999999</v>
      </c>
      <c r="CV28">
        <v>47365.8</v>
      </c>
      <c r="CW28">
        <v>46777.9</v>
      </c>
      <c r="CX28">
        <v>2.61592</v>
      </c>
      <c r="CY28">
        <v>2.1240600000000001</v>
      </c>
      <c r="CZ28">
        <v>0</v>
      </c>
      <c r="DA28">
        <v>0</v>
      </c>
      <c r="DB28">
        <v>999.9</v>
      </c>
      <c r="DC28">
        <v>999.9</v>
      </c>
      <c r="DD28">
        <v>65.852999999999994</v>
      </c>
      <c r="DE28">
        <v>26.847999999999999</v>
      </c>
      <c r="DF28">
        <v>23.336200000000002</v>
      </c>
      <c r="DG28">
        <v>30.46</v>
      </c>
      <c r="DH28">
        <v>16.0777</v>
      </c>
      <c r="DI28">
        <v>2</v>
      </c>
      <c r="DJ28">
        <v>-8.31789E-2</v>
      </c>
      <c r="DK28">
        <v>1.8479699999999999</v>
      </c>
      <c r="DL28">
        <v>20.221499999999999</v>
      </c>
      <c r="DM28">
        <v>5.2511900000000002</v>
      </c>
      <c r="DN28">
        <v>12.033899999999999</v>
      </c>
      <c r="DO28">
        <v>4.9677199999999999</v>
      </c>
      <c r="DP28">
        <v>3.2910200000000001</v>
      </c>
      <c r="DQ28">
        <v>536.1</v>
      </c>
      <c r="DR28">
        <v>9999</v>
      </c>
      <c r="DS28">
        <v>9999</v>
      </c>
      <c r="DT28">
        <v>9999</v>
      </c>
      <c r="DU28">
        <v>1.87103</v>
      </c>
      <c r="DV28">
        <v>1.8760699999999999</v>
      </c>
      <c r="DW28">
        <v>1.8762399999999999</v>
      </c>
      <c r="DX28">
        <v>1.8827799999999999</v>
      </c>
      <c r="DY28">
        <v>1.8755599999999999</v>
      </c>
      <c r="DZ28">
        <v>1.8746499999999999</v>
      </c>
      <c r="EA28">
        <v>1.8707400000000001</v>
      </c>
      <c r="EB28">
        <v>1.8745700000000001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-0.85299999999999998</v>
      </c>
      <c r="EQ28">
        <v>9.3100000000000002E-2</v>
      </c>
      <c r="ER28">
        <v>-0.85300000000006504</v>
      </c>
      <c r="ES28">
        <v>0</v>
      </c>
      <c r="ET28">
        <v>0</v>
      </c>
      <c r="EU28">
        <v>0</v>
      </c>
      <c r="EV28">
        <v>9.3120000000002506E-2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1.2365699999999999</v>
      </c>
      <c r="FG28">
        <v>2.5854499999999998</v>
      </c>
      <c r="FH28">
        <v>2.19604</v>
      </c>
      <c r="FI28">
        <v>2.66113</v>
      </c>
      <c r="FJ28">
        <v>2.4462899999999999</v>
      </c>
      <c r="FK28">
        <v>2.2668499999999998</v>
      </c>
      <c r="FL28">
        <v>31.695499999999999</v>
      </c>
      <c r="FM28">
        <v>24.148800000000001</v>
      </c>
      <c r="FN28">
        <v>19</v>
      </c>
      <c r="FO28">
        <v>866.90099999999995</v>
      </c>
      <c r="FP28">
        <v>577.20799999999997</v>
      </c>
      <c r="FQ28">
        <v>18.405999999999999</v>
      </c>
      <c r="FR28">
        <v>25.9495</v>
      </c>
      <c r="FS28">
        <v>29.999500000000001</v>
      </c>
      <c r="FT28">
        <v>26.002500000000001</v>
      </c>
      <c r="FU28">
        <v>26.0002</v>
      </c>
      <c r="FV28">
        <v>24.814900000000002</v>
      </c>
      <c r="FW28">
        <v>39.678400000000003</v>
      </c>
      <c r="FX28">
        <v>44.716700000000003</v>
      </c>
      <c r="FY28">
        <v>18.405899999999999</v>
      </c>
      <c r="FZ28">
        <v>410</v>
      </c>
      <c r="GA28">
        <v>14.498900000000001</v>
      </c>
      <c r="GB28">
        <v>99.802700000000002</v>
      </c>
      <c r="GC28">
        <v>99.578400000000002</v>
      </c>
    </row>
    <row r="29" spans="1:185" x14ac:dyDescent="0.2">
      <c r="A29">
        <v>14</v>
      </c>
      <c r="B29">
        <v>1769194767</v>
      </c>
      <c r="C29">
        <v>206</v>
      </c>
      <c r="D29" t="s">
        <v>321</v>
      </c>
      <c r="E29" t="s">
        <v>322</v>
      </c>
      <c r="F29">
        <v>15</v>
      </c>
      <c r="G29">
        <v>1769194758.9333301</v>
      </c>
      <c r="H29">
        <f t="shared" si="0"/>
        <v>7.4238867763887033E-4</v>
      </c>
      <c r="I29">
        <v>0</v>
      </c>
      <c r="J29">
        <f t="shared" si="12"/>
        <v>-2.3472444922941291E-3</v>
      </c>
      <c r="K29">
        <f t="shared" si="1"/>
        <v>-8.7467291394456886E-2</v>
      </c>
      <c r="L29">
        <f t="shared" si="2"/>
        <v>69.820231213977223</v>
      </c>
      <c r="M29">
        <f t="shared" si="3"/>
        <v>1.540159869223215</v>
      </c>
      <c r="N29">
        <f t="shared" si="4"/>
        <v>2.2058933957166449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26286.04194692973</v>
      </c>
      <c r="T29">
        <f t="shared" si="8"/>
        <v>300.00113333333297</v>
      </c>
      <c r="U29">
        <f t="shared" si="9"/>
        <v>252.90098852012466</v>
      </c>
      <c r="V29">
        <f t="shared" si="10"/>
        <v>0.84300011039999945</v>
      </c>
      <c r="W29">
        <f t="shared" si="11"/>
        <v>0.15870030198399987</v>
      </c>
      <c r="X29">
        <v>1</v>
      </c>
      <c r="Y29">
        <v>1769194758.9333301</v>
      </c>
      <c r="Z29">
        <v>409.70653333333303</v>
      </c>
      <c r="AA29">
        <v>409.97739999999999</v>
      </c>
      <c r="AB29">
        <v>15.37616</v>
      </c>
      <c r="AC29">
        <v>14.4624466666667</v>
      </c>
      <c r="AD29">
        <v>410.55953333333298</v>
      </c>
      <c r="AE29">
        <v>15.283053333333299</v>
      </c>
      <c r="AF29">
        <v>800.00319999999999</v>
      </c>
      <c r="AG29">
        <v>100.1002</v>
      </c>
      <c r="AH29">
        <v>6.52424266666667E-2</v>
      </c>
      <c r="AI29">
        <v>19.005179999999999</v>
      </c>
      <c r="AJ29">
        <v>999.9</v>
      </c>
      <c r="AK29">
        <v>999.9</v>
      </c>
      <c r="AL29">
        <v>0</v>
      </c>
      <c r="AM29">
        <v>0</v>
      </c>
      <c r="AN29">
        <v>5006.2666666666701</v>
      </c>
      <c r="AO29">
        <v>0</v>
      </c>
      <c r="AP29">
        <v>1.6937899999999999</v>
      </c>
      <c r="AQ29">
        <v>-0.27082533333333297</v>
      </c>
      <c r="AR29">
        <v>416.104733333333</v>
      </c>
      <c r="AS29">
        <v>415.99373333333301</v>
      </c>
      <c r="AT29">
        <v>0.91372520000000002</v>
      </c>
      <c r="AU29">
        <v>409.97739999999999</v>
      </c>
      <c r="AV29">
        <v>14.4624466666667</v>
      </c>
      <c r="AW29">
        <v>1.539158</v>
      </c>
      <c r="AX29">
        <v>1.4476946666666699</v>
      </c>
      <c r="AY29">
        <v>13.3628133333333</v>
      </c>
      <c r="AZ29">
        <v>12.426626666666699</v>
      </c>
      <c r="BA29">
        <v>300.00113333333297</v>
      </c>
      <c r="BB29">
        <v>0.89999593333333305</v>
      </c>
      <c r="BC29">
        <v>0</v>
      </c>
      <c r="BD29">
        <v>0.100004053333333</v>
      </c>
      <c r="BE29">
        <v>0</v>
      </c>
      <c r="BF29">
        <v>24</v>
      </c>
      <c r="BG29">
        <v>4946.6486666666697</v>
      </c>
      <c r="BH29">
        <v>1769194585</v>
      </c>
      <c r="BI29" t="s">
        <v>289</v>
      </c>
      <c r="BJ29">
        <v>1769194579</v>
      </c>
      <c r="BK29">
        <v>1769194585</v>
      </c>
      <c r="BL29">
        <v>1</v>
      </c>
      <c r="BM29">
        <v>2.3E-2</v>
      </c>
      <c r="BN29">
        <v>3.0000000000000001E-3</v>
      </c>
      <c r="BO29">
        <v>-0.85299999999999998</v>
      </c>
      <c r="BP29">
        <v>9.2999999999999999E-2</v>
      </c>
      <c r="BQ29">
        <v>410</v>
      </c>
      <c r="BR29">
        <v>15</v>
      </c>
      <c r="BS29">
        <v>0.28000000000000003</v>
      </c>
      <c r="BT29">
        <v>0.05</v>
      </c>
      <c r="BU29">
        <v>-0.27346814285714299</v>
      </c>
      <c r="BV29">
        <v>-1.8829558441558699E-2</v>
      </c>
      <c r="BW29">
        <v>2.2086825709729599E-2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0.92405966666666695</v>
      </c>
      <c r="CD29">
        <v>-0.17194511688311501</v>
      </c>
      <c r="CE29">
        <v>2.3063760494051799E-2</v>
      </c>
      <c r="CF29">
        <v>0</v>
      </c>
      <c r="CG29">
        <v>1</v>
      </c>
      <c r="CH29">
        <v>2</v>
      </c>
      <c r="CI29" t="s">
        <v>297</v>
      </c>
      <c r="CJ29">
        <v>3.5325799999999998</v>
      </c>
      <c r="CK29">
        <v>2.70289</v>
      </c>
      <c r="CL29">
        <v>9.7784899999999994E-2</v>
      </c>
      <c r="CM29">
        <v>9.6473299999999998E-2</v>
      </c>
      <c r="CN29">
        <v>8.6955900000000003E-2</v>
      </c>
      <c r="CO29">
        <v>8.2189399999999996E-2</v>
      </c>
      <c r="CP29">
        <v>31611.9</v>
      </c>
      <c r="CQ29">
        <v>27778.799999999999</v>
      </c>
      <c r="CR29">
        <v>32430.799999999999</v>
      </c>
      <c r="CS29">
        <v>30673.9</v>
      </c>
      <c r="CT29">
        <v>40100.5</v>
      </c>
      <c r="CU29">
        <v>39590.5</v>
      </c>
      <c r="CV29">
        <v>47367</v>
      </c>
      <c r="CW29">
        <v>46780.7</v>
      </c>
      <c r="CX29">
        <v>2.6160999999999999</v>
      </c>
      <c r="CY29">
        <v>2.1244200000000002</v>
      </c>
      <c r="CZ29">
        <v>0</v>
      </c>
      <c r="DA29">
        <v>0</v>
      </c>
      <c r="DB29">
        <v>999.9</v>
      </c>
      <c r="DC29">
        <v>999.9</v>
      </c>
      <c r="DD29">
        <v>65.67</v>
      </c>
      <c r="DE29">
        <v>26.847999999999999</v>
      </c>
      <c r="DF29">
        <v>23.272200000000002</v>
      </c>
      <c r="DG29">
        <v>30.37</v>
      </c>
      <c r="DH29">
        <v>16.161899999999999</v>
      </c>
      <c r="DI29">
        <v>2</v>
      </c>
      <c r="DJ29">
        <v>-8.2979700000000003E-2</v>
      </c>
      <c r="DK29">
        <v>2.40428</v>
      </c>
      <c r="DL29">
        <v>20.212299999999999</v>
      </c>
      <c r="DM29">
        <v>5.2505899999999999</v>
      </c>
      <c r="DN29">
        <v>12.033899999999999</v>
      </c>
      <c r="DO29">
        <v>4.9675200000000004</v>
      </c>
      <c r="DP29">
        <v>3.2909999999999999</v>
      </c>
      <c r="DQ29">
        <v>536.1</v>
      </c>
      <c r="DR29">
        <v>9999</v>
      </c>
      <c r="DS29">
        <v>9999</v>
      </c>
      <c r="DT29">
        <v>9999</v>
      </c>
      <c r="DU29">
        <v>1.87104</v>
      </c>
      <c r="DV29">
        <v>1.8760699999999999</v>
      </c>
      <c r="DW29">
        <v>1.87626</v>
      </c>
      <c r="DX29">
        <v>1.8827799999999999</v>
      </c>
      <c r="DY29">
        <v>1.8755900000000001</v>
      </c>
      <c r="DZ29">
        <v>1.87466</v>
      </c>
      <c r="EA29">
        <v>1.87077</v>
      </c>
      <c r="EB29">
        <v>1.87456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-0.85299999999999998</v>
      </c>
      <c r="EQ29">
        <v>9.3100000000000002E-2</v>
      </c>
      <c r="ER29">
        <v>-0.85300000000006504</v>
      </c>
      <c r="ES29">
        <v>0</v>
      </c>
      <c r="ET29">
        <v>0</v>
      </c>
      <c r="EU29">
        <v>0</v>
      </c>
      <c r="EV29">
        <v>9.3120000000002506E-2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1.2365699999999999</v>
      </c>
      <c r="FG29">
        <v>2.5842299999999998</v>
      </c>
      <c r="FH29">
        <v>2.19604</v>
      </c>
      <c r="FI29">
        <v>2.66113</v>
      </c>
      <c r="FJ29">
        <v>2.4462899999999999</v>
      </c>
      <c r="FK29">
        <v>2.2607400000000002</v>
      </c>
      <c r="FL29">
        <v>31.695499999999999</v>
      </c>
      <c r="FM29">
        <v>24.14</v>
      </c>
      <c r="FN29">
        <v>19</v>
      </c>
      <c r="FO29">
        <v>866.74800000000005</v>
      </c>
      <c r="FP29">
        <v>577.26800000000003</v>
      </c>
      <c r="FQ29">
        <v>18.188800000000001</v>
      </c>
      <c r="FR29">
        <v>25.9237</v>
      </c>
      <c r="FS29">
        <v>30.0001</v>
      </c>
      <c r="FT29">
        <v>25.982399999999998</v>
      </c>
      <c r="FU29">
        <v>25.980599999999999</v>
      </c>
      <c r="FV29">
        <v>24.814699999999998</v>
      </c>
      <c r="FW29">
        <v>39.678400000000003</v>
      </c>
      <c r="FX29">
        <v>43.960099999999997</v>
      </c>
      <c r="FY29">
        <v>18.1828</v>
      </c>
      <c r="FZ29">
        <v>410</v>
      </c>
      <c r="GA29">
        <v>14.4983</v>
      </c>
      <c r="GB29">
        <v>99.805199999999999</v>
      </c>
      <c r="GC29">
        <v>99.584500000000006</v>
      </c>
    </row>
    <row r="30" spans="1:185" x14ac:dyDescent="0.2">
      <c r="A30">
        <v>15</v>
      </c>
      <c r="B30">
        <v>1769194782</v>
      </c>
      <c r="C30">
        <v>221</v>
      </c>
      <c r="D30" t="s">
        <v>323</v>
      </c>
      <c r="E30" t="s">
        <v>324</v>
      </c>
      <c r="F30">
        <v>15</v>
      </c>
      <c r="G30">
        <v>1769194773.9333301</v>
      </c>
      <c r="H30">
        <f t="shared" si="0"/>
        <v>7.6173963664770482E-4</v>
      </c>
      <c r="I30">
        <v>0</v>
      </c>
      <c r="J30">
        <f t="shared" si="12"/>
        <v>-2.703476245870954E-3</v>
      </c>
      <c r="K30">
        <f t="shared" si="1"/>
        <v>-0.10074184660008396</v>
      </c>
      <c r="L30">
        <f t="shared" si="2"/>
        <v>69.879184385190129</v>
      </c>
      <c r="M30">
        <f t="shared" si="3"/>
        <v>1.5406256028996468</v>
      </c>
      <c r="N30">
        <f t="shared" si="4"/>
        <v>2.204698890598614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26283.262146147452</v>
      </c>
      <c r="T30">
        <f t="shared" si="8"/>
        <v>300.00046666666702</v>
      </c>
      <c r="U30">
        <f t="shared" si="9"/>
        <v>252.90046246010763</v>
      </c>
      <c r="V30">
        <f t="shared" si="10"/>
        <v>0.8430002301999997</v>
      </c>
      <c r="W30">
        <f t="shared" si="11"/>
        <v>0.15870058849199997</v>
      </c>
      <c r="X30">
        <v>1</v>
      </c>
      <c r="Y30">
        <v>1769194773.9333301</v>
      </c>
      <c r="Z30">
        <v>409.72519999999997</v>
      </c>
      <c r="AA30">
        <v>409.98939999999999</v>
      </c>
      <c r="AB30">
        <v>15.380926666666699</v>
      </c>
      <c r="AC30">
        <v>14.4434066666667</v>
      </c>
      <c r="AD30">
        <v>410.57813333333303</v>
      </c>
      <c r="AE30">
        <v>15.287793333333299</v>
      </c>
      <c r="AF30">
        <v>800.00786666666704</v>
      </c>
      <c r="AG30">
        <v>100.09973333333301</v>
      </c>
      <c r="AH30">
        <v>6.4947006666666696E-2</v>
      </c>
      <c r="AI30">
        <v>18.996500000000001</v>
      </c>
      <c r="AJ30">
        <v>999.9</v>
      </c>
      <c r="AK30">
        <v>999.9</v>
      </c>
      <c r="AL30">
        <v>0</v>
      </c>
      <c r="AM30">
        <v>0</v>
      </c>
      <c r="AN30">
        <v>5005.7</v>
      </c>
      <c r="AO30">
        <v>0</v>
      </c>
      <c r="AP30">
        <v>1.6937899999999999</v>
      </c>
      <c r="AQ30">
        <v>-0.26412960000000002</v>
      </c>
      <c r="AR30">
        <v>416.12553333333301</v>
      </c>
      <c r="AS30">
        <v>415.99779999999998</v>
      </c>
      <c r="AT30">
        <v>0.93750693333333301</v>
      </c>
      <c r="AU30">
        <v>409.98939999999999</v>
      </c>
      <c r="AV30">
        <v>14.4434066666667</v>
      </c>
      <c r="AW30">
        <v>1.5396253333333301</v>
      </c>
      <c r="AX30">
        <v>1.4457819999999999</v>
      </c>
      <c r="AY30">
        <v>13.367466666666701</v>
      </c>
      <c r="AZ30">
        <v>12.406513333333301</v>
      </c>
      <c r="BA30">
        <v>300.00046666666702</v>
      </c>
      <c r="BB30">
        <v>0.89999213333333306</v>
      </c>
      <c r="BC30">
        <v>0</v>
      </c>
      <c r="BD30">
        <v>0.10000786</v>
      </c>
      <c r="BE30">
        <v>0</v>
      </c>
      <c r="BF30">
        <v>24</v>
      </c>
      <c r="BG30">
        <v>4946.63</v>
      </c>
      <c r="BH30">
        <v>1769194585</v>
      </c>
      <c r="BI30" t="s">
        <v>289</v>
      </c>
      <c r="BJ30">
        <v>1769194579</v>
      </c>
      <c r="BK30">
        <v>1769194585</v>
      </c>
      <c r="BL30">
        <v>1</v>
      </c>
      <c r="BM30">
        <v>2.3E-2</v>
      </c>
      <c r="BN30">
        <v>3.0000000000000001E-3</v>
      </c>
      <c r="BO30">
        <v>-0.85299999999999998</v>
      </c>
      <c r="BP30">
        <v>9.2999999999999999E-2</v>
      </c>
      <c r="BQ30">
        <v>410</v>
      </c>
      <c r="BR30">
        <v>15</v>
      </c>
      <c r="BS30">
        <v>0.28000000000000003</v>
      </c>
      <c r="BT30">
        <v>0.05</v>
      </c>
      <c r="BU30">
        <v>-0.27060855</v>
      </c>
      <c r="BV30">
        <v>9.4282330827067898E-2</v>
      </c>
      <c r="BW30">
        <v>1.8870269636322101E-2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0.93141214999999999</v>
      </c>
      <c r="CD30">
        <v>0.14483210526315701</v>
      </c>
      <c r="CE30">
        <v>1.41091307750513E-2</v>
      </c>
      <c r="CF30">
        <v>0</v>
      </c>
      <c r="CG30">
        <v>1</v>
      </c>
      <c r="CH30">
        <v>2</v>
      </c>
      <c r="CI30" t="s">
        <v>297</v>
      </c>
      <c r="CJ30">
        <v>3.53247</v>
      </c>
      <c r="CK30">
        <v>2.7023899999999998</v>
      </c>
      <c r="CL30">
        <v>9.7788100000000003E-2</v>
      </c>
      <c r="CM30">
        <v>9.6481200000000003E-2</v>
      </c>
      <c r="CN30">
        <v>8.6896500000000002E-2</v>
      </c>
      <c r="CO30">
        <v>8.2001000000000004E-2</v>
      </c>
      <c r="CP30">
        <v>31613.7</v>
      </c>
      <c r="CQ30">
        <v>27780.5</v>
      </c>
      <c r="CR30">
        <v>32432.7</v>
      </c>
      <c r="CS30">
        <v>30675.9</v>
      </c>
      <c r="CT30">
        <v>40105.4</v>
      </c>
      <c r="CU30">
        <v>39601</v>
      </c>
      <c r="CV30">
        <v>47369.7</v>
      </c>
      <c r="CW30">
        <v>46783.3</v>
      </c>
      <c r="CX30">
        <v>2.6166999999999998</v>
      </c>
      <c r="CY30">
        <v>2.1248</v>
      </c>
      <c r="CZ30">
        <v>0</v>
      </c>
      <c r="DA30">
        <v>0</v>
      </c>
      <c r="DB30">
        <v>999.9</v>
      </c>
      <c r="DC30">
        <v>999.9</v>
      </c>
      <c r="DD30">
        <v>65.474000000000004</v>
      </c>
      <c r="DE30">
        <v>26.878</v>
      </c>
      <c r="DF30">
        <v>23.244</v>
      </c>
      <c r="DG30">
        <v>30.31</v>
      </c>
      <c r="DH30">
        <v>16.2179</v>
      </c>
      <c r="DI30">
        <v>2</v>
      </c>
      <c r="DJ30">
        <v>-8.69167E-2</v>
      </c>
      <c r="DK30">
        <v>2.0745</v>
      </c>
      <c r="DL30">
        <v>20.2181</v>
      </c>
      <c r="DM30">
        <v>5.25047</v>
      </c>
      <c r="DN30">
        <v>12.033899999999999</v>
      </c>
      <c r="DO30">
        <v>4.9674399999999999</v>
      </c>
      <c r="DP30">
        <v>3.2909999999999999</v>
      </c>
      <c r="DQ30">
        <v>536.1</v>
      </c>
      <c r="DR30">
        <v>9999</v>
      </c>
      <c r="DS30">
        <v>9999</v>
      </c>
      <c r="DT30">
        <v>9999</v>
      </c>
      <c r="DU30">
        <v>1.87104</v>
      </c>
      <c r="DV30">
        <v>1.8760699999999999</v>
      </c>
      <c r="DW30">
        <v>1.8762399999999999</v>
      </c>
      <c r="DX30">
        <v>1.8827799999999999</v>
      </c>
      <c r="DY30">
        <v>1.87554</v>
      </c>
      <c r="DZ30">
        <v>1.87463</v>
      </c>
      <c r="EA30">
        <v>1.87077</v>
      </c>
      <c r="EB30">
        <v>1.87456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-0.85299999999999998</v>
      </c>
      <c r="EQ30">
        <v>9.3100000000000002E-2</v>
      </c>
      <c r="ER30">
        <v>-0.85300000000006504</v>
      </c>
      <c r="ES30">
        <v>0</v>
      </c>
      <c r="ET30">
        <v>0</v>
      </c>
      <c r="EU30">
        <v>0</v>
      </c>
      <c r="EV30">
        <v>9.3120000000002506E-2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1.2365699999999999</v>
      </c>
      <c r="FG30">
        <v>2.5817899999999998</v>
      </c>
      <c r="FH30">
        <v>2.19604</v>
      </c>
      <c r="FI30">
        <v>2.66113</v>
      </c>
      <c r="FJ30">
        <v>2.4462899999999999</v>
      </c>
      <c r="FK30">
        <v>2.3107899999999999</v>
      </c>
      <c r="FL30">
        <v>31.695499999999999</v>
      </c>
      <c r="FM30">
        <v>24.148800000000001</v>
      </c>
      <c r="FN30">
        <v>19</v>
      </c>
      <c r="FO30">
        <v>866.98</v>
      </c>
      <c r="FP30">
        <v>577.32799999999997</v>
      </c>
      <c r="FQ30">
        <v>18.1616</v>
      </c>
      <c r="FR30">
        <v>25.897500000000001</v>
      </c>
      <c r="FS30">
        <v>29.999099999999999</v>
      </c>
      <c r="FT30">
        <v>25.9617</v>
      </c>
      <c r="FU30">
        <v>25.959599999999998</v>
      </c>
      <c r="FV30">
        <v>24.815799999999999</v>
      </c>
      <c r="FW30">
        <v>39.678400000000003</v>
      </c>
      <c r="FX30">
        <v>43.214199999999998</v>
      </c>
      <c r="FY30">
        <v>18.173100000000002</v>
      </c>
      <c r="FZ30">
        <v>410</v>
      </c>
      <c r="GA30">
        <v>14.4983</v>
      </c>
      <c r="GB30">
        <v>99.8108</v>
      </c>
      <c r="GC30">
        <v>99.590299999999999</v>
      </c>
    </row>
    <row r="31" spans="1:185" x14ac:dyDescent="0.2">
      <c r="A31">
        <v>16</v>
      </c>
      <c r="B31">
        <v>1769194797</v>
      </c>
      <c r="C31">
        <v>236</v>
      </c>
      <c r="D31" t="s">
        <v>325</v>
      </c>
      <c r="E31" t="s">
        <v>326</v>
      </c>
      <c r="F31">
        <v>15</v>
      </c>
      <c r="G31">
        <v>1769194788.9333301</v>
      </c>
      <c r="H31">
        <f t="shared" si="0"/>
        <v>7.6517042825519988E-4</v>
      </c>
      <c r="I31">
        <v>0</v>
      </c>
      <c r="J31">
        <f t="shared" si="12"/>
        <v>-3.007814388049616E-3</v>
      </c>
      <c r="K31">
        <f t="shared" si="1"/>
        <v>-0.11208264771891902</v>
      </c>
      <c r="L31">
        <f t="shared" si="2"/>
        <v>69.86963266021445</v>
      </c>
      <c r="M31">
        <f t="shared" si="3"/>
        <v>1.5391209580969134</v>
      </c>
      <c r="N31">
        <f t="shared" si="4"/>
        <v>2.2028467869322697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26256.639456494297</v>
      </c>
      <c r="T31">
        <f t="shared" si="8"/>
        <v>300.00046666666702</v>
      </c>
      <c r="U31">
        <f t="shared" si="9"/>
        <v>252.90048580014394</v>
      </c>
      <c r="V31">
        <f t="shared" si="10"/>
        <v>0.8430003079999997</v>
      </c>
      <c r="W31">
        <f t="shared" si="11"/>
        <v>0.15870089991999994</v>
      </c>
      <c r="X31">
        <v>1</v>
      </c>
      <c r="Y31">
        <v>1769194788.9333301</v>
      </c>
      <c r="Z31">
        <v>409.74386666666697</v>
      </c>
      <c r="AA31">
        <v>409.99566666666698</v>
      </c>
      <c r="AB31">
        <v>15.3662266666667</v>
      </c>
      <c r="AC31">
        <v>14.424466666666699</v>
      </c>
      <c r="AD31">
        <v>410.59686666666698</v>
      </c>
      <c r="AE31">
        <v>15.273099999999999</v>
      </c>
      <c r="AF31">
        <v>800.00493333333304</v>
      </c>
      <c r="AG31">
        <v>100.097733333333</v>
      </c>
      <c r="AH31">
        <v>6.4849939999999995E-2</v>
      </c>
      <c r="AI31">
        <v>18.983033333333299</v>
      </c>
      <c r="AJ31">
        <v>999.9</v>
      </c>
      <c r="AK31">
        <v>999.9</v>
      </c>
      <c r="AL31">
        <v>0</v>
      </c>
      <c r="AM31">
        <v>0</v>
      </c>
      <c r="AN31">
        <v>5001.2</v>
      </c>
      <c r="AO31">
        <v>0</v>
      </c>
      <c r="AP31">
        <v>1.6937899999999999</v>
      </c>
      <c r="AQ31">
        <v>-0.25181486666666703</v>
      </c>
      <c r="AR31">
        <v>416.13833333333298</v>
      </c>
      <c r="AS31">
        <v>415.99613333333298</v>
      </c>
      <c r="AT31">
        <v>0.94175746666666704</v>
      </c>
      <c r="AU31">
        <v>409.99566666666698</v>
      </c>
      <c r="AV31">
        <v>14.424466666666699</v>
      </c>
      <c r="AW31">
        <v>1.538124</v>
      </c>
      <c r="AX31">
        <v>1.44385733333333</v>
      </c>
      <c r="AY31">
        <v>13.352499999999999</v>
      </c>
      <c r="AZ31">
        <v>12.3862133333333</v>
      </c>
      <c r="BA31">
        <v>300.00046666666702</v>
      </c>
      <c r="BB31">
        <v>0.8999878</v>
      </c>
      <c r="BC31">
        <v>0</v>
      </c>
      <c r="BD31">
        <v>0.100012133333333</v>
      </c>
      <c r="BE31">
        <v>0</v>
      </c>
      <c r="BF31">
        <v>24</v>
      </c>
      <c r="BG31">
        <v>4946.6239999999998</v>
      </c>
      <c r="BH31">
        <v>1769194585</v>
      </c>
      <c r="BI31" t="s">
        <v>289</v>
      </c>
      <c r="BJ31">
        <v>1769194579</v>
      </c>
      <c r="BK31">
        <v>1769194585</v>
      </c>
      <c r="BL31">
        <v>1</v>
      </c>
      <c r="BM31">
        <v>2.3E-2</v>
      </c>
      <c r="BN31">
        <v>3.0000000000000001E-3</v>
      </c>
      <c r="BO31">
        <v>-0.85299999999999998</v>
      </c>
      <c r="BP31">
        <v>9.2999999999999999E-2</v>
      </c>
      <c r="BQ31">
        <v>410</v>
      </c>
      <c r="BR31">
        <v>15</v>
      </c>
      <c r="BS31">
        <v>0.28000000000000003</v>
      </c>
      <c r="BT31">
        <v>0.05</v>
      </c>
      <c r="BU31">
        <v>-0.256016380952381</v>
      </c>
      <c r="BV31">
        <v>5.2502883116883302E-2</v>
      </c>
      <c r="BW31">
        <v>2.2264905967904699E-2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0.94390685714285705</v>
      </c>
      <c r="CD31">
        <v>-6.0892363636363703E-2</v>
      </c>
      <c r="CE31">
        <v>9.6983631769966896E-3</v>
      </c>
      <c r="CF31">
        <v>1</v>
      </c>
      <c r="CG31">
        <v>2</v>
      </c>
      <c r="CH31">
        <v>2</v>
      </c>
      <c r="CI31" t="s">
        <v>304</v>
      </c>
      <c r="CJ31">
        <v>3.5325500000000001</v>
      </c>
      <c r="CK31">
        <v>2.7027800000000002</v>
      </c>
      <c r="CL31">
        <v>9.7792500000000004E-2</v>
      </c>
      <c r="CM31">
        <v>9.6486199999999994E-2</v>
      </c>
      <c r="CN31">
        <v>8.68675E-2</v>
      </c>
      <c r="CO31">
        <v>8.2015699999999997E-2</v>
      </c>
      <c r="CP31">
        <v>31615</v>
      </c>
      <c r="CQ31">
        <v>27782.6</v>
      </c>
      <c r="CR31">
        <v>32434.1</v>
      </c>
      <c r="CS31">
        <v>30678.3</v>
      </c>
      <c r="CT31">
        <v>40108.5</v>
      </c>
      <c r="CU31">
        <v>39603.699999999997</v>
      </c>
      <c r="CV31">
        <v>47371.8</v>
      </c>
      <c r="CW31">
        <v>46787.199999999997</v>
      </c>
      <c r="CX31">
        <v>2.6172800000000001</v>
      </c>
      <c r="CY31">
        <v>2.1252399999999998</v>
      </c>
      <c r="CZ31">
        <v>0</v>
      </c>
      <c r="DA31">
        <v>0</v>
      </c>
      <c r="DB31">
        <v>999.9</v>
      </c>
      <c r="DC31">
        <v>999.9</v>
      </c>
      <c r="DD31">
        <v>65.284999999999997</v>
      </c>
      <c r="DE31">
        <v>26.888000000000002</v>
      </c>
      <c r="DF31">
        <v>23.191099999999999</v>
      </c>
      <c r="DG31">
        <v>30.19</v>
      </c>
      <c r="DH31">
        <v>16.073699999999999</v>
      </c>
      <c r="DI31">
        <v>2</v>
      </c>
      <c r="DJ31">
        <v>-8.9528399999999994E-2</v>
      </c>
      <c r="DK31">
        <v>1.9698</v>
      </c>
      <c r="DL31">
        <v>20.2197</v>
      </c>
      <c r="DM31">
        <v>5.2507099999999998</v>
      </c>
      <c r="DN31">
        <v>12.033899999999999</v>
      </c>
      <c r="DO31">
        <v>4.9675200000000004</v>
      </c>
      <c r="DP31">
        <v>3.2909999999999999</v>
      </c>
      <c r="DQ31">
        <v>536.1</v>
      </c>
      <c r="DR31">
        <v>9999</v>
      </c>
      <c r="DS31">
        <v>9999</v>
      </c>
      <c r="DT31">
        <v>9999</v>
      </c>
      <c r="DU31">
        <v>1.87103</v>
      </c>
      <c r="DV31">
        <v>1.8760699999999999</v>
      </c>
      <c r="DW31">
        <v>1.8762300000000001</v>
      </c>
      <c r="DX31">
        <v>1.8827799999999999</v>
      </c>
      <c r="DY31">
        <v>1.8755500000000001</v>
      </c>
      <c r="DZ31">
        <v>1.8746400000000001</v>
      </c>
      <c r="EA31">
        <v>1.8707499999999999</v>
      </c>
      <c r="EB31">
        <v>1.8745499999999999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-0.85299999999999998</v>
      </c>
      <c r="EQ31">
        <v>9.3200000000000005E-2</v>
      </c>
      <c r="ER31">
        <v>-0.85300000000006504</v>
      </c>
      <c r="ES31">
        <v>0</v>
      </c>
      <c r="ET31">
        <v>0</v>
      </c>
      <c r="EU31">
        <v>0</v>
      </c>
      <c r="EV31">
        <v>9.3120000000002506E-2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1.2365699999999999</v>
      </c>
      <c r="FG31">
        <v>2.5817899999999998</v>
      </c>
      <c r="FH31">
        <v>2.19604</v>
      </c>
      <c r="FI31">
        <v>2.66113</v>
      </c>
      <c r="FJ31">
        <v>2.4462899999999999</v>
      </c>
      <c r="FK31">
        <v>2.3083499999999999</v>
      </c>
      <c r="FL31">
        <v>31.695499999999999</v>
      </c>
      <c r="FM31">
        <v>24.148800000000001</v>
      </c>
      <c r="FN31">
        <v>19</v>
      </c>
      <c r="FO31">
        <v>867.18</v>
      </c>
      <c r="FP31">
        <v>577.44000000000005</v>
      </c>
      <c r="FQ31">
        <v>18.194800000000001</v>
      </c>
      <c r="FR31">
        <v>25.871400000000001</v>
      </c>
      <c r="FS31">
        <v>29.999199999999998</v>
      </c>
      <c r="FT31">
        <v>25.9404</v>
      </c>
      <c r="FU31">
        <v>25.9391</v>
      </c>
      <c r="FV31">
        <v>24.817499999999999</v>
      </c>
      <c r="FW31">
        <v>39.103299999999997</v>
      </c>
      <c r="FX31">
        <v>42.825400000000002</v>
      </c>
      <c r="FY31">
        <v>18.203900000000001</v>
      </c>
      <c r="FZ31">
        <v>410</v>
      </c>
      <c r="GA31">
        <v>14.5036</v>
      </c>
      <c r="GB31">
        <v>99.815299999999993</v>
      </c>
      <c r="GC31">
        <v>99.598500000000001</v>
      </c>
    </row>
    <row r="32" spans="1:185" x14ac:dyDescent="0.2">
      <c r="A32">
        <v>17</v>
      </c>
      <c r="B32">
        <v>1769194812</v>
      </c>
      <c r="C32">
        <v>251</v>
      </c>
      <c r="D32" t="s">
        <v>327</v>
      </c>
      <c r="E32" t="s">
        <v>328</v>
      </c>
      <c r="F32">
        <v>15</v>
      </c>
      <c r="G32">
        <v>1769194803.9333301</v>
      </c>
      <c r="H32">
        <f t="shared" si="0"/>
        <v>7.2908514653368425E-4</v>
      </c>
      <c r="I32">
        <v>0</v>
      </c>
      <c r="J32">
        <f t="shared" si="12"/>
        <v>-2.6780897608263024E-3</v>
      </c>
      <c r="K32">
        <f t="shared" si="1"/>
        <v>-9.9795849243536183E-2</v>
      </c>
      <c r="L32">
        <f t="shared" si="2"/>
        <v>69.913873298934192</v>
      </c>
      <c r="M32">
        <f t="shared" si="3"/>
        <v>1.5395592503146058</v>
      </c>
      <c r="N32">
        <f t="shared" si="4"/>
        <v>2.2020797556614213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26267.141782902785</v>
      </c>
      <c r="T32">
        <f t="shared" si="8"/>
        <v>300.00253333333302</v>
      </c>
      <c r="U32">
        <f t="shared" si="9"/>
        <v>252.90235280183384</v>
      </c>
      <c r="V32">
        <f t="shared" si="10"/>
        <v>0.84300072399999992</v>
      </c>
      <c r="W32">
        <f t="shared" si="11"/>
        <v>0.15870180999999997</v>
      </c>
      <c r="X32">
        <v>1</v>
      </c>
      <c r="Y32">
        <v>1769194803.9333301</v>
      </c>
      <c r="Z32">
        <v>409.73206666666698</v>
      </c>
      <c r="AA32">
        <v>409.98073333333298</v>
      </c>
      <c r="AB32">
        <v>15.3705466666667</v>
      </c>
      <c r="AC32">
        <v>14.4732</v>
      </c>
      <c r="AD32">
        <v>410.58506666666699</v>
      </c>
      <c r="AE32">
        <v>15.277426666666701</v>
      </c>
      <c r="AF32">
        <v>800.00153333333299</v>
      </c>
      <c r="AG32">
        <v>100.09806666666699</v>
      </c>
      <c r="AH32">
        <v>6.4880279999999999E-2</v>
      </c>
      <c r="AI32">
        <v>18.977453333333301</v>
      </c>
      <c r="AJ32">
        <v>999.9</v>
      </c>
      <c r="AK32">
        <v>999.9</v>
      </c>
      <c r="AL32">
        <v>0</v>
      </c>
      <c r="AM32">
        <v>0</v>
      </c>
      <c r="AN32">
        <v>5002.8333333333303</v>
      </c>
      <c r="AO32">
        <v>0</v>
      </c>
      <c r="AP32">
        <v>1.6937899999999999</v>
      </c>
      <c r="AQ32">
        <v>-0.248673533333333</v>
      </c>
      <c r="AR32">
        <v>416.12813333333298</v>
      </c>
      <c r="AS32">
        <v>416.0016</v>
      </c>
      <c r="AT32">
        <v>0.89734853333333298</v>
      </c>
      <c r="AU32">
        <v>409.98073333333298</v>
      </c>
      <c r="AV32">
        <v>14.4732</v>
      </c>
      <c r="AW32">
        <v>1.5385613333333299</v>
      </c>
      <c r="AX32">
        <v>1.44873933333333</v>
      </c>
      <c r="AY32">
        <v>13.356866666666701</v>
      </c>
      <c r="AZ32">
        <v>12.4375933333333</v>
      </c>
      <c r="BA32">
        <v>300.00253333333302</v>
      </c>
      <c r="BB32">
        <v>0.89997586666666696</v>
      </c>
      <c r="BC32">
        <v>0</v>
      </c>
      <c r="BD32">
        <v>0.100024133333333</v>
      </c>
      <c r="BE32">
        <v>0</v>
      </c>
      <c r="BF32">
        <v>24</v>
      </c>
      <c r="BG32">
        <v>4946.6400000000003</v>
      </c>
      <c r="BH32">
        <v>1769194585</v>
      </c>
      <c r="BI32" t="s">
        <v>289</v>
      </c>
      <c r="BJ32">
        <v>1769194579</v>
      </c>
      <c r="BK32">
        <v>1769194585</v>
      </c>
      <c r="BL32">
        <v>1</v>
      </c>
      <c r="BM32">
        <v>2.3E-2</v>
      </c>
      <c r="BN32">
        <v>3.0000000000000001E-3</v>
      </c>
      <c r="BO32">
        <v>-0.85299999999999998</v>
      </c>
      <c r="BP32">
        <v>9.2999999999999999E-2</v>
      </c>
      <c r="BQ32">
        <v>410</v>
      </c>
      <c r="BR32">
        <v>15</v>
      </c>
      <c r="BS32">
        <v>0.28000000000000003</v>
      </c>
      <c r="BT32">
        <v>0.05</v>
      </c>
      <c r="BU32">
        <v>-0.25130010000000003</v>
      </c>
      <c r="BV32">
        <v>0.111730466165413</v>
      </c>
      <c r="BW32">
        <v>2.4321313506675601E-2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0.90709704999999996</v>
      </c>
      <c r="CD32">
        <v>-0.21137228571428399</v>
      </c>
      <c r="CE32">
        <v>2.4579795042829401E-2</v>
      </c>
      <c r="CF32">
        <v>0</v>
      </c>
      <c r="CG32">
        <v>1</v>
      </c>
      <c r="CH32">
        <v>2</v>
      </c>
      <c r="CI32" t="s">
        <v>297</v>
      </c>
      <c r="CJ32">
        <v>3.5325899999999999</v>
      </c>
      <c r="CK32">
        <v>2.7025299999999999</v>
      </c>
      <c r="CL32">
        <v>9.7804199999999994E-2</v>
      </c>
      <c r="CM32">
        <v>9.6487299999999998E-2</v>
      </c>
      <c r="CN32">
        <v>8.6917099999999997E-2</v>
      </c>
      <c r="CO32">
        <v>8.2252800000000001E-2</v>
      </c>
      <c r="CP32">
        <v>31616.400000000001</v>
      </c>
      <c r="CQ32">
        <v>27784.3</v>
      </c>
      <c r="CR32">
        <v>32435.8</v>
      </c>
      <c r="CS32">
        <v>30680.1</v>
      </c>
      <c r="CT32">
        <v>40107.9</v>
      </c>
      <c r="CU32">
        <v>39595.5</v>
      </c>
      <c r="CV32">
        <v>47373.9</v>
      </c>
      <c r="CW32">
        <v>46789.9</v>
      </c>
      <c r="CX32">
        <v>2.6176200000000001</v>
      </c>
      <c r="CY32">
        <v>2.1252</v>
      </c>
      <c r="CZ32">
        <v>0</v>
      </c>
      <c r="DA32">
        <v>0</v>
      </c>
      <c r="DB32">
        <v>999.9</v>
      </c>
      <c r="DC32">
        <v>999.9</v>
      </c>
      <c r="DD32">
        <v>65.084000000000003</v>
      </c>
      <c r="DE32">
        <v>26.878</v>
      </c>
      <c r="DF32">
        <v>23.105599999999999</v>
      </c>
      <c r="DG32">
        <v>30.28</v>
      </c>
      <c r="DH32">
        <v>16.029599999999999</v>
      </c>
      <c r="DI32">
        <v>2</v>
      </c>
      <c r="DJ32">
        <v>-9.1768299999999997E-2</v>
      </c>
      <c r="DK32">
        <v>1.90893</v>
      </c>
      <c r="DL32">
        <v>20.220300000000002</v>
      </c>
      <c r="DM32">
        <v>5.2508299999999997</v>
      </c>
      <c r="DN32">
        <v>12.033899999999999</v>
      </c>
      <c r="DO32">
        <v>4.9675200000000004</v>
      </c>
      <c r="DP32">
        <v>3.2909999999999999</v>
      </c>
      <c r="DQ32">
        <v>536.1</v>
      </c>
      <c r="DR32">
        <v>9999</v>
      </c>
      <c r="DS32">
        <v>9999</v>
      </c>
      <c r="DT32">
        <v>9999</v>
      </c>
      <c r="DU32">
        <v>1.87103</v>
      </c>
      <c r="DV32">
        <v>1.8760699999999999</v>
      </c>
      <c r="DW32">
        <v>1.8762300000000001</v>
      </c>
      <c r="DX32">
        <v>1.8827799999999999</v>
      </c>
      <c r="DY32">
        <v>1.8755200000000001</v>
      </c>
      <c r="DZ32">
        <v>1.87462</v>
      </c>
      <c r="EA32">
        <v>1.87073</v>
      </c>
      <c r="EB32">
        <v>1.87456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-0.85299999999999998</v>
      </c>
      <c r="EQ32">
        <v>9.3100000000000002E-2</v>
      </c>
      <c r="ER32">
        <v>-0.85300000000006504</v>
      </c>
      <c r="ES32">
        <v>0</v>
      </c>
      <c r="ET32">
        <v>0</v>
      </c>
      <c r="EU32">
        <v>0</v>
      </c>
      <c r="EV32">
        <v>9.3120000000002506E-2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1.2365699999999999</v>
      </c>
      <c r="FG32">
        <v>2.5842299999999998</v>
      </c>
      <c r="FH32">
        <v>2.19604</v>
      </c>
      <c r="FI32">
        <v>2.66113</v>
      </c>
      <c r="FJ32">
        <v>2.4462899999999999</v>
      </c>
      <c r="FK32">
        <v>2.2912599999999999</v>
      </c>
      <c r="FL32">
        <v>31.695499999999999</v>
      </c>
      <c r="FM32">
        <v>24.148800000000001</v>
      </c>
      <c r="FN32">
        <v>19</v>
      </c>
      <c r="FO32">
        <v>867.17</v>
      </c>
      <c r="FP32">
        <v>577.18299999999999</v>
      </c>
      <c r="FQ32">
        <v>18.2441</v>
      </c>
      <c r="FR32">
        <v>25.845600000000001</v>
      </c>
      <c r="FS32">
        <v>29.999400000000001</v>
      </c>
      <c r="FT32">
        <v>25.919899999999998</v>
      </c>
      <c r="FU32">
        <v>25.918600000000001</v>
      </c>
      <c r="FV32">
        <v>24.818999999999999</v>
      </c>
      <c r="FW32">
        <v>39.103299999999997</v>
      </c>
      <c r="FX32">
        <v>42.050400000000003</v>
      </c>
      <c r="FY32">
        <v>18.250900000000001</v>
      </c>
      <c r="FZ32">
        <v>410</v>
      </c>
      <c r="GA32">
        <v>14.5025</v>
      </c>
      <c r="GB32">
        <v>99.819900000000004</v>
      </c>
      <c r="GC32">
        <v>99.604299999999995</v>
      </c>
    </row>
    <row r="33" spans="1:185" x14ac:dyDescent="0.2">
      <c r="A33">
        <v>18</v>
      </c>
      <c r="B33">
        <v>1769194827</v>
      </c>
      <c r="C33">
        <v>266</v>
      </c>
      <c r="D33" t="s">
        <v>329</v>
      </c>
      <c r="E33" t="s">
        <v>330</v>
      </c>
      <c r="F33">
        <v>15</v>
      </c>
      <c r="G33">
        <v>1769194818.9333301</v>
      </c>
      <c r="H33">
        <f t="shared" si="0"/>
        <v>7.4392652771870511E-4</v>
      </c>
      <c r="I33">
        <v>0</v>
      </c>
      <c r="J33">
        <f t="shared" si="12"/>
        <v>-5.9416155185552802E-4</v>
      </c>
      <c r="K33">
        <f t="shared" si="1"/>
        <v>-2.2140727888442711E-2</v>
      </c>
      <c r="L33">
        <f t="shared" si="2"/>
        <v>69.942277179714083</v>
      </c>
      <c r="M33">
        <f t="shared" si="3"/>
        <v>1.5403090570644411</v>
      </c>
      <c r="N33">
        <f t="shared" si="4"/>
        <v>2.2022575174478152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26193.136172687678</v>
      </c>
      <c r="T33">
        <f t="shared" si="8"/>
        <v>299.99979999999999</v>
      </c>
      <c r="U33">
        <f t="shared" si="9"/>
        <v>252.90011939980781</v>
      </c>
      <c r="V33">
        <f t="shared" si="10"/>
        <v>0.84300095999999936</v>
      </c>
      <c r="W33">
        <f t="shared" si="11"/>
        <v>0.15870227007999987</v>
      </c>
      <c r="X33">
        <v>1</v>
      </c>
      <c r="Y33">
        <v>1769194818.9333301</v>
      </c>
      <c r="Z33">
        <v>409.65666666666698</v>
      </c>
      <c r="AA33">
        <v>410.00993333333298</v>
      </c>
      <c r="AB33">
        <v>15.378073333333299</v>
      </c>
      <c r="AC33">
        <v>14.4624666666667</v>
      </c>
      <c r="AD33">
        <v>410.50966666666699</v>
      </c>
      <c r="AE33">
        <v>15.284940000000001</v>
      </c>
      <c r="AF33">
        <v>800.00113333333297</v>
      </c>
      <c r="AG33">
        <v>100.097933333333</v>
      </c>
      <c r="AH33">
        <v>6.4747886666666699E-2</v>
      </c>
      <c r="AI33">
        <v>18.978746666666702</v>
      </c>
      <c r="AJ33">
        <v>999.9</v>
      </c>
      <c r="AK33">
        <v>999.9</v>
      </c>
      <c r="AL33">
        <v>0</v>
      </c>
      <c r="AM33">
        <v>0</v>
      </c>
      <c r="AN33">
        <v>4990.6666666666697</v>
      </c>
      <c r="AO33">
        <v>0</v>
      </c>
      <c r="AP33">
        <v>1.6937899999999999</v>
      </c>
      <c r="AQ33">
        <v>-0.35347086666666699</v>
      </c>
      <c r="AR33">
        <v>416.05459999999999</v>
      </c>
      <c r="AS33">
        <v>416.02686666666699</v>
      </c>
      <c r="AT33">
        <v>0.91559939999999995</v>
      </c>
      <c r="AU33">
        <v>410.00993333333298</v>
      </c>
      <c r="AV33">
        <v>14.4624666666667</v>
      </c>
      <c r="AW33">
        <v>1.5393093333333301</v>
      </c>
      <c r="AX33">
        <v>1.44766066666667</v>
      </c>
      <c r="AY33">
        <v>13.364326666666701</v>
      </c>
      <c r="AZ33">
        <v>12.42628</v>
      </c>
      <c r="BA33">
        <v>299.99979999999999</v>
      </c>
      <c r="BB33">
        <v>0.89996993333333297</v>
      </c>
      <c r="BC33">
        <v>0</v>
      </c>
      <c r="BD33">
        <v>0.10003013333333299</v>
      </c>
      <c r="BE33">
        <v>0</v>
      </c>
      <c r="BF33">
        <v>24</v>
      </c>
      <c r="BG33">
        <v>4946.5860000000002</v>
      </c>
      <c r="BH33">
        <v>1769194585</v>
      </c>
      <c r="BI33" t="s">
        <v>289</v>
      </c>
      <c r="BJ33">
        <v>1769194579</v>
      </c>
      <c r="BK33">
        <v>1769194585</v>
      </c>
      <c r="BL33">
        <v>1</v>
      </c>
      <c r="BM33">
        <v>2.3E-2</v>
      </c>
      <c r="BN33">
        <v>3.0000000000000001E-3</v>
      </c>
      <c r="BO33">
        <v>-0.85299999999999998</v>
      </c>
      <c r="BP33">
        <v>9.2999999999999999E-2</v>
      </c>
      <c r="BQ33">
        <v>410</v>
      </c>
      <c r="BR33">
        <v>15</v>
      </c>
      <c r="BS33">
        <v>0.28000000000000003</v>
      </c>
      <c r="BT33">
        <v>0.05</v>
      </c>
      <c r="BU33">
        <v>-0.31195070000000003</v>
      </c>
      <c r="BV33">
        <v>-1.0120877593985</v>
      </c>
      <c r="BW33">
        <v>0.143172564119701</v>
      </c>
      <c r="BX33">
        <v>0</v>
      </c>
      <c r="BY33">
        <v>0</v>
      </c>
      <c r="BZ33">
        <v>0</v>
      </c>
      <c r="CA33">
        <v>0</v>
      </c>
      <c r="CB33">
        <v>-1</v>
      </c>
      <c r="CC33">
        <v>0.90650719999999996</v>
      </c>
      <c r="CD33">
        <v>0.16334445112781901</v>
      </c>
      <c r="CE33">
        <v>1.60169101470914E-2</v>
      </c>
      <c r="CF33">
        <v>0</v>
      </c>
      <c r="CG33">
        <v>0</v>
      </c>
      <c r="CH33">
        <v>2</v>
      </c>
      <c r="CI33" t="s">
        <v>290</v>
      </c>
      <c r="CJ33">
        <v>3.5324900000000001</v>
      </c>
      <c r="CK33">
        <v>2.7025899999999998</v>
      </c>
      <c r="CL33">
        <v>9.7801100000000002E-2</v>
      </c>
      <c r="CM33">
        <v>9.6493399999999993E-2</v>
      </c>
      <c r="CN33">
        <v>8.6953100000000005E-2</v>
      </c>
      <c r="CO33">
        <v>8.2117200000000001E-2</v>
      </c>
      <c r="CP33">
        <v>31617.8</v>
      </c>
      <c r="CQ33">
        <v>27786.1</v>
      </c>
      <c r="CR33">
        <v>32437</v>
      </c>
      <c r="CS33">
        <v>30682.2</v>
      </c>
      <c r="CT33">
        <v>40107.699999999997</v>
      </c>
      <c r="CU33">
        <v>39604</v>
      </c>
      <c r="CV33">
        <v>47375.7</v>
      </c>
      <c r="CW33">
        <v>46792.800000000003</v>
      </c>
      <c r="CX33">
        <v>2.6179600000000001</v>
      </c>
      <c r="CY33">
        <v>2.12602</v>
      </c>
      <c r="CZ33">
        <v>0</v>
      </c>
      <c r="DA33">
        <v>0</v>
      </c>
      <c r="DB33">
        <v>999.9</v>
      </c>
      <c r="DC33">
        <v>999.9</v>
      </c>
      <c r="DD33">
        <v>64.918999999999997</v>
      </c>
      <c r="DE33">
        <v>26.908000000000001</v>
      </c>
      <c r="DF33">
        <v>23.087900000000001</v>
      </c>
      <c r="DG33">
        <v>30.58</v>
      </c>
      <c r="DH33">
        <v>16.145800000000001</v>
      </c>
      <c r="DI33">
        <v>2</v>
      </c>
      <c r="DJ33">
        <v>-9.3837400000000001E-2</v>
      </c>
      <c r="DK33">
        <v>1.8722399999999999</v>
      </c>
      <c r="DL33">
        <v>20.2209</v>
      </c>
      <c r="DM33">
        <v>5.2510700000000003</v>
      </c>
      <c r="DN33">
        <v>12.033899999999999</v>
      </c>
      <c r="DO33">
        <v>4.9674399999999999</v>
      </c>
      <c r="DP33">
        <v>3.2909999999999999</v>
      </c>
      <c r="DQ33">
        <v>536.1</v>
      </c>
      <c r="DR33">
        <v>9999</v>
      </c>
      <c r="DS33">
        <v>9999</v>
      </c>
      <c r="DT33">
        <v>9999</v>
      </c>
      <c r="DU33">
        <v>1.87103</v>
      </c>
      <c r="DV33">
        <v>1.87608</v>
      </c>
      <c r="DW33">
        <v>1.87625</v>
      </c>
      <c r="DX33">
        <v>1.8827799999999999</v>
      </c>
      <c r="DY33">
        <v>1.8755500000000001</v>
      </c>
      <c r="DZ33">
        <v>1.8746700000000001</v>
      </c>
      <c r="EA33">
        <v>1.87077</v>
      </c>
      <c r="EB33">
        <v>1.8745799999999999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-0.85299999999999998</v>
      </c>
      <c r="EQ33">
        <v>9.3100000000000002E-2</v>
      </c>
      <c r="ER33">
        <v>-0.85300000000006504</v>
      </c>
      <c r="ES33">
        <v>0</v>
      </c>
      <c r="ET33">
        <v>0</v>
      </c>
      <c r="EU33">
        <v>0</v>
      </c>
      <c r="EV33">
        <v>9.3120000000002506E-2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1.2365699999999999</v>
      </c>
      <c r="FG33">
        <v>2.5842299999999998</v>
      </c>
      <c r="FH33">
        <v>2.19604</v>
      </c>
      <c r="FI33">
        <v>2.66113</v>
      </c>
      <c r="FJ33">
        <v>2.4462899999999999</v>
      </c>
      <c r="FK33">
        <v>2.2814899999999998</v>
      </c>
      <c r="FL33">
        <v>31.695499999999999</v>
      </c>
      <c r="FM33">
        <v>24.14</v>
      </c>
      <c r="FN33">
        <v>19</v>
      </c>
      <c r="FO33">
        <v>867.16</v>
      </c>
      <c r="FP33">
        <v>577.59199999999998</v>
      </c>
      <c r="FQ33">
        <v>18.291899999999998</v>
      </c>
      <c r="FR33">
        <v>25.820799999999998</v>
      </c>
      <c r="FS33">
        <v>29.999500000000001</v>
      </c>
      <c r="FT33">
        <v>25.8993</v>
      </c>
      <c r="FU33">
        <v>25.898599999999998</v>
      </c>
      <c r="FV33">
        <v>24.8184</v>
      </c>
      <c r="FW33">
        <v>39.103299999999997</v>
      </c>
      <c r="FX33">
        <v>41.284700000000001</v>
      </c>
      <c r="FY33">
        <v>18.296800000000001</v>
      </c>
      <c r="FZ33">
        <v>410</v>
      </c>
      <c r="GA33">
        <v>14.5025</v>
      </c>
      <c r="GB33">
        <v>99.823800000000006</v>
      </c>
      <c r="GC33">
        <v>99.610600000000005</v>
      </c>
    </row>
    <row r="34" spans="1:185" x14ac:dyDescent="0.2">
      <c r="A34">
        <v>19</v>
      </c>
      <c r="B34">
        <v>1769194842</v>
      </c>
      <c r="C34">
        <v>281</v>
      </c>
      <c r="D34" t="s">
        <v>331</v>
      </c>
      <c r="E34" t="s">
        <v>332</v>
      </c>
      <c r="F34">
        <v>15</v>
      </c>
      <c r="G34">
        <v>1769194833.9333301</v>
      </c>
      <c r="H34">
        <f t="shared" si="0"/>
        <v>7.7058960247477148E-4</v>
      </c>
      <c r="I34">
        <v>0</v>
      </c>
      <c r="J34">
        <f t="shared" si="12"/>
        <v>-1.3193021828092804E-3</v>
      </c>
      <c r="K34">
        <f t="shared" si="1"/>
        <v>-4.9162236332840573E-2</v>
      </c>
      <c r="L34">
        <f t="shared" si="2"/>
        <v>69.912811806462926</v>
      </c>
      <c r="M34">
        <f t="shared" si="3"/>
        <v>1.5400984008139376</v>
      </c>
      <c r="N34">
        <f t="shared" si="4"/>
        <v>2.2028843655685533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26223.904979941286</v>
      </c>
      <c r="T34">
        <f t="shared" si="8"/>
        <v>300.00080000000003</v>
      </c>
      <c r="U34">
        <f t="shared" si="9"/>
        <v>252.90092700067353</v>
      </c>
      <c r="V34">
        <f t="shared" si="10"/>
        <v>0.84300084199999969</v>
      </c>
      <c r="W34">
        <f t="shared" si="11"/>
        <v>0.15870184515999991</v>
      </c>
      <c r="X34">
        <v>1</v>
      </c>
      <c r="Y34">
        <v>1769194833.9333301</v>
      </c>
      <c r="Z34">
        <v>409.64833333333303</v>
      </c>
      <c r="AA34">
        <v>409.98146666666702</v>
      </c>
      <c r="AB34">
        <v>15.3757</v>
      </c>
      <c r="AC34">
        <v>14.42728</v>
      </c>
      <c r="AD34">
        <v>410.50126666666699</v>
      </c>
      <c r="AE34">
        <v>15.2825733333333</v>
      </c>
      <c r="AF34">
        <v>800.00553333333301</v>
      </c>
      <c r="AG34">
        <v>100.099533333333</v>
      </c>
      <c r="AH34">
        <v>6.4908013333333306E-2</v>
      </c>
      <c r="AI34">
        <v>18.983306666666699</v>
      </c>
      <c r="AJ34">
        <v>999.9</v>
      </c>
      <c r="AK34">
        <v>999.9</v>
      </c>
      <c r="AL34">
        <v>0</v>
      </c>
      <c r="AM34">
        <v>0</v>
      </c>
      <c r="AN34">
        <v>4995.7333333333299</v>
      </c>
      <c r="AO34">
        <v>0</v>
      </c>
      <c r="AP34">
        <v>1.6937899999999999</v>
      </c>
      <c r="AQ34">
        <v>-0.33307286666666702</v>
      </c>
      <c r="AR34">
        <v>416.04533333333302</v>
      </c>
      <c r="AS34">
        <v>415.983</v>
      </c>
      <c r="AT34">
        <v>0.94841453333333303</v>
      </c>
      <c r="AU34">
        <v>409.98146666666702</v>
      </c>
      <c r="AV34">
        <v>14.42728</v>
      </c>
      <c r="AW34">
        <v>1.5390980000000001</v>
      </c>
      <c r="AX34">
        <v>1.4441633333333299</v>
      </c>
      <c r="AY34">
        <v>13.362220000000001</v>
      </c>
      <c r="AZ34">
        <v>12.3894533333333</v>
      </c>
      <c r="BA34">
        <v>300.00080000000003</v>
      </c>
      <c r="BB34">
        <v>0.89997579999999999</v>
      </c>
      <c r="BC34">
        <v>0</v>
      </c>
      <c r="BD34">
        <v>0.10002433333333299</v>
      </c>
      <c r="BE34">
        <v>0</v>
      </c>
      <c r="BF34">
        <v>24</v>
      </c>
      <c r="BG34">
        <v>4946.6139999999996</v>
      </c>
      <c r="BH34">
        <v>1769194585</v>
      </c>
      <c r="BI34" t="s">
        <v>289</v>
      </c>
      <c r="BJ34">
        <v>1769194579</v>
      </c>
      <c r="BK34">
        <v>1769194585</v>
      </c>
      <c r="BL34">
        <v>1</v>
      </c>
      <c r="BM34">
        <v>2.3E-2</v>
      </c>
      <c r="BN34">
        <v>3.0000000000000001E-3</v>
      </c>
      <c r="BO34">
        <v>-0.85299999999999998</v>
      </c>
      <c r="BP34">
        <v>9.2999999999999999E-2</v>
      </c>
      <c r="BQ34">
        <v>410</v>
      </c>
      <c r="BR34">
        <v>15</v>
      </c>
      <c r="BS34">
        <v>0.28000000000000003</v>
      </c>
      <c r="BT34">
        <v>0.05</v>
      </c>
      <c r="BU34">
        <v>-0.38053585000000001</v>
      </c>
      <c r="BV34">
        <v>0.99532533834586501</v>
      </c>
      <c r="BW34">
        <v>0.15873112869449199</v>
      </c>
      <c r="BX34">
        <v>0</v>
      </c>
      <c r="BY34">
        <v>0</v>
      </c>
      <c r="BZ34">
        <v>0</v>
      </c>
      <c r="CA34">
        <v>0</v>
      </c>
      <c r="CB34">
        <v>-1</v>
      </c>
      <c r="CC34">
        <v>0.94459919999999997</v>
      </c>
      <c r="CD34">
        <v>2.77048421052642E-2</v>
      </c>
      <c r="CE34">
        <v>1.17037045400164E-2</v>
      </c>
      <c r="CF34">
        <v>1</v>
      </c>
      <c r="CG34">
        <v>1</v>
      </c>
      <c r="CH34">
        <v>2</v>
      </c>
      <c r="CI34" t="s">
        <v>297</v>
      </c>
      <c r="CJ34">
        <v>3.5325099999999998</v>
      </c>
      <c r="CK34">
        <v>2.7027199999999998</v>
      </c>
      <c r="CL34">
        <v>9.7808800000000001E-2</v>
      </c>
      <c r="CM34">
        <v>9.6496200000000004E-2</v>
      </c>
      <c r="CN34">
        <v>8.6910299999999996E-2</v>
      </c>
      <c r="CO34">
        <v>8.2082199999999994E-2</v>
      </c>
      <c r="CP34">
        <v>31618.9</v>
      </c>
      <c r="CQ34">
        <v>27787.599999999999</v>
      </c>
      <c r="CR34">
        <v>32438.3</v>
      </c>
      <c r="CS34">
        <v>30683.8</v>
      </c>
      <c r="CT34">
        <v>40110.699999999997</v>
      </c>
      <c r="CU34">
        <v>39607.9</v>
      </c>
      <c r="CV34">
        <v>47377</v>
      </c>
      <c r="CW34">
        <v>46795.6</v>
      </c>
      <c r="CX34">
        <v>2.6179199999999998</v>
      </c>
      <c r="CY34">
        <v>2.1262799999999999</v>
      </c>
      <c r="CZ34">
        <v>0</v>
      </c>
      <c r="DA34">
        <v>0</v>
      </c>
      <c r="DB34">
        <v>999.9</v>
      </c>
      <c r="DC34">
        <v>999.9</v>
      </c>
      <c r="DD34">
        <v>64.722999999999999</v>
      </c>
      <c r="DE34">
        <v>26.908000000000001</v>
      </c>
      <c r="DF34">
        <v>23.017700000000001</v>
      </c>
      <c r="DG34">
        <v>30.49</v>
      </c>
      <c r="DH34">
        <v>16.2059</v>
      </c>
      <c r="DI34">
        <v>2</v>
      </c>
      <c r="DJ34">
        <v>-9.5766299999999999E-2</v>
      </c>
      <c r="DK34">
        <v>1.85903</v>
      </c>
      <c r="DL34">
        <v>20.221399999999999</v>
      </c>
      <c r="DM34">
        <v>5.2508299999999997</v>
      </c>
      <c r="DN34">
        <v>12.033899999999999</v>
      </c>
      <c r="DO34">
        <v>4.9676</v>
      </c>
      <c r="DP34">
        <v>3.2909999999999999</v>
      </c>
      <c r="DQ34">
        <v>536.1</v>
      </c>
      <c r="DR34">
        <v>9999</v>
      </c>
      <c r="DS34">
        <v>9999</v>
      </c>
      <c r="DT34">
        <v>9999</v>
      </c>
      <c r="DU34">
        <v>1.87103</v>
      </c>
      <c r="DV34">
        <v>1.8760699999999999</v>
      </c>
      <c r="DW34">
        <v>1.8762399999999999</v>
      </c>
      <c r="DX34">
        <v>1.8827799999999999</v>
      </c>
      <c r="DY34">
        <v>1.87554</v>
      </c>
      <c r="DZ34">
        <v>1.87466</v>
      </c>
      <c r="EA34">
        <v>1.8707499999999999</v>
      </c>
      <c r="EB34">
        <v>1.87456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-0.85299999999999998</v>
      </c>
      <c r="EQ34">
        <v>9.3100000000000002E-2</v>
      </c>
      <c r="ER34">
        <v>-0.85300000000006504</v>
      </c>
      <c r="ES34">
        <v>0</v>
      </c>
      <c r="ET34">
        <v>0</v>
      </c>
      <c r="EU34">
        <v>0</v>
      </c>
      <c r="EV34">
        <v>9.3120000000002506E-2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4.4000000000000004</v>
      </c>
      <c r="FE34">
        <v>4.3</v>
      </c>
      <c r="FF34">
        <v>1.2365699999999999</v>
      </c>
      <c r="FG34">
        <v>2.5817899999999998</v>
      </c>
      <c r="FH34">
        <v>2.19604</v>
      </c>
      <c r="FI34">
        <v>2.66113</v>
      </c>
      <c r="FJ34">
        <v>2.4462899999999999</v>
      </c>
      <c r="FK34">
        <v>2.2619600000000002</v>
      </c>
      <c r="FL34">
        <v>31.695499999999999</v>
      </c>
      <c r="FM34">
        <v>24.148800000000001</v>
      </c>
      <c r="FN34">
        <v>19</v>
      </c>
      <c r="FO34">
        <v>866.80200000000002</v>
      </c>
      <c r="FP34">
        <v>577.58100000000002</v>
      </c>
      <c r="FQ34">
        <v>18.331299999999999</v>
      </c>
      <c r="FR34">
        <v>25.796900000000001</v>
      </c>
      <c r="FS34">
        <v>29.999500000000001</v>
      </c>
      <c r="FT34">
        <v>25.879300000000001</v>
      </c>
      <c r="FU34">
        <v>25.8795</v>
      </c>
      <c r="FV34">
        <v>24.821400000000001</v>
      </c>
      <c r="FW34">
        <v>38.831000000000003</v>
      </c>
      <c r="FX34">
        <v>40.902299999999997</v>
      </c>
      <c r="FY34">
        <v>18.334299999999999</v>
      </c>
      <c r="FZ34">
        <v>410</v>
      </c>
      <c r="GA34">
        <v>14.5031</v>
      </c>
      <c r="GB34">
        <v>99.826999999999998</v>
      </c>
      <c r="GC34">
        <v>99.616200000000006</v>
      </c>
    </row>
    <row r="35" spans="1:185" x14ac:dyDescent="0.2">
      <c r="A35">
        <v>20</v>
      </c>
      <c r="B35">
        <v>1769194857</v>
      </c>
      <c r="C35">
        <v>296</v>
      </c>
      <c r="D35" t="s">
        <v>333</v>
      </c>
      <c r="E35" t="s">
        <v>334</v>
      </c>
      <c r="F35">
        <v>15</v>
      </c>
      <c r="G35">
        <v>1769194848.9333301</v>
      </c>
      <c r="H35">
        <f t="shared" si="0"/>
        <v>7.4477107995061045E-4</v>
      </c>
      <c r="I35">
        <v>0</v>
      </c>
      <c r="J35">
        <f t="shared" si="12"/>
        <v>-2.5927098714964222E-3</v>
      </c>
      <c r="K35">
        <f t="shared" si="1"/>
        <v>-9.6614268592794456E-2</v>
      </c>
      <c r="L35">
        <f t="shared" si="2"/>
        <v>69.865927745582169</v>
      </c>
      <c r="M35">
        <f t="shared" si="3"/>
        <v>1.5398790478446398</v>
      </c>
      <c r="N35">
        <f t="shared" si="4"/>
        <v>2.204048665112031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26256.228291126066</v>
      </c>
      <c r="T35">
        <f t="shared" si="8"/>
        <v>299.99959999999999</v>
      </c>
      <c r="U35">
        <f t="shared" si="9"/>
        <v>252.8999375996336</v>
      </c>
      <c r="V35">
        <f t="shared" si="10"/>
        <v>0.84300091600000004</v>
      </c>
      <c r="W35">
        <f t="shared" si="11"/>
        <v>0.15870228999999997</v>
      </c>
      <c r="X35">
        <v>1</v>
      </c>
      <c r="Y35">
        <v>1769194848.9333301</v>
      </c>
      <c r="Z35">
        <v>409.72153333333301</v>
      </c>
      <c r="AA35">
        <v>409.98219999999998</v>
      </c>
      <c r="AB35">
        <v>15.373466666666699</v>
      </c>
      <c r="AC35">
        <v>14.45682</v>
      </c>
      <c r="AD35">
        <v>410.57453333333302</v>
      </c>
      <c r="AE35">
        <v>15.28036</v>
      </c>
      <c r="AF35">
        <v>800.00440000000003</v>
      </c>
      <c r="AG35">
        <v>100.099933333333</v>
      </c>
      <c r="AH35">
        <v>6.4790813333333294E-2</v>
      </c>
      <c r="AI35">
        <v>18.991773333333299</v>
      </c>
      <c r="AJ35">
        <v>999.9</v>
      </c>
      <c r="AK35">
        <v>999.9</v>
      </c>
      <c r="AL35">
        <v>0</v>
      </c>
      <c r="AM35">
        <v>0</v>
      </c>
      <c r="AN35">
        <v>5001.1666666666697</v>
      </c>
      <c r="AO35">
        <v>0</v>
      </c>
      <c r="AP35">
        <v>1.6937899999999999</v>
      </c>
      <c r="AQ35">
        <v>-0.26052453333333297</v>
      </c>
      <c r="AR35">
        <v>416.11866666666702</v>
      </c>
      <c r="AS35">
        <v>415.996266666667</v>
      </c>
      <c r="AT35">
        <v>0.91666066666666701</v>
      </c>
      <c r="AU35">
        <v>409.98219999999998</v>
      </c>
      <c r="AV35">
        <v>14.45682</v>
      </c>
      <c r="AW35">
        <v>1.5388839999999999</v>
      </c>
      <c r="AX35">
        <v>1.4471259999999999</v>
      </c>
      <c r="AY35">
        <v>13.3600866666667</v>
      </c>
      <c r="AZ35">
        <v>12.4206133333333</v>
      </c>
      <c r="BA35">
        <v>299.99959999999999</v>
      </c>
      <c r="BB35">
        <v>0.899969466666667</v>
      </c>
      <c r="BC35">
        <v>0</v>
      </c>
      <c r="BD35">
        <v>0.100030533333333</v>
      </c>
      <c r="BE35">
        <v>0</v>
      </c>
      <c r="BF35">
        <v>24</v>
      </c>
      <c r="BG35">
        <v>4946.5820000000003</v>
      </c>
      <c r="BH35">
        <v>1769194585</v>
      </c>
      <c r="BI35" t="s">
        <v>289</v>
      </c>
      <c r="BJ35">
        <v>1769194579</v>
      </c>
      <c r="BK35">
        <v>1769194585</v>
      </c>
      <c r="BL35">
        <v>1</v>
      </c>
      <c r="BM35">
        <v>2.3E-2</v>
      </c>
      <c r="BN35">
        <v>3.0000000000000001E-3</v>
      </c>
      <c r="BO35">
        <v>-0.85299999999999998</v>
      </c>
      <c r="BP35">
        <v>9.2999999999999999E-2</v>
      </c>
      <c r="BQ35">
        <v>410</v>
      </c>
      <c r="BR35">
        <v>15</v>
      </c>
      <c r="BS35">
        <v>0.28000000000000003</v>
      </c>
      <c r="BT35">
        <v>0.05</v>
      </c>
      <c r="BU35">
        <v>-0.252284476190476</v>
      </c>
      <c r="BV35">
        <v>-8.38548311688318E-2</v>
      </c>
      <c r="BW35">
        <v>2.1878763083386502E-2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0.92321461904761903</v>
      </c>
      <c r="CD35">
        <v>-0.22328329870129801</v>
      </c>
      <c r="CE35">
        <v>2.9310421451497402E-2</v>
      </c>
      <c r="CF35">
        <v>0</v>
      </c>
      <c r="CG35">
        <v>1</v>
      </c>
      <c r="CH35">
        <v>2</v>
      </c>
      <c r="CI35" t="s">
        <v>297</v>
      </c>
      <c r="CJ35">
        <v>3.5324900000000001</v>
      </c>
      <c r="CK35">
        <v>2.7025299999999999</v>
      </c>
      <c r="CL35">
        <v>9.78126E-2</v>
      </c>
      <c r="CM35">
        <v>9.64922E-2</v>
      </c>
      <c r="CN35">
        <v>8.6961999999999998E-2</v>
      </c>
      <c r="CO35">
        <v>8.2371700000000006E-2</v>
      </c>
      <c r="CP35">
        <v>31619.5</v>
      </c>
      <c r="CQ35">
        <v>27788.7</v>
      </c>
      <c r="CR35">
        <v>32439</v>
      </c>
      <c r="CS35">
        <v>30684.799999999999</v>
      </c>
      <c r="CT35">
        <v>40109.4</v>
      </c>
      <c r="CU35">
        <v>39596.300000000003</v>
      </c>
      <c r="CV35">
        <v>47378.3</v>
      </c>
      <c r="CW35">
        <v>46797</v>
      </c>
      <c r="CX35">
        <v>2.6184400000000001</v>
      </c>
      <c r="CY35">
        <v>2.12662</v>
      </c>
      <c r="CZ35">
        <v>0</v>
      </c>
      <c r="DA35">
        <v>0</v>
      </c>
      <c r="DB35">
        <v>999.9</v>
      </c>
      <c r="DC35">
        <v>999.9</v>
      </c>
      <c r="DD35">
        <v>64.516000000000005</v>
      </c>
      <c r="DE35">
        <v>26.919</v>
      </c>
      <c r="DF35">
        <v>22.957999999999998</v>
      </c>
      <c r="DG35">
        <v>30.52</v>
      </c>
      <c r="DH35">
        <v>16.149799999999999</v>
      </c>
      <c r="DI35">
        <v>2</v>
      </c>
      <c r="DJ35">
        <v>-9.7438999999999998E-2</v>
      </c>
      <c r="DK35">
        <v>1.86599</v>
      </c>
      <c r="DL35">
        <v>20.2212</v>
      </c>
      <c r="DM35">
        <v>5.25</v>
      </c>
      <c r="DN35">
        <v>12.033899999999999</v>
      </c>
      <c r="DO35">
        <v>4.96732</v>
      </c>
      <c r="DP35">
        <v>3.2909999999999999</v>
      </c>
      <c r="DQ35">
        <v>536.1</v>
      </c>
      <c r="DR35">
        <v>9999</v>
      </c>
      <c r="DS35">
        <v>9999</v>
      </c>
      <c r="DT35">
        <v>9999</v>
      </c>
      <c r="DU35">
        <v>1.87104</v>
      </c>
      <c r="DV35">
        <v>1.87608</v>
      </c>
      <c r="DW35">
        <v>1.87625</v>
      </c>
      <c r="DX35">
        <v>1.8827799999999999</v>
      </c>
      <c r="DY35">
        <v>1.8755500000000001</v>
      </c>
      <c r="DZ35">
        <v>1.8746499999999999</v>
      </c>
      <c r="EA35">
        <v>1.87077</v>
      </c>
      <c r="EB35">
        <v>1.8745700000000001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-0.85299999999999998</v>
      </c>
      <c r="EQ35">
        <v>9.3100000000000002E-2</v>
      </c>
      <c r="ER35">
        <v>-0.85300000000006504</v>
      </c>
      <c r="ES35">
        <v>0</v>
      </c>
      <c r="ET35">
        <v>0</v>
      </c>
      <c r="EU35">
        <v>0</v>
      </c>
      <c r="EV35">
        <v>9.3120000000002506E-2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1.2365699999999999</v>
      </c>
      <c r="FG35">
        <v>2.5805699999999998</v>
      </c>
      <c r="FH35">
        <v>2.19604</v>
      </c>
      <c r="FI35">
        <v>2.66113</v>
      </c>
      <c r="FJ35">
        <v>2.4462899999999999</v>
      </c>
      <c r="FK35">
        <v>2.2839399999999999</v>
      </c>
      <c r="FL35">
        <v>31.717300000000002</v>
      </c>
      <c r="FM35">
        <v>24.148800000000001</v>
      </c>
      <c r="FN35">
        <v>19</v>
      </c>
      <c r="FO35">
        <v>866.98099999999999</v>
      </c>
      <c r="FP35">
        <v>577.63499999999999</v>
      </c>
      <c r="FQ35">
        <v>18.355599999999999</v>
      </c>
      <c r="FR35">
        <v>25.773900000000001</v>
      </c>
      <c r="FS35">
        <v>29.999600000000001</v>
      </c>
      <c r="FT35">
        <v>25.860099999999999</v>
      </c>
      <c r="FU35">
        <v>25.860800000000001</v>
      </c>
      <c r="FV35">
        <v>24.8245</v>
      </c>
      <c r="FW35">
        <v>38.545999999999999</v>
      </c>
      <c r="FX35">
        <v>40.155299999999997</v>
      </c>
      <c r="FY35">
        <v>18.355599999999999</v>
      </c>
      <c r="FZ35">
        <v>410</v>
      </c>
      <c r="GA35">
        <v>14.5032</v>
      </c>
      <c r="GB35">
        <v>99.829499999999996</v>
      </c>
      <c r="GC35">
        <v>99.619399999999999</v>
      </c>
    </row>
    <row r="36" spans="1:185" x14ac:dyDescent="0.2">
      <c r="A36">
        <v>21</v>
      </c>
      <c r="B36">
        <v>1769194872</v>
      </c>
      <c r="C36">
        <v>311</v>
      </c>
      <c r="D36" t="s">
        <v>335</v>
      </c>
      <c r="E36" t="s">
        <v>336</v>
      </c>
      <c r="F36">
        <v>15</v>
      </c>
      <c r="G36">
        <v>1769194863.9333301</v>
      </c>
      <c r="H36">
        <f t="shared" si="0"/>
        <v>7.31109152498214E-4</v>
      </c>
      <c r="I36">
        <v>0</v>
      </c>
      <c r="J36">
        <f t="shared" si="12"/>
        <v>-2.5414783919406082E-3</v>
      </c>
      <c r="K36">
        <f t="shared" si="1"/>
        <v>-9.4705188066420365E-2</v>
      </c>
      <c r="L36">
        <f t="shared" si="2"/>
        <v>69.898792986872266</v>
      </c>
      <c r="M36">
        <f t="shared" si="3"/>
        <v>1.5414381425296613</v>
      </c>
      <c r="N36">
        <f t="shared" si="4"/>
        <v>2.2052428613741006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26275.811208519543</v>
      </c>
      <c r="T36">
        <f t="shared" si="8"/>
        <v>300.00046666666702</v>
      </c>
      <c r="U36">
        <f t="shared" si="9"/>
        <v>252.90068020044635</v>
      </c>
      <c r="V36">
        <f t="shared" si="10"/>
        <v>0.84300095599999969</v>
      </c>
      <c r="W36">
        <f t="shared" si="11"/>
        <v>0.15870213015999993</v>
      </c>
      <c r="X36">
        <v>1</v>
      </c>
      <c r="Y36">
        <v>1769194863.9333301</v>
      </c>
      <c r="Z36">
        <v>409.73439999999999</v>
      </c>
      <c r="AA36">
        <v>409.99046666666698</v>
      </c>
      <c r="AB36">
        <v>15.389340000000001</v>
      </c>
      <c r="AC36">
        <v>14.4895266666667</v>
      </c>
      <c r="AD36">
        <v>410.5874</v>
      </c>
      <c r="AE36">
        <v>15.2962266666667</v>
      </c>
      <c r="AF36">
        <v>800.00800000000004</v>
      </c>
      <c r="AG36">
        <v>100.098133333333</v>
      </c>
      <c r="AH36">
        <v>6.4585959999999998E-2</v>
      </c>
      <c r="AI36">
        <v>19.000453333333301</v>
      </c>
      <c r="AJ36">
        <v>999.9</v>
      </c>
      <c r="AK36">
        <v>999.9</v>
      </c>
      <c r="AL36">
        <v>0</v>
      </c>
      <c r="AM36">
        <v>0</v>
      </c>
      <c r="AN36">
        <v>5004.6000000000004</v>
      </c>
      <c r="AO36">
        <v>0</v>
      </c>
      <c r="AP36">
        <v>1.6937899999999999</v>
      </c>
      <c r="AQ36">
        <v>-0.25599993333333299</v>
      </c>
      <c r="AR36">
        <v>416.13866666666701</v>
      </c>
      <c r="AS36">
        <v>416.01839999999999</v>
      </c>
      <c r="AT36">
        <v>0.89981026666666697</v>
      </c>
      <c r="AU36">
        <v>409.99046666666698</v>
      </c>
      <c r="AV36">
        <v>14.4895266666667</v>
      </c>
      <c r="AW36">
        <v>1.540446</v>
      </c>
      <c r="AX36">
        <v>1.45037333333333</v>
      </c>
      <c r="AY36">
        <v>13.3756066666667</v>
      </c>
      <c r="AZ36">
        <v>12.4548133333333</v>
      </c>
      <c r="BA36">
        <v>300.00046666666702</v>
      </c>
      <c r="BB36">
        <v>0.89997199999999999</v>
      </c>
      <c r="BC36">
        <v>0</v>
      </c>
      <c r="BD36">
        <v>0.10002813333333301</v>
      </c>
      <c r="BE36">
        <v>0</v>
      </c>
      <c r="BF36">
        <v>24</v>
      </c>
      <c r="BG36">
        <v>4946.6026666666703</v>
      </c>
      <c r="BH36">
        <v>1769194585</v>
      </c>
      <c r="BI36" t="s">
        <v>289</v>
      </c>
      <c r="BJ36">
        <v>1769194579</v>
      </c>
      <c r="BK36">
        <v>1769194585</v>
      </c>
      <c r="BL36">
        <v>1</v>
      </c>
      <c r="BM36">
        <v>2.3E-2</v>
      </c>
      <c r="BN36">
        <v>3.0000000000000001E-3</v>
      </c>
      <c r="BO36">
        <v>-0.85299999999999998</v>
      </c>
      <c r="BP36">
        <v>9.2999999999999999E-2</v>
      </c>
      <c r="BQ36">
        <v>410</v>
      </c>
      <c r="BR36">
        <v>15</v>
      </c>
      <c r="BS36">
        <v>0.28000000000000003</v>
      </c>
      <c r="BT36">
        <v>0.05</v>
      </c>
      <c r="BU36">
        <v>-0.25464334999999999</v>
      </c>
      <c r="BV36">
        <v>-0.16327168421052601</v>
      </c>
      <c r="BW36">
        <v>2.9130602084877999E-2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0.89359489999999997</v>
      </c>
      <c r="CD36">
        <v>0.145986496240601</v>
      </c>
      <c r="CE36">
        <v>1.4927022626431599E-2</v>
      </c>
      <c r="CF36">
        <v>0</v>
      </c>
      <c r="CG36">
        <v>1</v>
      </c>
      <c r="CH36">
        <v>2</v>
      </c>
      <c r="CI36" t="s">
        <v>297</v>
      </c>
      <c r="CJ36">
        <v>3.5325000000000002</v>
      </c>
      <c r="CK36">
        <v>2.7024900000000001</v>
      </c>
      <c r="CL36">
        <v>9.7816100000000003E-2</v>
      </c>
      <c r="CM36">
        <v>9.6506700000000001E-2</v>
      </c>
      <c r="CN36">
        <v>8.7003499999999998E-2</v>
      </c>
      <c r="CO36">
        <v>8.2271200000000003E-2</v>
      </c>
      <c r="CP36">
        <v>31620.9</v>
      </c>
      <c r="CQ36">
        <v>27789.9</v>
      </c>
      <c r="CR36">
        <v>32440.5</v>
      </c>
      <c r="CS36">
        <v>30686.5</v>
      </c>
      <c r="CT36">
        <v>40108.800000000003</v>
      </c>
      <c r="CU36">
        <v>39602.699999999997</v>
      </c>
      <c r="CV36">
        <v>47379.9</v>
      </c>
      <c r="CW36">
        <v>46799.3</v>
      </c>
      <c r="CX36">
        <v>2.6188199999999999</v>
      </c>
      <c r="CY36">
        <v>2.1271200000000001</v>
      </c>
      <c r="CZ36">
        <v>0</v>
      </c>
      <c r="DA36">
        <v>0</v>
      </c>
      <c r="DB36">
        <v>999.9</v>
      </c>
      <c r="DC36">
        <v>999.9</v>
      </c>
      <c r="DD36">
        <v>64.350999999999999</v>
      </c>
      <c r="DE36">
        <v>26.919</v>
      </c>
      <c r="DF36">
        <v>22.901599999999998</v>
      </c>
      <c r="DG36">
        <v>30.43</v>
      </c>
      <c r="DH36">
        <v>16.157900000000001</v>
      </c>
      <c r="DI36">
        <v>2</v>
      </c>
      <c r="DJ36">
        <v>-9.8723599999999995E-2</v>
      </c>
      <c r="DK36">
        <v>2.2140599999999999</v>
      </c>
      <c r="DL36">
        <v>20.216000000000001</v>
      </c>
      <c r="DM36">
        <v>5.2510700000000003</v>
      </c>
      <c r="DN36">
        <v>12.033899999999999</v>
      </c>
      <c r="DO36">
        <v>4.9676</v>
      </c>
      <c r="DP36">
        <v>3.2909999999999999</v>
      </c>
      <c r="DQ36">
        <v>536.1</v>
      </c>
      <c r="DR36">
        <v>9999</v>
      </c>
      <c r="DS36">
        <v>9999</v>
      </c>
      <c r="DT36">
        <v>9999</v>
      </c>
      <c r="DU36">
        <v>1.87103</v>
      </c>
      <c r="DV36">
        <v>1.8760699999999999</v>
      </c>
      <c r="DW36">
        <v>1.8762300000000001</v>
      </c>
      <c r="DX36">
        <v>1.8827799999999999</v>
      </c>
      <c r="DY36">
        <v>1.8754900000000001</v>
      </c>
      <c r="DZ36">
        <v>1.8745799999999999</v>
      </c>
      <c r="EA36">
        <v>1.87073</v>
      </c>
      <c r="EB36">
        <v>1.8745499999999999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-0.85299999999999998</v>
      </c>
      <c r="EQ36">
        <v>9.3100000000000002E-2</v>
      </c>
      <c r="ER36">
        <v>-0.85300000000006504</v>
      </c>
      <c r="ES36">
        <v>0</v>
      </c>
      <c r="ET36">
        <v>0</v>
      </c>
      <c r="EU36">
        <v>0</v>
      </c>
      <c r="EV36">
        <v>9.3120000000002506E-2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4.9000000000000004</v>
      </c>
      <c r="FE36">
        <v>4.8</v>
      </c>
      <c r="FF36">
        <v>1.2365699999999999</v>
      </c>
      <c r="FG36">
        <v>2.5830099999999998</v>
      </c>
      <c r="FH36">
        <v>2.19604</v>
      </c>
      <c r="FI36">
        <v>2.66235</v>
      </c>
      <c r="FJ36">
        <v>2.4462899999999999</v>
      </c>
      <c r="FK36">
        <v>2.3120099999999999</v>
      </c>
      <c r="FL36">
        <v>31.717300000000002</v>
      </c>
      <c r="FM36">
        <v>24.148800000000001</v>
      </c>
      <c r="FN36">
        <v>19</v>
      </c>
      <c r="FO36">
        <v>867.03</v>
      </c>
      <c r="FP36">
        <v>577.81299999999999</v>
      </c>
      <c r="FQ36">
        <v>18.330100000000002</v>
      </c>
      <c r="FR36">
        <v>25.751899999999999</v>
      </c>
      <c r="FS36">
        <v>29.9998</v>
      </c>
      <c r="FT36">
        <v>25.841000000000001</v>
      </c>
      <c r="FU36">
        <v>25.842099999999999</v>
      </c>
      <c r="FV36">
        <v>24.824100000000001</v>
      </c>
      <c r="FW36">
        <v>38.545999999999999</v>
      </c>
      <c r="FX36">
        <v>39.393300000000004</v>
      </c>
      <c r="FY36">
        <v>18.2668</v>
      </c>
      <c r="FZ36">
        <v>410</v>
      </c>
      <c r="GA36">
        <v>14.5032</v>
      </c>
      <c r="GB36">
        <v>99.833399999999997</v>
      </c>
      <c r="GC36">
        <v>99.624600000000001</v>
      </c>
    </row>
    <row r="37" spans="1:185" x14ac:dyDescent="0.2">
      <c r="A37">
        <v>22</v>
      </c>
      <c r="B37">
        <v>1769194887</v>
      </c>
      <c r="C37">
        <v>326</v>
      </c>
      <c r="D37" t="s">
        <v>337</v>
      </c>
      <c r="E37" t="s">
        <v>338</v>
      </c>
      <c r="F37">
        <v>15</v>
      </c>
      <c r="G37">
        <v>1769194878.9333301</v>
      </c>
      <c r="H37">
        <f t="shared" si="0"/>
        <v>7.5130117516820233E-4</v>
      </c>
      <c r="I37">
        <v>0</v>
      </c>
      <c r="J37">
        <f t="shared" si="12"/>
        <v>-2.9426074508576354E-3</v>
      </c>
      <c r="K37">
        <f t="shared" si="1"/>
        <v>-0.10965278828372375</v>
      </c>
      <c r="L37">
        <f t="shared" si="2"/>
        <v>69.881931880293095</v>
      </c>
      <c r="M37">
        <f t="shared" si="3"/>
        <v>1.541083624243339</v>
      </c>
      <c r="N37">
        <f t="shared" si="4"/>
        <v>2.2052676318153264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26261.83748267993</v>
      </c>
      <c r="T37">
        <f t="shared" si="8"/>
        <v>300.001466666667</v>
      </c>
      <c r="U37">
        <f t="shared" si="9"/>
        <v>252.90151540136426</v>
      </c>
      <c r="V37">
        <f t="shared" si="10"/>
        <v>0.84300092999999998</v>
      </c>
      <c r="W37">
        <f t="shared" si="11"/>
        <v>0.15870232500000001</v>
      </c>
      <c r="X37">
        <v>1</v>
      </c>
      <c r="Y37">
        <v>1769194878.9333301</v>
      </c>
      <c r="Z37">
        <v>409.742866666667</v>
      </c>
      <c r="AA37">
        <v>409.99059999999997</v>
      </c>
      <c r="AB37">
        <v>15.3857933333333</v>
      </c>
      <c r="AC37">
        <v>14.461119999999999</v>
      </c>
      <c r="AD37">
        <v>410.59586666666701</v>
      </c>
      <c r="AE37">
        <v>15.292680000000001</v>
      </c>
      <c r="AF37">
        <v>800.00340000000006</v>
      </c>
      <c r="AG37">
        <v>100.098133333333</v>
      </c>
      <c r="AH37">
        <v>6.4633113333333395E-2</v>
      </c>
      <c r="AI37">
        <v>19.000633333333301</v>
      </c>
      <c r="AJ37">
        <v>999.9</v>
      </c>
      <c r="AK37">
        <v>999.9</v>
      </c>
      <c r="AL37">
        <v>0</v>
      </c>
      <c r="AM37">
        <v>0</v>
      </c>
      <c r="AN37">
        <v>5002.3</v>
      </c>
      <c r="AO37">
        <v>0</v>
      </c>
      <c r="AP37">
        <v>1.6937899999999999</v>
      </c>
      <c r="AQ37">
        <v>-0.24766233333333301</v>
      </c>
      <c r="AR37">
        <v>416.145733333333</v>
      </c>
      <c r="AS37">
        <v>416.00639999999999</v>
      </c>
      <c r="AT37">
        <v>0.92468300000000003</v>
      </c>
      <c r="AU37">
        <v>409.99059999999997</v>
      </c>
      <c r="AV37">
        <v>14.461119999999999</v>
      </c>
      <c r="AW37">
        <v>1.54009066666667</v>
      </c>
      <c r="AX37">
        <v>1.447532</v>
      </c>
      <c r="AY37">
        <v>13.3721</v>
      </c>
      <c r="AZ37">
        <v>12.42492</v>
      </c>
      <c r="BA37">
        <v>300.001466666667</v>
      </c>
      <c r="BB37">
        <v>0.89996900000000002</v>
      </c>
      <c r="BC37">
        <v>0</v>
      </c>
      <c r="BD37">
        <v>0.10003099999999999</v>
      </c>
      <c r="BE37">
        <v>0</v>
      </c>
      <c r="BF37">
        <v>24</v>
      </c>
      <c r="BG37">
        <v>4946.6113333333296</v>
      </c>
      <c r="BH37">
        <v>1769194585</v>
      </c>
      <c r="BI37" t="s">
        <v>289</v>
      </c>
      <c r="BJ37">
        <v>1769194579</v>
      </c>
      <c r="BK37">
        <v>1769194585</v>
      </c>
      <c r="BL37">
        <v>1</v>
      </c>
      <c r="BM37">
        <v>2.3E-2</v>
      </c>
      <c r="BN37">
        <v>3.0000000000000001E-3</v>
      </c>
      <c r="BO37">
        <v>-0.85299999999999998</v>
      </c>
      <c r="BP37">
        <v>9.2999999999999999E-2</v>
      </c>
      <c r="BQ37">
        <v>410</v>
      </c>
      <c r="BR37">
        <v>15</v>
      </c>
      <c r="BS37">
        <v>0.28000000000000003</v>
      </c>
      <c r="BT37">
        <v>0.05</v>
      </c>
      <c r="BU37">
        <v>-0.25662814285714303</v>
      </c>
      <c r="BV37">
        <v>0.18412199999999901</v>
      </c>
      <c r="BW37">
        <v>2.7801876626083601E-2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0.92072119047619005</v>
      </c>
      <c r="CD37">
        <v>9.1949376623377196E-2</v>
      </c>
      <c r="CE37">
        <v>9.5159894444337995E-3</v>
      </c>
      <c r="CF37">
        <v>1</v>
      </c>
      <c r="CG37">
        <v>2</v>
      </c>
      <c r="CH37">
        <v>2</v>
      </c>
      <c r="CI37" t="s">
        <v>304</v>
      </c>
      <c r="CJ37">
        <v>3.5325700000000002</v>
      </c>
      <c r="CK37">
        <v>2.7023600000000001</v>
      </c>
      <c r="CL37">
        <v>9.7822699999999999E-2</v>
      </c>
      <c r="CM37">
        <v>9.6512299999999995E-2</v>
      </c>
      <c r="CN37">
        <v>8.6958499999999994E-2</v>
      </c>
      <c r="CO37">
        <v>8.2112900000000003E-2</v>
      </c>
      <c r="CP37">
        <v>31621.4</v>
      </c>
      <c r="CQ37">
        <v>27791</v>
      </c>
      <c r="CR37">
        <v>32441.200000000001</v>
      </c>
      <c r="CS37">
        <v>30687.8</v>
      </c>
      <c r="CT37">
        <v>40111.5</v>
      </c>
      <c r="CU37">
        <v>39611.199999999997</v>
      </c>
      <c r="CV37">
        <v>47380.7</v>
      </c>
      <c r="CW37">
        <v>46801.1</v>
      </c>
      <c r="CX37">
        <v>2.6191200000000001</v>
      </c>
      <c r="CY37">
        <v>2.12724</v>
      </c>
      <c r="CZ37">
        <v>0</v>
      </c>
      <c r="DA37">
        <v>0</v>
      </c>
      <c r="DB37">
        <v>999.9</v>
      </c>
      <c r="DC37">
        <v>999.9</v>
      </c>
      <c r="DD37">
        <v>64.168000000000006</v>
      </c>
      <c r="DE37">
        <v>26.919</v>
      </c>
      <c r="DF37">
        <v>22.8353</v>
      </c>
      <c r="DG37">
        <v>30.16</v>
      </c>
      <c r="DH37">
        <v>16.093800000000002</v>
      </c>
      <c r="DI37">
        <v>2</v>
      </c>
      <c r="DJ37">
        <v>-0.10020900000000001</v>
      </c>
      <c r="DK37">
        <v>2.0110000000000001</v>
      </c>
      <c r="DL37">
        <v>20.219200000000001</v>
      </c>
      <c r="DM37">
        <v>5.2503500000000001</v>
      </c>
      <c r="DN37">
        <v>12.033899999999999</v>
      </c>
      <c r="DO37">
        <v>4.9673999999999996</v>
      </c>
      <c r="DP37">
        <v>3.2909999999999999</v>
      </c>
      <c r="DQ37">
        <v>536.1</v>
      </c>
      <c r="DR37">
        <v>9999</v>
      </c>
      <c r="DS37">
        <v>9999</v>
      </c>
      <c r="DT37">
        <v>9999</v>
      </c>
      <c r="DU37">
        <v>1.87104</v>
      </c>
      <c r="DV37">
        <v>1.87608</v>
      </c>
      <c r="DW37">
        <v>1.8762399999999999</v>
      </c>
      <c r="DX37">
        <v>1.8827799999999999</v>
      </c>
      <c r="DY37">
        <v>1.87551</v>
      </c>
      <c r="DZ37">
        <v>1.8746499999999999</v>
      </c>
      <c r="EA37">
        <v>1.87076</v>
      </c>
      <c r="EB37">
        <v>1.8745499999999999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-0.85299999999999998</v>
      </c>
      <c r="EQ37">
        <v>9.3100000000000002E-2</v>
      </c>
      <c r="ER37">
        <v>-0.85300000000006504</v>
      </c>
      <c r="ES37">
        <v>0</v>
      </c>
      <c r="ET37">
        <v>0</v>
      </c>
      <c r="EU37">
        <v>0</v>
      </c>
      <c r="EV37">
        <v>9.3120000000002506E-2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1.2365699999999999</v>
      </c>
      <c r="FG37">
        <v>2.5842299999999998</v>
      </c>
      <c r="FH37">
        <v>2.19604</v>
      </c>
      <c r="FI37">
        <v>2.66113</v>
      </c>
      <c r="FJ37">
        <v>2.4462899999999999</v>
      </c>
      <c r="FK37">
        <v>2.3022499999999999</v>
      </c>
      <c r="FL37">
        <v>31.717300000000002</v>
      </c>
      <c r="FM37">
        <v>24.157499999999999</v>
      </c>
      <c r="FN37">
        <v>19</v>
      </c>
      <c r="FO37">
        <v>867.01700000000005</v>
      </c>
      <c r="FP37">
        <v>577.70799999999997</v>
      </c>
      <c r="FQ37">
        <v>18.255700000000001</v>
      </c>
      <c r="FR37">
        <v>25.7315</v>
      </c>
      <c r="FS37">
        <v>29.999400000000001</v>
      </c>
      <c r="FT37">
        <v>25.822700000000001</v>
      </c>
      <c r="FU37">
        <v>25.824300000000001</v>
      </c>
      <c r="FV37">
        <v>24.825500000000002</v>
      </c>
      <c r="FW37">
        <v>38.545999999999999</v>
      </c>
      <c r="FX37">
        <v>39.021299999999997</v>
      </c>
      <c r="FY37">
        <v>18.263500000000001</v>
      </c>
      <c r="FZ37">
        <v>410</v>
      </c>
      <c r="GA37">
        <v>14.5032</v>
      </c>
      <c r="GB37">
        <v>99.835300000000004</v>
      </c>
      <c r="GC37">
        <v>99.628500000000003</v>
      </c>
    </row>
    <row r="38" spans="1:185" x14ac:dyDescent="0.2">
      <c r="A38">
        <v>23</v>
      </c>
      <c r="B38">
        <v>1769194902</v>
      </c>
      <c r="C38">
        <v>341</v>
      </c>
      <c r="D38" t="s">
        <v>339</v>
      </c>
      <c r="E38" t="s">
        <v>340</v>
      </c>
      <c r="F38">
        <v>15</v>
      </c>
      <c r="G38">
        <v>1769194893.9333301</v>
      </c>
      <c r="H38">
        <f t="shared" si="0"/>
        <v>7.630506792653892E-4</v>
      </c>
      <c r="I38">
        <v>0</v>
      </c>
      <c r="J38">
        <f t="shared" si="12"/>
        <v>-2.6537582176518011E-3</v>
      </c>
      <c r="K38">
        <f t="shared" si="1"/>
        <v>-9.8889163048762815E-2</v>
      </c>
      <c r="L38">
        <f t="shared" si="2"/>
        <v>69.842141877696591</v>
      </c>
      <c r="M38">
        <f t="shared" si="3"/>
        <v>1.5398191768845333</v>
      </c>
      <c r="N38">
        <f t="shared" si="4"/>
        <v>2.2047135661746649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26195.351099651503</v>
      </c>
      <c r="T38">
        <f t="shared" si="8"/>
        <v>300.00020000000001</v>
      </c>
      <c r="U38">
        <f t="shared" si="9"/>
        <v>252.90054840025337</v>
      </c>
      <c r="V38">
        <f t="shared" si="10"/>
        <v>0.84300126600000058</v>
      </c>
      <c r="W38">
        <f t="shared" si="11"/>
        <v>0.15870290516000013</v>
      </c>
      <c r="X38">
        <v>1</v>
      </c>
      <c r="Y38">
        <v>1769194893.9333301</v>
      </c>
      <c r="Z38">
        <v>409.73486666666702</v>
      </c>
      <c r="AA38">
        <v>410.00206666666702</v>
      </c>
      <c r="AB38">
        <v>15.373100000000001</v>
      </c>
      <c r="AC38">
        <v>14.433946666666699</v>
      </c>
      <c r="AD38">
        <v>410.58786666666703</v>
      </c>
      <c r="AE38">
        <v>15.279973333333301</v>
      </c>
      <c r="AF38">
        <v>799.99739999999997</v>
      </c>
      <c r="AG38">
        <v>100.0986</v>
      </c>
      <c r="AH38">
        <v>6.4618666666666699E-2</v>
      </c>
      <c r="AI38">
        <v>18.9966066666667</v>
      </c>
      <c r="AJ38">
        <v>999.9</v>
      </c>
      <c r="AK38">
        <v>999.9</v>
      </c>
      <c r="AL38">
        <v>0</v>
      </c>
      <c r="AM38">
        <v>0</v>
      </c>
      <c r="AN38">
        <v>4991.2666666666701</v>
      </c>
      <c r="AO38">
        <v>0</v>
      </c>
      <c r="AP38">
        <v>1.6937899999999999</v>
      </c>
      <c r="AQ38">
        <v>-0.26722406666666698</v>
      </c>
      <c r="AR38">
        <v>416.132133333333</v>
      </c>
      <c r="AS38">
        <v>416.0068</v>
      </c>
      <c r="AT38">
        <v>0.93916233333333299</v>
      </c>
      <c r="AU38">
        <v>410.00206666666702</v>
      </c>
      <c r="AV38">
        <v>14.433946666666699</v>
      </c>
      <c r="AW38">
        <v>1.5388233333333301</v>
      </c>
      <c r="AX38">
        <v>1.44481533333333</v>
      </c>
      <c r="AY38">
        <v>13.359486666666699</v>
      </c>
      <c r="AZ38">
        <v>12.396326666666701</v>
      </c>
      <c r="BA38">
        <v>300.00020000000001</v>
      </c>
      <c r="BB38">
        <v>0.89996166666666699</v>
      </c>
      <c r="BC38">
        <v>0</v>
      </c>
      <c r="BD38">
        <v>0.10003846666666701</v>
      </c>
      <c r="BE38">
        <v>0</v>
      </c>
      <c r="BF38">
        <v>24</v>
      </c>
      <c r="BG38">
        <v>4946.5873333333302</v>
      </c>
      <c r="BH38">
        <v>1769194585</v>
      </c>
      <c r="BI38" t="s">
        <v>289</v>
      </c>
      <c r="BJ38">
        <v>1769194579</v>
      </c>
      <c r="BK38">
        <v>1769194585</v>
      </c>
      <c r="BL38">
        <v>1</v>
      </c>
      <c r="BM38">
        <v>2.3E-2</v>
      </c>
      <c r="BN38">
        <v>3.0000000000000001E-3</v>
      </c>
      <c r="BO38">
        <v>-0.85299999999999998</v>
      </c>
      <c r="BP38">
        <v>9.2999999999999999E-2</v>
      </c>
      <c r="BQ38">
        <v>410</v>
      </c>
      <c r="BR38">
        <v>15</v>
      </c>
      <c r="BS38">
        <v>0.28000000000000003</v>
      </c>
      <c r="BT38">
        <v>0.05</v>
      </c>
      <c r="BU38">
        <v>-0.25818780000000002</v>
      </c>
      <c r="BV38">
        <v>-0.171965954887218</v>
      </c>
      <c r="BW38">
        <v>3.0779381960331802E-2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0.93812574999999998</v>
      </c>
      <c r="CD38">
        <v>-1.11022556389764E-4</v>
      </c>
      <c r="CE38">
        <v>8.1032615586256306E-3</v>
      </c>
      <c r="CF38">
        <v>1</v>
      </c>
      <c r="CG38">
        <v>2</v>
      </c>
      <c r="CH38">
        <v>2</v>
      </c>
      <c r="CI38" t="s">
        <v>304</v>
      </c>
      <c r="CJ38">
        <v>3.5325899999999999</v>
      </c>
      <c r="CK38">
        <v>2.70242</v>
      </c>
      <c r="CL38">
        <v>9.7821400000000003E-2</v>
      </c>
      <c r="CM38">
        <v>9.6508999999999998E-2</v>
      </c>
      <c r="CN38">
        <v>8.6945099999999997E-2</v>
      </c>
      <c r="CO38">
        <v>8.2173499999999997E-2</v>
      </c>
      <c r="CP38">
        <v>31622.5</v>
      </c>
      <c r="CQ38">
        <v>27792</v>
      </c>
      <c r="CR38">
        <v>32442.1</v>
      </c>
      <c r="CS38">
        <v>30688.799999999999</v>
      </c>
      <c r="CT38">
        <v>40113.599999999999</v>
      </c>
      <c r="CU38">
        <v>39609.9</v>
      </c>
      <c r="CV38">
        <v>47382.5</v>
      </c>
      <c r="CW38">
        <v>46802.6</v>
      </c>
      <c r="CX38">
        <v>2.6195400000000002</v>
      </c>
      <c r="CY38">
        <v>2.1273599999999999</v>
      </c>
      <c r="CZ38">
        <v>0</v>
      </c>
      <c r="DA38">
        <v>0</v>
      </c>
      <c r="DB38">
        <v>999.9</v>
      </c>
      <c r="DC38">
        <v>999.9</v>
      </c>
      <c r="DD38">
        <v>63.984999999999999</v>
      </c>
      <c r="DE38">
        <v>26.939</v>
      </c>
      <c r="DF38">
        <v>22.797599999999999</v>
      </c>
      <c r="DG38">
        <v>30.16</v>
      </c>
      <c r="DH38">
        <v>16.1218</v>
      </c>
      <c r="DI38">
        <v>2</v>
      </c>
      <c r="DJ38">
        <v>-0.101758</v>
      </c>
      <c r="DK38">
        <v>1.9841800000000001</v>
      </c>
      <c r="DL38">
        <v>20.2193</v>
      </c>
      <c r="DM38">
        <v>5.2511900000000002</v>
      </c>
      <c r="DN38">
        <v>12.033899999999999</v>
      </c>
      <c r="DO38">
        <v>4.9674800000000001</v>
      </c>
      <c r="DP38">
        <v>3.2909999999999999</v>
      </c>
      <c r="DQ38">
        <v>536.1</v>
      </c>
      <c r="DR38">
        <v>9999</v>
      </c>
      <c r="DS38">
        <v>9999</v>
      </c>
      <c r="DT38">
        <v>9999</v>
      </c>
      <c r="DU38">
        <v>1.87104</v>
      </c>
      <c r="DV38">
        <v>1.8760699999999999</v>
      </c>
      <c r="DW38">
        <v>1.8762399999999999</v>
      </c>
      <c r="DX38">
        <v>1.8827799999999999</v>
      </c>
      <c r="DY38">
        <v>1.8755299999999999</v>
      </c>
      <c r="DZ38">
        <v>1.87463</v>
      </c>
      <c r="EA38">
        <v>1.8707400000000001</v>
      </c>
      <c r="EB38">
        <v>1.87456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-0.85299999999999998</v>
      </c>
      <c r="EQ38">
        <v>9.3100000000000002E-2</v>
      </c>
      <c r="ER38">
        <v>-0.85300000000006504</v>
      </c>
      <c r="ES38">
        <v>0</v>
      </c>
      <c r="ET38">
        <v>0</v>
      </c>
      <c r="EU38">
        <v>0</v>
      </c>
      <c r="EV38">
        <v>9.3120000000002506E-2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5.4</v>
      </c>
      <c r="FE38">
        <v>5.3</v>
      </c>
      <c r="FF38">
        <v>1.2365699999999999</v>
      </c>
      <c r="FG38">
        <v>2.5830099999999998</v>
      </c>
      <c r="FH38">
        <v>2.19604</v>
      </c>
      <c r="FI38">
        <v>2.66235</v>
      </c>
      <c r="FJ38">
        <v>2.4462899999999999</v>
      </c>
      <c r="FK38">
        <v>2.3156699999999999</v>
      </c>
      <c r="FL38">
        <v>31.717300000000002</v>
      </c>
      <c r="FM38">
        <v>24.148800000000001</v>
      </c>
      <c r="FN38">
        <v>19</v>
      </c>
      <c r="FO38">
        <v>867.13800000000003</v>
      </c>
      <c r="FP38">
        <v>577.60799999999995</v>
      </c>
      <c r="FQ38">
        <v>18.264099999999999</v>
      </c>
      <c r="FR38">
        <v>25.712499999999999</v>
      </c>
      <c r="FS38">
        <v>29.999600000000001</v>
      </c>
      <c r="FT38">
        <v>25.805700000000002</v>
      </c>
      <c r="FU38">
        <v>25.806999999999999</v>
      </c>
      <c r="FV38">
        <v>24.825299999999999</v>
      </c>
      <c r="FW38">
        <v>38.2592</v>
      </c>
      <c r="FX38">
        <v>38.255899999999997</v>
      </c>
      <c r="FY38">
        <v>18.2666</v>
      </c>
      <c r="FZ38">
        <v>410</v>
      </c>
      <c r="GA38">
        <v>14.503500000000001</v>
      </c>
      <c r="GB38">
        <v>99.838700000000003</v>
      </c>
      <c r="GC38">
        <v>99.631799999999998</v>
      </c>
    </row>
    <row r="39" spans="1:185" x14ac:dyDescent="0.2">
      <c r="A39">
        <v>24</v>
      </c>
      <c r="B39">
        <v>1769194917</v>
      </c>
      <c r="C39">
        <v>356</v>
      </c>
      <c r="D39" t="s">
        <v>341</v>
      </c>
      <c r="E39" t="s">
        <v>342</v>
      </c>
      <c r="F39">
        <v>15</v>
      </c>
      <c r="G39">
        <v>1769194908.9333301</v>
      </c>
      <c r="H39">
        <f t="shared" si="0"/>
        <v>7.5299082018071592E-4</v>
      </c>
      <c r="I39">
        <v>0</v>
      </c>
      <c r="J39">
        <f t="shared" si="12"/>
        <v>-2.6746014748366461E-3</v>
      </c>
      <c r="K39">
        <f t="shared" si="1"/>
        <v>-9.966586238953519E-2</v>
      </c>
      <c r="L39">
        <f t="shared" si="2"/>
        <v>69.813596934877765</v>
      </c>
      <c r="M39">
        <f t="shared" si="3"/>
        <v>1.5392071321547531</v>
      </c>
      <c r="N39">
        <f t="shared" si="4"/>
        <v>2.2047383314034485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26247.150721028753</v>
      </c>
      <c r="T39">
        <f t="shared" si="8"/>
        <v>299.99873333333301</v>
      </c>
      <c r="U39">
        <f t="shared" si="9"/>
        <v>252.89927899853552</v>
      </c>
      <c r="V39">
        <f t="shared" si="10"/>
        <v>0.84300115600000025</v>
      </c>
      <c r="W39">
        <f t="shared" si="11"/>
        <v>0.15870276008000006</v>
      </c>
      <c r="X39">
        <v>1</v>
      </c>
      <c r="Y39">
        <v>1769194908.9333301</v>
      </c>
      <c r="Z39">
        <v>409.72739999999999</v>
      </c>
      <c r="AA39">
        <v>409.98846666666702</v>
      </c>
      <c r="AB39">
        <v>15.3669666666667</v>
      </c>
      <c r="AC39">
        <v>14.440200000000001</v>
      </c>
      <c r="AD39">
        <v>410.5804</v>
      </c>
      <c r="AE39">
        <v>15.2738533333333</v>
      </c>
      <c r="AF39">
        <v>800.0068</v>
      </c>
      <c r="AG39">
        <v>100.098666666667</v>
      </c>
      <c r="AH39">
        <v>6.4700999999999995E-2</v>
      </c>
      <c r="AI39">
        <v>18.996786666666701</v>
      </c>
      <c r="AJ39">
        <v>999.9</v>
      </c>
      <c r="AK39">
        <v>999.9</v>
      </c>
      <c r="AL39">
        <v>0</v>
      </c>
      <c r="AM39">
        <v>0</v>
      </c>
      <c r="AN39">
        <v>4999.8</v>
      </c>
      <c r="AO39">
        <v>0</v>
      </c>
      <c r="AP39">
        <v>1.6937899999999999</v>
      </c>
      <c r="AQ39">
        <v>-0.261008666666667</v>
      </c>
      <c r="AR39">
        <v>416.12200000000001</v>
      </c>
      <c r="AS39">
        <v>415.99560000000002</v>
      </c>
      <c r="AT39">
        <v>0.92676959999999997</v>
      </c>
      <c r="AU39">
        <v>409.98846666666702</v>
      </c>
      <c r="AV39">
        <v>14.440200000000001</v>
      </c>
      <c r="AW39">
        <v>1.5382146666666701</v>
      </c>
      <c r="AX39">
        <v>1.445446</v>
      </c>
      <c r="AY39">
        <v>13.353400000000001</v>
      </c>
      <c r="AZ39">
        <v>12.402979999999999</v>
      </c>
      <c r="BA39">
        <v>299.99873333333301</v>
      </c>
      <c r="BB39">
        <v>0.89996339999999997</v>
      </c>
      <c r="BC39">
        <v>0</v>
      </c>
      <c r="BD39">
        <v>0.100036666666667</v>
      </c>
      <c r="BE39">
        <v>0</v>
      </c>
      <c r="BF39">
        <v>24</v>
      </c>
      <c r="BG39">
        <v>4946.5626666666703</v>
      </c>
      <c r="BH39">
        <v>1769194585</v>
      </c>
      <c r="BI39" t="s">
        <v>289</v>
      </c>
      <c r="BJ39">
        <v>1769194579</v>
      </c>
      <c r="BK39">
        <v>1769194585</v>
      </c>
      <c r="BL39">
        <v>1</v>
      </c>
      <c r="BM39">
        <v>2.3E-2</v>
      </c>
      <c r="BN39">
        <v>3.0000000000000001E-3</v>
      </c>
      <c r="BO39">
        <v>-0.85299999999999998</v>
      </c>
      <c r="BP39">
        <v>9.2999999999999999E-2</v>
      </c>
      <c r="BQ39">
        <v>410</v>
      </c>
      <c r="BR39">
        <v>15</v>
      </c>
      <c r="BS39">
        <v>0.28000000000000003</v>
      </c>
      <c r="BT39">
        <v>0.05</v>
      </c>
      <c r="BU39">
        <v>-0.268848238095238</v>
      </c>
      <c r="BV39">
        <v>0.173458753246753</v>
      </c>
      <c r="BW39">
        <v>2.4152162101588499E-2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0.92944857142857096</v>
      </c>
      <c r="CD39">
        <v>-5.4588857142856502E-2</v>
      </c>
      <c r="CE39">
        <v>1.01364675944097E-2</v>
      </c>
      <c r="CF39">
        <v>1</v>
      </c>
      <c r="CG39">
        <v>2</v>
      </c>
      <c r="CH39">
        <v>2</v>
      </c>
      <c r="CI39" t="s">
        <v>304</v>
      </c>
      <c r="CJ39">
        <v>3.5325199999999999</v>
      </c>
      <c r="CK39">
        <v>2.7027000000000001</v>
      </c>
      <c r="CL39">
        <v>9.7824800000000003E-2</v>
      </c>
      <c r="CM39">
        <v>9.6508300000000005E-2</v>
      </c>
      <c r="CN39">
        <v>8.6883199999999994E-2</v>
      </c>
      <c r="CO39">
        <v>8.22745E-2</v>
      </c>
      <c r="CP39">
        <v>31623.8</v>
      </c>
      <c r="CQ39">
        <v>27793.1</v>
      </c>
      <c r="CR39">
        <v>32443.5</v>
      </c>
      <c r="CS39">
        <v>30689.9</v>
      </c>
      <c r="CT39">
        <v>40117.800000000003</v>
      </c>
      <c r="CU39">
        <v>39607.1</v>
      </c>
      <c r="CV39">
        <v>47384.2</v>
      </c>
      <c r="CW39">
        <v>46804.6</v>
      </c>
      <c r="CX39">
        <v>2.61972</v>
      </c>
      <c r="CY39">
        <v>2.12792</v>
      </c>
      <c r="CZ39">
        <v>0</v>
      </c>
      <c r="DA39">
        <v>0</v>
      </c>
      <c r="DB39">
        <v>999.9</v>
      </c>
      <c r="DC39">
        <v>999.9</v>
      </c>
      <c r="DD39">
        <v>63.814</v>
      </c>
      <c r="DE39">
        <v>26.949000000000002</v>
      </c>
      <c r="DF39">
        <v>22.749700000000001</v>
      </c>
      <c r="DG39">
        <v>30.52</v>
      </c>
      <c r="DH39">
        <v>16.165900000000001</v>
      </c>
      <c r="DI39">
        <v>2</v>
      </c>
      <c r="DJ39">
        <v>-0.10324800000000001</v>
      </c>
      <c r="DK39">
        <v>1.98763</v>
      </c>
      <c r="DL39">
        <v>20.219000000000001</v>
      </c>
      <c r="DM39">
        <v>5.2508299999999997</v>
      </c>
      <c r="DN39">
        <v>12.033899999999999</v>
      </c>
      <c r="DO39">
        <v>4.9673999999999996</v>
      </c>
      <c r="DP39">
        <v>3.2909999999999999</v>
      </c>
      <c r="DQ39">
        <v>536.1</v>
      </c>
      <c r="DR39">
        <v>9999</v>
      </c>
      <c r="DS39">
        <v>9999</v>
      </c>
      <c r="DT39">
        <v>9999</v>
      </c>
      <c r="DU39">
        <v>1.87103</v>
      </c>
      <c r="DV39">
        <v>1.8760699999999999</v>
      </c>
      <c r="DW39">
        <v>1.87622</v>
      </c>
      <c r="DX39">
        <v>1.8827700000000001</v>
      </c>
      <c r="DY39">
        <v>1.87548</v>
      </c>
      <c r="DZ39">
        <v>1.8745700000000001</v>
      </c>
      <c r="EA39">
        <v>1.8707400000000001</v>
      </c>
      <c r="EB39">
        <v>1.8745499999999999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-0.85299999999999998</v>
      </c>
      <c r="EQ39">
        <v>9.3100000000000002E-2</v>
      </c>
      <c r="ER39">
        <v>-0.85300000000006504</v>
      </c>
      <c r="ES39">
        <v>0</v>
      </c>
      <c r="ET39">
        <v>0</v>
      </c>
      <c r="EU39">
        <v>0</v>
      </c>
      <c r="EV39">
        <v>9.3120000000002506E-2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1.2365699999999999</v>
      </c>
      <c r="FG39">
        <v>2.5891099999999998</v>
      </c>
      <c r="FH39">
        <v>2.19604</v>
      </c>
      <c r="FI39">
        <v>2.66235</v>
      </c>
      <c r="FJ39">
        <v>2.4462899999999999</v>
      </c>
      <c r="FK39">
        <v>2.2570800000000002</v>
      </c>
      <c r="FL39">
        <v>31.717300000000002</v>
      </c>
      <c r="FM39">
        <v>24.14</v>
      </c>
      <c r="FN39">
        <v>19</v>
      </c>
      <c r="FO39">
        <v>867.02800000000002</v>
      </c>
      <c r="FP39">
        <v>577.87</v>
      </c>
      <c r="FQ39">
        <v>18.273599999999998</v>
      </c>
      <c r="FR39">
        <v>25.694199999999999</v>
      </c>
      <c r="FS39">
        <v>29.999600000000001</v>
      </c>
      <c r="FT39">
        <v>25.788399999999999</v>
      </c>
      <c r="FU39">
        <v>25.791799999999999</v>
      </c>
      <c r="FV39">
        <v>24.8279</v>
      </c>
      <c r="FW39">
        <v>37.982799999999997</v>
      </c>
      <c r="FX39">
        <v>37.499000000000002</v>
      </c>
      <c r="FY39">
        <v>18.273399999999999</v>
      </c>
      <c r="FZ39">
        <v>410</v>
      </c>
      <c r="GA39">
        <v>14.507400000000001</v>
      </c>
      <c r="GB39">
        <v>99.842600000000004</v>
      </c>
      <c r="GC39">
        <v>99.6357</v>
      </c>
    </row>
    <row r="40" spans="1:185" x14ac:dyDescent="0.2">
      <c r="A40">
        <v>25</v>
      </c>
      <c r="B40">
        <v>1769194932</v>
      </c>
      <c r="C40">
        <v>371</v>
      </c>
      <c r="D40" t="s">
        <v>343</v>
      </c>
      <c r="E40" t="s">
        <v>344</v>
      </c>
      <c r="F40">
        <v>15</v>
      </c>
      <c r="G40">
        <v>1769194923.9333301</v>
      </c>
      <c r="H40">
        <f t="shared" si="0"/>
        <v>7.1546854390372157E-4</v>
      </c>
      <c r="I40">
        <v>0</v>
      </c>
      <c r="J40">
        <f t="shared" si="12"/>
        <v>-2.0026594572798745E-3</v>
      </c>
      <c r="K40">
        <f t="shared" si="1"/>
        <v>-7.4626737388809594E-2</v>
      </c>
      <c r="L40">
        <f t="shared" si="2"/>
        <v>69.854835739917164</v>
      </c>
      <c r="M40">
        <f t="shared" si="3"/>
        <v>1.5400919922058645</v>
      </c>
      <c r="N40">
        <f t="shared" si="4"/>
        <v>2.2047034767069236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26254.094407840857</v>
      </c>
      <c r="T40">
        <f t="shared" si="8"/>
        <v>300.001933333333</v>
      </c>
      <c r="U40">
        <f t="shared" si="9"/>
        <v>252.90197960225404</v>
      </c>
      <c r="V40">
        <f t="shared" si="10"/>
        <v>0.84300116600000019</v>
      </c>
      <c r="W40">
        <f t="shared" si="11"/>
        <v>0.15870278508000008</v>
      </c>
      <c r="X40">
        <v>1</v>
      </c>
      <c r="Y40">
        <v>1769194923.9333301</v>
      </c>
      <c r="Z40">
        <v>409.70993333333303</v>
      </c>
      <c r="AA40">
        <v>409.98306666666701</v>
      </c>
      <c r="AB40">
        <v>15.375640000000001</v>
      </c>
      <c r="AC40">
        <v>14.49506</v>
      </c>
      <c r="AD40">
        <v>410.56293333333298</v>
      </c>
      <c r="AE40">
        <v>15.2825333333333</v>
      </c>
      <c r="AF40">
        <v>800.00426666666704</v>
      </c>
      <c r="AG40">
        <v>100.0996</v>
      </c>
      <c r="AH40">
        <v>6.4815413333333294E-2</v>
      </c>
      <c r="AI40">
        <v>18.9965333333333</v>
      </c>
      <c r="AJ40">
        <v>999.9</v>
      </c>
      <c r="AK40">
        <v>999.9</v>
      </c>
      <c r="AL40">
        <v>0</v>
      </c>
      <c r="AM40">
        <v>0</v>
      </c>
      <c r="AN40">
        <v>5000.8999999999996</v>
      </c>
      <c r="AO40">
        <v>0</v>
      </c>
      <c r="AP40">
        <v>1.6937899999999999</v>
      </c>
      <c r="AQ40">
        <v>-0.27308759999999999</v>
      </c>
      <c r="AR40">
        <v>416.10793333333299</v>
      </c>
      <c r="AS40">
        <v>416.01319999999998</v>
      </c>
      <c r="AT40">
        <v>0.88058959999999997</v>
      </c>
      <c r="AU40">
        <v>409.98306666666701</v>
      </c>
      <c r="AV40">
        <v>14.49506</v>
      </c>
      <c r="AW40">
        <v>1.539096</v>
      </c>
      <c r="AX40">
        <v>1.45094866666667</v>
      </c>
      <c r="AY40">
        <v>13.36218</v>
      </c>
      <c r="AZ40">
        <v>12.4608333333333</v>
      </c>
      <c r="BA40">
        <v>300.001933333333</v>
      </c>
      <c r="BB40">
        <v>0.89996306666666703</v>
      </c>
      <c r="BC40">
        <v>0</v>
      </c>
      <c r="BD40">
        <v>0.100037</v>
      </c>
      <c r="BE40">
        <v>0</v>
      </c>
      <c r="BF40">
        <v>24</v>
      </c>
      <c r="BG40">
        <v>4946.61466666667</v>
      </c>
      <c r="BH40">
        <v>1769194585</v>
      </c>
      <c r="BI40" t="s">
        <v>289</v>
      </c>
      <c r="BJ40">
        <v>1769194579</v>
      </c>
      <c r="BK40">
        <v>1769194585</v>
      </c>
      <c r="BL40">
        <v>1</v>
      </c>
      <c r="BM40">
        <v>2.3E-2</v>
      </c>
      <c r="BN40">
        <v>3.0000000000000001E-3</v>
      </c>
      <c r="BO40">
        <v>-0.85299999999999998</v>
      </c>
      <c r="BP40">
        <v>9.2999999999999999E-2</v>
      </c>
      <c r="BQ40">
        <v>410</v>
      </c>
      <c r="BR40">
        <v>15</v>
      </c>
      <c r="BS40">
        <v>0.28000000000000003</v>
      </c>
      <c r="BT40">
        <v>0.05</v>
      </c>
      <c r="BU40">
        <v>-0.26556855000000001</v>
      </c>
      <c r="BV40">
        <v>-0.147449639097744</v>
      </c>
      <c r="BW40">
        <v>2.03761300679864E-2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0.89054164999999996</v>
      </c>
      <c r="CD40">
        <v>-0.102347593984961</v>
      </c>
      <c r="CE40">
        <v>2.2521667272373501E-2</v>
      </c>
      <c r="CF40">
        <v>0</v>
      </c>
      <c r="CG40">
        <v>1</v>
      </c>
      <c r="CH40">
        <v>2</v>
      </c>
      <c r="CI40" t="s">
        <v>297</v>
      </c>
      <c r="CJ40">
        <v>3.5325299999999999</v>
      </c>
      <c r="CK40">
        <v>2.7027299999999999</v>
      </c>
      <c r="CL40">
        <v>9.7833000000000003E-2</v>
      </c>
      <c r="CM40">
        <v>9.6523300000000006E-2</v>
      </c>
      <c r="CN40">
        <v>8.69867E-2</v>
      </c>
      <c r="CO40">
        <v>8.2303799999999996E-2</v>
      </c>
      <c r="CP40">
        <v>31623.599999999999</v>
      </c>
      <c r="CQ40">
        <v>27794.2</v>
      </c>
      <c r="CR40">
        <v>32443.5</v>
      </c>
      <c r="CS40">
        <v>30691.5</v>
      </c>
      <c r="CT40">
        <v>40113</v>
      </c>
      <c r="CU40">
        <v>39607.599999999999</v>
      </c>
      <c r="CV40">
        <v>47384.2</v>
      </c>
      <c r="CW40">
        <v>46806.7</v>
      </c>
      <c r="CX40">
        <v>2.6198199999999998</v>
      </c>
      <c r="CY40">
        <v>2.1278800000000002</v>
      </c>
      <c r="CZ40">
        <v>0</v>
      </c>
      <c r="DA40">
        <v>0</v>
      </c>
      <c r="DB40">
        <v>999.9</v>
      </c>
      <c r="DC40">
        <v>999.9</v>
      </c>
      <c r="DD40">
        <v>63.649000000000001</v>
      </c>
      <c r="DE40">
        <v>26.949000000000002</v>
      </c>
      <c r="DF40">
        <v>22.691099999999999</v>
      </c>
      <c r="DG40">
        <v>30.19</v>
      </c>
      <c r="DH40">
        <v>16.209900000000001</v>
      </c>
      <c r="DI40">
        <v>2</v>
      </c>
      <c r="DJ40">
        <v>-0.104301</v>
      </c>
      <c r="DK40">
        <v>1.9866900000000001</v>
      </c>
      <c r="DL40">
        <v>20.219100000000001</v>
      </c>
      <c r="DM40">
        <v>5.2515499999999999</v>
      </c>
      <c r="DN40">
        <v>12.033899999999999</v>
      </c>
      <c r="DO40">
        <v>4.9676799999999997</v>
      </c>
      <c r="DP40">
        <v>3.2909999999999999</v>
      </c>
      <c r="DQ40">
        <v>536.1</v>
      </c>
      <c r="DR40">
        <v>9999</v>
      </c>
      <c r="DS40">
        <v>9999</v>
      </c>
      <c r="DT40">
        <v>9999</v>
      </c>
      <c r="DU40">
        <v>1.87103</v>
      </c>
      <c r="DV40">
        <v>1.8760699999999999</v>
      </c>
      <c r="DW40">
        <v>1.8762300000000001</v>
      </c>
      <c r="DX40">
        <v>1.8827700000000001</v>
      </c>
      <c r="DY40">
        <v>1.87548</v>
      </c>
      <c r="DZ40">
        <v>1.8745799999999999</v>
      </c>
      <c r="EA40">
        <v>1.8707400000000001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-0.85299999999999998</v>
      </c>
      <c r="EQ40">
        <v>9.3100000000000002E-2</v>
      </c>
      <c r="ER40">
        <v>-0.85300000000006504</v>
      </c>
      <c r="ES40">
        <v>0</v>
      </c>
      <c r="ET40">
        <v>0</v>
      </c>
      <c r="EU40">
        <v>0</v>
      </c>
      <c r="EV40">
        <v>9.3120000000002506E-2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5.9</v>
      </c>
      <c r="FE40">
        <v>5.8</v>
      </c>
      <c r="FF40">
        <v>1.2365699999999999</v>
      </c>
      <c r="FG40">
        <v>2.5891099999999998</v>
      </c>
      <c r="FH40">
        <v>2.19604</v>
      </c>
      <c r="FI40">
        <v>2.66235</v>
      </c>
      <c r="FJ40">
        <v>2.4462899999999999</v>
      </c>
      <c r="FK40">
        <v>2.2399900000000001</v>
      </c>
      <c r="FL40">
        <v>31.717300000000002</v>
      </c>
      <c r="FM40">
        <v>24.14</v>
      </c>
      <c r="FN40">
        <v>19</v>
      </c>
      <c r="FO40">
        <v>866.87800000000004</v>
      </c>
      <c r="FP40">
        <v>577.67200000000003</v>
      </c>
      <c r="FQ40">
        <v>18.280200000000001</v>
      </c>
      <c r="FR40">
        <v>25.6783</v>
      </c>
      <c r="FS40">
        <v>29.999700000000001</v>
      </c>
      <c r="FT40">
        <v>25.773099999999999</v>
      </c>
      <c r="FU40">
        <v>25.776700000000002</v>
      </c>
      <c r="FV40">
        <v>24.8276</v>
      </c>
      <c r="FW40">
        <v>37.982799999999997</v>
      </c>
      <c r="FX40">
        <v>37.121499999999997</v>
      </c>
      <c r="FY40">
        <v>18.280899999999999</v>
      </c>
      <c r="FZ40">
        <v>410</v>
      </c>
      <c r="GA40">
        <v>14.507400000000001</v>
      </c>
      <c r="GB40">
        <v>99.842600000000004</v>
      </c>
      <c r="GC40">
        <v>99.6404</v>
      </c>
    </row>
    <row r="41" spans="1:185" x14ac:dyDescent="0.2">
      <c r="A41">
        <v>26</v>
      </c>
      <c r="B41">
        <v>1769194947</v>
      </c>
      <c r="C41">
        <v>386</v>
      </c>
      <c r="D41" t="s">
        <v>345</v>
      </c>
      <c r="E41" t="s">
        <v>346</v>
      </c>
      <c r="F41">
        <v>15</v>
      </c>
      <c r="G41">
        <v>1769194938.9333301</v>
      </c>
      <c r="H41">
        <f t="shared" si="0"/>
        <v>7.4724259627522306E-4</v>
      </c>
      <c r="I41">
        <v>0</v>
      </c>
      <c r="J41">
        <f t="shared" si="12"/>
        <v>-2.1316614689363988E-3</v>
      </c>
      <c r="K41">
        <f t="shared" si="1"/>
        <v>-7.9433844863584915E-2</v>
      </c>
      <c r="L41">
        <f t="shared" si="2"/>
        <v>69.892851938910567</v>
      </c>
      <c r="M41">
        <f t="shared" si="3"/>
        <v>1.5412154372882005</v>
      </c>
      <c r="N41">
        <f t="shared" si="4"/>
        <v>2.205111673845118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26265.508409350419</v>
      </c>
      <c r="T41">
        <f t="shared" si="8"/>
        <v>299.99953333333298</v>
      </c>
      <c r="U41">
        <f t="shared" si="9"/>
        <v>252.90004339932023</v>
      </c>
      <c r="V41">
        <f t="shared" si="10"/>
        <v>0.84300145599999998</v>
      </c>
      <c r="W41">
        <f t="shared" si="11"/>
        <v>0.15870325023999998</v>
      </c>
      <c r="X41">
        <v>1</v>
      </c>
      <c r="Y41">
        <v>1769194938.9333301</v>
      </c>
      <c r="Z41">
        <v>409.714</v>
      </c>
      <c r="AA41">
        <v>409.99740000000003</v>
      </c>
      <c r="AB41">
        <v>15.386886666666699</v>
      </c>
      <c r="AC41">
        <v>14.4672133333333</v>
      </c>
      <c r="AD41">
        <v>410.56700000000001</v>
      </c>
      <c r="AE41">
        <v>15.2937733333333</v>
      </c>
      <c r="AF41">
        <v>800.00673333333305</v>
      </c>
      <c r="AG41">
        <v>100.0994</v>
      </c>
      <c r="AH41">
        <v>6.4815846666666704E-2</v>
      </c>
      <c r="AI41">
        <v>18.999500000000001</v>
      </c>
      <c r="AJ41">
        <v>999.9</v>
      </c>
      <c r="AK41">
        <v>999.9</v>
      </c>
      <c r="AL41">
        <v>0</v>
      </c>
      <c r="AM41">
        <v>0</v>
      </c>
      <c r="AN41">
        <v>5002.8333333333303</v>
      </c>
      <c r="AO41">
        <v>0</v>
      </c>
      <c r="AP41">
        <v>1.6937899999999999</v>
      </c>
      <c r="AQ41">
        <v>-0.28327233333333302</v>
      </c>
      <c r="AR41">
        <v>416.11680000000001</v>
      </c>
      <c r="AS41">
        <v>416.01593333333301</v>
      </c>
      <c r="AT41">
        <v>0.919671866666667</v>
      </c>
      <c r="AU41">
        <v>409.99740000000003</v>
      </c>
      <c r="AV41">
        <v>14.4672133333333</v>
      </c>
      <c r="AW41">
        <v>1.54021733333333</v>
      </c>
      <c r="AX41">
        <v>1.4481566666666701</v>
      </c>
      <c r="AY41">
        <v>13.3733466666667</v>
      </c>
      <c r="AZ41">
        <v>12.431513333333299</v>
      </c>
      <c r="BA41">
        <v>299.99953333333298</v>
      </c>
      <c r="BB41">
        <v>0.89995726666666698</v>
      </c>
      <c r="BC41">
        <v>0</v>
      </c>
      <c r="BD41">
        <v>0.100042933333333</v>
      </c>
      <c r="BE41">
        <v>0</v>
      </c>
      <c r="BF41">
        <v>24</v>
      </c>
      <c r="BG41">
        <v>4946.5613333333304</v>
      </c>
      <c r="BH41">
        <v>1769194585</v>
      </c>
      <c r="BI41" t="s">
        <v>289</v>
      </c>
      <c r="BJ41">
        <v>1769194579</v>
      </c>
      <c r="BK41">
        <v>1769194585</v>
      </c>
      <c r="BL41">
        <v>1</v>
      </c>
      <c r="BM41">
        <v>2.3E-2</v>
      </c>
      <c r="BN41">
        <v>3.0000000000000001E-3</v>
      </c>
      <c r="BO41">
        <v>-0.85299999999999998</v>
      </c>
      <c r="BP41">
        <v>9.2999999999999999E-2</v>
      </c>
      <c r="BQ41">
        <v>410</v>
      </c>
      <c r="BR41">
        <v>15</v>
      </c>
      <c r="BS41">
        <v>0.28000000000000003</v>
      </c>
      <c r="BT41">
        <v>0.05</v>
      </c>
      <c r="BU41">
        <v>-0.28047252380952398</v>
      </c>
      <c r="BV41">
        <v>-2.9054883116883298E-2</v>
      </c>
      <c r="BW41">
        <v>1.352711303666E-2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0.91151790476190497</v>
      </c>
      <c r="CD41">
        <v>0.16961033766233899</v>
      </c>
      <c r="CE41">
        <v>1.73550885303329E-2</v>
      </c>
      <c r="CF41">
        <v>0</v>
      </c>
      <c r="CG41">
        <v>1</v>
      </c>
      <c r="CH41">
        <v>2</v>
      </c>
      <c r="CI41" t="s">
        <v>297</v>
      </c>
      <c r="CJ41">
        <v>3.5324599999999999</v>
      </c>
      <c r="CK41">
        <v>2.7026400000000002</v>
      </c>
      <c r="CL41">
        <v>9.7836099999999995E-2</v>
      </c>
      <c r="CM41">
        <v>9.6529000000000004E-2</v>
      </c>
      <c r="CN41">
        <v>8.7021799999999996E-2</v>
      </c>
      <c r="CO41">
        <v>8.2174800000000006E-2</v>
      </c>
      <c r="CP41">
        <v>31624</v>
      </c>
      <c r="CQ41">
        <v>27794.9</v>
      </c>
      <c r="CR41">
        <v>32444</v>
      </c>
      <c r="CS41">
        <v>30692.400000000001</v>
      </c>
      <c r="CT41">
        <v>40112.1</v>
      </c>
      <c r="CU41">
        <v>39614.300000000003</v>
      </c>
      <c r="CV41">
        <v>47385</v>
      </c>
      <c r="CW41">
        <v>46807.8</v>
      </c>
      <c r="CX41">
        <v>2.6202399999999999</v>
      </c>
      <c r="CY41">
        <v>2.1281400000000001</v>
      </c>
      <c r="CZ41">
        <v>0</v>
      </c>
      <c r="DA41">
        <v>0</v>
      </c>
      <c r="DB41">
        <v>999.9</v>
      </c>
      <c r="DC41">
        <v>999.9</v>
      </c>
      <c r="DD41">
        <v>63.484000000000002</v>
      </c>
      <c r="DE41">
        <v>26.978999999999999</v>
      </c>
      <c r="DF41">
        <v>22.671900000000001</v>
      </c>
      <c r="DG41">
        <v>30.25</v>
      </c>
      <c r="DH41">
        <v>16.222000000000001</v>
      </c>
      <c r="DI41">
        <v>2</v>
      </c>
      <c r="DJ41">
        <v>-0.105047</v>
      </c>
      <c r="DK41">
        <v>2.00054</v>
      </c>
      <c r="DL41">
        <v>20.219100000000001</v>
      </c>
      <c r="DM41">
        <v>5.25143</v>
      </c>
      <c r="DN41">
        <v>12.033899999999999</v>
      </c>
      <c r="DO41">
        <v>4.9676799999999997</v>
      </c>
      <c r="DP41">
        <v>3.2909999999999999</v>
      </c>
      <c r="DQ41">
        <v>536.1</v>
      </c>
      <c r="DR41">
        <v>9999</v>
      </c>
      <c r="DS41">
        <v>9999</v>
      </c>
      <c r="DT41">
        <v>9999</v>
      </c>
      <c r="DU41">
        <v>1.87103</v>
      </c>
      <c r="DV41">
        <v>1.8760699999999999</v>
      </c>
      <c r="DW41">
        <v>1.8762300000000001</v>
      </c>
      <c r="DX41">
        <v>1.8827700000000001</v>
      </c>
      <c r="DY41">
        <v>1.87548</v>
      </c>
      <c r="DZ41">
        <v>1.87459</v>
      </c>
      <c r="EA41">
        <v>1.8707400000000001</v>
      </c>
      <c r="EB41">
        <v>1.8745400000000001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-0.85299999999999998</v>
      </c>
      <c r="EQ41">
        <v>9.3100000000000002E-2</v>
      </c>
      <c r="ER41">
        <v>-0.85300000000006504</v>
      </c>
      <c r="ES41">
        <v>0</v>
      </c>
      <c r="ET41">
        <v>0</v>
      </c>
      <c r="EU41">
        <v>0</v>
      </c>
      <c r="EV41">
        <v>9.3120000000002506E-2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1.2365699999999999</v>
      </c>
      <c r="FG41">
        <v>2.5830099999999998</v>
      </c>
      <c r="FH41">
        <v>2.19604</v>
      </c>
      <c r="FI41">
        <v>2.66235</v>
      </c>
      <c r="FJ41">
        <v>2.4462899999999999</v>
      </c>
      <c r="FK41">
        <v>2.2924799999999999</v>
      </c>
      <c r="FL41">
        <v>31.7392</v>
      </c>
      <c r="FM41">
        <v>24.148800000000001</v>
      </c>
      <c r="FN41">
        <v>19</v>
      </c>
      <c r="FO41">
        <v>867.03399999999999</v>
      </c>
      <c r="FP41">
        <v>577.71199999999999</v>
      </c>
      <c r="FQ41">
        <v>18.283999999999999</v>
      </c>
      <c r="FR41">
        <v>25.663599999999999</v>
      </c>
      <c r="FS41">
        <v>29.9998</v>
      </c>
      <c r="FT41">
        <v>25.758500000000002</v>
      </c>
      <c r="FU41">
        <v>25.7624</v>
      </c>
      <c r="FV41">
        <v>24.829000000000001</v>
      </c>
      <c r="FW41">
        <v>37.982799999999997</v>
      </c>
      <c r="FX41">
        <v>36.379399999999997</v>
      </c>
      <c r="FY41">
        <v>18.283200000000001</v>
      </c>
      <c r="FZ41">
        <v>410</v>
      </c>
      <c r="GA41">
        <v>14.507400000000001</v>
      </c>
      <c r="GB41">
        <v>99.844099999999997</v>
      </c>
      <c r="GC41">
        <v>99.643199999999993</v>
      </c>
    </row>
    <row r="42" spans="1:185" x14ac:dyDescent="0.2">
      <c r="A42">
        <v>27</v>
      </c>
      <c r="B42">
        <v>1769194962</v>
      </c>
      <c r="C42">
        <v>401</v>
      </c>
      <c r="D42" t="s">
        <v>347</v>
      </c>
      <c r="E42" t="s">
        <v>348</v>
      </c>
      <c r="F42">
        <v>15</v>
      </c>
      <c r="G42">
        <v>1769194953.9333301</v>
      </c>
      <c r="H42">
        <f t="shared" si="0"/>
        <v>7.6647206047204092E-4</v>
      </c>
      <c r="I42">
        <v>0</v>
      </c>
      <c r="J42">
        <f t="shared" si="12"/>
        <v>-2.6966986839005616E-3</v>
      </c>
      <c r="K42">
        <f t="shared" si="1"/>
        <v>-0.10048928876482031</v>
      </c>
      <c r="L42">
        <f t="shared" si="2"/>
        <v>69.855029010668261</v>
      </c>
      <c r="M42">
        <f t="shared" si="3"/>
        <v>1.5405095701661069</v>
      </c>
      <c r="N42">
        <f t="shared" si="4"/>
        <v>2.2052951548138933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26279.59871499705</v>
      </c>
      <c r="T42">
        <f t="shared" si="8"/>
        <v>299.99979999999999</v>
      </c>
      <c r="U42">
        <f t="shared" si="9"/>
        <v>252.9001667997764</v>
      </c>
      <c r="V42">
        <f t="shared" si="10"/>
        <v>0.84300111799999999</v>
      </c>
      <c r="W42">
        <f t="shared" si="11"/>
        <v>0.15870279500000001</v>
      </c>
      <c r="X42">
        <v>1</v>
      </c>
      <c r="Y42">
        <v>1769194953.9333301</v>
      </c>
      <c r="Z42">
        <v>409.71859999999998</v>
      </c>
      <c r="AA42">
        <v>409.98553333333302</v>
      </c>
      <c r="AB42">
        <v>15.3795533333333</v>
      </c>
      <c r="AC42">
        <v>14.436206666666701</v>
      </c>
      <c r="AD42">
        <v>410.57159999999999</v>
      </c>
      <c r="AE42">
        <v>15.28642</v>
      </c>
      <c r="AF42">
        <v>800.00713333333294</v>
      </c>
      <c r="AG42">
        <v>100.101133333333</v>
      </c>
      <c r="AH42">
        <v>6.4946706666666701E-2</v>
      </c>
      <c r="AI42">
        <v>19.000833333333301</v>
      </c>
      <c r="AJ42">
        <v>999.9</v>
      </c>
      <c r="AK42">
        <v>999.9</v>
      </c>
      <c r="AL42">
        <v>0</v>
      </c>
      <c r="AM42">
        <v>0</v>
      </c>
      <c r="AN42">
        <v>5005.1000000000004</v>
      </c>
      <c r="AO42">
        <v>0</v>
      </c>
      <c r="AP42">
        <v>1.6937899999999999</v>
      </c>
      <c r="AQ42">
        <v>-0.26697779999999999</v>
      </c>
      <c r="AR42">
        <v>416.118333333333</v>
      </c>
      <c r="AS42">
        <v>415.99079999999998</v>
      </c>
      <c r="AT42">
        <v>0.94334113333333303</v>
      </c>
      <c r="AU42">
        <v>409.98553333333302</v>
      </c>
      <c r="AV42">
        <v>14.436206666666701</v>
      </c>
      <c r="AW42">
        <v>1.5395113333333299</v>
      </c>
      <c r="AX42">
        <v>1.445082</v>
      </c>
      <c r="AY42">
        <v>13.36632</v>
      </c>
      <c r="AZ42">
        <v>12.3991333333333</v>
      </c>
      <c r="BA42">
        <v>299.99979999999999</v>
      </c>
      <c r="BB42">
        <v>0.89996273333333299</v>
      </c>
      <c r="BC42">
        <v>0</v>
      </c>
      <c r="BD42">
        <v>0.100037266666667</v>
      </c>
      <c r="BE42">
        <v>0</v>
      </c>
      <c r="BF42">
        <v>24</v>
      </c>
      <c r="BG42">
        <v>4946.58</v>
      </c>
      <c r="BH42">
        <v>1769194585</v>
      </c>
      <c r="BI42" t="s">
        <v>289</v>
      </c>
      <c r="BJ42">
        <v>1769194579</v>
      </c>
      <c r="BK42">
        <v>1769194585</v>
      </c>
      <c r="BL42">
        <v>1</v>
      </c>
      <c r="BM42">
        <v>2.3E-2</v>
      </c>
      <c r="BN42">
        <v>3.0000000000000001E-3</v>
      </c>
      <c r="BO42">
        <v>-0.85299999999999998</v>
      </c>
      <c r="BP42">
        <v>9.2999999999999999E-2</v>
      </c>
      <c r="BQ42">
        <v>410</v>
      </c>
      <c r="BR42">
        <v>15</v>
      </c>
      <c r="BS42">
        <v>0.28000000000000003</v>
      </c>
      <c r="BT42">
        <v>0.05</v>
      </c>
      <c r="BU42">
        <v>-0.26997674999999999</v>
      </c>
      <c r="BV42">
        <v>0.22154233082706701</v>
      </c>
      <c r="BW42">
        <v>3.0333446798666001E-2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0.94165425000000003</v>
      </c>
      <c r="CD42">
        <v>-1.0352030075179699E-3</v>
      </c>
      <c r="CE42">
        <v>7.7004449798372104E-3</v>
      </c>
      <c r="CF42">
        <v>1</v>
      </c>
      <c r="CG42">
        <v>2</v>
      </c>
      <c r="CH42">
        <v>2</v>
      </c>
      <c r="CI42" t="s">
        <v>304</v>
      </c>
      <c r="CJ42">
        <v>3.5325299999999999</v>
      </c>
      <c r="CK42">
        <v>2.7028699999999999</v>
      </c>
      <c r="CL42">
        <v>9.7844299999999995E-2</v>
      </c>
      <c r="CM42">
        <v>9.6531800000000001E-2</v>
      </c>
      <c r="CN42">
        <v>8.69341E-2</v>
      </c>
      <c r="CO42">
        <v>8.2177899999999998E-2</v>
      </c>
      <c r="CP42">
        <v>31625</v>
      </c>
      <c r="CQ42">
        <v>27794.799999999999</v>
      </c>
      <c r="CR42">
        <v>32445.3</v>
      </c>
      <c r="CS42">
        <v>30692.3</v>
      </c>
      <c r="CT42">
        <v>40117.300000000003</v>
      </c>
      <c r="CU42">
        <v>39614.199999999997</v>
      </c>
      <c r="CV42">
        <v>47386.5</v>
      </c>
      <c r="CW42">
        <v>46807.9</v>
      </c>
      <c r="CX42">
        <v>2.6202999999999999</v>
      </c>
      <c r="CY42">
        <v>2.1281400000000001</v>
      </c>
      <c r="CZ42">
        <v>0</v>
      </c>
      <c r="DA42">
        <v>0</v>
      </c>
      <c r="DB42">
        <v>999.9</v>
      </c>
      <c r="DC42">
        <v>999.9</v>
      </c>
      <c r="DD42">
        <v>63.295000000000002</v>
      </c>
      <c r="DE42">
        <v>26.989000000000001</v>
      </c>
      <c r="DF42">
        <v>22.618600000000001</v>
      </c>
      <c r="DG42">
        <v>30.37</v>
      </c>
      <c r="DH42">
        <v>16.125800000000002</v>
      </c>
      <c r="DI42">
        <v>2</v>
      </c>
      <c r="DJ42">
        <v>-0.106002</v>
      </c>
      <c r="DK42">
        <v>2.0270700000000001</v>
      </c>
      <c r="DL42">
        <v>20.218800000000002</v>
      </c>
      <c r="DM42">
        <v>5.2505899999999999</v>
      </c>
      <c r="DN42">
        <v>12.033899999999999</v>
      </c>
      <c r="DO42">
        <v>4.9671599999999998</v>
      </c>
      <c r="DP42">
        <v>3.2909999999999999</v>
      </c>
      <c r="DQ42">
        <v>536.1</v>
      </c>
      <c r="DR42">
        <v>9999</v>
      </c>
      <c r="DS42">
        <v>9999</v>
      </c>
      <c r="DT42">
        <v>9999</v>
      </c>
      <c r="DU42">
        <v>1.87103</v>
      </c>
      <c r="DV42">
        <v>1.8760699999999999</v>
      </c>
      <c r="DW42">
        <v>1.87622</v>
      </c>
      <c r="DX42">
        <v>1.8827700000000001</v>
      </c>
      <c r="DY42">
        <v>1.8754999999999999</v>
      </c>
      <c r="DZ42">
        <v>1.87456</v>
      </c>
      <c r="EA42">
        <v>1.87073</v>
      </c>
      <c r="EB42">
        <v>1.8745400000000001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-0.85299999999999998</v>
      </c>
      <c r="EQ42">
        <v>9.3200000000000005E-2</v>
      </c>
      <c r="ER42">
        <v>-0.85300000000006504</v>
      </c>
      <c r="ES42">
        <v>0</v>
      </c>
      <c r="ET42">
        <v>0</v>
      </c>
      <c r="EU42">
        <v>0</v>
      </c>
      <c r="EV42">
        <v>9.3120000000002506E-2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6.4</v>
      </c>
      <c r="FE42">
        <v>6.3</v>
      </c>
      <c r="FF42">
        <v>1.2365699999999999</v>
      </c>
      <c r="FG42">
        <v>2.5842299999999998</v>
      </c>
      <c r="FH42">
        <v>2.19604</v>
      </c>
      <c r="FI42">
        <v>2.66235</v>
      </c>
      <c r="FJ42">
        <v>2.4462899999999999</v>
      </c>
      <c r="FK42">
        <v>2.3144499999999999</v>
      </c>
      <c r="FL42">
        <v>31.7392</v>
      </c>
      <c r="FM42">
        <v>24.148800000000001</v>
      </c>
      <c r="FN42">
        <v>19</v>
      </c>
      <c r="FO42">
        <v>866.86900000000003</v>
      </c>
      <c r="FP42">
        <v>577.55899999999997</v>
      </c>
      <c r="FQ42">
        <v>18.270600000000002</v>
      </c>
      <c r="FR42">
        <v>25.650200000000002</v>
      </c>
      <c r="FS42">
        <v>29.9998</v>
      </c>
      <c r="FT42">
        <v>25.744599999999998</v>
      </c>
      <c r="FU42">
        <v>25.7485</v>
      </c>
      <c r="FV42">
        <v>24.829699999999999</v>
      </c>
      <c r="FW42">
        <v>37.708500000000001</v>
      </c>
      <c r="FX42">
        <v>36.007800000000003</v>
      </c>
      <c r="FY42">
        <v>18.270900000000001</v>
      </c>
      <c r="FZ42">
        <v>410</v>
      </c>
      <c r="GA42">
        <v>14.5105</v>
      </c>
      <c r="GB42">
        <v>99.8476</v>
      </c>
      <c r="GC42">
        <v>99.643100000000004</v>
      </c>
    </row>
    <row r="43" spans="1:185" x14ac:dyDescent="0.2">
      <c r="A43">
        <v>28</v>
      </c>
      <c r="B43">
        <v>1769194977</v>
      </c>
      <c r="C43">
        <v>416</v>
      </c>
      <c r="D43" t="s">
        <v>349</v>
      </c>
      <c r="E43" t="s">
        <v>350</v>
      </c>
      <c r="F43">
        <v>15</v>
      </c>
      <c r="G43">
        <v>1769194968.9333301</v>
      </c>
      <c r="H43">
        <f t="shared" si="0"/>
        <v>7.5038224029776591E-4</v>
      </c>
      <c r="I43">
        <v>0</v>
      </c>
      <c r="J43">
        <f t="shared" si="12"/>
        <v>-2.2120466151878378E-3</v>
      </c>
      <c r="K43">
        <f t="shared" si="1"/>
        <v>-8.2429302317652137E-2</v>
      </c>
      <c r="L43">
        <f t="shared" si="2"/>
        <v>69.798996516679807</v>
      </c>
      <c r="M43">
        <f t="shared" si="3"/>
        <v>1.5392745286539085</v>
      </c>
      <c r="N43">
        <f t="shared" si="4"/>
        <v>2.20529607225237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26258.924869580365</v>
      </c>
      <c r="T43">
        <f t="shared" si="8"/>
        <v>300.00006666666701</v>
      </c>
      <c r="U43">
        <f t="shared" si="9"/>
        <v>252.90038320007295</v>
      </c>
      <c r="V43">
        <f t="shared" si="10"/>
        <v>0.84300109000000001</v>
      </c>
      <c r="W43">
        <f t="shared" si="11"/>
        <v>0.15870272499999999</v>
      </c>
      <c r="X43">
        <v>1</v>
      </c>
      <c r="Y43">
        <v>1769194968.9333301</v>
      </c>
      <c r="Z43">
        <v>409.71820000000002</v>
      </c>
      <c r="AA43">
        <v>409.99946666666699</v>
      </c>
      <c r="AB43">
        <v>15.366773333333301</v>
      </c>
      <c r="AC43">
        <v>14.44322</v>
      </c>
      <c r="AD43">
        <v>410.57119999999998</v>
      </c>
      <c r="AE43">
        <v>15.2736466666667</v>
      </c>
      <c r="AF43">
        <v>800.00933333333296</v>
      </c>
      <c r="AG43">
        <v>100.10406666666699</v>
      </c>
      <c r="AH43">
        <v>6.4947039999999998E-2</v>
      </c>
      <c r="AI43">
        <v>19.00084</v>
      </c>
      <c r="AJ43">
        <v>999.9</v>
      </c>
      <c r="AK43">
        <v>999.9</v>
      </c>
      <c r="AL43">
        <v>0</v>
      </c>
      <c r="AM43">
        <v>0</v>
      </c>
      <c r="AN43">
        <v>5001.5666666666702</v>
      </c>
      <c r="AO43">
        <v>0</v>
      </c>
      <c r="AP43">
        <v>1.6937899999999999</v>
      </c>
      <c r="AQ43">
        <v>-0.28117873333333299</v>
      </c>
      <c r="AR43">
        <v>416.11246666666699</v>
      </c>
      <c r="AS43">
        <v>416.00793333333303</v>
      </c>
      <c r="AT43">
        <v>0.92354899999999995</v>
      </c>
      <c r="AU43">
        <v>409.99946666666699</v>
      </c>
      <c r="AV43">
        <v>14.44322</v>
      </c>
      <c r="AW43">
        <v>1.5382733333333301</v>
      </c>
      <c r="AX43">
        <v>1.445824</v>
      </c>
      <c r="AY43">
        <v>13.354006666666701</v>
      </c>
      <c r="AZ43">
        <v>12.4069466666667</v>
      </c>
      <c r="BA43">
        <v>300.00006666666701</v>
      </c>
      <c r="BB43">
        <v>0.89996366666666705</v>
      </c>
      <c r="BC43">
        <v>0</v>
      </c>
      <c r="BD43">
        <v>0.10003633333333301</v>
      </c>
      <c r="BE43">
        <v>0</v>
      </c>
      <c r="BF43">
        <v>24</v>
      </c>
      <c r="BG43">
        <v>4946.5839999999998</v>
      </c>
      <c r="BH43">
        <v>1769194585</v>
      </c>
      <c r="BI43" t="s">
        <v>289</v>
      </c>
      <c r="BJ43">
        <v>1769194579</v>
      </c>
      <c r="BK43">
        <v>1769194585</v>
      </c>
      <c r="BL43">
        <v>1</v>
      </c>
      <c r="BM43">
        <v>2.3E-2</v>
      </c>
      <c r="BN43">
        <v>3.0000000000000001E-3</v>
      </c>
      <c r="BO43">
        <v>-0.85299999999999998</v>
      </c>
      <c r="BP43">
        <v>9.2999999999999999E-2</v>
      </c>
      <c r="BQ43">
        <v>410</v>
      </c>
      <c r="BR43">
        <v>15</v>
      </c>
      <c r="BS43">
        <v>0.28000000000000003</v>
      </c>
      <c r="BT43">
        <v>0.05</v>
      </c>
      <c r="BU43">
        <v>-0.26833228571428602</v>
      </c>
      <c r="BV43">
        <v>-0.112988103896104</v>
      </c>
      <c r="BW43">
        <v>4.1388616460203101E-2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0.92703047619047596</v>
      </c>
      <c r="CD43">
        <v>-3.93790129870129E-2</v>
      </c>
      <c r="CE43">
        <v>1.2488456313995601E-2</v>
      </c>
      <c r="CF43">
        <v>1</v>
      </c>
      <c r="CG43">
        <v>2</v>
      </c>
      <c r="CH43">
        <v>2</v>
      </c>
      <c r="CI43" t="s">
        <v>304</v>
      </c>
      <c r="CJ43">
        <v>3.5324900000000001</v>
      </c>
      <c r="CK43">
        <v>2.70248</v>
      </c>
      <c r="CL43">
        <v>9.7846199999999994E-2</v>
      </c>
      <c r="CM43">
        <v>9.6532400000000004E-2</v>
      </c>
      <c r="CN43">
        <v>8.6896299999999996E-2</v>
      </c>
      <c r="CO43">
        <v>8.23049E-2</v>
      </c>
      <c r="CP43">
        <v>31624.5</v>
      </c>
      <c r="CQ43">
        <v>27795.4</v>
      </c>
      <c r="CR43">
        <v>32444.799999999999</v>
      </c>
      <c r="CS43">
        <v>30693</v>
      </c>
      <c r="CT43">
        <v>40118.699999999997</v>
      </c>
      <c r="CU43">
        <v>39609.5</v>
      </c>
      <c r="CV43">
        <v>47386.2</v>
      </c>
      <c r="CW43">
        <v>46809</v>
      </c>
      <c r="CX43">
        <v>2.6205400000000001</v>
      </c>
      <c r="CY43">
        <v>2.1283400000000001</v>
      </c>
      <c r="CZ43">
        <v>0</v>
      </c>
      <c r="DA43">
        <v>0</v>
      </c>
      <c r="DB43">
        <v>999.9</v>
      </c>
      <c r="DC43">
        <v>999.9</v>
      </c>
      <c r="DD43">
        <v>63.112000000000002</v>
      </c>
      <c r="DE43">
        <v>26.989000000000001</v>
      </c>
      <c r="DF43">
        <v>22.552499999999998</v>
      </c>
      <c r="DG43">
        <v>29.98</v>
      </c>
      <c r="DH43">
        <v>16.093800000000002</v>
      </c>
      <c r="DI43">
        <v>2</v>
      </c>
      <c r="DJ43">
        <v>-0.106742</v>
      </c>
      <c r="DK43">
        <v>2.02867</v>
      </c>
      <c r="DL43">
        <v>20.218699999999998</v>
      </c>
      <c r="DM43">
        <v>5.25</v>
      </c>
      <c r="DN43">
        <v>12.033899999999999</v>
      </c>
      <c r="DO43">
        <v>4.9672000000000001</v>
      </c>
      <c r="DP43">
        <v>3.2909999999999999</v>
      </c>
      <c r="DQ43">
        <v>536.1</v>
      </c>
      <c r="DR43">
        <v>9999</v>
      </c>
      <c r="DS43">
        <v>9999</v>
      </c>
      <c r="DT43">
        <v>9999</v>
      </c>
      <c r="DU43">
        <v>1.87103</v>
      </c>
      <c r="DV43">
        <v>1.8760699999999999</v>
      </c>
      <c r="DW43">
        <v>1.87622</v>
      </c>
      <c r="DX43">
        <v>1.8827799999999999</v>
      </c>
      <c r="DY43">
        <v>1.87551</v>
      </c>
      <c r="DZ43">
        <v>1.87463</v>
      </c>
      <c r="EA43">
        <v>1.87073</v>
      </c>
      <c r="EB43">
        <v>1.8745400000000001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-0.85299999999999998</v>
      </c>
      <c r="EQ43">
        <v>9.3100000000000002E-2</v>
      </c>
      <c r="ER43">
        <v>-0.85300000000006504</v>
      </c>
      <c r="ES43">
        <v>0</v>
      </c>
      <c r="ET43">
        <v>0</v>
      </c>
      <c r="EU43">
        <v>0</v>
      </c>
      <c r="EV43">
        <v>9.3120000000002506E-2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1.2365699999999999</v>
      </c>
      <c r="FG43">
        <v>2.5866699999999998</v>
      </c>
      <c r="FH43">
        <v>2.19604</v>
      </c>
      <c r="FI43">
        <v>2.66235</v>
      </c>
      <c r="FJ43">
        <v>2.4462899999999999</v>
      </c>
      <c r="FK43">
        <v>2.2997999999999998</v>
      </c>
      <c r="FL43">
        <v>31.7392</v>
      </c>
      <c r="FM43">
        <v>24.148800000000001</v>
      </c>
      <c r="FN43">
        <v>19</v>
      </c>
      <c r="FO43">
        <v>866.88400000000001</v>
      </c>
      <c r="FP43">
        <v>577.57299999999998</v>
      </c>
      <c r="FQ43">
        <v>18.269400000000001</v>
      </c>
      <c r="FR43">
        <v>25.637799999999999</v>
      </c>
      <c r="FS43">
        <v>29.9998</v>
      </c>
      <c r="FT43">
        <v>25.7316</v>
      </c>
      <c r="FU43">
        <v>25.736000000000001</v>
      </c>
      <c r="FV43">
        <v>24.831800000000001</v>
      </c>
      <c r="FW43">
        <v>37.432499999999997</v>
      </c>
      <c r="FX43">
        <v>35.244700000000002</v>
      </c>
      <c r="FY43">
        <v>18.269100000000002</v>
      </c>
      <c r="FZ43">
        <v>410</v>
      </c>
      <c r="GA43">
        <v>14.5115</v>
      </c>
      <c r="GB43">
        <v>99.846699999999998</v>
      </c>
      <c r="GC43">
        <v>99.645300000000006</v>
      </c>
    </row>
    <row r="44" spans="1:185" x14ac:dyDescent="0.2">
      <c r="A44">
        <v>29</v>
      </c>
      <c r="B44">
        <v>1769194992</v>
      </c>
      <c r="C44">
        <v>431</v>
      </c>
      <c r="D44" t="s">
        <v>351</v>
      </c>
      <c r="E44" t="s">
        <v>352</v>
      </c>
      <c r="F44">
        <v>15</v>
      </c>
      <c r="G44">
        <v>1769194983.9333301</v>
      </c>
      <c r="H44">
        <f t="shared" si="0"/>
        <v>7.1665729875976963E-4</v>
      </c>
      <c r="I44">
        <v>0</v>
      </c>
      <c r="J44">
        <f t="shared" si="12"/>
        <v>-2.5415493774463478E-3</v>
      </c>
      <c r="K44">
        <f t="shared" si="1"/>
        <v>-9.4707833257381815E-2</v>
      </c>
      <c r="L44">
        <f t="shared" si="2"/>
        <v>69.818963455023166</v>
      </c>
      <c r="M44">
        <f t="shared" si="3"/>
        <v>1.5399807055314381</v>
      </c>
      <c r="N44">
        <f t="shared" si="4"/>
        <v>2.2056768381035643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26181.335232964902</v>
      </c>
      <c r="T44">
        <f t="shared" si="8"/>
        <v>300.00113333333297</v>
      </c>
      <c r="U44">
        <f t="shared" si="9"/>
        <v>252.90133820144592</v>
      </c>
      <c r="V44">
        <f t="shared" si="10"/>
        <v>0.8430012760000003</v>
      </c>
      <c r="W44">
        <f t="shared" si="11"/>
        <v>0.15870306008000007</v>
      </c>
      <c r="X44">
        <v>1</v>
      </c>
      <c r="Y44">
        <v>1769194983.9333301</v>
      </c>
      <c r="Z44">
        <v>409.73793333333299</v>
      </c>
      <c r="AA44">
        <v>409.98660000000001</v>
      </c>
      <c r="AB44">
        <v>15.3743533333333</v>
      </c>
      <c r="AC44">
        <v>14.4923066666667</v>
      </c>
      <c r="AD44">
        <v>410.590933333333</v>
      </c>
      <c r="AE44">
        <v>15.281226666666701</v>
      </c>
      <c r="AF44">
        <v>800.00206666666702</v>
      </c>
      <c r="AG44">
        <v>100.10080000000001</v>
      </c>
      <c r="AH44">
        <v>6.4759626666666695E-2</v>
      </c>
      <c r="AI44">
        <v>19.003606666666698</v>
      </c>
      <c r="AJ44">
        <v>999.9</v>
      </c>
      <c r="AK44">
        <v>999.9</v>
      </c>
      <c r="AL44">
        <v>0</v>
      </c>
      <c r="AM44">
        <v>0</v>
      </c>
      <c r="AN44">
        <v>4988.9666666666699</v>
      </c>
      <c r="AO44">
        <v>0</v>
      </c>
      <c r="AP44">
        <v>1.6937899999999999</v>
      </c>
      <c r="AQ44">
        <v>-0.248805733333333</v>
      </c>
      <c r="AR44">
        <v>416.13573333333301</v>
      </c>
      <c r="AS44">
        <v>416.01566666666702</v>
      </c>
      <c r="AT44">
        <v>0.882060133333333</v>
      </c>
      <c r="AU44">
        <v>409.98660000000001</v>
      </c>
      <c r="AV44">
        <v>14.4923066666667</v>
      </c>
      <c r="AW44">
        <v>1.5389839999999999</v>
      </c>
      <c r="AX44">
        <v>1.4506886666666701</v>
      </c>
      <c r="AY44">
        <v>13.361079999999999</v>
      </c>
      <c r="AZ44">
        <v>12.458119999999999</v>
      </c>
      <c r="BA44">
        <v>300.00113333333297</v>
      </c>
      <c r="BB44">
        <v>0.89995939999999996</v>
      </c>
      <c r="BC44">
        <v>0</v>
      </c>
      <c r="BD44">
        <v>0.100040666666667</v>
      </c>
      <c r="BE44">
        <v>0</v>
      </c>
      <c r="BF44">
        <v>24</v>
      </c>
      <c r="BG44">
        <v>4946.59533333333</v>
      </c>
      <c r="BH44">
        <v>1769194585</v>
      </c>
      <c r="BI44" t="s">
        <v>289</v>
      </c>
      <c r="BJ44">
        <v>1769194579</v>
      </c>
      <c r="BK44">
        <v>1769194585</v>
      </c>
      <c r="BL44">
        <v>1</v>
      </c>
      <c r="BM44">
        <v>2.3E-2</v>
      </c>
      <c r="BN44">
        <v>3.0000000000000001E-3</v>
      </c>
      <c r="BO44">
        <v>-0.85299999999999998</v>
      </c>
      <c r="BP44">
        <v>9.2999999999999999E-2</v>
      </c>
      <c r="BQ44">
        <v>410</v>
      </c>
      <c r="BR44">
        <v>15</v>
      </c>
      <c r="BS44">
        <v>0.28000000000000003</v>
      </c>
      <c r="BT44">
        <v>0.05</v>
      </c>
      <c r="BU44">
        <v>-0.25641019999999998</v>
      </c>
      <c r="BV44">
        <v>5.0072751879699201E-2</v>
      </c>
      <c r="BW44">
        <v>3.2445279726949501E-2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0.89218445000000002</v>
      </c>
      <c r="CD44">
        <v>-8.1501157894736706E-2</v>
      </c>
      <c r="CE44">
        <v>2.5248084007454898E-2</v>
      </c>
      <c r="CF44">
        <v>1</v>
      </c>
      <c r="CG44">
        <v>2</v>
      </c>
      <c r="CH44">
        <v>2</v>
      </c>
      <c r="CI44" t="s">
        <v>304</v>
      </c>
      <c r="CJ44">
        <v>3.5325000000000002</v>
      </c>
      <c r="CK44">
        <v>2.7027399999999999</v>
      </c>
      <c r="CL44">
        <v>9.78459E-2</v>
      </c>
      <c r="CM44">
        <v>9.6537700000000004E-2</v>
      </c>
      <c r="CN44">
        <v>8.7021799999999996E-2</v>
      </c>
      <c r="CO44">
        <v>8.2269200000000001E-2</v>
      </c>
      <c r="CP44">
        <v>31624.9</v>
      </c>
      <c r="CQ44">
        <v>27796.2</v>
      </c>
      <c r="CR44">
        <v>32445.1</v>
      </c>
      <c r="CS44">
        <v>30694</v>
      </c>
      <c r="CT44">
        <v>40113</v>
      </c>
      <c r="CU44">
        <v>39612.300000000003</v>
      </c>
      <c r="CV44">
        <v>47386.3</v>
      </c>
      <c r="CW44">
        <v>46810.400000000001</v>
      </c>
      <c r="CX44">
        <v>2.62066</v>
      </c>
      <c r="CY44">
        <v>2.1284800000000001</v>
      </c>
      <c r="CZ44">
        <v>0</v>
      </c>
      <c r="DA44">
        <v>0</v>
      </c>
      <c r="DB44">
        <v>999.9</v>
      </c>
      <c r="DC44">
        <v>999.9</v>
      </c>
      <c r="DD44">
        <v>62.904000000000003</v>
      </c>
      <c r="DE44">
        <v>27.009</v>
      </c>
      <c r="DF44">
        <v>22.504999999999999</v>
      </c>
      <c r="DG44">
        <v>30.49</v>
      </c>
      <c r="DH44">
        <v>16.145800000000001</v>
      </c>
      <c r="DI44">
        <v>2</v>
      </c>
      <c r="DJ44">
        <v>-0.107325</v>
      </c>
      <c r="DK44">
        <v>2.0667499999999999</v>
      </c>
      <c r="DL44">
        <v>20.218299999999999</v>
      </c>
      <c r="DM44">
        <v>5.2517899999999997</v>
      </c>
      <c r="DN44">
        <v>12.033899999999999</v>
      </c>
      <c r="DO44">
        <v>4.9674800000000001</v>
      </c>
      <c r="DP44">
        <v>3.2909999999999999</v>
      </c>
      <c r="DQ44">
        <v>536.1</v>
      </c>
      <c r="DR44">
        <v>9999</v>
      </c>
      <c r="DS44">
        <v>9999</v>
      </c>
      <c r="DT44">
        <v>9999</v>
      </c>
      <c r="DU44">
        <v>1.87103</v>
      </c>
      <c r="DV44">
        <v>1.8760699999999999</v>
      </c>
      <c r="DW44">
        <v>1.8762399999999999</v>
      </c>
      <c r="DX44">
        <v>1.8827799999999999</v>
      </c>
      <c r="DY44">
        <v>1.8754999999999999</v>
      </c>
      <c r="DZ44">
        <v>1.8746400000000001</v>
      </c>
      <c r="EA44">
        <v>1.8707499999999999</v>
      </c>
      <c r="EB44">
        <v>1.8745700000000001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-0.85299999999999998</v>
      </c>
      <c r="EQ44">
        <v>9.3100000000000002E-2</v>
      </c>
      <c r="ER44">
        <v>-0.85300000000006504</v>
      </c>
      <c r="ES44">
        <v>0</v>
      </c>
      <c r="ET44">
        <v>0</v>
      </c>
      <c r="EU44">
        <v>0</v>
      </c>
      <c r="EV44">
        <v>9.3120000000002506E-2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6.9</v>
      </c>
      <c r="FE44">
        <v>6.8</v>
      </c>
      <c r="FF44">
        <v>1.2365699999999999</v>
      </c>
      <c r="FG44">
        <v>2.5878899999999998</v>
      </c>
      <c r="FH44">
        <v>2.19604</v>
      </c>
      <c r="FI44">
        <v>2.66235</v>
      </c>
      <c r="FJ44">
        <v>2.4462899999999999</v>
      </c>
      <c r="FK44">
        <v>2.2863799999999999</v>
      </c>
      <c r="FL44">
        <v>31.7392</v>
      </c>
      <c r="FM44">
        <v>24.148800000000001</v>
      </c>
      <c r="FN44">
        <v>19</v>
      </c>
      <c r="FO44">
        <v>866.79499999999996</v>
      </c>
      <c r="FP44">
        <v>577.54200000000003</v>
      </c>
      <c r="FQ44">
        <v>18.262699999999999</v>
      </c>
      <c r="FR44">
        <v>25.626999999999999</v>
      </c>
      <c r="FS44">
        <v>29.9999</v>
      </c>
      <c r="FT44">
        <v>25.719100000000001</v>
      </c>
      <c r="FU44">
        <v>25.723400000000002</v>
      </c>
      <c r="FV44">
        <v>24.831700000000001</v>
      </c>
      <c r="FW44">
        <v>37.432499999999997</v>
      </c>
      <c r="FX44">
        <v>34.868499999999997</v>
      </c>
      <c r="FY44">
        <v>18.2591</v>
      </c>
      <c r="FZ44">
        <v>410</v>
      </c>
      <c r="GA44">
        <v>14.510899999999999</v>
      </c>
      <c r="GB44">
        <v>99.847099999999998</v>
      </c>
      <c r="GC44">
        <v>99.648499999999999</v>
      </c>
    </row>
    <row r="45" spans="1:185" x14ac:dyDescent="0.2">
      <c r="A45">
        <v>30</v>
      </c>
      <c r="B45">
        <v>1769195007.0999999</v>
      </c>
      <c r="C45">
        <v>446.09999990463302</v>
      </c>
      <c r="D45" t="s">
        <v>353</v>
      </c>
      <c r="E45" t="s">
        <v>354</v>
      </c>
      <c r="F45">
        <v>15</v>
      </c>
      <c r="G45">
        <v>1769194999.46</v>
      </c>
      <c r="H45">
        <f t="shared" si="0"/>
        <v>7.5697351533728302E-4</v>
      </c>
      <c r="I45">
        <v>0</v>
      </c>
      <c r="J45">
        <f t="shared" si="12"/>
        <v>-2.1913775977189876E-3</v>
      </c>
      <c r="K45">
        <f t="shared" si="1"/>
        <v>-8.1659095813932492E-2</v>
      </c>
      <c r="L45">
        <f t="shared" si="2"/>
        <v>69.874580745829789</v>
      </c>
      <c r="M45">
        <f t="shared" si="3"/>
        <v>1.541097809413174</v>
      </c>
      <c r="N45">
        <f t="shared" si="4"/>
        <v>2.205519937241482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26308.673062816259</v>
      </c>
      <c r="T45">
        <f t="shared" si="8"/>
        <v>299.99946666666699</v>
      </c>
      <c r="U45">
        <f t="shared" si="9"/>
        <v>252.90000819918632</v>
      </c>
      <c r="V45">
        <f t="shared" si="10"/>
        <v>0.84300152599999967</v>
      </c>
      <c r="W45">
        <f t="shared" si="11"/>
        <v>0.15870316539999993</v>
      </c>
      <c r="X45">
        <v>1</v>
      </c>
      <c r="Y45">
        <v>1769194999.46</v>
      </c>
      <c r="Z45">
        <v>409.71333333333303</v>
      </c>
      <c r="AA45">
        <v>409.99893333333301</v>
      </c>
      <c r="AB45">
        <v>15.3852733333333</v>
      </c>
      <c r="AC45">
        <v>14.4536266666667</v>
      </c>
      <c r="AD45">
        <v>410.56633333333298</v>
      </c>
      <c r="AE45">
        <v>15.2921533333333</v>
      </c>
      <c r="AF45">
        <v>800.01066666666702</v>
      </c>
      <c r="AG45">
        <v>100.10226666666701</v>
      </c>
      <c r="AH45">
        <v>6.4807133333333294E-2</v>
      </c>
      <c r="AI45">
        <v>19.002466666666699</v>
      </c>
      <c r="AJ45">
        <v>999.9</v>
      </c>
      <c r="AK45">
        <v>999.9</v>
      </c>
      <c r="AL45">
        <v>0</v>
      </c>
      <c r="AM45">
        <v>0</v>
      </c>
      <c r="AN45">
        <v>5009.8666666666704</v>
      </c>
      <c r="AO45">
        <v>0</v>
      </c>
      <c r="AP45">
        <v>1.6937899999999999</v>
      </c>
      <c r="AQ45">
        <v>-0.28541860000000002</v>
      </c>
      <c r="AR45">
        <v>416.11546666666698</v>
      </c>
      <c r="AS45">
        <v>416.01173333333298</v>
      </c>
      <c r="AT45">
        <v>0.93165013333333302</v>
      </c>
      <c r="AU45">
        <v>409.99893333333301</v>
      </c>
      <c r="AV45">
        <v>14.4536266666667</v>
      </c>
      <c r="AW45">
        <v>1.540098</v>
      </c>
      <c r="AX45">
        <v>1.44683933333333</v>
      </c>
      <c r="AY45">
        <v>13.372173333333301</v>
      </c>
      <c r="AZ45">
        <v>12.417626666666701</v>
      </c>
      <c r="BA45">
        <v>299.99946666666699</v>
      </c>
      <c r="BB45">
        <v>0.89995879999999995</v>
      </c>
      <c r="BC45">
        <v>0</v>
      </c>
      <c r="BD45">
        <v>0.100041533333333</v>
      </c>
      <c r="BE45">
        <v>0</v>
      </c>
      <c r="BF45">
        <v>24</v>
      </c>
      <c r="BG45">
        <v>4946.5680000000002</v>
      </c>
      <c r="BH45">
        <v>1769194585</v>
      </c>
      <c r="BI45" t="s">
        <v>289</v>
      </c>
      <c r="BJ45">
        <v>1769194579</v>
      </c>
      <c r="BK45">
        <v>1769194585</v>
      </c>
      <c r="BL45">
        <v>1</v>
      </c>
      <c r="BM45">
        <v>2.3E-2</v>
      </c>
      <c r="BN45">
        <v>3.0000000000000001E-3</v>
      </c>
      <c r="BO45">
        <v>-0.85299999999999998</v>
      </c>
      <c r="BP45">
        <v>9.2999999999999999E-2</v>
      </c>
      <c r="BQ45">
        <v>410</v>
      </c>
      <c r="BR45">
        <v>15</v>
      </c>
      <c r="BS45">
        <v>0.28000000000000003</v>
      </c>
      <c r="BT45">
        <v>0.05</v>
      </c>
      <c r="BU45">
        <v>-0.28393980952380898</v>
      </c>
      <c r="BV45">
        <v>3.6985574775868901E-3</v>
      </c>
      <c r="BW45">
        <v>1.8761344950314E-2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0.92323938095238101</v>
      </c>
      <c r="CD45">
        <v>0.16621539255468901</v>
      </c>
      <c r="CE45">
        <v>1.6461044509115001E-2</v>
      </c>
      <c r="CF45">
        <v>0</v>
      </c>
      <c r="CG45">
        <v>1</v>
      </c>
      <c r="CH45">
        <v>2</v>
      </c>
      <c r="CI45" t="s">
        <v>297</v>
      </c>
      <c r="CJ45">
        <v>3.5325199999999999</v>
      </c>
      <c r="CK45">
        <v>2.7025700000000001</v>
      </c>
      <c r="CL45">
        <v>9.7851199999999999E-2</v>
      </c>
      <c r="CM45">
        <v>9.6537899999999996E-2</v>
      </c>
      <c r="CN45">
        <v>8.6979299999999996E-2</v>
      </c>
      <c r="CO45">
        <v>8.2126699999999997E-2</v>
      </c>
      <c r="CP45">
        <v>31624.7</v>
      </c>
      <c r="CQ45">
        <v>27797.1</v>
      </c>
      <c r="CR45">
        <v>32445.1</v>
      </c>
      <c r="CS45">
        <v>30694.9</v>
      </c>
      <c r="CT45">
        <v>40115</v>
      </c>
      <c r="CU45">
        <v>39619.9</v>
      </c>
      <c r="CV45">
        <v>47386.3</v>
      </c>
      <c r="CW45">
        <v>46811.9</v>
      </c>
      <c r="CX45">
        <v>2.6208200000000001</v>
      </c>
      <c r="CY45">
        <v>2.1284200000000002</v>
      </c>
      <c r="CZ45">
        <v>0</v>
      </c>
      <c r="DA45">
        <v>0</v>
      </c>
      <c r="DB45">
        <v>999.9</v>
      </c>
      <c r="DC45">
        <v>999.9</v>
      </c>
      <c r="DD45">
        <v>62.709000000000003</v>
      </c>
      <c r="DE45">
        <v>27.009</v>
      </c>
      <c r="DF45">
        <v>22.4331</v>
      </c>
      <c r="DG45">
        <v>29.9664</v>
      </c>
      <c r="DH45">
        <v>16.157900000000001</v>
      </c>
      <c r="DI45">
        <v>2</v>
      </c>
      <c r="DJ45">
        <v>-0.107941</v>
      </c>
      <c r="DK45">
        <v>2.0710700000000002</v>
      </c>
      <c r="DL45">
        <v>20.218499999999999</v>
      </c>
      <c r="DM45">
        <v>5.2513100000000001</v>
      </c>
      <c r="DN45">
        <v>12.033899999999999</v>
      </c>
      <c r="DO45">
        <v>4.9674399999999999</v>
      </c>
      <c r="DP45">
        <v>3.2909999999999999</v>
      </c>
      <c r="DQ45">
        <v>536.1</v>
      </c>
      <c r="DR45">
        <v>9999</v>
      </c>
      <c r="DS45">
        <v>9999</v>
      </c>
      <c r="DT45">
        <v>9999</v>
      </c>
      <c r="DU45">
        <v>1.87103</v>
      </c>
      <c r="DV45">
        <v>1.8760699999999999</v>
      </c>
      <c r="DW45">
        <v>1.87622</v>
      </c>
      <c r="DX45">
        <v>1.8827799999999999</v>
      </c>
      <c r="DY45">
        <v>1.87548</v>
      </c>
      <c r="DZ45">
        <v>1.87462</v>
      </c>
      <c r="EA45">
        <v>1.87073</v>
      </c>
      <c r="EB45">
        <v>1.8745499999999999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-0.85299999999999998</v>
      </c>
      <c r="EQ45">
        <v>9.3100000000000002E-2</v>
      </c>
      <c r="ER45">
        <v>-0.85300000000006504</v>
      </c>
      <c r="ES45">
        <v>0</v>
      </c>
      <c r="ET45">
        <v>0</v>
      </c>
      <c r="EU45">
        <v>0</v>
      </c>
      <c r="EV45">
        <v>9.3120000000002506E-2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1.2365699999999999</v>
      </c>
      <c r="FG45">
        <v>2.5866699999999998</v>
      </c>
      <c r="FH45">
        <v>2.19604</v>
      </c>
      <c r="FI45">
        <v>2.66235</v>
      </c>
      <c r="FJ45">
        <v>2.4462899999999999</v>
      </c>
      <c r="FK45">
        <v>2.2717299999999998</v>
      </c>
      <c r="FL45">
        <v>31.761099999999999</v>
      </c>
      <c r="FM45">
        <v>24.148800000000001</v>
      </c>
      <c r="FN45">
        <v>19</v>
      </c>
      <c r="FO45">
        <v>866.75599999999997</v>
      </c>
      <c r="FP45">
        <v>577.37</v>
      </c>
      <c r="FQ45">
        <v>18.252099999999999</v>
      </c>
      <c r="FR45">
        <v>25.616900000000001</v>
      </c>
      <c r="FS45">
        <v>29.9999</v>
      </c>
      <c r="FT45">
        <v>25.7073</v>
      </c>
      <c r="FU45">
        <v>25.7121</v>
      </c>
      <c r="FV45">
        <v>24.831499999999998</v>
      </c>
      <c r="FW45">
        <v>37.432499999999997</v>
      </c>
      <c r="FX45">
        <v>34.118400000000001</v>
      </c>
      <c r="FY45">
        <v>18.250900000000001</v>
      </c>
      <c r="FZ45">
        <v>410</v>
      </c>
      <c r="GA45">
        <v>14.510899999999999</v>
      </c>
      <c r="GB45">
        <v>99.847200000000001</v>
      </c>
      <c r="GC45">
        <v>99.651600000000002</v>
      </c>
    </row>
    <row r="46" spans="1:185" x14ac:dyDescent="0.2">
      <c r="A46">
        <v>31</v>
      </c>
      <c r="B46">
        <v>1769195022.0999999</v>
      </c>
      <c r="C46">
        <v>461.09999990463302</v>
      </c>
      <c r="D46" t="s">
        <v>355</v>
      </c>
      <c r="E46" t="s">
        <v>356</v>
      </c>
      <c r="F46">
        <v>15</v>
      </c>
      <c r="G46">
        <v>1769195014.5999999</v>
      </c>
      <c r="H46">
        <f t="shared" si="0"/>
        <v>7.4893314227409736E-4</v>
      </c>
      <c r="I46">
        <v>0</v>
      </c>
      <c r="J46">
        <f t="shared" si="12"/>
        <v>-2.2449055972601105E-3</v>
      </c>
      <c r="K46">
        <f t="shared" si="1"/>
        <v>-8.3653753442908221E-2</v>
      </c>
      <c r="L46">
        <f t="shared" si="2"/>
        <v>69.813147012052056</v>
      </c>
      <c r="M46">
        <f t="shared" si="3"/>
        <v>1.5396541165103066</v>
      </c>
      <c r="N46">
        <f t="shared" si="4"/>
        <v>2.2053927983571797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26255.463765869954</v>
      </c>
      <c r="T46">
        <f t="shared" si="8"/>
        <v>299.99871428571402</v>
      </c>
      <c r="U46">
        <f t="shared" si="9"/>
        <v>252.89933271250021</v>
      </c>
      <c r="V46">
        <f t="shared" si="10"/>
        <v>0.8430013885714287</v>
      </c>
      <c r="W46">
        <f t="shared" si="11"/>
        <v>0.15870319302857147</v>
      </c>
      <c r="X46">
        <v>1</v>
      </c>
      <c r="Y46">
        <v>1769195014.5999999</v>
      </c>
      <c r="Z46">
        <v>409.72057142857102</v>
      </c>
      <c r="AA46">
        <v>409.99957142857102</v>
      </c>
      <c r="AB46">
        <v>15.3708428571429</v>
      </c>
      <c r="AC46">
        <v>14.4490642857143</v>
      </c>
      <c r="AD46">
        <v>410.57357142857097</v>
      </c>
      <c r="AE46">
        <v>15.277735714285701</v>
      </c>
      <c r="AF46">
        <v>799.99842857142801</v>
      </c>
      <c r="AG46">
        <v>100.102571428571</v>
      </c>
      <c r="AH46">
        <v>6.4617242857142904E-2</v>
      </c>
      <c r="AI46">
        <v>19.001542857142901</v>
      </c>
      <c r="AJ46">
        <v>999.9</v>
      </c>
      <c r="AK46">
        <v>999.9</v>
      </c>
      <c r="AL46">
        <v>0</v>
      </c>
      <c r="AM46">
        <v>0</v>
      </c>
      <c r="AN46">
        <v>5001.0714285714303</v>
      </c>
      <c r="AO46">
        <v>0</v>
      </c>
      <c r="AP46">
        <v>1.6978257142857101</v>
      </c>
      <c r="AQ46">
        <v>-0.27903749999999999</v>
      </c>
      <c r="AR46">
        <v>416.11657142857098</v>
      </c>
      <c r="AS46">
        <v>416.01042857142897</v>
      </c>
      <c r="AT46">
        <v>0.92179614285714295</v>
      </c>
      <c r="AU46">
        <v>409.99957142857102</v>
      </c>
      <c r="AV46">
        <v>14.4490642857143</v>
      </c>
      <c r="AW46">
        <v>1.53866285714286</v>
      </c>
      <c r="AX46">
        <v>1.44638857142857</v>
      </c>
      <c r="AY46">
        <v>13.3578642857143</v>
      </c>
      <c r="AZ46">
        <v>12.4128857142857</v>
      </c>
      <c r="BA46">
        <v>299.99871428571402</v>
      </c>
      <c r="BB46">
        <v>0.89995785714285703</v>
      </c>
      <c r="BC46">
        <v>0</v>
      </c>
      <c r="BD46">
        <v>0.100042285714286</v>
      </c>
      <c r="BE46">
        <v>0</v>
      </c>
      <c r="BF46">
        <v>24</v>
      </c>
      <c r="BG46">
        <v>4946.55428571429</v>
      </c>
      <c r="BH46">
        <v>1769194585</v>
      </c>
      <c r="BI46" t="s">
        <v>289</v>
      </c>
      <c r="BJ46">
        <v>1769194579</v>
      </c>
      <c r="BK46">
        <v>1769194585</v>
      </c>
      <c r="BL46">
        <v>1</v>
      </c>
      <c r="BM46">
        <v>2.3E-2</v>
      </c>
      <c r="BN46">
        <v>3.0000000000000001E-3</v>
      </c>
      <c r="BO46">
        <v>-0.85299999999999998</v>
      </c>
      <c r="BP46">
        <v>9.2999999999999999E-2</v>
      </c>
      <c r="BQ46">
        <v>410</v>
      </c>
      <c r="BR46">
        <v>15</v>
      </c>
      <c r="BS46">
        <v>0.28000000000000003</v>
      </c>
      <c r="BT46">
        <v>0.05</v>
      </c>
      <c r="BU46">
        <v>-0.27917628571428599</v>
      </c>
      <c r="BV46">
        <v>-4.1759844155844203E-2</v>
      </c>
      <c r="BW46">
        <v>2.28406989617486E-2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0.92843185714285703</v>
      </c>
      <c r="CD46">
        <v>-0.12945880519480599</v>
      </c>
      <c r="CE46">
        <v>1.6366685766507301E-2</v>
      </c>
      <c r="CF46">
        <v>0</v>
      </c>
      <c r="CG46">
        <v>1</v>
      </c>
      <c r="CH46">
        <v>2</v>
      </c>
      <c r="CI46" t="s">
        <v>297</v>
      </c>
      <c r="CJ46">
        <v>3.53254</v>
      </c>
      <c r="CK46">
        <v>2.7025399999999999</v>
      </c>
      <c r="CL46">
        <v>9.7850699999999999E-2</v>
      </c>
      <c r="CM46">
        <v>9.6541399999999999E-2</v>
      </c>
      <c r="CN46">
        <v>8.6952699999999994E-2</v>
      </c>
      <c r="CO46">
        <v>8.2171099999999997E-2</v>
      </c>
      <c r="CP46">
        <v>31625.599999999999</v>
      </c>
      <c r="CQ46">
        <v>27797.3</v>
      </c>
      <c r="CR46">
        <v>32445.9</v>
      </c>
      <c r="CS46">
        <v>30695.200000000001</v>
      </c>
      <c r="CT46">
        <v>40117.1</v>
      </c>
      <c r="CU46">
        <v>39618.1</v>
      </c>
      <c r="CV46">
        <v>47387.5</v>
      </c>
      <c r="CW46">
        <v>46812.1</v>
      </c>
      <c r="CX46">
        <v>2.6209600000000002</v>
      </c>
      <c r="CY46">
        <v>2.1284800000000001</v>
      </c>
      <c r="CZ46">
        <v>0</v>
      </c>
      <c r="DA46">
        <v>0</v>
      </c>
      <c r="DB46">
        <v>999.9</v>
      </c>
      <c r="DC46">
        <v>999.9</v>
      </c>
      <c r="DD46">
        <v>62.543999999999997</v>
      </c>
      <c r="DE46">
        <v>27.009</v>
      </c>
      <c r="DF46">
        <v>22.3751</v>
      </c>
      <c r="DG46">
        <v>30.206399999999999</v>
      </c>
      <c r="DH46">
        <v>16.1098</v>
      </c>
      <c r="DI46">
        <v>2</v>
      </c>
      <c r="DJ46">
        <v>-0.108514</v>
      </c>
      <c r="DK46">
        <v>2.0800700000000001</v>
      </c>
      <c r="DL46">
        <v>20.2182</v>
      </c>
      <c r="DM46">
        <v>5.2520300000000004</v>
      </c>
      <c r="DN46">
        <v>12.033899999999999</v>
      </c>
      <c r="DO46">
        <v>4.9674399999999999</v>
      </c>
      <c r="DP46">
        <v>3.2909999999999999</v>
      </c>
      <c r="DQ46">
        <v>536.1</v>
      </c>
      <c r="DR46">
        <v>9999</v>
      </c>
      <c r="DS46">
        <v>9999</v>
      </c>
      <c r="DT46">
        <v>9999</v>
      </c>
      <c r="DU46">
        <v>1.87103</v>
      </c>
      <c r="DV46">
        <v>1.8760699999999999</v>
      </c>
      <c r="DW46">
        <v>1.8762300000000001</v>
      </c>
      <c r="DX46">
        <v>1.8827700000000001</v>
      </c>
      <c r="DY46">
        <v>1.87547</v>
      </c>
      <c r="DZ46">
        <v>1.8746</v>
      </c>
      <c r="EA46">
        <v>1.87073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-0.85299999999999998</v>
      </c>
      <c r="EQ46">
        <v>9.3100000000000002E-2</v>
      </c>
      <c r="ER46">
        <v>-0.85300000000006504</v>
      </c>
      <c r="ES46">
        <v>0</v>
      </c>
      <c r="ET46">
        <v>0</v>
      </c>
      <c r="EU46">
        <v>0</v>
      </c>
      <c r="EV46">
        <v>9.3120000000002506E-2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7.4</v>
      </c>
      <c r="FE46">
        <v>7.3</v>
      </c>
      <c r="FF46">
        <v>1.2365699999999999</v>
      </c>
      <c r="FG46">
        <v>2.5854499999999998</v>
      </c>
      <c r="FH46">
        <v>2.19604</v>
      </c>
      <c r="FI46">
        <v>2.66235</v>
      </c>
      <c r="FJ46">
        <v>2.4462899999999999</v>
      </c>
      <c r="FK46">
        <v>2.2814899999999998</v>
      </c>
      <c r="FL46">
        <v>31.761099999999999</v>
      </c>
      <c r="FM46">
        <v>24.14</v>
      </c>
      <c r="FN46">
        <v>19</v>
      </c>
      <c r="FO46">
        <v>866.721</v>
      </c>
      <c r="FP46">
        <v>577.30100000000004</v>
      </c>
      <c r="FQ46">
        <v>18.246300000000002</v>
      </c>
      <c r="FR46">
        <v>25.608000000000001</v>
      </c>
      <c r="FS46">
        <v>29.9999</v>
      </c>
      <c r="FT46">
        <v>25.696999999999999</v>
      </c>
      <c r="FU46">
        <v>25.701799999999999</v>
      </c>
      <c r="FV46">
        <v>24.833200000000001</v>
      </c>
      <c r="FW46">
        <v>37.142400000000002</v>
      </c>
      <c r="FX46">
        <v>33.731999999999999</v>
      </c>
      <c r="FY46">
        <v>18.2453</v>
      </c>
      <c r="FZ46">
        <v>410</v>
      </c>
      <c r="GA46">
        <v>14.5116</v>
      </c>
      <c r="GB46">
        <v>99.849699999999999</v>
      </c>
      <c r="GC46">
        <v>99.652299999999997</v>
      </c>
    </row>
    <row r="47" spans="1:185" x14ac:dyDescent="0.2">
      <c r="A47">
        <v>32</v>
      </c>
      <c r="B47">
        <v>1769195037.0999999</v>
      </c>
      <c r="C47">
        <v>476.09999990463302</v>
      </c>
      <c r="D47" t="s">
        <v>357</v>
      </c>
      <c r="E47" t="s">
        <v>358</v>
      </c>
      <c r="F47">
        <v>15</v>
      </c>
      <c r="G47">
        <v>1769195029.5999999</v>
      </c>
      <c r="H47">
        <f t="shared" si="0"/>
        <v>7.4234665819607496E-4</v>
      </c>
      <c r="I47">
        <v>0</v>
      </c>
      <c r="J47">
        <f t="shared" si="12"/>
        <v>-2.0954155829642366E-3</v>
      </c>
      <c r="K47">
        <f t="shared" si="1"/>
        <v>-7.8083184768062114E-2</v>
      </c>
      <c r="L47">
        <f t="shared" si="2"/>
        <v>69.796525081160183</v>
      </c>
      <c r="M47">
        <f t="shared" si="3"/>
        <v>1.5393280183207152</v>
      </c>
      <c r="N47">
        <f t="shared" si="4"/>
        <v>2.2054507964841621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26260.298782450944</v>
      </c>
      <c r="T47">
        <f t="shared" si="8"/>
        <v>300.0025</v>
      </c>
      <c r="U47">
        <f t="shared" si="9"/>
        <v>252.90242635979999</v>
      </c>
      <c r="V47">
        <f t="shared" si="10"/>
        <v>0.84300106285714282</v>
      </c>
      <c r="W47">
        <f t="shared" si="11"/>
        <v>0.15870265714285717</v>
      </c>
      <c r="X47">
        <v>1</v>
      </c>
      <c r="Y47">
        <v>1769195029.5999999</v>
      </c>
      <c r="Z47">
        <v>409.70178571428602</v>
      </c>
      <c r="AA47">
        <v>409.98435714285699</v>
      </c>
      <c r="AB47">
        <v>15.3676785714286</v>
      </c>
      <c r="AC47">
        <v>14.454007142857099</v>
      </c>
      <c r="AD47">
        <v>410.55478571428603</v>
      </c>
      <c r="AE47">
        <v>15.2745642857143</v>
      </c>
      <c r="AF47">
        <v>800.00149999999996</v>
      </c>
      <c r="AG47">
        <v>100.10214285714299</v>
      </c>
      <c r="AH47">
        <v>6.4451021428571398E-2</v>
      </c>
      <c r="AI47">
        <v>19.001964285714301</v>
      </c>
      <c r="AJ47">
        <v>999.9</v>
      </c>
      <c r="AK47">
        <v>999.9</v>
      </c>
      <c r="AL47">
        <v>0</v>
      </c>
      <c r="AM47">
        <v>0</v>
      </c>
      <c r="AN47">
        <v>5001.8928571428596</v>
      </c>
      <c r="AO47">
        <v>0</v>
      </c>
      <c r="AP47">
        <v>1.6978257142857101</v>
      </c>
      <c r="AQ47">
        <v>-0.28260150000000001</v>
      </c>
      <c r="AR47">
        <v>416.09635714285702</v>
      </c>
      <c r="AS47">
        <v>415.99728571428602</v>
      </c>
      <c r="AT47">
        <v>0.91367107142857196</v>
      </c>
      <c r="AU47">
        <v>409.98435714285699</v>
      </c>
      <c r="AV47">
        <v>14.454007142857099</v>
      </c>
      <c r="AW47">
        <v>1.538335</v>
      </c>
      <c r="AX47">
        <v>1.44687571428571</v>
      </c>
      <c r="AY47">
        <v>13.3546214285714</v>
      </c>
      <c r="AZ47">
        <v>12.4180071428571</v>
      </c>
      <c r="BA47">
        <v>300.0025</v>
      </c>
      <c r="BB47">
        <v>0.899964571428571</v>
      </c>
      <c r="BC47">
        <v>0</v>
      </c>
      <c r="BD47">
        <v>0.100035428571429</v>
      </c>
      <c r="BE47">
        <v>0</v>
      </c>
      <c r="BF47">
        <v>24</v>
      </c>
      <c r="BG47">
        <v>4946.6228571428601</v>
      </c>
      <c r="BH47">
        <v>1769194585</v>
      </c>
      <c r="BI47" t="s">
        <v>289</v>
      </c>
      <c r="BJ47">
        <v>1769194579</v>
      </c>
      <c r="BK47">
        <v>1769194585</v>
      </c>
      <c r="BL47">
        <v>1</v>
      </c>
      <c r="BM47">
        <v>2.3E-2</v>
      </c>
      <c r="BN47">
        <v>3.0000000000000001E-3</v>
      </c>
      <c r="BO47">
        <v>-0.85299999999999998</v>
      </c>
      <c r="BP47">
        <v>9.2999999999999999E-2</v>
      </c>
      <c r="BQ47">
        <v>410</v>
      </c>
      <c r="BR47">
        <v>15</v>
      </c>
      <c r="BS47">
        <v>0.28000000000000003</v>
      </c>
      <c r="BT47">
        <v>0.05</v>
      </c>
      <c r="BU47">
        <v>-0.2876938</v>
      </c>
      <c r="BV47">
        <v>0.146042977443609</v>
      </c>
      <c r="BW47">
        <v>1.8959443724962E-2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0.91387779999999996</v>
      </c>
      <c r="CD47">
        <v>-8.2323428571427701E-2</v>
      </c>
      <c r="CE47">
        <v>1.9208820368778499E-2</v>
      </c>
      <c r="CF47">
        <v>1</v>
      </c>
      <c r="CG47">
        <v>2</v>
      </c>
      <c r="CH47">
        <v>2</v>
      </c>
      <c r="CI47" t="s">
        <v>304</v>
      </c>
      <c r="CJ47">
        <v>3.53254</v>
      </c>
      <c r="CK47">
        <v>2.7024699999999999</v>
      </c>
      <c r="CL47">
        <v>9.7857299999999994E-2</v>
      </c>
      <c r="CM47">
        <v>9.6535399999999993E-2</v>
      </c>
      <c r="CN47">
        <v>8.6953000000000003E-2</v>
      </c>
      <c r="CO47">
        <v>8.2437399999999994E-2</v>
      </c>
      <c r="CP47">
        <v>31625.3</v>
      </c>
      <c r="CQ47">
        <v>27798</v>
      </c>
      <c r="CR47">
        <v>32445.9</v>
      </c>
      <c r="CS47">
        <v>30695.8</v>
      </c>
      <c r="CT47">
        <v>40116.9</v>
      </c>
      <c r="CU47">
        <v>39607.300000000003</v>
      </c>
      <c r="CV47">
        <v>47387.3</v>
      </c>
      <c r="CW47">
        <v>46813.3</v>
      </c>
      <c r="CX47">
        <v>2.621</v>
      </c>
      <c r="CY47">
        <v>2.1286399999999999</v>
      </c>
      <c r="CZ47">
        <v>0</v>
      </c>
      <c r="DA47">
        <v>0</v>
      </c>
      <c r="DB47">
        <v>999.9</v>
      </c>
      <c r="DC47">
        <v>999.9</v>
      </c>
      <c r="DD47">
        <v>62.378999999999998</v>
      </c>
      <c r="DE47">
        <v>27.029</v>
      </c>
      <c r="DF47">
        <v>22.342300000000002</v>
      </c>
      <c r="DG47">
        <v>30.0564</v>
      </c>
      <c r="DH47">
        <v>16.097799999999999</v>
      </c>
      <c r="DI47">
        <v>2</v>
      </c>
      <c r="DJ47">
        <v>-0.10910400000000001</v>
      </c>
      <c r="DK47">
        <v>2.0887600000000002</v>
      </c>
      <c r="DL47">
        <v>20.218</v>
      </c>
      <c r="DM47">
        <v>5.2510700000000003</v>
      </c>
      <c r="DN47">
        <v>12.033899999999999</v>
      </c>
      <c r="DO47">
        <v>4.9674800000000001</v>
      </c>
      <c r="DP47">
        <v>3.2910200000000001</v>
      </c>
      <c r="DQ47">
        <v>536.1</v>
      </c>
      <c r="DR47">
        <v>9999</v>
      </c>
      <c r="DS47">
        <v>9999</v>
      </c>
      <c r="DT47">
        <v>9999</v>
      </c>
      <c r="DU47">
        <v>1.87103</v>
      </c>
      <c r="DV47">
        <v>1.8760699999999999</v>
      </c>
      <c r="DW47">
        <v>1.87622</v>
      </c>
      <c r="DX47">
        <v>1.8827799999999999</v>
      </c>
      <c r="DY47">
        <v>1.87551</v>
      </c>
      <c r="DZ47">
        <v>1.8745799999999999</v>
      </c>
      <c r="EA47">
        <v>1.8707400000000001</v>
      </c>
      <c r="EB47">
        <v>1.8745499999999999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-0.85299999999999998</v>
      </c>
      <c r="EQ47">
        <v>9.3100000000000002E-2</v>
      </c>
      <c r="ER47">
        <v>-0.85300000000006504</v>
      </c>
      <c r="ES47">
        <v>0</v>
      </c>
      <c r="ET47">
        <v>0</v>
      </c>
      <c r="EU47">
        <v>0</v>
      </c>
      <c r="EV47">
        <v>9.3120000000002506E-2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1.2377899999999999</v>
      </c>
      <c r="FG47">
        <v>2.5903299999999998</v>
      </c>
      <c r="FH47">
        <v>2.19604</v>
      </c>
      <c r="FI47">
        <v>2.66113</v>
      </c>
      <c r="FJ47">
        <v>2.4462899999999999</v>
      </c>
      <c r="FK47">
        <v>2.2741699999999998</v>
      </c>
      <c r="FL47">
        <v>31.761099999999999</v>
      </c>
      <c r="FM47">
        <v>24.14</v>
      </c>
      <c r="FN47">
        <v>19</v>
      </c>
      <c r="FO47">
        <v>866.60500000000002</v>
      </c>
      <c r="FP47">
        <v>577.32299999999998</v>
      </c>
      <c r="FQ47">
        <v>18.242999999999999</v>
      </c>
      <c r="FR47">
        <v>25.6006</v>
      </c>
      <c r="FS47">
        <v>29.9999</v>
      </c>
      <c r="FT47">
        <v>25.6874</v>
      </c>
      <c r="FU47">
        <v>25.692699999999999</v>
      </c>
      <c r="FV47">
        <v>24.835599999999999</v>
      </c>
      <c r="FW47">
        <v>36.853200000000001</v>
      </c>
      <c r="FX47">
        <v>32.966299999999997</v>
      </c>
      <c r="FY47">
        <v>18.241599999999998</v>
      </c>
      <c r="FZ47">
        <v>410</v>
      </c>
      <c r="GA47">
        <v>14.513199999999999</v>
      </c>
      <c r="GB47">
        <v>99.849400000000003</v>
      </c>
      <c r="GC47">
        <v>99.654499999999999</v>
      </c>
    </row>
    <row r="48" spans="1:185" x14ac:dyDescent="0.2">
      <c r="A48">
        <v>33</v>
      </c>
      <c r="B48">
        <v>1769195052.0999999</v>
      </c>
      <c r="C48">
        <v>491.09999990463302</v>
      </c>
      <c r="D48" t="s">
        <v>359</v>
      </c>
      <c r="E48" t="s">
        <v>360</v>
      </c>
      <c r="F48">
        <v>15</v>
      </c>
      <c r="G48">
        <v>1769195044.5999999</v>
      </c>
      <c r="H48">
        <f t="shared" si="0"/>
        <v>7.2280589351866658E-4</v>
      </c>
      <c r="I48">
        <v>0</v>
      </c>
      <c r="J48">
        <f t="shared" si="12"/>
        <v>-1.7747984222438895E-3</v>
      </c>
      <c r="K48">
        <f t="shared" si="1"/>
        <v>-6.6135765266235491E-2</v>
      </c>
      <c r="L48">
        <f t="shared" si="2"/>
        <v>69.86783258918507</v>
      </c>
      <c r="M48">
        <f t="shared" si="3"/>
        <v>1.5409315775887478</v>
      </c>
      <c r="N48">
        <f t="shared" si="4"/>
        <v>2.2054950332426237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26273.301410258162</v>
      </c>
      <c r="T48">
        <f t="shared" si="8"/>
        <v>299.99971428571399</v>
      </c>
      <c r="U48">
        <f t="shared" si="9"/>
        <v>252.90018728530615</v>
      </c>
      <c r="V48">
        <f t="shared" si="10"/>
        <v>0.84300142714285664</v>
      </c>
      <c r="W48">
        <f t="shared" si="11"/>
        <v>0.15870370705714276</v>
      </c>
      <c r="X48">
        <v>1</v>
      </c>
      <c r="Y48">
        <v>1769195044.5999999</v>
      </c>
      <c r="Z48">
        <v>409.70342857142901</v>
      </c>
      <c r="AA48">
        <v>409.99092857142898</v>
      </c>
      <c r="AB48">
        <v>15.3835071428571</v>
      </c>
      <c r="AC48">
        <v>14.4939</v>
      </c>
      <c r="AD48">
        <v>410.55642857142902</v>
      </c>
      <c r="AE48">
        <v>15.2903857142857</v>
      </c>
      <c r="AF48">
        <v>800.00099999999998</v>
      </c>
      <c r="AG48">
        <v>100.103071428571</v>
      </c>
      <c r="AH48">
        <v>6.4696771428571401E-2</v>
      </c>
      <c r="AI48">
        <v>19.002285714285701</v>
      </c>
      <c r="AJ48">
        <v>999.9</v>
      </c>
      <c r="AK48">
        <v>999.9</v>
      </c>
      <c r="AL48">
        <v>0</v>
      </c>
      <c r="AM48">
        <v>0</v>
      </c>
      <c r="AN48">
        <v>5004</v>
      </c>
      <c r="AO48">
        <v>0</v>
      </c>
      <c r="AP48">
        <v>1.6978257142857101</v>
      </c>
      <c r="AQ48">
        <v>-0.28746250000000001</v>
      </c>
      <c r="AR48">
        <v>416.10478571428598</v>
      </c>
      <c r="AS48">
        <v>416.020642857143</v>
      </c>
      <c r="AT48">
        <v>0.88961078571428598</v>
      </c>
      <c r="AU48">
        <v>409.99092857142898</v>
      </c>
      <c r="AV48">
        <v>14.4939</v>
      </c>
      <c r="AW48">
        <v>1.5399364285714301</v>
      </c>
      <c r="AX48">
        <v>1.4508835714285699</v>
      </c>
      <c r="AY48">
        <v>13.3705571428571</v>
      </c>
      <c r="AZ48">
        <v>12.460150000000001</v>
      </c>
      <c r="BA48">
        <v>299.99971428571399</v>
      </c>
      <c r="BB48">
        <v>0.89995035714285698</v>
      </c>
      <c r="BC48">
        <v>0</v>
      </c>
      <c r="BD48">
        <v>0.100049571428571</v>
      </c>
      <c r="BE48">
        <v>0</v>
      </c>
      <c r="BF48">
        <v>24</v>
      </c>
      <c r="BG48">
        <v>4946.5621428571403</v>
      </c>
      <c r="BH48">
        <v>1769194585</v>
      </c>
      <c r="BI48" t="s">
        <v>289</v>
      </c>
      <c r="BJ48">
        <v>1769194579</v>
      </c>
      <c r="BK48">
        <v>1769194585</v>
      </c>
      <c r="BL48">
        <v>1</v>
      </c>
      <c r="BM48">
        <v>2.3E-2</v>
      </c>
      <c r="BN48">
        <v>3.0000000000000001E-3</v>
      </c>
      <c r="BO48">
        <v>-0.85299999999999998</v>
      </c>
      <c r="BP48">
        <v>9.2999999999999999E-2</v>
      </c>
      <c r="BQ48">
        <v>410</v>
      </c>
      <c r="BR48">
        <v>15</v>
      </c>
      <c r="BS48">
        <v>0.28000000000000003</v>
      </c>
      <c r="BT48">
        <v>0.05</v>
      </c>
      <c r="BU48">
        <v>-0.27683657142857099</v>
      </c>
      <c r="BV48">
        <v>-0.19902389610389701</v>
      </c>
      <c r="BW48">
        <v>3.6021493053019202E-2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0.89014276190476205</v>
      </c>
      <c r="CD48">
        <v>2.2125428571430499E-2</v>
      </c>
      <c r="CE48">
        <v>1.8579749936563101E-2</v>
      </c>
      <c r="CF48">
        <v>1</v>
      </c>
      <c r="CG48">
        <v>2</v>
      </c>
      <c r="CH48">
        <v>2</v>
      </c>
      <c r="CI48" t="s">
        <v>304</v>
      </c>
      <c r="CJ48">
        <v>3.5325600000000001</v>
      </c>
      <c r="CK48">
        <v>2.7023799999999998</v>
      </c>
      <c r="CL48">
        <v>9.7859399999999999E-2</v>
      </c>
      <c r="CM48">
        <v>9.6549899999999994E-2</v>
      </c>
      <c r="CN48">
        <v>8.7043499999999996E-2</v>
      </c>
      <c r="CO48">
        <v>8.2292100000000007E-2</v>
      </c>
      <c r="CP48">
        <v>31625.599999999999</v>
      </c>
      <c r="CQ48">
        <v>27797.599999999999</v>
      </c>
      <c r="CR48">
        <v>32446.2</v>
      </c>
      <c r="CS48">
        <v>30695.8</v>
      </c>
      <c r="CT48">
        <v>40113.199999999997</v>
      </c>
      <c r="CU48">
        <v>39614</v>
      </c>
      <c r="CV48">
        <v>47387.8</v>
      </c>
      <c r="CW48">
        <v>46813.599999999999</v>
      </c>
      <c r="CX48">
        <v>2.62114</v>
      </c>
      <c r="CY48">
        <v>2.1283799999999999</v>
      </c>
      <c r="CZ48">
        <v>0</v>
      </c>
      <c r="DA48">
        <v>0</v>
      </c>
      <c r="DB48">
        <v>999.9</v>
      </c>
      <c r="DC48">
        <v>999.9</v>
      </c>
      <c r="DD48">
        <v>62.171999999999997</v>
      </c>
      <c r="DE48">
        <v>27.018999999999998</v>
      </c>
      <c r="DF48">
        <v>22.254899999999999</v>
      </c>
      <c r="DG48">
        <v>30.026399999999999</v>
      </c>
      <c r="DH48">
        <v>16.1538</v>
      </c>
      <c r="DI48">
        <v>2</v>
      </c>
      <c r="DJ48">
        <v>-0.10964599999999999</v>
      </c>
      <c r="DK48">
        <v>2.1029100000000001</v>
      </c>
      <c r="DL48">
        <v>20.217600000000001</v>
      </c>
      <c r="DM48">
        <v>5.2508299999999997</v>
      </c>
      <c r="DN48">
        <v>12.033899999999999</v>
      </c>
      <c r="DO48">
        <v>4.9671599999999998</v>
      </c>
      <c r="DP48">
        <v>3.2910200000000001</v>
      </c>
      <c r="DQ48">
        <v>536.1</v>
      </c>
      <c r="DR48">
        <v>9999</v>
      </c>
      <c r="DS48">
        <v>9999</v>
      </c>
      <c r="DT48">
        <v>9999</v>
      </c>
      <c r="DU48">
        <v>1.87103</v>
      </c>
      <c r="DV48">
        <v>1.8760699999999999</v>
      </c>
      <c r="DW48">
        <v>1.8762399999999999</v>
      </c>
      <c r="DX48">
        <v>1.8827799999999999</v>
      </c>
      <c r="DY48">
        <v>1.8755200000000001</v>
      </c>
      <c r="DZ48">
        <v>1.8746100000000001</v>
      </c>
      <c r="EA48">
        <v>1.8707499999999999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-0.85299999999999998</v>
      </c>
      <c r="EQ48">
        <v>9.3200000000000005E-2</v>
      </c>
      <c r="ER48">
        <v>-0.85300000000006504</v>
      </c>
      <c r="ES48">
        <v>0</v>
      </c>
      <c r="ET48">
        <v>0</v>
      </c>
      <c r="EU48">
        <v>0</v>
      </c>
      <c r="EV48">
        <v>9.3120000000002506E-2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7.9</v>
      </c>
      <c r="FE48">
        <v>7.8</v>
      </c>
      <c r="FF48">
        <v>1.2377899999999999</v>
      </c>
      <c r="FG48">
        <v>2.5903299999999998</v>
      </c>
      <c r="FH48">
        <v>2.19604</v>
      </c>
      <c r="FI48">
        <v>2.66235</v>
      </c>
      <c r="FJ48">
        <v>2.4462899999999999</v>
      </c>
      <c r="FK48">
        <v>2.2619600000000002</v>
      </c>
      <c r="FL48">
        <v>31.761099999999999</v>
      </c>
      <c r="FM48">
        <v>24.14</v>
      </c>
      <c r="FN48">
        <v>19</v>
      </c>
      <c r="FO48">
        <v>866.577</v>
      </c>
      <c r="FP48">
        <v>577.01300000000003</v>
      </c>
      <c r="FQ48">
        <v>18.232800000000001</v>
      </c>
      <c r="FR48">
        <v>25.593699999999998</v>
      </c>
      <c r="FS48">
        <v>30</v>
      </c>
      <c r="FT48">
        <v>25.677600000000002</v>
      </c>
      <c r="FU48">
        <v>25.6828</v>
      </c>
      <c r="FV48">
        <v>24.8355</v>
      </c>
      <c r="FW48">
        <v>36.853200000000001</v>
      </c>
      <c r="FX48">
        <v>32.588999999999999</v>
      </c>
      <c r="FY48">
        <v>18.232399999999998</v>
      </c>
      <c r="FZ48">
        <v>410</v>
      </c>
      <c r="GA48">
        <v>14.513199999999999</v>
      </c>
      <c r="GB48">
        <v>99.850399999999993</v>
      </c>
      <c r="GC48">
        <v>99.655000000000001</v>
      </c>
    </row>
    <row r="49" spans="1:185" x14ac:dyDescent="0.2">
      <c r="A49">
        <v>34</v>
      </c>
      <c r="B49">
        <v>1769195067.0999999</v>
      </c>
      <c r="C49">
        <v>506.09999990463302</v>
      </c>
      <c r="D49" t="s">
        <v>361</v>
      </c>
      <c r="E49" t="s">
        <v>362</v>
      </c>
      <c r="F49">
        <v>15</v>
      </c>
      <c r="G49">
        <v>1769195059.5999999</v>
      </c>
      <c r="H49">
        <f t="shared" si="0"/>
        <v>7.5475128353455381E-4</v>
      </c>
      <c r="I49">
        <v>0</v>
      </c>
      <c r="J49">
        <f t="shared" si="12"/>
        <v>-2.2765448211333381E-3</v>
      </c>
      <c r="K49">
        <f t="shared" si="1"/>
        <v>-8.483275172071833E-2</v>
      </c>
      <c r="L49">
        <f t="shared" si="2"/>
        <v>69.882192625811243</v>
      </c>
      <c r="M49">
        <f t="shared" si="3"/>
        <v>1.5410339642549298</v>
      </c>
      <c r="N49">
        <f t="shared" si="4"/>
        <v>2.2051883410506257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26186.760679681393</v>
      </c>
      <c r="T49">
        <f t="shared" si="8"/>
        <v>300.00014285714298</v>
      </c>
      <c r="U49">
        <f t="shared" si="9"/>
        <v>252.90056014306663</v>
      </c>
      <c r="V49">
        <f t="shared" si="10"/>
        <v>0.84300146571428569</v>
      </c>
      <c r="W49">
        <f t="shared" si="11"/>
        <v>0.15870366428571428</v>
      </c>
      <c r="X49">
        <v>1</v>
      </c>
      <c r="Y49">
        <v>1769195059.5999999</v>
      </c>
      <c r="Z49">
        <v>409.71350000000001</v>
      </c>
      <c r="AA49">
        <v>409.99400000000003</v>
      </c>
      <c r="AB49">
        <v>15.3846857142857</v>
      </c>
      <c r="AC49">
        <v>14.455757142857101</v>
      </c>
      <c r="AD49">
        <v>410.56650000000002</v>
      </c>
      <c r="AE49">
        <v>15.2915785714286</v>
      </c>
      <c r="AF49">
        <v>799.996571428572</v>
      </c>
      <c r="AG49">
        <v>100.10214285714299</v>
      </c>
      <c r="AH49">
        <v>6.4606914285714301E-2</v>
      </c>
      <c r="AI49">
        <v>19.000057142857099</v>
      </c>
      <c r="AJ49">
        <v>999.9</v>
      </c>
      <c r="AK49">
        <v>999.9</v>
      </c>
      <c r="AL49">
        <v>0</v>
      </c>
      <c r="AM49">
        <v>0</v>
      </c>
      <c r="AN49">
        <v>4989.75</v>
      </c>
      <c r="AO49">
        <v>0</v>
      </c>
      <c r="AP49">
        <v>1.6978257142857101</v>
      </c>
      <c r="AQ49">
        <v>-0.28041942857142899</v>
      </c>
      <c r="AR49">
        <v>416.11535714285702</v>
      </c>
      <c r="AS49">
        <v>416.007785714286</v>
      </c>
      <c r="AT49">
        <v>0.92893650000000005</v>
      </c>
      <c r="AU49">
        <v>409.99400000000003</v>
      </c>
      <c r="AV49">
        <v>14.455757142857101</v>
      </c>
      <c r="AW49">
        <v>1.54004071428571</v>
      </c>
      <c r="AX49">
        <v>1.4470521428571399</v>
      </c>
      <c r="AY49">
        <v>13.371600000000001</v>
      </c>
      <c r="AZ49">
        <v>12.4198857142857</v>
      </c>
      <c r="BA49">
        <v>300.00014285714298</v>
      </c>
      <c r="BB49">
        <v>0.89995114285714295</v>
      </c>
      <c r="BC49">
        <v>0</v>
      </c>
      <c r="BD49">
        <v>0.100048857142857</v>
      </c>
      <c r="BE49">
        <v>0</v>
      </c>
      <c r="BF49">
        <v>24</v>
      </c>
      <c r="BG49">
        <v>4946.5692857142803</v>
      </c>
      <c r="BH49">
        <v>1769194585</v>
      </c>
      <c r="BI49" t="s">
        <v>289</v>
      </c>
      <c r="BJ49">
        <v>1769194579</v>
      </c>
      <c r="BK49">
        <v>1769194585</v>
      </c>
      <c r="BL49">
        <v>1</v>
      </c>
      <c r="BM49">
        <v>2.3E-2</v>
      </c>
      <c r="BN49">
        <v>3.0000000000000001E-3</v>
      </c>
      <c r="BO49">
        <v>-0.85299999999999998</v>
      </c>
      <c r="BP49">
        <v>9.2999999999999999E-2</v>
      </c>
      <c r="BQ49">
        <v>410</v>
      </c>
      <c r="BR49">
        <v>15</v>
      </c>
      <c r="BS49">
        <v>0.28000000000000003</v>
      </c>
      <c r="BT49">
        <v>0.05</v>
      </c>
      <c r="BU49">
        <v>-0.28491204999999997</v>
      </c>
      <c r="BV49">
        <v>0.13222750375939801</v>
      </c>
      <c r="BW49">
        <v>2.05901461079687E-2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0.92160319999999996</v>
      </c>
      <c r="CD49">
        <v>0.13392920300751801</v>
      </c>
      <c r="CE49">
        <v>1.34126037502045E-2</v>
      </c>
      <c r="CF49">
        <v>0</v>
      </c>
      <c r="CG49">
        <v>1</v>
      </c>
      <c r="CH49">
        <v>2</v>
      </c>
      <c r="CI49" t="s">
        <v>297</v>
      </c>
      <c r="CJ49">
        <v>3.5325799999999998</v>
      </c>
      <c r="CK49">
        <v>2.7025299999999999</v>
      </c>
      <c r="CL49">
        <v>9.7861000000000004E-2</v>
      </c>
      <c r="CM49">
        <v>9.6548400000000006E-2</v>
      </c>
      <c r="CN49">
        <v>8.6981799999999998E-2</v>
      </c>
      <c r="CO49">
        <v>8.2129900000000006E-2</v>
      </c>
      <c r="CP49">
        <v>31625.8</v>
      </c>
      <c r="CQ49">
        <v>27798.3</v>
      </c>
      <c r="CR49">
        <v>32446.5</v>
      </c>
      <c r="CS49">
        <v>30696.5</v>
      </c>
      <c r="CT49">
        <v>40116.300000000003</v>
      </c>
      <c r="CU49">
        <v>39621.9</v>
      </c>
      <c r="CV49">
        <v>47388.2</v>
      </c>
      <c r="CW49">
        <v>46814.400000000001</v>
      </c>
      <c r="CX49">
        <v>2.6212200000000001</v>
      </c>
      <c r="CY49">
        <v>2.12852</v>
      </c>
      <c r="CZ49">
        <v>0</v>
      </c>
      <c r="DA49">
        <v>0</v>
      </c>
      <c r="DB49">
        <v>999.9</v>
      </c>
      <c r="DC49">
        <v>999.9</v>
      </c>
      <c r="DD49">
        <v>62.006999999999998</v>
      </c>
      <c r="DE49">
        <v>27.029</v>
      </c>
      <c r="DF49">
        <v>22.207999999999998</v>
      </c>
      <c r="DG49">
        <v>30.3264</v>
      </c>
      <c r="DH49">
        <v>16.157900000000001</v>
      </c>
      <c r="DI49">
        <v>2</v>
      </c>
      <c r="DJ49">
        <v>-0.110014</v>
      </c>
      <c r="DK49">
        <v>2.06446</v>
      </c>
      <c r="DL49">
        <v>20.218299999999999</v>
      </c>
      <c r="DM49">
        <v>5.2501199999999999</v>
      </c>
      <c r="DN49">
        <v>12.033899999999999</v>
      </c>
      <c r="DO49">
        <v>4.9669600000000003</v>
      </c>
      <c r="DP49">
        <v>3.2909999999999999</v>
      </c>
      <c r="DQ49">
        <v>536.1</v>
      </c>
      <c r="DR49">
        <v>9999</v>
      </c>
      <c r="DS49">
        <v>9999</v>
      </c>
      <c r="DT49">
        <v>9999</v>
      </c>
      <c r="DU49">
        <v>1.87103</v>
      </c>
      <c r="DV49">
        <v>1.8760699999999999</v>
      </c>
      <c r="DW49">
        <v>1.87622</v>
      </c>
      <c r="DX49">
        <v>1.8827700000000001</v>
      </c>
      <c r="DY49">
        <v>1.87547</v>
      </c>
      <c r="DZ49">
        <v>1.8745799999999999</v>
      </c>
      <c r="EA49">
        <v>1.87073</v>
      </c>
      <c r="EB49">
        <v>1.8745400000000001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-0.85299999999999998</v>
      </c>
      <c r="EQ49">
        <v>9.3100000000000002E-2</v>
      </c>
      <c r="ER49">
        <v>-0.85300000000006504</v>
      </c>
      <c r="ES49">
        <v>0</v>
      </c>
      <c r="ET49">
        <v>0</v>
      </c>
      <c r="EU49">
        <v>0</v>
      </c>
      <c r="EV49">
        <v>9.3120000000002506E-2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1.2365699999999999</v>
      </c>
      <c r="FG49">
        <v>2.5878899999999998</v>
      </c>
      <c r="FH49">
        <v>2.19604</v>
      </c>
      <c r="FI49">
        <v>2.66235</v>
      </c>
      <c r="FJ49">
        <v>2.4462899999999999</v>
      </c>
      <c r="FK49">
        <v>2.2290000000000001</v>
      </c>
      <c r="FL49">
        <v>31.761099999999999</v>
      </c>
      <c r="FM49">
        <v>24.14</v>
      </c>
      <c r="FN49">
        <v>19</v>
      </c>
      <c r="FO49">
        <v>866.51300000000003</v>
      </c>
      <c r="FP49">
        <v>577.02</v>
      </c>
      <c r="FQ49">
        <v>18.254799999999999</v>
      </c>
      <c r="FR49">
        <v>25.587700000000002</v>
      </c>
      <c r="FS49">
        <v>29.9998</v>
      </c>
      <c r="FT49">
        <v>25.668900000000001</v>
      </c>
      <c r="FU49">
        <v>25.6738</v>
      </c>
      <c r="FV49">
        <v>24.836099999999998</v>
      </c>
      <c r="FW49">
        <v>36.853200000000001</v>
      </c>
      <c r="FX49">
        <v>32.215200000000003</v>
      </c>
      <c r="FY49">
        <v>18.252800000000001</v>
      </c>
      <c r="FZ49">
        <v>410</v>
      </c>
      <c r="GA49">
        <v>14.513199999999999</v>
      </c>
      <c r="GB49">
        <v>99.851200000000006</v>
      </c>
      <c r="GC49">
        <v>99.656800000000004</v>
      </c>
    </row>
    <row r="50" spans="1:185" x14ac:dyDescent="0.2">
      <c r="A50">
        <v>35</v>
      </c>
      <c r="B50">
        <v>1769195082.0999999</v>
      </c>
      <c r="C50">
        <v>521.09999990463302</v>
      </c>
      <c r="D50" t="s">
        <v>363</v>
      </c>
      <c r="E50" t="s">
        <v>364</v>
      </c>
      <c r="F50">
        <v>15</v>
      </c>
      <c r="G50">
        <v>1769195074.5999999</v>
      </c>
      <c r="H50">
        <f t="shared" si="0"/>
        <v>7.5726788949633265E-4</v>
      </c>
      <c r="I50">
        <v>0</v>
      </c>
      <c r="J50">
        <f t="shared" si="12"/>
        <v>-2.3008838196758364E-3</v>
      </c>
      <c r="K50">
        <f t="shared" si="1"/>
        <v>-8.5739715730967336E-2</v>
      </c>
      <c r="L50">
        <f t="shared" si="2"/>
        <v>69.843460277524287</v>
      </c>
      <c r="M50">
        <f t="shared" si="3"/>
        <v>1.5402862554288259</v>
      </c>
      <c r="N50">
        <f t="shared" si="4"/>
        <v>2.2053406994849194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26298.175490258527</v>
      </c>
      <c r="T50">
        <f t="shared" si="8"/>
        <v>299.99950000000001</v>
      </c>
      <c r="U50">
        <f t="shared" si="9"/>
        <v>252.89995649937003</v>
      </c>
      <c r="V50">
        <f t="shared" si="10"/>
        <v>0.84300126000000009</v>
      </c>
      <c r="W50">
        <f t="shared" si="11"/>
        <v>0.15870315000000002</v>
      </c>
      <c r="X50">
        <v>1</v>
      </c>
      <c r="Y50">
        <v>1769195074.5999999</v>
      </c>
      <c r="Z50">
        <v>409.70421428571399</v>
      </c>
      <c r="AA50">
        <v>409.98485714285698</v>
      </c>
      <c r="AB50">
        <v>15.37715</v>
      </c>
      <c r="AC50">
        <v>14.445128571428601</v>
      </c>
      <c r="AD50">
        <v>410.557214285714</v>
      </c>
      <c r="AE50">
        <v>15.2840214285714</v>
      </c>
      <c r="AF50">
        <v>800.00657142857096</v>
      </c>
      <c r="AG50">
        <v>100.10250000000001</v>
      </c>
      <c r="AH50">
        <v>6.4712742857142902E-2</v>
      </c>
      <c r="AI50">
        <v>19.001164285714299</v>
      </c>
      <c r="AJ50">
        <v>999.9</v>
      </c>
      <c r="AK50">
        <v>999.9</v>
      </c>
      <c r="AL50">
        <v>0</v>
      </c>
      <c r="AM50">
        <v>0</v>
      </c>
      <c r="AN50">
        <v>5008.1071428571404</v>
      </c>
      <c r="AO50">
        <v>0</v>
      </c>
      <c r="AP50">
        <v>1.6978257142857101</v>
      </c>
      <c r="AQ50">
        <v>-0.28059828571428602</v>
      </c>
      <c r="AR50">
        <v>416.10278571428597</v>
      </c>
      <c r="AS50">
        <v>415.99400000000003</v>
      </c>
      <c r="AT50">
        <v>0.93202099999999999</v>
      </c>
      <c r="AU50">
        <v>409.98485714285698</v>
      </c>
      <c r="AV50">
        <v>14.445128571428601</v>
      </c>
      <c r="AW50">
        <v>1.53929071428571</v>
      </c>
      <c r="AX50">
        <v>1.44599285714286</v>
      </c>
      <c r="AY50">
        <v>13.3641214285714</v>
      </c>
      <c r="AZ50">
        <v>12.4087285714286</v>
      </c>
      <c r="BA50">
        <v>299.99950000000001</v>
      </c>
      <c r="BB50">
        <v>0.89995800000000004</v>
      </c>
      <c r="BC50">
        <v>0</v>
      </c>
      <c r="BD50">
        <v>0.10004200000000001</v>
      </c>
      <c r="BE50">
        <v>0</v>
      </c>
      <c r="BF50">
        <v>24</v>
      </c>
      <c r="BG50">
        <v>4946.5649999999996</v>
      </c>
      <c r="BH50">
        <v>1769194585</v>
      </c>
      <c r="BI50" t="s">
        <v>289</v>
      </c>
      <c r="BJ50">
        <v>1769194579</v>
      </c>
      <c r="BK50">
        <v>1769194585</v>
      </c>
      <c r="BL50">
        <v>1</v>
      </c>
      <c r="BM50">
        <v>2.3E-2</v>
      </c>
      <c r="BN50">
        <v>3.0000000000000001E-3</v>
      </c>
      <c r="BO50">
        <v>-0.85299999999999998</v>
      </c>
      <c r="BP50">
        <v>9.2999999999999999E-2</v>
      </c>
      <c r="BQ50">
        <v>410</v>
      </c>
      <c r="BR50">
        <v>15</v>
      </c>
      <c r="BS50">
        <v>0.28000000000000003</v>
      </c>
      <c r="BT50">
        <v>0.05</v>
      </c>
      <c r="BU50">
        <v>-0.27441257142857101</v>
      </c>
      <c r="BV50">
        <v>-0.17260714285714299</v>
      </c>
      <c r="BW50">
        <v>2.41271146017671E-2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0.93376142857142896</v>
      </c>
      <c r="CD50">
        <v>-5.0259428571428802E-2</v>
      </c>
      <c r="CE50">
        <v>7.9934574054358401E-3</v>
      </c>
      <c r="CF50">
        <v>1</v>
      </c>
      <c r="CG50">
        <v>2</v>
      </c>
      <c r="CH50">
        <v>2</v>
      </c>
      <c r="CI50" t="s">
        <v>304</v>
      </c>
      <c r="CJ50">
        <v>3.5325199999999999</v>
      </c>
      <c r="CK50">
        <v>2.7024400000000002</v>
      </c>
      <c r="CL50">
        <v>9.7860900000000001E-2</v>
      </c>
      <c r="CM50">
        <v>9.6553399999999998E-2</v>
      </c>
      <c r="CN50">
        <v>8.6993399999999999E-2</v>
      </c>
      <c r="CO50">
        <v>8.2191299999999995E-2</v>
      </c>
      <c r="CP50">
        <v>31626.5</v>
      </c>
      <c r="CQ50">
        <v>27798.799999999999</v>
      </c>
      <c r="CR50">
        <v>32447.200000000001</v>
      </c>
      <c r="CS50">
        <v>30697.200000000001</v>
      </c>
      <c r="CT50">
        <v>40116.699999999997</v>
      </c>
      <c r="CU50">
        <v>39619.800000000003</v>
      </c>
      <c r="CV50">
        <v>47389.2</v>
      </c>
      <c r="CW50">
        <v>46815.1</v>
      </c>
      <c r="CX50">
        <v>2.6213799999999998</v>
      </c>
      <c r="CY50">
        <v>2.1285400000000001</v>
      </c>
      <c r="CZ50">
        <v>0</v>
      </c>
      <c r="DA50">
        <v>0</v>
      </c>
      <c r="DB50">
        <v>999.9</v>
      </c>
      <c r="DC50">
        <v>999.9</v>
      </c>
      <c r="DD50">
        <v>61.841999999999999</v>
      </c>
      <c r="DE50">
        <v>27.05</v>
      </c>
      <c r="DF50">
        <v>22.176100000000002</v>
      </c>
      <c r="DG50">
        <v>30.296399999999998</v>
      </c>
      <c r="DH50">
        <v>16.181899999999999</v>
      </c>
      <c r="DI50">
        <v>2</v>
      </c>
      <c r="DJ50">
        <v>-0.11036799999999999</v>
      </c>
      <c r="DK50">
        <v>2.0891299999999999</v>
      </c>
      <c r="DL50">
        <v>20.2178</v>
      </c>
      <c r="DM50">
        <v>5.2503500000000001</v>
      </c>
      <c r="DN50">
        <v>12.033899999999999</v>
      </c>
      <c r="DO50">
        <v>4.9669600000000003</v>
      </c>
      <c r="DP50">
        <v>3.2909999999999999</v>
      </c>
      <c r="DQ50">
        <v>536.1</v>
      </c>
      <c r="DR50">
        <v>9999</v>
      </c>
      <c r="DS50">
        <v>9999</v>
      </c>
      <c r="DT50">
        <v>9999</v>
      </c>
      <c r="DU50">
        <v>1.87103</v>
      </c>
      <c r="DV50">
        <v>1.8760699999999999</v>
      </c>
      <c r="DW50">
        <v>1.87622</v>
      </c>
      <c r="DX50">
        <v>1.8827799999999999</v>
      </c>
      <c r="DY50">
        <v>1.8754900000000001</v>
      </c>
      <c r="DZ50">
        <v>1.8746100000000001</v>
      </c>
      <c r="EA50">
        <v>1.87073</v>
      </c>
      <c r="EB50">
        <v>1.8745400000000001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-0.85299999999999998</v>
      </c>
      <c r="EQ50">
        <v>9.3100000000000002E-2</v>
      </c>
      <c r="ER50">
        <v>-0.85300000000006504</v>
      </c>
      <c r="ES50">
        <v>0</v>
      </c>
      <c r="ET50">
        <v>0</v>
      </c>
      <c r="EU50">
        <v>0</v>
      </c>
      <c r="EV50">
        <v>9.3120000000002506E-2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8.4</v>
      </c>
      <c r="FE50">
        <v>8.3000000000000007</v>
      </c>
      <c r="FF50">
        <v>1.2377899999999999</v>
      </c>
      <c r="FG50">
        <v>2.5842299999999998</v>
      </c>
      <c r="FH50">
        <v>2.19604</v>
      </c>
      <c r="FI50">
        <v>2.66235</v>
      </c>
      <c r="FJ50">
        <v>2.4462899999999999</v>
      </c>
      <c r="FK50">
        <v>2.2595200000000002</v>
      </c>
      <c r="FL50">
        <v>31.783000000000001</v>
      </c>
      <c r="FM50">
        <v>24.14</v>
      </c>
      <c r="FN50">
        <v>19</v>
      </c>
      <c r="FO50">
        <v>866.524</v>
      </c>
      <c r="FP50">
        <v>576.94000000000005</v>
      </c>
      <c r="FQ50">
        <v>18.2516</v>
      </c>
      <c r="FR50">
        <v>25.581700000000001</v>
      </c>
      <c r="FS50">
        <v>29.9999</v>
      </c>
      <c r="FT50">
        <v>25.660299999999999</v>
      </c>
      <c r="FU50">
        <v>25.665199999999999</v>
      </c>
      <c r="FV50">
        <v>24.838100000000001</v>
      </c>
      <c r="FW50">
        <v>36.576799999999999</v>
      </c>
      <c r="FX50">
        <v>31.4544</v>
      </c>
      <c r="FY50">
        <v>18.250299999999999</v>
      </c>
      <c r="FZ50">
        <v>410</v>
      </c>
      <c r="GA50">
        <v>14.513199999999999</v>
      </c>
      <c r="GB50">
        <v>99.853399999999993</v>
      </c>
      <c r="GC50">
        <v>99.658699999999996</v>
      </c>
    </row>
    <row r="51" spans="1:185" x14ac:dyDescent="0.2">
      <c r="A51">
        <v>36</v>
      </c>
      <c r="B51">
        <v>1769195097.0999999</v>
      </c>
      <c r="C51">
        <v>536.09999990463302</v>
      </c>
      <c r="D51" t="s">
        <v>365</v>
      </c>
      <c r="E51" t="s">
        <v>366</v>
      </c>
      <c r="F51">
        <v>15</v>
      </c>
      <c r="G51">
        <v>1769195089.5999999</v>
      </c>
      <c r="H51">
        <f t="shared" si="0"/>
        <v>7.3919284325039947E-4</v>
      </c>
      <c r="I51">
        <v>0</v>
      </c>
      <c r="J51">
        <f t="shared" si="12"/>
        <v>-2.3813929237380006E-3</v>
      </c>
      <c r="K51">
        <f t="shared" si="1"/>
        <v>-8.8739792326324216E-2</v>
      </c>
      <c r="L51">
        <f t="shared" si="2"/>
        <v>69.851432202762766</v>
      </c>
      <c r="M51">
        <f t="shared" si="3"/>
        <v>1.5405060084603655</v>
      </c>
      <c r="N51">
        <f t="shared" si="4"/>
        <v>2.2054036114658726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26190.370017335819</v>
      </c>
      <c r="T51">
        <f t="shared" si="8"/>
        <v>299.99971428571399</v>
      </c>
      <c r="U51">
        <f t="shared" si="9"/>
        <v>252.90019628529768</v>
      </c>
      <c r="V51">
        <f t="shared" si="10"/>
        <v>0.84300145714285701</v>
      </c>
      <c r="W51">
        <f t="shared" si="11"/>
        <v>0.15870364285714283</v>
      </c>
      <c r="X51">
        <v>1</v>
      </c>
      <c r="Y51">
        <v>1769195089.5999999</v>
      </c>
      <c r="Z51">
        <v>409.709857142857</v>
      </c>
      <c r="AA51">
        <v>409.97750000000002</v>
      </c>
      <c r="AB51">
        <v>15.379250000000001</v>
      </c>
      <c r="AC51">
        <v>14.469471428571399</v>
      </c>
      <c r="AD51">
        <v>410.56285714285701</v>
      </c>
      <c r="AE51">
        <v>15.286135714285701</v>
      </c>
      <c r="AF51">
        <v>800.00192857142895</v>
      </c>
      <c r="AG51">
        <v>100.103214285714</v>
      </c>
      <c r="AH51">
        <v>6.4609792857142898E-2</v>
      </c>
      <c r="AI51">
        <v>19.001621428571401</v>
      </c>
      <c r="AJ51">
        <v>999.9</v>
      </c>
      <c r="AK51">
        <v>999.9</v>
      </c>
      <c r="AL51">
        <v>0</v>
      </c>
      <c r="AM51">
        <v>0</v>
      </c>
      <c r="AN51">
        <v>4990.3214285714303</v>
      </c>
      <c r="AO51">
        <v>0</v>
      </c>
      <c r="AP51">
        <v>1.7264600000000001</v>
      </c>
      <c r="AQ51">
        <v>-0.26759349999999998</v>
      </c>
      <c r="AR51">
        <v>416.10935714285699</v>
      </c>
      <c r="AS51">
        <v>415.99671428571401</v>
      </c>
      <c r="AT51">
        <v>0.909775</v>
      </c>
      <c r="AU51">
        <v>409.97750000000002</v>
      </c>
      <c r="AV51">
        <v>14.469471428571399</v>
      </c>
      <c r="AW51">
        <v>1.5395099999999999</v>
      </c>
      <c r="AX51">
        <v>1.4484399999999999</v>
      </c>
      <c r="AY51">
        <v>13.3663285714286</v>
      </c>
      <c r="AZ51">
        <v>12.4344357142857</v>
      </c>
      <c r="BA51">
        <v>299.99971428571399</v>
      </c>
      <c r="BB51">
        <v>0.89995142857142896</v>
      </c>
      <c r="BC51">
        <v>0</v>
      </c>
      <c r="BD51">
        <v>0.100048571428571</v>
      </c>
      <c r="BE51">
        <v>0</v>
      </c>
      <c r="BF51">
        <v>24</v>
      </c>
      <c r="BG51">
        <v>4946.5621428571403</v>
      </c>
      <c r="BH51">
        <v>1769194585</v>
      </c>
      <c r="BI51" t="s">
        <v>289</v>
      </c>
      <c r="BJ51">
        <v>1769194579</v>
      </c>
      <c r="BK51">
        <v>1769194585</v>
      </c>
      <c r="BL51">
        <v>1</v>
      </c>
      <c r="BM51">
        <v>2.3E-2</v>
      </c>
      <c r="BN51">
        <v>3.0000000000000001E-3</v>
      </c>
      <c r="BO51">
        <v>-0.85299999999999998</v>
      </c>
      <c r="BP51">
        <v>9.2999999999999999E-2</v>
      </c>
      <c r="BQ51">
        <v>410</v>
      </c>
      <c r="BR51">
        <v>15</v>
      </c>
      <c r="BS51">
        <v>0.28000000000000003</v>
      </c>
      <c r="BT51">
        <v>0.05</v>
      </c>
      <c r="BU51">
        <v>-0.27913520000000003</v>
      </c>
      <c r="BV51">
        <v>0.16967124812030099</v>
      </c>
      <c r="BW51">
        <v>2.91326133887779E-2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0.91424939999999999</v>
      </c>
      <c r="CD51">
        <v>-0.180622827067669</v>
      </c>
      <c r="CE51">
        <v>2.4664682451635202E-2</v>
      </c>
      <c r="CF51">
        <v>0</v>
      </c>
      <c r="CG51">
        <v>1</v>
      </c>
      <c r="CH51">
        <v>2</v>
      </c>
      <c r="CI51" t="s">
        <v>297</v>
      </c>
      <c r="CJ51">
        <v>3.53247</v>
      </c>
      <c r="CK51">
        <v>2.7023100000000002</v>
      </c>
      <c r="CL51">
        <v>9.7862500000000005E-2</v>
      </c>
      <c r="CM51">
        <v>9.65588E-2</v>
      </c>
      <c r="CN51">
        <v>8.7046299999999993E-2</v>
      </c>
      <c r="CO51">
        <v>8.2401799999999997E-2</v>
      </c>
      <c r="CP51">
        <v>31626.3</v>
      </c>
      <c r="CQ51">
        <v>27798.6</v>
      </c>
      <c r="CR51">
        <v>32447</v>
      </c>
      <c r="CS51">
        <v>30697.1</v>
      </c>
      <c r="CT51">
        <v>40113.9</v>
      </c>
      <c r="CU51">
        <v>39610.5</v>
      </c>
      <c r="CV51">
        <v>47388.800000000003</v>
      </c>
      <c r="CW51">
        <v>46815.199999999997</v>
      </c>
      <c r="CX51">
        <v>2.6214</v>
      </c>
      <c r="CY51">
        <v>2.1286399999999999</v>
      </c>
      <c r="CZ51">
        <v>0</v>
      </c>
      <c r="DA51">
        <v>0</v>
      </c>
      <c r="DB51">
        <v>999.9</v>
      </c>
      <c r="DC51">
        <v>999.9</v>
      </c>
      <c r="DD51">
        <v>61.652999999999999</v>
      </c>
      <c r="DE51">
        <v>27.05</v>
      </c>
      <c r="DF51">
        <v>22.110299999999999</v>
      </c>
      <c r="DG51">
        <v>30.416399999999999</v>
      </c>
      <c r="DH51">
        <v>16.189900000000002</v>
      </c>
      <c r="DI51">
        <v>2</v>
      </c>
      <c r="DJ51">
        <v>-0.11078</v>
      </c>
      <c r="DK51">
        <v>2.10914</v>
      </c>
      <c r="DL51">
        <v>20.217700000000001</v>
      </c>
      <c r="DM51">
        <v>5.2496400000000003</v>
      </c>
      <c r="DN51">
        <v>12.033899999999999</v>
      </c>
      <c r="DO51">
        <v>4.9667199999999996</v>
      </c>
      <c r="DP51">
        <v>3.2909999999999999</v>
      </c>
      <c r="DQ51">
        <v>536.20000000000005</v>
      </c>
      <c r="DR51">
        <v>9999</v>
      </c>
      <c r="DS51">
        <v>9999</v>
      </c>
      <c r="DT51">
        <v>9999</v>
      </c>
      <c r="DU51">
        <v>1.87103</v>
      </c>
      <c r="DV51">
        <v>1.8760699999999999</v>
      </c>
      <c r="DW51">
        <v>1.87622</v>
      </c>
      <c r="DX51">
        <v>1.88276</v>
      </c>
      <c r="DY51">
        <v>1.87548</v>
      </c>
      <c r="DZ51">
        <v>1.87459</v>
      </c>
      <c r="EA51">
        <v>1.87073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-0.85299999999999998</v>
      </c>
      <c r="EQ51">
        <v>9.3100000000000002E-2</v>
      </c>
      <c r="ER51">
        <v>-0.85300000000006504</v>
      </c>
      <c r="ES51">
        <v>0</v>
      </c>
      <c r="ET51">
        <v>0</v>
      </c>
      <c r="EU51">
        <v>0</v>
      </c>
      <c r="EV51">
        <v>9.3120000000002506E-2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1.2377899999999999</v>
      </c>
      <c r="FG51">
        <v>2.5866699999999998</v>
      </c>
      <c r="FH51">
        <v>2.19604</v>
      </c>
      <c r="FI51">
        <v>2.66235</v>
      </c>
      <c r="FJ51">
        <v>2.4462899999999999</v>
      </c>
      <c r="FK51">
        <v>2.2351100000000002</v>
      </c>
      <c r="FL51">
        <v>31.761099999999999</v>
      </c>
      <c r="FM51">
        <v>24.14</v>
      </c>
      <c r="FN51">
        <v>19</v>
      </c>
      <c r="FO51">
        <v>866.43200000000002</v>
      </c>
      <c r="FP51">
        <v>576.94500000000005</v>
      </c>
      <c r="FQ51">
        <v>18.246200000000002</v>
      </c>
      <c r="FR51">
        <v>25.576499999999999</v>
      </c>
      <c r="FS51">
        <v>30.0001</v>
      </c>
      <c r="FT51">
        <v>25.653400000000001</v>
      </c>
      <c r="FU51">
        <v>25.6587</v>
      </c>
      <c r="FV51">
        <v>24.8401</v>
      </c>
      <c r="FW51">
        <v>36.296399999999998</v>
      </c>
      <c r="FX51">
        <v>31.072500000000002</v>
      </c>
      <c r="FY51">
        <v>18.2453</v>
      </c>
      <c r="FZ51">
        <v>410</v>
      </c>
      <c r="GA51">
        <v>14.513199999999999</v>
      </c>
      <c r="GB51">
        <v>99.852599999999995</v>
      </c>
      <c r="GC51">
        <v>99.658699999999996</v>
      </c>
    </row>
    <row r="52" spans="1:185" x14ac:dyDescent="0.2">
      <c r="A52">
        <v>37</v>
      </c>
      <c r="B52">
        <v>1769195112.0999999</v>
      </c>
      <c r="C52">
        <v>551.09999990463302</v>
      </c>
      <c r="D52" t="s">
        <v>367</v>
      </c>
      <c r="E52" t="s">
        <v>368</v>
      </c>
      <c r="F52">
        <v>15</v>
      </c>
      <c r="G52">
        <v>1769195104.5999999</v>
      </c>
      <c r="H52">
        <f t="shared" si="0"/>
        <v>7.3684640471154779E-4</v>
      </c>
      <c r="I52">
        <v>0</v>
      </c>
      <c r="J52">
        <f t="shared" si="12"/>
        <v>-1.6593304823401766E-3</v>
      </c>
      <c r="K52">
        <f t="shared" si="1"/>
        <v>-6.1832988977087798E-2</v>
      </c>
      <c r="L52">
        <f t="shared" si="2"/>
        <v>69.917681635977473</v>
      </c>
      <c r="M52">
        <f t="shared" si="3"/>
        <v>1.5420825459084444</v>
      </c>
      <c r="N52">
        <f t="shared" si="4"/>
        <v>2.2055687629020819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26215.132530201681</v>
      </c>
      <c r="T52">
        <f t="shared" si="8"/>
        <v>299.99957142857102</v>
      </c>
      <c r="U52">
        <f t="shared" si="9"/>
        <v>252.90010607076076</v>
      </c>
      <c r="V52">
        <f t="shared" si="10"/>
        <v>0.84300155785714348</v>
      </c>
      <c r="W52">
        <f t="shared" si="11"/>
        <v>0.15870347704285728</v>
      </c>
      <c r="X52">
        <v>1</v>
      </c>
      <c r="Y52">
        <v>1769195104.5999999</v>
      </c>
      <c r="Z52">
        <v>409.70549999999997</v>
      </c>
      <c r="AA52">
        <v>410.00557142857099</v>
      </c>
      <c r="AB52">
        <v>15.3951642857143</v>
      </c>
      <c r="AC52">
        <v>14.4882857142857</v>
      </c>
      <c r="AD52">
        <v>410.55849999999998</v>
      </c>
      <c r="AE52">
        <v>15.3020571428571</v>
      </c>
      <c r="AF52">
        <v>799.99964285714304</v>
      </c>
      <c r="AG52">
        <v>100.10214285714299</v>
      </c>
      <c r="AH52">
        <v>6.4540478571428597E-2</v>
      </c>
      <c r="AI52">
        <v>19.002821428571401</v>
      </c>
      <c r="AJ52">
        <v>999.9</v>
      </c>
      <c r="AK52">
        <v>999.9</v>
      </c>
      <c r="AL52">
        <v>0</v>
      </c>
      <c r="AM52">
        <v>0</v>
      </c>
      <c r="AN52">
        <v>4994.4642857142899</v>
      </c>
      <c r="AO52">
        <v>0</v>
      </c>
      <c r="AP52">
        <v>1.7502500000000001</v>
      </c>
      <c r="AQ52">
        <v>-0.30001614285714301</v>
      </c>
      <c r="AR52">
        <v>416.11157142857098</v>
      </c>
      <c r="AS52">
        <v>416.03307142857102</v>
      </c>
      <c r="AT52">
        <v>0.90687485714285698</v>
      </c>
      <c r="AU52">
        <v>410.00557142857099</v>
      </c>
      <c r="AV52">
        <v>14.4882857142857</v>
      </c>
      <c r="AW52">
        <v>1.54108857142857</v>
      </c>
      <c r="AX52">
        <v>1.4503085714285699</v>
      </c>
      <c r="AY52">
        <v>13.3820285714286</v>
      </c>
      <c r="AZ52">
        <v>12.454128571428599</v>
      </c>
      <c r="BA52">
        <v>299.99957142857102</v>
      </c>
      <c r="BB52">
        <v>0.89995428571428604</v>
      </c>
      <c r="BC52">
        <v>0</v>
      </c>
      <c r="BD52">
        <v>0.10004592857142899</v>
      </c>
      <c r="BE52">
        <v>0</v>
      </c>
      <c r="BF52">
        <v>24</v>
      </c>
      <c r="BG52">
        <v>4946.5600000000004</v>
      </c>
      <c r="BH52">
        <v>1769194585</v>
      </c>
      <c r="BI52" t="s">
        <v>289</v>
      </c>
      <c r="BJ52">
        <v>1769194579</v>
      </c>
      <c r="BK52">
        <v>1769194585</v>
      </c>
      <c r="BL52">
        <v>1</v>
      </c>
      <c r="BM52">
        <v>2.3E-2</v>
      </c>
      <c r="BN52">
        <v>3.0000000000000001E-3</v>
      </c>
      <c r="BO52">
        <v>-0.85299999999999998</v>
      </c>
      <c r="BP52">
        <v>9.2999999999999999E-2</v>
      </c>
      <c r="BQ52">
        <v>410</v>
      </c>
      <c r="BR52">
        <v>15</v>
      </c>
      <c r="BS52">
        <v>0.28000000000000003</v>
      </c>
      <c r="BT52">
        <v>0.05</v>
      </c>
      <c r="BU52">
        <v>-0.28934004761904802</v>
      </c>
      <c r="BV52">
        <v>-0.12284968831168799</v>
      </c>
      <c r="BW52">
        <v>3.0498868565237602E-2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0.89832299999999998</v>
      </c>
      <c r="CD52">
        <v>0.151052883116883</v>
      </c>
      <c r="CE52">
        <v>1.6102298416242101E-2</v>
      </c>
      <c r="CF52">
        <v>0</v>
      </c>
      <c r="CG52">
        <v>1</v>
      </c>
      <c r="CH52">
        <v>2</v>
      </c>
      <c r="CI52" t="s">
        <v>297</v>
      </c>
      <c r="CJ52">
        <v>3.5325199999999999</v>
      </c>
      <c r="CK52">
        <v>2.7024699999999999</v>
      </c>
      <c r="CL52">
        <v>9.7869800000000007E-2</v>
      </c>
      <c r="CM52">
        <v>9.6550999999999998E-2</v>
      </c>
      <c r="CN52">
        <v>8.7060799999999994E-2</v>
      </c>
      <c r="CO52">
        <v>8.2299999999999998E-2</v>
      </c>
      <c r="CP52">
        <v>31626.799999999999</v>
      </c>
      <c r="CQ52">
        <v>27799.4</v>
      </c>
      <c r="CR52">
        <v>32447.7</v>
      </c>
      <c r="CS52">
        <v>30697.7</v>
      </c>
      <c r="CT52">
        <v>40114</v>
      </c>
      <c r="CU52">
        <v>39616</v>
      </c>
      <c r="CV52">
        <v>47389.7</v>
      </c>
      <c r="CW52">
        <v>46816.3</v>
      </c>
      <c r="CX52">
        <v>2.6215999999999999</v>
      </c>
      <c r="CY52">
        <v>2.1286</v>
      </c>
      <c r="CZ52">
        <v>0</v>
      </c>
      <c r="DA52">
        <v>0</v>
      </c>
      <c r="DB52">
        <v>999.9</v>
      </c>
      <c r="DC52">
        <v>999.9</v>
      </c>
      <c r="DD52">
        <v>61.481999999999999</v>
      </c>
      <c r="DE52">
        <v>27.06</v>
      </c>
      <c r="DF52">
        <v>22.0579</v>
      </c>
      <c r="DG52">
        <v>30.596399999999999</v>
      </c>
      <c r="DH52">
        <v>16.213899999999999</v>
      </c>
      <c r="DI52">
        <v>2</v>
      </c>
      <c r="DJ52">
        <v>-0.11092299999999999</v>
      </c>
      <c r="DK52">
        <v>2.1335600000000001</v>
      </c>
      <c r="DL52">
        <v>20.217400000000001</v>
      </c>
      <c r="DM52">
        <v>5.2502399999999998</v>
      </c>
      <c r="DN52">
        <v>12.033899999999999</v>
      </c>
      <c r="DO52">
        <v>4.9669600000000003</v>
      </c>
      <c r="DP52">
        <v>3.2909999999999999</v>
      </c>
      <c r="DQ52">
        <v>536.20000000000005</v>
      </c>
      <c r="DR52">
        <v>9999</v>
      </c>
      <c r="DS52">
        <v>9999</v>
      </c>
      <c r="DT52">
        <v>9999</v>
      </c>
      <c r="DU52">
        <v>1.87103</v>
      </c>
      <c r="DV52">
        <v>1.8760699999999999</v>
      </c>
      <c r="DW52">
        <v>1.87622</v>
      </c>
      <c r="DX52">
        <v>1.8827799999999999</v>
      </c>
      <c r="DY52">
        <v>1.8754999999999999</v>
      </c>
      <c r="DZ52">
        <v>1.8746499999999999</v>
      </c>
      <c r="EA52">
        <v>1.8707400000000001</v>
      </c>
      <c r="EB52">
        <v>1.8745499999999999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-0.85299999999999998</v>
      </c>
      <c r="EQ52">
        <v>9.3100000000000002E-2</v>
      </c>
      <c r="ER52">
        <v>-0.85300000000006504</v>
      </c>
      <c r="ES52">
        <v>0</v>
      </c>
      <c r="ET52">
        <v>0</v>
      </c>
      <c r="EU52">
        <v>0</v>
      </c>
      <c r="EV52">
        <v>9.3120000000002506E-2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8.9</v>
      </c>
      <c r="FE52">
        <v>8.8000000000000007</v>
      </c>
      <c r="FF52">
        <v>1.2377899999999999</v>
      </c>
      <c r="FG52">
        <v>2.5854499999999998</v>
      </c>
      <c r="FH52">
        <v>2.19604</v>
      </c>
      <c r="FI52">
        <v>2.66235</v>
      </c>
      <c r="FJ52">
        <v>2.4462899999999999</v>
      </c>
      <c r="FK52">
        <v>2.2424300000000001</v>
      </c>
      <c r="FL52">
        <v>31.783000000000001</v>
      </c>
      <c r="FM52">
        <v>24.14</v>
      </c>
      <c r="FN52">
        <v>19</v>
      </c>
      <c r="FO52">
        <v>866.51400000000001</v>
      </c>
      <c r="FP52">
        <v>576.84699999999998</v>
      </c>
      <c r="FQ52">
        <v>18.238700000000001</v>
      </c>
      <c r="FR52">
        <v>25.574000000000002</v>
      </c>
      <c r="FS52">
        <v>30</v>
      </c>
      <c r="FT52">
        <v>25.646899999999999</v>
      </c>
      <c r="FU52">
        <v>25.652699999999999</v>
      </c>
      <c r="FV52">
        <v>24.8416</v>
      </c>
      <c r="FW52">
        <v>36.296399999999998</v>
      </c>
      <c r="FX52">
        <v>30.317699999999999</v>
      </c>
      <c r="FY52">
        <v>18.237200000000001</v>
      </c>
      <c r="FZ52">
        <v>410</v>
      </c>
      <c r="GA52">
        <v>14.513199999999999</v>
      </c>
      <c r="GB52">
        <v>99.854699999999994</v>
      </c>
      <c r="GC52">
        <v>99.660899999999998</v>
      </c>
    </row>
    <row r="53" spans="1:185" x14ac:dyDescent="0.2">
      <c r="A53">
        <v>38</v>
      </c>
      <c r="B53">
        <v>1769195127.0999999</v>
      </c>
      <c r="C53">
        <v>566.09999990463302</v>
      </c>
      <c r="D53" t="s">
        <v>369</v>
      </c>
      <c r="E53" t="s">
        <v>370</v>
      </c>
      <c r="F53">
        <v>15</v>
      </c>
      <c r="G53">
        <v>1769195119.5999999</v>
      </c>
      <c r="H53">
        <f t="shared" si="0"/>
        <v>7.6192563888799166E-4</v>
      </c>
      <c r="I53">
        <v>0</v>
      </c>
      <c r="J53">
        <f t="shared" si="12"/>
        <v>-1.985260291593779E-3</v>
      </c>
      <c r="K53">
        <f t="shared" si="1"/>
        <v>-7.3978378046575616E-2</v>
      </c>
      <c r="L53">
        <f t="shared" si="2"/>
        <v>69.924882309360854</v>
      </c>
      <c r="M53">
        <f t="shared" si="3"/>
        <v>1.5421588738324121</v>
      </c>
      <c r="N53">
        <f t="shared" si="4"/>
        <v>2.2054507964841621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26263.151517068367</v>
      </c>
      <c r="T53">
        <f t="shared" si="8"/>
        <v>299.99900000000002</v>
      </c>
      <c r="U53">
        <f t="shared" si="9"/>
        <v>252.89950157027999</v>
      </c>
      <c r="V53">
        <f t="shared" si="10"/>
        <v>0.84300114857142849</v>
      </c>
      <c r="W53">
        <f t="shared" si="11"/>
        <v>0.15870287142857145</v>
      </c>
      <c r="X53">
        <v>1</v>
      </c>
      <c r="Y53">
        <v>1769195119.5999999</v>
      </c>
      <c r="Z53">
        <v>409.68821428571403</v>
      </c>
      <c r="AA53">
        <v>409.98592857142899</v>
      </c>
      <c r="AB53">
        <v>15.3956</v>
      </c>
      <c r="AC53">
        <v>14.457864285714299</v>
      </c>
      <c r="AD53">
        <v>410.54121428571398</v>
      </c>
      <c r="AE53">
        <v>15.3024857142857</v>
      </c>
      <c r="AF53">
        <v>800.00721428571399</v>
      </c>
      <c r="AG53">
        <v>100.10392857142899</v>
      </c>
      <c r="AH53">
        <v>6.4877699999999996E-2</v>
      </c>
      <c r="AI53">
        <v>19.001964285714301</v>
      </c>
      <c r="AJ53">
        <v>999.9</v>
      </c>
      <c r="AK53">
        <v>999.9</v>
      </c>
      <c r="AL53">
        <v>0</v>
      </c>
      <c r="AM53">
        <v>0</v>
      </c>
      <c r="AN53">
        <v>5002.2857142857101</v>
      </c>
      <c r="AO53">
        <v>0</v>
      </c>
      <c r="AP53">
        <v>1.7502500000000001</v>
      </c>
      <c r="AQ53">
        <v>-0.29764435714285697</v>
      </c>
      <c r="AR53">
        <v>416.09414285714303</v>
      </c>
      <c r="AS53">
        <v>416.00035714285701</v>
      </c>
      <c r="AT53">
        <v>0.93774657142857099</v>
      </c>
      <c r="AU53">
        <v>409.98592857142899</v>
      </c>
      <c r="AV53">
        <v>14.457864285714299</v>
      </c>
      <c r="AW53">
        <v>1.54116071428571</v>
      </c>
      <c r="AX53">
        <v>1.4472871428571401</v>
      </c>
      <c r="AY53">
        <v>13.3827642857143</v>
      </c>
      <c r="AZ53">
        <v>12.422371428571401</v>
      </c>
      <c r="BA53">
        <v>299.99900000000002</v>
      </c>
      <c r="BB53">
        <v>0.89996171428571403</v>
      </c>
      <c r="BC53">
        <v>0</v>
      </c>
      <c r="BD53">
        <v>0.100038285714286</v>
      </c>
      <c r="BE53">
        <v>0</v>
      </c>
      <c r="BF53">
        <v>24</v>
      </c>
      <c r="BG53">
        <v>4946.56357142857</v>
      </c>
      <c r="BH53">
        <v>1769194585</v>
      </c>
      <c r="BI53" t="s">
        <v>289</v>
      </c>
      <c r="BJ53">
        <v>1769194579</v>
      </c>
      <c r="BK53">
        <v>1769194585</v>
      </c>
      <c r="BL53">
        <v>1</v>
      </c>
      <c r="BM53">
        <v>2.3E-2</v>
      </c>
      <c r="BN53">
        <v>3.0000000000000001E-3</v>
      </c>
      <c r="BO53">
        <v>-0.85299999999999998</v>
      </c>
      <c r="BP53">
        <v>9.2999999999999999E-2</v>
      </c>
      <c r="BQ53">
        <v>410</v>
      </c>
      <c r="BR53">
        <v>15</v>
      </c>
      <c r="BS53">
        <v>0.28000000000000003</v>
      </c>
      <c r="BT53">
        <v>0.05</v>
      </c>
      <c r="BU53">
        <v>-0.29118339999999998</v>
      </c>
      <c r="BV53">
        <v>-0.17284231578947301</v>
      </c>
      <c r="BW53">
        <v>2.8382316888161199E-2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0.93253719999999996</v>
      </c>
      <c r="CD53">
        <v>0.103083969924811</v>
      </c>
      <c r="CE53">
        <v>1.06361625344858E-2</v>
      </c>
      <c r="CF53">
        <v>0</v>
      </c>
      <c r="CG53">
        <v>1</v>
      </c>
      <c r="CH53">
        <v>2</v>
      </c>
      <c r="CI53" t="s">
        <v>297</v>
      </c>
      <c r="CJ53">
        <v>3.5325000000000002</v>
      </c>
      <c r="CK53">
        <v>2.7025899999999998</v>
      </c>
      <c r="CL53">
        <v>9.7862299999999999E-2</v>
      </c>
      <c r="CM53">
        <v>9.6554899999999999E-2</v>
      </c>
      <c r="CN53">
        <v>8.70499E-2</v>
      </c>
      <c r="CO53">
        <v>8.2161499999999998E-2</v>
      </c>
      <c r="CP53">
        <v>31626.400000000001</v>
      </c>
      <c r="CQ53">
        <v>27799.5</v>
      </c>
      <c r="CR53">
        <v>32447.1</v>
      </c>
      <c r="CS53">
        <v>30698</v>
      </c>
      <c r="CT53">
        <v>40113.800000000003</v>
      </c>
      <c r="CU53">
        <v>39622.400000000001</v>
      </c>
      <c r="CV53">
        <v>47388.9</v>
      </c>
      <c r="CW53">
        <v>46816.6</v>
      </c>
      <c r="CX53">
        <v>2.6213799999999998</v>
      </c>
      <c r="CY53">
        <v>2.1285599999999998</v>
      </c>
      <c r="CZ53">
        <v>0</v>
      </c>
      <c r="DA53">
        <v>0</v>
      </c>
      <c r="DB53">
        <v>999.9</v>
      </c>
      <c r="DC53">
        <v>999.9</v>
      </c>
      <c r="DD53">
        <v>61.323</v>
      </c>
      <c r="DE53">
        <v>27.06</v>
      </c>
      <c r="DF53">
        <v>22.002800000000001</v>
      </c>
      <c r="DG53">
        <v>30.476400000000002</v>
      </c>
      <c r="DH53">
        <v>16.254000000000001</v>
      </c>
      <c r="DI53">
        <v>2</v>
      </c>
      <c r="DJ53">
        <v>-0.11110200000000001</v>
      </c>
      <c r="DK53">
        <v>2.1415199999999999</v>
      </c>
      <c r="DL53">
        <v>20.216999999999999</v>
      </c>
      <c r="DM53">
        <v>5.2498800000000001</v>
      </c>
      <c r="DN53">
        <v>12.033899999999999</v>
      </c>
      <c r="DO53">
        <v>4.9672400000000003</v>
      </c>
      <c r="DP53">
        <v>3.2909999999999999</v>
      </c>
      <c r="DQ53">
        <v>536.20000000000005</v>
      </c>
      <c r="DR53">
        <v>9999</v>
      </c>
      <c r="DS53">
        <v>9999</v>
      </c>
      <c r="DT53">
        <v>9999</v>
      </c>
      <c r="DU53">
        <v>1.87103</v>
      </c>
      <c r="DV53">
        <v>1.8760699999999999</v>
      </c>
      <c r="DW53">
        <v>1.87622</v>
      </c>
      <c r="DX53">
        <v>1.8827499999999999</v>
      </c>
      <c r="DY53">
        <v>1.8754900000000001</v>
      </c>
      <c r="DZ53">
        <v>1.8745700000000001</v>
      </c>
      <c r="EA53">
        <v>1.87073</v>
      </c>
      <c r="EB53">
        <v>1.8745499999999999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-0.85299999999999998</v>
      </c>
      <c r="EQ53">
        <v>9.3100000000000002E-2</v>
      </c>
      <c r="ER53">
        <v>-0.85300000000006504</v>
      </c>
      <c r="ES53">
        <v>0</v>
      </c>
      <c r="ET53">
        <v>0</v>
      </c>
      <c r="EU53">
        <v>0</v>
      </c>
      <c r="EV53">
        <v>9.3120000000002506E-2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1.2377899999999999</v>
      </c>
      <c r="FG53">
        <v>2.5817899999999998</v>
      </c>
      <c r="FH53">
        <v>2.19604</v>
      </c>
      <c r="FI53">
        <v>2.66235</v>
      </c>
      <c r="FJ53">
        <v>2.4462899999999999</v>
      </c>
      <c r="FK53">
        <v>2.2692899999999998</v>
      </c>
      <c r="FL53">
        <v>31.783000000000001</v>
      </c>
      <c r="FM53">
        <v>24.148800000000001</v>
      </c>
      <c r="FN53">
        <v>19</v>
      </c>
      <c r="FO53">
        <v>866.21199999999999</v>
      </c>
      <c r="FP53">
        <v>576.74400000000003</v>
      </c>
      <c r="FQ53">
        <v>18.230499999999999</v>
      </c>
      <c r="FR53">
        <v>25.5718</v>
      </c>
      <c r="FS53">
        <v>30.0002</v>
      </c>
      <c r="FT53">
        <v>25.640899999999998</v>
      </c>
      <c r="FU53">
        <v>25.6462</v>
      </c>
      <c r="FV53">
        <v>24.842400000000001</v>
      </c>
      <c r="FW53">
        <v>36.296399999999998</v>
      </c>
      <c r="FX53">
        <v>29.943999999999999</v>
      </c>
      <c r="FY53">
        <v>18.229900000000001</v>
      </c>
      <c r="FZ53">
        <v>410</v>
      </c>
      <c r="GA53">
        <v>14.513199999999999</v>
      </c>
      <c r="GB53">
        <v>99.852800000000002</v>
      </c>
      <c r="GC53">
        <v>99.661600000000007</v>
      </c>
    </row>
    <row r="54" spans="1:185" x14ac:dyDescent="0.2">
      <c r="A54">
        <v>39</v>
      </c>
      <c r="B54">
        <v>1769195142.0999999</v>
      </c>
      <c r="C54">
        <v>581.09999990463302</v>
      </c>
      <c r="D54" t="s">
        <v>371</v>
      </c>
      <c r="E54" t="s">
        <v>372</v>
      </c>
      <c r="F54">
        <v>15</v>
      </c>
      <c r="G54">
        <v>1769195134.5999999</v>
      </c>
      <c r="H54">
        <f t="shared" si="0"/>
        <v>7.5429307525978284E-4</v>
      </c>
      <c r="I54">
        <v>0</v>
      </c>
      <c r="J54">
        <f t="shared" si="12"/>
        <v>-2.1761675486364992E-3</v>
      </c>
      <c r="K54">
        <f t="shared" si="1"/>
        <v>-8.1092311314239524E-2</v>
      </c>
      <c r="L54">
        <f t="shared" si="2"/>
        <v>69.849358419309524</v>
      </c>
      <c r="M54">
        <f t="shared" si="3"/>
        <v>1.5404060304243186</v>
      </c>
      <c r="N54">
        <f t="shared" si="4"/>
        <v>2.2053259547169737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26220.9166946642</v>
      </c>
      <c r="T54">
        <f t="shared" si="8"/>
        <v>299.99985714285702</v>
      </c>
      <c r="U54">
        <f t="shared" si="9"/>
        <v>252.90017785700067</v>
      </c>
      <c r="V54">
        <f t="shared" si="10"/>
        <v>0.84300099428571418</v>
      </c>
      <c r="W54">
        <f t="shared" si="11"/>
        <v>0.15870248571428572</v>
      </c>
      <c r="X54">
        <v>1</v>
      </c>
      <c r="Y54">
        <v>1769195134.5999999</v>
      </c>
      <c r="Z54">
        <v>409.70249999999999</v>
      </c>
      <c r="AA54">
        <v>409.98742857142901</v>
      </c>
      <c r="AB54">
        <v>15.3782714285714</v>
      </c>
      <c r="AC54">
        <v>14.4499071428571</v>
      </c>
      <c r="AD54">
        <v>410.55549999999999</v>
      </c>
      <c r="AE54">
        <v>15.2851571428571</v>
      </c>
      <c r="AF54">
        <v>800.00207142857096</v>
      </c>
      <c r="AG54">
        <v>100.102928571429</v>
      </c>
      <c r="AH54">
        <v>6.4768271428571403E-2</v>
      </c>
      <c r="AI54">
        <v>19.0010571428571</v>
      </c>
      <c r="AJ54">
        <v>999.9</v>
      </c>
      <c r="AK54">
        <v>999.9</v>
      </c>
      <c r="AL54">
        <v>0</v>
      </c>
      <c r="AM54">
        <v>0</v>
      </c>
      <c r="AN54">
        <v>4995.3571428571404</v>
      </c>
      <c r="AO54">
        <v>0</v>
      </c>
      <c r="AP54">
        <v>1.7502500000000001</v>
      </c>
      <c r="AQ54">
        <v>-0.28483585714285697</v>
      </c>
      <c r="AR54">
        <v>416.10135714285701</v>
      </c>
      <c r="AS54">
        <v>415.99857142857098</v>
      </c>
      <c r="AT54">
        <v>0.92838592857142799</v>
      </c>
      <c r="AU54">
        <v>409.98742857142901</v>
      </c>
      <c r="AV54">
        <v>14.4499071428571</v>
      </c>
      <c r="AW54">
        <v>1.5394121428571399</v>
      </c>
      <c r="AX54">
        <v>1.44647785714286</v>
      </c>
      <c r="AY54">
        <v>13.3653285714286</v>
      </c>
      <c r="AZ54">
        <v>12.413821428571399</v>
      </c>
      <c r="BA54">
        <v>299.99985714285702</v>
      </c>
      <c r="BB54">
        <v>0.89996685714285696</v>
      </c>
      <c r="BC54">
        <v>0</v>
      </c>
      <c r="BD54">
        <v>0.100033142857143</v>
      </c>
      <c r="BE54">
        <v>0</v>
      </c>
      <c r="BF54">
        <v>24</v>
      </c>
      <c r="BG54">
        <v>4946.5814285714296</v>
      </c>
      <c r="BH54">
        <v>1769194585</v>
      </c>
      <c r="BI54" t="s">
        <v>289</v>
      </c>
      <c r="BJ54">
        <v>1769194579</v>
      </c>
      <c r="BK54">
        <v>1769194585</v>
      </c>
      <c r="BL54">
        <v>1</v>
      </c>
      <c r="BM54">
        <v>2.3E-2</v>
      </c>
      <c r="BN54">
        <v>3.0000000000000001E-3</v>
      </c>
      <c r="BO54">
        <v>-0.85299999999999998</v>
      </c>
      <c r="BP54">
        <v>9.2999999999999999E-2</v>
      </c>
      <c r="BQ54">
        <v>410</v>
      </c>
      <c r="BR54">
        <v>15</v>
      </c>
      <c r="BS54">
        <v>0.28000000000000003</v>
      </c>
      <c r="BT54">
        <v>0.05</v>
      </c>
      <c r="BU54">
        <v>-0.29566157142857102</v>
      </c>
      <c r="BV54">
        <v>0.17661101298701301</v>
      </c>
      <c r="BW54">
        <v>2.1175035027961E-2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0.933753761904762</v>
      </c>
      <c r="CD54">
        <v>-0.122973116883116</v>
      </c>
      <c r="CE54">
        <v>1.6098043938864E-2</v>
      </c>
      <c r="CF54">
        <v>0</v>
      </c>
      <c r="CG54">
        <v>1</v>
      </c>
      <c r="CH54">
        <v>2</v>
      </c>
      <c r="CI54" t="s">
        <v>297</v>
      </c>
      <c r="CJ54">
        <v>3.5325199999999999</v>
      </c>
      <c r="CK54">
        <v>2.7025899999999998</v>
      </c>
      <c r="CL54">
        <v>9.7865999999999995E-2</v>
      </c>
      <c r="CM54">
        <v>9.6559199999999998E-2</v>
      </c>
      <c r="CN54">
        <v>8.6971400000000004E-2</v>
      </c>
      <c r="CO54">
        <v>8.2192100000000004E-2</v>
      </c>
      <c r="CP54">
        <v>31627</v>
      </c>
      <c r="CQ54">
        <v>27800</v>
      </c>
      <c r="CR54">
        <v>32447.8</v>
      </c>
      <c r="CS54">
        <v>30698.7</v>
      </c>
      <c r="CT54">
        <v>40118.199999999997</v>
      </c>
      <c r="CU54">
        <v>39621.800000000003</v>
      </c>
      <c r="CV54">
        <v>47389.9</v>
      </c>
      <c r="CW54">
        <v>46817.5</v>
      </c>
      <c r="CX54">
        <v>2.6214599999999999</v>
      </c>
      <c r="CY54">
        <v>2.1284200000000002</v>
      </c>
      <c r="CZ54">
        <v>0</v>
      </c>
      <c r="DA54">
        <v>0</v>
      </c>
      <c r="DB54">
        <v>999.9</v>
      </c>
      <c r="DC54">
        <v>999.9</v>
      </c>
      <c r="DD54">
        <v>61.164999999999999</v>
      </c>
      <c r="DE54">
        <v>27.08</v>
      </c>
      <c r="DF54">
        <v>21.9727</v>
      </c>
      <c r="DG54">
        <v>30.5364</v>
      </c>
      <c r="DH54">
        <v>16.254000000000001</v>
      </c>
      <c r="DI54">
        <v>2</v>
      </c>
      <c r="DJ54">
        <v>-0.11143500000000001</v>
      </c>
      <c r="DK54">
        <v>2.1389800000000001</v>
      </c>
      <c r="DL54">
        <v>20.217300000000002</v>
      </c>
      <c r="DM54">
        <v>5.2511900000000002</v>
      </c>
      <c r="DN54">
        <v>12.033899999999999</v>
      </c>
      <c r="DO54">
        <v>4.9673600000000002</v>
      </c>
      <c r="DP54">
        <v>3.2909999999999999</v>
      </c>
      <c r="DQ54">
        <v>536.20000000000005</v>
      </c>
      <c r="DR54">
        <v>9999</v>
      </c>
      <c r="DS54">
        <v>9999</v>
      </c>
      <c r="DT54">
        <v>9999</v>
      </c>
      <c r="DU54">
        <v>1.87103</v>
      </c>
      <c r="DV54">
        <v>1.8760699999999999</v>
      </c>
      <c r="DW54">
        <v>1.87626</v>
      </c>
      <c r="DX54">
        <v>1.8827799999999999</v>
      </c>
      <c r="DY54">
        <v>1.8755500000000001</v>
      </c>
      <c r="DZ54">
        <v>1.8746400000000001</v>
      </c>
      <c r="EA54">
        <v>1.8707400000000001</v>
      </c>
      <c r="EB54">
        <v>1.8745700000000001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-0.85299999999999998</v>
      </c>
      <c r="EQ54">
        <v>9.3200000000000005E-2</v>
      </c>
      <c r="ER54">
        <v>-0.85300000000006504</v>
      </c>
      <c r="ES54">
        <v>0</v>
      </c>
      <c r="ET54">
        <v>0</v>
      </c>
      <c r="EU54">
        <v>0</v>
      </c>
      <c r="EV54">
        <v>9.3120000000002506E-2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9.4</v>
      </c>
      <c r="FE54">
        <v>9.3000000000000007</v>
      </c>
      <c r="FF54">
        <v>1.2377899999999999</v>
      </c>
      <c r="FG54">
        <v>2.5805699999999998</v>
      </c>
      <c r="FH54">
        <v>2.19604</v>
      </c>
      <c r="FI54">
        <v>2.66235</v>
      </c>
      <c r="FJ54">
        <v>2.4462899999999999</v>
      </c>
      <c r="FK54">
        <v>2.2790499999999998</v>
      </c>
      <c r="FL54">
        <v>31.8049</v>
      </c>
      <c r="FM54">
        <v>24.148800000000001</v>
      </c>
      <c r="FN54">
        <v>19</v>
      </c>
      <c r="FO54">
        <v>866.19</v>
      </c>
      <c r="FP54">
        <v>576.56500000000005</v>
      </c>
      <c r="FQ54">
        <v>18.2254</v>
      </c>
      <c r="FR54">
        <v>25.5688</v>
      </c>
      <c r="FS54">
        <v>30</v>
      </c>
      <c r="FT54">
        <v>25.634799999999998</v>
      </c>
      <c r="FU54">
        <v>25.639700000000001</v>
      </c>
      <c r="FV54">
        <v>24.8432</v>
      </c>
      <c r="FW54">
        <v>36.020699999999998</v>
      </c>
      <c r="FX54">
        <v>29.556999999999999</v>
      </c>
      <c r="FY54">
        <v>18.225899999999999</v>
      </c>
      <c r="FZ54">
        <v>410</v>
      </c>
      <c r="GA54">
        <v>14.513199999999999</v>
      </c>
      <c r="GB54">
        <v>99.855099999999993</v>
      </c>
      <c r="GC54">
        <v>99.663700000000006</v>
      </c>
    </row>
    <row r="55" spans="1:185" x14ac:dyDescent="0.2">
      <c r="A55">
        <v>40</v>
      </c>
      <c r="B55">
        <v>1769195157.0999999</v>
      </c>
      <c r="C55">
        <v>596.09999990463302</v>
      </c>
      <c r="D55" t="s">
        <v>373</v>
      </c>
      <c r="E55" t="s">
        <v>374</v>
      </c>
      <c r="F55">
        <v>15</v>
      </c>
      <c r="G55">
        <v>1769195149.5999999</v>
      </c>
      <c r="H55">
        <f t="shared" si="0"/>
        <v>7.4691215041805471E-4</v>
      </c>
      <c r="I55">
        <v>0</v>
      </c>
      <c r="J55">
        <f t="shared" si="12"/>
        <v>-2.3603349915354861E-3</v>
      </c>
      <c r="K55">
        <f t="shared" si="1"/>
        <v>-8.7955093374779608E-2</v>
      </c>
      <c r="L55">
        <f t="shared" si="2"/>
        <v>69.816271494949916</v>
      </c>
      <c r="M55">
        <f t="shared" si="3"/>
        <v>1.5396406696372975</v>
      </c>
      <c r="N55">
        <f t="shared" si="4"/>
        <v>2.2052748401906075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26308.268974603048</v>
      </c>
      <c r="T55">
        <f t="shared" si="8"/>
        <v>299.99942857142901</v>
      </c>
      <c r="U55">
        <f t="shared" si="9"/>
        <v>252.89985578507176</v>
      </c>
      <c r="V55">
        <f t="shared" si="10"/>
        <v>0.84300112499999991</v>
      </c>
      <c r="W55">
        <f t="shared" si="11"/>
        <v>0.15870281249999998</v>
      </c>
      <c r="X55">
        <v>1</v>
      </c>
      <c r="Y55">
        <v>1769195149.5999999</v>
      </c>
      <c r="Z55">
        <v>409.70671428571399</v>
      </c>
      <c r="AA55">
        <v>409.97928571428599</v>
      </c>
      <c r="AB55">
        <v>15.370257142857101</v>
      </c>
      <c r="AC55">
        <v>14.4509785714286</v>
      </c>
      <c r="AD55">
        <v>410.55971428571399</v>
      </c>
      <c r="AE55">
        <v>15.2771285714286</v>
      </c>
      <c r="AF55">
        <v>800.00985714285696</v>
      </c>
      <c r="AG55">
        <v>100.105285714286</v>
      </c>
      <c r="AH55">
        <v>6.4845164285714296E-2</v>
      </c>
      <c r="AI55">
        <v>19.000685714285702</v>
      </c>
      <c r="AJ55">
        <v>999.9</v>
      </c>
      <c r="AK55">
        <v>999.9</v>
      </c>
      <c r="AL55">
        <v>0</v>
      </c>
      <c r="AM55">
        <v>0</v>
      </c>
      <c r="AN55">
        <v>5009.6428571428596</v>
      </c>
      <c r="AO55">
        <v>0</v>
      </c>
      <c r="AP55">
        <v>1.7502500000000001</v>
      </c>
      <c r="AQ55">
        <v>-0.27248271428571402</v>
      </c>
      <c r="AR55">
        <v>416.10235714285699</v>
      </c>
      <c r="AS55">
        <v>415.99085714285701</v>
      </c>
      <c r="AT55">
        <v>0.91927185714285697</v>
      </c>
      <c r="AU55">
        <v>409.97928571428599</v>
      </c>
      <c r="AV55">
        <v>14.4509785714286</v>
      </c>
      <c r="AW55">
        <v>1.5386478571428599</v>
      </c>
      <c r="AX55">
        <v>1.4466228571428601</v>
      </c>
      <c r="AY55">
        <v>13.3577071428571</v>
      </c>
      <c r="AZ55">
        <v>12.41535</v>
      </c>
      <c r="BA55">
        <v>299.99942857142901</v>
      </c>
      <c r="BB55">
        <v>0.8999625</v>
      </c>
      <c r="BC55">
        <v>0</v>
      </c>
      <c r="BD55">
        <v>0.1000375</v>
      </c>
      <c r="BE55">
        <v>0</v>
      </c>
      <c r="BF55">
        <v>24</v>
      </c>
      <c r="BG55">
        <v>4946.5735714285702</v>
      </c>
      <c r="BH55">
        <v>1769194585</v>
      </c>
      <c r="BI55" t="s">
        <v>289</v>
      </c>
      <c r="BJ55">
        <v>1769194579</v>
      </c>
      <c r="BK55">
        <v>1769194585</v>
      </c>
      <c r="BL55">
        <v>1</v>
      </c>
      <c r="BM55">
        <v>2.3E-2</v>
      </c>
      <c r="BN55">
        <v>3.0000000000000001E-3</v>
      </c>
      <c r="BO55">
        <v>-0.85299999999999998</v>
      </c>
      <c r="BP55">
        <v>9.2999999999999999E-2</v>
      </c>
      <c r="BQ55">
        <v>410</v>
      </c>
      <c r="BR55">
        <v>15</v>
      </c>
      <c r="BS55">
        <v>0.28000000000000003</v>
      </c>
      <c r="BT55">
        <v>0.05</v>
      </c>
      <c r="BU55">
        <v>-0.27562405000000001</v>
      </c>
      <c r="BV55">
        <v>0.121770812030076</v>
      </c>
      <c r="BW55">
        <v>2.1310198897417601E-2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0.91832285000000002</v>
      </c>
      <c r="CD55">
        <v>-2.2922571428574502E-2</v>
      </c>
      <c r="CE55">
        <v>1.15682445957673E-2</v>
      </c>
      <c r="CF55">
        <v>1</v>
      </c>
      <c r="CG55">
        <v>2</v>
      </c>
      <c r="CH55">
        <v>2</v>
      </c>
      <c r="CI55" t="s">
        <v>304</v>
      </c>
      <c r="CJ55">
        <v>3.53254</v>
      </c>
      <c r="CK55">
        <v>2.7027700000000001</v>
      </c>
      <c r="CL55">
        <v>9.7872600000000004E-2</v>
      </c>
      <c r="CM55">
        <v>9.6561599999999997E-2</v>
      </c>
      <c r="CN55">
        <v>8.7006700000000006E-2</v>
      </c>
      <c r="CO55">
        <v>8.23985E-2</v>
      </c>
      <c r="CP55">
        <v>31627.599999999999</v>
      </c>
      <c r="CQ55">
        <v>27800.1</v>
      </c>
      <c r="CR55">
        <v>32448.6</v>
      </c>
      <c r="CS55">
        <v>30698.799999999999</v>
      </c>
      <c r="CT55">
        <v>40117.4</v>
      </c>
      <c r="CU55">
        <v>39612.699999999997</v>
      </c>
      <c r="CV55">
        <v>47390.9</v>
      </c>
      <c r="CW55">
        <v>46817.599999999999</v>
      </c>
      <c r="CX55">
        <v>2.6215600000000001</v>
      </c>
      <c r="CY55">
        <v>2.1285799999999999</v>
      </c>
      <c r="CZ55">
        <v>0</v>
      </c>
      <c r="DA55">
        <v>0</v>
      </c>
      <c r="DB55">
        <v>999.9</v>
      </c>
      <c r="DC55">
        <v>999.9</v>
      </c>
      <c r="DD55">
        <v>60.994</v>
      </c>
      <c r="DE55">
        <v>27.09</v>
      </c>
      <c r="DF55">
        <v>21.921700000000001</v>
      </c>
      <c r="DG55">
        <v>30.386399999999998</v>
      </c>
      <c r="DH55">
        <v>16.274000000000001</v>
      </c>
      <c r="DI55">
        <v>2</v>
      </c>
      <c r="DJ55">
        <v>-0.11160399999999999</v>
      </c>
      <c r="DK55">
        <v>2.14412</v>
      </c>
      <c r="DL55">
        <v>20.217199999999998</v>
      </c>
      <c r="DM55">
        <v>5.2513100000000001</v>
      </c>
      <c r="DN55">
        <v>12.033899999999999</v>
      </c>
      <c r="DO55">
        <v>4.9674399999999999</v>
      </c>
      <c r="DP55">
        <v>3.2909999999999999</v>
      </c>
      <c r="DQ55">
        <v>536.20000000000005</v>
      </c>
      <c r="DR55">
        <v>9999</v>
      </c>
      <c r="DS55">
        <v>9999</v>
      </c>
      <c r="DT55">
        <v>9999</v>
      </c>
      <c r="DU55">
        <v>1.87103</v>
      </c>
      <c r="DV55">
        <v>1.87609</v>
      </c>
      <c r="DW55">
        <v>1.8762399999999999</v>
      </c>
      <c r="DX55">
        <v>1.8827799999999999</v>
      </c>
      <c r="DY55">
        <v>1.8755500000000001</v>
      </c>
      <c r="DZ55">
        <v>1.87462</v>
      </c>
      <c r="EA55">
        <v>1.8707499999999999</v>
      </c>
      <c r="EB55">
        <v>1.8745700000000001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-0.85299999999999998</v>
      </c>
      <c r="EQ55">
        <v>9.3100000000000002E-2</v>
      </c>
      <c r="ER55">
        <v>-0.85300000000006504</v>
      </c>
      <c r="ES55">
        <v>0</v>
      </c>
      <c r="ET55">
        <v>0</v>
      </c>
      <c r="EU55">
        <v>0</v>
      </c>
      <c r="EV55">
        <v>9.3120000000002506E-2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9.6</v>
      </c>
      <c r="FE55">
        <v>9.5</v>
      </c>
      <c r="FF55">
        <v>1.2377899999999999</v>
      </c>
      <c r="FG55">
        <v>2.5830099999999998</v>
      </c>
      <c r="FH55">
        <v>2.19604</v>
      </c>
      <c r="FI55">
        <v>2.66235</v>
      </c>
      <c r="FJ55">
        <v>2.4462899999999999</v>
      </c>
      <c r="FK55">
        <v>2.2692899999999998</v>
      </c>
      <c r="FL55">
        <v>31.783000000000001</v>
      </c>
      <c r="FM55">
        <v>24.148800000000001</v>
      </c>
      <c r="FN55">
        <v>19</v>
      </c>
      <c r="FO55">
        <v>866.18700000000001</v>
      </c>
      <c r="FP55">
        <v>576.61699999999996</v>
      </c>
      <c r="FQ55">
        <v>18.223600000000001</v>
      </c>
      <c r="FR55">
        <v>25.5654</v>
      </c>
      <c r="FS55">
        <v>29.9999</v>
      </c>
      <c r="FT55">
        <v>25.628799999999998</v>
      </c>
      <c r="FU55">
        <v>25.633299999999998</v>
      </c>
      <c r="FV55">
        <v>24.846299999999999</v>
      </c>
      <c r="FW55">
        <v>35.736899999999999</v>
      </c>
      <c r="FX55">
        <v>29.1708</v>
      </c>
      <c r="FY55">
        <v>18.223099999999999</v>
      </c>
      <c r="FZ55">
        <v>410</v>
      </c>
      <c r="GA55">
        <v>14.5137</v>
      </c>
      <c r="GB55">
        <v>99.857200000000006</v>
      </c>
      <c r="GC55">
        <v>99.663899999999998</v>
      </c>
    </row>
    <row r="56" spans="1:185" x14ac:dyDescent="0.2">
      <c r="A56">
        <v>41</v>
      </c>
      <c r="B56">
        <v>1769195172.0999999</v>
      </c>
      <c r="C56">
        <v>611.09999990463302</v>
      </c>
      <c r="D56" t="s">
        <v>375</v>
      </c>
      <c r="E56" t="s">
        <v>376</v>
      </c>
      <c r="F56">
        <v>15</v>
      </c>
      <c r="G56">
        <v>1769195164.5999999</v>
      </c>
      <c r="H56">
        <f t="shared" si="0"/>
        <v>7.3396781923707583E-4</v>
      </c>
      <c r="I56">
        <v>0</v>
      </c>
      <c r="J56">
        <f t="shared" si="12"/>
        <v>-2.225647436428431E-3</v>
      </c>
      <c r="K56">
        <f t="shared" si="1"/>
        <v>-8.2936120844039285E-2</v>
      </c>
      <c r="L56">
        <f t="shared" si="2"/>
        <v>69.901826749026014</v>
      </c>
      <c r="M56">
        <f t="shared" si="3"/>
        <v>1.5414470083122431</v>
      </c>
      <c r="N56">
        <f t="shared" si="4"/>
        <v>2.2051598363038787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26278.867837385478</v>
      </c>
      <c r="T56">
        <f t="shared" si="8"/>
        <v>300</v>
      </c>
      <c r="U56">
        <f t="shared" si="9"/>
        <v>252.90030985714287</v>
      </c>
      <c r="V56">
        <f t="shared" si="10"/>
        <v>0.8430010328571429</v>
      </c>
      <c r="W56">
        <f t="shared" si="11"/>
        <v>0.15870258214285718</v>
      </c>
      <c r="X56">
        <v>1</v>
      </c>
      <c r="Y56">
        <v>1769195164.5999999</v>
      </c>
      <c r="Z56">
        <v>409.70328571428598</v>
      </c>
      <c r="AA56">
        <v>409.97550000000001</v>
      </c>
      <c r="AB56">
        <v>15.3880642857143</v>
      </c>
      <c r="AC56">
        <v>14.484728571428599</v>
      </c>
      <c r="AD56">
        <v>410.55628571428599</v>
      </c>
      <c r="AE56">
        <v>15.2949642857143</v>
      </c>
      <c r="AF56">
        <v>800.00542857142898</v>
      </c>
      <c r="AG56">
        <v>100.10692857142899</v>
      </c>
      <c r="AH56">
        <v>6.4670642857142899E-2</v>
      </c>
      <c r="AI56">
        <v>18.999849999999999</v>
      </c>
      <c r="AJ56">
        <v>999.9</v>
      </c>
      <c r="AK56">
        <v>999.9</v>
      </c>
      <c r="AL56">
        <v>0</v>
      </c>
      <c r="AM56">
        <v>0</v>
      </c>
      <c r="AN56">
        <v>5004.7142857142899</v>
      </c>
      <c r="AO56">
        <v>0</v>
      </c>
      <c r="AP56">
        <v>1.7502500000000001</v>
      </c>
      <c r="AQ56">
        <v>-0.27229307142857101</v>
      </c>
      <c r="AR56">
        <v>416.10642857142898</v>
      </c>
      <c r="AS56">
        <v>416.00121428571401</v>
      </c>
      <c r="AT56">
        <v>0.90335114285714302</v>
      </c>
      <c r="AU56">
        <v>409.97550000000001</v>
      </c>
      <c r="AV56">
        <v>14.484728571428599</v>
      </c>
      <c r="AW56">
        <v>1.54045071428571</v>
      </c>
      <c r="AX56">
        <v>1.45001928571429</v>
      </c>
      <c r="AY56">
        <v>13.375671428571399</v>
      </c>
      <c r="AZ56">
        <v>12.451071428571399</v>
      </c>
      <c r="BA56">
        <v>300</v>
      </c>
      <c r="BB56">
        <v>0.89996557142857103</v>
      </c>
      <c r="BC56">
        <v>0</v>
      </c>
      <c r="BD56">
        <v>0.100034428571429</v>
      </c>
      <c r="BE56">
        <v>0</v>
      </c>
      <c r="BF56">
        <v>24</v>
      </c>
      <c r="BG56">
        <v>4946.5835714285704</v>
      </c>
      <c r="BH56">
        <v>1769194585</v>
      </c>
      <c r="BI56" t="s">
        <v>289</v>
      </c>
      <c r="BJ56">
        <v>1769194579</v>
      </c>
      <c r="BK56">
        <v>1769194585</v>
      </c>
      <c r="BL56">
        <v>1</v>
      </c>
      <c r="BM56">
        <v>2.3E-2</v>
      </c>
      <c r="BN56">
        <v>3.0000000000000001E-3</v>
      </c>
      <c r="BO56">
        <v>-0.85299999999999998</v>
      </c>
      <c r="BP56">
        <v>9.2999999999999999E-2</v>
      </c>
      <c r="BQ56">
        <v>410</v>
      </c>
      <c r="BR56">
        <v>15</v>
      </c>
      <c r="BS56">
        <v>0.28000000000000003</v>
      </c>
      <c r="BT56">
        <v>0.05</v>
      </c>
      <c r="BU56">
        <v>-0.26678319047618998</v>
      </c>
      <c r="BV56">
        <v>-0.123634207792208</v>
      </c>
      <c r="BW56">
        <v>1.7326051773527501E-2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0.90485171428571398</v>
      </c>
      <c r="CD56">
        <v>7.3129870129891496E-3</v>
      </c>
      <c r="CE56">
        <v>1.4530817327462401E-2</v>
      </c>
      <c r="CF56">
        <v>1</v>
      </c>
      <c r="CG56">
        <v>2</v>
      </c>
      <c r="CH56">
        <v>2</v>
      </c>
      <c r="CI56" t="s">
        <v>304</v>
      </c>
      <c r="CJ56">
        <v>3.5324800000000001</v>
      </c>
      <c r="CK56">
        <v>2.7023299999999999</v>
      </c>
      <c r="CL56">
        <v>9.7879099999999997E-2</v>
      </c>
      <c r="CM56">
        <v>9.6567E-2</v>
      </c>
      <c r="CN56">
        <v>8.7043099999999998E-2</v>
      </c>
      <c r="CO56">
        <v>8.2301799999999994E-2</v>
      </c>
      <c r="CP56">
        <v>31627.200000000001</v>
      </c>
      <c r="CQ56">
        <v>27801.1</v>
      </c>
      <c r="CR56">
        <v>32448.400000000001</v>
      </c>
      <c r="CS56">
        <v>30700.1</v>
      </c>
      <c r="CT56">
        <v>40115.599999999999</v>
      </c>
      <c r="CU56">
        <v>39618.800000000003</v>
      </c>
      <c r="CV56">
        <v>47390.7</v>
      </c>
      <c r="CW56">
        <v>46819.7</v>
      </c>
      <c r="CX56">
        <v>2.6215000000000002</v>
      </c>
      <c r="CY56">
        <v>2.1287400000000001</v>
      </c>
      <c r="CZ56">
        <v>0</v>
      </c>
      <c r="DA56">
        <v>0</v>
      </c>
      <c r="DB56">
        <v>999.9</v>
      </c>
      <c r="DC56">
        <v>999.9</v>
      </c>
      <c r="DD56">
        <v>60.853000000000002</v>
      </c>
      <c r="DE56">
        <v>27.09</v>
      </c>
      <c r="DF56">
        <v>21.873100000000001</v>
      </c>
      <c r="DG56">
        <v>30.086400000000001</v>
      </c>
      <c r="DH56">
        <v>16.25</v>
      </c>
      <c r="DI56">
        <v>2</v>
      </c>
      <c r="DJ56">
        <v>-0.11222600000000001</v>
      </c>
      <c r="DK56">
        <v>2.1177000000000001</v>
      </c>
      <c r="DL56">
        <v>20.217700000000001</v>
      </c>
      <c r="DM56">
        <v>5.2516699999999998</v>
      </c>
      <c r="DN56">
        <v>12.033899999999999</v>
      </c>
      <c r="DO56">
        <v>4.9674800000000001</v>
      </c>
      <c r="DP56">
        <v>3.2909999999999999</v>
      </c>
      <c r="DQ56">
        <v>536.20000000000005</v>
      </c>
      <c r="DR56">
        <v>9999</v>
      </c>
      <c r="DS56">
        <v>9999</v>
      </c>
      <c r="DT56">
        <v>9999</v>
      </c>
      <c r="DU56">
        <v>1.87103</v>
      </c>
      <c r="DV56">
        <v>1.8760699999999999</v>
      </c>
      <c r="DW56">
        <v>1.87622</v>
      </c>
      <c r="DX56">
        <v>1.8827799999999999</v>
      </c>
      <c r="DY56">
        <v>1.8754999999999999</v>
      </c>
      <c r="DZ56">
        <v>1.8746100000000001</v>
      </c>
      <c r="EA56">
        <v>1.8707400000000001</v>
      </c>
      <c r="EB56">
        <v>1.8745700000000001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-0.85299999999999998</v>
      </c>
      <c r="EQ56">
        <v>9.3100000000000002E-2</v>
      </c>
      <c r="ER56">
        <v>-0.85300000000006504</v>
      </c>
      <c r="ES56">
        <v>0</v>
      </c>
      <c r="ET56">
        <v>0</v>
      </c>
      <c r="EU56">
        <v>0</v>
      </c>
      <c r="EV56">
        <v>9.3120000000002506E-2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9.9</v>
      </c>
      <c r="FE56">
        <v>9.8000000000000007</v>
      </c>
      <c r="FF56">
        <v>1.2377899999999999</v>
      </c>
      <c r="FG56">
        <v>2.5805699999999998</v>
      </c>
      <c r="FH56">
        <v>2.19604</v>
      </c>
      <c r="FI56">
        <v>2.66235</v>
      </c>
      <c r="FJ56">
        <v>2.4462899999999999</v>
      </c>
      <c r="FK56">
        <v>2.2936999999999999</v>
      </c>
      <c r="FL56">
        <v>31.783000000000001</v>
      </c>
      <c r="FM56">
        <v>24.148800000000001</v>
      </c>
      <c r="FN56">
        <v>19</v>
      </c>
      <c r="FO56">
        <v>866.03300000000002</v>
      </c>
      <c r="FP56">
        <v>576.66700000000003</v>
      </c>
      <c r="FQ56">
        <v>18.240200000000002</v>
      </c>
      <c r="FR56">
        <v>25.563300000000002</v>
      </c>
      <c r="FS56">
        <v>29.9999</v>
      </c>
      <c r="FT56">
        <v>25.622699999999998</v>
      </c>
      <c r="FU56">
        <v>25.626799999999999</v>
      </c>
      <c r="FV56">
        <v>24.8492</v>
      </c>
      <c r="FW56">
        <v>35.736899999999999</v>
      </c>
      <c r="FX56">
        <v>28.4117</v>
      </c>
      <c r="FY56">
        <v>18.238900000000001</v>
      </c>
      <c r="FZ56">
        <v>410</v>
      </c>
      <c r="GA56">
        <v>14.5137</v>
      </c>
      <c r="GB56">
        <v>99.856800000000007</v>
      </c>
      <c r="GC56">
        <v>99.668300000000002</v>
      </c>
    </row>
    <row r="57" spans="1:185" x14ac:dyDescent="0.2">
      <c r="A57">
        <v>42</v>
      </c>
      <c r="B57">
        <v>1769195187.0999999</v>
      </c>
      <c r="C57">
        <v>626.09999990463302</v>
      </c>
      <c r="D57" t="s">
        <v>377</v>
      </c>
      <c r="E57" t="s">
        <v>378</v>
      </c>
      <c r="F57">
        <v>15</v>
      </c>
      <c r="G57">
        <v>1769195179.5999999</v>
      </c>
      <c r="H57">
        <f t="shared" si="0"/>
        <v>7.5816705974490165E-4</v>
      </c>
      <c r="I57">
        <v>0</v>
      </c>
      <c r="J57">
        <f t="shared" si="12"/>
        <v>-2.3587296680270355E-3</v>
      </c>
      <c r="K57">
        <f t="shared" si="1"/>
        <v>-8.7895272891844414E-2</v>
      </c>
      <c r="L57">
        <f t="shared" si="2"/>
        <v>69.892557661761174</v>
      </c>
      <c r="M57">
        <f t="shared" si="3"/>
        <v>1.5413216152469589</v>
      </c>
      <c r="N57">
        <f t="shared" si="4"/>
        <v>2.2052728742680272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26269.302676421183</v>
      </c>
      <c r="T57">
        <f t="shared" si="8"/>
        <v>300.00128571428598</v>
      </c>
      <c r="U57">
        <f t="shared" si="9"/>
        <v>252.90137378695707</v>
      </c>
      <c r="V57">
        <f t="shared" si="10"/>
        <v>0.84300096642857147</v>
      </c>
      <c r="W57">
        <f t="shared" si="11"/>
        <v>0.15870241607142857</v>
      </c>
      <c r="X57">
        <v>1</v>
      </c>
      <c r="Y57">
        <v>1769195179.5999999</v>
      </c>
      <c r="Z57">
        <v>409.72421428571403</v>
      </c>
      <c r="AA57">
        <v>410.00264285714297</v>
      </c>
      <c r="AB57">
        <v>15.386649999999999</v>
      </c>
      <c r="AC57">
        <v>14.453528571428601</v>
      </c>
      <c r="AD57">
        <v>410.56721428571399</v>
      </c>
      <c r="AE57">
        <v>15.29665</v>
      </c>
      <c r="AF57">
        <v>800.00457142857101</v>
      </c>
      <c r="AG57">
        <v>100.107928571429</v>
      </c>
      <c r="AH57">
        <v>6.4728585714285705E-2</v>
      </c>
      <c r="AI57">
        <v>19.000671428571401</v>
      </c>
      <c r="AJ57">
        <v>999.9</v>
      </c>
      <c r="AK57">
        <v>999.9</v>
      </c>
      <c r="AL57">
        <v>0</v>
      </c>
      <c r="AM57">
        <v>0</v>
      </c>
      <c r="AN57">
        <v>5003.1071428571404</v>
      </c>
      <c r="AO57">
        <v>0</v>
      </c>
      <c r="AP57">
        <v>1.7502500000000001</v>
      </c>
      <c r="AQ57">
        <v>-0.28855449999999999</v>
      </c>
      <c r="AR57">
        <v>416.11799999999999</v>
      </c>
      <c r="AS57">
        <v>416.01564285714301</v>
      </c>
      <c r="AT57">
        <v>0.93624671428571404</v>
      </c>
      <c r="AU57">
        <v>410.00264285714297</v>
      </c>
      <c r="AV57">
        <v>14.453528571428601</v>
      </c>
      <c r="AW57">
        <v>1.54064</v>
      </c>
      <c r="AX57">
        <v>1.446915</v>
      </c>
      <c r="AY57">
        <v>13.3775714285714</v>
      </c>
      <c r="AZ57">
        <v>12.418428571428599</v>
      </c>
      <c r="BA57">
        <v>300.00128571428598</v>
      </c>
      <c r="BB57">
        <v>0.89996778571428604</v>
      </c>
      <c r="BC57">
        <v>0</v>
      </c>
      <c r="BD57">
        <v>0.100032214285714</v>
      </c>
      <c r="BE57">
        <v>0</v>
      </c>
      <c r="BF57">
        <v>24</v>
      </c>
      <c r="BG57">
        <v>4946.6057142857098</v>
      </c>
      <c r="BH57">
        <v>1769195209.0999999</v>
      </c>
      <c r="BI57" t="s">
        <v>379</v>
      </c>
      <c r="BJ57">
        <v>1769195209.0999999</v>
      </c>
      <c r="BK57">
        <v>1769195209.0999999</v>
      </c>
      <c r="BL57">
        <v>2</v>
      </c>
      <c r="BM57">
        <v>0.01</v>
      </c>
      <c r="BN57">
        <v>-3.0000000000000001E-3</v>
      </c>
      <c r="BO57">
        <v>-0.84299999999999997</v>
      </c>
      <c r="BP57">
        <v>0.09</v>
      </c>
      <c r="BQ57">
        <v>410</v>
      </c>
      <c r="BR57">
        <v>14</v>
      </c>
      <c r="BS57">
        <v>0.42</v>
      </c>
      <c r="BT57">
        <v>0.1</v>
      </c>
      <c r="BU57">
        <v>-0.28753194999999998</v>
      </c>
      <c r="BV57">
        <v>-2.2048015037594099E-2</v>
      </c>
      <c r="BW57">
        <v>1.7635636675422301E-2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0.92924660000000003</v>
      </c>
      <c r="CD57">
        <v>0.129195338345866</v>
      </c>
      <c r="CE57">
        <v>1.2793172532253301E-2</v>
      </c>
      <c r="CF57">
        <v>0</v>
      </c>
      <c r="CG57">
        <v>1</v>
      </c>
      <c r="CH57">
        <v>2</v>
      </c>
      <c r="CI57" t="s">
        <v>297</v>
      </c>
      <c r="CJ57">
        <v>3.5325000000000002</v>
      </c>
      <c r="CK57">
        <v>2.7024400000000002</v>
      </c>
      <c r="CL57">
        <v>9.7879300000000002E-2</v>
      </c>
      <c r="CM57">
        <v>9.6569199999999994E-2</v>
      </c>
      <c r="CN57">
        <v>8.7046399999999996E-2</v>
      </c>
      <c r="CO57">
        <v>8.2141599999999995E-2</v>
      </c>
      <c r="CP57">
        <v>31627.5</v>
      </c>
      <c r="CQ57">
        <v>27800.400000000001</v>
      </c>
      <c r="CR57">
        <v>32448.799999999999</v>
      </c>
      <c r="CS57">
        <v>30699.4</v>
      </c>
      <c r="CT57">
        <v>40115.699999999997</v>
      </c>
      <c r="CU57">
        <v>39625.1</v>
      </c>
      <c r="CV57">
        <v>47391</v>
      </c>
      <c r="CW57">
        <v>46818.8</v>
      </c>
      <c r="CX57">
        <v>2.6217600000000001</v>
      </c>
      <c r="CY57">
        <v>2.1287600000000002</v>
      </c>
      <c r="CZ57">
        <v>0</v>
      </c>
      <c r="DA57">
        <v>0</v>
      </c>
      <c r="DB57">
        <v>999.9</v>
      </c>
      <c r="DC57">
        <v>999.9</v>
      </c>
      <c r="DD57">
        <v>60.689</v>
      </c>
      <c r="DE57">
        <v>27.1</v>
      </c>
      <c r="DF57">
        <v>21.827999999999999</v>
      </c>
      <c r="DG57">
        <v>30.026399999999999</v>
      </c>
      <c r="DH57">
        <v>16.286100000000001</v>
      </c>
      <c r="DI57">
        <v>2</v>
      </c>
      <c r="DJ57">
        <v>-0.112612</v>
      </c>
      <c r="DK57">
        <v>2.1328999999999998</v>
      </c>
      <c r="DL57">
        <v>20.217700000000001</v>
      </c>
      <c r="DM57">
        <v>5.2510700000000003</v>
      </c>
      <c r="DN57">
        <v>12.033899999999999</v>
      </c>
      <c r="DO57">
        <v>4.9674399999999999</v>
      </c>
      <c r="DP57">
        <v>3.2909999999999999</v>
      </c>
      <c r="DQ57">
        <v>536.20000000000005</v>
      </c>
      <c r="DR57">
        <v>9999</v>
      </c>
      <c r="DS57">
        <v>9999</v>
      </c>
      <c r="DT57">
        <v>9999</v>
      </c>
      <c r="DU57">
        <v>1.87103</v>
      </c>
      <c r="DV57">
        <v>1.8760699999999999</v>
      </c>
      <c r="DW57">
        <v>1.8762300000000001</v>
      </c>
      <c r="DX57">
        <v>1.8827799999999999</v>
      </c>
      <c r="DY57">
        <v>1.87554</v>
      </c>
      <c r="DZ57">
        <v>1.8746</v>
      </c>
      <c r="EA57">
        <v>1.8707400000000001</v>
      </c>
      <c r="EB57">
        <v>1.87456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-0.84299999999999997</v>
      </c>
      <c r="EQ57">
        <v>0.09</v>
      </c>
      <c r="ER57">
        <v>-0.85300000000006504</v>
      </c>
      <c r="ES57">
        <v>0</v>
      </c>
      <c r="ET57">
        <v>0</v>
      </c>
      <c r="EU57">
        <v>0</v>
      </c>
      <c r="EV57">
        <v>9.3120000000002506E-2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10.1</v>
      </c>
      <c r="FE57">
        <v>10</v>
      </c>
      <c r="FF57">
        <v>1.2377899999999999</v>
      </c>
      <c r="FG57">
        <v>2.5842299999999998</v>
      </c>
      <c r="FH57">
        <v>2.19604</v>
      </c>
      <c r="FI57">
        <v>2.66235</v>
      </c>
      <c r="FJ57">
        <v>2.4462899999999999</v>
      </c>
      <c r="FK57">
        <v>2.2827099999999998</v>
      </c>
      <c r="FL57">
        <v>31.8049</v>
      </c>
      <c r="FM57">
        <v>24.148800000000001</v>
      </c>
      <c r="FN57">
        <v>19</v>
      </c>
      <c r="FO57">
        <v>866.17899999999997</v>
      </c>
      <c r="FP57">
        <v>576.61099999999999</v>
      </c>
      <c r="FQ57">
        <v>18.2392</v>
      </c>
      <c r="FR57">
        <v>25.5593</v>
      </c>
      <c r="FS57">
        <v>30.0001</v>
      </c>
      <c r="FT57">
        <v>25.616700000000002</v>
      </c>
      <c r="FU57">
        <v>25.6204</v>
      </c>
      <c r="FV57">
        <v>24.848600000000001</v>
      </c>
      <c r="FW57">
        <v>35.736899999999999</v>
      </c>
      <c r="FX57">
        <v>28.037299999999998</v>
      </c>
      <c r="FY57">
        <v>18.238399999999999</v>
      </c>
      <c r="FZ57">
        <v>410</v>
      </c>
      <c r="GA57">
        <v>14.5137</v>
      </c>
      <c r="GB57">
        <v>99.857699999999994</v>
      </c>
      <c r="GC57">
        <v>99.666200000000003</v>
      </c>
    </row>
    <row r="58" spans="1:185" x14ac:dyDescent="0.2">
      <c r="A58">
        <v>43</v>
      </c>
      <c r="B58">
        <v>1769195211.0999999</v>
      </c>
      <c r="C58">
        <v>650.09999990463302</v>
      </c>
      <c r="D58" t="s">
        <v>380</v>
      </c>
      <c r="E58" t="s">
        <v>381</v>
      </c>
      <c r="F58">
        <v>15</v>
      </c>
      <c r="G58">
        <v>1769195210.0999999</v>
      </c>
      <c r="H58">
        <f t="shared" si="0"/>
        <v>-4.8703219152866571E-7</v>
      </c>
      <c r="I58">
        <v>0</v>
      </c>
      <c r="J58">
        <f t="shared" si="12"/>
        <v>-3.3813895126394813E-4</v>
      </c>
      <c r="K58">
        <f t="shared" si="1"/>
        <v>-1.2600348314424196E-2</v>
      </c>
      <c r="L58">
        <f t="shared" si="2"/>
        <v>65.575135370143684</v>
      </c>
      <c r="M58">
        <f t="shared" si="3"/>
        <v>1.44630276799448</v>
      </c>
      <c r="N58">
        <f t="shared" si="4"/>
        <v>2.2055658136742187</v>
      </c>
      <c r="O58">
        <v>517</v>
      </c>
      <c r="P58">
        <v>65</v>
      </c>
      <c r="Q58">
        <f t="shared" si="5"/>
        <v>1</v>
      </c>
      <c r="R58">
        <f t="shared" si="6"/>
        <v>0</v>
      </c>
      <c r="S58">
        <f t="shared" si="7"/>
        <v>26295.788814581825</v>
      </c>
      <c r="T58">
        <f t="shared" si="8"/>
        <v>299.99599999999998</v>
      </c>
      <c r="U58">
        <f t="shared" si="9"/>
        <v>252.89728499123996</v>
      </c>
      <c r="V58">
        <f t="shared" si="10"/>
        <v>0.84300218999999987</v>
      </c>
      <c r="W58">
        <f t="shared" si="11"/>
        <v>0.1587035262</v>
      </c>
      <c r="X58">
        <v>1</v>
      </c>
      <c r="Y58">
        <v>1769195210.0999999</v>
      </c>
      <c r="Z58">
        <v>410.00099999999998</v>
      </c>
      <c r="AA58">
        <v>409.98500000000001</v>
      </c>
      <c r="AB58">
        <v>14.436400000000001</v>
      </c>
      <c r="AC58">
        <v>14.436999999999999</v>
      </c>
      <c r="AD58">
        <v>410.84399999999999</v>
      </c>
      <c r="AE58">
        <v>14.3459</v>
      </c>
      <c r="AF58">
        <v>800.00199999999995</v>
      </c>
      <c r="AG58">
        <v>100.108</v>
      </c>
      <c r="AH58">
        <v>7.6448199999999994E-2</v>
      </c>
      <c r="AI58">
        <v>19.002800000000001</v>
      </c>
      <c r="AJ58">
        <v>999.9</v>
      </c>
      <c r="AK58">
        <v>999.9</v>
      </c>
      <c r="AL58">
        <v>0</v>
      </c>
      <c r="AM58">
        <v>0</v>
      </c>
      <c r="AN58">
        <v>5007.5</v>
      </c>
      <c r="AO58">
        <v>0</v>
      </c>
      <c r="AP58">
        <v>1.7502500000000001</v>
      </c>
      <c r="AQ58">
        <v>1.57471E-2</v>
      </c>
      <c r="AR58">
        <v>416.00599999999997</v>
      </c>
      <c r="AS58">
        <v>415.99099999999999</v>
      </c>
      <c r="AT58">
        <v>-5.83649E-4</v>
      </c>
      <c r="AU58">
        <v>409.98500000000001</v>
      </c>
      <c r="AV58">
        <v>14.436999999999999</v>
      </c>
      <c r="AW58">
        <v>1.4452</v>
      </c>
      <c r="AX58">
        <v>1.44526</v>
      </c>
      <c r="AY58">
        <v>12.400399999999999</v>
      </c>
      <c r="AZ58">
        <v>12.401</v>
      </c>
      <c r="BA58">
        <v>299.99599999999998</v>
      </c>
      <c r="BB58">
        <v>0.89995599999999998</v>
      </c>
      <c r="BC58">
        <v>0</v>
      </c>
      <c r="BD58">
        <v>0.100045</v>
      </c>
      <c r="BE58">
        <v>0</v>
      </c>
      <c r="BF58">
        <v>24</v>
      </c>
      <c r="BG58">
        <v>4946.5</v>
      </c>
      <c r="BH58">
        <v>1769195209.0999999</v>
      </c>
      <c r="BI58" t="s">
        <v>379</v>
      </c>
      <c r="BJ58">
        <v>1769195209.0999999</v>
      </c>
      <c r="BK58">
        <v>1769195209.0999999</v>
      </c>
      <c r="BL58">
        <v>2</v>
      </c>
      <c r="BM58">
        <v>0.01</v>
      </c>
      <c r="BN58">
        <v>-3.0000000000000001E-3</v>
      </c>
      <c r="BO58">
        <v>-0.84299999999999997</v>
      </c>
      <c r="BP58">
        <v>0.09</v>
      </c>
      <c r="BQ58">
        <v>410</v>
      </c>
      <c r="BR58">
        <v>14</v>
      </c>
      <c r="BS58">
        <v>0.42</v>
      </c>
      <c r="BT58">
        <v>0.1</v>
      </c>
      <c r="BU58">
        <v>-2.5668389600000001E-2</v>
      </c>
      <c r="BV58">
        <v>0.38270504769924801</v>
      </c>
      <c r="BW58">
        <v>6.4219863908427294E-2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6.3869677550000004E-2</v>
      </c>
      <c r="CD58">
        <v>-0.96667996741353401</v>
      </c>
      <c r="CE58">
        <v>0.15087830533093599</v>
      </c>
      <c r="CF58">
        <v>0</v>
      </c>
      <c r="CG58">
        <v>1</v>
      </c>
      <c r="CH58">
        <v>2</v>
      </c>
      <c r="CI58" t="s">
        <v>297</v>
      </c>
      <c r="CJ58">
        <v>3.5335800000000002</v>
      </c>
      <c r="CK58">
        <v>2.7137099999999998</v>
      </c>
      <c r="CL58">
        <v>9.7919000000000006E-2</v>
      </c>
      <c r="CM58">
        <v>9.6566700000000005E-2</v>
      </c>
      <c r="CN58">
        <v>8.29622E-2</v>
      </c>
      <c r="CO58">
        <v>8.2151100000000005E-2</v>
      </c>
      <c r="CP58">
        <v>31627.200000000001</v>
      </c>
      <c r="CQ58">
        <v>27801.5</v>
      </c>
      <c r="CR58">
        <v>32449.9</v>
      </c>
      <c r="CS58">
        <v>30700.5</v>
      </c>
      <c r="CT58">
        <v>40301.9</v>
      </c>
      <c r="CU58">
        <v>39625.800000000003</v>
      </c>
      <c r="CV58">
        <v>47392.5</v>
      </c>
      <c r="CW58">
        <v>46820</v>
      </c>
      <c r="CX58">
        <v>1.62622</v>
      </c>
      <c r="CY58">
        <v>1.5819799999999999</v>
      </c>
      <c r="CZ58">
        <v>0</v>
      </c>
      <c r="DA58">
        <v>0</v>
      </c>
      <c r="DB58">
        <v>999.9</v>
      </c>
      <c r="DC58">
        <v>999.9</v>
      </c>
      <c r="DD58">
        <v>60.518000000000001</v>
      </c>
      <c r="DE58">
        <v>27.1</v>
      </c>
      <c r="DF58">
        <v>21.763000000000002</v>
      </c>
      <c r="DG58">
        <v>29.846399999999999</v>
      </c>
      <c r="DH58">
        <v>16.654599999999999</v>
      </c>
      <c r="DI58">
        <v>2</v>
      </c>
      <c r="DJ58">
        <v>-0.113313</v>
      </c>
      <c r="DK58">
        <v>2.1324299999999998</v>
      </c>
      <c r="DL58">
        <v>20.2164</v>
      </c>
      <c r="DM58">
        <v>5.2459199999999999</v>
      </c>
      <c r="DN58">
        <v>12.033899999999999</v>
      </c>
      <c r="DO58">
        <v>4.9661999999999997</v>
      </c>
      <c r="DP58">
        <v>3.2901199999999999</v>
      </c>
      <c r="DQ58">
        <v>536.20000000000005</v>
      </c>
      <c r="DR58">
        <v>9999</v>
      </c>
      <c r="DS58">
        <v>9999</v>
      </c>
      <c r="DT58">
        <v>9999</v>
      </c>
      <c r="DU58">
        <v>1.87103</v>
      </c>
      <c r="DV58">
        <v>1.8760699999999999</v>
      </c>
      <c r="DW58">
        <v>1.8762399999999999</v>
      </c>
      <c r="DX58">
        <v>1.8827799999999999</v>
      </c>
      <c r="DY58">
        <v>1.8755200000000001</v>
      </c>
      <c r="DZ58">
        <v>1.8745700000000001</v>
      </c>
      <c r="EA58">
        <v>1.87077</v>
      </c>
      <c r="EB58">
        <v>1.87456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-0.84399999999999997</v>
      </c>
      <c r="EQ58">
        <v>9.0399999999999994E-2</v>
      </c>
      <c r="ER58">
        <v>-0.84339999999997395</v>
      </c>
      <c r="ES58">
        <v>0</v>
      </c>
      <c r="ET58">
        <v>0</v>
      </c>
      <c r="EU58">
        <v>0</v>
      </c>
      <c r="EV58">
        <v>9.0479999999999394E-2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</v>
      </c>
      <c r="FE58">
        <v>0</v>
      </c>
      <c r="FF58">
        <v>1.2377899999999999</v>
      </c>
      <c r="FG58">
        <v>2.5915499999999998</v>
      </c>
      <c r="FH58">
        <v>2.19604</v>
      </c>
      <c r="FI58">
        <v>2.66235</v>
      </c>
      <c r="FJ58">
        <v>2.4462899999999999</v>
      </c>
      <c r="FK58">
        <v>2.2912599999999999</v>
      </c>
      <c r="FL58">
        <v>31.826899999999998</v>
      </c>
      <c r="FM58">
        <v>24.148800000000001</v>
      </c>
      <c r="FN58">
        <v>19</v>
      </c>
      <c r="FO58">
        <v>265.60899999999998</v>
      </c>
      <c r="FP58">
        <v>265.38099999999997</v>
      </c>
      <c r="FQ58">
        <v>18.233699999999999</v>
      </c>
      <c r="FR58">
        <v>25.5547</v>
      </c>
      <c r="FS58">
        <v>30</v>
      </c>
      <c r="FT58">
        <v>25.616299999999999</v>
      </c>
      <c r="FU58">
        <v>25.6204</v>
      </c>
      <c r="FV58">
        <v>24.85</v>
      </c>
      <c r="FW58">
        <v>33.667200000000001</v>
      </c>
      <c r="FX58">
        <v>28.037299999999998</v>
      </c>
      <c r="FY58">
        <v>18.233499999999999</v>
      </c>
      <c r="FZ58">
        <v>410</v>
      </c>
      <c r="GA58">
        <v>15.2097</v>
      </c>
      <c r="GB58">
        <v>99.861000000000004</v>
      </c>
      <c r="GC58">
        <v>99.669200000000004</v>
      </c>
    </row>
    <row r="59" spans="1:185" x14ac:dyDescent="0.2">
      <c r="A59">
        <v>44</v>
      </c>
      <c r="B59">
        <v>1769195226.0999999</v>
      </c>
      <c r="C59">
        <v>665.09999990463302</v>
      </c>
      <c r="D59" t="s">
        <v>382</v>
      </c>
      <c r="E59" t="s">
        <v>383</v>
      </c>
      <c r="F59">
        <v>15</v>
      </c>
      <c r="G59">
        <v>1769195218.03333</v>
      </c>
      <c r="H59">
        <f t="shared" si="0"/>
        <v>5.0863538166778224E-4</v>
      </c>
      <c r="I59">
        <v>0</v>
      </c>
      <c r="J59">
        <f t="shared" si="12"/>
        <v>-1.3858688221759657E-3</v>
      </c>
      <c r="K59">
        <f t="shared" si="1"/>
        <v>-5.1642763462310982E-2</v>
      </c>
      <c r="L59">
        <f t="shared" si="2"/>
        <v>69.119007325382654</v>
      </c>
      <c r="M59">
        <f t="shared" si="3"/>
        <v>1.5245007114612223</v>
      </c>
      <c r="N59">
        <f t="shared" si="4"/>
        <v>2.2056171962721147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26235.210100358334</v>
      </c>
      <c r="T59">
        <f t="shared" si="8"/>
        <v>299.99979999999999</v>
      </c>
      <c r="U59">
        <f t="shared" si="9"/>
        <v>252.90021599974366</v>
      </c>
      <c r="V59">
        <f t="shared" si="10"/>
        <v>0.84300128200000024</v>
      </c>
      <c r="W59">
        <f t="shared" si="11"/>
        <v>0.15870307508000006</v>
      </c>
      <c r="X59">
        <v>1</v>
      </c>
      <c r="Y59">
        <v>1769195218.03333</v>
      </c>
      <c r="Z59">
        <v>409.75166666666701</v>
      </c>
      <c r="AA59">
        <v>409.94753333333301</v>
      </c>
      <c r="AB59">
        <v>15.218206666666701</v>
      </c>
      <c r="AC59">
        <v>14.5924</v>
      </c>
      <c r="AD59">
        <v>410.59500000000003</v>
      </c>
      <c r="AE59">
        <v>15.12772</v>
      </c>
      <c r="AF59">
        <v>800.39873333333298</v>
      </c>
      <c r="AG59">
        <v>100.109333333333</v>
      </c>
      <c r="AH59">
        <v>6.6774459999999994E-2</v>
      </c>
      <c r="AI59">
        <v>19.003173333333301</v>
      </c>
      <c r="AJ59">
        <v>999.9</v>
      </c>
      <c r="AK59">
        <v>999.9</v>
      </c>
      <c r="AL59">
        <v>0</v>
      </c>
      <c r="AM59">
        <v>0</v>
      </c>
      <c r="AN59">
        <v>4997.4666666666699</v>
      </c>
      <c r="AO59">
        <v>0</v>
      </c>
      <c r="AP59">
        <v>1.7494973333333299</v>
      </c>
      <c r="AQ59">
        <v>-0.19587611799999999</v>
      </c>
      <c r="AR59">
        <v>416.083666666667</v>
      </c>
      <c r="AS59">
        <v>416.01826666666699</v>
      </c>
      <c r="AT59">
        <v>0.62579875673333296</v>
      </c>
      <c r="AU59">
        <v>409.94753333333301</v>
      </c>
      <c r="AV59">
        <v>14.5924</v>
      </c>
      <c r="AW59">
        <v>1.5234840000000001</v>
      </c>
      <c r="AX59">
        <v>1.4608366666666699</v>
      </c>
      <c r="AY59">
        <v>13.2027066666667</v>
      </c>
      <c r="AZ59">
        <v>12.564080000000001</v>
      </c>
      <c r="BA59">
        <v>299.99979999999999</v>
      </c>
      <c r="BB59">
        <v>0.89995919999999996</v>
      </c>
      <c r="BC59">
        <v>0</v>
      </c>
      <c r="BD59">
        <v>0.10004086666666701</v>
      </c>
      <c r="BE59">
        <v>0</v>
      </c>
      <c r="BF59">
        <v>24</v>
      </c>
      <c r="BG59">
        <v>4946.5720000000001</v>
      </c>
      <c r="BH59">
        <v>1769195209.0999999</v>
      </c>
      <c r="BI59" t="s">
        <v>379</v>
      </c>
      <c r="BJ59">
        <v>1769195209.0999999</v>
      </c>
      <c r="BK59">
        <v>1769195209.0999999</v>
      </c>
      <c r="BL59">
        <v>2</v>
      </c>
      <c r="BM59">
        <v>0.01</v>
      </c>
      <c r="BN59">
        <v>-3.0000000000000001E-3</v>
      </c>
      <c r="BO59">
        <v>-0.84299999999999997</v>
      </c>
      <c r="BP59">
        <v>0.09</v>
      </c>
      <c r="BQ59">
        <v>410</v>
      </c>
      <c r="BR59">
        <v>14</v>
      </c>
      <c r="BS59">
        <v>0.42</v>
      </c>
      <c r="BT59">
        <v>0.1</v>
      </c>
      <c r="BU59">
        <v>-0.1323486707</v>
      </c>
      <c r="BV59">
        <v>-1.2861800617443599</v>
      </c>
      <c r="BW59">
        <v>0.13484873203257799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0.42908715554999999</v>
      </c>
      <c r="CD59">
        <v>3.4417626659097702</v>
      </c>
      <c r="CE59">
        <v>0.351044208832959</v>
      </c>
      <c r="CF59">
        <v>0</v>
      </c>
      <c r="CG59">
        <v>0</v>
      </c>
      <c r="CH59">
        <v>2</v>
      </c>
      <c r="CI59" t="s">
        <v>290</v>
      </c>
      <c r="CJ59">
        <v>3.5325600000000001</v>
      </c>
      <c r="CK59">
        <v>2.7023999999999999</v>
      </c>
      <c r="CL59">
        <v>9.7885100000000003E-2</v>
      </c>
      <c r="CM59">
        <v>9.6577300000000005E-2</v>
      </c>
      <c r="CN59">
        <v>8.7342299999999998E-2</v>
      </c>
      <c r="CO59">
        <v>8.2912100000000002E-2</v>
      </c>
      <c r="CP59">
        <v>31628.7</v>
      </c>
      <c r="CQ59">
        <v>27801.3</v>
      </c>
      <c r="CR59">
        <v>32450.1</v>
      </c>
      <c r="CS59">
        <v>30700.7</v>
      </c>
      <c r="CT59">
        <v>40104</v>
      </c>
      <c r="CU59">
        <v>39592.400000000001</v>
      </c>
      <c r="CV59">
        <v>47393</v>
      </c>
      <c r="CW59">
        <v>46820.5</v>
      </c>
      <c r="CX59">
        <v>2.6190600000000002</v>
      </c>
      <c r="CY59">
        <v>2.1276199999999998</v>
      </c>
      <c r="CZ59">
        <v>0</v>
      </c>
      <c r="DA59">
        <v>0</v>
      </c>
      <c r="DB59">
        <v>999.9</v>
      </c>
      <c r="DC59">
        <v>999.9</v>
      </c>
      <c r="DD59">
        <v>60.402000000000001</v>
      </c>
      <c r="DE59">
        <v>27.12</v>
      </c>
      <c r="DF59">
        <v>21.748200000000001</v>
      </c>
      <c r="DG59">
        <v>30.446400000000001</v>
      </c>
      <c r="DH59">
        <v>16.1098</v>
      </c>
      <c r="DI59">
        <v>2</v>
      </c>
      <c r="DJ59">
        <v>-0.11336599999999999</v>
      </c>
      <c r="DK59">
        <v>2.1537500000000001</v>
      </c>
      <c r="DL59">
        <v>20.217400000000001</v>
      </c>
      <c r="DM59">
        <v>5.2505899999999999</v>
      </c>
      <c r="DN59">
        <v>12.033899999999999</v>
      </c>
      <c r="DO59">
        <v>4.9673999999999996</v>
      </c>
      <c r="DP59">
        <v>3.2909999999999999</v>
      </c>
      <c r="DQ59">
        <v>536.20000000000005</v>
      </c>
      <c r="DR59">
        <v>9999</v>
      </c>
      <c r="DS59">
        <v>9999</v>
      </c>
      <c r="DT59">
        <v>9999</v>
      </c>
      <c r="DU59">
        <v>1.87103</v>
      </c>
      <c r="DV59">
        <v>1.8760699999999999</v>
      </c>
      <c r="DW59">
        <v>1.87626</v>
      </c>
      <c r="DX59">
        <v>1.8827700000000001</v>
      </c>
      <c r="DY59">
        <v>1.87551</v>
      </c>
      <c r="DZ59">
        <v>1.8745700000000001</v>
      </c>
      <c r="EA59">
        <v>1.8707400000000001</v>
      </c>
      <c r="EB59">
        <v>1.87456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-0.84399999999999997</v>
      </c>
      <c r="EQ59">
        <v>9.0499999999999997E-2</v>
      </c>
      <c r="ER59">
        <v>-0.84339999999997395</v>
      </c>
      <c r="ES59">
        <v>0</v>
      </c>
      <c r="ET59">
        <v>0</v>
      </c>
      <c r="EU59">
        <v>0</v>
      </c>
      <c r="EV59">
        <v>9.0479999999999394E-2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0.3</v>
      </c>
      <c r="FE59">
        <v>0.3</v>
      </c>
      <c r="FF59">
        <v>1.2377899999999999</v>
      </c>
      <c r="FG59">
        <v>2.5878899999999998</v>
      </c>
      <c r="FH59">
        <v>2.19604</v>
      </c>
      <c r="FI59">
        <v>2.66235</v>
      </c>
      <c r="FJ59">
        <v>2.4462899999999999</v>
      </c>
      <c r="FK59">
        <v>2.2790499999999998</v>
      </c>
      <c r="FL59">
        <v>31.826899999999998</v>
      </c>
      <c r="FM59">
        <v>24.148800000000001</v>
      </c>
      <c r="FN59">
        <v>19</v>
      </c>
      <c r="FO59">
        <v>863.47500000000002</v>
      </c>
      <c r="FP59">
        <v>575.59900000000005</v>
      </c>
      <c r="FQ59">
        <v>18.226199999999999</v>
      </c>
      <c r="FR59">
        <v>25.552600000000002</v>
      </c>
      <c r="FS59">
        <v>30</v>
      </c>
      <c r="FT59">
        <v>25.604700000000001</v>
      </c>
      <c r="FU59">
        <v>25.607900000000001</v>
      </c>
      <c r="FV59">
        <v>24.8537</v>
      </c>
      <c r="FW59">
        <v>35.17</v>
      </c>
      <c r="FX59">
        <v>27.658200000000001</v>
      </c>
      <c r="FY59">
        <v>18.224399999999999</v>
      </c>
      <c r="FZ59">
        <v>410</v>
      </c>
      <c r="GA59">
        <v>14.5481</v>
      </c>
      <c r="GB59">
        <v>99.861800000000002</v>
      </c>
      <c r="GC59">
        <v>99.670100000000005</v>
      </c>
    </row>
    <row r="60" spans="1:185" x14ac:dyDescent="0.2">
      <c r="A60">
        <v>45</v>
      </c>
      <c r="B60">
        <v>1769195408.0999999</v>
      </c>
      <c r="C60">
        <v>847.09999990463302</v>
      </c>
      <c r="D60" t="s">
        <v>384</v>
      </c>
      <c r="E60" t="s">
        <v>385</v>
      </c>
      <c r="F60">
        <v>15</v>
      </c>
      <c r="G60">
        <v>1769195400.0999999</v>
      </c>
      <c r="H60">
        <f t="shared" si="0"/>
        <v>1.2056465018194431E-4</v>
      </c>
      <c r="I60">
        <v>0</v>
      </c>
      <c r="J60">
        <f t="shared" si="12"/>
        <v>-3.5508045328692166E-2</v>
      </c>
      <c r="K60">
        <f t="shared" si="1"/>
        <v>-1.3231653361243119</v>
      </c>
      <c r="L60">
        <f t="shared" si="2"/>
        <v>72.690136995460193</v>
      </c>
      <c r="M60">
        <f t="shared" si="3"/>
        <v>1.5960012948967739</v>
      </c>
      <c r="N60">
        <f t="shared" si="4"/>
        <v>2.1956229013524227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26273.41229623292</v>
      </c>
      <c r="T60">
        <f t="shared" si="8"/>
        <v>100.000266666667</v>
      </c>
      <c r="U60">
        <f t="shared" si="9"/>
        <v>84.299830738949481</v>
      </c>
      <c r="V60">
        <f t="shared" si="10"/>
        <v>0.84299605940000022</v>
      </c>
      <c r="W60">
        <f t="shared" si="11"/>
        <v>0.15868997960400005</v>
      </c>
      <c r="X60">
        <v>1</v>
      </c>
      <c r="Y60">
        <v>1769195400.0999999</v>
      </c>
      <c r="Z60">
        <v>411.68706666666702</v>
      </c>
      <c r="AA60">
        <v>410.09513333333302</v>
      </c>
      <c r="AB60">
        <v>15.9319466666667</v>
      </c>
      <c r="AC60">
        <v>15.78364</v>
      </c>
      <c r="AD60">
        <v>412.530466666667</v>
      </c>
      <c r="AE60">
        <v>15.8414533333333</v>
      </c>
      <c r="AF60">
        <v>799.98979999999995</v>
      </c>
      <c r="AG60">
        <v>100.11199999999999</v>
      </c>
      <c r="AH60">
        <v>6.4163546666666696E-2</v>
      </c>
      <c r="AI60">
        <v>18.930413333333298</v>
      </c>
      <c r="AJ60">
        <v>999.9</v>
      </c>
      <c r="AK60">
        <v>999.9</v>
      </c>
      <c r="AL60">
        <v>0</v>
      </c>
      <c r="AM60">
        <v>0</v>
      </c>
      <c r="AN60">
        <v>5002.5666666666702</v>
      </c>
      <c r="AO60">
        <v>0</v>
      </c>
      <c r="AP60">
        <v>1.7427233333333301</v>
      </c>
      <c r="AQ60">
        <v>1.59186353333333</v>
      </c>
      <c r="AR60">
        <v>418.35233333333298</v>
      </c>
      <c r="AS60">
        <v>416.67193333333302</v>
      </c>
      <c r="AT60">
        <v>0.148301717333333</v>
      </c>
      <c r="AU60">
        <v>410.09513333333302</v>
      </c>
      <c r="AV60">
        <v>15.78364</v>
      </c>
      <c r="AW60">
        <v>1.5949806666666699</v>
      </c>
      <c r="AX60">
        <v>1.5801339999999999</v>
      </c>
      <c r="AY60">
        <v>13.910306666666701</v>
      </c>
      <c r="AZ60">
        <v>13.7654333333333</v>
      </c>
      <c r="BA60">
        <v>100.000266666667</v>
      </c>
      <c r="BB60">
        <v>0.90013386666666695</v>
      </c>
      <c r="BC60">
        <v>0</v>
      </c>
      <c r="BD60">
        <v>9.9866220000000006E-2</v>
      </c>
      <c r="BE60">
        <v>0</v>
      </c>
      <c r="BF60">
        <v>24</v>
      </c>
      <c r="BG60">
        <v>1648.9466666666699</v>
      </c>
      <c r="BH60">
        <v>1769195209.0999999</v>
      </c>
      <c r="BI60" t="s">
        <v>379</v>
      </c>
      <c r="BJ60">
        <v>1769195209.0999999</v>
      </c>
      <c r="BK60">
        <v>1769195209.0999999</v>
      </c>
      <c r="BL60">
        <v>2</v>
      </c>
      <c r="BM60">
        <v>0.01</v>
      </c>
      <c r="BN60">
        <v>-3.0000000000000001E-3</v>
      </c>
      <c r="BO60">
        <v>-0.84299999999999997</v>
      </c>
      <c r="BP60">
        <v>0.09</v>
      </c>
      <c r="BQ60">
        <v>410</v>
      </c>
      <c r="BR60">
        <v>14</v>
      </c>
      <c r="BS60">
        <v>0.42</v>
      </c>
      <c r="BT60">
        <v>0.1</v>
      </c>
      <c r="BU60">
        <v>2.1372910952380999</v>
      </c>
      <c r="BV60">
        <v>-9.7622114025973996</v>
      </c>
      <c r="BW60">
        <v>1.00704786933473</v>
      </c>
      <c r="BX60">
        <v>0</v>
      </c>
      <c r="BY60">
        <v>0</v>
      </c>
      <c r="BZ60">
        <v>0</v>
      </c>
      <c r="CA60">
        <v>0</v>
      </c>
      <c r="CB60">
        <v>-1</v>
      </c>
      <c r="CC60">
        <v>-5.7676725714285698E-2</v>
      </c>
      <c r="CD60">
        <v>3.87300172207792</v>
      </c>
      <c r="CE60">
        <v>0.393451073736519</v>
      </c>
      <c r="CF60">
        <v>0</v>
      </c>
      <c r="CG60">
        <v>0</v>
      </c>
      <c r="CH60">
        <v>2</v>
      </c>
      <c r="CI60" t="s">
        <v>290</v>
      </c>
      <c r="CJ60">
        <v>3.53247</v>
      </c>
      <c r="CK60">
        <v>2.7021600000000001</v>
      </c>
      <c r="CL60">
        <v>9.8102800000000004E-2</v>
      </c>
      <c r="CM60">
        <v>9.6609799999999996E-2</v>
      </c>
      <c r="CN60">
        <v>8.9603199999999994E-2</v>
      </c>
      <c r="CO60">
        <v>8.6337399999999995E-2</v>
      </c>
      <c r="CP60">
        <v>31622.1</v>
      </c>
      <c r="CQ60">
        <v>27804.6</v>
      </c>
      <c r="CR60">
        <v>32451.1</v>
      </c>
      <c r="CS60">
        <v>30705.200000000001</v>
      </c>
      <c r="CT60">
        <v>40003.1</v>
      </c>
      <c r="CU60">
        <v>39446.199999999997</v>
      </c>
      <c r="CV60">
        <v>47394.9</v>
      </c>
      <c r="CW60">
        <v>46827.6</v>
      </c>
      <c r="CX60">
        <v>2.6207199999999999</v>
      </c>
      <c r="CY60">
        <v>2.1305200000000002</v>
      </c>
      <c r="CZ60">
        <v>0</v>
      </c>
      <c r="DA60">
        <v>0</v>
      </c>
      <c r="DB60">
        <v>999.9</v>
      </c>
      <c r="DC60">
        <v>999.9</v>
      </c>
      <c r="DD60">
        <v>58.930999999999997</v>
      </c>
      <c r="DE60">
        <v>27.231000000000002</v>
      </c>
      <c r="DF60">
        <v>21.3566</v>
      </c>
      <c r="DG60">
        <v>29.9864</v>
      </c>
      <c r="DH60">
        <v>16.458300000000001</v>
      </c>
      <c r="DI60">
        <v>2</v>
      </c>
      <c r="DJ60">
        <v>-0.11437</v>
      </c>
      <c r="DK60">
        <v>2.1685400000000001</v>
      </c>
      <c r="DL60">
        <v>20.232099999999999</v>
      </c>
      <c r="DM60">
        <v>5.2480799999999999</v>
      </c>
      <c r="DN60">
        <v>12.033899999999999</v>
      </c>
      <c r="DO60">
        <v>4.9665600000000003</v>
      </c>
      <c r="DP60">
        <v>3.2909999999999999</v>
      </c>
      <c r="DQ60">
        <v>536.20000000000005</v>
      </c>
      <c r="DR60">
        <v>9999</v>
      </c>
      <c r="DS60">
        <v>9999</v>
      </c>
      <c r="DT60">
        <v>9999</v>
      </c>
      <c r="DU60">
        <v>1.87103</v>
      </c>
      <c r="DV60">
        <v>1.8760699999999999</v>
      </c>
      <c r="DW60">
        <v>1.8762399999999999</v>
      </c>
      <c r="DX60">
        <v>1.8827799999999999</v>
      </c>
      <c r="DY60">
        <v>1.8755200000000001</v>
      </c>
      <c r="DZ60">
        <v>1.87462</v>
      </c>
      <c r="EA60">
        <v>1.8707400000000001</v>
      </c>
      <c r="EB60">
        <v>1.87456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-0.84399999999999997</v>
      </c>
      <c r="EQ60">
        <v>9.0499999999999997E-2</v>
      </c>
      <c r="ER60">
        <v>-0.84339999999997395</v>
      </c>
      <c r="ES60">
        <v>0</v>
      </c>
      <c r="ET60">
        <v>0</v>
      </c>
      <c r="EU60">
        <v>0</v>
      </c>
      <c r="EV60">
        <v>9.0479999999999394E-2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3.3</v>
      </c>
      <c r="FE60">
        <v>3.3</v>
      </c>
      <c r="FF60">
        <v>1.2390099999999999</v>
      </c>
      <c r="FG60">
        <v>2.5866699999999998</v>
      </c>
      <c r="FH60">
        <v>2.19604</v>
      </c>
      <c r="FI60">
        <v>2.66113</v>
      </c>
      <c r="FJ60">
        <v>2.4462899999999999</v>
      </c>
      <c r="FK60">
        <v>2.3059099999999999</v>
      </c>
      <c r="FL60">
        <v>31.892700000000001</v>
      </c>
      <c r="FM60">
        <v>24.148800000000001</v>
      </c>
      <c r="FN60">
        <v>19</v>
      </c>
      <c r="FO60">
        <v>864.54300000000001</v>
      </c>
      <c r="FP60">
        <v>577.46600000000001</v>
      </c>
      <c r="FQ60">
        <v>17.9221</v>
      </c>
      <c r="FR60">
        <v>25.548200000000001</v>
      </c>
      <c r="FS60">
        <v>30.0001</v>
      </c>
      <c r="FT60">
        <v>25.575099999999999</v>
      </c>
      <c r="FU60">
        <v>25.575700000000001</v>
      </c>
      <c r="FV60">
        <v>24.880199999999999</v>
      </c>
      <c r="FW60">
        <v>30.898800000000001</v>
      </c>
      <c r="FX60">
        <v>23.994599999999998</v>
      </c>
      <c r="FY60">
        <v>17.977499999999999</v>
      </c>
      <c r="FZ60">
        <v>410</v>
      </c>
      <c r="GA60">
        <v>15.2121</v>
      </c>
      <c r="GB60">
        <v>99.865399999999994</v>
      </c>
      <c r="GC60">
        <v>99.685000000000002</v>
      </c>
    </row>
    <row r="61" spans="1:185" x14ac:dyDescent="0.2">
      <c r="A61">
        <v>46</v>
      </c>
      <c r="B61">
        <v>1769195423.0999999</v>
      </c>
      <c r="C61">
        <v>862.09999990463302</v>
      </c>
      <c r="D61" t="s">
        <v>386</v>
      </c>
      <c r="E61" t="s">
        <v>387</v>
      </c>
      <c r="F61">
        <v>15</v>
      </c>
      <c r="G61">
        <v>1769195415.03333</v>
      </c>
      <c r="H61">
        <f t="shared" si="0"/>
        <v>5.5538971050075512E-4</v>
      </c>
      <c r="I61">
        <v>0</v>
      </c>
      <c r="J61">
        <f t="shared" si="12"/>
        <v>-1.5652900907834773E-2</v>
      </c>
      <c r="K61">
        <f t="shared" si="1"/>
        <v>-0.58328684948196752</v>
      </c>
      <c r="L61">
        <f t="shared" si="2"/>
        <v>72.831274589666577</v>
      </c>
      <c r="M61">
        <f t="shared" si="3"/>
        <v>1.5969927040748324</v>
      </c>
      <c r="N61">
        <f t="shared" si="4"/>
        <v>2.1927293090397408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26299.299549489126</v>
      </c>
      <c r="T61">
        <f t="shared" si="8"/>
        <v>99.998986666666696</v>
      </c>
      <c r="U61">
        <f t="shared" si="9"/>
        <v>84.298701424502667</v>
      </c>
      <c r="V61">
        <f t="shared" si="10"/>
        <v>0.84299555659999992</v>
      </c>
      <c r="W61">
        <f t="shared" si="11"/>
        <v>0.158689060396</v>
      </c>
      <c r="X61">
        <v>1</v>
      </c>
      <c r="Y61">
        <v>1769195415.03333</v>
      </c>
      <c r="Z61">
        <v>410.49033333333301</v>
      </c>
      <c r="AA61">
        <v>410.0462</v>
      </c>
      <c r="AB61">
        <v>15.941966666666699</v>
      </c>
      <c r="AC61">
        <v>15.258793333333299</v>
      </c>
      <c r="AD61">
        <v>411.3338</v>
      </c>
      <c r="AE61">
        <v>15.8515</v>
      </c>
      <c r="AF61">
        <v>799.99566666666703</v>
      </c>
      <c r="AG61">
        <v>100.11086666666699</v>
      </c>
      <c r="AH61">
        <v>6.4521819999999994E-2</v>
      </c>
      <c r="AI61">
        <v>18.909293333333299</v>
      </c>
      <c r="AJ61">
        <v>999.9</v>
      </c>
      <c r="AK61">
        <v>999.9</v>
      </c>
      <c r="AL61">
        <v>0</v>
      </c>
      <c r="AM61">
        <v>0</v>
      </c>
      <c r="AN61">
        <v>5006.5666666666702</v>
      </c>
      <c r="AO61">
        <v>0</v>
      </c>
      <c r="AP61">
        <v>1.7494973333333299</v>
      </c>
      <c r="AQ61">
        <v>0.44428519999999999</v>
      </c>
      <c r="AR61">
        <v>417.14033333333299</v>
      </c>
      <c r="AS61">
        <v>416.39986666666698</v>
      </c>
      <c r="AT61">
        <v>0.68318973333333299</v>
      </c>
      <c r="AU61">
        <v>410.0462</v>
      </c>
      <c r="AV61">
        <v>15.258793333333299</v>
      </c>
      <c r="AW61">
        <v>1.5959639999999999</v>
      </c>
      <c r="AX61">
        <v>1.5275700000000001</v>
      </c>
      <c r="AY61">
        <v>13.9198733333333</v>
      </c>
      <c r="AZ61">
        <v>13.2465666666667</v>
      </c>
      <c r="BA61">
        <v>99.998986666666696</v>
      </c>
      <c r="BB61">
        <v>0.90014559999999999</v>
      </c>
      <c r="BC61">
        <v>0</v>
      </c>
      <c r="BD61">
        <v>9.9854313333333306E-2</v>
      </c>
      <c r="BE61">
        <v>0</v>
      </c>
      <c r="BF61">
        <v>24</v>
      </c>
      <c r="BG61">
        <v>1648.93133333333</v>
      </c>
      <c r="BH61">
        <v>1769195209.0999999</v>
      </c>
      <c r="BI61" t="s">
        <v>379</v>
      </c>
      <c r="BJ61">
        <v>1769195209.0999999</v>
      </c>
      <c r="BK61">
        <v>1769195209.0999999</v>
      </c>
      <c r="BL61">
        <v>2</v>
      </c>
      <c r="BM61">
        <v>0.01</v>
      </c>
      <c r="BN61">
        <v>-3.0000000000000001E-3</v>
      </c>
      <c r="BO61">
        <v>-0.84299999999999997</v>
      </c>
      <c r="BP61">
        <v>0.09</v>
      </c>
      <c r="BQ61">
        <v>410</v>
      </c>
      <c r="BR61">
        <v>14</v>
      </c>
      <c r="BS61">
        <v>0.42</v>
      </c>
      <c r="BT61">
        <v>0.1</v>
      </c>
      <c r="BU61">
        <v>0.67256357142857104</v>
      </c>
      <c r="BV61">
        <v>-3.3768602337662301</v>
      </c>
      <c r="BW61">
        <v>0.347595076632152</v>
      </c>
      <c r="BX61">
        <v>0</v>
      </c>
      <c r="BY61">
        <v>0</v>
      </c>
      <c r="BZ61">
        <v>0</v>
      </c>
      <c r="CA61">
        <v>0</v>
      </c>
      <c r="CB61">
        <v>-1</v>
      </c>
      <c r="CC61">
        <v>0.57451366666666703</v>
      </c>
      <c r="CD61">
        <v>1.593054</v>
      </c>
      <c r="CE61">
        <v>0.16497127188878399</v>
      </c>
      <c r="CF61">
        <v>0</v>
      </c>
      <c r="CG61">
        <v>0</v>
      </c>
      <c r="CH61">
        <v>2</v>
      </c>
      <c r="CI61" t="s">
        <v>290</v>
      </c>
      <c r="CJ61">
        <v>3.5325500000000001</v>
      </c>
      <c r="CK61">
        <v>2.7023899999999998</v>
      </c>
      <c r="CL61">
        <v>9.7975300000000001E-2</v>
      </c>
      <c r="CM61">
        <v>9.6596199999999993E-2</v>
      </c>
      <c r="CN61">
        <v>8.9163800000000001E-2</v>
      </c>
      <c r="CO61">
        <v>8.4725999999999996E-2</v>
      </c>
      <c r="CP61">
        <v>31625.9</v>
      </c>
      <c r="CQ61">
        <v>27805.1</v>
      </c>
      <c r="CR61">
        <v>32450.5</v>
      </c>
      <c r="CS61">
        <v>30705.5</v>
      </c>
      <c r="CT61">
        <v>40022.5</v>
      </c>
      <c r="CU61">
        <v>39518.199999999997</v>
      </c>
      <c r="CV61">
        <v>47394.3</v>
      </c>
      <c r="CW61">
        <v>46828</v>
      </c>
      <c r="CX61">
        <v>2.6216200000000001</v>
      </c>
      <c r="CY61">
        <v>2.1294400000000002</v>
      </c>
      <c r="CZ61">
        <v>0</v>
      </c>
      <c r="DA61">
        <v>0</v>
      </c>
      <c r="DB61">
        <v>999.9</v>
      </c>
      <c r="DC61">
        <v>999.9</v>
      </c>
      <c r="DD61">
        <v>58.814999999999998</v>
      </c>
      <c r="DE61">
        <v>27.231000000000002</v>
      </c>
      <c r="DF61">
        <v>21.313700000000001</v>
      </c>
      <c r="DG61">
        <v>30.0764</v>
      </c>
      <c r="DH61">
        <v>16.414300000000001</v>
      </c>
      <c r="DI61">
        <v>2</v>
      </c>
      <c r="DJ61">
        <v>-0.114305</v>
      </c>
      <c r="DK61">
        <v>1.9742</v>
      </c>
      <c r="DL61">
        <v>20.234500000000001</v>
      </c>
      <c r="DM61">
        <v>5.2477200000000002</v>
      </c>
      <c r="DN61">
        <v>12.033899999999999</v>
      </c>
      <c r="DO61">
        <v>4.9665999999999997</v>
      </c>
      <c r="DP61">
        <v>3.2910200000000001</v>
      </c>
      <c r="DQ61">
        <v>536.20000000000005</v>
      </c>
      <c r="DR61">
        <v>9999</v>
      </c>
      <c r="DS61">
        <v>9999</v>
      </c>
      <c r="DT61">
        <v>9999</v>
      </c>
      <c r="DU61">
        <v>1.87103</v>
      </c>
      <c r="DV61">
        <v>1.8760699999999999</v>
      </c>
      <c r="DW61">
        <v>1.87625</v>
      </c>
      <c r="DX61">
        <v>1.8827799999999999</v>
      </c>
      <c r="DY61">
        <v>1.87554</v>
      </c>
      <c r="DZ61">
        <v>1.8746499999999999</v>
      </c>
      <c r="EA61">
        <v>1.8707400000000001</v>
      </c>
      <c r="EB61">
        <v>1.8745499999999999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-0.84299999999999997</v>
      </c>
      <c r="EQ61">
        <v>9.0399999999999994E-2</v>
      </c>
      <c r="ER61">
        <v>-0.84339999999997395</v>
      </c>
      <c r="ES61">
        <v>0</v>
      </c>
      <c r="ET61">
        <v>0</v>
      </c>
      <c r="EU61">
        <v>0</v>
      </c>
      <c r="EV61">
        <v>9.0479999999999394E-2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3.6</v>
      </c>
      <c r="FE61">
        <v>3.6</v>
      </c>
      <c r="FF61">
        <v>1.2390099999999999</v>
      </c>
      <c r="FG61">
        <v>2.5878899999999998</v>
      </c>
      <c r="FH61">
        <v>2.19604</v>
      </c>
      <c r="FI61">
        <v>2.66113</v>
      </c>
      <c r="FJ61">
        <v>2.4462899999999999</v>
      </c>
      <c r="FK61">
        <v>2.2692899999999998</v>
      </c>
      <c r="FL61">
        <v>31.892700000000001</v>
      </c>
      <c r="FM61">
        <v>24.148800000000001</v>
      </c>
      <c r="FN61">
        <v>19</v>
      </c>
      <c r="FO61">
        <v>865.38</v>
      </c>
      <c r="FP61">
        <v>576.63599999999997</v>
      </c>
      <c r="FQ61">
        <v>18.088699999999999</v>
      </c>
      <c r="FR61">
        <v>25.551300000000001</v>
      </c>
      <c r="FS61">
        <v>30</v>
      </c>
      <c r="FT61">
        <v>25.575099999999999</v>
      </c>
      <c r="FU61">
        <v>25.575700000000001</v>
      </c>
      <c r="FV61">
        <v>24.877300000000002</v>
      </c>
      <c r="FW61">
        <v>32.074399999999997</v>
      </c>
      <c r="FX61">
        <v>23.618400000000001</v>
      </c>
      <c r="FY61">
        <v>18.169699999999999</v>
      </c>
      <c r="FZ61">
        <v>410</v>
      </c>
      <c r="GA61">
        <v>14.904500000000001</v>
      </c>
      <c r="GB61">
        <v>99.863900000000001</v>
      </c>
      <c r="GC61">
        <v>99.685900000000004</v>
      </c>
    </row>
    <row r="62" spans="1:185" x14ac:dyDescent="0.2">
      <c r="A62">
        <v>47</v>
      </c>
      <c r="B62">
        <v>1769195438.0999999</v>
      </c>
      <c r="C62">
        <v>877.09999990463302</v>
      </c>
      <c r="D62" t="s">
        <v>388</v>
      </c>
      <c r="E62" t="s">
        <v>389</v>
      </c>
      <c r="F62">
        <v>15</v>
      </c>
      <c r="G62">
        <v>1769195430.03333</v>
      </c>
      <c r="H62">
        <f t="shared" si="0"/>
        <v>7.0004101872241597E-4</v>
      </c>
      <c r="I62">
        <v>0</v>
      </c>
      <c r="J62">
        <f t="shared" si="12"/>
        <v>-8.1925538477884349E-3</v>
      </c>
      <c r="K62">
        <f t="shared" si="1"/>
        <v>-0.30528583495319012</v>
      </c>
      <c r="L62">
        <f t="shared" si="2"/>
        <v>72.227932649624577</v>
      </c>
      <c r="M62">
        <f t="shared" si="3"/>
        <v>1.5837406312647433</v>
      </c>
      <c r="N62">
        <f t="shared" si="4"/>
        <v>2.1926982722147388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26217.046382330125</v>
      </c>
      <c r="T62">
        <f t="shared" si="8"/>
        <v>100.000426666667</v>
      </c>
      <c r="U62">
        <f t="shared" si="9"/>
        <v>84.299889617994666</v>
      </c>
      <c r="V62">
        <f t="shared" si="10"/>
        <v>0.84299529939999973</v>
      </c>
      <c r="W62">
        <f t="shared" si="11"/>
        <v>0.15868833944399996</v>
      </c>
      <c r="X62">
        <v>1</v>
      </c>
      <c r="Y62">
        <v>1769195430.03333</v>
      </c>
      <c r="Z62">
        <v>410.04153333333301</v>
      </c>
      <c r="AA62">
        <v>410.01873333333299</v>
      </c>
      <c r="AB62">
        <v>15.80936</v>
      </c>
      <c r="AC62">
        <v>14.94814</v>
      </c>
      <c r="AD62">
        <v>410.8852</v>
      </c>
      <c r="AE62">
        <v>15.71888</v>
      </c>
      <c r="AF62">
        <v>799.99746666666704</v>
      </c>
      <c r="AG62">
        <v>100.11279999999999</v>
      </c>
      <c r="AH62">
        <v>6.4603213333333298E-2</v>
      </c>
      <c r="AI62">
        <v>18.9090666666667</v>
      </c>
      <c r="AJ62">
        <v>999.9</v>
      </c>
      <c r="AK62">
        <v>999.9</v>
      </c>
      <c r="AL62">
        <v>0</v>
      </c>
      <c r="AM62">
        <v>0</v>
      </c>
      <c r="AN62">
        <v>4992.9333333333298</v>
      </c>
      <c r="AO62">
        <v>0</v>
      </c>
      <c r="AP62">
        <v>1.7502500000000001</v>
      </c>
      <c r="AQ62">
        <v>2.30062133333333E-2</v>
      </c>
      <c r="AR62">
        <v>416.62833333333299</v>
      </c>
      <c r="AS62">
        <v>416.24073333333303</v>
      </c>
      <c r="AT62">
        <v>0.86122706666666704</v>
      </c>
      <c r="AU62">
        <v>410.01873333333299</v>
      </c>
      <c r="AV62">
        <v>14.94814</v>
      </c>
      <c r="AW62">
        <v>1.5827186666666699</v>
      </c>
      <c r="AX62">
        <v>1.49649733333333</v>
      </c>
      <c r="AY62">
        <v>13.7915333333333</v>
      </c>
      <c r="AZ62">
        <v>12.9322866666667</v>
      </c>
      <c r="BA62">
        <v>100.000426666667</v>
      </c>
      <c r="BB62">
        <v>0.90015533333333297</v>
      </c>
      <c r="BC62">
        <v>0</v>
      </c>
      <c r="BD62">
        <v>9.9844619999999995E-2</v>
      </c>
      <c r="BE62">
        <v>0</v>
      </c>
      <c r="BF62">
        <v>24</v>
      </c>
      <c r="BG62">
        <v>1648.9586666666701</v>
      </c>
      <c r="BH62">
        <v>1769195209.0999999</v>
      </c>
      <c r="BI62" t="s">
        <v>379</v>
      </c>
      <c r="BJ62">
        <v>1769195209.0999999</v>
      </c>
      <c r="BK62">
        <v>1769195209.0999999</v>
      </c>
      <c r="BL62">
        <v>2</v>
      </c>
      <c r="BM62">
        <v>0.01</v>
      </c>
      <c r="BN62">
        <v>-3.0000000000000001E-3</v>
      </c>
      <c r="BO62">
        <v>-0.84299999999999997</v>
      </c>
      <c r="BP62">
        <v>0.09</v>
      </c>
      <c r="BQ62">
        <v>410</v>
      </c>
      <c r="BR62">
        <v>14</v>
      </c>
      <c r="BS62">
        <v>0.42</v>
      </c>
      <c r="BT62">
        <v>0.1</v>
      </c>
      <c r="BU62">
        <v>9.6426445E-2</v>
      </c>
      <c r="BV62">
        <v>-1.2746015233082699</v>
      </c>
      <c r="BW62">
        <v>0.12604500445363701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0.83157809999999999</v>
      </c>
      <c r="CD62">
        <v>0.51429356390977599</v>
      </c>
      <c r="CE62">
        <v>5.1773310083381797E-2</v>
      </c>
      <c r="CF62">
        <v>0</v>
      </c>
      <c r="CG62">
        <v>0</v>
      </c>
      <c r="CH62">
        <v>2</v>
      </c>
      <c r="CI62" t="s">
        <v>290</v>
      </c>
      <c r="CJ62">
        <v>3.5325199999999999</v>
      </c>
      <c r="CK62">
        <v>2.70268</v>
      </c>
      <c r="CL62">
        <v>9.7938600000000001E-2</v>
      </c>
      <c r="CM62">
        <v>9.6595700000000007E-2</v>
      </c>
      <c r="CN62">
        <v>8.8531200000000004E-2</v>
      </c>
      <c r="CO62">
        <v>8.3836900000000006E-2</v>
      </c>
      <c r="CP62">
        <v>31627.4</v>
      </c>
      <c r="CQ62">
        <v>27804.7</v>
      </c>
      <c r="CR62">
        <v>32450.799999999999</v>
      </c>
      <c r="CS62">
        <v>30705</v>
      </c>
      <c r="CT62">
        <v>40051.199999999997</v>
      </c>
      <c r="CU62">
        <v>39557.1</v>
      </c>
      <c r="CV62">
        <v>47394.400000000001</v>
      </c>
      <c r="CW62">
        <v>46827.3</v>
      </c>
      <c r="CX62">
        <v>2.62188</v>
      </c>
      <c r="CY62">
        <v>2.1287199999999999</v>
      </c>
      <c r="CZ62">
        <v>0</v>
      </c>
      <c r="DA62">
        <v>0</v>
      </c>
      <c r="DB62">
        <v>999.9</v>
      </c>
      <c r="DC62">
        <v>999.9</v>
      </c>
      <c r="DD62">
        <v>58.667999999999999</v>
      </c>
      <c r="DE62">
        <v>27.231000000000002</v>
      </c>
      <c r="DF62">
        <v>21.260300000000001</v>
      </c>
      <c r="DG62">
        <v>30.106400000000001</v>
      </c>
      <c r="DH62">
        <v>16.3261</v>
      </c>
      <c r="DI62">
        <v>2</v>
      </c>
      <c r="DJ62">
        <v>-0.114423</v>
      </c>
      <c r="DK62">
        <v>1.7816799999999999</v>
      </c>
      <c r="DL62">
        <v>20.236799999999999</v>
      </c>
      <c r="DM62">
        <v>5.2477200000000002</v>
      </c>
      <c r="DN62">
        <v>12.033899999999999</v>
      </c>
      <c r="DO62">
        <v>4.9661999999999997</v>
      </c>
      <c r="DP62">
        <v>3.2909999999999999</v>
      </c>
      <c r="DQ62">
        <v>536.20000000000005</v>
      </c>
      <c r="DR62">
        <v>9999</v>
      </c>
      <c r="DS62">
        <v>9999</v>
      </c>
      <c r="DT62">
        <v>9999</v>
      </c>
      <c r="DU62">
        <v>1.87104</v>
      </c>
      <c r="DV62">
        <v>1.8761000000000001</v>
      </c>
      <c r="DW62">
        <v>1.8762700000000001</v>
      </c>
      <c r="DX62">
        <v>1.88279</v>
      </c>
      <c r="DY62">
        <v>1.87558</v>
      </c>
      <c r="DZ62">
        <v>1.87469</v>
      </c>
      <c r="EA62">
        <v>1.87076</v>
      </c>
      <c r="EB62">
        <v>1.8745700000000001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-0.84299999999999997</v>
      </c>
      <c r="EQ62">
        <v>9.0399999999999994E-2</v>
      </c>
      <c r="ER62">
        <v>-0.84339999999997395</v>
      </c>
      <c r="ES62">
        <v>0</v>
      </c>
      <c r="ET62">
        <v>0</v>
      </c>
      <c r="EU62">
        <v>0</v>
      </c>
      <c r="EV62">
        <v>9.0479999999999394E-2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3.8</v>
      </c>
      <c r="FE62">
        <v>3.8</v>
      </c>
      <c r="FF62">
        <v>1.2390099999999999</v>
      </c>
      <c r="FG62">
        <v>2.5915499999999998</v>
      </c>
      <c r="FH62">
        <v>2.19604</v>
      </c>
      <c r="FI62">
        <v>2.66113</v>
      </c>
      <c r="FJ62">
        <v>2.4462899999999999</v>
      </c>
      <c r="FK62">
        <v>2.2863799999999999</v>
      </c>
      <c r="FL62">
        <v>31.9146</v>
      </c>
      <c r="FM62">
        <v>24.148800000000001</v>
      </c>
      <c r="FN62">
        <v>19</v>
      </c>
      <c r="FO62">
        <v>865.62199999999996</v>
      </c>
      <c r="FP62">
        <v>576.08399999999995</v>
      </c>
      <c r="FQ62">
        <v>18.285900000000002</v>
      </c>
      <c r="FR62">
        <v>25.5547</v>
      </c>
      <c r="FS62">
        <v>30.0001</v>
      </c>
      <c r="FT62">
        <v>25.575099999999999</v>
      </c>
      <c r="FU62">
        <v>25.575700000000001</v>
      </c>
      <c r="FV62">
        <v>24.8749</v>
      </c>
      <c r="FW62">
        <v>32.982999999999997</v>
      </c>
      <c r="FX62">
        <v>23.248000000000001</v>
      </c>
      <c r="FY62">
        <v>18.359400000000001</v>
      </c>
      <c r="FZ62">
        <v>410</v>
      </c>
      <c r="GA62">
        <v>14.7136</v>
      </c>
      <c r="GB62">
        <v>99.8643</v>
      </c>
      <c r="GC62">
        <v>99.684299999999993</v>
      </c>
    </row>
    <row r="63" spans="1:185" x14ac:dyDescent="0.2">
      <c r="A63">
        <v>48</v>
      </c>
      <c r="B63">
        <v>1769195453.0999999</v>
      </c>
      <c r="C63">
        <v>892.09999990463302</v>
      </c>
      <c r="D63" t="s">
        <v>390</v>
      </c>
      <c r="E63" t="s">
        <v>391</v>
      </c>
      <c r="F63">
        <v>15</v>
      </c>
      <c r="G63">
        <v>1769195445.03333</v>
      </c>
      <c r="H63">
        <f t="shared" si="0"/>
        <v>7.3974184884326741E-4</v>
      </c>
      <c r="I63">
        <v>0</v>
      </c>
      <c r="J63">
        <f t="shared" si="12"/>
        <v>-5.1969738598978401E-3</v>
      </c>
      <c r="K63">
        <f t="shared" si="1"/>
        <v>-0.19365908769426093</v>
      </c>
      <c r="L63">
        <f t="shared" si="2"/>
        <v>71.535052693938823</v>
      </c>
      <c r="M63">
        <f t="shared" si="3"/>
        <v>1.5697798503911375</v>
      </c>
      <c r="N63">
        <f t="shared" si="4"/>
        <v>2.1944204851674702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26212.650326889619</v>
      </c>
      <c r="T63">
        <f t="shared" si="8"/>
        <v>100.000633333333</v>
      </c>
      <c r="U63">
        <f t="shared" si="9"/>
        <v>84.300091997201008</v>
      </c>
      <c r="V63">
        <f t="shared" si="10"/>
        <v>0.84299558099999994</v>
      </c>
      <c r="W63">
        <f t="shared" si="11"/>
        <v>0.15868836785999998</v>
      </c>
      <c r="X63">
        <v>1</v>
      </c>
      <c r="Y63">
        <v>1769195445.03333</v>
      </c>
      <c r="Z63">
        <v>409.88066666666703</v>
      </c>
      <c r="AA63">
        <v>410.01760000000002</v>
      </c>
      <c r="AB63">
        <v>15.669879999999999</v>
      </c>
      <c r="AC63">
        <v>14.759693333333299</v>
      </c>
      <c r="AD63">
        <v>410.72399999999999</v>
      </c>
      <c r="AE63">
        <v>15.5794</v>
      </c>
      <c r="AF63">
        <v>800.00093333333302</v>
      </c>
      <c r="AG63">
        <v>100.11346666666699</v>
      </c>
      <c r="AH63">
        <v>6.4700006666666698E-2</v>
      </c>
      <c r="AI63">
        <v>18.92164</v>
      </c>
      <c r="AJ63">
        <v>999.9</v>
      </c>
      <c r="AK63">
        <v>999.9</v>
      </c>
      <c r="AL63">
        <v>0</v>
      </c>
      <c r="AM63">
        <v>0</v>
      </c>
      <c r="AN63">
        <v>4992.3666666666704</v>
      </c>
      <c r="AO63">
        <v>0</v>
      </c>
      <c r="AP63">
        <v>1.7502500000000001</v>
      </c>
      <c r="AQ63">
        <v>-0.13707678000000001</v>
      </c>
      <c r="AR63">
        <v>416.405666666667</v>
      </c>
      <c r="AS63">
        <v>416.16013333333302</v>
      </c>
      <c r="AT63">
        <v>0.91019133333333302</v>
      </c>
      <c r="AU63">
        <v>410.01760000000002</v>
      </c>
      <c r="AV63">
        <v>14.759693333333299</v>
      </c>
      <c r="AW63">
        <v>1.5687673333333301</v>
      </c>
      <c r="AX63">
        <v>1.477646</v>
      </c>
      <c r="AY63">
        <v>13.65536</v>
      </c>
      <c r="AZ63">
        <v>12.738720000000001</v>
      </c>
      <c r="BA63">
        <v>100.000633333333</v>
      </c>
      <c r="BB63">
        <v>0.90015599999999996</v>
      </c>
      <c r="BC63">
        <v>0</v>
      </c>
      <c r="BD63">
        <v>9.9844299999999997E-2</v>
      </c>
      <c r="BE63">
        <v>0</v>
      </c>
      <c r="BF63">
        <v>24</v>
      </c>
      <c r="BG63">
        <v>1648.96266666667</v>
      </c>
      <c r="BH63">
        <v>1769195209.0999999</v>
      </c>
      <c r="BI63" t="s">
        <v>379</v>
      </c>
      <c r="BJ63">
        <v>1769195209.0999999</v>
      </c>
      <c r="BK63">
        <v>1769195209.0999999</v>
      </c>
      <c r="BL63">
        <v>2</v>
      </c>
      <c r="BM63">
        <v>0.01</v>
      </c>
      <c r="BN63">
        <v>-3.0000000000000001E-3</v>
      </c>
      <c r="BO63">
        <v>-0.84299999999999997</v>
      </c>
      <c r="BP63">
        <v>0.09</v>
      </c>
      <c r="BQ63">
        <v>410</v>
      </c>
      <c r="BR63">
        <v>14</v>
      </c>
      <c r="BS63">
        <v>0.42</v>
      </c>
      <c r="BT63">
        <v>0.1</v>
      </c>
      <c r="BU63">
        <v>-0.107580242857143</v>
      </c>
      <c r="BV63">
        <v>-0.46260589090909099</v>
      </c>
      <c r="BW63">
        <v>5.0720585375589398E-2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0.90212619047619003</v>
      </c>
      <c r="CD63">
        <v>0.122039844155845</v>
      </c>
      <c r="CE63">
        <v>1.3409940330889001E-2</v>
      </c>
      <c r="CF63">
        <v>0</v>
      </c>
      <c r="CG63">
        <v>1</v>
      </c>
      <c r="CH63">
        <v>2</v>
      </c>
      <c r="CI63" t="s">
        <v>297</v>
      </c>
      <c r="CJ63">
        <v>3.53254</v>
      </c>
      <c r="CK63">
        <v>2.7025399999999999</v>
      </c>
      <c r="CL63">
        <v>9.7932099999999994E-2</v>
      </c>
      <c r="CM63">
        <v>9.6588999999999994E-2</v>
      </c>
      <c r="CN63">
        <v>8.8016200000000003E-2</v>
      </c>
      <c r="CO63">
        <v>8.3214499999999997E-2</v>
      </c>
      <c r="CP63">
        <v>31626.5</v>
      </c>
      <c r="CQ63">
        <v>27804.400000000001</v>
      </c>
      <c r="CR63">
        <v>32449.5</v>
      </c>
      <c r="CS63">
        <v>30704.5</v>
      </c>
      <c r="CT63">
        <v>40072.9</v>
      </c>
      <c r="CU63">
        <v>39584.699999999997</v>
      </c>
      <c r="CV63">
        <v>47392.3</v>
      </c>
      <c r="CW63">
        <v>46827.3</v>
      </c>
      <c r="CX63">
        <v>2.62168</v>
      </c>
      <c r="CY63">
        <v>2.1284000000000001</v>
      </c>
      <c r="CZ63">
        <v>0</v>
      </c>
      <c r="DA63">
        <v>0</v>
      </c>
      <c r="DB63">
        <v>999.9</v>
      </c>
      <c r="DC63">
        <v>999.9</v>
      </c>
      <c r="DD63">
        <v>58.545999999999999</v>
      </c>
      <c r="DE63">
        <v>27.260999999999999</v>
      </c>
      <c r="DF63">
        <v>21.252099999999999</v>
      </c>
      <c r="DG63">
        <v>30.346399999999999</v>
      </c>
      <c r="DH63">
        <v>16.2941</v>
      </c>
      <c r="DI63">
        <v>2</v>
      </c>
      <c r="DJ63">
        <v>-0.11442099999999999</v>
      </c>
      <c r="DK63">
        <v>1.6599200000000001</v>
      </c>
      <c r="DL63">
        <v>20.238199999999999</v>
      </c>
      <c r="DM63">
        <v>5.2478400000000001</v>
      </c>
      <c r="DN63">
        <v>12.033899999999999</v>
      </c>
      <c r="DO63">
        <v>4.9663599999999999</v>
      </c>
      <c r="DP63">
        <v>3.2909999999999999</v>
      </c>
      <c r="DQ63">
        <v>536.29999999999995</v>
      </c>
      <c r="DR63">
        <v>9999</v>
      </c>
      <c r="DS63">
        <v>9999</v>
      </c>
      <c r="DT63">
        <v>9999</v>
      </c>
      <c r="DU63">
        <v>1.87103</v>
      </c>
      <c r="DV63">
        <v>1.87608</v>
      </c>
      <c r="DW63">
        <v>1.8762399999999999</v>
      </c>
      <c r="DX63">
        <v>1.8827799999999999</v>
      </c>
      <c r="DY63">
        <v>1.8755500000000001</v>
      </c>
      <c r="DZ63">
        <v>1.87463</v>
      </c>
      <c r="EA63">
        <v>1.87073</v>
      </c>
      <c r="EB63">
        <v>1.87456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-0.84299999999999997</v>
      </c>
      <c r="EQ63">
        <v>9.0499999999999997E-2</v>
      </c>
      <c r="ER63">
        <v>-0.84339999999997395</v>
      </c>
      <c r="ES63">
        <v>0</v>
      </c>
      <c r="ET63">
        <v>0</v>
      </c>
      <c r="EU63">
        <v>0</v>
      </c>
      <c r="EV63">
        <v>9.0479999999999394E-2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4.0999999999999996</v>
      </c>
      <c r="FE63">
        <v>4.0999999999999996</v>
      </c>
      <c r="FF63">
        <v>1.2390099999999999</v>
      </c>
      <c r="FG63">
        <v>2.5878899999999998</v>
      </c>
      <c r="FH63">
        <v>2.19604</v>
      </c>
      <c r="FI63">
        <v>2.66235</v>
      </c>
      <c r="FJ63">
        <v>2.4462899999999999</v>
      </c>
      <c r="FK63">
        <v>2.3107899999999999</v>
      </c>
      <c r="FL63">
        <v>31.9146</v>
      </c>
      <c r="FM63">
        <v>24.157499999999999</v>
      </c>
      <c r="FN63">
        <v>19</v>
      </c>
      <c r="FO63">
        <v>865.43600000000004</v>
      </c>
      <c r="FP63">
        <v>575.86199999999997</v>
      </c>
      <c r="FQ63">
        <v>18.464700000000001</v>
      </c>
      <c r="FR63">
        <v>25.557400000000001</v>
      </c>
      <c r="FS63">
        <v>30.0001</v>
      </c>
      <c r="FT63">
        <v>25.575099999999999</v>
      </c>
      <c r="FU63">
        <v>25.5779</v>
      </c>
      <c r="FV63">
        <v>24.874300000000002</v>
      </c>
      <c r="FW63">
        <v>33.260199999999998</v>
      </c>
      <c r="FX63">
        <v>22.867799999999999</v>
      </c>
      <c r="FY63">
        <v>18.520900000000001</v>
      </c>
      <c r="FZ63">
        <v>410</v>
      </c>
      <c r="GA63">
        <v>14.607699999999999</v>
      </c>
      <c r="GB63">
        <v>99.860299999999995</v>
      </c>
      <c r="GC63">
        <v>99.683700000000002</v>
      </c>
    </row>
    <row r="64" spans="1:185" x14ac:dyDescent="0.2">
      <c r="A64">
        <v>49</v>
      </c>
      <c r="B64">
        <v>1769195468.0999999</v>
      </c>
      <c r="C64">
        <v>907.09999990463302</v>
      </c>
      <c r="D64" t="s">
        <v>392</v>
      </c>
      <c r="E64" t="s">
        <v>393</v>
      </c>
      <c r="F64">
        <v>15</v>
      </c>
      <c r="G64">
        <v>1769195460.03333</v>
      </c>
      <c r="H64">
        <f t="shared" si="0"/>
        <v>7.5551722825516611E-4</v>
      </c>
      <c r="I64">
        <v>0</v>
      </c>
      <c r="J64">
        <f t="shared" si="12"/>
        <v>-3.6871312580409404E-3</v>
      </c>
      <c r="K64">
        <f t="shared" si="1"/>
        <v>-0.13739658787801515</v>
      </c>
      <c r="L64">
        <f t="shared" si="2"/>
        <v>70.899615765366121</v>
      </c>
      <c r="M64">
        <f t="shared" si="3"/>
        <v>1.5587985582491395</v>
      </c>
      <c r="N64">
        <f t="shared" si="4"/>
        <v>2.1985994443295698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26333.954273033731</v>
      </c>
      <c r="T64">
        <f t="shared" si="8"/>
        <v>100.001053333333</v>
      </c>
      <c r="U64">
        <f t="shared" si="9"/>
        <v>84.300441895301162</v>
      </c>
      <c r="V64">
        <f t="shared" si="10"/>
        <v>0.84299553939999938</v>
      </c>
      <c r="W64">
        <f t="shared" si="11"/>
        <v>0.15868841976399992</v>
      </c>
      <c r="X64">
        <v>1</v>
      </c>
      <c r="Y64">
        <v>1769195460.03333</v>
      </c>
      <c r="Z64">
        <v>409.80073333333303</v>
      </c>
      <c r="AA64">
        <v>410.01600000000002</v>
      </c>
      <c r="AB64">
        <v>15.55978</v>
      </c>
      <c r="AC64">
        <v>14.630086666666701</v>
      </c>
      <c r="AD64">
        <v>410.64426666666702</v>
      </c>
      <c r="AE64">
        <v>15.46932</v>
      </c>
      <c r="AF64">
        <v>800.00739999999996</v>
      </c>
      <c r="AG64">
        <v>100.116533333333</v>
      </c>
      <c r="AH64">
        <v>6.4739039999999998E-2</v>
      </c>
      <c r="AI64">
        <v>18.952113333333301</v>
      </c>
      <c r="AJ64">
        <v>999.9</v>
      </c>
      <c r="AK64">
        <v>999.9</v>
      </c>
      <c r="AL64">
        <v>0</v>
      </c>
      <c r="AM64">
        <v>0</v>
      </c>
      <c r="AN64">
        <v>5012.6666666666697</v>
      </c>
      <c r="AO64">
        <v>0</v>
      </c>
      <c r="AP64">
        <v>1.7502500000000001</v>
      </c>
      <c r="AQ64">
        <v>-0.215153066666667</v>
      </c>
      <c r="AR64">
        <v>416.27800000000002</v>
      </c>
      <c r="AS64">
        <v>416.10359999999997</v>
      </c>
      <c r="AT64">
        <v>0.92970339999999996</v>
      </c>
      <c r="AU64">
        <v>410.01600000000002</v>
      </c>
      <c r="AV64">
        <v>14.630086666666701</v>
      </c>
      <c r="AW64">
        <v>1.5577920000000001</v>
      </c>
      <c r="AX64">
        <v>1.4647126666666701</v>
      </c>
      <c r="AY64">
        <v>13.547459999999999</v>
      </c>
      <c r="AZ64">
        <v>12.604606666666699</v>
      </c>
      <c r="BA64">
        <v>100.001053333333</v>
      </c>
      <c r="BB64">
        <v>0.900155066666666</v>
      </c>
      <c r="BC64">
        <v>0</v>
      </c>
      <c r="BD64">
        <v>9.9845153333333297E-2</v>
      </c>
      <c r="BE64">
        <v>0</v>
      </c>
      <c r="BF64">
        <v>24</v>
      </c>
      <c r="BG64">
        <v>1648.9686666666701</v>
      </c>
      <c r="BH64">
        <v>1769195209.0999999</v>
      </c>
      <c r="BI64" t="s">
        <v>379</v>
      </c>
      <c r="BJ64">
        <v>1769195209.0999999</v>
      </c>
      <c r="BK64">
        <v>1769195209.0999999</v>
      </c>
      <c r="BL64">
        <v>2</v>
      </c>
      <c r="BM64">
        <v>0.01</v>
      </c>
      <c r="BN64">
        <v>-3.0000000000000001E-3</v>
      </c>
      <c r="BO64">
        <v>-0.84299999999999997</v>
      </c>
      <c r="BP64">
        <v>0.09</v>
      </c>
      <c r="BQ64">
        <v>410</v>
      </c>
      <c r="BR64">
        <v>14</v>
      </c>
      <c r="BS64">
        <v>0.42</v>
      </c>
      <c r="BT64">
        <v>0.1</v>
      </c>
      <c r="BU64">
        <v>-0.19346017500000001</v>
      </c>
      <c r="BV64">
        <v>-0.45646887969924799</v>
      </c>
      <c r="BW64">
        <v>5.83392770248473E-2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0.92491884999999996</v>
      </c>
      <c r="CD64">
        <v>0.13686013533834701</v>
      </c>
      <c r="CE64">
        <v>1.8580174585495698E-2</v>
      </c>
      <c r="CF64">
        <v>0</v>
      </c>
      <c r="CG64">
        <v>1</v>
      </c>
      <c r="CH64">
        <v>2</v>
      </c>
      <c r="CI64" t="s">
        <v>297</v>
      </c>
      <c r="CJ64">
        <v>3.5325000000000002</v>
      </c>
      <c r="CK64">
        <v>2.70248</v>
      </c>
      <c r="CL64">
        <v>9.7915600000000005E-2</v>
      </c>
      <c r="CM64">
        <v>9.6588400000000005E-2</v>
      </c>
      <c r="CN64">
        <v>8.7557200000000002E-2</v>
      </c>
      <c r="CO64">
        <v>8.2698599999999997E-2</v>
      </c>
      <c r="CP64">
        <v>31627.599999999999</v>
      </c>
      <c r="CQ64">
        <v>27804.3</v>
      </c>
      <c r="CR64">
        <v>32450.1</v>
      </c>
      <c r="CS64">
        <v>30704.3</v>
      </c>
      <c r="CT64">
        <v>40094.699999999997</v>
      </c>
      <c r="CU64">
        <v>39607.4</v>
      </c>
      <c r="CV64">
        <v>47393.5</v>
      </c>
      <c r="CW64">
        <v>46827.1</v>
      </c>
      <c r="CX64">
        <v>2.6219000000000001</v>
      </c>
      <c r="CY64">
        <v>2.1280399999999999</v>
      </c>
      <c r="CZ64">
        <v>0</v>
      </c>
      <c r="DA64">
        <v>0</v>
      </c>
      <c r="DB64">
        <v>999.9</v>
      </c>
      <c r="DC64">
        <v>999.9</v>
      </c>
      <c r="DD64">
        <v>58.405999999999999</v>
      </c>
      <c r="DE64">
        <v>27.260999999999999</v>
      </c>
      <c r="DF64">
        <v>21.2026</v>
      </c>
      <c r="DG64">
        <v>29.746400000000001</v>
      </c>
      <c r="DH64">
        <v>16.382200000000001</v>
      </c>
      <c r="DI64">
        <v>2</v>
      </c>
      <c r="DJ64">
        <v>-0.114299</v>
      </c>
      <c r="DK64">
        <v>1.6611899999999999</v>
      </c>
      <c r="DL64">
        <v>20.238099999999999</v>
      </c>
      <c r="DM64">
        <v>5.2477200000000002</v>
      </c>
      <c r="DN64">
        <v>12.033899999999999</v>
      </c>
      <c r="DO64">
        <v>4.96652</v>
      </c>
      <c r="DP64">
        <v>3.2910200000000001</v>
      </c>
      <c r="DQ64">
        <v>536.29999999999995</v>
      </c>
      <c r="DR64">
        <v>9999</v>
      </c>
      <c r="DS64">
        <v>9999</v>
      </c>
      <c r="DT64">
        <v>9999</v>
      </c>
      <c r="DU64">
        <v>1.87103</v>
      </c>
      <c r="DV64">
        <v>1.8760699999999999</v>
      </c>
      <c r="DW64">
        <v>1.87625</v>
      </c>
      <c r="DX64">
        <v>1.8827799999999999</v>
      </c>
      <c r="DY64">
        <v>1.8755299999999999</v>
      </c>
      <c r="DZ64">
        <v>1.8746100000000001</v>
      </c>
      <c r="EA64">
        <v>1.8707400000000001</v>
      </c>
      <c r="EB64">
        <v>1.87456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-0.84399999999999997</v>
      </c>
      <c r="EQ64">
        <v>9.0499999999999997E-2</v>
      </c>
      <c r="ER64">
        <v>-0.84339999999997395</v>
      </c>
      <c r="ES64">
        <v>0</v>
      </c>
      <c r="ET64">
        <v>0</v>
      </c>
      <c r="EU64">
        <v>0</v>
      </c>
      <c r="EV64">
        <v>9.0479999999999394E-2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4.3</v>
      </c>
      <c r="FE64">
        <v>4.3</v>
      </c>
      <c r="FF64">
        <v>1.2390099999999999</v>
      </c>
      <c r="FG64">
        <v>2.5878899999999998</v>
      </c>
      <c r="FH64">
        <v>2.19604</v>
      </c>
      <c r="FI64">
        <v>2.66235</v>
      </c>
      <c r="FJ64">
        <v>2.4462899999999999</v>
      </c>
      <c r="FK64">
        <v>2.2936999999999999</v>
      </c>
      <c r="FL64">
        <v>31.892700000000001</v>
      </c>
      <c r="FM64">
        <v>24.157499999999999</v>
      </c>
      <c r="FN64">
        <v>19</v>
      </c>
      <c r="FO64">
        <v>865.64099999999996</v>
      </c>
      <c r="FP64">
        <v>575.58600000000001</v>
      </c>
      <c r="FQ64">
        <v>18.594200000000001</v>
      </c>
      <c r="FR64">
        <v>25.56</v>
      </c>
      <c r="FS64">
        <v>30.0002</v>
      </c>
      <c r="FT64">
        <v>25.575099999999999</v>
      </c>
      <c r="FU64">
        <v>25.5779</v>
      </c>
      <c r="FV64">
        <v>24.871600000000001</v>
      </c>
      <c r="FW64">
        <v>33.5321</v>
      </c>
      <c r="FX64">
        <v>22.486599999999999</v>
      </c>
      <c r="FY64">
        <v>18.616099999999999</v>
      </c>
      <c r="FZ64">
        <v>410</v>
      </c>
      <c r="GA64">
        <v>14.558999999999999</v>
      </c>
      <c r="GB64">
        <v>99.862399999999994</v>
      </c>
      <c r="GC64">
        <v>99.683199999999999</v>
      </c>
    </row>
    <row r="65" spans="1:185" x14ac:dyDescent="0.2">
      <c r="A65">
        <v>50</v>
      </c>
      <c r="B65">
        <v>1769195483.0999999</v>
      </c>
      <c r="C65">
        <v>922.09999990463302</v>
      </c>
      <c r="D65" t="s">
        <v>394</v>
      </c>
      <c r="E65" t="s">
        <v>395</v>
      </c>
      <c r="F65">
        <v>15</v>
      </c>
      <c r="G65">
        <v>1769195475.03333</v>
      </c>
      <c r="H65">
        <f t="shared" si="0"/>
        <v>7.4529546536666576E-4</v>
      </c>
      <c r="I65">
        <v>0</v>
      </c>
      <c r="J65">
        <f t="shared" si="12"/>
        <v>-3.376731354498431E-3</v>
      </c>
      <c r="K65">
        <f t="shared" si="1"/>
        <v>-0.12582990238739183</v>
      </c>
      <c r="L65">
        <f t="shared" si="2"/>
        <v>70.302013503120847</v>
      </c>
      <c r="M65">
        <f t="shared" si="3"/>
        <v>1.5491405755458763</v>
      </c>
      <c r="N65">
        <f t="shared" si="4"/>
        <v>2.2035507922928934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26224.635898175165</v>
      </c>
      <c r="T65">
        <f t="shared" si="8"/>
        <v>99.998273333333302</v>
      </c>
      <c r="U65">
        <f t="shared" si="9"/>
        <v>84.298119367339339</v>
      </c>
      <c r="V65">
        <f t="shared" si="10"/>
        <v>0.84299574939999999</v>
      </c>
      <c r="W65">
        <f t="shared" si="11"/>
        <v>0.15868920460400002</v>
      </c>
      <c r="X65">
        <v>1</v>
      </c>
      <c r="Y65">
        <v>1769195475.03333</v>
      </c>
      <c r="Z65">
        <v>409.77640000000002</v>
      </c>
      <c r="AA65">
        <v>410.00086666666698</v>
      </c>
      <c r="AB65">
        <v>15.463660000000001</v>
      </c>
      <c r="AC65">
        <v>14.5464533333333</v>
      </c>
      <c r="AD65">
        <v>410.619666666667</v>
      </c>
      <c r="AE65">
        <v>15.373186666666699</v>
      </c>
      <c r="AF65">
        <v>800.00559999999996</v>
      </c>
      <c r="AG65">
        <v>100.1148</v>
      </c>
      <c r="AH65">
        <v>6.4625539999999995E-2</v>
      </c>
      <c r="AI65">
        <v>18.988153333333301</v>
      </c>
      <c r="AJ65">
        <v>999.9</v>
      </c>
      <c r="AK65">
        <v>999.9</v>
      </c>
      <c r="AL65">
        <v>0</v>
      </c>
      <c r="AM65">
        <v>0</v>
      </c>
      <c r="AN65">
        <v>4995.2666666666701</v>
      </c>
      <c r="AO65">
        <v>0</v>
      </c>
      <c r="AP65">
        <v>1.7502500000000001</v>
      </c>
      <c r="AQ65">
        <v>-0.2245788</v>
      </c>
      <c r="AR65">
        <v>416.21233333333299</v>
      </c>
      <c r="AS65">
        <v>416.05293333333299</v>
      </c>
      <c r="AT65">
        <v>0.91721240000000004</v>
      </c>
      <c r="AU65">
        <v>410.00086666666698</v>
      </c>
      <c r="AV65">
        <v>14.5464533333333</v>
      </c>
      <c r="AW65">
        <v>1.54814133333333</v>
      </c>
      <c r="AX65">
        <v>1.45631466666667</v>
      </c>
      <c r="AY65">
        <v>13.45208</v>
      </c>
      <c r="AZ65">
        <v>12.517046666666699</v>
      </c>
      <c r="BA65">
        <v>99.998273333333302</v>
      </c>
      <c r="BB65">
        <v>0.90014419999999995</v>
      </c>
      <c r="BC65">
        <v>0</v>
      </c>
      <c r="BD65">
        <v>9.9855886666666699E-2</v>
      </c>
      <c r="BE65">
        <v>0</v>
      </c>
      <c r="BF65">
        <v>24</v>
      </c>
      <c r="BG65">
        <v>1648.9193333333301</v>
      </c>
      <c r="BH65">
        <v>1769195209.0999999</v>
      </c>
      <c r="BI65" t="s">
        <v>379</v>
      </c>
      <c r="BJ65">
        <v>1769195209.0999999</v>
      </c>
      <c r="BK65">
        <v>1769195209.0999999</v>
      </c>
      <c r="BL65">
        <v>2</v>
      </c>
      <c r="BM65">
        <v>0.01</v>
      </c>
      <c r="BN65">
        <v>-3.0000000000000001E-3</v>
      </c>
      <c r="BO65">
        <v>-0.84299999999999997</v>
      </c>
      <c r="BP65">
        <v>0.09</v>
      </c>
      <c r="BQ65">
        <v>410</v>
      </c>
      <c r="BR65">
        <v>14</v>
      </c>
      <c r="BS65">
        <v>0.42</v>
      </c>
      <c r="BT65">
        <v>0.1</v>
      </c>
      <c r="BU65">
        <v>-0.22592925</v>
      </c>
      <c r="BV65">
        <v>3.1900736842105197E-2</v>
      </c>
      <c r="BW65">
        <v>2.1526533654713201E-2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0.92568775000000003</v>
      </c>
      <c r="CD65">
        <v>-0.18087622556390801</v>
      </c>
      <c r="CE65">
        <v>1.80393414067005E-2</v>
      </c>
      <c r="CF65">
        <v>0</v>
      </c>
      <c r="CG65">
        <v>1</v>
      </c>
      <c r="CH65">
        <v>2</v>
      </c>
      <c r="CI65" t="s">
        <v>297</v>
      </c>
      <c r="CJ65">
        <v>3.5324900000000001</v>
      </c>
      <c r="CK65">
        <v>2.7023999999999999</v>
      </c>
      <c r="CL65">
        <v>9.7905000000000006E-2</v>
      </c>
      <c r="CM65">
        <v>9.6585099999999993E-2</v>
      </c>
      <c r="CN65">
        <v>8.7237899999999993E-2</v>
      </c>
      <c r="CO65">
        <v>8.2564799999999994E-2</v>
      </c>
      <c r="CP65">
        <v>31628.1</v>
      </c>
      <c r="CQ65">
        <v>27804.6</v>
      </c>
      <c r="CR65">
        <v>32450.3</v>
      </c>
      <c r="CS65">
        <v>30704.5</v>
      </c>
      <c r="CT65">
        <v>40109.5</v>
      </c>
      <c r="CU65">
        <v>39613.1</v>
      </c>
      <c r="CV65">
        <v>47394</v>
      </c>
      <c r="CW65">
        <v>46826.8</v>
      </c>
      <c r="CX65">
        <v>2.62168</v>
      </c>
      <c r="CY65">
        <v>2.1276799999999998</v>
      </c>
      <c r="CZ65">
        <v>0</v>
      </c>
      <c r="DA65">
        <v>0</v>
      </c>
      <c r="DB65">
        <v>999.9</v>
      </c>
      <c r="DC65">
        <v>999.9</v>
      </c>
      <c r="DD65">
        <v>58.29</v>
      </c>
      <c r="DE65">
        <v>27.271000000000001</v>
      </c>
      <c r="DF65">
        <v>21.1724</v>
      </c>
      <c r="DG65">
        <v>29.7164</v>
      </c>
      <c r="DH65">
        <v>16.3582</v>
      </c>
      <c r="DI65">
        <v>2</v>
      </c>
      <c r="DJ65">
        <v>-0.113762</v>
      </c>
      <c r="DK65">
        <v>1.75485</v>
      </c>
      <c r="DL65">
        <v>20.236599999999999</v>
      </c>
      <c r="DM65">
        <v>5.2486800000000002</v>
      </c>
      <c r="DN65">
        <v>12.033899999999999</v>
      </c>
      <c r="DO65">
        <v>4.9662800000000002</v>
      </c>
      <c r="DP65">
        <v>3.2909999999999999</v>
      </c>
      <c r="DQ65">
        <v>536.29999999999995</v>
      </c>
      <c r="DR65">
        <v>9999</v>
      </c>
      <c r="DS65">
        <v>9999</v>
      </c>
      <c r="DT65">
        <v>9999</v>
      </c>
      <c r="DU65">
        <v>1.87103</v>
      </c>
      <c r="DV65">
        <v>1.8760699999999999</v>
      </c>
      <c r="DW65">
        <v>1.8762399999999999</v>
      </c>
      <c r="DX65">
        <v>1.8827799999999999</v>
      </c>
      <c r="DY65">
        <v>1.8755299999999999</v>
      </c>
      <c r="DZ65">
        <v>1.8746100000000001</v>
      </c>
      <c r="EA65">
        <v>1.8707400000000001</v>
      </c>
      <c r="EB65">
        <v>1.87456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-0.84399999999999997</v>
      </c>
      <c r="EQ65">
        <v>9.0499999999999997E-2</v>
      </c>
      <c r="ER65">
        <v>-0.84339999999997395</v>
      </c>
      <c r="ES65">
        <v>0</v>
      </c>
      <c r="ET65">
        <v>0</v>
      </c>
      <c r="EU65">
        <v>0</v>
      </c>
      <c r="EV65">
        <v>9.0479999999999394E-2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4.5999999999999996</v>
      </c>
      <c r="FE65">
        <v>4.5999999999999996</v>
      </c>
      <c r="FF65">
        <v>1.2390099999999999</v>
      </c>
      <c r="FG65">
        <v>2.5866699999999998</v>
      </c>
      <c r="FH65">
        <v>2.19604</v>
      </c>
      <c r="FI65">
        <v>2.66235</v>
      </c>
      <c r="FJ65">
        <v>2.4462899999999999</v>
      </c>
      <c r="FK65">
        <v>2.3059099999999999</v>
      </c>
      <c r="FL65">
        <v>31.9146</v>
      </c>
      <c r="FM65">
        <v>24.157499999999999</v>
      </c>
      <c r="FN65">
        <v>19</v>
      </c>
      <c r="FO65">
        <v>865.44399999999996</v>
      </c>
      <c r="FP65">
        <v>575.32399999999996</v>
      </c>
      <c r="FQ65">
        <v>18.6435</v>
      </c>
      <c r="FR65">
        <v>25.561199999999999</v>
      </c>
      <c r="FS65">
        <v>30.0002</v>
      </c>
      <c r="FT65">
        <v>25.575600000000001</v>
      </c>
      <c r="FU65">
        <v>25.5792</v>
      </c>
      <c r="FV65">
        <v>24.871700000000001</v>
      </c>
      <c r="FW65">
        <v>33.5321</v>
      </c>
      <c r="FX65">
        <v>22.114599999999999</v>
      </c>
      <c r="FY65">
        <v>18.222100000000001</v>
      </c>
      <c r="FZ65">
        <v>410</v>
      </c>
      <c r="GA65">
        <v>14.5594</v>
      </c>
      <c r="GB65">
        <v>99.863299999999995</v>
      </c>
      <c r="GC65">
        <v>99.683000000000007</v>
      </c>
    </row>
    <row r="66" spans="1:185" x14ac:dyDescent="0.2">
      <c r="A66">
        <v>51</v>
      </c>
      <c r="B66">
        <v>1769195498.0999999</v>
      </c>
      <c r="C66">
        <v>937.09999990463302</v>
      </c>
      <c r="D66" t="s">
        <v>396</v>
      </c>
      <c r="E66" t="s">
        <v>397</v>
      </c>
      <c r="F66">
        <v>15</v>
      </c>
      <c r="G66">
        <v>1769195490.03333</v>
      </c>
      <c r="H66">
        <f t="shared" si="0"/>
        <v>7.1342253518128851E-4</v>
      </c>
      <c r="I66">
        <v>0</v>
      </c>
      <c r="J66">
        <f t="shared" si="12"/>
        <v>-2.3800653840757211E-3</v>
      </c>
      <c r="K66">
        <f t="shared" si="1"/>
        <v>-8.8690323130056217E-2</v>
      </c>
      <c r="L66">
        <f t="shared" si="2"/>
        <v>69.883471332363527</v>
      </c>
      <c r="M66">
        <f t="shared" si="3"/>
        <v>1.5420096123701363</v>
      </c>
      <c r="N66">
        <f t="shared" si="4"/>
        <v>2.2065440982981346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26200.169877158198</v>
      </c>
      <c r="T66">
        <f t="shared" si="8"/>
        <v>100.00209333333299</v>
      </c>
      <c r="U66">
        <f t="shared" si="9"/>
        <v>84.301314030566317</v>
      </c>
      <c r="V66">
        <f t="shared" si="10"/>
        <v>0.84299549360000003</v>
      </c>
      <c r="W66">
        <f t="shared" si="11"/>
        <v>0.15868870801600002</v>
      </c>
      <c r="X66">
        <v>1</v>
      </c>
      <c r="Y66">
        <v>1769195490.03333</v>
      </c>
      <c r="Z66">
        <v>409.74059999999997</v>
      </c>
      <c r="AA66">
        <v>409.995133333333</v>
      </c>
      <c r="AB66">
        <v>15.392146666666701</v>
      </c>
      <c r="AC66">
        <v>14.514099999999999</v>
      </c>
      <c r="AD66">
        <v>410.58393333333299</v>
      </c>
      <c r="AE66">
        <v>15.3016733333333</v>
      </c>
      <c r="AF66">
        <v>800.00466666666705</v>
      </c>
      <c r="AG66">
        <v>100.11693333333299</v>
      </c>
      <c r="AH66">
        <v>6.4649246666666701E-2</v>
      </c>
      <c r="AI66">
        <v>19.009906666666701</v>
      </c>
      <c r="AJ66">
        <v>999.9</v>
      </c>
      <c r="AK66">
        <v>999.9</v>
      </c>
      <c r="AL66">
        <v>0</v>
      </c>
      <c r="AM66">
        <v>0</v>
      </c>
      <c r="AN66">
        <v>4991.4666666666699</v>
      </c>
      <c r="AO66">
        <v>0</v>
      </c>
      <c r="AP66">
        <v>1.7502500000000001</v>
      </c>
      <c r="AQ66">
        <v>-0.254632466666667</v>
      </c>
      <c r="AR66">
        <v>416.14593333333301</v>
      </c>
      <c r="AS66">
        <v>416.03339999999997</v>
      </c>
      <c r="AT66">
        <v>0.87806139999999999</v>
      </c>
      <c r="AU66">
        <v>409.995133333333</v>
      </c>
      <c r="AV66">
        <v>14.514099999999999</v>
      </c>
      <c r="AW66">
        <v>1.5410159999999999</v>
      </c>
      <c r="AX66">
        <v>1.45310733333333</v>
      </c>
      <c r="AY66">
        <v>13.3812866666667</v>
      </c>
      <c r="AZ66">
        <v>12.48344</v>
      </c>
      <c r="BA66">
        <v>100.00209333333299</v>
      </c>
      <c r="BB66">
        <v>0.90015060000000002</v>
      </c>
      <c r="BC66">
        <v>0</v>
      </c>
      <c r="BD66">
        <v>9.9849413333333303E-2</v>
      </c>
      <c r="BE66">
        <v>0</v>
      </c>
      <c r="BF66">
        <v>24</v>
      </c>
      <c r="BG66">
        <v>1648.9846666666699</v>
      </c>
      <c r="BH66">
        <v>1769195209.0999999</v>
      </c>
      <c r="BI66" t="s">
        <v>379</v>
      </c>
      <c r="BJ66">
        <v>1769195209.0999999</v>
      </c>
      <c r="BK66">
        <v>1769195209.0999999</v>
      </c>
      <c r="BL66">
        <v>2</v>
      </c>
      <c r="BM66">
        <v>0.01</v>
      </c>
      <c r="BN66">
        <v>-3.0000000000000001E-3</v>
      </c>
      <c r="BO66">
        <v>-0.84299999999999997</v>
      </c>
      <c r="BP66">
        <v>0.09</v>
      </c>
      <c r="BQ66">
        <v>410</v>
      </c>
      <c r="BR66">
        <v>14</v>
      </c>
      <c r="BS66">
        <v>0.42</v>
      </c>
      <c r="BT66">
        <v>0.1</v>
      </c>
      <c r="BU66">
        <v>-0.24982289999999999</v>
      </c>
      <c r="BV66">
        <v>-7.2982917293233196E-2</v>
      </c>
      <c r="BW66">
        <v>3.0885335084631999E-2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0.88802214999999995</v>
      </c>
      <c r="CD66">
        <v>-0.165054090225564</v>
      </c>
      <c r="CE66">
        <v>1.6382240580198399E-2</v>
      </c>
      <c r="CF66">
        <v>0</v>
      </c>
      <c r="CG66">
        <v>1</v>
      </c>
      <c r="CH66">
        <v>2</v>
      </c>
      <c r="CI66" t="s">
        <v>297</v>
      </c>
      <c r="CJ66">
        <v>3.5325099999999998</v>
      </c>
      <c r="CK66">
        <v>2.70235</v>
      </c>
      <c r="CL66">
        <v>9.7904699999999997E-2</v>
      </c>
      <c r="CM66">
        <v>9.6586099999999994E-2</v>
      </c>
      <c r="CN66">
        <v>8.6903400000000006E-2</v>
      </c>
      <c r="CO66">
        <v>8.2448999999999995E-2</v>
      </c>
      <c r="CP66">
        <v>31627.3</v>
      </c>
      <c r="CQ66">
        <v>27803.7</v>
      </c>
      <c r="CR66">
        <v>32449.5</v>
      </c>
      <c r="CS66">
        <v>30703.599999999999</v>
      </c>
      <c r="CT66">
        <v>40123.599999999999</v>
      </c>
      <c r="CU66">
        <v>39617.300000000003</v>
      </c>
      <c r="CV66">
        <v>47392.6</v>
      </c>
      <c r="CW66">
        <v>46825.599999999999</v>
      </c>
      <c r="CX66">
        <v>2.6215600000000001</v>
      </c>
      <c r="CY66">
        <v>2.1276600000000001</v>
      </c>
      <c r="CZ66">
        <v>0</v>
      </c>
      <c r="DA66">
        <v>0</v>
      </c>
      <c r="DB66">
        <v>999.9</v>
      </c>
      <c r="DC66">
        <v>999.9</v>
      </c>
      <c r="DD66">
        <v>58.131</v>
      </c>
      <c r="DE66">
        <v>27.271000000000001</v>
      </c>
      <c r="DF66">
        <v>21.1145</v>
      </c>
      <c r="DG66">
        <v>30.526399999999999</v>
      </c>
      <c r="DH66">
        <v>16.3782</v>
      </c>
      <c r="DI66">
        <v>2</v>
      </c>
      <c r="DJ66">
        <v>-0.110337</v>
      </c>
      <c r="DK66">
        <v>2.4794700000000001</v>
      </c>
      <c r="DL66">
        <v>20.225200000000001</v>
      </c>
      <c r="DM66">
        <v>5.2485600000000003</v>
      </c>
      <c r="DN66">
        <v>12.033899999999999</v>
      </c>
      <c r="DO66">
        <v>4.9662800000000002</v>
      </c>
      <c r="DP66">
        <v>3.2910200000000001</v>
      </c>
      <c r="DQ66">
        <v>536.29999999999995</v>
      </c>
      <c r="DR66">
        <v>9999</v>
      </c>
      <c r="DS66">
        <v>9999</v>
      </c>
      <c r="DT66">
        <v>9999</v>
      </c>
      <c r="DU66">
        <v>1.87103</v>
      </c>
      <c r="DV66">
        <v>1.8760699999999999</v>
      </c>
      <c r="DW66">
        <v>1.8762300000000001</v>
      </c>
      <c r="DX66">
        <v>1.8827799999999999</v>
      </c>
      <c r="DY66">
        <v>1.8755599999999999</v>
      </c>
      <c r="DZ66">
        <v>1.8746400000000001</v>
      </c>
      <c r="EA66">
        <v>1.8707499999999999</v>
      </c>
      <c r="EB66">
        <v>1.8745700000000001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-0.84399999999999997</v>
      </c>
      <c r="EQ66">
        <v>9.0499999999999997E-2</v>
      </c>
      <c r="ER66">
        <v>-0.84339999999997395</v>
      </c>
      <c r="ES66">
        <v>0</v>
      </c>
      <c r="ET66">
        <v>0</v>
      </c>
      <c r="EU66">
        <v>0</v>
      </c>
      <c r="EV66">
        <v>9.0479999999999394E-2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4.8</v>
      </c>
      <c r="FE66">
        <v>4.8</v>
      </c>
      <c r="FF66">
        <v>1.2390099999999999</v>
      </c>
      <c r="FG66">
        <v>2.5842299999999998</v>
      </c>
      <c r="FH66">
        <v>2.19604</v>
      </c>
      <c r="FI66">
        <v>2.66235</v>
      </c>
      <c r="FJ66">
        <v>2.4462899999999999</v>
      </c>
      <c r="FK66">
        <v>2.2863799999999999</v>
      </c>
      <c r="FL66">
        <v>31.9146</v>
      </c>
      <c r="FM66">
        <v>24.148800000000001</v>
      </c>
      <c r="FN66">
        <v>19</v>
      </c>
      <c r="FO66">
        <v>865.35900000000004</v>
      </c>
      <c r="FP66">
        <v>575.31899999999996</v>
      </c>
      <c r="FQ66">
        <v>18.1585</v>
      </c>
      <c r="FR66">
        <v>25.563300000000002</v>
      </c>
      <c r="FS66">
        <v>29.999700000000001</v>
      </c>
      <c r="FT66">
        <v>25.577200000000001</v>
      </c>
      <c r="FU66">
        <v>25.58</v>
      </c>
      <c r="FV66">
        <v>24.8733</v>
      </c>
      <c r="FW66">
        <v>33.244900000000001</v>
      </c>
      <c r="FX66">
        <v>21.3626</v>
      </c>
      <c r="FY66">
        <v>18.193200000000001</v>
      </c>
      <c r="FZ66">
        <v>410</v>
      </c>
      <c r="GA66">
        <v>14.581099999999999</v>
      </c>
      <c r="GB66">
        <v>99.860500000000002</v>
      </c>
      <c r="GC66">
        <v>99.680400000000006</v>
      </c>
    </row>
    <row r="67" spans="1:185" x14ac:dyDescent="0.2">
      <c r="A67">
        <v>52</v>
      </c>
      <c r="B67">
        <v>1769195513.0999999</v>
      </c>
      <c r="C67">
        <v>952.09999990463302</v>
      </c>
      <c r="D67" t="s">
        <v>398</v>
      </c>
      <c r="E67" t="s">
        <v>399</v>
      </c>
      <c r="F67">
        <v>15</v>
      </c>
      <c r="G67">
        <v>1769195505.03333</v>
      </c>
      <c r="H67">
        <f t="shared" si="0"/>
        <v>6.710695809885093E-4</v>
      </c>
      <c r="I67">
        <v>0</v>
      </c>
      <c r="J67">
        <f t="shared" si="12"/>
        <v>-1.697928315654841E-3</v>
      </c>
      <c r="K67">
        <f t="shared" si="1"/>
        <v>-6.3271291610158958E-2</v>
      </c>
      <c r="L67">
        <f t="shared" si="2"/>
        <v>69.700257810765777</v>
      </c>
      <c r="M67">
        <f t="shared" si="3"/>
        <v>1.5362454978684772</v>
      </c>
      <c r="N67">
        <f t="shared" si="4"/>
        <v>2.2040743407855681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26240.623107884527</v>
      </c>
      <c r="T67">
        <f t="shared" si="8"/>
        <v>100.000593333333</v>
      </c>
      <c r="U67">
        <f t="shared" si="9"/>
        <v>84.300130057803642</v>
      </c>
      <c r="V67">
        <f t="shared" si="10"/>
        <v>0.84299629879999971</v>
      </c>
      <c r="W67">
        <f t="shared" si="11"/>
        <v>0.15869105880799997</v>
      </c>
      <c r="X67">
        <v>1</v>
      </c>
      <c r="Y67">
        <v>1769195505.03333</v>
      </c>
      <c r="Z67">
        <v>409.72106666666701</v>
      </c>
      <c r="AA67">
        <v>409.98566666666699</v>
      </c>
      <c r="AB67">
        <v>15.334846666666699</v>
      </c>
      <c r="AC67">
        <v>14.5088733333333</v>
      </c>
      <c r="AD67">
        <v>410.56426666666698</v>
      </c>
      <c r="AE67">
        <v>15.24436</v>
      </c>
      <c r="AF67">
        <v>800.00019999999995</v>
      </c>
      <c r="AG67">
        <v>100.115333333333</v>
      </c>
      <c r="AH67">
        <v>6.4703106666666704E-2</v>
      </c>
      <c r="AI67">
        <v>18.991959999999999</v>
      </c>
      <c r="AJ67">
        <v>999.9</v>
      </c>
      <c r="AK67">
        <v>999.9</v>
      </c>
      <c r="AL67">
        <v>0</v>
      </c>
      <c r="AM67">
        <v>0</v>
      </c>
      <c r="AN67">
        <v>4997.9333333333298</v>
      </c>
      <c r="AO67">
        <v>0</v>
      </c>
      <c r="AP67">
        <v>1.7502500000000001</v>
      </c>
      <c r="AQ67">
        <v>-0.264662866666667</v>
      </c>
      <c r="AR67">
        <v>416.10193333333302</v>
      </c>
      <c r="AS67">
        <v>416.02153333333302</v>
      </c>
      <c r="AT67">
        <v>0.82598553333333302</v>
      </c>
      <c r="AU67">
        <v>409.98566666666699</v>
      </c>
      <c r="AV67">
        <v>14.5088733333333</v>
      </c>
      <c r="AW67">
        <v>1.5352526666666699</v>
      </c>
      <c r="AX67">
        <v>1.4525586666666701</v>
      </c>
      <c r="AY67">
        <v>13.323840000000001</v>
      </c>
      <c r="AZ67">
        <v>12.477726666666699</v>
      </c>
      <c r="BA67">
        <v>100.000593333333</v>
      </c>
      <c r="BB67">
        <v>0.90011873333333303</v>
      </c>
      <c r="BC67">
        <v>0</v>
      </c>
      <c r="BD67">
        <v>9.9881106666666705E-2</v>
      </c>
      <c r="BE67">
        <v>0</v>
      </c>
      <c r="BF67">
        <v>24</v>
      </c>
      <c r="BG67">
        <v>1648.9466666666699</v>
      </c>
      <c r="BH67">
        <v>1769195209.0999999</v>
      </c>
      <c r="BI67" t="s">
        <v>379</v>
      </c>
      <c r="BJ67">
        <v>1769195209.0999999</v>
      </c>
      <c r="BK67">
        <v>1769195209.0999999</v>
      </c>
      <c r="BL67">
        <v>2</v>
      </c>
      <c r="BM67">
        <v>0.01</v>
      </c>
      <c r="BN67">
        <v>-3.0000000000000001E-3</v>
      </c>
      <c r="BO67">
        <v>-0.84299999999999997</v>
      </c>
      <c r="BP67">
        <v>0.09</v>
      </c>
      <c r="BQ67">
        <v>410</v>
      </c>
      <c r="BR67">
        <v>14</v>
      </c>
      <c r="BS67">
        <v>0.42</v>
      </c>
      <c r="BT67">
        <v>0.1</v>
      </c>
      <c r="BU67">
        <v>-0.25625328571428602</v>
      </c>
      <c r="BV67">
        <v>-0.12560150649350699</v>
      </c>
      <c r="BW67">
        <v>3.0198239740789098E-2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0.84019238095238102</v>
      </c>
      <c r="CD67">
        <v>-0.18511823376623299</v>
      </c>
      <c r="CE67">
        <v>2.0313259227073902E-2</v>
      </c>
      <c r="CF67">
        <v>0</v>
      </c>
      <c r="CG67">
        <v>1</v>
      </c>
      <c r="CH67">
        <v>2</v>
      </c>
      <c r="CI67" t="s">
        <v>297</v>
      </c>
      <c r="CJ67">
        <v>3.5325799999999998</v>
      </c>
      <c r="CK67">
        <v>2.7025999999999999</v>
      </c>
      <c r="CL67">
        <v>9.7892999999999994E-2</v>
      </c>
      <c r="CM67">
        <v>9.6584100000000006E-2</v>
      </c>
      <c r="CN67">
        <v>8.6792300000000003E-2</v>
      </c>
      <c r="CO67">
        <v>8.2562899999999995E-2</v>
      </c>
      <c r="CP67">
        <v>31628.9</v>
      </c>
      <c r="CQ67">
        <v>27804.9</v>
      </c>
      <c r="CR67">
        <v>32450.7</v>
      </c>
      <c r="CS67">
        <v>30704.9</v>
      </c>
      <c r="CT67">
        <v>40130.199999999997</v>
      </c>
      <c r="CU67">
        <v>39614</v>
      </c>
      <c r="CV67">
        <v>47394.5</v>
      </c>
      <c r="CW67">
        <v>46827.8</v>
      </c>
      <c r="CX67">
        <v>2.6215999999999999</v>
      </c>
      <c r="CY67">
        <v>2.1278000000000001</v>
      </c>
      <c r="CZ67">
        <v>0</v>
      </c>
      <c r="DA67">
        <v>0</v>
      </c>
      <c r="DB67">
        <v>999.9</v>
      </c>
      <c r="DC67">
        <v>999.9</v>
      </c>
      <c r="DD67">
        <v>58.009</v>
      </c>
      <c r="DE67">
        <v>27.271000000000001</v>
      </c>
      <c r="DF67">
        <v>21.070699999999999</v>
      </c>
      <c r="DG67">
        <v>30.496400000000001</v>
      </c>
      <c r="DH67">
        <v>16.370200000000001</v>
      </c>
      <c r="DI67">
        <v>2</v>
      </c>
      <c r="DJ67">
        <v>-0.112083</v>
      </c>
      <c r="DK67">
        <v>2.19075</v>
      </c>
      <c r="DL67">
        <v>20.230599999999999</v>
      </c>
      <c r="DM67">
        <v>5.2491599999999998</v>
      </c>
      <c r="DN67">
        <v>12.033899999999999</v>
      </c>
      <c r="DO67">
        <v>4.9664799999999998</v>
      </c>
      <c r="DP67">
        <v>3.2909999999999999</v>
      </c>
      <c r="DQ67">
        <v>536.29999999999995</v>
      </c>
      <c r="DR67">
        <v>9999</v>
      </c>
      <c r="DS67">
        <v>9999</v>
      </c>
      <c r="DT67">
        <v>9999</v>
      </c>
      <c r="DU67">
        <v>1.87103</v>
      </c>
      <c r="DV67">
        <v>1.8760699999999999</v>
      </c>
      <c r="DW67">
        <v>1.87622</v>
      </c>
      <c r="DX67">
        <v>1.8827799999999999</v>
      </c>
      <c r="DY67">
        <v>1.87554</v>
      </c>
      <c r="DZ67">
        <v>1.87462</v>
      </c>
      <c r="EA67">
        <v>1.87073</v>
      </c>
      <c r="EB67">
        <v>1.8745700000000001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-0.84299999999999997</v>
      </c>
      <c r="EQ67">
        <v>9.0499999999999997E-2</v>
      </c>
      <c r="ER67">
        <v>-0.84339999999997395</v>
      </c>
      <c r="ES67">
        <v>0</v>
      </c>
      <c r="ET67">
        <v>0</v>
      </c>
      <c r="EU67">
        <v>0</v>
      </c>
      <c r="EV67">
        <v>9.0479999999999394E-2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5.0999999999999996</v>
      </c>
      <c r="FE67">
        <v>5.0999999999999996</v>
      </c>
      <c r="FF67">
        <v>1.2390099999999999</v>
      </c>
      <c r="FG67">
        <v>2.5939899999999998</v>
      </c>
      <c r="FH67">
        <v>2.19604</v>
      </c>
      <c r="FI67">
        <v>2.66235</v>
      </c>
      <c r="FJ67">
        <v>2.4462899999999999</v>
      </c>
      <c r="FK67">
        <v>2.2644000000000002</v>
      </c>
      <c r="FL67">
        <v>31.9146</v>
      </c>
      <c r="FM67">
        <v>24.148800000000001</v>
      </c>
      <c r="FN67">
        <v>19</v>
      </c>
      <c r="FO67">
        <v>865.40300000000002</v>
      </c>
      <c r="FP67">
        <v>575.45000000000005</v>
      </c>
      <c r="FQ67">
        <v>18.1828</v>
      </c>
      <c r="FR67">
        <v>25.5654</v>
      </c>
      <c r="FS67">
        <v>29.999700000000001</v>
      </c>
      <c r="FT67">
        <v>25.5777</v>
      </c>
      <c r="FU67">
        <v>25.5822</v>
      </c>
      <c r="FV67">
        <v>24.874700000000001</v>
      </c>
      <c r="FW67">
        <v>32.971499999999999</v>
      </c>
      <c r="FX67">
        <v>20.984999999999999</v>
      </c>
      <c r="FY67">
        <v>18.2073</v>
      </c>
      <c r="FZ67">
        <v>410</v>
      </c>
      <c r="GA67">
        <v>14.581200000000001</v>
      </c>
      <c r="GB67">
        <v>99.864400000000003</v>
      </c>
      <c r="GC67">
        <v>99.684899999999999</v>
      </c>
    </row>
    <row r="68" spans="1:185" x14ac:dyDescent="0.2">
      <c r="A68">
        <v>53</v>
      </c>
      <c r="B68">
        <v>1769195528.0999999</v>
      </c>
      <c r="C68">
        <v>967.09999990463302</v>
      </c>
      <c r="D68" t="s">
        <v>400</v>
      </c>
      <c r="E68" t="s">
        <v>401</v>
      </c>
      <c r="F68">
        <v>15</v>
      </c>
      <c r="G68">
        <v>1769195520.03333</v>
      </c>
      <c r="H68">
        <f t="shared" si="0"/>
        <v>6.3830761314912551E-4</v>
      </c>
      <c r="I68">
        <v>0</v>
      </c>
      <c r="J68">
        <f t="shared" si="12"/>
        <v>-1.0398574686893809E-3</v>
      </c>
      <c r="K68">
        <f t="shared" si="1"/>
        <v>-3.8749059384802755E-2</v>
      </c>
      <c r="L68">
        <f t="shared" si="2"/>
        <v>69.74987854549785</v>
      </c>
      <c r="M68">
        <f t="shared" si="3"/>
        <v>1.5360949528435917</v>
      </c>
      <c r="N68">
        <f t="shared" si="4"/>
        <v>2.2022905055549264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26289.789036265774</v>
      </c>
      <c r="T68">
        <f t="shared" si="8"/>
        <v>99.999886666666697</v>
      </c>
      <c r="U68">
        <f t="shared" si="9"/>
        <v>84.29951002044703</v>
      </c>
      <c r="V68">
        <f t="shared" si="10"/>
        <v>0.84299605559999968</v>
      </c>
      <c r="W68">
        <f t="shared" si="11"/>
        <v>0.15869024293599995</v>
      </c>
      <c r="X68">
        <v>1</v>
      </c>
      <c r="Y68">
        <v>1769195520.03333</v>
      </c>
      <c r="Z68">
        <v>409.71373333333298</v>
      </c>
      <c r="AA68">
        <v>409.99220000000003</v>
      </c>
      <c r="AB68">
        <v>15.33344</v>
      </c>
      <c r="AC68">
        <v>14.547793333333299</v>
      </c>
      <c r="AD68">
        <v>410.55726666666698</v>
      </c>
      <c r="AE68">
        <v>15.2429733333333</v>
      </c>
      <c r="AF68">
        <v>800.00360000000001</v>
      </c>
      <c r="AG68">
        <v>100.11473333333301</v>
      </c>
      <c r="AH68">
        <v>6.4675386666666695E-2</v>
      </c>
      <c r="AI68">
        <v>18.9789866666667</v>
      </c>
      <c r="AJ68">
        <v>999.9</v>
      </c>
      <c r="AK68">
        <v>999.9</v>
      </c>
      <c r="AL68">
        <v>0</v>
      </c>
      <c r="AM68">
        <v>0</v>
      </c>
      <c r="AN68">
        <v>5005.8666666666704</v>
      </c>
      <c r="AO68">
        <v>0</v>
      </c>
      <c r="AP68">
        <v>1.7502500000000001</v>
      </c>
      <c r="AQ68">
        <v>-0.27832446666666699</v>
      </c>
      <c r="AR68">
        <v>416.09393333333298</v>
      </c>
      <c r="AS68">
        <v>416.044733333333</v>
      </c>
      <c r="AT68">
        <v>0.785660466666667</v>
      </c>
      <c r="AU68">
        <v>409.99220000000003</v>
      </c>
      <c r="AV68">
        <v>14.547793333333299</v>
      </c>
      <c r="AW68">
        <v>1.5351046666666699</v>
      </c>
      <c r="AX68">
        <v>1.456448</v>
      </c>
      <c r="AY68">
        <v>13.3223533333333</v>
      </c>
      <c r="AZ68">
        <v>12.518459999999999</v>
      </c>
      <c r="BA68">
        <v>99.999886666666697</v>
      </c>
      <c r="BB68">
        <v>0.90012993333333302</v>
      </c>
      <c r="BC68">
        <v>0</v>
      </c>
      <c r="BD68">
        <v>9.9870013333333299E-2</v>
      </c>
      <c r="BE68">
        <v>0</v>
      </c>
      <c r="BF68">
        <v>24</v>
      </c>
      <c r="BG68">
        <v>1648.9393333333301</v>
      </c>
      <c r="BH68">
        <v>1769195209.0999999</v>
      </c>
      <c r="BI68" t="s">
        <v>379</v>
      </c>
      <c r="BJ68">
        <v>1769195209.0999999</v>
      </c>
      <c r="BK68">
        <v>1769195209.0999999</v>
      </c>
      <c r="BL68">
        <v>2</v>
      </c>
      <c r="BM68">
        <v>0.01</v>
      </c>
      <c r="BN68">
        <v>-3.0000000000000001E-3</v>
      </c>
      <c r="BO68">
        <v>-0.84299999999999997</v>
      </c>
      <c r="BP68">
        <v>0.09</v>
      </c>
      <c r="BQ68">
        <v>410</v>
      </c>
      <c r="BR68">
        <v>14</v>
      </c>
      <c r="BS68">
        <v>0.42</v>
      </c>
      <c r="BT68">
        <v>0.1</v>
      </c>
      <c r="BU68">
        <v>-0.27780452380952397</v>
      </c>
      <c r="BV68">
        <v>-2.3707948051948102E-2</v>
      </c>
      <c r="BW68">
        <v>1.7418562016585201E-2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0.79468428571428595</v>
      </c>
      <c r="CD68">
        <v>-0.101241428571429</v>
      </c>
      <c r="CE68">
        <v>1.73769950115851E-2</v>
      </c>
      <c r="CF68">
        <v>0</v>
      </c>
      <c r="CG68">
        <v>1</v>
      </c>
      <c r="CH68">
        <v>2</v>
      </c>
      <c r="CI68" t="s">
        <v>297</v>
      </c>
      <c r="CJ68">
        <v>3.5325099999999998</v>
      </c>
      <c r="CK68">
        <v>2.7023199999999998</v>
      </c>
      <c r="CL68">
        <v>9.7894900000000007E-2</v>
      </c>
      <c r="CM68">
        <v>9.6582899999999999E-2</v>
      </c>
      <c r="CN68">
        <v>8.6847400000000005E-2</v>
      </c>
      <c r="CO68">
        <v>8.2619499999999998E-2</v>
      </c>
      <c r="CP68">
        <v>31628.7</v>
      </c>
      <c r="CQ68">
        <v>27804.5</v>
      </c>
      <c r="CR68">
        <v>32450.6</v>
      </c>
      <c r="CS68">
        <v>30704.400000000001</v>
      </c>
      <c r="CT68">
        <v>40127.599999999999</v>
      </c>
      <c r="CU68">
        <v>39610.699999999997</v>
      </c>
      <c r="CV68">
        <v>47394.3</v>
      </c>
      <c r="CW68">
        <v>46826.8</v>
      </c>
      <c r="CX68">
        <v>2.62134</v>
      </c>
      <c r="CY68">
        <v>2.1275400000000002</v>
      </c>
      <c r="CZ68">
        <v>0</v>
      </c>
      <c r="DA68">
        <v>0</v>
      </c>
      <c r="DB68">
        <v>999.9</v>
      </c>
      <c r="DC68">
        <v>999.9</v>
      </c>
      <c r="DD68">
        <v>57.905000000000001</v>
      </c>
      <c r="DE68">
        <v>27.280999999999999</v>
      </c>
      <c r="DF68">
        <v>21.046099999999999</v>
      </c>
      <c r="DG68">
        <v>30.226400000000002</v>
      </c>
      <c r="DH68">
        <v>16.370200000000001</v>
      </c>
      <c r="DI68">
        <v>2</v>
      </c>
      <c r="DJ68">
        <v>-0.112069</v>
      </c>
      <c r="DK68">
        <v>2.1237900000000001</v>
      </c>
      <c r="DL68">
        <v>20.2318</v>
      </c>
      <c r="DM68">
        <v>5.24892</v>
      </c>
      <c r="DN68">
        <v>12.033899999999999</v>
      </c>
      <c r="DO68">
        <v>4.9664799999999998</v>
      </c>
      <c r="DP68">
        <v>3.2909999999999999</v>
      </c>
      <c r="DQ68">
        <v>536.29999999999995</v>
      </c>
      <c r="DR68">
        <v>9999</v>
      </c>
      <c r="DS68">
        <v>9999</v>
      </c>
      <c r="DT68">
        <v>9999</v>
      </c>
      <c r="DU68">
        <v>1.87103</v>
      </c>
      <c r="DV68">
        <v>1.8760699999999999</v>
      </c>
      <c r="DW68">
        <v>1.87625</v>
      </c>
      <c r="DX68">
        <v>1.8827799999999999</v>
      </c>
      <c r="DY68">
        <v>1.87558</v>
      </c>
      <c r="DZ68">
        <v>1.8746400000000001</v>
      </c>
      <c r="EA68">
        <v>1.8707400000000001</v>
      </c>
      <c r="EB68">
        <v>1.8745700000000001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-0.84399999999999997</v>
      </c>
      <c r="EQ68">
        <v>9.0499999999999997E-2</v>
      </c>
      <c r="ER68">
        <v>-0.84339999999997395</v>
      </c>
      <c r="ES68">
        <v>0</v>
      </c>
      <c r="ET68">
        <v>0</v>
      </c>
      <c r="EU68">
        <v>0</v>
      </c>
      <c r="EV68">
        <v>9.0479999999999394E-2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5.3</v>
      </c>
      <c r="FE68">
        <v>5.3</v>
      </c>
      <c r="FF68">
        <v>1.2390099999999999</v>
      </c>
      <c r="FG68">
        <v>2.5927699999999998</v>
      </c>
      <c r="FH68">
        <v>2.19604</v>
      </c>
      <c r="FI68">
        <v>2.66235</v>
      </c>
      <c r="FJ68">
        <v>2.4462899999999999</v>
      </c>
      <c r="FK68">
        <v>2.2717299999999998</v>
      </c>
      <c r="FL68">
        <v>31.9146</v>
      </c>
      <c r="FM68">
        <v>24.148800000000001</v>
      </c>
      <c r="FN68">
        <v>19</v>
      </c>
      <c r="FO68">
        <v>865.18899999999996</v>
      </c>
      <c r="FP68">
        <v>575.26499999999999</v>
      </c>
      <c r="FQ68">
        <v>18.231000000000002</v>
      </c>
      <c r="FR68">
        <v>25.5686</v>
      </c>
      <c r="FS68">
        <v>30.0001</v>
      </c>
      <c r="FT68">
        <v>25.5794</v>
      </c>
      <c r="FU68">
        <v>25.583500000000001</v>
      </c>
      <c r="FV68">
        <v>24.874199999999998</v>
      </c>
      <c r="FW68">
        <v>32.971499999999999</v>
      </c>
      <c r="FX68">
        <v>20.611499999999999</v>
      </c>
      <c r="FY68">
        <v>18.252700000000001</v>
      </c>
      <c r="FZ68">
        <v>410</v>
      </c>
      <c r="GA68">
        <v>14.581200000000001</v>
      </c>
      <c r="GB68">
        <v>99.864099999999993</v>
      </c>
      <c r="GC68">
        <v>99.682900000000004</v>
      </c>
    </row>
    <row r="69" spans="1:185" x14ac:dyDescent="0.2">
      <c r="A69">
        <v>54</v>
      </c>
      <c r="B69">
        <v>1769195543.0999999</v>
      </c>
      <c r="C69">
        <v>982.09999990463302</v>
      </c>
      <c r="D69" t="s">
        <v>402</v>
      </c>
      <c r="E69" t="s">
        <v>403</v>
      </c>
      <c r="F69">
        <v>15</v>
      </c>
      <c r="G69">
        <v>1769195535.03333</v>
      </c>
      <c r="H69">
        <f t="shared" si="0"/>
        <v>6.5478622670071221E-4</v>
      </c>
      <c r="I69">
        <v>0</v>
      </c>
      <c r="J69">
        <f t="shared" si="12"/>
        <v>-1.9313893642398273E-3</v>
      </c>
      <c r="K69">
        <f t="shared" si="1"/>
        <v>-7.1970941618020021E-2</v>
      </c>
      <c r="L69">
        <f t="shared" si="2"/>
        <v>69.769290643312829</v>
      </c>
      <c r="M69">
        <f t="shared" si="3"/>
        <v>1.5361798186410485</v>
      </c>
      <c r="N69">
        <f t="shared" si="4"/>
        <v>2.2017993940838303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26243.911251031946</v>
      </c>
      <c r="T69">
        <f t="shared" si="8"/>
        <v>100.001546666667</v>
      </c>
      <c r="U69">
        <f t="shared" si="9"/>
        <v>84.300979474983535</v>
      </c>
      <c r="V69">
        <f t="shared" si="10"/>
        <v>0.84299675640000027</v>
      </c>
      <c r="W69">
        <f t="shared" si="11"/>
        <v>0.15869178706400006</v>
      </c>
      <c r="X69">
        <v>1</v>
      </c>
      <c r="Y69">
        <v>1769195535.03333</v>
      </c>
      <c r="Z69">
        <v>409.74026666666703</v>
      </c>
      <c r="AA69">
        <v>409.98566666666699</v>
      </c>
      <c r="AB69">
        <v>15.3339933333333</v>
      </c>
      <c r="AC69">
        <v>14.5280666666667</v>
      </c>
      <c r="AD69">
        <v>410.58359999999999</v>
      </c>
      <c r="AE69">
        <v>15.243506666666701</v>
      </c>
      <c r="AF69">
        <v>800.00546666666696</v>
      </c>
      <c r="AG69">
        <v>100.1168</v>
      </c>
      <c r="AH69">
        <v>6.4528193333333303E-2</v>
      </c>
      <c r="AI69">
        <v>18.9754133333333</v>
      </c>
      <c r="AJ69">
        <v>999.9</v>
      </c>
      <c r="AK69">
        <v>999.9</v>
      </c>
      <c r="AL69">
        <v>0</v>
      </c>
      <c r="AM69">
        <v>0</v>
      </c>
      <c r="AN69">
        <v>4998.1666666666697</v>
      </c>
      <c r="AO69">
        <v>0</v>
      </c>
      <c r="AP69">
        <v>1.7502500000000001</v>
      </c>
      <c r="AQ69">
        <v>-0.24535526666666699</v>
      </c>
      <c r="AR69">
        <v>416.12106666666699</v>
      </c>
      <c r="AS69">
        <v>416.02973333333301</v>
      </c>
      <c r="AT69">
        <v>0.80592406666666705</v>
      </c>
      <c r="AU69">
        <v>409.98566666666699</v>
      </c>
      <c r="AV69">
        <v>14.5280666666667</v>
      </c>
      <c r="AW69">
        <v>1.5351906666666699</v>
      </c>
      <c r="AX69">
        <v>1.45450533333333</v>
      </c>
      <c r="AY69">
        <v>13.32324</v>
      </c>
      <c r="AZ69">
        <v>12.498100000000001</v>
      </c>
      <c r="BA69">
        <v>100.001546666667</v>
      </c>
      <c r="BB69">
        <v>0.90010966666666703</v>
      </c>
      <c r="BC69">
        <v>0</v>
      </c>
      <c r="BD69">
        <v>9.9890386666666706E-2</v>
      </c>
      <c r="BE69">
        <v>0</v>
      </c>
      <c r="BF69">
        <v>24</v>
      </c>
      <c r="BG69">
        <v>1648.9580000000001</v>
      </c>
      <c r="BH69">
        <v>1769195209.0999999</v>
      </c>
      <c r="BI69" t="s">
        <v>379</v>
      </c>
      <c r="BJ69">
        <v>1769195209.0999999</v>
      </c>
      <c r="BK69">
        <v>1769195209.0999999</v>
      </c>
      <c r="BL69">
        <v>2</v>
      </c>
      <c r="BM69">
        <v>0.01</v>
      </c>
      <c r="BN69">
        <v>-3.0000000000000001E-3</v>
      </c>
      <c r="BO69">
        <v>-0.84299999999999997</v>
      </c>
      <c r="BP69">
        <v>0.09</v>
      </c>
      <c r="BQ69">
        <v>410</v>
      </c>
      <c r="BR69">
        <v>14</v>
      </c>
      <c r="BS69">
        <v>0.42</v>
      </c>
      <c r="BT69">
        <v>0.1</v>
      </c>
      <c r="BU69">
        <v>-0.25705976190476199</v>
      </c>
      <c r="BV69">
        <v>9.52885714285715E-2</v>
      </c>
      <c r="BW69">
        <v>2.4266533956802401E-2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0.80089138095238099</v>
      </c>
      <c r="CD69">
        <v>7.9918285714285303E-2</v>
      </c>
      <c r="CE69">
        <v>9.2273163073467706E-3</v>
      </c>
      <c r="CF69">
        <v>1</v>
      </c>
      <c r="CG69">
        <v>2</v>
      </c>
      <c r="CH69">
        <v>2</v>
      </c>
      <c r="CI69" t="s">
        <v>304</v>
      </c>
      <c r="CJ69">
        <v>3.5325099999999998</v>
      </c>
      <c r="CK69">
        <v>2.7025899999999998</v>
      </c>
      <c r="CL69">
        <v>9.7902000000000003E-2</v>
      </c>
      <c r="CM69">
        <v>9.65863E-2</v>
      </c>
      <c r="CN69">
        <v>8.6809800000000006E-2</v>
      </c>
      <c r="CO69">
        <v>8.2516300000000001E-2</v>
      </c>
      <c r="CP69">
        <v>31628.6</v>
      </c>
      <c r="CQ69">
        <v>27803.599999999999</v>
      </c>
      <c r="CR69">
        <v>32450.7</v>
      </c>
      <c r="CS69">
        <v>30703.599999999999</v>
      </c>
      <c r="CT69">
        <v>40129.800000000003</v>
      </c>
      <c r="CU69">
        <v>39614.6</v>
      </c>
      <c r="CV69">
        <v>47394.9</v>
      </c>
      <c r="CW69">
        <v>46826</v>
      </c>
      <c r="CX69">
        <v>2.6213799999999998</v>
      </c>
      <c r="CY69">
        <v>2.1274799999999998</v>
      </c>
      <c r="CZ69">
        <v>0</v>
      </c>
      <c r="DA69">
        <v>0</v>
      </c>
      <c r="DB69">
        <v>999.9</v>
      </c>
      <c r="DC69">
        <v>999.9</v>
      </c>
      <c r="DD69">
        <v>57.759</v>
      </c>
      <c r="DE69">
        <v>27.280999999999999</v>
      </c>
      <c r="DF69">
        <v>20.992699999999999</v>
      </c>
      <c r="DG69">
        <v>30.346399999999999</v>
      </c>
      <c r="DH69">
        <v>16.350200000000001</v>
      </c>
      <c r="DI69">
        <v>2</v>
      </c>
      <c r="DJ69">
        <v>-0.112175</v>
      </c>
      <c r="DK69">
        <v>2.0632299999999999</v>
      </c>
      <c r="DL69">
        <v>20.232299999999999</v>
      </c>
      <c r="DM69">
        <v>5.2496400000000003</v>
      </c>
      <c r="DN69">
        <v>12.033899999999999</v>
      </c>
      <c r="DO69">
        <v>4.96692</v>
      </c>
      <c r="DP69">
        <v>3.2909999999999999</v>
      </c>
      <c r="DQ69">
        <v>536.29999999999995</v>
      </c>
      <c r="DR69">
        <v>9999</v>
      </c>
      <c r="DS69">
        <v>9999</v>
      </c>
      <c r="DT69">
        <v>9999</v>
      </c>
      <c r="DU69">
        <v>1.8710500000000001</v>
      </c>
      <c r="DV69">
        <v>1.8760699999999999</v>
      </c>
      <c r="DW69">
        <v>1.8762799999999999</v>
      </c>
      <c r="DX69">
        <v>1.8827799999999999</v>
      </c>
      <c r="DY69">
        <v>1.87558</v>
      </c>
      <c r="DZ69">
        <v>1.87466</v>
      </c>
      <c r="EA69">
        <v>1.8707499999999999</v>
      </c>
      <c r="EB69">
        <v>1.8745700000000001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-0.84399999999999997</v>
      </c>
      <c r="EQ69">
        <v>9.0499999999999997E-2</v>
      </c>
      <c r="ER69">
        <v>-0.84339999999997395</v>
      </c>
      <c r="ES69">
        <v>0</v>
      </c>
      <c r="ET69">
        <v>0</v>
      </c>
      <c r="EU69">
        <v>0</v>
      </c>
      <c r="EV69">
        <v>9.0479999999999394E-2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5.6</v>
      </c>
      <c r="FE69">
        <v>5.6</v>
      </c>
      <c r="FF69">
        <v>1.2390099999999999</v>
      </c>
      <c r="FG69">
        <v>2.5952099999999998</v>
      </c>
      <c r="FH69">
        <v>2.19604</v>
      </c>
      <c r="FI69">
        <v>2.66235</v>
      </c>
      <c r="FJ69">
        <v>2.4462899999999999</v>
      </c>
      <c r="FK69">
        <v>2.2997999999999998</v>
      </c>
      <c r="FL69">
        <v>31.936499999999999</v>
      </c>
      <c r="FM69">
        <v>24.157499999999999</v>
      </c>
      <c r="FN69">
        <v>19</v>
      </c>
      <c r="FO69">
        <v>865.26099999999997</v>
      </c>
      <c r="FP69">
        <v>575.22900000000004</v>
      </c>
      <c r="FQ69">
        <v>18.2835</v>
      </c>
      <c r="FR69">
        <v>25.571899999999999</v>
      </c>
      <c r="FS69">
        <v>30.0001</v>
      </c>
      <c r="FT69">
        <v>25.581600000000002</v>
      </c>
      <c r="FU69">
        <v>25.584299999999999</v>
      </c>
      <c r="FV69">
        <v>24.876999999999999</v>
      </c>
      <c r="FW69">
        <v>32.971499999999999</v>
      </c>
      <c r="FX69">
        <v>20.231300000000001</v>
      </c>
      <c r="FY69">
        <v>18.304400000000001</v>
      </c>
      <c r="FZ69">
        <v>410</v>
      </c>
      <c r="GA69">
        <v>14.581200000000001</v>
      </c>
      <c r="GB69">
        <v>99.864999999999995</v>
      </c>
      <c r="GC69">
        <v>99.680899999999994</v>
      </c>
    </row>
    <row r="70" spans="1:185" x14ac:dyDescent="0.2">
      <c r="A70">
        <v>55</v>
      </c>
      <c r="B70">
        <v>1769195558.0999999</v>
      </c>
      <c r="C70">
        <v>997.09999990463302</v>
      </c>
      <c r="D70" t="s">
        <v>404</v>
      </c>
      <c r="E70" t="s">
        <v>405</v>
      </c>
      <c r="F70">
        <v>15</v>
      </c>
      <c r="G70">
        <v>1769195550.03333</v>
      </c>
      <c r="H70">
        <f t="shared" si="0"/>
        <v>6.5448183195507693E-4</v>
      </c>
      <c r="I70">
        <v>0</v>
      </c>
      <c r="J70">
        <f t="shared" si="12"/>
        <v>-1.8925235248859191E-3</v>
      </c>
      <c r="K70">
        <f t="shared" si="1"/>
        <v>-7.0522652056698748E-2</v>
      </c>
      <c r="L70">
        <f t="shared" si="2"/>
        <v>69.711231670702063</v>
      </c>
      <c r="M70">
        <f t="shared" si="3"/>
        <v>1.534963428487006</v>
      </c>
      <c r="N70">
        <f t="shared" si="4"/>
        <v>2.2018882634835353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26235.105803416343</v>
      </c>
      <c r="T70">
        <f t="shared" si="8"/>
        <v>99.998806666666695</v>
      </c>
      <c r="U70">
        <f t="shared" si="9"/>
        <v>84.29866054397958</v>
      </c>
      <c r="V70">
        <f t="shared" si="10"/>
        <v>0.84299666520000027</v>
      </c>
      <c r="W70">
        <f t="shared" si="11"/>
        <v>0.15869148111200004</v>
      </c>
      <c r="X70">
        <v>1</v>
      </c>
      <c r="Y70">
        <v>1769195550.03333</v>
      </c>
      <c r="Z70">
        <v>409.75346666666701</v>
      </c>
      <c r="AA70">
        <v>410.00053333333301</v>
      </c>
      <c r="AB70">
        <v>15.32174</v>
      </c>
      <c r="AC70">
        <v>14.516173333333301</v>
      </c>
      <c r="AD70">
        <v>410.59719999999999</v>
      </c>
      <c r="AE70">
        <v>15.231260000000001</v>
      </c>
      <c r="AF70">
        <v>800.00086666666698</v>
      </c>
      <c r="AG70">
        <v>100.1174</v>
      </c>
      <c r="AH70">
        <v>6.4656900000000003E-2</v>
      </c>
      <c r="AI70">
        <v>18.97606</v>
      </c>
      <c r="AJ70">
        <v>999.9</v>
      </c>
      <c r="AK70">
        <v>999.9</v>
      </c>
      <c r="AL70">
        <v>0</v>
      </c>
      <c r="AM70">
        <v>0</v>
      </c>
      <c r="AN70">
        <v>4996.7</v>
      </c>
      <c r="AO70">
        <v>0</v>
      </c>
      <c r="AP70">
        <v>1.7502500000000001</v>
      </c>
      <c r="AQ70">
        <v>-0.24680566666666701</v>
      </c>
      <c r="AR70">
        <v>416.12946666666699</v>
      </c>
      <c r="AS70">
        <v>416.03993333333301</v>
      </c>
      <c r="AT70">
        <v>0.80555786666666596</v>
      </c>
      <c r="AU70">
        <v>410.00053333333301</v>
      </c>
      <c r="AV70">
        <v>14.516173333333301</v>
      </c>
      <c r="AW70">
        <v>1.53397133333333</v>
      </c>
      <c r="AX70">
        <v>1.45332066666667</v>
      </c>
      <c r="AY70">
        <v>13.31104</v>
      </c>
      <c r="AZ70">
        <v>12.485713333333299</v>
      </c>
      <c r="BA70">
        <v>99.998806666666695</v>
      </c>
      <c r="BB70">
        <v>0.90011386666666704</v>
      </c>
      <c r="BC70">
        <v>0</v>
      </c>
      <c r="BD70">
        <v>9.9886226666666605E-2</v>
      </c>
      <c r="BE70">
        <v>0</v>
      </c>
      <c r="BF70">
        <v>24</v>
      </c>
      <c r="BG70">
        <v>1648.91333333333</v>
      </c>
      <c r="BH70">
        <v>1769195209.0999999</v>
      </c>
      <c r="BI70" t="s">
        <v>379</v>
      </c>
      <c r="BJ70">
        <v>1769195209.0999999</v>
      </c>
      <c r="BK70">
        <v>1769195209.0999999</v>
      </c>
      <c r="BL70">
        <v>2</v>
      </c>
      <c r="BM70">
        <v>0.01</v>
      </c>
      <c r="BN70">
        <v>-3.0000000000000001E-3</v>
      </c>
      <c r="BO70">
        <v>-0.84299999999999997</v>
      </c>
      <c r="BP70">
        <v>0.09</v>
      </c>
      <c r="BQ70">
        <v>410</v>
      </c>
      <c r="BR70">
        <v>14</v>
      </c>
      <c r="BS70">
        <v>0.42</v>
      </c>
      <c r="BT70">
        <v>0.1</v>
      </c>
      <c r="BU70">
        <v>-0.25035157142857101</v>
      </c>
      <c r="BV70">
        <v>5.00408571428567E-2</v>
      </c>
      <c r="BW70">
        <v>1.45721132224776E-2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0.80643161904761895</v>
      </c>
      <c r="CD70">
        <v>-4.7119558441559101E-2</v>
      </c>
      <c r="CE70">
        <v>8.0420406287162408E-3</v>
      </c>
      <c r="CF70">
        <v>1</v>
      </c>
      <c r="CG70">
        <v>2</v>
      </c>
      <c r="CH70">
        <v>2</v>
      </c>
      <c r="CI70" t="s">
        <v>304</v>
      </c>
      <c r="CJ70">
        <v>3.5325600000000001</v>
      </c>
      <c r="CK70">
        <v>2.7023600000000001</v>
      </c>
      <c r="CL70">
        <v>9.7901699999999994E-2</v>
      </c>
      <c r="CM70">
        <v>9.6586900000000003E-2</v>
      </c>
      <c r="CN70">
        <v>8.6792900000000006E-2</v>
      </c>
      <c r="CO70">
        <v>8.2551200000000005E-2</v>
      </c>
      <c r="CP70">
        <v>31628</v>
      </c>
      <c r="CQ70">
        <v>27804</v>
      </c>
      <c r="CR70">
        <v>32450.2</v>
      </c>
      <c r="CS70">
        <v>30704</v>
      </c>
      <c r="CT70">
        <v>40129.9</v>
      </c>
      <c r="CU70">
        <v>39613.199999999997</v>
      </c>
      <c r="CV70">
        <v>47394.2</v>
      </c>
      <c r="CW70">
        <v>46826.2</v>
      </c>
      <c r="CX70">
        <v>2.62154</v>
      </c>
      <c r="CY70">
        <v>2.1271</v>
      </c>
      <c r="CZ70">
        <v>0</v>
      </c>
      <c r="DA70">
        <v>0</v>
      </c>
      <c r="DB70">
        <v>999.9</v>
      </c>
      <c r="DC70">
        <v>999.9</v>
      </c>
      <c r="DD70">
        <v>57.643000000000001</v>
      </c>
      <c r="DE70">
        <v>27.311</v>
      </c>
      <c r="DF70">
        <v>20.987200000000001</v>
      </c>
      <c r="DG70">
        <v>29.9864</v>
      </c>
      <c r="DH70">
        <v>16.318100000000001</v>
      </c>
      <c r="DI70">
        <v>2</v>
      </c>
      <c r="DJ70">
        <v>-0.111902</v>
      </c>
      <c r="DK70">
        <v>2.01118</v>
      </c>
      <c r="DL70">
        <v>20.2332</v>
      </c>
      <c r="DM70">
        <v>5.2498800000000001</v>
      </c>
      <c r="DN70">
        <v>12.033899999999999</v>
      </c>
      <c r="DO70">
        <v>4.9668000000000001</v>
      </c>
      <c r="DP70">
        <v>3.2909999999999999</v>
      </c>
      <c r="DQ70">
        <v>536.29999999999995</v>
      </c>
      <c r="DR70">
        <v>9999</v>
      </c>
      <c r="DS70">
        <v>9999</v>
      </c>
      <c r="DT70">
        <v>9999</v>
      </c>
      <c r="DU70">
        <v>1.87104</v>
      </c>
      <c r="DV70">
        <v>1.8760699999999999</v>
      </c>
      <c r="DW70">
        <v>1.87626</v>
      </c>
      <c r="DX70">
        <v>1.8827799999999999</v>
      </c>
      <c r="DY70">
        <v>1.87557</v>
      </c>
      <c r="DZ70">
        <v>1.8746499999999999</v>
      </c>
      <c r="EA70">
        <v>1.87076</v>
      </c>
      <c r="EB70">
        <v>1.8745700000000001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-0.84399999999999997</v>
      </c>
      <c r="EQ70">
        <v>9.0499999999999997E-2</v>
      </c>
      <c r="ER70">
        <v>-0.84339999999997395</v>
      </c>
      <c r="ES70">
        <v>0</v>
      </c>
      <c r="ET70">
        <v>0</v>
      </c>
      <c r="EU70">
        <v>0</v>
      </c>
      <c r="EV70">
        <v>9.0479999999999394E-2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5.8</v>
      </c>
      <c r="FE70">
        <v>5.8</v>
      </c>
      <c r="FF70">
        <v>1.2390099999999999</v>
      </c>
      <c r="FG70">
        <v>2.5915499999999998</v>
      </c>
      <c r="FH70">
        <v>2.19604</v>
      </c>
      <c r="FI70">
        <v>2.66235</v>
      </c>
      <c r="FJ70">
        <v>2.4462899999999999</v>
      </c>
      <c r="FK70">
        <v>2.3144499999999999</v>
      </c>
      <c r="FL70">
        <v>31.936499999999999</v>
      </c>
      <c r="FM70">
        <v>24.157499999999999</v>
      </c>
      <c r="FN70">
        <v>19</v>
      </c>
      <c r="FO70">
        <v>865.43100000000004</v>
      </c>
      <c r="FP70">
        <v>574.96199999999999</v>
      </c>
      <c r="FQ70">
        <v>18.3353</v>
      </c>
      <c r="FR70">
        <v>25.574000000000002</v>
      </c>
      <c r="FS70">
        <v>30.0001</v>
      </c>
      <c r="FT70">
        <v>25.582899999999999</v>
      </c>
      <c r="FU70">
        <v>25.586500000000001</v>
      </c>
      <c r="FV70">
        <v>24.8764</v>
      </c>
      <c r="FW70">
        <v>32.681399999999996</v>
      </c>
      <c r="FX70">
        <v>19.851099999999999</v>
      </c>
      <c r="FY70">
        <v>18.354199999999999</v>
      </c>
      <c r="FZ70">
        <v>410</v>
      </c>
      <c r="GA70">
        <v>14.582100000000001</v>
      </c>
      <c r="GB70">
        <v>99.863299999999995</v>
      </c>
      <c r="GC70">
        <v>99.681700000000006</v>
      </c>
    </row>
    <row r="71" spans="1:185" x14ac:dyDescent="0.2">
      <c r="A71">
        <v>56</v>
      </c>
      <c r="B71">
        <v>1769195573.0999999</v>
      </c>
      <c r="C71">
        <v>1012.09999990463</v>
      </c>
      <c r="D71" t="s">
        <v>406</v>
      </c>
      <c r="E71" t="s">
        <v>407</v>
      </c>
      <c r="F71">
        <v>15</v>
      </c>
      <c r="G71">
        <v>1769195565.03333</v>
      </c>
      <c r="H71">
        <f t="shared" si="0"/>
        <v>6.4660243721844973E-4</v>
      </c>
      <c r="I71">
        <v>0</v>
      </c>
      <c r="J71">
        <f t="shared" si="12"/>
        <v>-1.6682695138795546E-3</v>
      </c>
      <c r="K71">
        <f t="shared" si="1"/>
        <v>-6.2166091420828046E-2</v>
      </c>
      <c r="L71">
        <f t="shared" si="2"/>
        <v>69.670588669070156</v>
      </c>
      <c r="M71">
        <f t="shared" si="3"/>
        <v>1.5346941793176352</v>
      </c>
      <c r="N71">
        <f t="shared" si="4"/>
        <v>2.2027862956739357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26286.575278864893</v>
      </c>
      <c r="T71">
        <f t="shared" si="8"/>
        <v>99.99906</v>
      </c>
      <c r="U71">
        <f t="shared" si="9"/>
        <v>84.298810043736893</v>
      </c>
      <c r="V71">
        <f t="shared" si="10"/>
        <v>0.84299602460000023</v>
      </c>
      <c r="W71">
        <f t="shared" si="11"/>
        <v>0.15868997055600004</v>
      </c>
      <c r="X71">
        <v>1</v>
      </c>
      <c r="Y71">
        <v>1769195565.03333</v>
      </c>
      <c r="Z71">
        <v>409.74533333333301</v>
      </c>
      <c r="AA71">
        <v>409.99880000000002</v>
      </c>
      <c r="AB71">
        <v>15.319013333333301</v>
      </c>
      <c r="AC71">
        <v>14.523153333333299</v>
      </c>
      <c r="AD71">
        <v>410.58879999999999</v>
      </c>
      <c r="AE71">
        <v>15.228540000000001</v>
      </c>
      <c r="AF71">
        <v>800.01146666666705</v>
      </c>
      <c r="AG71">
        <v>100.1176</v>
      </c>
      <c r="AH71">
        <v>6.4712393333333298E-2</v>
      </c>
      <c r="AI71">
        <v>18.982593333333298</v>
      </c>
      <c r="AJ71">
        <v>999.9</v>
      </c>
      <c r="AK71">
        <v>999.9</v>
      </c>
      <c r="AL71">
        <v>0</v>
      </c>
      <c r="AM71">
        <v>0</v>
      </c>
      <c r="AN71">
        <v>5005.2666666666701</v>
      </c>
      <c r="AO71">
        <v>0</v>
      </c>
      <c r="AP71">
        <v>1.7502500000000001</v>
      </c>
      <c r="AQ71">
        <v>-0.25328573333333299</v>
      </c>
      <c r="AR71">
        <v>416.11986666666701</v>
      </c>
      <c r="AS71">
        <v>416.040866666667</v>
      </c>
      <c r="AT71">
        <v>0.79586826666666699</v>
      </c>
      <c r="AU71">
        <v>409.99880000000002</v>
      </c>
      <c r="AV71">
        <v>14.523153333333299</v>
      </c>
      <c r="AW71">
        <v>1.53369933333333</v>
      </c>
      <c r="AX71">
        <v>1.4540213333333301</v>
      </c>
      <c r="AY71">
        <v>13.3083333333333</v>
      </c>
      <c r="AZ71">
        <v>12.493026666666699</v>
      </c>
      <c r="BA71">
        <v>99.99906</v>
      </c>
      <c r="BB71">
        <v>0.90013386666666695</v>
      </c>
      <c r="BC71">
        <v>0</v>
      </c>
      <c r="BD71">
        <v>9.9866179999999999E-2</v>
      </c>
      <c r="BE71">
        <v>0</v>
      </c>
      <c r="BF71">
        <v>24</v>
      </c>
      <c r="BG71">
        <v>1648.9286666666701</v>
      </c>
      <c r="BH71">
        <v>1769195209.0999999</v>
      </c>
      <c r="BI71" t="s">
        <v>379</v>
      </c>
      <c r="BJ71">
        <v>1769195209.0999999</v>
      </c>
      <c r="BK71">
        <v>1769195209.0999999</v>
      </c>
      <c r="BL71">
        <v>2</v>
      </c>
      <c r="BM71">
        <v>0.01</v>
      </c>
      <c r="BN71">
        <v>-3.0000000000000001E-3</v>
      </c>
      <c r="BO71">
        <v>-0.84299999999999997</v>
      </c>
      <c r="BP71">
        <v>0.09</v>
      </c>
      <c r="BQ71">
        <v>410</v>
      </c>
      <c r="BR71">
        <v>14</v>
      </c>
      <c r="BS71">
        <v>0.42</v>
      </c>
      <c r="BT71">
        <v>0.1</v>
      </c>
      <c r="BU71">
        <v>-0.25024410000000002</v>
      </c>
      <c r="BV71">
        <v>-9.0212571428571697E-2</v>
      </c>
      <c r="BW71">
        <v>2.49451760364604E-2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0.79537590000000002</v>
      </c>
      <c r="CD71">
        <v>-4.4932691729323501E-2</v>
      </c>
      <c r="CE71">
        <v>1.3746144677326801E-2</v>
      </c>
      <c r="CF71">
        <v>1</v>
      </c>
      <c r="CG71">
        <v>2</v>
      </c>
      <c r="CH71">
        <v>2</v>
      </c>
      <c r="CI71" t="s">
        <v>304</v>
      </c>
      <c r="CJ71">
        <v>3.5325199999999999</v>
      </c>
      <c r="CK71">
        <v>2.7024900000000001</v>
      </c>
      <c r="CL71">
        <v>9.7900200000000007E-2</v>
      </c>
      <c r="CM71">
        <v>9.6584699999999996E-2</v>
      </c>
      <c r="CN71">
        <v>8.6763999999999994E-2</v>
      </c>
      <c r="CO71">
        <v>8.2725099999999996E-2</v>
      </c>
      <c r="CP71">
        <v>31628.2</v>
      </c>
      <c r="CQ71">
        <v>27804.5</v>
      </c>
      <c r="CR71">
        <v>32450.3</v>
      </c>
      <c r="CS71">
        <v>30704.5</v>
      </c>
      <c r="CT71">
        <v>40131.4</v>
      </c>
      <c r="CU71">
        <v>39606.199999999997</v>
      </c>
      <c r="CV71">
        <v>47394.3</v>
      </c>
      <c r="CW71">
        <v>46827.1</v>
      </c>
      <c r="CX71">
        <v>2.6213600000000001</v>
      </c>
      <c r="CY71">
        <v>2.1271800000000001</v>
      </c>
      <c r="CZ71">
        <v>0</v>
      </c>
      <c r="DA71">
        <v>0</v>
      </c>
      <c r="DB71">
        <v>999.9</v>
      </c>
      <c r="DC71">
        <v>999.9</v>
      </c>
      <c r="DD71">
        <v>57.52</v>
      </c>
      <c r="DE71">
        <v>27.311</v>
      </c>
      <c r="DF71">
        <v>20.9419</v>
      </c>
      <c r="DG71">
        <v>30.3764</v>
      </c>
      <c r="DH71">
        <v>16.334099999999999</v>
      </c>
      <c r="DI71">
        <v>2</v>
      </c>
      <c r="DJ71">
        <v>-0.111677</v>
      </c>
      <c r="DK71">
        <v>2.0006499999999998</v>
      </c>
      <c r="DL71">
        <v>20.232800000000001</v>
      </c>
      <c r="DM71">
        <v>5.2501199999999999</v>
      </c>
      <c r="DN71">
        <v>12.033899999999999</v>
      </c>
      <c r="DO71">
        <v>4.9667199999999996</v>
      </c>
      <c r="DP71">
        <v>3.2909999999999999</v>
      </c>
      <c r="DQ71">
        <v>536.29999999999995</v>
      </c>
      <c r="DR71">
        <v>9999</v>
      </c>
      <c r="DS71">
        <v>9999</v>
      </c>
      <c r="DT71">
        <v>9999</v>
      </c>
      <c r="DU71">
        <v>1.87103</v>
      </c>
      <c r="DV71">
        <v>1.8760699999999999</v>
      </c>
      <c r="DW71">
        <v>1.87625</v>
      </c>
      <c r="DX71">
        <v>1.8827799999999999</v>
      </c>
      <c r="DY71">
        <v>1.8755900000000001</v>
      </c>
      <c r="DZ71">
        <v>1.8746400000000001</v>
      </c>
      <c r="EA71">
        <v>1.87076</v>
      </c>
      <c r="EB71">
        <v>1.8745799999999999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-0.84399999999999997</v>
      </c>
      <c r="EQ71">
        <v>9.0499999999999997E-2</v>
      </c>
      <c r="ER71">
        <v>-0.84339999999997395</v>
      </c>
      <c r="ES71">
        <v>0</v>
      </c>
      <c r="ET71">
        <v>0</v>
      </c>
      <c r="EU71">
        <v>0</v>
      </c>
      <c r="EV71">
        <v>9.0479999999999394E-2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6.1</v>
      </c>
      <c r="FE71">
        <v>6.1</v>
      </c>
      <c r="FF71">
        <v>1.2390099999999999</v>
      </c>
      <c r="FG71">
        <v>2.5866699999999998</v>
      </c>
      <c r="FH71">
        <v>2.19604</v>
      </c>
      <c r="FI71">
        <v>2.66235</v>
      </c>
      <c r="FJ71">
        <v>2.4462899999999999</v>
      </c>
      <c r="FK71">
        <v>2.2961399999999998</v>
      </c>
      <c r="FL71">
        <v>31.936499999999999</v>
      </c>
      <c r="FM71">
        <v>24.148800000000001</v>
      </c>
      <c r="FN71">
        <v>19</v>
      </c>
      <c r="FO71">
        <v>865.27599999999995</v>
      </c>
      <c r="FP71">
        <v>575.03700000000003</v>
      </c>
      <c r="FQ71">
        <v>18.380299999999998</v>
      </c>
      <c r="FR71">
        <v>25.5762</v>
      </c>
      <c r="FS71">
        <v>30.0002</v>
      </c>
      <c r="FT71">
        <v>25.5837</v>
      </c>
      <c r="FU71">
        <v>25.587800000000001</v>
      </c>
      <c r="FV71">
        <v>24.8767</v>
      </c>
      <c r="FW71">
        <v>32.411099999999998</v>
      </c>
      <c r="FX71">
        <v>19.476800000000001</v>
      </c>
      <c r="FY71">
        <v>18.389199999999999</v>
      </c>
      <c r="FZ71">
        <v>410</v>
      </c>
      <c r="GA71">
        <v>14.5915</v>
      </c>
      <c r="GB71">
        <v>99.863600000000005</v>
      </c>
      <c r="GC71">
        <v>99.683400000000006</v>
      </c>
    </row>
    <row r="72" spans="1:185" x14ac:dyDescent="0.2">
      <c r="A72">
        <v>57</v>
      </c>
      <c r="B72">
        <v>1769195588.0999999</v>
      </c>
      <c r="C72">
        <v>1027.0999999046301</v>
      </c>
      <c r="D72" t="s">
        <v>408</v>
      </c>
      <c r="E72" t="s">
        <v>409</v>
      </c>
      <c r="F72">
        <v>15</v>
      </c>
      <c r="G72">
        <v>1769195580.03333</v>
      </c>
      <c r="H72">
        <f t="shared" si="0"/>
        <v>6.2176810227913609E-4</v>
      </c>
      <c r="I72">
        <v>0</v>
      </c>
      <c r="J72">
        <f t="shared" si="12"/>
        <v>-1.4109483787303966E-3</v>
      </c>
      <c r="K72">
        <f t="shared" si="1"/>
        <v>-5.2577323491482114E-2</v>
      </c>
      <c r="L72">
        <f t="shared" si="2"/>
        <v>69.642022029045549</v>
      </c>
      <c r="M72">
        <f t="shared" si="3"/>
        <v>1.5351816344235343</v>
      </c>
      <c r="N72">
        <f t="shared" si="4"/>
        <v>2.2043898061765885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26212.182963113119</v>
      </c>
      <c r="T72">
        <f t="shared" si="8"/>
        <v>100.000046666667</v>
      </c>
      <c r="U72">
        <f t="shared" si="9"/>
        <v>84.299633559810886</v>
      </c>
      <c r="V72">
        <f t="shared" si="10"/>
        <v>0.84299594219999963</v>
      </c>
      <c r="W72">
        <f t="shared" si="11"/>
        <v>0.15868960865199994</v>
      </c>
      <c r="X72">
        <v>1</v>
      </c>
      <c r="Y72">
        <v>1769195580.03333</v>
      </c>
      <c r="Z72">
        <v>409.74133333333299</v>
      </c>
      <c r="AA72">
        <v>409.99406666666698</v>
      </c>
      <c r="AB72">
        <v>15.3237133333333</v>
      </c>
      <c r="AC72">
        <v>14.5584133333333</v>
      </c>
      <c r="AD72">
        <v>410.58499999999998</v>
      </c>
      <c r="AE72">
        <v>15.2332466666667</v>
      </c>
      <c r="AF72">
        <v>800.00040000000001</v>
      </c>
      <c r="AG72">
        <v>100.11879999999999</v>
      </c>
      <c r="AH72">
        <v>6.4595566666666701E-2</v>
      </c>
      <c r="AI72">
        <v>18.994253333333301</v>
      </c>
      <c r="AJ72">
        <v>999.9</v>
      </c>
      <c r="AK72">
        <v>999.9</v>
      </c>
      <c r="AL72">
        <v>0</v>
      </c>
      <c r="AM72">
        <v>0</v>
      </c>
      <c r="AN72">
        <v>4993.1333333333296</v>
      </c>
      <c r="AO72">
        <v>0</v>
      </c>
      <c r="AP72">
        <v>1.7502500000000001</v>
      </c>
      <c r="AQ72">
        <v>-0.25261426666666698</v>
      </c>
      <c r="AR72">
        <v>416.11793333333299</v>
      </c>
      <c r="AS72">
        <v>416.05099999999999</v>
      </c>
      <c r="AT72">
        <v>0.76530640000000005</v>
      </c>
      <c r="AU72">
        <v>409.99406666666698</v>
      </c>
      <c r="AV72">
        <v>14.5584133333333</v>
      </c>
      <c r="AW72">
        <v>1.5341899999999999</v>
      </c>
      <c r="AX72">
        <v>1.45757</v>
      </c>
      <c r="AY72">
        <v>13.3132533333333</v>
      </c>
      <c r="AZ72">
        <v>12.5301733333333</v>
      </c>
      <c r="BA72">
        <v>100.000046666667</v>
      </c>
      <c r="BB72">
        <v>0.90013893333333295</v>
      </c>
      <c r="BC72">
        <v>0</v>
      </c>
      <c r="BD72">
        <v>9.9861193333333306E-2</v>
      </c>
      <c r="BE72">
        <v>0</v>
      </c>
      <c r="BF72">
        <v>24</v>
      </c>
      <c r="BG72">
        <v>1648.9493333333301</v>
      </c>
      <c r="BH72">
        <v>1769195209.0999999</v>
      </c>
      <c r="BI72" t="s">
        <v>379</v>
      </c>
      <c r="BJ72">
        <v>1769195209.0999999</v>
      </c>
      <c r="BK72">
        <v>1769195209.0999999</v>
      </c>
      <c r="BL72">
        <v>2</v>
      </c>
      <c r="BM72">
        <v>0.01</v>
      </c>
      <c r="BN72">
        <v>-3.0000000000000001E-3</v>
      </c>
      <c r="BO72">
        <v>-0.84299999999999997</v>
      </c>
      <c r="BP72">
        <v>0.09</v>
      </c>
      <c r="BQ72">
        <v>410</v>
      </c>
      <c r="BR72">
        <v>14</v>
      </c>
      <c r="BS72">
        <v>0.42</v>
      </c>
      <c r="BT72">
        <v>0.1</v>
      </c>
      <c r="BU72">
        <v>-0.25488423809523802</v>
      </c>
      <c r="BV72">
        <v>-2.6872207792212701E-3</v>
      </c>
      <c r="BW72">
        <v>1.9873208943329099E-2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0.77038600000000002</v>
      </c>
      <c r="CD72">
        <v>-2.5859220779219198E-2</v>
      </c>
      <c r="CE72">
        <v>1.69242950081771E-2</v>
      </c>
      <c r="CF72">
        <v>1</v>
      </c>
      <c r="CG72">
        <v>2</v>
      </c>
      <c r="CH72">
        <v>2</v>
      </c>
      <c r="CI72" t="s">
        <v>304</v>
      </c>
      <c r="CJ72">
        <v>3.5325600000000001</v>
      </c>
      <c r="CK72">
        <v>2.7025299999999999</v>
      </c>
      <c r="CL72">
        <v>9.7899899999999998E-2</v>
      </c>
      <c r="CM72">
        <v>9.6586000000000005E-2</v>
      </c>
      <c r="CN72">
        <v>8.6833599999999997E-2</v>
      </c>
      <c r="CO72">
        <v>8.2650399999999999E-2</v>
      </c>
      <c r="CP72">
        <v>31627.200000000001</v>
      </c>
      <c r="CQ72">
        <v>27803.599999999999</v>
      </c>
      <c r="CR72">
        <v>32449.3</v>
      </c>
      <c r="CS72">
        <v>30703.599999999999</v>
      </c>
      <c r="CT72">
        <v>40127</v>
      </c>
      <c r="CU72">
        <v>39608.400000000001</v>
      </c>
      <c r="CV72">
        <v>47392.9</v>
      </c>
      <c r="CW72">
        <v>46825.8</v>
      </c>
      <c r="CX72">
        <v>2.6213600000000001</v>
      </c>
      <c r="CY72">
        <v>2.1270199999999999</v>
      </c>
      <c r="CZ72">
        <v>0</v>
      </c>
      <c r="DA72">
        <v>0</v>
      </c>
      <c r="DB72">
        <v>999.9</v>
      </c>
      <c r="DC72">
        <v>999.9</v>
      </c>
      <c r="DD72">
        <v>57.398000000000003</v>
      </c>
      <c r="DE72">
        <v>27.332000000000001</v>
      </c>
      <c r="DF72">
        <v>20.922000000000001</v>
      </c>
      <c r="DG72">
        <v>30.5564</v>
      </c>
      <c r="DH72">
        <v>16.370200000000001</v>
      </c>
      <c r="DI72">
        <v>2</v>
      </c>
      <c r="DJ72">
        <v>-0.111327</v>
      </c>
      <c r="DK72">
        <v>2.0373899999999998</v>
      </c>
      <c r="DL72">
        <v>20.232500000000002</v>
      </c>
      <c r="DM72">
        <v>5.2509499999999996</v>
      </c>
      <c r="DN72">
        <v>12.033899999999999</v>
      </c>
      <c r="DO72">
        <v>4.9671599999999998</v>
      </c>
      <c r="DP72">
        <v>3.2909999999999999</v>
      </c>
      <c r="DQ72">
        <v>536.29999999999995</v>
      </c>
      <c r="DR72">
        <v>9999</v>
      </c>
      <c r="DS72">
        <v>9999</v>
      </c>
      <c r="DT72">
        <v>9999</v>
      </c>
      <c r="DU72">
        <v>1.8710500000000001</v>
      </c>
      <c r="DV72">
        <v>1.87609</v>
      </c>
      <c r="DW72">
        <v>1.8762700000000001</v>
      </c>
      <c r="DX72">
        <v>1.88279</v>
      </c>
      <c r="DY72">
        <v>1.87558</v>
      </c>
      <c r="DZ72">
        <v>1.8746499999999999</v>
      </c>
      <c r="EA72">
        <v>1.8708</v>
      </c>
      <c r="EB72">
        <v>1.8745799999999999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-0.84399999999999997</v>
      </c>
      <c r="EQ72">
        <v>9.0499999999999997E-2</v>
      </c>
      <c r="ER72">
        <v>-0.84339999999997395</v>
      </c>
      <c r="ES72">
        <v>0</v>
      </c>
      <c r="ET72">
        <v>0</v>
      </c>
      <c r="EU72">
        <v>0</v>
      </c>
      <c r="EV72">
        <v>9.0479999999999394E-2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6.3</v>
      </c>
      <c r="FE72">
        <v>6.3</v>
      </c>
      <c r="FF72">
        <v>1.2390099999999999</v>
      </c>
      <c r="FG72">
        <v>2.5854499999999998</v>
      </c>
      <c r="FH72">
        <v>2.19604</v>
      </c>
      <c r="FI72">
        <v>2.66235</v>
      </c>
      <c r="FJ72">
        <v>2.4462899999999999</v>
      </c>
      <c r="FK72">
        <v>2.2961399999999998</v>
      </c>
      <c r="FL72">
        <v>31.936499999999999</v>
      </c>
      <c r="FM72">
        <v>24.148800000000001</v>
      </c>
      <c r="FN72">
        <v>19</v>
      </c>
      <c r="FO72">
        <v>865.32500000000005</v>
      </c>
      <c r="FP72">
        <v>574.94799999999998</v>
      </c>
      <c r="FQ72">
        <v>18.400500000000001</v>
      </c>
      <c r="FR72">
        <v>25.580200000000001</v>
      </c>
      <c r="FS72">
        <v>30.0002</v>
      </c>
      <c r="FT72">
        <v>25.5868</v>
      </c>
      <c r="FU72">
        <v>25.590800000000002</v>
      </c>
      <c r="FV72">
        <v>24.877800000000001</v>
      </c>
      <c r="FW72">
        <v>32.411099999999998</v>
      </c>
      <c r="FX72">
        <v>19.093900000000001</v>
      </c>
      <c r="FY72">
        <v>18.399699999999999</v>
      </c>
      <c r="FZ72">
        <v>410</v>
      </c>
      <c r="GA72">
        <v>14.5852</v>
      </c>
      <c r="GB72">
        <v>99.860699999999994</v>
      </c>
      <c r="GC72">
        <v>99.680499999999995</v>
      </c>
    </row>
    <row r="73" spans="1:185" x14ac:dyDescent="0.2">
      <c r="A73">
        <v>58</v>
      </c>
      <c r="B73">
        <v>1769195603.0999999</v>
      </c>
      <c r="C73">
        <v>1042.0999999046301</v>
      </c>
      <c r="D73" t="s">
        <v>410</v>
      </c>
      <c r="E73" t="s">
        <v>411</v>
      </c>
      <c r="F73">
        <v>15</v>
      </c>
      <c r="G73">
        <v>1769195595.03333</v>
      </c>
      <c r="H73">
        <f t="shared" si="0"/>
        <v>6.4466462500814472E-4</v>
      </c>
      <c r="I73">
        <v>0</v>
      </c>
      <c r="J73">
        <f t="shared" si="12"/>
        <v>-1.7443880639391629E-3</v>
      </c>
      <c r="K73">
        <f t="shared" si="1"/>
        <v>-6.5002559211228564E-2</v>
      </c>
      <c r="L73">
        <f t="shared" si="2"/>
        <v>69.623741783552958</v>
      </c>
      <c r="M73">
        <f t="shared" si="3"/>
        <v>1.5356913565663852</v>
      </c>
      <c r="N73">
        <f t="shared" si="4"/>
        <v>2.2057006952320362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26254.898852833794</v>
      </c>
      <c r="T73">
        <f t="shared" si="8"/>
        <v>100.00198666666699</v>
      </c>
      <c r="U73">
        <f t="shared" si="9"/>
        <v>84.301264911858112</v>
      </c>
      <c r="V73">
        <f t="shared" si="10"/>
        <v>0.84299590159999993</v>
      </c>
      <c r="W73">
        <f t="shared" si="11"/>
        <v>0.15868972801599998</v>
      </c>
      <c r="X73">
        <v>1</v>
      </c>
      <c r="Y73">
        <v>1769195595.03333</v>
      </c>
      <c r="Z73">
        <v>409.74866666666702</v>
      </c>
      <c r="AA73">
        <v>409.99759999999998</v>
      </c>
      <c r="AB73">
        <v>15.328886666666699</v>
      </c>
      <c r="AC73">
        <v>14.535413333333301</v>
      </c>
      <c r="AD73">
        <v>410.59213333333298</v>
      </c>
      <c r="AE73">
        <v>15.2384066666667</v>
      </c>
      <c r="AF73">
        <v>800.005</v>
      </c>
      <c r="AG73">
        <v>100.118266666667</v>
      </c>
      <c r="AH73">
        <v>6.457048E-2</v>
      </c>
      <c r="AI73">
        <v>19.003779999999999</v>
      </c>
      <c r="AJ73">
        <v>999.9</v>
      </c>
      <c r="AK73">
        <v>999.9</v>
      </c>
      <c r="AL73">
        <v>0</v>
      </c>
      <c r="AM73">
        <v>0</v>
      </c>
      <c r="AN73">
        <v>5000.3333333333303</v>
      </c>
      <c r="AO73">
        <v>0</v>
      </c>
      <c r="AP73">
        <v>1.7502500000000001</v>
      </c>
      <c r="AQ73">
        <v>-0.24887293333333299</v>
      </c>
      <c r="AR73">
        <v>416.12740000000002</v>
      </c>
      <c r="AS73">
        <v>416.04493333333301</v>
      </c>
      <c r="AT73">
        <v>0.79344833333333398</v>
      </c>
      <c r="AU73">
        <v>409.99759999999998</v>
      </c>
      <c r="AV73">
        <v>14.535413333333301</v>
      </c>
      <c r="AW73">
        <v>1.5346993333333301</v>
      </c>
      <c r="AX73">
        <v>1.45526</v>
      </c>
      <c r="AY73">
        <v>13.3183133333333</v>
      </c>
      <c r="AZ73">
        <v>12.5060133333333</v>
      </c>
      <c r="BA73">
        <v>100.00198666666699</v>
      </c>
      <c r="BB73">
        <v>0.90013699999999996</v>
      </c>
      <c r="BC73">
        <v>0</v>
      </c>
      <c r="BD73">
        <v>9.9863013333333306E-2</v>
      </c>
      <c r="BE73">
        <v>0</v>
      </c>
      <c r="BF73">
        <v>24</v>
      </c>
      <c r="BG73">
        <v>1648.9786666666701</v>
      </c>
      <c r="BH73">
        <v>1769195209.0999999</v>
      </c>
      <c r="BI73" t="s">
        <v>379</v>
      </c>
      <c r="BJ73">
        <v>1769195209.0999999</v>
      </c>
      <c r="BK73">
        <v>1769195209.0999999</v>
      </c>
      <c r="BL73">
        <v>2</v>
      </c>
      <c r="BM73">
        <v>0.01</v>
      </c>
      <c r="BN73">
        <v>-3.0000000000000001E-3</v>
      </c>
      <c r="BO73">
        <v>-0.84299999999999997</v>
      </c>
      <c r="BP73">
        <v>0.09</v>
      </c>
      <c r="BQ73">
        <v>410</v>
      </c>
      <c r="BR73">
        <v>14</v>
      </c>
      <c r="BS73">
        <v>0.42</v>
      </c>
      <c r="BT73">
        <v>0.1</v>
      </c>
      <c r="BU73">
        <v>-0.25372899999999998</v>
      </c>
      <c r="BV73">
        <v>6.6586441558441206E-2</v>
      </c>
      <c r="BW73">
        <v>2.2876208404199801E-2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0.78732385714285702</v>
      </c>
      <c r="CD73">
        <v>9.3994987012985906E-2</v>
      </c>
      <c r="CE73">
        <v>1.00614745169772E-2</v>
      </c>
      <c r="CF73">
        <v>1</v>
      </c>
      <c r="CG73">
        <v>2</v>
      </c>
      <c r="CH73">
        <v>2</v>
      </c>
      <c r="CI73" t="s">
        <v>304</v>
      </c>
      <c r="CJ73">
        <v>3.5325099999999998</v>
      </c>
      <c r="CK73">
        <v>2.7022400000000002</v>
      </c>
      <c r="CL73">
        <v>9.7901500000000002E-2</v>
      </c>
      <c r="CM73">
        <v>9.6587000000000006E-2</v>
      </c>
      <c r="CN73">
        <v>8.6800199999999994E-2</v>
      </c>
      <c r="CO73">
        <v>8.2544599999999996E-2</v>
      </c>
      <c r="CP73">
        <v>31627.4</v>
      </c>
      <c r="CQ73">
        <v>27802.799999999999</v>
      </c>
      <c r="CR73">
        <v>32449.599999999999</v>
      </c>
      <c r="CS73">
        <v>30702.7</v>
      </c>
      <c r="CT73">
        <v>40128.699999999997</v>
      </c>
      <c r="CU73">
        <v>39612.199999999997</v>
      </c>
      <c r="CV73">
        <v>47393.1</v>
      </c>
      <c r="CW73">
        <v>46824.6</v>
      </c>
      <c r="CX73">
        <v>2.62134</v>
      </c>
      <c r="CY73">
        <v>2.1269</v>
      </c>
      <c r="CZ73">
        <v>0</v>
      </c>
      <c r="DA73">
        <v>0</v>
      </c>
      <c r="DB73">
        <v>999.9</v>
      </c>
      <c r="DC73">
        <v>999.9</v>
      </c>
      <c r="DD73">
        <v>57.281999999999996</v>
      </c>
      <c r="DE73">
        <v>27.311</v>
      </c>
      <c r="DF73">
        <v>20.853000000000002</v>
      </c>
      <c r="DG73">
        <v>30.136399999999998</v>
      </c>
      <c r="DH73">
        <v>16.3902</v>
      </c>
      <c r="DI73">
        <v>2</v>
      </c>
      <c r="DJ73">
        <v>-0.109902</v>
      </c>
      <c r="DK73">
        <v>2.3052600000000001</v>
      </c>
      <c r="DL73">
        <v>20.228200000000001</v>
      </c>
      <c r="DM73">
        <v>5.2505899999999999</v>
      </c>
      <c r="DN73">
        <v>12.033899999999999</v>
      </c>
      <c r="DO73">
        <v>4.9673600000000002</v>
      </c>
      <c r="DP73">
        <v>3.2909999999999999</v>
      </c>
      <c r="DQ73">
        <v>536.29999999999995</v>
      </c>
      <c r="DR73">
        <v>9999</v>
      </c>
      <c r="DS73">
        <v>9999</v>
      </c>
      <c r="DT73">
        <v>9999</v>
      </c>
      <c r="DU73">
        <v>1.8710500000000001</v>
      </c>
      <c r="DV73">
        <v>1.87609</v>
      </c>
      <c r="DW73">
        <v>1.87625</v>
      </c>
      <c r="DX73">
        <v>1.8827799999999999</v>
      </c>
      <c r="DY73">
        <v>1.87558</v>
      </c>
      <c r="DZ73">
        <v>1.8746400000000001</v>
      </c>
      <c r="EA73">
        <v>1.8707499999999999</v>
      </c>
      <c r="EB73">
        <v>1.8745700000000001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-0.84399999999999997</v>
      </c>
      <c r="EQ73">
        <v>9.0499999999999997E-2</v>
      </c>
      <c r="ER73">
        <v>-0.84339999999997395</v>
      </c>
      <c r="ES73">
        <v>0</v>
      </c>
      <c r="ET73">
        <v>0</v>
      </c>
      <c r="EU73">
        <v>0</v>
      </c>
      <c r="EV73">
        <v>9.0479999999999394E-2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6.6</v>
      </c>
      <c r="FE73">
        <v>6.6</v>
      </c>
      <c r="FF73">
        <v>1.2390099999999999</v>
      </c>
      <c r="FG73">
        <v>2.5952099999999998</v>
      </c>
      <c r="FH73">
        <v>2.19604</v>
      </c>
      <c r="FI73">
        <v>2.66235</v>
      </c>
      <c r="FJ73">
        <v>2.4462899999999999</v>
      </c>
      <c r="FK73">
        <v>2.2692899999999998</v>
      </c>
      <c r="FL73">
        <v>31.958500000000001</v>
      </c>
      <c r="FM73">
        <v>24.148800000000001</v>
      </c>
      <c r="FN73">
        <v>19</v>
      </c>
      <c r="FO73">
        <v>865.33399999999995</v>
      </c>
      <c r="FP73">
        <v>574.88</v>
      </c>
      <c r="FQ73">
        <v>18.2898</v>
      </c>
      <c r="FR73">
        <v>25.582699999999999</v>
      </c>
      <c r="FS73">
        <v>30.000299999999999</v>
      </c>
      <c r="FT73">
        <v>25.5885</v>
      </c>
      <c r="FU73">
        <v>25.5929</v>
      </c>
      <c r="FV73">
        <v>24.877700000000001</v>
      </c>
      <c r="FW73">
        <v>32.411099999999998</v>
      </c>
      <c r="FX73">
        <v>18.715399999999999</v>
      </c>
      <c r="FY73">
        <v>18.285299999999999</v>
      </c>
      <c r="FZ73">
        <v>410</v>
      </c>
      <c r="GA73">
        <v>14.5852</v>
      </c>
      <c r="GB73">
        <v>99.861199999999997</v>
      </c>
      <c r="GC73">
        <v>99.677999999999997</v>
      </c>
    </row>
    <row r="74" spans="1:185" x14ac:dyDescent="0.2">
      <c r="A74">
        <v>59</v>
      </c>
      <c r="B74">
        <v>1769195618.0999999</v>
      </c>
      <c r="C74">
        <v>1057.0999999046301</v>
      </c>
      <c r="D74" t="s">
        <v>412</v>
      </c>
      <c r="E74" t="s">
        <v>413</v>
      </c>
      <c r="F74">
        <v>15</v>
      </c>
      <c r="G74">
        <v>1769195610.03333</v>
      </c>
      <c r="H74">
        <f t="shared" si="0"/>
        <v>6.466050686742493E-4</v>
      </c>
      <c r="I74">
        <v>0</v>
      </c>
      <c r="J74">
        <f t="shared" si="12"/>
        <v>-1.3674577968863335E-3</v>
      </c>
      <c r="K74">
        <f t="shared" si="1"/>
        <v>-5.095669836804164E-2</v>
      </c>
      <c r="L74">
        <f t="shared" si="2"/>
        <v>69.575682503910485</v>
      </c>
      <c r="M74">
        <f t="shared" si="3"/>
        <v>1.5344487349984157</v>
      </c>
      <c r="N74">
        <f t="shared" si="4"/>
        <v>2.2054382792611089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26251.327960557162</v>
      </c>
      <c r="T74">
        <f t="shared" si="8"/>
        <v>99.998193333333305</v>
      </c>
      <c r="U74">
        <f t="shared" si="9"/>
        <v>84.298070647341177</v>
      </c>
      <c r="V74">
        <f t="shared" si="10"/>
        <v>0.84299593659999994</v>
      </c>
      <c r="W74">
        <f t="shared" si="11"/>
        <v>0.15868975055599999</v>
      </c>
      <c r="X74">
        <v>1</v>
      </c>
      <c r="Y74">
        <v>1769195610.03333</v>
      </c>
      <c r="Z74">
        <v>409.726133333333</v>
      </c>
      <c r="AA74">
        <v>409.99360000000001</v>
      </c>
      <c r="AB74">
        <v>15.3162066666667</v>
      </c>
      <c r="AC74">
        <v>14.5203333333333</v>
      </c>
      <c r="AD74">
        <v>410.56959999999998</v>
      </c>
      <c r="AE74">
        <v>15.2257266666667</v>
      </c>
      <c r="AF74">
        <v>800.00360000000001</v>
      </c>
      <c r="AG74">
        <v>100.1202</v>
      </c>
      <c r="AH74">
        <v>6.4445479999999999E-2</v>
      </c>
      <c r="AI74">
        <v>19.0018733333333</v>
      </c>
      <c r="AJ74">
        <v>999.9</v>
      </c>
      <c r="AK74">
        <v>999.9</v>
      </c>
      <c r="AL74">
        <v>0</v>
      </c>
      <c r="AM74">
        <v>0</v>
      </c>
      <c r="AN74">
        <v>4999.6333333333296</v>
      </c>
      <c r="AO74">
        <v>0</v>
      </c>
      <c r="AP74">
        <v>1.7502500000000001</v>
      </c>
      <c r="AQ74">
        <v>-0.267447933333333</v>
      </c>
      <c r="AR74">
        <v>416.099066666667</v>
      </c>
      <c r="AS74">
        <v>416.03440000000001</v>
      </c>
      <c r="AT74">
        <v>0.79587533333333305</v>
      </c>
      <c r="AU74">
        <v>409.99360000000001</v>
      </c>
      <c r="AV74">
        <v>14.5203333333333</v>
      </c>
      <c r="AW74">
        <v>1.53346133333333</v>
      </c>
      <c r="AX74">
        <v>1.4537773333333299</v>
      </c>
      <c r="AY74">
        <v>13.30594</v>
      </c>
      <c r="AZ74">
        <v>12.490493333333299</v>
      </c>
      <c r="BA74">
        <v>99.998193333333305</v>
      </c>
      <c r="BB74">
        <v>0.90013679999999996</v>
      </c>
      <c r="BC74">
        <v>0</v>
      </c>
      <c r="BD74">
        <v>9.9863246666666697E-2</v>
      </c>
      <c r="BE74">
        <v>0</v>
      </c>
      <c r="BF74">
        <v>24</v>
      </c>
      <c r="BG74">
        <v>1648.91533333333</v>
      </c>
      <c r="BH74">
        <v>1769195209.0999999</v>
      </c>
      <c r="BI74" t="s">
        <v>379</v>
      </c>
      <c r="BJ74">
        <v>1769195209.0999999</v>
      </c>
      <c r="BK74">
        <v>1769195209.0999999</v>
      </c>
      <c r="BL74">
        <v>2</v>
      </c>
      <c r="BM74">
        <v>0.01</v>
      </c>
      <c r="BN74">
        <v>-3.0000000000000001E-3</v>
      </c>
      <c r="BO74">
        <v>-0.84299999999999997</v>
      </c>
      <c r="BP74">
        <v>0.09</v>
      </c>
      <c r="BQ74">
        <v>410</v>
      </c>
      <c r="BR74">
        <v>14</v>
      </c>
      <c r="BS74">
        <v>0.42</v>
      </c>
      <c r="BT74">
        <v>0.1</v>
      </c>
      <c r="BU74">
        <v>-0.26542885714285702</v>
      </c>
      <c r="BV74">
        <v>-9.2739740259740796E-3</v>
      </c>
      <c r="BW74">
        <v>1.2794151592801801E-2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0.79625290476190502</v>
      </c>
      <c r="CD74">
        <v>-4.0489792207793099E-2</v>
      </c>
      <c r="CE74">
        <v>9.4371335080135708E-3</v>
      </c>
      <c r="CF74">
        <v>1</v>
      </c>
      <c r="CG74">
        <v>2</v>
      </c>
      <c r="CH74">
        <v>2</v>
      </c>
      <c r="CI74" t="s">
        <v>304</v>
      </c>
      <c r="CJ74">
        <v>3.5324800000000001</v>
      </c>
      <c r="CK74">
        <v>2.70255</v>
      </c>
      <c r="CL74">
        <v>9.7894300000000004E-2</v>
      </c>
      <c r="CM74">
        <v>9.6585799999999999E-2</v>
      </c>
      <c r="CN74">
        <v>8.6751900000000007E-2</v>
      </c>
      <c r="CO74">
        <v>8.2591499999999998E-2</v>
      </c>
      <c r="CP74">
        <v>31627.4</v>
      </c>
      <c r="CQ74">
        <v>27802.799999999999</v>
      </c>
      <c r="CR74">
        <v>32449.3</v>
      </c>
      <c r="CS74">
        <v>30702.799999999999</v>
      </c>
      <c r="CT74">
        <v>40130.800000000003</v>
      </c>
      <c r="CU74">
        <v>39610.1</v>
      </c>
      <c r="CV74">
        <v>47392.9</v>
      </c>
      <c r="CW74">
        <v>46824.6</v>
      </c>
      <c r="CX74">
        <v>2.62114</v>
      </c>
      <c r="CY74">
        <v>2.1268600000000002</v>
      </c>
      <c r="CZ74">
        <v>0</v>
      </c>
      <c r="DA74">
        <v>0</v>
      </c>
      <c r="DB74">
        <v>999.9</v>
      </c>
      <c r="DC74">
        <v>999.9</v>
      </c>
      <c r="DD74">
        <v>57.173000000000002</v>
      </c>
      <c r="DE74">
        <v>27.341999999999999</v>
      </c>
      <c r="DF74">
        <v>20.852799999999998</v>
      </c>
      <c r="DG74">
        <v>30.316400000000002</v>
      </c>
      <c r="DH74">
        <v>16.370200000000001</v>
      </c>
      <c r="DI74">
        <v>2</v>
      </c>
      <c r="DJ74">
        <v>-0.11026</v>
      </c>
      <c r="DK74">
        <v>2.1798299999999999</v>
      </c>
      <c r="DL74">
        <v>20.2318</v>
      </c>
      <c r="DM74">
        <v>5.2476000000000003</v>
      </c>
      <c r="DN74">
        <v>12.033899999999999</v>
      </c>
      <c r="DO74">
        <v>4.9675200000000004</v>
      </c>
      <c r="DP74">
        <v>3.2909999999999999</v>
      </c>
      <c r="DQ74">
        <v>536.29999999999995</v>
      </c>
      <c r="DR74">
        <v>9999</v>
      </c>
      <c r="DS74">
        <v>9999</v>
      </c>
      <c r="DT74">
        <v>9999</v>
      </c>
      <c r="DU74">
        <v>1.8710599999999999</v>
      </c>
      <c r="DV74">
        <v>1.8761300000000001</v>
      </c>
      <c r="DW74">
        <v>1.87626</v>
      </c>
      <c r="DX74">
        <v>1.8827799999999999</v>
      </c>
      <c r="DY74">
        <v>1.8755999999999999</v>
      </c>
      <c r="DZ74">
        <v>1.8746499999999999</v>
      </c>
      <c r="EA74">
        <v>1.87079</v>
      </c>
      <c r="EB74">
        <v>1.8746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-0.84299999999999997</v>
      </c>
      <c r="EQ74">
        <v>9.0399999999999994E-2</v>
      </c>
      <c r="ER74">
        <v>-0.84339999999997395</v>
      </c>
      <c r="ES74">
        <v>0</v>
      </c>
      <c r="ET74">
        <v>0</v>
      </c>
      <c r="EU74">
        <v>0</v>
      </c>
      <c r="EV74">
        <v>9.0479999999999394E-2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6.8</v>
      </c>
      <c r="FE74">
        <v>6.8</v>
      </c>
      <c r="FF74">
        <v>1.2390099999999999</v>
      </c>
      <c r="FG74">
        <v>2.5878899999999998</v>
      </c>
      <c r="FH74">
        <v>2.19604</v>
      </c>
      <c r="FI74">
        <v>2.66235</v>
      </c>
      <c r="FJ74">
        <v>2.4462899999999999</v>
      </c>
      <c r="FK74">
        <v>2.2936999999999999</v>
      </c>
      <c r="FL74">
        <v>31.958500000000001</v>
      </c>
      <c r="FM74">
        <v>24.148800000000001</v>
      </c>
      <c r="FN74">
        <v>19</v>
      </c>
      <c r="FO74">
        <v>865.17499999999995</v>
      </c>
      <c r="FP74">
        <v>574.84900000000005</v>
      </c>
      <c r="FQ74">
        <v>18.274999999999999</v>
      </c>
      <c r="FR74">
        <v>25.586600000000001</v>
      </c>
      <c r="FS74">
        <v>30</v>
      </c>
      <c r="FT74">
        <v>25.5901</v>
      </c>
      <c r="FU74">
        <v>25.5929</v>
      </c>
      <c r="FV74">
        <v>24.8782</v>
      </c>
      <c r="FW74">
        <v>32.130200000000002</v>
      </c>
      <c r="FX74">
        <v>18.715399999999999</v>
      </c>
      <c r="FY74">
        <v>18.285399999999999</v>
      </c>
      <c r="FZ74">
        <v>410</v>
      </c>
      <c r="GA74">
        <v>14.5951</v>
      </c>
      <c r="GB74">
        <v>99.860699999999994</v>
      </c>
      <c r="GC74">
        <v>99.678100000000001</v>
      </c>
    </row>
    <row r="75" spans="1:185" x14ac:dyDescent="0.2">
      <c r="A75">
        <v>60</v>
      </c>
      <c r="B75">
        <v>1769195633.0999999</v>
      </c>
      <c r="C75">
        <v>1072.0999999046301</v>
      </c>
      <c r="D75" t="s">
        <v>414</v>
      </c>
      <c r="E75" t="s">
        <v>415</v>
      </c>
      <c r="F75">
        <v>15</v>
      </c>
      <c r="G75">
        <v>1769195625.03333</v>
      </c>
      <c r="H75">
        <f t="shared" si="0"/>
        <v>6.2930450499950404E-4</v>
      </c>
      <c r="I75">
        <v>0</v>
      </c>
      <c r="J75">
        <f t="shared" si="12"/>
        <v>-1.4319183513137822E-3</v>
      </c>
      <c r="K75">
        <f t="shared" si="1"/>
        <v>-5.3358744731794444E-2</v>
      </c>
      <c r="L75">
        <f t="shared" si="2"/>
        <v>69.577669085034842</v>
      </c>
      <c r="M75">
        <f t="shared" si="3"/>
        <v>1.534096165866716</v>
      </c>
      <c r="N75">
        <f t="shared" si="4"/>
        <v>2.2048685821765739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26293.405852990381</v>
      </c>
      <c r="T75">
        <f t="shared" si="8"/>
        <v>99.998953333333304</v>
      </c>
      <c r="U75">
        <f t="shared" si="9"/>
        <v>84.298690124474874</v>
      </c>
      <c r="V75">
        <f t="shared" si="10"/>
        <v>0.84299572459999983</v>
      </c>
      <c r="W75">
        <f t="shared" si="11"/>
        <v>0.15868935047599997</v>
      </c>
      <c r="X75">
        <v>1</v>
      </c>
      <c r="Y75">
        <v>1769195625.03333</v>
      </c>
      <c r="Z75">
        <v>409.72519999999997</v>
      </c>
      <c r="AA75">
        <v>409.98079999999999</v>
      </c>
      <c r="AB75">
        <v>15.3125133333333</v>
      </c>
      <c r="AC75">
        <v>14.537940000000001</v>
      </c>
      <c r="AD75">
        <v>410.56846666666701</v>
      </c>
      <c r="AE75">
        <v>15.2220333333333</v>
      </c>
      <c r="AF75">
        <v>800.01239999999996</v>
      </c>
      <c r="AG75">
        <v>100.12106666666701</v>
      </c>
      <c r="AH75">
        <v>6.4718153333333306E-2</v>
      </c>
      <c r="AI75">
        <v>18.997733333333301</v>
      </c>
      <c r="AJ75">
        <v>999.9</v>
      </c>
      <c r="AK75">
        <v>999.9</v>
      </c>
      <c r="AL75">
        <v>0</v>
      </c>
      <c r="AM75">
        <v>0</v>
      </c>
      <c r="AN75">
        <v>5006.4666666666699</v>
      </c>
      <c r="AO75">
        <v>0</v>
      </c>
      <c r="AP75">
        <v>1.7502500000000001</v>
      </c>
      <c r="AQ75">
        <v>-0.25564379999999998</v>
      </c>
      <c r="AR75">
        <v>416.09660000000002</v>
      </c>
      <c r="AS75">
        <v>416.02893333333299</v>
      </c>
      <c r="AT75">
        <v>0.77457873333333305</v>
      </c>
      <c r="AU75">
        <v>409.98079999999999</v>
      </c>
      <c r="AV75">
        <v>14.537940000000001</v>
      </c>
      <c r="AW75">
        <v>1.5331066666666699</v>
      </c>
      <c r="AX75">
        <v>1.4555560000000001</v>
      </c>
      <c r="AY75">
        <v>13.3024</v>
      </c>
      <c r="AZ75">
        <v>12.5091066666667</v>
      </c>
      <c r="BA75">
        <v>99.998953333333304</v>
      </c>
      <c r="BB75">
        <v>0.90014193333333303</v>
      </c>
      <c r="BC75">
        <v>0</v>
      </c>
      <c r="BD75">
        <v>9.98580466666667E-2</v>
      </c>
      <c r="BE75">
        <v>0</v>
      </c>
      <c r="BF75">
        <v>24</v>
      </c>
      <c r="BG75">
        <v>1648.9286666666701</v>
      </c>
      <c r="BH75">
        <v>1769195209.0999999</v>
      </c>
      <c r="BI75" t="s">
        <v>379</v>
      </c>
      <c r="BJ75">
        <v>1769195209.0999999</v>
      </c>
      <c r="BK75">
        <v>1769195209.0999999</v>
      </c>
      <c r="BL75">
        <v>2</v>
      </c>
      <c r="BM75">
        <v>0.01</v>
      </c>
      <c r="BN75">
        <v>-3.0000000000000001E-3</v>
      </c>
      <c r="BO75">
        <v>-0.84299999999999997</v>
      </c>
      <c r="BP75">
        <v>0.09</v>
      </c>
      <c r="BQ75">
        <v>410</v>
      </c>
      <c r="BR75">
        <v>14</v>
      </c>
      <c r="BS75">
        <v>0.42</v>
      </c>
      <c r="BT75">
        <v>0.1</v>
      </c>
      <c r="BU75">
        <v>-0.25667125000000002</v>
      </c>
      <c r="BV75">
        <v>0.106777308270677</v>
      </c>
      <c r="BW75">
        <v>2.4194856407664399E-2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0.77651124999999999</v>
      </c>
      <c r="CD75">
        <v>-8.4843834586468894E-2</v>
      </c>
      <c r="CE75">
        <v>1.52203909308368E-2</v>
      </c>
      <c r="CF75">
        <v>1</v>
      </c>
      <c r="CG75">
        <v>2</v>
      </c>
      <c r="CH75">
        <v>2</v>
      </c>
      <c r="CI75" t="s">
        <v>304</v>
      </c>
      <c r="CJ75">
        <v>3.53254</v>
      </c>
      <c r="CK75">
        <v>2.7028099999999999</v>
      </c>
      <c r="CL75">
        <v>9.7897700000000004E-2</v>
      </c>
      <c r="CM75">
        <v>9.6584500000000004E-2</v>
      </c>
      <c r="CN75">
        <v>8.6771600000000004E-2</v>
      </c>
      <c r="CO75">
        <v>8.2798200000000002E-2</v>
      </c>
      <c r="CP75">
        <v>31627</v>
      </c>
      <c r="CQ75">
        <v>27803.7</v>
      </c>
      <c r="CR75">
        <v>32449</v>
      </c>
      <c r="CS75">
        <v>30703.7</v>
      </c>
      <c r="CT75">
        <v>40129.4</v>
      </c>
      <c r="CU75">
        <v>39602</v>
      </c>
      <c r="CV75">
        <v>47392.4</v>
      </c>
      <c r="CW75">
        <v>46825.9</v>
      </c>
      <c r="CX75">
        <v>2.6213000000000002</v>
      </c>
      <c r="CY75">
        <v>2.1269800000000001</v>
      </c>
      <c r="CZ75">
        <v>0</v>
      </c>
      <c r="DA75">
        <v>0</v>
      </c>
      <c r="DB75">
        <v>999.9</v>
      </c>
      <c r="DC75">
        <v>999.9</v>
      </c>
      <c r="DD75">
        <v>57.057000000000002</v>
      </c>
      <c r="DE75">
        <v>27.341999999999999</v>
      </c>
      <c r="DF75">
        <v>20.8125</v>
      </c>
      <c r="DG75">
        <v>30.136399999999998</v>
      </c>
      <c r="DH75">
        <v>16.2821</v>
      </c>
      <c r="DI75">
        <v>2</v>
      </c>
      <c r="DJ75">
        <v>-0.110287</v>
      </c>
      <c r="DK75">
        <v>2.15211</v>
      </c>
      <c r="DL75">
        <v>20.2317</v>
      </c>
      <c r="DM75">
        <v>5.2472399999999997</v>
      </c>
      <c r="DN75">
        <v>12.033899999999999</v>
      </c>
      <c r="DO75">
        <v>4.9674800000000001</v>
      </c>
      <c r="DP75">
        <v>3.2909999999999999</v>
      </c>
      <c r="DQ75">
        <v>536.29999999999995</v>
      </c>
      <c r="DR75">
        <v>9999</v>
      </c>
      <c r="DS75">
        <v>9999</v>
      </c>
      <c r="DT75">
        <v>9999</v>
      </c>
      <c r="DU75">
        <v>1.87104</v>
      </c>
      <c r="DV75">
        <v>1.87608</v>
      </c>
      <c r="DW75">
        <v>1.87625</v>
      </c>
      <c r="DX75">
        <v>1.8827799999999999</v>
      </c>
      <c r="DY75">
        <v>1.8755999999999999</v>
      </c>
      <c r="DZ75">
        <v>1.8746499999999999</v>
      </c>
      <c r="EA75">
        <v>1.87079</v>
      </c>
      <c r="EB75">
        <v>1.8746100000000001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-0.84399999999999997</v>
      </c>
      <c r="EQ75">
        <v>9.0499999999999997E-2</v>
      </c>
      <c r="ER75">
        <v>-0.84339999999997395</v>
      </c>
      <c r="ES75">
        <v>0</v>
      </c>
      <c r="ET75">
        <v>0</v>
      </c>
      <c r="EU75">
        <v>0</v>
      </c>
      <c r="EV75">
        <v>9.0479999999999394E-2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7.1</v>
      </c>
      <c r="FE75">
        <v>7.1</v>
      </c>
      <c r="FF75">
        <v>1.2390099999999999</v>
      </c>
      <c r="FG75">
        <v>2.5866699999999998</v>
      </c>
      <c r="FH75">
        <v>2.19604</v>
      </c>
      <c r="FI75">
        <v>2.66235</v>
      </c>
      <c r="FJ75">
        <v>2.4462899999999999</v>
      </c>
      <c r="FK75">
        <v>2.3120099999999999</v>
      </c>
      <c r="FL75">
        <v>31.958500000000001</v>
      </c>
      <c r="FM75">
        <v>24.157499999999999</v>
      </c>
      <c r="FN75">
        <v>19</v>
      </c>
      <c r="FO75">
        <v>865.35799999999995</v>
      </c>
      <c r="FP75">
        <v>574.96500000000003</v>
      </c>
      <c r="FQ75">
        <v>18.287500000000001</v>
      </c>
      <c r="FR75">
        <v>25.589099999999998</v>
      </c>
      <c r="FS75">
        <v>30</v>
      </c>
      <c r="FT75">
        <v>25.592300000000002</v>
      </c>
      <c r="FU75">
        <v>25.595099999999999</v>
      </c>
      <c r="FV75">
        <v>24.880600000000001</v>
      </c>
      <c r="FW75">
        <v>31.844999999999999</v>
      </c>
      <c r="FX75">
        <v>18.341200000000001</v>
      </c>
      <c r="FY75">
        <v>18.290500000000002</v>
      </c>
      <c r="FZ75">
        <v>410</v>
      </c>
      <c r="GA75">
        <v>14.595599999999999</v>
      </c>
      <c r="GB75">
        <v>99.859700000000004</v>
      </c>
      <c r="GC75">
        <v>99.680899999999994</v>
      </c>
    </row>
    <row r="76" spans="1:185" x14ac:dyDescent="0.2">
      <c r="A76">
        <v>61</v>
      </c>
      <c r="B76">
        <v>1769195648.0999999</v>
      </c>
      <c r="C76">
        <v>1087.0999999046301</v>
      </c>
      <c r="D76" t="s">
        <v>416</v>
      </c>
      <c r="E76" t="s">
        <v>417</v>
      </c>
      <c r="F76">
        <v>15</v>
      </c>
      <c r="G76">
        <v>1769195640.03333</v>
      </c>
      <c r="H76">
        <f t="shared" si="0"/>
        <v>6.0843697115529004E-4</v>
      </c>
      <c r="I76">
        <v>0</v>
      </c>
      <c r="J76">
        <f t="shared" si="12"/>
        <v>-1.3860193616274208E-3</v>
      </c>
      <c r="K76">
        <f t="shared" si="1"/>
        <v>-5.1648373137021059E-2</v>
      </c>
      <c r="L76">
        <f t="shared" si="2"/>
        <v>69.644773967130874</v>
      </c>
      <c r="M76">
        <f t="shared" si="3"/>
        <v>1.5354422279674362</v>
      </c>
      <c r="N76">
        <f t="shared" si="4"/>
        <v>2.2046768773951286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26249.382371173404</v>
      </c>
      <c r="T76">
        <f t="shared" si="8"/>
        <v>100.00116</v>
      </c>
      <c r="U76">
        <f t="shared" si="9"/>
        <v>84.300529814802502</v>
      </c>
      <c r="V76">
        <f t="shared" si="10"/>
        <v>0.84299551939999995</v>
      </c>
      <c r="W76">
        <f t="shared" si="11"/>
        <v>0.15868888944399998</v>
      </c>
      <c r="X76">
        <v>1</v>
      </c>
      <c r="Y76">
        <v>1769195640.03333</v>
      </c>
      <c r="Z76">
        <v>409.74259999999998</v>
      </c>
      <c r="AA76">
        <v>409.98966666666701</v>
      </c>
      <c r="AB76">
        <v>15.326306666666699</v>
      </c>
      <c r="AC76">
        <v>14.57742</v>
      </c>
      <c r="AD76">
        <v>410.58613333333301</v>
      </c>
      <c r="AE76">
        <v>15.23584</v>
      </c>
      <c r="AF76">
        <v>800.00340000000006</v>
      </c>
      <c r="AG76">
        <v>100.1186</v>
      </c>
      <c r="AH76">
        <v>6.4846760000000003E-2</v>
      </c>
      <c r="AI76">
        <v>18.99634</v>
      </c>
      <c r="AJ76">
        <v>999.9</v>
      </c>
      <c r="AK76">
        <v>999.9</v>
      </c>
      <c r="AL76">
        <v>0</v>
      </c>
      <c r="AM76">
        <v>0</v>
      </c>
      <c r="AN76">
        <v>4999.3</v>
      </c>
      <c r="AO76">
        <v>0</v>
      </c>
      <c r="AP76">
        <v>1.7502500000000001</v>
      </c>
      <c r="AQ76">
        <v>-0.24715580000000001</v>
      </c>
      <c r="AR76">
        <v>416.12026666666702</v>
      </c>
      <c r="AS76">
        <v>416.054666666667</v>
      </c>
      <c r="AT76">
        <v>0.74889039999999996</v>
      </c>
      <c r="AU76">
        <v>409.98966666666701</v>
      </c>
      <c r="AV76">
        <v>14.57742</v>
      </c>
      <c r="AW76">
        <v>1.534448</v>
      </c>
      <c r="AX76">
        <v>1.45947</v>
      </c>
      <c r="AY76">
        <v>13.315799999999999</v>
      </c>
      <c r="AZ76">
        <v>12.550039999999999</v>
      </c>
      <c r="BA76">
        <v>100.00116</v>
      </c>
      <c r="BB76">
        <v>0.90014799999999995</v>
      </c>
      <c r="BC76">
        <v>0</v>
      </c>
      <c r="BD76">
        <v>9.9851953333333299E-2</v>
      </c>
      <c r="BE76">
        <v>0</v>
      </c>
      <c r="BF76">
        <v>24</v>
      </c>
      <c r="BG76">
        <v>1648.97</v>
      </c>
      <c r="BH76">
        <v>1769195209.0999999</v>
      </c>
      <c r="BI76" t="s">
        <v>379</v>
      </c>
      <c r="BJ76">
        <v>1769195209.0999999</v>
      </c>
      <c r="BK76">
        <v>1769195209.0999999</v>
      </c>
      <c r="BL76">
        <v>2</v>
      </c>
      <c r="BM76">
        <v>0.01</v>
      </c>
      <c r="BN76">
        <v>-3.0000000000000001E-3</v>
      </c>
      <c r="BO76">
        <v>-0.84299999999999997</v>
      </c>
      <c r="BP76">
        <v>0.09</v>
      </c>
      <c r="BQ76">
        <v>410</v>
      </c>
      <c r="BR76">
        <v>14</v>
      </c>
      <c r="BS76">
        <v>0.42</v>
      </c>
      <c r="BT76">
        <v>0.1</v>
      </c>
      <c r="BU76">
        <v>-0.243793333333333</v>
      </c>
      <c r="BV76">
        <v>-3.9248649350649603E-2</v>
      </c>
      <c r="BW76">
        <v>1.7633968495176799E-2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0.75270852380952402</v>
      </c>
      <c r="CD76">
        <v>-8.5263896103884799E-3</v>
      </c>
      <c r="CE76">
        <v>1.5954189581480299E-2</v>
      </c>
      <c r="CF76">
        <v>1</v>
      </c>
      <c r="CG76">
        <v>2</v>
      </c>
      <c r="CH76">
        <v>2</v>
      </c>
      <c r="CI76" t="s">
        <v>304</v>
      </c>
      <c r="CJ76">
        <v>3.5325600000000001</v>
      </c>
      <c r="CK76">
        <v>2.7024499999999998</v>
      </c>
      <c r="CL76">
        <v>9.7898399999999997E-2</v>
      </c>
      <c r="CM76">
        <v>9.6589499999999995E-2</v>
      </c>
      <c r="CN76">
        <v>8.6819599999999997E-2</v>
      </c>
      <c r="CO76">
        <v>8.2714899999999994E-2</v>
      </c>
      <c r="CP76">
        <v>31626.9</v>
      </c>
      <c r="CQ76">
        <v>27803.7</v>
      </c>
      <c r="CR76">
        <v>32448.9</v>
      </c>
      <c r="CS76">
        <v>30703.8</v>
      </c>
      <c r="CT76">
        <v>40127.300000000003</v>
      </c>
      <c r="CU76">
        <v>39606</v>
      </c>
      <c r="CV76">
        <v>47392.4</v>
      </c>
      <c r="CW76">
        <v>46826.3</v>
      </c>
      <c r="CX76">
        <v>2.6212399999999998</v>
      </c>
      <c r="CY76">
        <v>2.1267999999999998</v>
      </c>
      <c r="CZ76">
        <v>0</v>
      </c>
      <c r="DA76">
        <v>0</v>
      </c>
      <c r="DB76">
        <v>999.9</v>
      </c>
      <c r="DC76">
        <v>999.9</v>
      </c>
      <c r="DD76">
        <v>56.933999999999997</v>
      </c>
      <c r="DE76">
        <v>27.352</v>
      </c>
      <c r="DF76">
        <v>20.777899999999999</v>
      </c>
      <c r="DG76">
        <v>30.496400000000001</v>
      </c>
      <c r="DH76">
        <v>16.3782</v>
      </c>
      <c r="DI76">
        <v>2</v>
      </c>
      <c r="DJ76">
        <v>-0.110398</v>
      </c>
      <c r="DK76">
        <v>2.1433800000000001</v>
      </c>
      <c r="DL76">
        <v>20.231000000000002</v>
      </c>
      <c r="DM76">
        <v>5.2472399999999997</v>
      </c>
      <c r="DN76">
        <v>12.033899999999999</v>
      </c>
      <c r="DO76">
        <v>4.9674800000000001</v>
      </c>
      <c r="DP76">
        <v>3.2909999999999999</v>
      </c>
      <c r="DQ76">
        <v>536.29999999999995</v>
      </c>
      <c r="DR76">
        <v>9999</v>
      </c>
      <c r="DS76">
        <v>9999</v>
      </c>
      <c r="DT76">
        <v>9999</v>
      </c>
      <c r="DU76">
        <v>1.8710500000000001</v>
      </c>
      <c r="DV76">
        <v>1.87608</v>
      </c>
      <c r="DW76">
        <v>1.8762700000000001</v>
      </c>
      <c r="DX76">
        <v>1.8827799999999999</v>
      </c>
      <c r="DY76">
        <v>1.87558</v>
      </c>
      <c r="DZ76">
        <v>1.8746400000000001</v>
      </c>
      <c r="EA76">
        <v>1.87076</v>
      </c>
      <c r="EB76">
        <v>1.8745799999999999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-0.84399999999999997</v>
      </c>
      <c r="EQ76">
        <v>9.0499999999999997E-2</v>
      </c>
      <c r="ER76">
        <v>-0.84339999999997395</v>
      </c>
      <c r="ES76">
        <v>0</v>
      </c>
      <c r="ET76">
        <v>0</v>
      </c>
      <c r="EU76">
        <v>0</v>
      </c>
      <c r="EV76">
        <v>9.0479999999999394E-2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7.3</v>
      </c>
      <c r="FE76">
        <v>7.3</v>
      </c>
      <c r="FF76">
        <v>1.2390099999999999</v>
      </c>
      <c r="FG76">
        <v>2.5866699999999998</v>
      </c>
      <c r="FH76">
        <v>2.19604</v>
      </c>
      <c r="FI76">
        <v>2.66235</v>
      </c>
      <c r="FJ76">
        <v>2.4462899999999999</v>
      </c>
      <c r="FK76">
        <v>2.3120099999999999</v>
      </c>
      <c r="FL76">
        <v>31.958500000000001</v>
      </c>
      <c r="FM76">
        <v>24.148800000000001</v>
      </c>
      <c r="FN76">
        <v>19</v>
      </c>
      <c r="FO76">
        <v>865.30200000000002</v>
      </c>
      <c r="FP76">
        <v>574.827</v>
      </c>
      <c r="FQ76">
        <v>18.294799999999999</v>
      </c>
      <c r="FR76">
        <v>25.590900000000001</v>
      </c>
      <c r="FS76">
        <v>30.0001</v>
      </c>
      <c r="FT76">
        <v>25.592300000000002</v>
      </c>
      <c r="FU76">
        <v>25.595099999999999</v>
      </c>
      <c r="FV76">
        <v>24.8796</v>
      </c>
      <c r="FW76">
        <v>31.844999999999999</v>
      </c>
      <c r="FX76">
        <v>17.9619</v>
      </c>
      <c r="FY76">
        <v>18.298200000000001</v>
      </c>
      <c r="FZ76">
        <v>410</v>
      </c>
      <c r="GA76">
        <v>14.595599999999999</v>
      </c>
      <c r="GB76">
        <v>99.8596</v>
      </c>
      <c r="GC76">
        <v>99.6815</v>
      </c>
    </row>
    <row r="77" spans="1:185" x14ac:dyDescent="0.2">
      <c r="A77">
        <v>62</v>
      </c>
      <c r="B77">
        <v>1769195663.0999999</v>
      </c>
      <c r="C77">
        <v>1102.0999999046301</v>
      </c>
      <c r="D77" t="s">
        <v>418</v>
      </c>
      <c r="E77" t="s">
        <v>419</v>
      </c>
      <c r="F77">
        <v>15</v>
      </c>
      <c r="G77">
        <v>1769195655.03333</v>
      </c>
      <c r="H77">
        <f t="shared" si="0"/>
        <v>6.2985532898456769E-4</v>
      </c>
      <c r="I77">
        <v>0</v>
      </c>
      <c r="J77">
        <f t="shared" si="12"/>
        <v>-1.4956114566073517E-3</v>
      </c>
      <c r="K77">
        <f t="shared" si="1"/>
        <v>-5.5732193010753002E-2</v>
      </c>
      <c r="L77">
        <f t="shared" si="2"/>
        <v>69.657139392772876</v>
      </c>
      <c r="M77">
        <f t="shared" si="3"/>
        <v>1.5358400753461552</v>
      </c>
      <c r="N77">
        <f t="shared" si="4"/>
        <v>2.2048566575294979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26200.833666819384</v>
      </c>
      <c r="T77">
        <f t="shared" si="8"/>
        <v>99.999173333333403</v>
      </c>
      <c r="U77">
        <f t="shared" si="9"/>
        <v>84.298879843499137</v>
      </c>
      <c r="V77">
        <f t="shared" si="10"/>
        <v>0.84299576719999969</v>
      </c>
      <c r="W77">
        <f t="shared" si="11"/>
        <v>0.15868949595199994</v>
      </c>
      <c r="X77">
        <v>1</v>
      </c>
      <c r="Y77">
        <v>1769195655.03333</v>
      </c>
      <c r="Z77">
        <v>409.74419999999998</v>
      </c>
      <c r="AA77">
        <v>409.99713333333301</v>
      </c>
      <c r="AB77">
        <v>15.3302266666667</v>
      </c>
      <c r="AC77">
        <v>14.55498</v>
      </c>
      <c r="AD77">
        <v>410.58766666666702</v>
      </c>
      <c r="AE77">
        <v>15.2397666666667</v>
      </c>
      <c r="AF77">
        <v>800.00279999999998</v>
      </c>
      <c r="AG77">
        <v>100.119133333333</v>
      </c>
      <c r="AH77">
        <v>6.4647946666666706E-2</v>
      </c>
      <c r="AI77">
        <v>18.9976466666667</v>
      </c>
      <c r="AJ77">
        <v>999.9</v>
      </c>
      <c r="AK77">
        <v>999.9</v>
      </c>
      <c r="AL77">
        <v>0</v>
      </c>
      <c r="AM77">
        <v>0</v>
      </c>
      <c r="AN77">
        <v>4991.3</v>
      </c>
      <c r="AO77">
        <v>0</v>
      </c>
      <c r="AP77">
        <v>1.7502500000000001</v>
      </c>
      <c r="AQ77">
        <v>-0.25294393333333298</v>
      </c>
      <c r="AR77">
        <v>416.1234</v>
      </c>
      <c r="AS77">
        <v>416.05273333333298</v>
      </c>
      <c r="AT77">
        <v>0.7752502</v>
      </c>
      <c r="AU77">
        <v>409.99713333333301</v>
      </c>
      <c r="AV77">
        <v>14.55498</v>
      </c>
      <c r="AW77">
        <v>1.5348506666666699</v>
      </c>
      <c r="AX77">
        <v>1.4572339999999999</v>
      </c>
      <c r="AY77">
        <v>13.319846666666701</v>
      </c>
      <c r="AZ77">
        <v>12.526666666666699</v>
      </c>
      <c r="BA77">
        <v>99.999173333333403</v>
      </c>
      <c r="BB77">
        <v>0.90013993333333298</v>
      </c>
      <c r="BC77">
        <v>0</v>
      </c>
      <c r="BD77">
        <v>9.9860026666666699E-2</v>
      </c>
      <c r="BE77">
        <v>0</v>
      </c>
      <c r="BF77">
        <v>24</v>
      </c>
      <c r="BG77">
        <v>1648.93266666667</v>
      </c>
      <c r="BH77">
        <v>1769195209.0999999</v>
      </c>
      <c r="BI77" t="s">
        <v>379</v>
      </c>
      <c r="BJ77">
        <v>1769195209.0999999</v>
      </c>
      <c r="BK77">
        <v>1769195209.0999999</v>
      </c>
      <c r="BL77">
        <v>2</v>
      </c>
      <c r="BM77">
        <v>0.01</v>
      </c>
      <c r="BN77">
        <v>-3.0000000000000001E-3</v>
      </c>
      <c r="BO77">
        <v>-0.84299999999999997</v>
      </c>
      <c r="BP77">
        <v>0.09</v>
      </c>
      <c r="BQ77">
        <v>410</v>
      </c>
      <c r="BR77">
        <v>14</v>
      </c>
      <c r="BS77">
        <v>0.42</v>
      </c>
      <c r="BT77">
        <v>0.1</v>
      </c>
      <c r="BU77">
        <v>-0.25452730000000001</v>
      </c>
      <c r="BV77">
        <v>5.3720120300751802E-2</v>
      </c>
      <c r="BW77">
        <v>1.5550307132336599E-2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0.77154310000000004</v>
      </c>
      <c r="CD77">
        <v>0.102150225563911</v>
      </c>
      <c r="CE77">
        <v>1.0244058174864099E-2</v>
      </c>
      <c r="CF77">
        <v>0</v>
      </c>
      <c r="CG77">
        <v>1</v>
      </c>
      <c r="CH77">
        <v>2</v>
      </c>
      <c r="CI77" t="s">
        <v>297</v>
      </c>
      <c r="CJ77">
        <v>3.53247</v>
      </c>
      <c r="CK77">
        <v>2.7025100000000002</v>
      </c>
      <c r="CL77">
        <v>9.7896300000000006E-2</v>
      </c>
      <c r="CM77">
        <v>9.6581E-2</v>
      </c>
      <c r="CN77">
        <v>8.6802699999999997E-2</v>
      </c>
      <c r="CO77">
        <v>8.2603399999999993E-2</v>
      </c>
      <c r="CP77">
        <v>31627.8</v>
      </c>
      <c r="CQ77">
        <v>27804.2</v>
      </c>
      <c r="CR77">
        <v>32449.8</v>
      </c>
      <c r="CS77">
        <v>30704.1</v>
      </c>
      <c r="CT77">
        <v>40129</v>
      </c>
      <c r="CU77">
        <v>39611.5</v>
      </c>
      <c r="CV77">
        <v>47393.599999999999</v>
      </c>
      <c r="CW77">
        <v>46827</v>
      </c>
      <c r="CX77">
        <v>2.6212399999999998</v>
      </c>
      <c r="CY77">
        <v>2.1268799999999999</v>
      </c>
      <c r="CZ77">
        <v>0</v>
      </c>
      <c r="DA77">
        <v>0</v>
      </c>
      <c r="DB77">
        <v>999.9</v>
      </c>
      <c r="DC77">
        <v>999.9</v>
      </c>
      <c r="DD77">
        <v>56.817999999999998</v>
      </c>
      <c r="DE77">
        <v>27.372</v>
      </c>
      <c r="DF77">
        <v>20.7575</v>
      </c>
      <c r="DG77">
        <v>30.346399999999999</v>
      </c>
      <c r="DH77">
        <v>16.418299999999999</v>
      </c>
      <c r="DI77">
        <v>2</v>
      </c>
      <c r="DJ77">
        <v>-0.11035200000000001</v>
      </c>
      <c r="DK77">
        <v>2.1434500000000001</v>
      </c>
      <c r="DL77">
        <v>20.231100000000001</v>
      </c>
      <c r="DM77">
        <v>5.2473599999999996</v>
      </c>
      <c r="DN77">
        <v>12.033899999999999</v>
      </c>
      <c r="DO77">
        <v>4.9675599999999998</v>
      </c>
      <c r="DP77">
        <v>3.2910400000000002</v>
      </c>
      <c r="DQ77">
        <v>536.29999999999995</v>
      </c>
      <c r="DR77">
        <v>9999</v>
      </c>
      <c r="DS77">
        <v>9999</v>
      </c>
      <c r="DT77">
        <v>9999</v>
      </c>
      <c r="DU77">
        <v>1.8710500000000001</v>
      </c>
      <c r="DV77">
        <v>1.87609</v>
      </c>
      <c r="DW77">
        <v>1.87626</v>
      </c>
      <c r="DX77">
        <v>1.88279</v>
      </c>
      <c r="DY77">
        <v>1.8755999999999999</v>
      </c>
      <c r="DZ77">
        <v>1.87463</v>
      </c>
      <c r="EA77">
        <v>1.87076</v>
      </c>
      <c r="EB77">
        <v>1.87459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-0.84299999999999997</v>
      </c>
      <c r="EQ77">
        <v>9.0499999999999997E-2</v>
      </c>
      <c r="ER77">
        <v>-0.84339999999997395</v>
      </c>
      <c r="ES77">
        <v>0</v>
      </c>
      <c r="ET77">
        <v>0</v>
      </c>
      <c r="EU77">
        <v>0</v>
      </c>
      <c r="EV77">
        <v>9.0479999999999394E-2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7.6</v>
      </c>
      <c r="FE77">
        <v>7.6</v>
      </c>
      <c r="FF77">
        <v>1.2390099999999999</v>
      </c>
      <c r="FG77">
        <v>2.5939899999999998</v>
      </c>
      <c r="FH77">
        <v>2.19604</v>
      </c>
      <c r="FI77">
        <v>2.66235</v>
      </c>
      <c r="FJ77">
        <v>2.4462899999999999</v>
      </c>
      <c r="FK77">
        <v>2.2448700000000001</v>
      </c>
      <c r="FL77">
        <v>31.958500000000001</v>
      </c>
      <c r="FM77">
        <v>24.148800000000001</v>
      </c>
      <c r="FN77">
        <v>19</v>
      </c>
      <c r="FO77">
        <v>865.30200000000002</v>
      </c>
      <c r="FP77">
        <v>574.88900000000001</v>
      </c>
      <c r="FQ77">
        <v>18.301200000000001</v>
      </c>
      <c r="FR77">
        <v>25.5913</v>
      </c>
      <c r="FS77">
        <v>30.0001</v>
      </c>
      <c r="FT77">
        <v>25.592300000000002</v>
      </c>
      <c r="FU77">
        <v>25.595099999999999</v>
      </c>
      <c r="FV77">
        <v>24.882400000000001</v>
      </c>
      <c r="FW77">
        <v>31.844999999999999</v>
      </c>
      <c r="FX77">
        <v>17.587</v>
      </c>
      <c r="FY77">
        <v>18.302900000000001</v>
      </c>
      <c r="FZ77">
        <v>410</v>
      </c>
      <c r="GA77">
        <v>14.595599999999999</v>
      </c>
      <c r="GB77">
        <v>99.862099999999998</v>
      </c>
      <c r="GC77">
        <v>99.6828</v>
      </c>
    </row>
    <row r="78" spans="1:185" x14ac:dyDescent="0.2">
      <c r="A78">
        <v>63</v>
      </c>
      <c r="B78">
        <v>1769195678.0999999</v>
      </c>
      <c r="C78">
        <v>1117.0999999046301</v>
      </c>
      <c r="D78" t="s">
        <v>420</v>
      </c>
      <c r="E78" t="s">
        <v>421</v>
      </c>
      <c r="F78">
        <v>15</v>
      </c>
      <c r="G78">
        <v>1769195670.03333</v>
      </c>
      <c r="H78">
        <f t="shared" si="0"/>
        <v>6.4594148509383221E-4</v>
      </c>
      <c r="I78">
        <v>0</v>
      </c>
      <c r="J78">
        <f t="shared" si="12"/>
        <v>-2.1709768907185087E-3</v>
      </c>
      <c r="K78">
        <f t="shared" si="1"/>
        <v>-8.0898887582654552E-2</v>
      </c>
      <c r="L78">
        <f t="shared" si="2"/>
        <v>69.621902624184656</v>
      </c>
      <c r="M78">
        <f t="shared" si="3"/>
        <v>1.5351940784666298</v>
      </c>
      <c r="N78">
        <f t="shared" si="4"/>
        <v>2.2050447066256234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26292.670038439457</v>
      </c>
      <c r="T78">
        <f t="shared" si="8"/>
        <v>100.000373333333</v>
      </c>
      <c r="U78">
        <f t="shared" si="9"/>
        <v>84.299921098530177</v>
      </c>
      <c r="V78">
        <f t="shared" si="10"/>
        <v>0.8429960637999997</v>
      </c>
      <c r="W78">
        <f t="shared" si="11"/>
        <v>0.15869001658799994</v>
      </c>
      <c r="X78">
        <v>1</v>
      </c>
      <c r="Y78">
        <v>1769195670.03333</v>
      </c>
      <c r="Z78">
        <v>409.76726666666701</v>
      </c>
      <c r="AA78">
        <v>409.99700000000001</v>
      </c>
      <c r="AB78">
        <v>15.323980000000001</v>
      </c>
      <c r="AC78">
        <v>14.528926666666701</v>
      </c>
      <c r="AD78">
        <v>410.61053333333302</v>
      </c>
      <c r="AE78">
        <v>15.233506666666701</v>
      </c>
      <c r="AF78">
        <v>800.00053333333301</v>
      </c>
      <c r="AG78">
        <v>100.117933333333</v>
      </c>
      <c r="AH78">
        <v>6.4530913333333301E-2</v>
      </c>
      <c r="AI78">
        <v>18.999013333333298</v>
      </c>
      <c r="AJ78">
        <v>999.9</v>
      </c>
      <c r="AK78">
        <v>999.9</v>
      </c>
      <c r="AL78">
        <v>0</v>
      </c>
      <c r="AM78">
        <v>0</v>
      </c>
      <c r="AN78">
        <v>5006.5</v>
      </c>
      <c r="AO78">
        <v>0</v>
      </c>
      <c r="AP78">
        <v>1.7502500000000001</v>
      </c>
      <c r="AQ78">
        <v>-0.230021266666667</v>
      </c>
      <c r="AR78">
        <v>416.14420000000001</v>
      </c>
      <c r="AS78">
        <v>416.04173333333301</v>
      </c>
      <c r="AT78">
        <v>0.79506053333333304</v>
      </c>
      <c r="AU78">
        <v>409.99700000000001</v>
      </c>
      <c r="AV78">
        <v>14.528926666666701</v>
      </c>
      <c r="AW78">
        <v>1.53420933333333</v>
      </c>
      <c r="AX78">
        <v>1.4546079999999999</v>
      </c>
      <c r="AY78">
        <v>13.313413333333299</v>
      </c>
      <c r="AZ78">
        <v>12.4991866666667</v>
      </c>
      <c r="BA78">
        <v>100.000373333333</v>
      </c>
      <c r="BB78">
        <v>0.90013333333333301</v>
      </c>
      <c r="BC78">
        <v>0</v>
      </c>
      <c r="BD78">
        <v>9.9866739999999996E-2</v>
      </c>
      <c r="BE78">
        <v>0</v>
      </c>
      <c r="BF78">
        <v>24</v>
      </c>
      <c r="BG78">
        <v>1648.9486666666701</v>
      </c>
      <c r="BH78">
        <v>1769195209.0999999</v>
      </c>
      <c r="BI78" t="s">
        <v>379</v>
      </c>
      <c r="BJ78">
        <v>1769195209.0999999</v>
      </c>
      <c r="BK78">
        <v>1769195209.0999999</v>
      </c>
      <c r="BL78">
        <v>2</v>
      </c>
      <c r="BM78">
        <v>0.01</v>
      </c>
      <c r="BN78">
        <v>-3.0000000000000001E-3</v>
      </c>
      <c r="BO78">
        <v>-0.84299999999999997</v>
      </c>
      <c r="BP78">
        <v>0.09</v>
      </c>
      <c r="BQ78">
        <v>410</v>
      </c>
      <c r="BR78">
        <v>14</v>
      </c>
      <c r="BS78">
        <v>0.42</v>
      </c>
      <c r="BT78">
        <v>0.1</v>
      </c>
      <c r="BU78">
        <v>-0.23518304761904801</v>
      </c>
      <c r="BV78">
        <v>9.6247012987012506E-3</v>
      </c>
      <c r="BW78">
        <v>2.9706791318254201E-2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0.79196285714285697</v>
      </c>
      <c r="CD78">
        <v>8.6527168831170495E-2</v>
      </c>
      <c r="CE78">
        <v>1.0113653333068901E-2</v>
      </c>
      <c r="CF78">
        <v>1</v>
      </c>
      <c r="CG78">
        <v>2</v>
      </c>
      <c r="CH78">
        <v>2</v>
      </c>
      <c r="CI78" t="s">
        <v>304</v>
      </c>
      <c r="CJ78">
        <v>3.5325099999999998</v>
      </c>
      <c r="CK78">
        <v>2.7022400000000002</v>
      </c>
      <c r="CL78">
        <v>9.7901600000000005E-2</v>
      </c>
      <c r="CM78">
        <v>9.6584100000000006E-2</v>
      </c>
      <c r="CN78">
        <v>8.6777900000000005E-2</v>
      </c>
      <c r="CO78">
        <v>8.2522999999999999E-2</v>
      </c>
      <c r="CP78">
        <v>31626.2</v>
      </c>
      <c r="CQ78">
        <v>27803.8</v>
      </c>
      <c r="CR78">
        <v>32448.400000000001</v>
      </c>
      <c r="CS78">
        <v>30703.7</v>
      </c>
      <c r="CT78">
        <v>40128.400000000001</v>
      </c>
      <c r="CU78">
        <v>39614.5</v>
      </c>
      <c r="CV78">
        <v>47391.4</v>
      </c>
      <c r="CW78">
        <v>46826.3</v>
      </c>
      <c r="CX78">
        <v>2.6212800000000001</v>
      </c>
      <c r="CY78">
        <v>2.1264599999999998</v>
      </c>
      <c r="CZ78">
        <v>0</v>
      </c>
      <c r="DA78">
        <v>0</v>
      </c>
      <c r="DB78">
        <v>999.9</v>
      </c>
      <c r="DC78">
        <v>999.9</v>
      </c>
      <c r="DD78">
        <v>56.695999999999998</v>
      </c>
      <c r="DE78">
        <v>27.372</v>
      </c>
      <c r="DF78">
        <v>20.7133</v>
      </c>
      <c r="DG78">
        <v>30.406400000000001</v>
      </c>
      <c r="DH78">
        <v>16.330100000000002</v>
      </c>
      <c r="DI78">
        <v>2</v>
      </c>
      <c r="DJ78">
        <v>-0.110183</v>
      </c>
      <c r="DK78">
        <v>2.15679</v>
      </c>
      <c r="DL78">
        <v>20.231100000000001</v>
      </c>
      <c r="DM78">
        <v>5.2472399999999997</v>
      </c>
      <c r="DN78">
        <v>12.033899999999999</v>
      </c>
      <c r="DO78">
        <v>4.9674399999999999</v>
      </c>
      <c r="DP78">
        <v>3.2909999999999999</v>
      </c>
      <c r="DQ78">
        <v>536.29999999999995</v>
      </c>
      <c r="DR78">
        <v>9999</v>
      </c>
      <c r="DS78">
        <v>9999</v>
      </c>
      <c r="DT78">
        <v>9999</v>
      </c>
      <c r="DU78">
        <v>1.8710500000000001</v>
      </c>
      <c r="DV78">
        <v>1.87608</v>
      </c>
      <c r="DW78">
        <v>1.87629</v>
      </c>
      <c r="DX78">
        <v>1.8827799999999999</v>
      </c>
      <c r="DY78">
        <v>1.8755900000000001</v>
      </c>
      <c r="DZ78">
        <v>1.8746499999999999</v>
      </c>
      <c r="EA78">
        <v>1.87076</v>
      </c>
      <c r="EB78">
        <v>1.87459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-0.84299999999999997</v>
      </c>
      <c r="EQ78">
        <v>9.0499999999999997E-2</v>
      </c>
      <c r="ER78">
        <v>-0.84339999999997395</v>
      </c>
      <c r="ES78">
        <v>0</v>
      </c>
      <c r="ET78">
        <v>0</v>
      </c>
      <c r="EU78">
        <v>0</v>
      </c>
      <c r="EV78">
        <v>9.0479999999999394E-2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7.8</v>
      </c>
      <c r="FE78">
        <v>7.8</v>
      </c>
      <c r="FF78">
        <v>1.2390099999999999</v>
      </c>
      <c r="FG78">
        <v>2.5964399999999999</v>
      </c>
      <c r="FH78">
        <v>2.19604</v>
      </c>
      <c r="FI78">
        <v>2.66235</v>
      </c>
      <c r="FJ78">
        <v>2.4462899999999999</v>
      </c>
      <c r="FK78">
        <v>2.2936999999999999</v>
      </c>
      <c r="FL78">
        <v>31.980499999999999</v>
      </c>
      <c r="FM78">
        <v>24.148800000000001</v>
      </c>
      <c r="FN78">
        <v>19</v>
      </c>
      <c r="FO78">
        <v>865.375</v>
      </c>
      <c r="FP78">
        <v>574.59100000000001</v>
      </c>
      <c r="FQ78">
        <v>18.305199999999999</v>
      </c>
      <c r="FR78">
        <v>25.593399999999999</v>
      </c>
      <c r="FS78">
        <v>30.0001</v>
      </c>
      <c r="FT78">
        <v>25.5945</v>
      </c>
      <c r="FU78">
        <v>25.597200000000001</v>
      </c>
      <c r="FV78">
        <v>24.883299999999998</v>
      </c>
      <c r="FW78">
        <v>31.5532</v>
      </c>
      <c r="FX78">
        <v>17.214300000000001</v>
      </c>
      <c r="FY78">
        <v>18.304600000000001</v>
      </c>
      <c r="FZ78">
        <v>410</v>
      </c>
      <c r="GA78">
        <v>14.596299999999999</v>
      </c>
      <c r="GB78">
        <v>99.857699999999994</v>
      </c>
      <c r="GC78">
        <v>99.6815</v>
      </c>
    </row>
    <row r="79" spans="1:185" x14ac:dyDescent="0.2">
      <c r="A79">
        <v>64</v>
      </c>
      <c r="B79">
        <v>1769195693.0999999</v>
      </c>
      <c r="C79">
        <v>1132.0999999046301</v>
      </c>
      <c r="D79" t="s">
        <v>422</v>
      </c>
      <c r="E79" t="s">
        <v>423</v>
      </c>
      <c r="F79">
        <v>15</v>
      </c>
      <c r="G79">
        <v>1769195685.03333</v>
      </c>
      <c r="H79">
        <f t="shared" si="0"/>
        <v>6.4066959070289389E-4</v>
      </c>
      <c r="I79">
        <v>0</v>
      </c>
      <c r="J79">
        <f t="shared" si="12"/>
        <v>-1.554376785802662E-3</v>
      </c>
      <c r="K79">
        <f t="shared" si="1"/>
        <v>-5.7922013538393761E-2</v>
      </c>
      <c r="L79">
        <f t="shared" si="2"/>
        <v>69.596460254674824</v>
      </c>
      <c r="M79">
        <f t="shared" si="3"/>
        <v>1.5347760794732268</v>
      </c>
      <c r="N79">
        <f t="shared" si="4"/>
        <v>2.2052502007386723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26265.247670020672</v>
      </c>
      <c r="T79">
        <f t="shared" si="8"/>
        <v>100.001033333333</v>
      </c>
      <c r="U79">
        <f t="shared" si="9"/>
        <v>84.300435675500381</v>
      </c>
      <c r="V79">
        <f t="shared" si="10"/>
        <v>0.84299564579999997</v>
      </c>
      <c r="W79">
        <f t="shared" si="11"/>
        <v>0.15868923142800001</v>
      </c>
      <c r="X79">
        <v>1</v>
      </c>
      <c r="Y79">
        <v>1769195685.03333</v>
      </c>
      <c r="Z79">
        <v>409.74453333333298</v>
      </c>
      <c r="AA79">
        <v>410.00026666666702</v>
      </c>
      <c r="AB79">
        <v>15.3196933333333</v>
      </c>
      <c r="AC79">
        <v>14.531133333333299</v>
      </c>
      <c r="AD79">
        <v>410.58793333333301</v>
      </c>
      <c r="AE79">
        <v>15.2292066666667</v>
      </c>
      <c r="AF79">
        <v>800.00853333333305</v>
      </c>
      <c r="AG79">
        <v>100.11879999999999</v>
      </c>
      <c r="AH79">
        <v>6.4411640000000006E-2</v>
      </c>
      <c r="AI79">
        <v>19.000506666666698</v>
      </c>
      <c r="AJ79">
        <v>999.9</v>
      </c>
      <c r="AK79">
        <v>999.9</v>
      </c>
      <c r="AL79">
        <v>0</v>
      </c>
      <c r="AM79">
        <v>0</v>
      </c>
      <c r="AN79">
        <v>5001.9666666666699</v>
      </c>
      <c r="AO79">
        <v>0</v>
      </c>
      <c r="AP79">
        <v>1.7502500000000001</v>
      </c>
      <c r="AQ79">
        <v>-0.25585733333333299</v>
      </c>
      <c r="AR79">
        <v>416.11919999999998</v>
      </c>
      <c r="AS79">
        <v>416.04599999999999</v>
      </c>
      <c r="AT79">
        <v>0.78854519999999995</v>
      </c>
      <c r="AU79">
        <v>410.00026666666702</v>
      </c>
      <c r="AV79">
        <v>14.531133333333299</v>
      </c>
      <c r="AW79">
        <v>1.5337893333333299</v>
      </c>
      <c r="AX79">
        <v>1.454842</v>
      </c>
      <c r="AY79">
        <v>13.3092466666667</v>
      </c>
      <c r="AZ79">
        <v>12.5016533333333</v>
      </c>
      <c r="BA79">
        <v>100.001033333333</v>
      </c>
      <c r="BB79">
        <v>0.90014340000000004</v>
      </c>
      <c r="BC79">
        <v>0</v>
      </c>
      <c r="BD79">
        <v>9.9856539999999994E-2</v>
      </c>
      <c r="BE79">
        <v>0</v>
      </c>
      <c r="BF79">
        <v>24</v>
      </c>
      <c r="BG79">
        <v>1648.9639999999999</v>
      </c>
      <c r="BH79">
        <v>1769195209.0999999</v>
      </c>
      <c r="BI79" t="s">
        <v>379</v>
      </c>
      <c r="BJ79">
        <v>1769195209.0999999</v>
      </c>
      <c r="BK79">
        <v>1769195209.0999999</v>
      </c>
      <c r="BL79">
        <v>2</v>
      </c>
      <c r="BM79">
        <v>0.01</v>
      </c>
      <c r="BN79">
        <v>-3.0000000000000001E-3</v>
      </c>
      <c r="BO79">
        <v>-0.84299999999999997</v>
      </c>
      <c r="BP79">
        <v>0.09</v>
      </c>
      <c r="BQ79">
        <v>410</v>
      </c>
      <c r="BR79">
        <v>14</v>
      </c>
      <c r="BS79">
        <v>0.42</v>
      </c>
      <c r="BT79">
        <v>0.1</v>
      </c>
      <c r="BU79">
        <v>-0.25704044999999998</v>
      </c>
      <c r="BV79">
        <v>-5.1114180451127901E-2</v>
      </c>
      <c r="BW79">
        <v>1.9540016372754099E-2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0.79296694999999995</v>
      </c>
      <c r="CD79">
        <v>-3.16334887218057E-2</v>
      </c>
      <c r="CE79">
        <v>1.26549837908825E-2</v>
      </c>
      <c r="CF79">
        <v>1</v>
      </c>
      <c r="CG79">
        <v>2</v>
      </c>
      <c r="CH79">
        <v>2</v>
      </c>
      <c r="CI79" t="s">
        <v>304</v>
      </c>
      <c r="CJ79">
        <v>3.5325799999999998</v>
      </c>
      <c r="CK79">
        <v>2.7021799999999998</v>
      </c>
      <c r="CL79">
        <v>9.7903799999999999E-2</v>
      </c>
      <c r="CM79">
        <v>9.6584299999999998E-2</v>
      </c>
      <c r="CN79">
        <v>8.6767499999999997E-2</v>
      </c>
      <c r="CO79">
        <v>8.2513299999999998E-2</v>
      </c>
      <c r="CP79">
        <v>31626.799999999999</v>
      </c>
      <c r="CQ79">
        <v>27804.6</v>
      </c>
      <c r="CR79">
        <v>32449</v>
      </c>
      <c r="CS79">
        <v>30704.7</v>
      </c>
      <c r="CT79">
        <v>40129.800000000003</v>
      </c>
      <c r="CU79">
        <v>39616.1</v>
      </c>
      <c r="CV79">
        <v>47392.6</v>
      </c>
      <c r="CW79">
        <v>46827.6</v>
      </c>
      <c r="CX79">
        <v>2.6211600000000002</v>
      </c>
      <c r="CY79">
        <v>2.1265999999999998</v>
      </c>
      <c r="CZ79">
        <v>0</v>
      </c>
      <c r="DA79">
        <v>0</v>
      </c>
      <c r="DB79">
        <v>999.9</v>
      </c>
      <c r="DC79">
        <v>999.9</v>
      </c>
      <c r="DD79">
        <v>56.573999999999998</v>
      </c>
      <c r="DE79">
        <v>27.382000000000001</v>
      </c>
      <c r="DF79">
        <v>20.682600000000001</v>
      </c>
      <c r="DG79">
        <v>30.3764</v>
      </c>
      <c r="DH79">
        <v>16.274000000000001</v>
      </c>
      <c r="DI79">
        <v>2</v>
      </c>
      <c r="DJ79">
        <v>-0.11006100000000001</v>
      </c>
      <c r="DK79">
        <v>2.1812399999999998</v>
      </c>
      <c r="DL79">
        <v>20.230699999999999</v>
      </c>
      <c r="DM79">
        <v>5.2473599999999996</v>
      </c>
      <c r="DN79">
        <v>12.033899999999999</v>
      </c>
      <c r="DO79">
        <v>4.9664799999999998</v>
      </c>
      <c r="DP79">
        <v>3.2909999999999999</v>
      </c>
      <c r="DQ79">
        <v>536.29999999999995</v>
      </c>
      <c r="DR79">
        <v>9999</v>
      </c>
      <c r="DS79">
        <v>9999</v>
      </c>
      <c r="DT79">
        <v>9999</v>
      </c>
      <c r="DU79">
        <v>1.87104</v>
      </c>
      <c r="DV79">
        <v>1.87608</v>
      </c>
      <c r="DW79">
        <v>1.87626</v>
      </c>
      <c r="DX79">
        <v>1.8827799999999999</v>
      </c>
      <c r="DY79">
        <v>1.8755999999999999</v>
      </c>
      <c r="DZ79">
        <v>1.87463</v>
      </c>
      <c r="EA79">
        <v>1.87079</v>
      </c>
      <c r="EB79">
        <v>1.8745700000000001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-0.84299999999999997</v>
      </c>
      <c r="EQ79">
        <v>9.0499999999999997E-2</v>
      </c>
      <c r="ER79">
        <v>-0.84339999999997395</v>
      </c>
      <c r="ES79">
        <v>0</v>
      </c>
      <c r="ET79">
        <v>0</v>
      </c>
      <c r="EU79">
        <v>0</v>
      </c>
      <c r="EV79">
        <v>9.0479999999999394E-2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8.1</v>
      </c>
      <c r="FE79">
        <v>8.1</v>
      </c>
      <c r="FF79">
        <v>1.2402299999999999</v>
      </c>
      <c r="FG79">
        <v>2.5866699999999998</v>
      </c>
      <c r="FH79">
        <v>2.19604</v>
      </c>
      <c r="FI79">
        <v>2.66235</v>
      </c>
      <c r="FJ79">
        <v>2.4462899999999999</v>
      </c>
      <c r="FK79">
        <v>2.323</v>
      </c>
      <c r="FL79">
        <v>31.980499999999999</v>
      </c>
      <c r="FM79">
        <v>24.157499999999999</v>
      </c>
      <c r="FN79">
        <v>19</v>
      </c>
      <c r="FO79">
        <v>865.26300000000003</v>
      </c>
      <c r="FP79">
        <v>574.69799999999998</v>
      </c>
      <c r="FQ79">
        <v>18.294799999999999</v>
      </c>
      <c r="FR79">
        <v>25.593900000000001</v>
      </c>
      <c r="FS79">
        <v>30.0002</v>
      </c>
      <c r="FT79">
        <v>25.5945</v>
      </c>
      <c r="FU79">
        <v>25.597200000000001</v>
      </c>
      <c r="FV79">
        <v>24.883800000000001</v>
      </c>
      <c r="FW79">
        <v>31.268899999999999</v>
      </c>
      <c r="FX79">
        <v>16.835699999999999</v>
      </c>
      <c r="FY79">
        <v>18.294699999999999</v>
      </c>
      <c r="FZ79">
        <v>410</v>
      </c>
      <c r="GA79">
        <v>14.6027</v>
      </c>
      <c r="GB79">
        <v>99.859899999999996</v>
      </c>
      <c r="GC79">
        <v>99.684399999999997</v>
      </c>
    </row>
    <row r="80" spans="1:185" x14ac:dyDescent="0.2">
      <c r="A80">
        <v>65</v>
      </c>
      <c r="B80">
        <v>1769195708.0999999</v>
      </c>
      <c r="C80">
        <v>1147.0999999046301</v>
      </c>
      <c r="D80" t="s">
        <v>424</v>
      </c>
      <c r="E80" t="s">
        <v>425</v>
      </c>
      <c r="F80">
        <v>15</v>
      </c>
      <c r="G80">
        <v>1769195700.03333</v>
      </c>
      <c r="H80">
        <f t="shared" ref="H80:H143" si="13">AF80*Q80*(AB80-AC80)/(1000*X80*(1000-Q80*AB80))</f>
        <v>6.1858064490842698E-4</v>
      </c>
      <c r="I80">
        <v>0</v>
      </c>
      <c r="J80">
        <f t="shared" si="12"/>
        <v>-1.728029949661617E-3</v>
      </c>
      <c r="K80">
        <f t="shared" ref="K80:K143" si="14">AF80*Q80*(AA80-Z80*(1000-Q80*AC80)/(1000-Q80*AB80))/(1000*X80)</f>
        <v>-6.4392993419136957E-2</v>
      </c>
      <c r="L80">
        <f t="shared" ref="L80:L143" si="15">(M80/N80*100)</f>
        <v>69.606426565335127</v>
      </c>
      <c r="M80">
        <f t="shared" ref="M80:M143" si="16">AB80*(AG80+AH80)/1000</f>
        <v>1.5350859043039651</v>
      </c>
      <c r="N80">
        <f t="shared" ref="N80:N143" si="17">0.61365*EXP(17.502*AI80/(240.97+AI80))</f>
        <v>2.2053795605540496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26223.49219098016</v>
      </c>
      <c r="T80">
        <f t="shared" ref="T80:T143" si="21">$B$11*AO80+$C$11*AP80+$D$11*BA80</f>
        <v>99.997699999999995</v>
      </c>
      <c r="U80">
        <f t="shared" ref="U80:U143" si="22">T80*V80</f>
        <v>84.297637389745589</v>
      </c>
      <c r="V80">
        <f t="shared" ref="V80:V143" si="23">($B$11*$D$9+$C$11*$D$9+$D$11*(BB80*$E$9+BC80*$F$9+BD80*$G$9+BE80*$H$9))/($B$11+$C$11+$D$11)</f>
        <v>0.84299576280000033</v>
      </c>
      <c r="W80">
        <f t="shared" ref="W80:W143" si="24">($B$11*$L$9+$C$11*$L$9+$D$11*(BB80*$M$9+BC80*$N$9+BD80*$O$9+BE80*$P$9))/($B$11+$C$11+$D$11)</f>
        <v>0.15868945896800007</v>
      </c>
      <c r="X80">
        <v>1</v>
      </c>
      <c r="Y80">
        <v>1769195700.03333</v>
      </c>
      <c r="Z80">
        <v>409.74313333333299</v>
      </c>
      <c r="AA80">
        <v>409.97946666666701</v>
      </c>
      <c r="AB80">
        <v>15.3225266666667</v>
      </c>
      <c r="AC80">
        <v>14.5611466666667</v>
      </c>
      <c r="AD80">
        <v>410.58666666666699</v>
      </c>
      <c r="AE80">
        <v>15.2320333333333</v>
      </c>
      <c r="AF80">
        <v>799.99793333333298</v>
      </c>
      <c r="AG80">
        <v>100.1204</v>
      </c>
      <c r="AH80">
        <v>6.4506686666666702E-2</v>
      </c>
      <c r="AI80">
        <v>19.001446666666698</v>
      </c>
      <c r="AJ80">
        <v>999.9</v>
      </c>
      <c r="AK80">
        <v>999.9</v>
      </c>
      <c r="AL80">
        <v>0</v>
      </c>
      <c r="AM80">
        <v>0</v>
      </c>
      <c r="AN80">
        <v>4995.0333333333301</v>
      </c>
      <c r="AO80">
        <v>0</v>
      </c>
      <c r="AP80">
        <v>1.7502500000000001</v>
      </c>
      <c r="AQ80">
        <v>-0.23627933333333301</v>
      </c>
      <c r="AR80">
        <v>416.11926666666699</v>
      </c>
      <c r="AS80">
        <v>416.03733333333298</v>
      </c>
      <c r="AT80">
        <v>0.76136939999999997</v>
      </c>
      <c r="AU80">
        <v>409.97946666666701</v>
      </c>
      <c r="AV80">
        <v>14.5611466666667</v>
      </c>
      <c r="AW80">
        <v>1.534098</v>
      </c>
      <c r="AX80">
        <v>1.45786866666667</v>
      </c>
      <c r="AY80">
        <v>13.31232</v>
      </c>
      <c r="AZ80">
        <v>12.5333133333333</v>
      </c>
      <c r="BA80">
        <v>99.997699999999995</v>
      </c>
      <c r="BB80">
        <v>0.90014046666666703</v>
      </c>
      <c r="BC80">
        <v>0</v>
      </c>
      <c r="BD80">
        <v>9.9859506666666695E-2</v>
      </c>
      <c r="BE80">
        <v>0</v>
      </c>
      <c r="BF80">
        <v>24</v>
      </c>
      <c r="BG80">
        <v>1648.9086666666699</v>
      </c>
      <c r="BH80">
        <v>1769195209.0999999</v>
      </c>
      <c r="BI80" t="s">
        <v>379</v>
      </c>
      <c r="BJ80">
        <v>1769195209.0999999</v>
      </c>
      <c r="BK80">
        <v>1769195209.0999999</v>
      </c>
      <c r="BL80">
        <v>2</v>
      </c>
      <c r="BM80">
        <v>0.01</v>
      </c>
      <c r="BN80">
        <v>-3.0000000000000001E-3</v>
      </c>
      <c r="BO80">
        <v>-0.84299999999999997</v>
      </c>
      <c r="BP80">
        <v>0.09</v>
      </c>
      <c r="BQ80">
        <v>410</v>
      </c>
      <c r="BR80">
        <v>14</v>
      </c>
      <c r="BS80">
        <v>0.42</v>
      </c>
      <c r="BT80">
        <v>0.1</v>
      </c>
      <c r="BU80">
        <v>-0.24543400000000001</v>
      </c>
      <c r="BV80">
        <v>9.1706727272726996E-2</v>
      </c>
      <c r="BW80">
        <v>2.4047738511631601E-2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0.77159033333333304</v>
      </c>
      <c r="CD80">
        <v>-0.14159111688311499</v>
      </c>
      <c r="CE80">
        <v>2.1788195387003099E-2</v>
      </c>
      <c r="CF80">
        <v>0</v>
      </c>
      <c r="CG80">
        <v>1</v>
      </c>
      <c r="CH80">
        <v>2</v>
      </c>
      <c r="CI80" t="s">
        <v>297</v>
      </c>
      <c r="CJ80">
        <v>3.5325700000000002</v>
      </c>
      <c r="CK80">
        <v>2.7025000000000001</v>
      </c>
      <c r="CL80">
        <v>9.7900100000000004E-2</v>
      </c>
      <c r="CM80">
        <v>9.6589999999999995E-2</v>
      </c>
      <c r="CN80">
        <v>8.6807999999999996E-2</v>
      </c>
      <c r="CO80">
        <v>8.2653599999999994E-2</v>
      </c>
      <c r="CP80">
        <v>31626.3</v>
      </c>
      <c r="CQ80">
        <v>27804.1</v>
      </c>
      <c r="CR80">
        <v>32448.400000000001</v>
      </c>
      <c r="CS80">
        <v>30704.3</v>
      </c>
      <c r="CT80">
        <v>40127.4</v>
      </c>
      <c r="CU80">
        <v>39609.599999999999</v>
      </c>
      <c r="CV80">
        <v>47391.9</v>
      </c>
      <c r="CW80">
        <v>46827.4</v>
      </c>
      <c r="CX80">
        <v>2.6211199999999999</v>
      </c>
      <c r="CY80">
        <v>2.12642</v>
      </c>
      <c r="CZ80">
        <v>0</v>
      </c>
      <c r="DA80">
        <v>0</v>
      </c>
      <c r="DB80">
        <v>999.9</v>
      </c>
      <c r="DC80">
        <v>999.9</v>
      </c>
      <c r="DD80">
        <v>56.427999999999997</v>
      </c>
      <c r="DE80">
        <v>27.382000000000001</v>
      </c>
      <c r="DF80">
        <v>20.630800000000001</v>
      </c>
      <c r="DG80">
        <v>30.496400000000001</v>
      </c>
      <c r="DH80">
        <v>16.322099999999999</v>
      </c>
      <c r="DI80">
        <v>2</v>
      </c>
      <c r="DJ80">
        <v>-0.109628</v>
      </c>
      <c r="DK80">
        <v>2.18933</v>
      </c>
      <c r="DL80">
        <v>20.229900000000001</v>
      </c>
      <c r="DM80">
        <v>5.2476000000000003</v>
      </c>
      <c r="DN80">
        <v>12.033899999999999</v>
      </c>
      <c r="DO80">
        <v>4.9658800000000003</v>
      </c>
      <c r="DP80">
        <v>3.2909999999999999</v>
      </c>
      <c r="DQ80">
        <v>536.29999999999995</v>
      </c>
      <c r="DR80">
        <v>9999</v>
      </c>
      <c r="DS80">
        <v>9999</v>
      </c>
      <c r="DT80">
        <v>9999</v>
      </c>
      <c r="DU80">
        <v>1.87103</v>
      </c>
      <c r="DV80">
        <v>1.8760699999999999</v>
      </c>
      <c r="DW80">
        <v>1.8762300000000001</v>
      </c>
      <c r="DX80">
        <v>1.8827799999999999</v>
      </c>
      <c r="DY80">
        <v>1.87557</v>
      </c>
      <c r="DZ80">
        <v>1.8746</v>
      </c>
      <c r="EA80">
        <v>1.8707499999999999</v>
      </c>
      <c r="EB80">
        <v>1.8745700000000001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-0.84299999999999997</v>
      </c>
      <c r="EQ80">
        <v>9.0499999999999997E-2</v>
      </c>
      <c r="ER80">
        <v>-0.84339999999997395</v>
      </c>
      <c r="ES80">
        <v>0</v>
      </c>
      <c r="ET80">
        <v>0</v>
      </c>
      <c r="EU80">
        <v>0</v>
      </c>
      <c r="EV80">
        <v>9.0479999999999394E-2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8.3000000000000007</v>
      </c>
      <c r="FE80">
        <v>8.3000000000000007</v>
      </c>
      <c r="FF80">
        <v>1.2402299999999999</v>
      </c>
      <c r="FG80">
        <v>2.5854499999999998</v>
      </c>
      <c r="FH80">
        <v>2.19604</v>
      </c>
      <c r="FI80">
        <v>2.66235</v>
      </c>
      <c r="FJ80">
        <v>2.4462899999999999</v>
      </c>
      <c r="FK80">
        <v>2.2961399999999998</v>
      </c>
      <c r="FL80">
        <v>31.980499999999999</v>
      </c>
      <c r="FM80">
        <v>24.148800000000001</v>
      </c>
      <c r="FN80">
        <v>19</v>
      </c>
      <c r="FO80">
        <v>865.26</v>
      </c>
      <c r="FP80">
        <v>574.58399999999995</v>
      </c>
      <c r="FQ80">
        <v>18.2941</v>
      </c>
      <c r="FR80">
        <v>25.595600000000001</v>
      </c>
      <c r="FS80">
        <v>30.0001</v>
      </c>
      <c r="FT80">
        <v>25.596599999999999</v>
      </c>
      <c r="FU80">
        <v>25.599399999999999</v>
      </c>
      <c r="FV80">
        <v>24.884499999999999</v>
      </c>
      <c r="FW80">
        <v>31.268899999999999</v>
      </c>
      <c r="FX80">
        <v>16.462399999999999</v>
      </c>
      <c r="FY80">
        <v>18.289400000000001</v>
      </c>
      <c r="FZ80">
        <v>410</v>
      </c>
      <c r="GA80">
        <v>14.599</v>
      </c>
      <c r="GB80">
        <v>99.8583</v>
      </c>
      <c r="GC80">
        <v>99.683499999999995</v>
      </c>
    </row>
    <row r="81" spans="1:185" x14ac:dyDescent="0.2">
      <c r="A81">
        <v>66</v>
      </c>
      <c r="B81">
        <v>1769195723.0999999</v>
      </c>
      <c r="C81">
        <v>1162.0999999046301</v>
      </c>
      <c r="D81" t="s">
        <v>426</v>
      </c>
      <c r="E81" t="s">
        <v>427</v>
      </c>
      <c r="F81">
        <v>15</v>
      </c>
      <c r="G81">
        <v>1769195715.03333</v>
      </c>
      <c r="H81">
        <f t="shared" si="13"/>
        <v>6.3343817108833344E-4</v>
      </c>
      <c r="I81">
        <v>0</v>
      </c>
      <c r="J81">
        <f t="shared" ref="J81:J144" si="25">K81*(0.0002153/0.0080229)</f>
        <v>-1.739811529643013E-3</v>
      </c>
      <c r="K81">
        <f t="shared" si="14"/>
        <v>-6.4832020070473423E-2</v>
      </c>
      <c r="L81">
        <f t="shared" si="15"/>
        <v>69.614660347642783</v>
      </c>
      <c r="M81">
        <f t="shared" si="16"/>
        <v>1.5356085857282005</v>
      </c>
      <c r="N81">
        <f t="shared" si="17"/>
        <v>2.2058695367608694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26271.185042803612</v>
      </c>
      <c r="T81">
        <f t="shared" si="21"/>
        <v>100.000966666667</v>
      </c>
      <c r="U81">
        <f t="shared" si="22"/>
        <v>84.300402596014735</v>
      </c>
      <c r="V81">
        <f t="shared" si="23"/>
        <v>0.84299587700000023</v>
      </c>
      <c r="W81">
        <f t="shared" si="24"/>
        <v>0.15868936770000003</v>
      </c>
      <c r="X81">
        <v>1</v>
      </c>
      <c r="Y81">
        <v>1769195715.03333</v>
      </c>
      <c r="Z81">
        <v>409.75420000000003</v>
      </c>
      <c r="AA81">
        <v>409.99759999999998</v>
      </c>
      <c r="AB81">
        <v>15.3279666666667</v>
      </c>
      <c r="AC81">
        <v>14.548313333333301</v>
      </c>
      <c r="AD81">
        <v>410.59780000000001</v>
      </c>
      <c r="AE81">
        <v>15.2374733333333</v>
      </c>
      <c r="AF81">
        <v>800.00793333333297</v>
      </c>
      <c r="AG81">
        <v>100.119066666667</v>
      </c>
      <c r="AH81">
        <v>6.4383566666666697E-2</v>
      </c>
      <c r="AI81">
        <v>19.005006666666699</v>
      </c>
      <c r="AJ81">
        <v>999.9</v>
      </c>
      <c r="AK81">
        <v>999.9</v>
      </c>
      <c r="AL81">
        <v>0</v>
      </c>
      <c r="AM81">
        <v>0</v>
      </c>
      <c r="AN81">
        <v>5003</v>
      </c>
      <c r="AO81">
        <v>0</v>
      </c>
      <c r="AP81">
        <v>1.7502500000000001</v>
      </c>
      <c r="AQ81">
        <v>-0.24354046666666701</v>
      </c>
      <c r="AR81">
        <v>416.13273333333302</v>
      </c>
      <c r="AS81">
        <v>416.05066666666698</v>
      </c>
      <c r="AT81">
        <v>0.77966040000000003</v>
      </c>
      <c r="AU81">
        <v>409.99759999999998</v>
      </c>
      <c r="AV81">
        <v>14.548313333333301</v>
      </c>
      <c r="AW81">
        <v>1.5346219999999999</v>
      </c>
      <c r="AX81">
        <v>1.45656266666667</v>
      </c>
      <c r="AY81">
        <v>13.317539999999999</v>
      </c>
      <c r="AZ81">
        <v>12.5196533333333</v>
      </c>
      <c r="BA81">
        <v>100.000966666667</v>
      </c>
      <c r="BB81">
        <v>0.90014226666666697</v>
      </c>
      <c r="BC81">
        <v>0</v>
      </c>
      <c r="BD81">
        <v>9.9857899999999999E-2</v>
      </c>
      <c r="BE81">
        <v>0</v>
      </c>
      <c r="BF81">
        <v>24</v>
      </c>
      <c r="BG81">
        <v>1648.9646666666699</v>
      </c>
      <c r="BH81">
        <v>1769195209.0999999</v>
      </c>
      <c r="BI81" t="s">
        <v>379</v>
      </c>
      <c r="BJ81">
        <v>1769195209.0999999</v>
      </c>
      <c r="BK81">
        <v>1769195209.0999999</v>
      </c>
      <c r="BL81">
        <v>2</v>
      </c>
      <c r="BM81">
        <v>0.01</v>
      </c>
      <c r="BN81">
        <v>-3.0000000000000001E-3</v>
      </c>
      <c r="BO81">
        <v>-0.84299999999999997</v>
      </c>
      <c r="BP81">
        <v>0.09</v>
      </c>
      <c r="BQ81">
        <v>410</v>
      </c>
      <c r="BR81">
        <v>14</v>
      </c>
      <c r="BS81">
        <v>0.42</v>
      </c>
      <c r="BT81">
        <v>0.1</v>
      </c>
      <c r="BU81">
        <v>-0.24387054999999999</v>
      </c>
      <c r="BV81">
        <v>1.32652781954887E-2</v>
      </c>
      <c r="BW81">
        <v>1.55514644148871E-2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0.7762713</v>
      </c>
      <c r="CD81">
        <v>7.6582556390976497E-2</v>
      </c>
      <c r="CE81">
        <v>8.0556190953892503E-3</v>
      </c>
      <c r="CF81">
        <v>1</v>
      </c>
      <c r="CG81">
        <v>2</v>
      </c>
      <c r="CH81">
        <v>2</v>
      </c>
      <c r="CI81" t="s">
        <v>304</v>
      </c>
      <c r="CJ81">
        <v>3.5324800000000001</v>
      </c>
      <c r="CK81">
        <v>2.7023600000000001</v>
      </c>
      <c r="CL81">
        <v>9.7897300000000007E-2</v>
      </c>
      <c r="CM81">
        <v>9.6586400000000003E-2</v>
      </c>
      <c r="CN81">
        <v>8.6791400000000005E-2</v>
      </c>
      <c r="CO81">
        <v>8.2537700000000006E-2</v>
      </c>
      <c r="CP81">
        <v>31626.5</v>
      </c>
      <c r="CQ81">
        <v>27804.3</v>
      </c>
      <c r="CR81">
        <v>32448.5</v>
      </c>
      <c r="CS81">
        <v>30704.400000000001</v>
      </c>
      <c r="CT81">
        <v>40128.300000000003</v>
      </c>
      <c r="CU81">
        <v>39615</v>
      </c>
      <c r="CV81">
        <v>47392</v>
      </c>
      <c r="CW81">
        <v>46827.6</v>
      </c>
      <c r="CX81">
        <v>2.6208999999999998</v>
      </c>
      <c r="CY81">
        <v>2.1264400000000001</v>
      </c>
      <c r="CZ81">
        <v>0</v>
      </c>
      <c r="DA81">
        <v>0</v>
      </c>
      <c r="DB81">
        <v>999.9</v>
      </c>
      <c r="DC81">
        <v>999.9</v>
      </c>
      <c r="DD81">
        <v>56.311999999999998</v>
      </c>
      <c r="DE81">
        <v>27.411999999999999</v>
      </c>
      <c r="DF81">
        <v>20.6234</v>
      </c>
      <c r="DG81">
        <v>30.166399999999999</v>
      </c>
      <c r="DH81">
        <v>16.438300000000002</v>
      </c>
      <c r="DI81">
        <v>2</v>
      </c>
      <c r="DJ81">
        <v>-0.109461</v>
      </c>
      <c r="DK81">
        <v>2.2344300000000001</v>
      </c>
      <c r="DL81">
        <v>20.23</v>
      </c>
      <c r="DM81">
        <v>5.2486800000000002</v>
      </c>
      <c r="DN81">
        <v>12.033899999999999</v>
      </c>
      <c r="DO81">
        <v>4.9657999999999998</v>
      </c>
      <c r="DP81">
        <v>3.2909999999999999</v>
      </c>
      <c r="DQ81">
        <v>536.29999999999995</v>
      </c>
      <c r="DR81">
        <v>9999</v>
      </c>
      <c r="DS81">
        <v>9999</v>
      </c>
      <c r="DT81">
        <v>9999</v>
      </c>
      <c r="DU81">
        <v>1.87104</v>
      </c>
      <c r="DV81">
        <v>1.8760699999999999</v>
      </c>
      <c r="DW81">
        <v>1.8762300000000001</v>
      </c>
      <c r="DX81">
        <v>1.8827799999999999</v>
      </c>
      <c r="DY81">
        <v>1.87557</v>
      </c>
      <c r="DZ81">
        <v>1.8746499999999999</v>
      </c>
      <c r="EA81">
        <v>1.8707499999999999</v>
      </c>
      <c r="EB81">
        <v>1.87459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-0.84299999999999997</v>
      </c>
      <c r="EQ81">
        <v>9.0399999999999994E-2</v>
      </c>
      <c r="ER81">
        <v>-0.84339999999997395</v>
      </c>
      <c r="ES81">
        <v>0</v>
      </c>
      <c r="ET81">
        <v>0</v>
      </c>
      <c r="EU81">
        <v>0</v>
      </c>
      <c r="EV81">
        <v>9.0479999999999394E-2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8.6</v>
      </c>
      <c r="FE81">
        <v>8.6</v>
      </c>
      <c r="FF81">
        <v>1.2402299999999999</v>
      </c>
      <c r="FG81">
        <v>2.5964399999999999</v>
      </c>
      <c r="FH81">
        <v>2.19604</v>
      </c>
      <c r="FI81">
        <v>2.66235</v>
      </c>
      <c r="FJ81">
        <v>2.4462899999999999</v>
      </c>
      <c r="FK81">
        <v>2.2680699999999998</v>
      </c>
      <c r="FL81">
        <v>32.002400000000002</v>
      </c>
      <c r="FM81">
        <v>24.148800000000001</v>
      </c>
      <c r="FN81">
        <v>19</v>
      </c>
      <c r="FO81">
        <v>865.10400000000004</v>
      </c>
      <c r="FP81">
        <v>574.64599999999996</v>
      </c>
      <c r="FQ81">
        <v>18.281300000000002</v>
      </c>
      <c r="FR81">
        <v>25.5991</v>
      </c>
      <c r="FS81">
        <v>30.0002</v>
      </c>
      <c r="FT81">
        <v>25.599699999999999</v>
      </c>
      <c r="FU81">
        <v>25.6037</v>
      </c>
      <c r="FV81">
        <v>24.8856</v>
      </c>
      <c r="FW81">
        <v>31.268899999999999</v>
      </c>
      <c r="FX81">
        <v>16.0884</v>
      </c>
      <c r="FY81">
        <v>18.273900000000001</v>
      </c>
      <c r="FZ81">
        <v>410</v>
      </c>
      <c r="GA81">
        <v>14.6004</v>
      </c>
      <c r="GB81">
        <v>99.858599999999996</v>
      </c>
      <c r="GC81">
        <v>99.683999999999997</v>
      </c>
    </row>
    <row r="82" spans="1:185" x14ac:dyDescent="0.2">
      <c r="A82">
        <v>67</v>
      </c>
      <c r="B82">
        <v>1769195738.0999999</v>
      </c>
      <c r="C82">
        <v>1177.0999999046301</v>
      </c>
      <c r="D82" t="s">
        <v>428</v>
      </c>
      <c r="E82" t="s">
        <v>429</v>
      </c>
      <c r="F82">
        <v>15</v>
      </c>
      <c r="G82">
        <v>1769195730.03333</v>
      </c>
      <c r="H82">
        <f t="shared" si="13"/>
        <v>6.374732883999716E-4</v>
      </c>
      <c r="I82">
        <v>0</v>
      </c>
      <c r="J82">
        <f t="shared" si="25"/>
        <v>-1.4518817132566713E-3</v>
      </c>
      <c r="K82">
        <f t="shared" si="14"/>
        <v>-5.4102655816474443E-2</v>
      </c>
      <c r="L82">
        <f t="shared" si="15"/>
        <v>69.572561966429191</v>
      </c>
      <c r="M82">
        <f t="shared" si="16"/>
        <v>1.5347603945260362</v>
      </c>
      <c r="N82">
        <f t="shared" si="17"/>
        <v>2.2059851630397098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26273.872012443822</v>
      </c>
      <c r="T82">
        <f t="shared" si="21"/>
        <v>100.000293333333</v>
      </c>
      <c r="U82">
        <f t="shared" si="22"/>
        <v>84.299842778813172</v>
      </c>
      <c r="V82">
        <f t="shared" si="23"/>
        <v>0.8429959549999998</v>
      </c>
      <c r="W82">
        <f t="shared" si="24"/>
        <v>0.15868969261999996</v>
      </c>
      <c r="X82">
        <v>1</v>
      </c>
      <c r="Y82">
        <v>1769195730.03333</v>
      </c>
      <c r="Z82">
        <v>409.73680000000002</v>
      </c>
      <c r="AA82">
        <v>409.99566666666698</v>
      </c>
      <c r="AB82">
        <v>15.319520000000001</v>
      </c>
      <c r="AC82">
        <v>14.534886666666701</v>
      </c>
      <c r="AD82">
        <v>410.58019999999999</v>
      </c>
      <c r="AE82">
        <v>15.229039999999999</v>
      </c>
      <c r="AF82">
        <v>800.00106666666704</v>
      </c>
      <c r="AG82">
        <v>100.11879999999999</v>
      </c>
      <c r="AH82">
        <v>6.4521313333333302E-2</v>
      </c>
      <c r="AI82">
        <v>19.005846666666699</v>
      </c>
      <c r="AJ82">
        <v>999.9</v>
      </c>
      <c r="AK82">
        <v>999.9</v>
      </c>
      <c r="AL82">
        <v>0</v>
      </c>
      <c r="AM82">
        <v>0</v>
      </c>
      <c r="AN82">
        <v>5003.4666666666699</v>
      </c>
      <c r="AO82">
        <v>0</v>
      </c>
      <c r="AP82">
        <v>1.7502500000000001</v>
      </c>
      <c r="AQ82">
        <v>-0.25897219999999999</v>
      </c>
      <c r="AR82">
        <v>416.1114</v>
      </c>
      <c r="AS82">
        <v>416.04273333333299</v>
      </c>
      <c r="AT82">
        <v>0.78464606666666703</v>
      </c>
      <c r="AU82">
        <v>409.99566666666698</v>
      </c>
      <c r="AV82">
        <v>14.534886666666701</v>
      </c>
      <c r="AW82">
        <v>1.53377266666667</v>
      </c>
      <c r="AX82">
        <v>1.4552146666666701</v>
      </c>
      <c r="AY82">
        <v>13.3090666666667</v>
      </c>
      <c r="AZ82">
        <v>12.5055533333333</v>
      </c>
      <c r="BA82">
        <v>100.000293333333</v>
      </c>
      <c r="BB82">
        <v>0.90013773333333302</v>
      </c>
      <c r="BC82">
        <v>0</v>
      </c>
      <c r="BD82">
        <v>9.9862366666666702E-2</v>
      </c>
      <c r="BE82">
        <v>0</v>
      </c>
      <c r="BF82">
        <v>24</v>
      </c>
      <c r="BG82">
        <v>1648.952</v>
      </c>
      <c r="BH82">
        <v>1769195209.0999999</v>
      </c>
      <c r="BI82" t="s">
        <v>379</v>
      </c>
      <c r="BJ82">
        <v>1769195209.0999999</v>
      </c>
      <c r="BK82">
        <v>1769195209.0999999</v>
      </c>
      <c r="BL82">
        <v>2</v>
      </c>
      <c r="BM82">
        <v>0.01</v>
      </c>
      <c r="BN82">
        <v>-3.0000000000000001E-3</v>
      </c>
      <c r="BO82">
        <v>-0.84299999999999997</v>
      </c>
      <c r="BP82">
        <v>0.09</v>
      </c>
      <c r="BQ82">
        <v>410</v>
      </c>
      <c r="BR82">
        <v>14</v>
      </c>
      <c r="BS82">
        <v>0.42</v>
      </c>
      <c r="BT82">
        <v>0.1</v>
      </c>
      <c r="BU82">
        <v>-0.25268414285714302</v>
      </c>
      <c r="BV82">
        <v>-7.71234545454548E-2</v>
      </c>
      <c r="BW82">
        <v>1.9989037882193899E-2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0.78461328571428601</v>
      </c>
      <c r="CD82">
        <v>-5.40413766233762E-2</v>
      </c>
      <c r="CE82">
        <v>1.1741565204101899E-2</v>
      </c>
      <c r="CF82">
        <v>1</v>
      </c>
      <c r="CG82">
        <v>2</v>
      </c>
      <c r="CH82">
        <v>2</v>
      </c>
      <c r="CI82" t="s">
        <v>304</v>
      </c>
      <c r="CJ82">
        <v>3.5325099999999998</v>
      </c>
      <c r="CK82">
        <v>2.70214</v>
      </c>
      <c r="CL82">
        <v>9.7897100000000001E-2</v>
      </c>
      <c r="CM82">
        <v>9.6589400000000006E-2</v>
      </c>
      <c r="CN82">
        <v>8.6785000000000001E-2</v>
      </c>
      <c r="CO82">
        <v>8.26186E-2</v>
      </c>
      <c r="CP82">
        <v>31626.799999999999</v>
      </c>
      <c r="CQ82">
        <v>27803.599999999999</v>
      </c>
      <c r="CR82">
        <v>32448.799999999999</v>
      </c>
      <c r="CS82">
        <v>30703.8</v>
      </c>
      <c r="CT82">
        <v>40128.9</v>
      </c>
      <c r="CU82">
        <v>39610.800000000003</v>
      </c>
      <c r="CV82">
        <v>47392.4</v>
      </c>
      <c r="CW82">
        <v>46826.9</v>
      </c>
      <c r="CX82">
        <v>2.62094</v>
      </c>
      <c r="CY82">
        <v>2.1261800000000002</v>
      </c>
      <c r="CZ82">
        <v>0</v>
      </c>
      <c r="DA82">
        <v>0</v>
      </c>
      <c r="DB82">
        <v>999.9</v>
      </c>
      <c r="DC82">
        <v>999.9</v>
      </c>
      <c r="DD82">
        <v>56.195999999999998</v>
      </c>
      <c r="DE82">
        <v>27.402000000000001</v>
      </c>
      <c r="DF82">
        <v>20.568300000000001</v>
      </c>
      <c r="DG82">
        <v>30.256399999999999</v>
      </c>
      <c r="DH82">
        <v>16.3782</v>
      </c>
      <c r="DI82">
        <v>2</v>
      </c>
      <c r="DJ82">
        <v>-0.108811</v>
      </c>
      <c r="DK82">
        <v>2.2687200000000001</v>
      </c>
      <c r="DL82">
        <v>20.229500000000002</v>
      </c>
      <c r="DM82">
        <v>5.24892</v>
      </c>
      <c r="DN82">
        <v>12.033899999999999</v>
      </c>
      <c r="DO82">
        <v>4.9658800000000003</v>
      </c>
      <c r="DP82">
        <v>3.2909999999999999</v>
      </c>
      <c r="DQ82">
        <v>536.29999999999995</v>
      </c>
      <c r="DR82">
        <v>9999</v>
      </c>
      <c r="DS82">
        <v>9999</v>
      </c>
      <c r="DT82">
        <v>9999</v>
      </c>
      <c r="DU82">
        <v>1.87103</v>
      </c>
      <c r="DV82">
        <v>1.8760699999999999</v>
      </c>
      <c r="DW82">
        <v>1.87622</v>
      </c>
      <c r="DX82">
        <v>1.8827799999999999</v>
      </c>
      <c r="DY82">
        <v>1.8755599999999999</v>
      </c>
      <c r="DZ82">
        <v>1.8746100000000001</v>
      </c>
      <c r="EA82">
        <v>1.8707400000000001</v>
      </c>
      <c r="EB82">
        <v>1.8745700000000001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-0.84299999999999997</v>
      </c>
      <c r="EQ82">
        <v>9.0499999999999997E-2</v>
      </c>
      <c r="ER82">
        <v>-0.84339999999997395</v>
      </c>
      <c r="ES82">
        <v>0</v>
      </c>
      <c r="ET82">
        <v>0</v>
      </c>
      <c r="EU82">
        <v>0</v>
      </c>
      <c r="EV82">
        <v>9.0479999999999394E-2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8.8000000000000007</v>
      </c>
      <c r="FE82">
        <v>8.8000000000000007</v>
      </c>
      <c r="FF82">
        <v>1.2402299999999999</v>
      </c>
      <c r="FG82">
        <v>2.5891099999999998</v>
      </c>
      <c r="FH82">
        <v>2.19604</v>
      </c>
      <c r="FI82">
        <v>2.66235</v>
      </c>
      <c r="FJ82">
        <v>2.4462899999999999</v>
      </c>
      <c r="FK82">
        <v>2.2985799999999998</v>
      </c>
      <c r="FL82">
        <v>32.002400000000002</v>
      </c>
      <c r="FM82">
        <v>24.148800000000001</v>
      </c>
      <c r="FN82">
        <v>19</v>
      </c>
      <c r="FO82">
        <v>865.19600000000003</v>
      </c>
      <c r="FP82">
        <v>574.48500000000001</v>
      </c>
      <c r="FQ82">
        <v>18.263500000000001</v>
      </c>
      <c r="FR82">
        <v>25.603899999999999</v>
      </c>
      <c r="FS82">
        <v>30.000299999999999</v>
      </c>
      <c r="FT82">
        <v>25.603100000000001</v>
      </c>
      <c r="FU82">
        <v>25.607099999999999</v>
      </c>
      <c r="FV82">
        <v>24.884799999999998</v>
      </c>
      <c r="FW82">
        <v>30.990400000000001</v>
      </c>
      <c r="FX82">
        <v>15.7127</v>
      </c>
      <c r="FY82">
        <v>18.2563</v>
      </c>
      <c r="FZ82">
        <v>410</v>
      </c>
      <c r="GA82">
        <v>14.6015</v>
      </c>
      <c r="GB82">
        <v>99.859499999999997</v>
      </c>
      <c r="GC82">
        <v>99.682199999999995</v>
      </c>
    </row>
    <row r="83" spans="1:185" x14ac:dyDescent="0.2">
      <c r="A83">
        <v>68</v>
      </c>
      <c r="B83">
        <v>1769195753.0999999</v>
      </c>
      <c r="C83">
        <v>1192.0999999046301</v>
      </c>
      <c r="D83" t="s">
        <v>430</v>
      </c>
      <c r="E83" t="s">
        <v>431</v>
      </c>
      <c r="F83">
        <v>15</v>
      </c>
      <c r="G83">
        <v>1769195745.03333</v>
      </c>
      <c r="H83">
        <f t="shared" si="13"/>
        <v>6.3023315169491282E-4</v>
      </c>
      <c r="I83">
        <v>0</v>
      </c>
      <c r="J83">
        <f t="shared" si="25"/>
        <v>-1.5055088816929311E-3</v>
      </c>
      <c r="K83">
        <f t="shared" si="14"/>
        <v>-5.610100885710273E-2</v>
      </c>
      <c r="L83">
        <f t="shared" si="15"/>
        <v>69.574207570268499</v>
      </c>
      <c r="M83">
        <f t="shared" si="16"/>
        <v>1.5345432398703627</v>
      </c>
      <c r="N83">
        <f t="shared" si="17"/>
        <v>2.2056208664978412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26249.230224909701</v>
      </c>
      <c r="T83">
        <f t="shared" si="21"/>
        <v>100.00002000000001</v>
      </c>
      <c r="U83">
        <f t="shared" si="22"/>
        <v>84.299593699915405</v>
      </c>
      <c r="V83">
        <f t="shared" si="23"/>
        <v>0.84299576840000034</v>
      </c>
      <c r="W83">
        <f t="shared" si="24"/>
        <v>0.15868944698400006</v>
      </c>
      <c r="X83">
        <v>1</v>
      </c>
      <c r="Y83">
        <v>1769195745.03333</v>
      </c>
      <c r="Z83">
        <v>409.74606666666699</v>
      </c>
      <c r="AA83">
        <v>409.99873333333301</v>
      </c>
      <c r="AB83">
        <v>15.3172333333333</v>
      </c>
      <c r="AC83">
        <v>14.541513333333301</v>
      </c>
      <c r="AD83">
        <v>410.589333333333</v>
      </c>
      <c r="AE83">
        <v>15.226760000000001</v>
      </c>
      <c r="AF83">
        <v>800.00480000000005</v>
      </c>
      <c r="AG83">
        <v>100.11960000000001</v>
      </c>
      <c r="AH83">
        <v>6.4500253333333299E-2</v>
      </c>
      <c r="AI83">
        <v>19.0032</v>
      </c>
      <c r="AJ83">
        <v>999.9</v>
      </c>
      <c r="AK83">
        <v>999.9</v>
      </c>
      <c r="AL83">
        <v>0</v>
      </c>
      <c r="AM83">
        <v>0</v>
      </c>
      <c r="AN83">
        <v>4999.3333333333303</v>
      </c>
      <c r="AO83">
        <v>0</v>
      </c>
      <c r="AP83">
        <v>1.7502500000000001</v>
      </c>
      <c r="AQ83">
        <v>-0.25280140000000001</v>
      </c>
      <c r="AR83">
        <v>416.1198</v>
      </c>
      <c r="AS83">
        <v>416.04873333333302</v>
      </c>
      <c r="AT83">
        <v>0.77573013333333296</v>
      </c>
      <c r="AU83">
        <v>409.99873333333301</v>
      </c>
      <c r="AV83">
        <v>14.541513333333301</v>
      </c>
      <c r="AW83">
        <v>1.533558</v>
      </c>
      <c r="AX83">
        <v>1.4558926666666701</v>
      </c>
      <c r="AY83">
        <v>13.3069066666667</v>
      </c>
      <c r="AZ83">
        <v>12.512613333333301</v>
      </c>
      <c r="BA83">
        <v>100.00002000000001</v>
      </c>
      <c r="BB83">
        <v>0.90014066666666703</v>
      </c>
      <c r="BC83">
        <v>0</v>
      </c>
      <c r="BD83">
        <v>9.9859320000000001E-2</v>
      </c>
      <c r="BE83">
        <v>0</v>
      </c>
      <c r="BF83">
        <v>24</v>
      </c>
      <c r="BG83">
        <v>1648.9466666666699</v>
      </c>
      <c r="BH83">
        <v>1769195209.0999999</v>
      </c>
      <c r="BI83" t="s">
        <v>379</v>
      </c>
      <c r="BJ83">
        <v>1769195209.0999999</v>
      </c>
      <c r="BK83">
        <v>1769195209.0999999</v>
      </c>
      <c r="BL83">
        <v>2</v>
      </c>
      <c r="BM83">
        <v>0.01</v>
      </c>
      <c r="BN83">
        <v>-3.0000000000000001E-3</v>
      </c>
      <c r="BO83">
        <v>-0.84299999999999997</v>
      </c>
      <c r="BP83">
        <v>0.09</v>
      </c>
      <c r="BQ83">
        <v>410</v>
      </c>
      <c r="BR83">
        <v>14</v>
      </c>
      <c r="BS83">
        <v>0.42</v>
      </c>
      <c r="BT83">
        <v>0.1</v>
      </c>
      <c r="BU83">
        <v>-0.25598140000000003</v>
      </c>
      <c r="BV83">
        <v>0.127087578947368</v>
      </c>
      <c r="BW83">
        <v>2.0092272099989102E-2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0.77397174999999996</v>
      </c>
      <c r="CD83">
        <v>-1.72669624060162E-2</v>
      </c>
      <c r="CE83">
        <v>1.13936610572502E-2</v>
      </c>
      <c r="CF83">
        <v>1</v>
      </c>
      <c r="CG83">
        <v>2</v>
      </c>
      <c r="CH83">
        <v>2</v>
      </c>
      <c r="CI83" t="s">
        <v>304</v>
      </c>
      <c r="CJ83">
        <v>3.53254</v>
      </c>
      <c r="CK83">
        <v>2.7024400000000002</v>
      </c>
      <c r="CL83">
        <v>9.7893300000000003E-2</v>
      </c>
      <c r="CM83">
        <v>9.6569500000000003E-2</v>
      </c>
      <c r="CN83">
        <v>8.6769299999999994E-2</v>
      </c>
      <c r="CO83">
        <v>8.28102E-2</v>
      </c>
      <c r="CP83">
        <v>31626.400000000001</v>
      </c>
      <c r="CQ83">
        <v>27803.8</v>
      </c>
      <c r="CR83">
        <v>32448.3</v>
      </c>
      <c r="CS83">
        <v>30703.3</v>
      </c>
      <c r="CT83">
        <v>40129.199999999997</v>
      </c>
      <c r="CU83">
        <v>39601.9</v>
      </c>
      <c r="CV83">
        <v>47391.9</v>
      </c>
      <c r="CW83">
        <v>46826.400000000001</v>
      </c>
      <c r="CX83">
        <v>2.6208</v>
      </c>
      <c r="CY83">
        <v>2.1262799999999999</v>
      </c>
      <c r="CZ83">
        <v>0</v>
      </c>
      <c r="DA83">
        <v>0</v>
      </c>
      <c r="DB83">
        <v>999.9</v>
      </c>
      <c r="DC83">
        <v>999.9</v>
      </c>
      <c r="DD83">
        <v>56.085999999999999</v>
      </c>
      <c r="DE83">
        <v>27.411999999999999</v>
      </c>
      <c r="DF83">
        <v>20.54</v>
      </c>
      <c r="DG83">
        <v>30.046399999999998</v>
      </c>
      <c r="DH83">
        <v>16.277999999999999</v>
      </c>
      <c r="DI83">
        <v>2</v>
      </c>
      <c r="DJ83">
        <v>-0.10838</v>
      </c>
      <c r="DK83">
        <v>2.2626200000000001</v>
      </c>
      <c r="DL83">
        <v>20.230599999999999</v>
      </c>
      <c r="DM83">
        <v>5.25</v>
      </c>
      <c r="DN83">
        <v>12.033899999999999</v>
      </c>
      <c r="DO83">
        <v>4.9660799999999998</v>
      </c>
      <c r="DP83">
        <v>3.2909999999999999</v>
      </c>
      <c r="DQ83">
        <v>536.29999999999995</v>
      </c>
      <c r="DR83">
        <v>9999</v>
      </c>
      <c r="DS83">
        <v>9999</v>
      </c>
      <c r="DT83">
        <v>9999</v>
      </c>
      <c r="DU83">
        <v>1.87103</v>
      </c>
      <c r="DV83">
        <v>1.8760699999999999</v>
      </c>
      <c r="DW83">
        <v>1.87622</v>
      </c>
      <c r="DX83">
        <v>1.8827799999999999</v>
      </c>
      <c r="DY83">
        <v>1.87554</v>
      </c>
      <c r="DZ83">
        <v>1.8745700000000001</v>
      </c>
      <c r="EA83">
        <v>1.8707400000000001</v>
      </c>
      <c r="EB83">
        <v>1.87456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-0.84299999999999997</v>
      </c>
      <c r="EQ83">
        <v>9.0499999999999997E-2</v>
      </c>
      <c r="ER83">
        <v>-0.84339999999997395</v>
      </c>
      <c r="ES83">
        <v>0</v>
      </c>
      <c r="ET83">
        <v>0</v>
      </c>
      <c r="EU83">
        <v>0</v>
      </c>
      <c r="EV83">
        <v>9.0479999999999394E-2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9.1</v>
      </c>
      <c r="FE83">
        <v>9.1</v>
      </c>
      <c r="FF83">
        <v>1.2402299999999999</v>
      </c>
      <c r="FG83">
        <v>2.5878899999999998</v>
      </c>
      <c r="FH83">
        <v>2.19604</v>
      </c>
      <c r="FI83">
        <v>2.66235</v>
      </c>
      <c r="FJ83">
        <v>2.4462899999999999</v>
      </c>
      <c r="FK83">
        <v>2.2985799999999998</v>
      </c>
      <c r="FL83">
        <v>32.0244</v>
      </c>
      <c r="FM83">
        <v>24.157499999999999</v>
      </c>
      <c r="FN83">
        <v>19</v>
      </c>
      <c r="FO83">
        <v>865.12800000000004</v>
      </c>
      <c r="FP83">
        <v>574.596</v>
      </c>
      <c r="FQ83">
        <v>18.248100000000001</v>
      </c>
      <c r="FR83">
        <v>25.6082</v>
      </c>
      <c r="FS83">
        <v>30.0001</v>
      </c>
      <c r="FT83">
        <v>25.606999999999999</v>
      </c>
      <c r="FU83">
        <v>25.610099999999999</v>
      </c>
      <c r="FV83">
        <v>24.887699999999999</v>
      </c>
      <c r="FW83">
        <v>30.715800000000002</v>
      </c>
      <c r="FX83">
        <v>15.3375</v>
      </c>
      <c r="FY83">
        <v>18.247399999999999</v>
      </c>
      <c r="FZ83">
        <v>410</v>
      </c>
      <c r="GA83">
        <v>14.603899999999999</v>
      </c>
      <c r="GB83">
        <v>99.858199999999997</v>
      </c>
      <c r="GC83">
        <v>99.681100000000001</v>
      </c>
    </row>
    <row r="84" spans="1:185" x14ac:dyDescent="0.2">
      <c r="A84">
        <v>69</v>
      </c>
      <c r="B84">
        <v>1769195768.0999999</v>
      </c>
      <c r="C84">
        <v>1207.0999999046301</v>
      </c>
      <c r="D84" t="s">
        <v>432</v>
      </c>
      <c r="E84" t="s">
        <v>433</v>
      </c>
      <c r="F84">
        <v>15</v>
      </c>
      <c r="G84">
        <v>1769195760.03333</v>
      </c>
      <c r="H84">
        <f t="shared" si="13"/>
        <v>6.0471746003428926E-4</v>
      </c>
      <c r="I84">
        <v>0</v>
      </c>
      <c r="J84">
        <f t="shared" si="25"/>
        <v>-1.1746666591093797E-3</v>
      </c>
      <c r="K84">
        <f t="shared" si="14"/>
        <v>-4.3772564511698288E-2</v>
      </c>
      <c r="L84">
        <f t="shared" si="15"/>
        <v>69.646815913677912</v>
      </c>
      <c r="M84">
        <f t="shared" si="16"/>
        <v>1.5358424603940302</v>
      </c>
      <c r="N84">
        <f t="shared" si="17"/>
        <v>2.2051868994235049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26268.903622056383</v>
      </c>
      <c r="T84">
        <f t="shared" si="21"/>
        <v>100.002113333333</v>
      </c>
      <c r="U84">
        <f t="shared" si="22"/>
        <v>84.301390451734918</v>
      </c>
      <c r="V84">
        <f t="shared" si="23"/>
        <v>0.84299608920000024</v>
      </c>
      <c r="W84">
        <f t="shared" si="24"/>
        <v>0.15869004111200005</v>
      </c>
      <c r="X84">
        <v>1</v>
      </c>
      <c r="Y84">
        <v>1769195760.03333</v>
      </c>
      <c r="Z84">
        <v>409.73373333333302</v>
      </c>
      <c r="AA84">
        <v>409.98873333333302</v>
      </c>
      <c r="AB84">
        <v>15.3302</v>
      </c>
      <c r="AC84">
        <v>14.585893333333299</v>
      </c>
      <c r="AD84">
        <v>410.57706666666701</v>
      </c>
      <c r="AE84">
        <v>15.239713333333301</v>
      </c>
      <c r="AF84">
        <v>800.00226666666697</v>
      </c>
      <c r="AG84">
        <v>100.11946666666699</v>
      </c>
      <c r="AH84">
        <v>6.4644460000000001E-2</v>
      </c>
      <c r="AI84">
        <v>19.000046666666702</v>
      </c>
      <c r="AJ84">
        <v>999.9</v>
      </c>
      <c r="AK84">
        <v>999.9</v>
      </c>
      <c r="AL84">
        <v>0</v>
      </c>
      <c r="AM84">
        <v>0</v>
      </c>
      <c r="AN84">
        <v>5002.5333333333301</v>
      </c>
      <c r="AO84">
        <v>0</v>
      </c>
      <c r="AP84">
        <v>1.7502500000000001</v>
      </c>
      <c r="AQ84">
        <v>-0.25503540000000002</v>
      </c>
      <c r="AR84">
        <v>416.11279999999999</v>
      </c>
      <c r="AS84">
        <v>416.05726666666698</v>
      </c>
      <c r="AT84">
        <v>0.74430913333333304</v>
      </c>
      <c r="AU84">
        <v>409.98873333333302</v>
      </c>
      <c r="AV84">
        <v>14.585893333333299</v>
      </c>
      <c r="AW84">
        <v>1.5348520000000001</v>
      </c>
      <c r="AX84">
        <v>1.4603313333333301</v>
      </c>
      <c r="AY84">
        <v>13.31982</v>
      </c>
      <c r="AZ84">
        <v>12.5590266666667</v>
      </c>
      <c r="BA84">
        <v>100.002113333333</v>
      </c>
      <c r="BB84">
        <v>0.90013306666666704</v>
      </c>
      <c r="BC84">
        <v>0</v>
      </c>
      <c r="BD84">
        <v>9.9867026666666706E-2</v>
      </c>
      <c r="BE84">
        <v>0</v>
      </c>
      <c r="BF84">
        <v>24</v>
      </c>
      <c r="BG84">
        <v>1648.98</v>
      </c>
      <c r="BH84">
        <v>1769195209.0999999</v>
      </c>
      <c r="BI84" t="s">
        <v>379</v>
      </c>
      <c r="BJ84">
        <v>1769195209.0999999</v>
      </c>
      <c r="BK84">
        <v>1769195209.0999999</v>
      </c>
      <c r="BL84">
        <v>2</v>
      </c>
      <c r="BM84">
        <v>0.01</v>
      </c>
      <c r="BN84">
        <v>-3.0000000000000001E-3</v>
      </c>
      <c r="BO84">
        <v>-0.84299999999999997</v>
      </c>
      <c r="BP84">
        <v>0.09</v>
      </c>
      <c r="BQ84">
        <v>410</v>
      </c>
      <c r="BR84">
        <v>14</v>
      </c>
      <c r="BS84">
        <v>0.42</v>
      </c>
      <c r="BT84">
        <v>0.1</v>
      </c>
      <c r="BU84">
        <v>-0.24865861904761899</v>
      </c>
      <c r="BV84">
        <v>-0.19712688311688401</v>
      </c>
      <c r="BW84">
        <v>3.61524799221511E-2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0.75044404761904804</v>
      </c>
      <c r="CD84">
        <v>-4.9279870129868897E-2</v>
      </c>
      <c r="CE84">
        <v>1.6667394773075401E-2</v>
      </c>
      <c r="CF84">
        <v>1</v>
      </c>
      <c r="CG84">
        <v>2</v>
      </c>
      <c r="CH84">
        <v>2</v>
      </c>
      <c r="CI84" t="s">
        <v>304</v>
      </c>
      <c r="CJ84">
        <v>3.5325600000000001</v>
      </c>
      <c r="CK84">
        <v>2.70235</v>
      </c>
      <c r="CL84">
        <v>9.7895800000000005E-2</v>
      </c>
      <c r="CM84">
        <v>9.6586400000000003E-2</v>
      </c>
      <c r="CN84">
        <v>8.6852899999999997E-2</v>
      </c>
      <c r="CO84">
        <v>8.2777400000000001E-2</v>
      </c>
      <c r="CP84">
        <v>31626.2</v>
      </c>
      <c r="CQ84">
        <v>27803.599999999999</v>
      </c>
      <c r="CR84">
        <v>32448.2</v>
      </c>
      <c r="CS84">
        <v>30703.8</v>
      </c>
      <c r="CT84">
        <v>40125.1</v>
      </c>
      <c r="CU84">
        <v>39603.699999999997</v>
      </c>
      <c r="CV84">
        <v>47391.6</v>
      </c>
      <c r="CW84">
        <v>46826.9</v>
      </c>
      <c r="CX84">
        <v>2.6208399999999998</v>
      </c>
      <c r="CY84">
        <v>2.1261800000000002</v>
      </c>
      <c r="CZ84">
        <v>0</v>
      </c>
      <c r="DA84">
        <v>0</v>
      </c>
      <c r="DB84">
        <v>999.9</v>
      </c>
      <c r="DC84">
        <v>999.9</v>
      </c>
      <c r="DD84">
        <v>55.975999999999999</v>
      </c>
      <c r="DE84">
        <v>27.422000000000001</v>
      </c>
      <c r="DF84">
        <v>20.5124</v>
      </c>
      <c r="DG84">
        <v>30.346399999999999</v>
      </c>
      <c r="DH84">
        <v>16.3261</v>
      </c>
      <c r="DI84">
        <v>2</v>
      </c>
      <c r="DJ84">
        <v>-0.108128</v>
      </c>
      <c r="DK84">
        <v>2.2462</v>
      </c>
      <c r="DL84">
        <v>20.229800000000001</v>
      </c>
      <c r="DM84">
        <v>5.2502399999999998</v>
      </c>
      <c r="DN84">
        <v>12.033899999999999</v>
      </c>
      <c r="DO84">
        <v>4.9664000000000001</v>
      </c>
      <c r="DP84">
        <v>3.2909999999999999</v>
      </c>
      <c r="DQ84">
        <v>536.29999999999995</v>
      </c>
      <c r="DR84">
        <v>9999</v>
      </c>
      <c r="DS84">
        <v>9999</v>
      </c>
      <c r="DT84">
        <v>9999</v>
      </c>
      <c r="DU84">
        <v>1.87103</v>
      </c>
      <c r="DV84">
        <v>1.8760699999999999</v>
      </c>
      <c r="DW84">
        <v>1.87622</v>
      </c>
      <c r="DX84">
        <v>1.8827799999999999</v>
      </c>
      <c r="DY84">
        <v>1.8755200000000001</v>
      </c>
      <c r="DZ84">
        <v>1.87456</v>
      </c>
      <c r="EA84">
        <v>1.8707400000000001</v>
      </c>
      <c r="EB84">
        <v>1.87456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-0.84299999999999997</v>
      </c>
      <c r="EQ84">
        <v>9.0499999999999997E-2</v>
      </c>
      <c r="ER84">
        <v>-0.84339999999997395</v>
      </c>
      <c r="ES84">
        <v>0</v>
      </c>
      <c r="ET84">
        <v>0</v>
      </c>
      <c r="EU84">
        <v>0</v>
      </c>
      <c r="EV84">
        <v>9.0479999999999394E-2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9.3000000000000007</v>
      </c>
      <c r="FE84">
        <v>9.3000000000000007</v>
      </c>
      <c r="FF84">
        <v>1.2402299999999999</v>
      </c>
      <c r="FG84">
        <v>2.5866699999999998</v>
      </c>
      <c r="FH84">
        <v>2.19604</v>
      </c>
      <c r="FI84">
        <v>2.66235</v>
      </c>
      <c r="FJ84">
        <v>2.4462899999999999</v>
      </c>
      <c r="FK84">
        <v>2.2924799999999999</v>
      </c>
      <c r="FL84">
        <v>32.0244</v>
      </c>
      <c r="FM84">
        <v>24.148800000000001</v>
      </c>
      <c r="FN84">
        <v>19</v>
      </c>
      <c r="FO84">
        <v>865.20699999999999</v>
      </c>
      <c r="FP84">
        <v>574.54399999999998</v>
      </c>
      <c r="FQ84">
        <v>18.245000000000001</v>
      </c>
      <c r="FR84">
        <v>25.6129</v>
      </c>
      <c r="FS84">
        <v>30.0002</v>
      </c>
      <c r="FT84">
        <v>25.609500000000001</v>
      </c>
      <c r="FU84">
        <v>25.612300000000001</v>
      </c>
      <c r="FV84">
        <v>24.886500000000002</v>
      </c>
      <c r="FW84">
        <v>30.715800000000002</v>
      </c>
      <c r="FX84">
        <v>15.3375</v>
      </c>
      <c r="FY84">
        <v>18.270199999999999</v>
      </c>
      <c r="FZ84">
        <v>410</v>
      </c>
      <c r="GA84">
        <v>14.603899999999999</v>
      </c>
      <c r="GB84">
        <v>99.857699999999994</v>
      </c>
      <c r="GC84">
        <v>99.682199999999995</v>
      </c>
    </row>
    <row r="85" spans="1:185" x14ac:dyDescent="0.2">
      <c r="A85">
        <v>70</v>
      </c>
      <c r="B85">
        <v>1769195783.0999999</v>
      </c>
      <c r="C85">
        <v>1222.0999999046301</v>
      </c>
      <c r="D85" t="s">
        <v>434</v>
      </c>
      <c r="E85" t="s">
        <v>435</v>
      </c>
      <c r="F85">
        <v>15</v>
      </c>
      <c r="G85">
        <v>1769195775.03333</v>
      </c>
      <c r="H85">
        <f t="shared" si="13"/>
        <v>6.2617368804975015E-4</v>
      </c>
      <c r="I85">
        <v>0</v>
      </c>
      <c r="J85">
        <f t="shared" si="25"/>
        <v>-1.0139635055160985E-3</v>
      </c>
      <c r="K85">
        <f t="shared" si="14"/>
        <v>-3.7784151455667006E-2</v>
      </c>
      <c r="L85">
        <f t="shared" si="15"/>
        <v>69.704721987476688</v>
      </c>
      <c r="M85">
        <f t="shared" si="16"/>
        <v>1.5367619700896147</v>
      </c>
      <c r="N85">
        <f t="shared" si="17"/>
        <v>2.2046741257582418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26240.665285785359</v>
      </c>
      <c r="T85">
        <f t="shared" si="21"/>
        <v>99.997979999999998</v>
      </c>
      <c r="U85">
        <f t="shared" si="22"/>
        <v>84.297873728553057</v>
      </c>
      <c r="V85">
        <f t="shared" si="23"/>
        <v>0.84299576579999969</v>
      </c>
      <c r="W85">
        <f t="shared" si="24"/>
        <v>0.15868940150799996</v>
      </c>
      <c r="X85">
        <v>1</v>
      </c>
      <c r="Y85">
        <v>1769195775.03333</v>
      </c>
      <c r="Z85">
        <v>409.72433333333299</v>
      </c>
      <c r="AA85">
        <v>409.99779999999998</v>
      </c>
      <c r="AB85">
        <v>15.339546666666701</v>
      </c>
      <c r="AC85">
        <v>14.56884</v>
      </c>
      <c r="AD85">
        <v>410.56779999999998</v>
      </c>
      <c r="AE85">
        <v>15.24906</v>
      </c>
      <c r="AF85">
        <v>800.00406666666697</v>
      </c>
      <c r="AG85">
        <v>100.118533333333</v>
      </c>
      <c r="AH85">
        <v>6.4477513333333306E-2</v>
      </c>
      <c r="AI85">
        <v>18.996320000000001</v>
      </c>
      <c r="AJ85">
        <v>999.9</v>
      </c>
      <c r="AK85">
        <v>999.9</v>
      </c>
      <c r="AL85">
        <v>0</v>
      </c>
      <c r="AM85">
        <v>0</v>
      </c>
      <c r="AN85">
        <v>4997.8666666666704</v>
      </c>
      <c r="AO85">
        <v>0</v>
      </c>
      <c r="AP85">
        <v>1.7502500000000001</v>
      </c>
      <c r="AQ85">
        <v>-0.27340500000000001</v>
      </c>
      <c r="AR85">
        <v>416.10726666666699</v>
      </c>
      <c r="AS85">
        <v>416.05939999999998</v>
      </c>
      <c r="AT85">
        <v>0.770677733333333</v>
      </c>
      <c r="AU85">
        <v>409.99779999999998</v>
      </c>
      <c r="AV85">
        <v>14.56884</v>
      </c>
      <c r="AW85">
        <v>1.535774</v>
      </c>
      <c r="AX85">
        <v>1.45861333333333</v>
      </c>
      <c r="AY85">
        <v>13.3290466666667</v>
      </c>
      <c r="AZ85">
        <v>12.541079999999999</v>
      </c>
      <c r="BA85">
        <v>99.997979999999998</v>
      </c>
      <c r="BB85">
        <v>0.90014133333333302</v>
      </c>
      <c r="BC85">
        <v>0</v>
      </c>
      <c r="BD85">
        <v>9.98586733333333E-2</v>
      </c>
      <c r="BE85">
        <v>0</v>
      </c>
      <c r="BF85">
        <v>24</v>
      </c>
      <c r="BG85">
        <v>1648.914</v>
      </c>
      <c r="BH85">
        <v>1769195209.0999999</v>
      </c>
      <c r="BI85" t="s">
        <v>379</v>
      </c>
      <c r="BJ85">
        <v>1769195209.0999999</v>
      </c>
      <c r="BK85">
        <v>1769195209.0999999</v>
      </c>
      <c r="BL85">
        <v>2</v>
      </c>
      <c r="BM85">
        <v>0.01</v>
      </c>
      <c r="BN85">
        <v>-3.0000000000000001E-3</v>
      </c>
      <c r="BO85">
        <v>-0.84299999999999997</v>
      </c>
      <c r="BP85">
        <v>0.09</v>
      </c>
      <c r="BQ85">
        <v>410</v>
      </c>
      <c r="BR85">
        <v>14</v>
      </c>
      <c r="BS85">
        <v>0.42</v>
      </c>
      <c r="BT85">
        <v>0.1</v>
      </c>
      <c r="BU85">
        <v>-0.27384190000000003</v>
      </c>
      <c r="BV85">
        <v>3.2338285714285403E-2</v>
      </c>
      <c r="BW85">
        <v>2.1795470185109599E-2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0.76620949999999999</v>
      </c>
      <c r="CD85">
        <v>0.109766255639097</v>
      </c>
      <c r="CE85">
        <v>1.0998163530790001E-2</v>
      </c>
      <c r="CF85">
        <v>0</v>
      </c>
      <c r="CG85">
        <v>1</v>
      </c>
      <c r="CH85">
        <v>2</v>
      </c>
      <c r="CI85" t="s">
        <v>297</v>
      </c>
      <c r="CJ85">
        <v>3.5324900000000001</v>
      </c>
      <c r="CK85">
        <v>2.7022599999999999</v>
      </c>
      <c r="CL85">
        <v>9.7890599999999994E-2</v>
      </c>
      <c r="CM85">
        <v>9.6580799999999994E-2</v>
      </c>
      <c r="CN85">
        <v>8.6850800000000006E-2</v>
      </c>
      <c r="CO85">
        <v>8.2679299999999997E-2</v>
      </c>
      <c r="CP85">
        <v>31626</v>
      </c>
      <c r="CQ85">
        <v>27803.4</v>
      </c>
      <c r="CR85">
        <v>32447.8</v>
      </c>
      <c r="CS85">
        <v>30703.3</v>
      </c>
      <c r="CT85">
        <v>40124.6</v>
      </c>
      <c r="CU85">
        <v>39607.9</v>
      </c>
      <c r="CV85">
        <v>47390.8</v>
      </c>
      <c r="CW85">
        <v>46826.7</v>
      </c>
      <c r="CX85">
        <v>2.6208</v>
      </c>
      <c r="CY85">
        <v>2.12582</v>
      </c>
      <c r="CZ85">
        <v>0</v>
      </c>
      <c r="DA85">
        <v>0</v>
      </c>
      <c r="DB85">
        <v>999.9</v>
      </c>
      <c r="DC85">
        <v>999.9</v>
      </c>
      <c r="DD85">
        <v>55.853999999999999</v>
      </c>
      <c r="DE85">
        <v>27.422000000000001</v>
      </c>
      <c r="DF85">
        <v>20.468800000000002</v>
      </c>
      <c r="DG85">
        <v>30.496400000000001</v>
      </c>
      <c r="DH85">
        <v>16.406199999999998</v>
      </c>
      <c r="DI85">
        <v>2</v>
      </c>
      <c r="DJ85">
        <v>-0.108002</v>
      </c>
      <c r="DK85">
        <v>2.1882899999999998</v>
      </c>
      <c r="DL85">
        <v>20.231400000000001</v>
      </c>
      <c r="DM85">
        <v>5.2501199999999999</v>
      </c>
      <c r="DN85">
        <v>12.033899999999999</v>
      </c>
      <c r="DO85">
        <v>4.9665999999999997</v>
      </c>
      <c r="DP85">
        <v>3.2909999999999999</v>
      </c>
      <c r="DQ85">
        <v>536.29999999999995</v>
      </c>
      <c r="DR85">
        <v>9999</v>
      </c>
      <c r="DS85">
        <v>9999</v>
      </c>
      <c r="DT85">
        <v>9999</v>
      </c>
      <c r="DU85">
        <v>1.8710500000000001</v>
      </c>
      <c r="DV85">
        <v>1.87608</v>
      </c>
      <c r="DW85">
        <v>1.8762700000000001</v>
      </c>
      <c r="DX85">
        <v>1.8827799999999999</v>
      </c>
      <c r="DY85">
        <v>1.87557</v>
      </c>
      <c r="DZ85">
        <v>1.8746700000000001</v>
      </c>
      <c r="EA85">
        <v>1.87076</v>
      </c>
      <c r="EB85">
        <v>1.8745700000000001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-0.84299999999999997</v>
      </c>
      <c r="EQ85">
        <v>9.0499999999999997E-2</v>
      </c>
      <c r="ER85">
        <v>-0.84339999999997395</v>
      </c>
      <c r="ES85">
        <v>0</v>
      </c>
      <c r="ET85">
        <v>0</v>
      </c>
      <c r="EU85">
        <v>0</v>
      </c>
      <c r="EV85">
        <v>9.0479999999999394E-2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9.6</v>
      </c>
      <c r="FE85">
        <v>9.6</v>
      </c>
      <c r="FF85">
        <v>1.2402299999999999</v>
      </c>
      <c r="FG85">
        <v>2.5939899999999998</v>
      </c>
      <c r="FH85">
        <v>2.19604</v>
      </c>
      <c r="FI85">
        <v>2.66113</v>
      </c>
      <c r="FJ85">
        <v>2.4462899999999999</v>
      </c>
      <c r="FK85">
        <v>2.2363300000000002</v>
      </c>
      <c r="FL85">
        <v>32.0244</v>
      </c>
      <c r="FM85">
        <v>24.148800000000001</v>
      </c>
      <c r="FN85">
        <v>19</v>
      </c>
      <c r="FO85">
        <v>865.20299999999997</v>
      </c>
      <c r="FP85">
        <v>574.29200000000003</v>
      </c>
      <c r="FQ85">
        <v>18.276900000000001</v>
      </c>
      <c r="FR85">
        <v>25.616</v>
      </c>
      <c r="FS85">
        <v>30.0001</v>
      </c>
      <c r="FT85">
        <v>25.611599999999999</v>
      </c>
      <c r="FU85">
        <v>25.6144</v>
      </c>
      <c r="FV85">
        <v>24.887699999999999</v>
      </c>
      <c r="FW85">
        <v>30.715800000000002</v>
      </c>
      <c r="FX85">
        <v>14.9619</v>
      </c>
      <c r="FY85">
        <v>18.277799999999999</v>
      </c>
      <c r="FZ85">
        <v>410</v>
      </c>
      <c r="GA85">
        <v>14.603899999999999</v>
      </c>
      <c r="GB85">
        <v>99.856200000000001</v>
      </c>
      <c r="GC85">
        <v>99.681399999999996</v>
      </c>
    </row>
    <row r="86" spans="1:185" x14ac:dyDescent="0.2">
      <c r="A86">
        <v>71</v>
      </c>
      <c r="B86">
        <v>1769195798.0999999</v>
      </c>
      <c r="C86">
        <v>1237.0999999046301</v>
      </c>
      <c r="D86" t="s">
        <v>436</v>
      </c>
      <c r="E86" t="s">
        <v>437</v>
      </c>
      <c r="F86">
        <v>15</v>
      </c>
      <c r="G86">
        <v>1769195790.03333</v>
      </c>
      <c r="H86">
        <f t="shared" si="13"/>
        <v>6.3908780538271461E-4</v>
      </c>
      <c r="I86">
        <v>0</v>
      </c>
      <c r="J86">
        <f t="shared" si="25"/>
        <v>-9.9987905463979525E-4</v>
      </c>
      <c r="K86">
        <f t="shared" si="14"/>
        <v>-3.7259311042589935E-2</v>
      </c>
      <c r="L86">
        <f t="shared" si="15"/>
        <v>69.680928687983155</v>
      </c>
      <c r="M86">
        <f t="shared" si="16"/>
        <v>1.5363888837610045</v>
      </c>
      <c r="N86">
        <f t="shared" si="17"/>
        <v>2.2048915143491232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26247.580970016985</v>
      </c>
      <c r="T86">
        <f t="shared" si="21"/>
        <v>100.00044</v>
      </c>
      <c r="U86">
        <f t="shared" si="22"/>
        <v>84.299922938028914</v>
      </c>
      <c r="V86">
        <f t="shared" si="23"/>
        <v>0.84299552020000024</v>
      </c>
      <c r="W86">
        <f t="shared" si="24"/>
        <v>0.15868868357200006</v>
      </c>
      <c r="X86">
        <v>1</v>
      </c>
      <c r="Y86">
        <v>1769195790.03333</v>
      </c>
      <c r="Z86">
        <v>409.71913333333299</v>
      </c>
      <c r="AA86">
        <v>409.999866666667</v>
      </c>
      <c r="AB86">
        <v>15.335926666666699</v>
      </c>
      <c r="AC86">
        <v>14.54932</v>
      </c>
      <c r="AD86">
        <v>410.56266666666698</v>
      </c>
      <c r="AE86">
        <v>15.24544</v>
      </c>
      <c r="AF86">
        <v>800.00186666666696</v>
      </c>
      <c r="AG86">
        <v>100.11766666666701</v>
      </c>
      <c r="AH86">
        <v>6.4664479999999996E-2</v>
      </c>
      <c r="AI86">
        <v>18.997900000000001</v>
      </c>
      <c r="AJ86">
        <v>999.9</v>
      </c>
      <c r="AK86">
        <v>999.9</v>
      </c>
      <c r="AL86">
        <v>0</v>
      </c>
      <c r="AM86">
        <v>0</v>
      </c>
      <c r="AN86">
        <v>4999.0666666666702</v>
      </c>
      <c r="AO86">
        <v>0</v>
      </c>
      <c r="AP86">
        <v>1.7502500000000001</v>
      </c>
      <c r="AQ86">
        <v>-0.280710866666667</v>
      </c>
      <c r="AR86">
        <v>416.10039999999998</v>
      </c>
      <c r="AS86">
        <v>416.0532</v>
      </c>
      <c r="AT86">
        <v>0.786606466666667</v>
      </c>
      <c r="AU86">
        <v>409.999866666667</v>
      </c>
      <c r="AV86">
        <v>14.54932</v>
      </c>
      <c r="AW86">
        <v>1.53539733333333</v>
      </c>
      <c r="AX86">
        <v>1.456642</v>
      </c>
      <c r="AY86">
        <v>13.325279999999999</v>
      </c>
      <c r="AZ86">
        <v>12.520493333333301</v>
      </c>
      <c r="BA86">
        <v>100.00044</v>
      </c>
      <c r="BB86">
        <v>0.900151066666667</v>
      </c>
      <c r="BC86">
        <v>0</v>
      </c>
      <c r="BD86">
        <v>9.9848993333333302E-2</v>
      </c>
      <c r="BE86">
        <v>0</v>
      </c>
      <c r="BF86">
        <v>24</v>
      </c>
      <c r="BG86">
        <v>1648.9580000000001</v>
      </c>
      <c r="BH86">
        <v>1769195209.0999999</v>
      </c>
      <c r="BI86" t="s">
        <v>379</v>
      </c>
      <c r="BJ86">
        <v>1769195209.0999999</v>
      </c>
      <c r="BK86">
        <v>1769195209.0999999</v>
      </c>
      <c r="BL86">
        <v>2</v>
      </c>
      <c r="BM86">
        <v>0.01</v>
      </c>
      <c r="BN86">
        <v>-3.0000000000000001E-3</v>
      </c>
      <c r="BO86">
        <v>-0.84299999999999997</v>
      </c>
      <c r="BP86">
        <v>0.09</v>
      </c>
      <c r="BQ86">
        <v>410</v>
      </c>
      <c r="BR86">
        <v>14</v>
      </c>
      <c r="BS86">
        <v>0.42</v>
      </c>
      <c r="BT86">
        <v>0.1</v>
      </c>
      <c r="BU86">
        <v>-0.27646019047619003</v>
      </c>
      <c r="BV86">
        <v>-4.0770389610389701E-2</v>
      </c>
      <c r="BW86">
        <v>2.01348264022671E-2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0.78430147619047597</v>
      </c>
      <c r="CD86">
        <v>6.0267038961038299E-2</v>
      </c>
      <c r="CE86">
        <v>6.8311309850673796E-3</v>
      </c>
      <c r="CF86">
        <v>1</v>
      </c>
      <c r="CG86">
        <v>2</v>
      </c>
      <c r="CH86">
        <v>2</v>
      </c>
      <c r="CI86" t="s">
        <v>304</v>
      </c>
      <c r="CJ86">
        <v>3.5325199999999999</v>
      </c>
      <c r="CK86">
        <v>2.7026300000000001</v>
      </c>
      <c r="CL86">
        <v>9.7889500000000004E-2</v>
      </c>
      <c r="CM86">
        <v>9.6579100000000001E-2</v>
      </c>
      <c r="CN86">
        <v>8.6808399999999994E-2</v>
      </c>
      <c r="CO86">
        <v>8.2573300000000002E-2</v>
      </c>
      <c r="CP86">
        <v>31625.9</v>
      </c>
      <c r="CQ86">
        <v>27803.7</v>
      </c>
      <c r="CR86">
        <v>32447.7</v>
      </c>
      <c r="CS86">
        <v>30703.599999999999</v>
      </c>
      <c r="CT86">
        <v>40126.6</v>
      </c>
      <c r="CU86">
        <v>39612.6</v>
      </c>
      <c r="CV86">
        <v>47390.9</v>
      </c>
      <c r="CW86">
        <v>46826.6</v>
      </c>
      <c r="CX86">
        <v>2.6206399999999999</v>
      </c>
      <c r="CY86">
        <v>2.1257600000000001</v>
      </c>
      <c r="CZ86">
        <v>0</v>
      </c>
      <c r="DA86">
        <v>0</v>
      </c>
      <c r="DB86">
        <v>999.9</v>
      </c>
      <c r="DC86">
        <v>999.9</v>
      </c>
      <c r="DD86">
        <v>55.756</v>
      </c>
      <c r="DE86">
        <v>27.442</v>
      </c>
      <c r="DF86">
        <v>20.4544</v>
      </c>
      <c r="DG86">
        <v>30.226400000000002</v>
      </c>
      <c r="DH86">
        <v>16.366199999999999</v>
      </c>
      <c r="DI86">
        <v>2</v>
      </c>
      <c r="DJ86">
        <v>-0.10781300000000001</v>
      </c>
      <c r="DK86">
        <v>2.2088399999999999</v>
      </c>
      <c r="DL86">
        <v>20.2303</v>
      </c>
      <c r="DM86">
        <v>5.2501199999999999</v>
      </c>
      <c r="DN86">
        <v>12.033899999999999</v>
      </c>
      <c r="DO86">
        <v>4.9665600000000003</v>
      </c>
      <c r="DP86">
        <v>3.2909999999999999</v>
      </c>
      <c r="DQ86">
        <v>536.29999999999995</v>
      </c>
      <c r="DR86">
        <v>9999</v>
      </c>
      <c r="DS86">
        <v>9999</v>
      </c>
      <c r="DT86">
        <v>9999</v>
      </c>
      <c r="DU86">
        <v>1.8710500000000001</v>
      </c>
      <c r="DV86">
        <v>1.8760699999999999</v>
      </c>
      <c r="DW86">
        <v>1.8762300000000001</v>
      </c>
      <c r="DX86">
        <v>1.8827799999999999</v>
      </c>
      <c r="DY86">
        <v>1.87558</v>
      </c>
      <c r="DZ86">
        <v>1.8746400000000001</v>
      </c>
      <c r="EA86">
        <v>1.8707499999999999</v>
      </c>
      <c r="EB86">
        <v>1.8745700000000001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-0.84399999999999997</v>
      </c>
      <c r="EQ86">
        <v>9.0499999999999997E-2</v>
      </c>
      <c r="ER86">
        <v>-0.84339999999997395</v>
      </c>
      <c r="ES86">
        <v>0</v>
      </c>
      <c r="ET86">
        <v>0</v>
      </c>
      <c r="EU86">
        <v>0</v>
      </c>
      <c r="EV86">
        <v>9.0479999999999394E-2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9.8000000000000007</v>
      </c>
      <c r="FE86">
        <v>9.8000000000000007</v>
      </c>
      <c r="FF86">
        <v>1.2402299999999999</v>
      </c>
      <c r="FG86">
        <v>2.5927699999999998</v>
      </c>
      <c r="FH86">
        <v>2.19604</v>
      </c>
      <c r="FI86">
        <v>2.66235</v>
      </c>
      <c r="FJ86">
        <v>2.4462899999999999</v>
      </c>
      <c r="FK86">
        <v>2.2949199999999998</v>
      </c>
      <c r="FL86">
        <v>32.0244</v>
      </c>
      <c r="FM86">
        <v>24.148800000000001</v>
      </c>
      <c r="FN86">
        <v>19</v>
      </c>
      <c r="FO86">
        <v>865.09</v>
      </c>
      <c r="FP86">
        <v>574.26900000000001</v>
      </c>
      <c r="FQ86">
        <v>18.281400000000001</v>
      </c>
      <c r="FR86">
        <v>25.619299999999999</v>
      </c>
      <c r="FS86">
        <v>30.0002</v>
      </c>
      <c r="FT86">
        <v>25.613800000000001</v>
      </c>
      <c r="FU86">
        <v>25.616599999999998</v>
      </c>
      <c r="FV86">
        <v>24.8886</v>
      </c>
      <c r="FW86">
        <v>30.715800000000002</v>
      </c>
      <c r="FX86">
        <v>14.5848</v>
      </c>
      <c r="FY86">
        <v>18.2822</v>
      </c>
      <c r="FZ86">
        <v>410</v>
      </c>
      <c r="GA86">
        <v>14.603899999999999</v>
      </c>
      <c r="GB86">
        <v>99.856200000000001</v>
      </c>
      <c r="GC86">
        <v>99.681700000000006</v>
      </c>
    </row>
    <row r="87" spans="1:185" x14ac:dyDescent="0.2">
      <c r="A87">
        <v>72</v>
      </c>
      <c r="B87">
        <v>1769195813.0999999</v>
      </c>
      <c r="C87">
        <v>1252.0999999046301</v>
      </c>
      <c r="D87" t="s">
        <v>438</v>
      </c>
      <c r="E87" t="s">
        <v>439</v>
      </c>
      <c r="F87">
        <v>15</v>
      </c>
      <c r="G87">
        <v>1769195805.03333</v>
      </c>
      <c r="H87">
        <f t="shared" si="13"/>
        <v>6.3791432130354156E-4</v>
      </c>
      <c r="I87">
        <v>0</v>
      </c>
      <c r="J87">
        <f t="shared" si="25"/>
        <v>-1.5784332749250994E-3</v>
      </c>
      <c r="K87">
        <f t="shared" si="14"/>
        <v>-5.8818450169050532E-2</v>
      </c>
      <c r="L87">
        <f t="shared" si="15"/>
        <v>69.649922804666147</v>
      </c>
      <c r="M87">
        <f t="shared" si="16"/>
        <v>1.5356994876474495</v>
      </c>
      <c r="N87">
        <f t="shared" si="17"/>
        <v>2.2048832587429175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26245.650211582895</v>
      </c>
      <c r="T87">
        <f t="shared" si="21"/>
        <v>99.999553333333296</v>
      </c>
      <c r="U87">
        <f t="shared" si="22"/>
        <v>84.299233641741196</v>
      </c>
      <c r="V87">
        <f t="shared" si="23"/>
        <v>0.84299610180000029</v>
      </c>
      <c r="W87">
        <f t="shared" si="24"/>
        <v>0.15869011158800006</v>
      </c>
      <c r="X87">
        <v>1</v>
      </c>
      <c r="Y87">
        <v>1769195805.03333</v>
      </c>
      <c r="Z87">
        <v>409.74033333333301</v>
      </c>
      <c r="AA87">
        <v>409.993533333333</v>
      </c>
      <c r="AB87">
        <v>15.328986666666699</v>
      </c>
      <c r="AC87">
        <v>14.54382</v>
      </c>
      <c r="AD87">
        <v>410.56133333333298</v>
      </c>
      <c r="AE87">
        <v>15.2369866666667</v>
      </c>
      <c r="AF87">
        <v>800.003066666667</v>
      </c>
      <c r="AG87">
        <v>100.11799999999999</v>
      </c>
      <c r="AH87">
        <v>6.4714033333333296E-2</v>
      </c>
      <c r="AI87">
        <v>18.99784</v>
      </c>
      <c r="AJ87">
        <v>999.9</v>
      </c>
      <c r="AK87">
        <v>999.9</v>
      </c>
      <c r="AL87">
        <v>0</v>
      </c>
      <c r="AM87">
        <v>0</v>
      </c>
      <c r="AN87">
        <v>4998.7333333333299</v>
      </c>
      <c r="AO87">
        <v>0</v>
      </c>
      <c r="AP87">
        <v>1.7502500000000001</v>
      </c>
      <c r="AQ87">
        <v>-0.27558186666666701</v>
      </c>
      <c r="AR87">
        <v>416.09553333333298</v>
      </c>
      <c r="AS87">
        <v>416.044266666667</v>
      </c>
      <c r="AT87">
        <v>0.78363139999999998</v>
      </c>
      <c r="AU87">
        <v>409.993533333333</v>
      </c>
      <c r="AV87">
        <v>14.54382</v>
      </c>
      <c r="AW87">
        <v>1.534556</v>
      </c>
      <c r="AX87">
        <v>1.4560999999999999</v>
      </c>
      <c r="AY87">
        <v>13.316879999999999</v>
      </c>
      <c r="AZ87">
        <v>12.514799999999999</v>
      </c>
      <c r="BA87">
        <v>99.999553333333296</v>
      </c>
      <c r="BB87">
        <v>0.90013206666666701</v>
      </c>
      <c r="BC87">
        <v>0</v>
      </c>
      <c r="BD87">
        <v>9.9868006666666703E-2</v>
      </c>
      <c r="BE87">
        <v>0</v>
      </c>
      <c r="BF87">
        <v>24</v>
      </c>
      <c r="BG87">
        <v>1648.9359999999999</v>
      </c>
      <c r="BH87">
        <v>1769195835.0999999</v>
      </c>
      <c r="BI87" t="s">
        <v>440</v>
      </c>
      <c r="BJ87">
        <v>1769195835.0999999</v>
      </c>
      <c r="BK87">
        <v>1769195834.0999999</v>
      </c>
      <c r="BL87">
        <v>3</v>
      </c>
      <c r="BM87">
        <v>2.1999999999999999E-2</v>
      </c>
      <c r="BN87">
        <v>1E-3</v>
      </c>
      <c r="BO87">
        <v>-0.82099999999999995</v>
      </c>
      <c r="BP87">
        <v>9.1999999999999998E-2</v>
      </c>
      <c r="BQ87">
        <v>410</v>
      </c>
      <c r="BR87">
        <v>15</v>
      </c>
      <c r="BS87">
        <v>0.22</v>
      </c>
      <c r="BT87">
        <v>0.09</v>
      </c>
      <c r="BU87">
        <v>-0.27371214999999999</v>
      </c>
      <c r="BV87">
        <v>5.7410977443608903E-3</v>
      </c>
      <c r="BW87">
        <v>1.52917789033029E-2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0.78631229999999996</v>
      </c>
      <c r="CD87">
        <v>-8.9251849624060103E-2</v>
      </c>
      <c r="CE87">
        <v>9.8994015480735002E-3</v>
      </c>
      <c r="CF87">
        <v>1</v>
      </c>
      <c r="CG87">
        <v>2</v>
      </c>
      <c r="CH87">
        <v>2</v>
      </c>
      <c r="CI87" t="s">
        <v>304</v>
      </c>
      <c r="CJ87">
        <v>3.5325500000000001</v>
      </c>
      <c r="CK87">
        <v>2.70255</v>
      </c>
      <c r="CL87">
        <v>9.7891000000000006E-2</v>
      </c>
      <c r="CM87">
        <v>9.6584900000000001E-2</v>
      </c>
      <c r="CN87">
        <v>8.6807200000000001E-2</v>
      </c>
      <c r="CO87">
        <v>8.2650000000000001E-2</v>
      </c>
      <c r="CP87">
        <v>31625.599999999999</v>
      </c>
      <c r="CQ87">
        <v>27803.7</v>
      </c>
      <c r="CR87">
        <v>32447.4</v>
      </c>
      <c r="CS87">
        <v>30703.9</v>
      </c>
      <c r="CT87">
        <v>40126.300000000003</v>
      </c>
      <c r="CU87">
        <v>39609.599999999999</v>
      </c>
      <c r="CV87">
        <v>47390.400000000001</v>
      </c>
      <c r="CW87">
        <v>46827.1</v>
      </c>
      <c r="CX87">
        <v>2.62052</v>
      </c>
      <c r="CY87">
        <v>2.12554</v>
      </c>
      <c r="CZ87">
        <v>0</v>
      </c>
      <c r="DA87">
        <v>0</v>
      </c>
      <c r="DB87">
        <v>999.9</v>
      </c>
      <c r="DC87">
        <v>999.9</v>
      </c>
      <c r="DD87">
        <v>55.64</v>
      </c>
      <c r="DE87">
        <v>27.452000000000002</v>
      </c>
      <c r="DF87">
        <v>20.424600000000002</v>
      </c>
      <c r="DG87">
        <v>30.256399999999999</v>
      </c>
      <c r="DH87">
        <v>16.330100000000002</v>
      </c>
      <c r="DI87">
        <v>2</v>
      </c>
      <c r="DJ87">
        <v>-0.107555</v>
      </c>
      <c r="DK87">
        <v>2.19557</v>
      </c>
      <c r="DL87">
        <v>20.230699999999999</v>
      </c>
      <c r="DM87">
        <v>5.2521500000000003</v>
      </c>
      <c r="DN87">
        <v>12.033899999999999</v>
      </c>
      <c r="DO87">
        <v>4.9675599999999998</v>
      </c>
      <c r="DP87">
        <v>3.2909999999999999</v>
      </c>
      <c r="DQ87">
        <v>536.4</v>
      </c>
      <c r="DR87">
        <v>9999</v>
      </c>
      <c r="DS87">
        <v>9999</v>
      </c>
      <c r="DT87">
        <v>9999</v>
      </c>
      <c r="DU87">
        <v>1.87103</v>
      </c>
      <c r="DV87">
        <v>1.8760699999999999</v>
      </c>
      <c r="DW87">
        <v>1.8762300000000001</v>
      </c>
      <c r="DX87">
        <v>1.8827799999999999</v>
      </c>
      <c r="DY87">
        <v>1.87557</v>
      </c>
      <c r="DZ87">
        <v>1.87462</v>
      </c>
      <c r="EA87">
        <v>1.8707499999999999</v>
      </c>
      <c r="EB87">
        <v>1.87456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-0.82099999999999995</v>
      </c>
      <c r="EQ87">
        <v>9.1999999999999998E-2</v>
      </c>
      <c r="ER87">
        <v>-0.84339999999997395</v>
      </c>
      <c r="ES87">
        <v>0</v>
      </c>
      <c r="ET87">
        <v>0</v>
      </c>
      <c r="EU87">
        <v>0</v>
      </c>
      <c r="EV87">
        <v>9.0479999999999394E-2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10.1</v>
      </c>
      <c r="FE87">
        <v>10.1</v>
      </c>
      <c r="FF87">
        <v>1.2402299999999999</v>
      </c>
      <c r="FG87">
        <v>2.5878899999999998</v>
      </c>
      <c r="FH87">
        <v>2.19604</v>
      </c>
      <c r="FI87">
        <v>2.66235</v>
      </c>
      <c r="FJ87">
        <v>2.4462899999999999</v>
      </c>
      <c r="FK87">
        <v>2.32544</v>
      </c>
      <c r="FL87">
        <v>32.0244</v>
      </c>
      <c r="FM87">
        <v>24.157499999999999</v>
      </c>
      <c r="FN87">
        <v>19</v>
      </c>
      <c r="FO87">
        <v>865.01199999999994</v>
      </c>
      <c r="FP87">
        <v>574.125</v>
      </c>
      <c r="FQ87">
        <v>18.284300000000002</v>
      </c>
      <c r="FR87">
        <v>25.6233</v>
      </c>
      <c r="FS87">
        <v>30.0002</v>
      </c>
      <c r="FT87">
        <v>25.616</v>
      </c>
      <c r="FU87">
        <v>25.6187</v>
      </c>
      <c r="FV87">
        <v>24.887799999999999</v>
      </c>
      <c r="FW87">
        <v>30.442499999999999</v>
      </c>
      <c r="FX87">
        <v>14.2095</v>
      </c>
      <c r="FY87">
        <v>18.2866</v>
      </c>
      <c r="FZ87">
        <v>410</v>
      </c>
      <c r="GA87">
        <v>14.603899999999999</v>
      </c>
      <c r="GB87">
        <v>99.855199999999996</v>
      </c>
      <c r="GC87">
        <v>99.682699999999997</v>
      </c>
    </row>
    <row r="88" spans="1:185" x14ac:dyDescent="0.2">
      <c r="A88">
        <v>73</v>
      </c>
      <c r="B88">
        <v>1769195837.0999999</v>
      </c>
      <c r="C88">
        <v>1276.0999999046301</v>
      </c>
      <c r="D88" t="s">
        <v>441</v>
      </c>
      <c r="E88" t="s">
        <v>442</v>
      </c>
      <c r="F88">
        <v>15</v>
      </c>
      <c r="G88">
        <v>1769195836.0999999</v>
      </c>
      <c r="H88">
        <f t="shared" si="13"/>
        <v>-8.118097768993106E-8</v>
      </c>
      <c r="I88">
        <v>0</v>
      </c>
      <c r="J88">
        <f t="shared" si="25"/>
        <v>-8.4980928008501319E-5</v>
      </c>
      <c r="K88">
        <f t="shared" si="14"/>
        <v>-3.1667138287013712E-3</v>
      </c>
      <c r="L88">
        <f t="shared" si="15"/>
        <v>66.110437857538201</v>
      </c>
      <c r="M88">
        <f t="shared" si="16"/>
        <v>1.4577089169283999</v>
      </c>
      <c r="N88">
        <f t="shared" si="17"/>
        <v>2.2049603121214019</v>
      </c>
      <c r="O88">
        <v>481</v>
      </c>
      <c r="P88">
        <v>60</v>
      </c>
      <c r="Q88">
        <f t="shared" si="18"/>
        <v>1</v>
      </c>
      <c r="R88">
        <f t="shared" si="19"/>
        <v>0</v>
      </c>
      <c r="S88">
        <f t="shared" si="20"/>
        <v>26138.178145659309</v>
      </c>
      <c r="T88">
        <f t="shared" si="21"/>
        <v>99.999600000000001</v>
      </c>
      <c r="U88">
        <f t="shared" si="22"/>
        <v>84.299281801524003</v>
      </c>
      <c r="V88">
        <f t="shared" si="23"/>
        <v>0.84299619000000003</v>
      </c>
      <c r="W88">
        <f t="shared" si="24"/>
        <v>0.158690475</v>
      </c>
      <c r="X88">
        <v>1</v>
      </c>
      <c r="Y88">
        <v>1769195836.0999999</v>
      </c>
      <c r="Z88">
        <v>409.97500000000002</v>
      </c>
      <c r="AA88">
        <v>409.971</v>
      </c>
      <c r="AB88">
        <v>14.5487</v>
      </c>
      <c r="AC88">
        <v>14.5488</v>
      </c>
      <c r="AD88">
        <v>410.79599999999999</v>
      </c>
      <c r="AE88">
        <v>14.456799999999999</v>
      </c>
      <c r="AF88">
        <v>799.99900000000002</v>
      </c>
      <c r="AG88">
        <v>100.119</v>
      </c>
      <c r="AH88">
        <v>7.6132000000000005E-2</v>
      </c>
      <c r="AI88">
        <v>18.9984</v>
      </c>
      <c r="AJ88">
        <v>999.9</v>
      </c>
      <c r="AK88">
        <v>999.9</v>
      </c>
      <c r="AL88">
        <v>0</v>
      </c>
      <c r="AM88">
        <v>0</v>
      </c>
      <c r="AN88">
        <v>4981</v>
      </c>
      <c r="AO88">
        <v>0</v>
      </c>
      <c r="AP88">
        <v>1.7502500000000001</v>
      </c>
      <c r="AQ88">
        <v>4.0893600000000002E-3</v>
      </c>
      <c r="AR88">
        <v>416.02800000000002</v>
      </c>
      <c r="AS88">
        <v>416.02300000000002</v>
      </c>
      <c r="AT88">
        <v>-1.31607E-4</v>
      </c>
      <c r="AU88">
        <v>409.971</v>
      </c>
      <c r="AV88">
        <v>14.5488</v>
      </c>
      <c r="AW88">
        <v>1.4565999999999999</v>
      </c>
      <c r="AX88">
        <v>1.45662</v>
      </c>
      <c r="AY88">
        <v>12.520099999999999</v>
      </c>
      <c r="AZ88">
        <v>12.520200000000001</v>
      </c>
      <c r="BA88">
        <v>99.999600000000001</v>
      </c>
      <c r="BB88">
        <v>0.90012700000000001</v>
      </c>
      <c r="BC88">
        <v>0</v>
      </c>
      <c r="BD88">
        <v>9.9873000000000003E-2</v>
      </c>
      <c r="BE88">
        <v>0</v>
      </c>
      <c r="BF88">
        <v>24</v>
      </c>
      <c r="BG88">
        <v>1648.93</v>
      </c>
      <c r="BH88">
        <v>1769195835.0999999</v>
      </c>
      <c r="BI88" t="s">
        <v>440</v>
      </c>
      <c r="BJ88">
        <v>1769195835.0999999</v>
      </c>
      <c r="BK88">
        <v>1769195834.0999999</v>
      </c>
      <c r="BL88">
        <v>3</v>
      </c>
      <c r="BM88">
        <v>2.1999999999999999E-2</v>
      </c>
      <c r="BN88">
        <v>1E-3</v>
      </c>
      <c r="BO88">
        <v>-0.82099999999999995</v>
      </c>
      <c r="BP88">
        <v>9.1999999999999998E-2</v>
      </c>
      <c r="BQ88">
        <v>410</v>
      </c>
      <c r="BR88">
        <v>15</v>
      </c>
      <c r="BS88">
        <v>0.22</v>
      </c>
      <c r="BT88">
        <v>0.09</v>
      </c>
      <c r="BU88">
        <v>-2.968292745E-2</v>
      </c>
      <c r="BV88">
        <v>0.205913903684211</v>
      </c>
      <c r="BW88">
        <v>4.2050429004207898E-2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4.9551034559999999E-2</v>
      </c>
      <c r="CD88">
        <v>-0.79722210535939897</v>
      </c>
      <c r="CE88">
        <v>0.124424686561719</v>
      </c>
      <c r="CF88">
        <v>0</v>
      </c>
      <c r="CG88">
        <v>1</v>
      </c>
      <c r="CH88">
        <v>2</v>
      </c>
      <c r="CI88" t="s">
        <v>297</v>
      </c>
      <c r="CJ88">
        <v>3.5339999999999998</v>
      </c>
      <c r="CK88">
        <v>2.7127300000000001</v>
      </c>
      <c r="CL88">
        <v>9.79188E-2</v>
      </c>
      <c r="CM88">
        <v>9.6569299999999997E-2</v>
      </c>
      <c r="CN88">
        <v>8.3588499999999996E-2</v>
      </c>
      <c r="CO88">
        <v>8.2628599999999996E-2</v>
      </c>
      <c r="CP88">
        <v>31624.400000000001</v>
      </c>
      <c r="CQ88">
        <v>27804.1</v>
      </c>
      <c r="CR88">
        <v>32447.3</v>
      </c>
      <c r="CS88">
        <v>30703.8</v>
      </c>
      <c r="CT88">
        <v>40272.199999999997</v>
      </c>
      <c r="CU88">
        <v>39610.6</v>
      </c>
      <c r="CV88">
        <v>47390.7</v>
      </c>
      <c r="CW88">
        <v>46827.3</v>
      </c>
      <c r="CX88">
        <v>1.6904600000000001</v>
      </c>
      <c r="CY88">
        <v>1.60206</v>
      </c>
      <c r="CZ88">
        <v>0</v>
      </c>
      <c r="DA88">
        <v>0</v>
      </c>
      <c r="DB88">
        <v>999.9</v>
      </c>
      <c r="DC88">
        <v>999.9</v>
      </c>
      <c r="DD88">
        <v>55.518000000000001</v>
      </c>
      <c r="DE88">
        <v>27.452000000000002</v>
      </c>
      <c r="DF88">
        <v>20.377600000000001</v>
      </c>
      <c r="DG88">
        <v>29.9864</v>
      </c>
      <c r="DH88">
        <v>16.6386</v>
      </c>
      <c r="DI88">
        <v>2</v>
      </c>
      <c r="DJ88">
        <v>-0.107429</v>
      </c>
      <c r="DK88">
        <v>2.1827000000000001</v>
      </c>
      <c r="DL88">
        <v>20.2288</v>
      </c>
      <c r="DM88">
        <v>5.2429300000000003</v>
      </c>
      <c r="DN88">
        <v>12.033899999999999</v>
      </c>
      <c r="DO88">
        <v>4.9656000000000002</v>
      </c>
      <c r="DP88">
        <v>3.2897599999999998</v>
      </c>
      <c r="DQ88">
        <v>536.4</v>
      </c>
      <c r="DR88">
        <v>9999</v>
      </c>
      <c r="DS88">
        <v>9999</v>
      </c>
      <c r="DT88">
        <v>9999</v>
      </c>
      <c r="DU88">
        <v>1.8710500000000001</v>
      </c>
      <c r="DV88">
        <v>1.87608</v>
      </c>
      <c r="DW88">
        <v>1.8762399999999999</v>
      </c>
      <c r="DX88">
        <v>1.8827799999999999</v>
      </c>
      <c r="DY88">
        <v>1.8755599999999999</v>
      </c>
      <c r="DZ88">
        <v>1.87459</v>
      </c>
      <c r="EA88">
        <v>1.8707499999999999</v>
      </c>
      <c r="EB88">
        <v>1.87456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-0.82</v>
      </c>
      <c r="EQ88">
        <v>9.1899999999999996E-2</v>
      </c>
      <c r="ER88">
        <v>-0.820799999999963</v>
      </c>
      <c r="ES88">
        <v>0</v>
      </c>
      <c r="ET88">
        <v>0</v>
      </c>
      <c r="EU88">
        <v>0</v>
      </c>
      <c r="EV88">
        <v>9.1945454545454594E-2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0</v>
      </c>
      <c r="FE88">
        <v>0.1</v>
      </c>
      <c r="FF88">
        <v>1.2402299999999999</v>
      </c>
      <c r="FG88">
        <v>2.5891099999999998</v>
      </c>
      <c r="FH88">
        <v>2.19604</v>
      </c>
      <c r="FI88">
        <v>2.66235</v>
      </c>
      <c r="FJ88">
        <v>2.4462899999999999</v>
      </c>
      <c r="FK88">
        <v>2.3156699999999999</v>
      </c>
      <c r="FL88">
        <v>32.046399999999998</v>
      </c>
      <c r="FM88">
        <v>24.148800000000001</v>
      </c>
      <c r="FN88">
        <v>19</v>
      </c>
      <c r="FO88">
        <v>301.04300000000001</v>
      </c>
      <c r="FP88">
        <v>278.291</v>
      </c>
      <c r="FQ88">
        <v>18.288799999999998</v>
      </c>
      <c r="FR88">
        <v>25.625800000000002</v>
      </c>
      <c r="FS88">
        <v>30.0001</v>
      </c>
      <c r="FT88">
        <v>25.637599999999999</v>
      </c>
      <c r="FU88">
        <v>25.635899999999999</v>
      </c>
      <c r="FV88">
        <v>24.889299999999999</v>
      </c>
      <c r="FW88">
        <v>28.8582</v>
      </c>
      <c r="FX88">
        <v>14.2095</v>
      </c>
      <c r="FY88">
        <v>18.2897</v>
      </c>
      <c r="FZ88">
        <v>410</v>
      </c>
      <c r="GA88">
        <v>15.1836</v>
      </c>
      <c r="GB88">
        <v>99.855400000000003</v>
      </c>
      <c r="GC88">
        <v>99.682699999999997</v>
      </c>
    </row>
    <row r="89" spans="1:185" x14ac:dyDescent="0.2">
      <c r="A89">
        <v>74</v>
      </c>
      <c r="B89">
        <v>1769195852.0999999</v>
      </c>
      <c r="C89">
        <v>1291.0999999046301</v>
      </c>
      <c r="D89" t="s">
        <v>443</v>
      </c>
      <c r="E89" t="s">
        <v>444</v>
      </c>
      <c r="F89">
        <v>15</v>
      </c>
      <c r="G89">
        <v>1769195844.03333</v>
      </c>
      <c r="H89">
        <f t="shared" si="13"/>
        <v>4.3651025333073251E-4</v>
      </c>
      <c r="I89">
        <v>0</v>
      </c>
      <c r="J89">
        <f t="shared" si="25"/>
        <v>-1.4222905414984091E-3</v>
      </c>
      <c r="K89">
        <f t="shared" si="14"/>
        <v>-5.2999975779784422E-2</v>
      </c>
      <c r="L89">
        <f t="shared" si="15"/>
        <v>69.145000559084252</v>
      </c>
      <c r="M89">
        <f t="shared" si="16"/>
        <v>1.5246458257476743</v>
      </c>
      <c r="N89">
        <f t="shared" si="17"/>
        <v>2.204997922365866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26198.197494743836</v>
      </c>
      <c r="T89">
        <f t="shared" si="21"/>
        <v>100.000586666667</v>
      </c>
      <c r="U89">
        <f t="shared" si="22"/>
        <v>84.300091817637565</v>
      </c>
      <c r="V89">
        <f t="shared" si="23"/>
        <v>0.84299597260000025</v>
      </c>
      <c r="W89">
        <f t="shared" si="24"/>
        <v>0.15868997047600006</v>
      </c>
      <c r="X89">
        <v>1</v>
      </c>
      <c r="Y89">
        <v>1769195844.03333</v>
      </c>
      <c r="Z89">
        <v>409.78286666666702</v>
      </c>
      <c r="AA89">
        <v>409.94013333333299</v>
      </c>
      <c r="AB89">
        <v>15.2181533333333</v>
      </c>
      <c r="AC89">
        <v>14.68108</v>
      </c>
      <c r="AD89">
        <v>410.60359999999997</v>
      </c>
      <c r="AE89">
        <v>15.126193333333299</v>
      </c>
      <c r="AF89">
        <v>800.3886</v>
      </c>
      <c r="AG89">
        <v>100.11946666666699</v>
      </c>
      <c r="AH89">
        <v>6.6527806666666703E-2</v>
      </c>
      <c r="AI89">
        <v>18.998673333333301</v>
      </c>
      <c r="AJ89">
        <v>999.9</v>
      </c>
      <c r="AK89">
        <v>999.9</v>
      </c>
      <c r="AL89">
        <v>0</v>
      </c>
      <c r="AM89">
        <v>0</v>
      </c>
      <c r="AN89">
        <v>4990.8666666666704</v>
      </c>
      <c r="AO89">
        <v>0</v>
      </c>
      <c r="AP89">
        <v>1.7502500000000001</v>
      </c>
      <c r="AQ89">
        <v>-0.157216356666667</v>
      </c>
      <c r="AR89">
        <v>416.11533333333301</v>
      </c>
      <c r="AS89">
        <v>416.04806666666701</v>
      </c>
      <c r="AT89">
        <v>0.53706202619999999</v>
      </c>
      <c r="AU89">
        <v>409.94013333333299</v>
      </c>
      <c r="AV89">
        <v>14.68108</v>
      </c>
      <c r="AW89">
        <v>1.5236306666666699</v>
      </c>
      <c r="AX89">
        <v>1.4698626666666701</v>
      </c>
      <c r="AY89">
        <v>13.205299999999999</v>
      </c>
      <c r="AZ89">
        <v>12.6580733333333</v>
      </c>
      <c r="BA89">
        <v>100.000586666667</v>
      </c>
      <c r="BB89">
        <v>0.90013366666666705</v>
      </c>
      <c r="BC89">
        <v>0</v>
      </c>
      <c r="BD89">
        <v>9.9866313333333304E-2</v>
      </c>
      <c r="BE89">
        <v>0</v>
      </c>
      <c r="BF89">
        <v>24.0066666666667</v>
      </c>
      <c r="BG89">
        <v>1648.95266666667</v>
      </c>
      <c r="BH89">
        <v>1769195835.0999999</v>
      </c>
      <c r="BI89" t="s">
        <v>440</v>
      </c>
      <c r="BJ89">
        <v>1769195835.0999999</v>
      </c>
      <c r="BK89">
        <v>1769195834.0999999</v>
      </c>
      <c r="BL89">
        <v>3</v>
      </c>
      <c r="BM89">
        <v>2.1999999999999999E-2</v>
      </c>
      <c r="BN89">
        <v>1E-3</v>
      </c>
      <c r="BO89">
        <v>-0.82099999999999995</v>
      </c>
      <c r="BP89">
        <v>9.1999999999999998E-2</v>
      </c>
      <c r="BQ89">
        <v>410</v>
      </c>
      <c r="BR89">
        <v>15</v>
      </c>
      <c r="BS89">
        <v>0.22</v>
      </c>
      <c r="BT89">
        <v>0.09</v>
      </c>
      <c r="BU89">
        <v>-0.117716445238095</v>
      </c>
      <c r="BV89">
        <v>-0.96037354051948098</v>
      </c>
      <c r="BW89">
        <v>0.10858808826066201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0.38515528307619001</v>
      </c>
      <c r="CD89">
        <v>2.8135577302909098</v>
      </c>
      <c r="CE89">
        <v>0.29913997099145601</v>
      </c>
      <c r="CF89">
        <v>0</v>
      </c>
      <c r="CG89">
        <v>0</v>
      </c>
      <c r="CH89">
        <v>2</v>
      </c>
      <c r="CI89" t="s">
        <v>290</v>
      </c>
      <c r="CJ89">
        <v>3.5325099999999998</v>
      </c>
      <c r="CK89">
        <v>2.7025899999999998</v>
      </c>
      <c r="CL89">
        <v>9.7888500000000003E-2</v>
      </c>
      <c r="CM89">
        <v>9.6582399999999999E-2</v>
      </c>
      <c r="CN89">
        <v>8.7098499999999995E-2</v>
      </c>
      <c r="CO89">
        <v>8.3173399999999995E-2</v>
      </c>
      <c r="CP89">
        <v>31625.3</v>
      </c>
      <c r="CQ89">
        <v>27803.5</v>
      </c>
      <c r="CR89">
        <v>32447.1</v>
      </c>
      <c r="CS89">
        <v>30703.5</v>
      </c>
      <c r="CT89">
        <v>40113</v>
      </c>
      <c r="CU89">
        <v>39586.199999999997</v>
      </c>
      <c r="CV89">
        <v>47390.400000000001</v>
      </c>
      <c r="CW89">
        <v>46827</v>
      </c>
      <c r="CX89">
        <v>2.6179399999999999</v>
      </c>
      <c r="CY89">
        <v>2.1246399999999999</v>
      </c>
      <c r="CZ89">
        <v>0</v>
      </c>
      <c r="DA89">
        <v>0</v>
      </c>
      <c r="DB89">
        <v>999.9</v>
      </c>
      <c r="DC89">
        <v>999.9</v>
      </c>
      <c r="DD89">
        <v>55.427</v>
      </c>
      <c r="DE89">
        <v>27.472999999999999</v>
      </c>
      <c r="DF89">
        <v>20.372499999999999</v>
      </c>
      <c r="DG89">
        <v>30.136399999999998</v>
      </c>
      <c r="DH89">
        <v>16.2941</v>
      </c>
      <c r="DI89">
        <v>2</v>
      </c>
      <c r="DJ89">
        <v>-0.107167</v>
      </c>
      <c r="DK89">
        <v>2.17178</v>
      </c>
      <c r="DL89">
        <v>20.230899999999998</v>
      </c>
      <c r="DM89">
        <v>5.25143</v>
      </c>
      <c r="DN89">
        <v>12.033899999999999</v>
      </c>
      <c r="DO89">
        <v>4.9673999999999996</v>
      </c>
      <c r="DP89">
        <v>3.2909999999999999</v>
      </c>
      <c r="DQ89">
        <v>536.4</v>
      </c>
      <c r="DR89">
        <v>9999</v>
      </c>
      <c r="DS89">
        <v>9999</v>
      </c>
      <c r="DT89">
        <v>9999</v>
      </c>
      <c r="DU89">
        <v>1.87104</v>
      </c>
      <c r="DV89">
        <v>1.87608</v>
      </c>
      <c r="DW89">
        <v>1.87626</v>
      </c>
      <c r="DX89">
        <v>1.8827799999999999</v>
      </c>
      <c r="DY89">
        <v>1.8755900000000001</v>
      </c>
      <c r="DZ89">
        <v>1.87466</v>
      </c>
      <c r="EA89">
        <v>1.8707800000000001</v>
      </c>
      <c r="EB89">
        <v>1.87459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-0.82</v>
      </c>
      <c r="EQ89">
        <v>9.1899999999999996E-2</v>
      </c>
      <c r="ER89">
        <v>-0.820799999999963</v>
      </c>
      <c r="ES89">
        <v>0</v>
      </c>
      <c r="ET89">
        <v>0</v>
      </c>
      <c r="EU89">
        <v>0</v>
      </c>
      <c r="EV89">
        <v>9.1945454545454594E-2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0.3</v>
      </c>
      <c r="FE89">
        <v>0.3</v>
      </c>
      <c r="FF89">
        <v>1.2402299999999999</v>
      </c>
      <c r="FG89">
        <v>2.5878899999999998</v>
      </c>
      <c r="FH89">
        <v>2.19604</v>
      </c>
      <c r="FI89">
        <v>2.66235</v>
      </c>
      <c r="FJ89">
        <v>2.4462899999999999</v>
      </c>
      <c r="FK89">
        <v>2.32422</v>
      </c>
      <c r="FL89">
        <v>32.0244</v>
      </c>
      <c r="FM89">
        <v>24.148800000000001</v>
      </c>
      <c r="FN89">
        <v>19</v>
      </c>
      <c r="FO89">
        <v>862.71699999999998</v>
      </c>
      <c r="FP89">
        <v>573.48400000000004</v>
      </c>
      <c r="FQ89">
        <v>18.291899999999998</v>
      </c>
      <c r="FR89">
        <v>25.6279</v>
      </c>
      <c r="FS89">
        <v>30.0001</v>
      </c>
      <c r="FT89">
        <v>25.622399999999999</v>
      </c>
      <c r="FU89">
        <v>25.623000000000001</v>
      </c>
      <c r="FV89">
        <v>24.8935</v>
      </c>
      <c r="FW89">
        <v>29.9391</v>
      </c>
      <c r="FX89">
        <v>13.8347</v>
      </c>
      <c r="FY89">
        <v>18.293099999999999</v>
      </c>
      <c r="FZ89">
        <v>410</v>
      </c>
      <c r="GA89">
        <v>14.6591</v>
      </c>
      <c r="GB89">
        <v>99.854699999999994</v>
      </c>
      <c r="GC89">
        <v>99.682000000000002</v>
      </c>
    </row>
    <row r="90" spans="1:185" x14ac:dyDescent="0.2">
      <c r="A90">
        <v>75</v>
      </c>
      <c r="B90">
        <v>1769195867.0999999</v>
      </c>
      <c r="C90">
        <v>1306.0999999046301</v>
      </c>
      <c r="D90" t="s">
        <v>445</v>
      </c>
      <c r="E90" t="s">
        <v>446</v>
      </c>
      <c r="F90">
        <v>15</v>
      </c>
      <c r="G90">
        <v>1769195859.03333</v>
      </c>
      <c r="H90">
        <f t="shared" si="13"/>
        <v>5.9183329993427159E-4</v>
      </c>
      <c r="I90">
        <v>0</v>
      </c>
      <c r="J90">
        <f t="shared" si="25"/>
        <v>-1.4328640703592137E-3</v>
      </c>
      <c r="K90">
        <f t="shared" si="14"/>
        <v>-5.3393985834114886E-2</v>
      </c>
      <c r="L90">
        <f t="shared" si="15"/>
        <v>69.987193963001488</v>
      </c>
      <c r="M90">
        <f t="shared" si="16"/>
        <v>1.5431577505517107</v>
      </c>
      <c r="N90">
        <f t="shared" si="17"/>
        <v>2.2049144467307782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26277.050228302254</v>
      </c>
      <c r="T90">
        <f t="shared" si="21"/>
        <v>99.999113333333298</v>
      </c>
      <c r="U90">
        <f t="shared" si="22"/>
        <v>84.298824103798765</v>
      </c>
      <c r="V90">
        <f t="shared" si="23"/>
        <v>0.84299571559999964</v>
      </c>
      <c r="W90">
        <f t="shared" si="24"/>
        <v>0.15868913309599997</v>
      </c>
      <c r="X90">
        <v>1</v>
      </c>
      <c r="Y90">
        <v>1769195859.03333</v>
      </c>
      <c r="Z90">
        <v>409.7688</v>
      </c>
      <c r="AA90">
        <v>410.0052</v>
      </c>
      <c r="AB90">
        <v>15.403086666666701</v>
      </c>
      <c r="AC90">
        <v>14.6746933333333</v>
      </c>
      <c r="AD90">
        <v>410.58960000000002</v>
      </c>
      <c r="AE90">
        <v>15.3111333333333</v>
      </c>
      <c r="AF90">
        <v>800.00353333333305</v>
      </c>
      <c r="AG90">
        <v>100.120533333333</v>
      </c>
      <c r="AH90">
        <v>6.4435039999999999E-2</v>
      </c>
      <c r="AI90">
        <v>18.998066666666698</v>
      </c>
      <c r="AJ90">
        <v>999.9</v>
      </c>
      <c r="AK90">
        <v>999.9</v>
      </c>
      <c r="AL90">
        <v>0</v>
      </c>
      <c r="AM90">
        <v>0</v>
      </c>
      <c r="AN90">
        <v>5003.8</v>
      </c>
      <c r="AO90">
        <v>0</v>
      </c>
      <c r="AP90">
        <v>1.7502500000000001</v>
      </c>
      <c r="AQ90">
        <v>-0.236368666666667</v>
      </c>
      <c r="AR90">
        <v>416.17939999999999</v>
      </c>
      <c r="AS90">
        <v>416.111533333333</v>
      </c>
      <c r="AT90">
        <v>0.72840393333333298</v>
      </c>
      <c r="AU90">
        <v>410.0052</v>
      </c>
      <c r="AV90">
        <v>14.6746933333333</v>
      </c>
      <c r="AW90">
        <v>1.54216466666667</v>
      </c>
      <c r="AX90">
        <v>1.469238</v>
      </c>
      <c r="AY90">
        <v>13.39274</v>
      </c>
      <c r="AZ90">
        <v>12.651719999999999</v>
      </c>
      <c r="BA90">
        <v>99.999113333333298</v>
      </c>
      <c r="BB90">
        <v>0.90014513333333301</v>
      </c>
      <c r="BC90">
        <v>0</v>
      </c>
      <c r="BD90">
        <v>9.9854946666666694E-2</v>
      </c>
      <c r="BE90">
        <v>0</v>
      </c>
      <c r="BF90">
        <v>24.2422133333333</v>
      </c>
      <c r="BG90">
        <v>1648.934</v>
      </c>
      <c r="BH90">
        <v>1769195835.0999999</v>
      </c>
      <c r="BI90" t="s">
        <v>440</v>
      </c>
      <c r="BJ90">
        <v>1769195835.0999999</v>
      </c>
      <c r="BK90">
        <v>1769195834.0999999</v>
      </c>
      <c r="BL90">
        <v>3</v>
      </c>
      <c r="BM90">
        <v>2.1999999999999999E-2</v>
      </c>
      <c r="BN90">
        <v>1E-3</v>
      </c>
      <c r="BO90">
        <v>-0.82099999999999995</v>
      </c>
      <c r="BP90">
        <v>9.1999999999999998E-2</v>
      </c>
      <c r="BQ90">
        <v>410</v>
      </c>
      <c r="BR90">
        <v>15</v>
      </c>
      <c r="BS90">
        <v>0.22</v>
      </c>
      <c r="BT90">
        <v>0.09</v>
      </c>
      <c r="BU90">
        <v>-0.23791029999999999</v>
      </c>
      <c r="BV90">
        <v>0.134334315789473</v>
      </c>
      <c r="BW90">
        <v>2.2833953757726701E-2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0.72232494999999997</v>
      </c>
      <c r="CD90">
        <v>0.1254475037594</v>
      </c>
      <c r="CE90">
        <v>1.29204362096448E-2</v>
      </c>
      <c r="CF90">
        <v>0</v>
      </c>
      <c r="CG90">
        <v>1</v>
      </c>
      <c r="CH90">
        <v>2</v>
      </c>
      <c r="CI90" t="s">
        <v>297</v>
      </c>
      <c r="CJ90">
        <v>3.5324800000000001</v>
      </c>
      <c r="CK90">
        <v>2.7022400000000002</v>
      </c>
      <c r="CL90">
        <v>9.7897100000000001E-2</v>
      </c>
      <c r="CM90">
        <v>9.6583799999999997E-2</v>
      </c>
      <c r="CN90">
        <v>8.7158200000000005E-2</v>
      </c>
      <c r="CO90">
        <v>8.3140199999999997E-2</v>
      </c>
      <c r="CP90">
        <v>31625</v>
      </c>
      <c r="CQ90">
        <v>27803.8</v>
      </c>
      <c r="CR90">
        <v>32447.1</v>
      </c>
      <c r="CS90">
        <v>30704</v>
      </c>
      <c r="CT90">
        <v>40110.300000000003</v>
      </c>
      <c r="CU90">
        <v>39588</v>
      </c>
      <c r="CV90">
        <v>47390.400000000001</v>
      </c>
      <c r="CW90">
        <v>46827.4</v>
      </c>
      <c r="CX90">
        <v>2.6197400000000002</v>
      </c>
      <c r="CY90">
        <v>2.1254</v>
      </c>
      <c r="CZ90">
        <v>0</v>
      </c>
      <c r="DA90">
        <v>0</v>
      </c>
      <c r="DB90">
        <v>999.9</v>
      </c>
      <c r="DC90">
        <v>999.9</v>
      </c>
      <c r="DD90">
        <v>55.353000000000002</v>
      </c>
      <c r="DE90">
        <v>27.472999999999999</v>
      </c>
      <c r="DF90">
        <v>20.3428</v>
      </c>
      <c r="DG90">
        <v>29.956399999999999</v>
      </c>
      <c r="DH90">
        <v>16.3902</v>
      </c>
      <c r="DI90">
        <v>2</v>
      </c>
      <c r="DJ90">
        <v>-0.107307</v>
      </c>
      <c r="DK90">
        <v>2.15937</v>
      </c>
      <c r="DL90">
        <v>20.230699999999999</v>
      </c>
      <c r="DM90">
        <v>5.2490399999999999</v>
      </c>
      <c r="DN90">
        <v>12.033899999999999</v>
      </c>
      <c r="DO90">
        <v>4.9668000000000001</v>
      </c>
      <c r="DP90">
        <v>3.29068</v>
      </c>
      <c r="DQ90">
        <v>536.4</v>
      </c>
      <c r="DR90">
        <v>9999</v>
      </c>
      <c r="DS90">
        <v>9999</v>
      </c>
      <c r="DT90">
        <v>9999</v>
      </c>
      <c r="DU90">
        <v>1.8710599999999999</v>
      </c>
      <c r="DV90">
        <v>1.8761000000000001</v>
      </c>
      <c r="DW90">
        <v>1.87626</v>
      </c>
      <c r="DX90">
        <v>1.8827799999999999</v>
      </c>
      <c r="DY90">
        <v>1.8755999999999999</v>
      </c>
      <c r="DZ90">
        <v>1.8746499999999999</v>
      </c>
      <c r="EA90">
        <v>1.87076</v>
      </c>
      <c r="EB90">
        <v>1.87459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-0.82</v>
      </c>
      <c r="EQ90">
        <v>9.1899999999999996E-2</v>
      </c>
      <c r="ER90">
        <v>-0.820799999999963</v>
      </c>
      <c r="ES90">
        <v>0</v>
      </c>
      <c r="ET90">
        <v>0</v>
      </c>
      <c r="EU90">
        <v>0</v>
      </c>
      <c r="EV90">
        <v>9.1945454545454594E-2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0.5</v>
      </c>
      <c r="FE90">
        <v>0.6</v>
      </c>
      <c r="FF90">
        <v>1.2402299999999999</v>
      </c>
      <c r="FG90">
        <v>2.5939899999999998</v>
      </c>
      <c r="FH90">
        <v>2.19604</v>
      </c>
      <c r="FI90">
        <v>2.66235</v>
      </c>
      <c r="FJ90">
        <v>2.4462899999999999</v>
      </c>
      <c r="FK90">
        <v>2.2827099999999998</v>
      </c>
      <c r="FL90">
        <v>32.046399999999998</v>
      </c>
      <c r="FM90">
        <v>24.148800000000001</v>
      </c>
      <c r="FN90">
        <v>19</v>
      </c>
      <c r="FO90">
        <v>864.39</v>
      </c>
      <c r="FP90">
        <v>574.06500000000005</v>
      </c>
      <c r="FQ90">
        <v>18.2944</v>
      </c>
      <c r="FR90">
        <v>25.630099999999999</v>
      </c>
      <c r="FS90">
        <v>30.0002</v>
      </c>
      <c r="FT90">
        <v>25.622399999999999</v>
      </c>
      <c r="FU90">
        <v>25.623000000000001</v>
      </c>
      <c r="FV90">
        <v>24.893999999999998</v>
      </c>
      <c r="FW90">
        <v>29.9391</v>
      </c>
      <c r="FX90">
        <v>13.461399999999999</v>
      </c>
      <c r="FY90">
        <v>18.2959</v>
      </c>
      <c r="FZ90">
        <v>410</v>
      </c>
      <c r="GA90">
        <v>14.6591</v>
      </c>
      <c r="GB90">
        <v>99.854799999999997</v>
      </c>
      <c r="GC90">
        <v>99.683199999999999</v>
      </c>
    </row>
    <row r="91" spans="1:185" x14ac:dyDescent="0.2">
      <c r="A91">
        <v>76</v>
      </c>
      <c r="B91">
        <v>1769195882.0999999</v>
      </c>
      <c r="C91">
        <v>1321.0999999046301</v>
      </c>
      <c r="D91" t="s">
        <v>447</v>
      </c>
      <c r="E91" t="s">
        <v>448</v>
      </c>
      <c r="F91">
        <v>15</v>
      </c>
      <c r="G91">
        <v>1769195874.03333</v>
      </c>
      <c r="H91">
        <f t="shared" si="13"/>
        <v>6.1346813256907555E-4</v>
      </c>
      <c r="I91">
        <v>0</v>
      </c>
      <c r="J91">
        <f t="shared" si="25"/>
        <v>-2.4812878014802285E-3</v>
      </c>
      <c r="K91">
        <f t="shared" si="14"/>
        <v>-9.2462256862497566E-2</v>
      </c>
      <c r="L91">
        <f t="shared" si="15"/>
        <v>70.023396431084834</v>
      </c>
      <c r="M91">
        <f t="shared" si="16"/>
        <v>1.5438750530073757</v>
      </c>
      <c r="N91">
        <f t="shared" si="17"/>
        <v>2.2047988696561105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26240.550444480945</v>
      </c>
      <c r="T91">
        <f t="shared" si="21"/>
        <v>100.000346666667</v>
      </c>
      <c r="U91">
        <f t="shared" si="22"/>
        <v>84.299846238454123</v>
      </c>
      <c r="V91">
        <f t="shared" si="23"/>
        <v>0.84299553999999977</v>
      </c>
      <c r="W91">
        <f t="shared" si="24"/>
        <v>0.15868859015999995</v>
      </c>
      <c r="X91">
        <v>1</v>
      </c>
      <c r="Y91">
        <v>1769195874.03333</v>
      </c>
      <c r="Z91">
        <v>409.79573333333298</v>
      </c>
      <c r="AA91">
        <v>409.99439999999998</v>
      </c>
      <c r="AB91">
        <v>15.409993333333301</v>
      </c>
      <c r="AC91">
        <v>14.65498</v>
      </c>
      <c r="AD91">
        <v>410.61666666666702</v>
      </c>
      <c r="AE91">
        <v>15.318073333333301</v>
      </c>
      <c r="AF91">
        <v>800.00519999999995</v>
      </c>
      <c r="AG91">
        <v>100.122266666667</v>
      </c>
      <c r="AH91">
        <v>6.4347280000000007E-2</v>
      </c>
      <c r="AI91">
        <v>18.997226666666698</v>
      </c>
      <c r="AJ91">
        <v>999.9</v>
      </c>
      <c r="AK91">
        <v>999.9</v>
      </c>
      <c r="AL91">
        <v>0</v>
      </c>
      <c r="AM91">
        <v>0</v>
      </c>
      <c r="AN91">
        <v>4997.7</v>
      </c>
      <c r="AO91">
        <v>0</v>
      </c>
      <c r="AP91">
        <v>1.7502500000000001</v>
      </c>
      <c r="AQ91">
        <v>-0.19857786666666699</v>
      </c>
      <c r="AR91">
        <v>416.20973333333302</v>
      </c>
      <c r="AS91">
        <v>416.09233333333299</v>
      </c>
      <c r="AT91">
        <v>0.75503140000000002</v>
      </c>
      <c r="AU91">
        <v>409.99439999999998</v>
      </c>
      <c r="AV91">
        <v>14.65498</v>
      </c>
      <c r="AW91">
        <v>1.5428839999999999</v>
      </c>
      <c r="AX91">
        <v>1.46729</v>
      </c>
      <c r="AY91">
        <v>13.3999066666667</v>
      </c>
      <c r="AZ91">
        <v>12.631493333333299</v>
      </c>
      <c r="BA91">
        <v>100.000346666667</v>
      </c>
      <c r="BB91">
        <v>0.900152533333333</v>
      </c>
      <c r="BC91">
        <v>0</v>
      </c>
      <c r="BD91">
        <v>9.9847599999999995E-2</v>
      </c>
      <c r="BE91">
        <v>0</v>
      </c>
      <c r="BF91">
        <v>24.533326666666699</v>
      </c>
      <c r="BG91">
        <v>1648.9580000000001</v>
      </c>
      <c r="BH91">
        <v>1769195835.0999999</v>
      </c>
      <c r="BI91" t="s">
        <v>440</v>
      </c>
      <c r="BJ91">
        <v>1769195835.0999999</v>
      </c>
      <c r="BK91">
        <v>1769195834.0999999</v>
      </c>
      <c r="BL91">
        <v>3</v>
      </c>
      <c r="BM91">
        <v>2.1999999999999999E-2</v>
      </c>
      <c r="BN91">
        <v>1E-3</v>
      </c>
      <c r="BO91">
        <v>-0.82099999999999995</v>
      </c>
      <c r="BP91">
        <v>9.1999999999999998E-2</v>
      </c>
      <c r="BQ91">
        <v>410</v>
      </c>
      <c r="BR91">
        <v>15</v>
      </c>
      <c r="BS91">
        <v>0.22</v>
      </c>
      <c r="BT91">
        <v>0.09</v>
      </c>
      <c r="BU91">
        <v>-0.20293314285714301</v>
      </c>
      <c r="BV91">
        <v>0.13898392207792201</v>
      </c>
      <c r="BW91">
        <v>1.93754956883706E-2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0.74924999999999997</v>
      </c>
      <c r="CD91">
        <v>9.4841688311689307E-2</v>
      </c>
      <c r="CE91">
        <v>1.0618942109448099E-2</v>
      </c>
      <c r="CF91">
        <v>1</v>
      </c>
      <c r="CG91">
        <v>2</v>
      </c>
      <c r="CH91">
        <v>2</v>
      </c>
      <c r="CI91" t="s">
        <v>304</v>
      </c>
      <c r="CJ91">
        <v>3.5325700000000002</v>
      </c>
      <c r="CK91">
        <v>2.7021500000000001</v>
      </c>
      <c r="CL91">
        <v>9.7901199999999994E-2</v>
      </c>
      <c r="CM91">
        <v>9.6578800000000006E-2</v>
      </c>
      <c r="CN91">
        <v>8.7151699999999999E-2</v>
      </c>
      <c r="CO91">
        <v>8.3056599999999994E-2</v>
      </c>
      <c r="CP91">
        <v>31625</v>
      </c>
      <c r="CQ91">
        <v>27804.5</v>
      </c>
      <c r="CR91">
        <v>32447.200000000001</v>
      </c>
      <c r="CS91">
        <v>30704.5</v>
      </c>
      <c r="CT91">
        <v>40110.9</v>
      </c>
      <c r="CU91">
        <v>39592.699999999997</v>
      </c>
      <c r="CV91">
        <v>47390.7</v>
      </c>
      <c r="CW91">
        <v>46828.6</v>
      </c>
      <c r="CX91">
        <v>2.6203799999999999</v>
      </c>
      <c r="CY91">
        <v>2.1255799999999998</v>
      </c>
      <c r="CZ91">
        <v>0</v>
      </c>
      <c r="DA91">
        <v>0</v>
      </c>
      <c r="DB91">
        <v>999.9</v>
      </c>
      <c r="DC91">
        <v>999.9</v>
      </c>
      <c r="DD91">
        <v>55.256</v>
      </c>
      <c r="DE91">
        <v>27.472999999999999</v>
      </c>
      <c r="DF91">
        <v>20.308</v>
      </c>
      <c r="DG91">
        <v>30.196400000000001</v>
      </c>
      <c r="DH91">
        <v>16.290099999999999</v>
      </c>
      <c r="DI91">
        <v>2</v>
      </c>
      <c r="DJ91">
        <v>-0.107614</v>
      </c>
      <c r="DK91">
        <v>2.14541</v>
      </c>
      <c r="DL91">
        <v>20.231100000000001</v>
      </c>
      <c r="DM91">
        <v>5.2501199999999999</v>
      </c>
      <c r="DN91">
        <v>12.033899999999999</v>
      </c>
      <c r="DO91">
        <v>4.9671599999999998</v>
      </c>
      <c r="DP91">
        <v>3.2909999999999999</v>
      </c>
      <c r="DQ91">
        <v>536.4</v>
      </c>
      <c r="DR91">
        <v>9999</v>
      </c>
      <c r="DS91">
        <v>9999</v>
      </c>
      <c r="DT91">
        <v>9999</v>
      </c>
      <c r="DU91">
        <v>1.87104</v>
      </c>
      <c r="DV91">
        <v>1.87608</v>
      </c>
      <c r="DW91">
        <v>1.87626</v>
      </c>
      <c r="DX91">
        <v>1.8827799999999999</v>
      </c>
      <c r="DY91">
        <v>1.8755999999999999</v>
      </c>
      <c r="DZ91">
        <v>1.8746400000000001</v>
      </c>
      <c r="EA91">
        <v>1.87076</v>
      </c>
      <c r="EB91">
        <v>1.8745799999999999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-0.82099999999999995</v>
      </c>
      <c r="EQ91">
        <v>9.1999999999999998E-2</v>
      </c>
      <c r="ER91">
        <v>-0.820799999999963</v>
      </c>
      <c r="ES91">
        <v>0</v>
      </c>
      <c r="ET91">
        <v>0</v>
      </c>
      <c r="EU91">
        <v>0</v>
      </c>
      <c r="EV91">
        <v>9.1945454545454594E-2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0.8</v>
      </c>
      <c r="FE91">
        <v>0.8</v>
      </c>
      <c r="FF91">
        <v>1.2402299999999999</v>
      </c>
      <c r="FG91">
        <v>2.5903299999999998</v>
      </c>
      <c r="FH91">
        <v>2.19604</v>
      </c>
      <c r="FI91">
        <v>2.66235</v>
      </c>
      <c r="FJ91">
        <v>2.4462899999999999</v>
      </c>
      <c r="FK91">
        <v>2.2961399999999998</v>
      </c>
      <c r="FL91">
        <v>32.046399999999998</v>
      </c>
      <c r="FM91">
        <v>24.157499999999999</v>
      </c>
      <c r="FN91">
        <v>19</v>
      </c>
      <c r="FO91">
        <v>864.98500000000001</v>
      </c>
      <c r="FP91">
        <v>574.20299999999997</v>
      </c>
      <c r="FQ91">
        <v>18.300899999999999</v>
      </c>
      <c r="FR91">
        <v>25.630099999999999</v>
      </c>
      <c r="FS91">
        <v>30.0001</v>
      </c>
      <c r="FT91">
        <v>25.622399999999999</v>
      </c>
      <c r="FU91">
        <v>25.623000000000001</v>
      </c>
      <c r="FV91">
        <v>24.895499999999998</v>
      </c>
      <c r="FW91">
        <v>29.9391</v>
      </c>
      <c r="FX91">
        <v>13.461399999999999</v>
      </c>
      <c r="FY91">
        <v>18.302399999999999</v>
      </c>
      <c r="FZ91">
        <v>410</v>
      </c>
      <c r="GA91">
        <v>14.6591</v>
      </c>
      <c r="GB91">
        <v>99.8553</v>
      </c>
      <c r="GC91">
        <v>99.685400000000001</v>
      </c>
    </row>
    <row r="92" spans="1:185" x14ac:dyDescent="0.2">
      <c r="A92">
        <v>77</v>
      </c>
      <c r="B92">
        <v>1769195897.0999999</v>
      </c>
      <c r="C92">
        <v>1336.0999999046301</v>
      </c>
      <c r="D92" t="s">
        <v>449</v>
      </c>
      <c r="E92" t="s">
        <v>450</v>
      </c>
      <c r="F92">
        <v>15</v>
      </c>
      <c r="G92">
        <v>1769195889.03333</v>
      </c>
      <c r="H92">
        <f t="shared" si="13"/>
        <v>6.2488254352285487E-4</v>
      </c>
      <c r="I92">
        <v>0</v>
      </c>
      <c r="J92">
        <f t="shared" si="25"/>
        <v>-2.3547283742375684E-3</v>
      </c>
      <c r="K92">
        <f t="shared" si="14"/>
        <v>-8.7746169408595392E-2</v>
      </c>
      <c r="L92">
        <f t="shared" si="15"/>
        <v>70.002478446795308</v>
      </c>
      <c r="M92">
        <f t="shared" si="16"/>
        <v>1.5435589747488916</v>
      </c>
      <c r="N92">
        <f t="shared" si="17"/>
        <v>2.2050061783484685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26272.951241977225</v>
      </c>
      <c r="T92">
        <f t="shared" si="21"/>
        <v>100.000206666667</v>
      </c>
      <c r="U92">
        <f t="shared" si="22"/>
        <v>84.299808579244583</v>
      </c>
      <c r="V92">
        <f t="shared" si="23"/>
        <v>0.84299634359999964</v>
      </c>
      <c r="W92">
        <f t="shared" si="24"/>
        <v>0.15869096293599994</v>
      </c>
      <c r="X92">
        <v>1</v>
      </c>
      <c r="Y92">
        <v>1769195889.03333</v>
      </c>
      <c r="Z92">
        <v>409.78359999999998</v>
      </c>
      <c r="AA92">
        <v>409.99400000000003</v>
      </c>
      <c r="AB92">
        <v>15.4070066666667</v>
      </c>
      <c r="AC92">
        <v>14.63794</v>
      </c>
      <c r="AD92">
        <v>410.60446666666701</v>
      </c>
      <c r="AE92">
        <v>15.3150666666667</v>
      </c>
      <c r="AF92">
        <v>800.00213333333295</v>
      </c>
      <c r="AG92">
        <v>100.121333333333</v>
      </c>
      <c r="AH92">
        <v>6.4186679999999996E-2</v>
      </c>
      <c r="AI92">
        <v>18.998733333333298</v>
      </c>
      <c r="AJ92">
        <v>999.9</v>
      </c>
      <c r="AK92">
        <v>999.9</v>
      </c>
      <c r="AL92">
        <v>0</v>
      </c>
      <c r="AM92">
        <v>0</v>
      </c>
      <c r="AN92">
        <v>5003.1000000000004</v>
      </c>
      <c r="AO92">
        <v>0</v>
      </c>
      <c r="AP92">
        <v>1.7502500000000001</v>
      </c>
      <c r="AQ92">
        <v>-0.2105204</v>
      </c>
      <c r="AR92">
        <v>416.19600000000003</v>
      </c>
      <c r="AS92">
        <v>416.08473333333302</v>
      </c>
      <c r="AT92">
        <v>0.769062466666667</v>
      </c>
      <c r="AU92">
        <v>409.99400000000003</v>
      </c>
      <c r="AV92">
        <v>14.63794</v>
      </c>
      <c r="AW92">
        <v>1.5425693333333299</v>
      </c>
      <c r="AX92">
        <v>1.4655706666666699</v>
      </c>
      <c r="AY92">
        <v>13.3967666666667</v>
      </c>
      <c r="AZ92">
        <v>12.613606666666699</v>
      </c>
      <c r="BA92">
        <v>100.000206666667</v>
      </c>
      <c r="BB92">
        <v>0.90012033333333297</v>
      </c>
      <c r="BC92">
        <v>0</v>
      </c>
      <c r="BD92">
        <v>9.9879613333333297E-2</v>
      </c>
      <c r="BE92">
        <v>0</v>
      </c>
      <c r="BF92">
        <v>24.6466733333333</v>
      </c>
      <c r="BG92">
        <v>1648.94066666667</v>
      </c>
      <c r="BH92">
        <v>1769195835.0999999</v>
      </c>
      <c r="BI92" t="s">
        <v>440</v>
      </c>
      <c r="BJ92">
        <v>1769195835.0999999</v>
      </c>
      <c r="BK92">
        <v>1769195834.0999999</v>
      </c>
      <c r="BL92">
        <v>3</v>
      </c>
      <c r="BM92">
        <v>2.1999999999999999E-2</v>
      </c>
      <c r="BN92">
        <v>1E-3</v>
      </c>
      <c r="BO92">
        <v>-0.82099999999999995</v>
      </c>
      <c r="BP92">
        <v>9.1999999999999998E-2</v>
      </c>
      <c r="BQ92">
        <v>410</v>
      </c>
      <c r="BR92">
        <v>15</v>
      </c>
      <c r="BS92">
        <v>0.22</v>
      </c>
      <c r="BT92">
        <v>0.09</v>
      </c>
      <c r="BU92">
        <v>-0.20153045</v>
      </c>
      <c r="BV92">
        <v>-0.199577729323308</v>
      </c>
      <c r="BW92">
        <v>2.2905351140017498E-2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0.76627845000000006</v>
      </c>
      <c r="CD92">
        <v>8.2224766917293704E-2</v>
      </c>
      <c r="CE92">
        <v>8.4289729533021992E-3</v>
      </c>
      <c r="CF92">
        <v>1</v>
      </c>
      <c r="CG92">
        <v>2</v>
      </c>
      <c r="CH92">
        <v>2</v>
      </c>
      <c r="CI92" t="s">
        <v>304</v>
      </c>
      <c r="CJ92">
        <v>3.5325000000000002</v>
      </c>
      <c r="CK92">
        <v>2.7021299999999999</v>
      </c>
      <c r="CL92">
        <v>9.7895999999999997E-2</v>
      </c>
      <c r="CM92">
        <v>9.6583500000000003E-2</v>
      </c>
      <c r="CN92">
        <v>8.7126300000000004E-2</v>
      </c>
      <c r="CO92">
        <v>8.2955699999999993E-2</v>
      </c>
      <c r="CP92">
        <v>31625.1</v>
      </c>
      <c r="CQ92">
        <v>27804.6</v>
      </c>
      <c r="CR92">
        <v>32447.1</v>
      </c>
      <c r="CS92">
        <v>30704.799999999999</v>
      </c>
      <c r="CT92">
        <v>40111.9</v>
      </c>
      <c r="CU92">
        <v>39597.1</v>
      </c>
      <c r="CV92">
        <v>47390.6</v>
      </c>
      <c r="CW92">
        <v>46828.5</v>
      </c>
      <c r="CX92">
        <v>2.6204999999999998</v>
      </c>
      <c r="CY92">
        <v>2.1255000000000002</v>
      </c>
      <c r="CZ92">
        <v>0</v>
      </c>
      <c r="DA92">
        <v>0</v>
      </c>
      <c r="DB92">
        <v>999.9</v>
      </c>
      <c r="DC92">
        <v>999.9</v>
      </c>
      <c r="DD92">
        <v>55.158000000000001</v>
      </c>
      <c r="DE92">
        <v>27.483000000000001</v>
      </c>
      <c r="DF92">
        <v>20.283000000000001</v>
      </c>
      <c r="DG92">
        <v>30.196400000000001</v>
      </c>
      <c r="DH92">
        <v>16.3261</v>
      </c>
      <c r="DI92">
        <v>2</v>
      </c>
      <c r="DJ92">
        <v>-0.107407</v>
      </c>
      <c r="DK92">
        <v>2.1580400000000002</v>
      </c>
      <c r="DL92">
        <v>20.230799999999999</v>
      </c>
      <c r="DM92">
        <v>5.2480799999999999</v>
      </c>
      <c r="DN92">
        <v>12.033899999999999</v>
      </c>
      <c r="DO92">
        <v>4.9670399999999999</v>
      </c>
      <c r="DP92">
        <v>3.2907199999999999</v>
      </c>
      <c r="DQ92">
        <v>536.4</v>
      </c>
      <c r="DR92">
        <v>9999</v>
      </c>
      <c r="DS92">
        <v>9999</v>
      </c>
      <c r="DT92">
        <v>9999</v>
      </c>
      <c r="DU92">
        <v>1.8710500000000001</v>
      </c>
      <c r="DV92">
        <v>1.87612</v>
      </c>
      <c r="DW92">
        <v>1.87626</v>
      </c>
      <c r="DX92">
        <v>1.8827799999999999</v>
      </c>
      <c r="DY92">
        <v>1.87561</v>
      </c>
      <c r="DZ92">
        <v>1.8746499999999999</v>
      </c>
      <c r="EA92">
        <v>1.8708100000000001</v>
      </c>
      <c r="EB92">
        <v>1.8745799999999999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-0.82099999999999995</v>
      </c>
      <c r="EQ92">
        <v>9.1899999999999996E-2</v>
      </c>
      <c r="ER92">
        <v>-0.820799999999963</v>
      </c>
      <c r="ES92">
        <v>0</v>
      </c>
      <c r="ET92">
        <v>0</v>
      </c>
      <c r="EU92">
        <v>0</v>
      </c>
      <c r="EV92">
        <v>9.1945454545454594E-2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1</v>
      </c>
      <c r="FE92">
        <v>1.1000000000000001</v>
      </c>
      <c r="FF92">
        <v>1.2402299999999999</v>
      </c>
      <c r="FG92">
        <v>2.5915499999999998</v>
      </c>
      <c r="FH92">
        <v>2.19604</v>
      </c>
      <c r="FI92">
        <v>2.66235</v>
      </c>
      <c r="FJ92">
        <v>2.4462899999999999</v>
      </c>
      <c r="FK92">
        <v>2.2961399999999998</v>
      </c>
      <c r="FL92">
        <v>32.068399999999997</v>
      </c>
      <c r="FM92">
        <v>24.157499999999999</v>
      </c>
      <c r="FN92">
        <v>19</v>
      </c>
      <c r="FO92">
        <v>865.09699999999998</v>
      </c>
      <c r="FP92">
        <v>574.16600000000005</v>
      </c>
      <c r="FQ92">
        <v>18.306100000000001</v>
      </c>
      <c r="FR92">
        <v>25.630099999999999</v>
      </c>
      <c r="FS92">
        <v>30.0001</v>
      </c>
      <c r="FT92">
        <v>25.622399999999999</v>
      </c>
      <c r="FU92">
        <v>25.6252</v>
      </c>
      <c r="FV92">
        <v>24.894600000000001</v>
      </c>
      <c r="FW92">
        <v>29.9391</v>
      </c>
      <c r="FX92">
        <v>13.082700000000001</v>
      </c>
      <c r="FY92">
        <v>18.305700000000002</v>
      </c>
      <c r="FZ92">
        <v>410</v>
      </c>
      <c r="GA92">
        <v>14.6591</v>
      </c>
      <c r="GB92">
        <v>99.855000000000004</v>
      </c>
      <c r="GC92">
        <v>99.685599999999994</v>
      </c>
    </row>
    <row r="93" spans="1:185" x14ac:dyDescent="0.2">
      <c r="A93">
        <v>78</v>
      </c>
      <c r="B93">
        <v>1769195912.0999999</v>
      </c>
      <c r="C93">
        <v>1351.0999999046301</v>
      </c>
      <c r="D93" t="s">
        <v>451</v>
      </c>
      <c r="E93" t="s">
        <v>452</v>
      </c>
      <c r="F93">
        <v>15</v>
      </c>
      <c r="G93">
        <v>1769195904.03333</v>
      </c>
      <c r="H93">
        <f t="shared" si="13"/>
        <v>6.3184094884845927E-4</v>
      </c>
      <c r="I93">
        <v>0</v>
      </c>
      <c r="J93">
        <f t="shared" si="25"/>
        <v>-2.1161969267884254E-3</v>
      </c>
      <c r="K93">
        <f t="shared" si="14"/>
        <v>-7.8857576980635655E-2</v>
      </c>
      <c r="L93">
        <f t="shared" si="15"/>
        <v>69.962094959474655</v>
      </c>
      <c r="M93">
        <f t="shared" si="16"/>
        <v>1.5427647867897107</v>
      </c>
      <c r="N93">
        <f t="shared" si="17"/>
        <v>2.2051437820484834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26203.438153932846</v>
      </c>
      <c r="T93">
        <f t="shared" si="21"/>
        <v>99.999666666666698</v>
      </c>
      <c r="U93">
        <f t="shared" si="22"/>
        <v>84.29933976126415</v>
      </c>
      <c r="V93">
        <f t="shared" si="23"/>
        <v>0.84299620759999994</v>
      </c>
      <c r="W93">
        <f t="shared" si="24"/>
        <v>0.15869049301599999</v>
      </c>
      <c r="X93">
        <v>1</v>
      </c>
      <c r="Y93">
        <v>1769195904.03333</v>
      </c>
      <c r="Z93">
        <v>409.77440000000001</v>
      </c>
      <c r="AA93">
        <v>409.99946666666699</v>
      </c>
      <c r="AB93">
        <v>15.39892</v>
      </c>
      <c r="AC93">
        <v>14.6212866666667</v>
      </c>
      <c r="AD93">
        <v>410.59519999999998</v>
      </c>
      <c r="AE93">
        <v>15.306986666666701</v>
      </c>
      <c r="AF93">
        <v>800.00593333333302</v>
      </c>
      <c r="AG93">
        <v>100.122066666667</v>
      </c>
      <c r="AH93">
        <v>6.4491013333333305E-2</v>
      </c>
      <c r="AI93">
        <v>18.9997333333333</v>
      </c>
      <c r="AJ93">
        <v>999.9</v>
      </c>
      <c r="AK93">
        <v>999.9</v>
      </c>
      <c r="AL93">
        <v>0</v>
      </c>
      <c r="AM93">
        <v>0</v>
      </c>
      <c r="AN93">
        <v>4991.6333333333296</v>
      </c>
      <c r="AO93">
        <v>0</v>
      </c>
      <c r="AP93">
        <v>1.7502500000000001</v>
      </c>
      <c r="AQ93">
        <v>-0.22496933333333299</v>
      </c>
      <c r="AR93">
        <v>416.18313333333299</v>
      </c>
      <c r="AS93">
        <v>416.08300000000003</v>
      </c>
      <c r="AT93">
        <v>0.77765973333333305</v>
      </c>
      <c r="AU93">
        <v>409.99946666666699</v>
      </c>
      <c r="AV93">
        <v>14.6212866666667</v>
      </c>
      <c r="AW93">
        <v>1.5417733333333301</v>
      </c>
      <c r="AX93">
        <v>1.4639120000000001</v>
      </c>
      <c r="AY93">
        <v>13.3888466666667</v>
      </c>
      <c r="AZ93">
        <v>12.5963666666667</v>
      </c>
      <c r="BA93">
        <v>99.999666666666698</v>
      </c>
      <c r="BB93">
        <v>0.9001268</v>
      </c>
      <c r="BC93">
        <v>0</v>
      </c>
      <c r="BD93">
        <v>9.9873213333333294E-2</v>
      </c>
      <c r="BE93">
        <v>0</v>
      </c>
      <c r="BF93">
        <v>24.666699999999999</v>
      </c>
      <c r="BG93">
        <v>1648.93466666667</v>
      </c>
      <c r="BH93">
        <v>1769195835.0999999</v>
      </c>
      <c r="BI93" t="s">
        <v>440</v>
      </c>
      <c r="BJ93">
        <v>1769195835.0999999</v>
      </c>
      <c r="BK93">
        <v>1769195834.0999999</v>
      </c>
      <c r="BL93">
        <v>3</v>
      </c>
      <c r="BM93">
        <v>2.1999999999999999E-2</v>
      </c>
      <c r="BN93">
        <v>1E-3</v>
      </c>
      <c r="BO93">
        <v>-0.82099999999999995</v>
      </c>
      <c r="BP93">
        <v>9.1999999999999998E-2</v>
      </c>
      <c r="BQ93">
        <v>410</v>
      </c>
      <c r="BR93">
        <v>15</v>
      </c>
      <c r="BS93">
        <v>0.22</v>
      </c>
      <c r="BT93">
        <v>0.09</v>
      </c>
      <c r="BU93">
        <v>-0.22534023809523801</v>
      </c>
      <c r="BV93">
        <v>3.4008000000000399E-2</v>
      </c>
      <c r="BW93">
        <v>1.55554288422763E-2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0.77759180952381002</v>
      </c>
      <c r="CD93">
        <v>1.20667012987024E-2</v>
      </c>
      <c r="CE93">
        <v>3.6020817739990298E-3</v>
      </c>
      <c r="CF93">
        <v>1</v>
      </c>
      <c r="CG93">
        <v>2</v>
      </c>
      <c r="CH93">
        <v>2</v>
      </c>
      <c r="CI93" t="s">
        <v>304</v>
      </c>
      <c r="CJ93">
        <v>3.53254</v>
      </c>
      <c r="CK93">
        <v>2.7024400000000002</v>
      </c>
      <c r="CL93">
        <v>9.7891699999999998E-2</v>
      </c>
      <c r="CM93">
        <v>9.6584500000000004E-2</v>
      </c>
      <c r="CN93">
        <v>8.7086899999999995E-2</v>
      </c>
      <c r="CO93">
        <v>8.2871200000000006E-2</v>
      </c>
      <c r="CP93">
        <v>31625.599999999999</v>
      </c>
      <c r="CQ93">
        <v>27804.400000000001</v>
      </c>
      <c r="CR93">
        <v>32447.5</v>
      </c>
      <c r="CS93">
        <v>30704.6</v>
      </c>
      <c r="CT93">
        <v>40114.199999999997</v>
      </c>
      <c r="CU93">
        <v>39601</v>
      </c>
      <c r="CV93">
        <v>47391.199999999997</v>
      </c>
      <c r="CW93">
        <v>46828.6</v>
      </c>
      <c r="CX93">
        <v>2.6205799999999999</v>
      </c>
      <c r="CY93">
        <v>2.1254599999999999</v>
      </c>
      <c r="CZ93">
        <v>0</v>
      </c>
      <c r="DA93">
        <v>0</v>
      </c>
      <c r="DB93">
        <v>999.9</v>
      </c>
      <c r="DC93">
        <v>999.9</v>
      </c>
      <c r="DD93">
        <v>55.054000000000002</v>
      </c>
      <c r="DE93">
        <v>27.492999999999999</v>
      </c>
      <c r="DF93">
        <v>20.258099999999999</v>
      </c>
      <c r="DG93">
        <v>30.196400000000001</v>
      </c>
      <c r="DH93">
        <v>16.342099999999999</v>
      </c>
      <c r="DI93">
        <v>2</v>
      </c>
      <c r="DJ93">
        <v>-0.107575</v>
      </c>
      <c r="DK93">
        <v>2.1742900000000001</v>
      </c>
      <c r="DL93">
        <v>20.230799999999999</v>
      </c>
      <c r="DM93">
        <v>5.2508299999999997</v>
      </c>
      <c r="DN93">
        <v>12.033899999999999</v>
      </c>
      <c r="DO93">
        <v>4.9674800000000001</v>
      </c>
      <c r="DP93">
        <v>3.2909999999999999</v>
      </c>
      <c r="DQ93">
        <v>536.4</v>
      </c>
      <c r="DR93">
        <v>9999</v>
      </c>
      <c r="DS93">
        <v>9999</v>
      </c>
      <c r="DT93">
        <v>9999</v>
      </c>
      <c r="DU93">
        <v>1.8710599999999999</v>
      </c>
      <c r="DV93">
        <v>1.8761099999999999</v>
      </c>
      <c r="DW93">
        <v>1.87626</v>
      </c>
      <c r="DX93">
        <v>1.8827799999999999</v>
      </c>
      <c r="DY93">
        <v>1.8755900000000001</v>
      </c>
      <c r="DZ93">
        <v>1.8746499999999999</v>
      </c>
      <c r="EA93">
        <v>1.87079</v>
      </c>
      <c r="EB93">
        <v>1.8745700000000001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-0.82</v>
      </c>
      <c r="EQ93">
        <v>9.1899999999999996E-2</v>
      </c>
      <c r="ER93">
        <v>-0.820799999999963</v>
      </c>
      <c r="ES93">
        <v>0</v>
      </c>
      <c r="ET93">
        <v>0</v>
      </c>
      <c r="EU93">
        <v>0</v>
      </c>
      <c r="EV93">
        <v>9.1945454545454594E-2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1.3</v>
      </c>
      <c r="FE93">
        <v>1.3</v>
      </c>
      <c r="FF93">
        <v>1.2402299999999999</v>
      </c>
      <c r="FG93">
        <v>2.5878899999999998</v>
      </c>
      <c r="FH93">
        <v>2.19604</v>
      </c>
      <c r="FI93">
        <v>2.66235</v>
      </c>
      <c r="FJ93">
        <v>2.4462899999999999</v>
      </c>
      <c r="FK93">
        <v>2.2997999999999998</v>
      </c>
      <c r="FL93">
        <v>32.046399999999998</v>
      </c>
      <c r="FM93">
        <v>24.148800000000001</v>
      </c>
      <c r="FN93">
        <v>19</v>
      </c>
      <c r="FO93">
        <v>865.20600000000002</v>
      </c>
      <c r="FP93">
        <v>574.13499999999999</v>
      </c>
      <c r="FQ93">
        <v>18.2911</v>
      </c>
      <c r="FR93">
        <v>25.630099999999999</v>
      </c>
      <c r="FS93">
        <v>29.9999</v>
      </c>
      <c r="FT93">
        <v>25.624600000000001</v>
      </c>
      <c r="FU93">
        <v>25.6252</v>
      </c>
      <c r="FV93">
        <v>24.895499999999998</v>
      </c>
      <c r="FW93">
        <v>29.9391</v>
      </c>
      <c r="FX93">
        <v>12.709099999999999</v>
      </c>
      <c r="FY93">
        <v>18.293500000000002</v>
      </c>
      <c r="FZ93">
        <v>410</v>
      </c>
      <c r="GA93">
        <v>14.6591</v>
      </c>
      <c r="GB93">
        <v>99.856300000000005</v>
      </c>
      <c r="GC93">
        <v>99.685500000000005</v>
      </c>
    </row>
    <row r="94" spans="1:185" x14ac:dyDescent="0.2">
      <c r="A94">
        <v>79</v>
      </c>
      <c r="B94">
        <v>1769195927.0999999</v>
      </c>
      <c r="C94">
        <v>1366.0999999046301</v>
      </c>
      <c r="D94" t="s">
        <v>453</v>
      </c>
      <c r="E94" t="s">
        <v>454</v>
      </c>
      <c r="F94">
        <v>15</v>
      </c>
      <c r="G94">
        <v>1769195919.03333</v>
      </c>
      <c r="H94">
        <f t="shared" si="13"/>
        <v>6.3795350505012609E-4</v>
      </c>
      <c r="I94">
        <v>0</v>
      </c>
      <c r="J94">
        <f t="shared" si="25"/>
        <v>-2.267935146080259E-3</v>
      </c>
      <c r="K94">
        <f t="shared" si="14"/>
        <v>-8.4511922357117089E-2</v>
      </c>
      <c r="L94">
        <f t="shared" si="15"/>
        <v>69.920980922621482</v>
      </c>
      <c r="M94">
        <f t="shared" si="16"/>
        <v>1.5417773431690218</v>
      </c>
      <c r="N94">
        <f t="shared" si="17"/>
        <v>2.205028194434572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26246.966531134371</v>
      </c>
      <c r="T94">
        <f t="shared" si="21"/>
        <v>100.000053333333</v>
      </c>
      <c r="U94">
        <f t="shared" si="22"/>
        <v>84.299668599798935</v>
      </c>
      <c r="V94">
        <f t="shared" si="23"/>
        <v>0.84299623639999943</v>
      </c>
      <c r="W94">
        <f t="shared" si="24"/>
        <v>0.15869061698399992</v>
      </c>
      <c r="X94">
        <v>1</v>
      </c>
      <c r="Y94">
        <v>1769195919.03333</v>
      </c>
      <c r="Z94">
        <v>409.77800000000002</v>
      </c>
      <c r="AA94">
        <v>409.99913333333302</v>
      </c>
      <c r="AB94">
        <v>15.38922</v>
      </c>
      <c r="AC94">
        <v>14.604053333333299</v>
      </c>
      <c r="AD94">
        <v>410.59893333333298</v>
      </c>
      <c r="AE94">
        <v>15.297280000000001</v>
      </c>
      <c r="AF94">
        <v>800.00326666666695</v>
      </c>
      <c r="AG94">
        <v>100.12106666666701</v>
      </c>
      <c r="AH94">
        <v>6.4475106666666698E-2</v>
      </c>
      <c r="AI94">
        <v>18.998893333333299</v>
      </c>
      <c r="AJ94">
        <v>999.9</v>
      </c>
      <c r="AK94">
        <v>999.9</v>
      </c>
      <c r="AL94">
        <v>0</v>
      </c>
      <c r="AM94">
        <v>0</v>
      </c>
      <c r="AN94">
        <v>4998.8333333333303</v>
      </c>
      <c r="AO94">
        <v>0</v>
      </c>
      <c r="AP94">
        <v>1.7502500000000001</v>
      </c>
      <c r="AQ94">
        <v>-0.22116893333333301</v>
      </c>
      <c r="AR94">
        <v>416.18273333333298</v>
      </c>
      <c r="AS94">
        <v>416.07580000000002</v>
      </c>
      <c r="AT94">
        <v>0.78517586666666594</v>
      </c>
      <c r="AU94">
        <v>409.99913333333302</v>
      </c>
      <c r="AV94">
        <v>14.604053333333299</v>
      </c>
      <c r="AW94">
        <v>1.54078466666667</v>
      </c>
      <c r="AX94">
        <v>1.4621740000000001</v>
      </c>
      <c r="AY94">
        <v>13.379013333333299</v>
      </c>
      <c r="AZ94">
        <v>12.5782333333333</v>
      </c>
      <c r="BA94">
        <v>100.000053333333</v>
      </c>
      <c r="BB94">
        <v>0.90012506666666603</v>
      </c>
      <c r="BC94">
        <v>0</v>
      </c>
      <c r="BD94">
        <v>9.9874920000000006E-2</v>
      </c>
      <c r="BE94">
        <v>0</v>
      </c>
      <c r="BF94">
        <v>24.666699999999999</v>
      </c>
      <c r="BG94">
        <v>1648.94066666667</v>
      </c>
      <c r="BH94">
        <v>1769195835.0999999</v>
      </c>
      <c r="BI94" t="s">
        <v>440</v>
      </c>
      <c r="BJ94">
        <v>1769195835.0999999</v>
      </c>
      <c r="BK94">
        <v>1769195834.0999999</v>
      </c>
      <c r="BL94">
        <v>3</v>
      </c>
      <c r="BM94">
        <v>2.1999999999999999E-2</v>
      </c>
      <c r="BN94">
        <v>1E-3</v>
      </c>
      <c r="BO94">
        <v>-0.82099999999999995</v>
      </c>
      <c r="BP94">
        <v>9.1999999999999998E-2</v>
      </c>
      <c r="BQ94">
        <v>410</v>
      </c>
      <c r="BR94">
        <v>15</v>
      </c>
      <c r="BS94">
        <v>0.22</v>
      </c>
      <c r="BT94">
        <v>0.09</v>
      </c>
      <c r="BU94">
        <v>-0.22041469999999999</v>
      </c>
      <c r="BV94">
        <v>0.116765413533834</v>
      </c>
      <c r="BW94">
        <v>2.93611937974259E-2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0.78440600000000005</v>
      </c>
      <c r="CD94">
        <v>4.21010526315689E-3</v>
      </c>
      <c r="CE94">
        <v>3.0581951703578399E-3</v>
      </c>
      <c r="CF94">
        <v>1</v>
      </c>
      <c r="CG94">
        <v>2</v>
      </c>
      <c r="CH94">
        <v>2</v>
      </c>
      <c r="CI94" t="s">
        <v>304</v>
      </c>
      <c r="CJ94">
        <v>3.5324499999999999</v>
      </c>
      <c r="CK94">
        <v>2.70234</v>
      </c>
      <c r="CL94">
        <v>9.7896700000000003E-2</v>
      </c>
      <c r="CM94">
        <v>9.6574999999999994E-2</v>
      </c>
      <c r="CN94">
        <v>8.7057099999999998E-2</v>
      </c>
      <c r="CO94">
        <v>8.2841700000000004E-2</v>
      </c>
      <c r="CP94">
        <v>31624.7</v>
      </c>
      <c r="CQ94">
        <v>27804.9</v>
      </c>
      <c r="CR94">
        <v>32446.7</v>
      </c>
      <c r="CS94">
        <v>30704.799999999999</v>
      </c>
      <c r="CT94">
        <v>40114.5</v>
      </c>
      <c r="CU94">
        <v>39602.699999999997</v>
      </c>
      <c r="CV94">
        <v>47389.9</v>
      </c>
      <c r="CW94">
        <v>46829.1</v>
      </c>
      <c r="CX94">
        <v>2.6204399999999999</v>
      </c>
      <c r="CY94">
        <v>2.1255600000000001</v>
      </c>
      <c r="CZ94">
        <v>0</v>
      </c>
      <c r="DA94">
        <v>0</v>
      </c>
      <c r="DB94">
        <v>999.9</v>
      </c>
      <c r="DC94">
        <v>999.9</v>
      </c>
      <c r="DD94">
        <v>54.981000000000002</v>
      </c>
      <c r="DE94">
        <v>27.513000000000002</v>
      </c>
      <c r="DF94">
        <v>20.255800000000001</v>
      </c>
      <c r="DG94">
        <v>30.316400000000002</v>
      </c>
      <c r="DH94">
        <v>16.410299999999999</v>
      </c>
      <c r="DI94">
        <v>2</v>
      </c>
      <c r="DJ94">
        <v>-0.107514</v>
      </c>
      <c r="DK94">
        <v>2.1663399999999999</v>
      </c>
      <c r="DL94">
        <v>20.231200000000001</v>
      </c>
      <c r="DM94">
        <v>5.2503500000000001</v>
      </c>
      <c r="DN94">
        <v>12.033899999999999</v>
      </c>
      <c r="DO94">
        <v>4.9674800000000001</v>
      </c>
      <c r="DP94">
        <v>3.2909999999999999</v>
      </c>
      <c r="DQ94">
        <v>536.4</v>
      </c>
      <c r="DR94">
        <v>9999</v>
      </c>
      <c r="DS94">
        <v>9999</v>
      </c>
      <c r="DT94">
        <v>9999</v>
      </c>
      <c r="DU94">
        <v>1.8710500000000001</v>
      </c>
      <c r="DV94">
        <v>1.87609</v>
      </c>
      <c r="DW94">
        <v>1.8762799999999999</v>
      </c>
      <c r="DX94">
        <v>1.8827799999999999</v>
      </c>
      <c r="DY94">
        <v>1.8755999999999999</v>
      </c>
      <c r="DZ94">
        <v>1.87466</v>
      </c>
      <c r="EA94">
        <v>1.8707800000000001</v>
      </c>
      <c r="EB94">
        <v>1.87463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-0.82099999999999995</v>
      </c>
      <c r="EQ94">
        <v>9.1899999999999996E-2</v>
      </c>
      <c r="ER94">
        <v>-0.820799999999963</v>
      </c>
      <c r="ES94">
        <v>0</v>
      </c>
      <c r="ET94">
        <v>0</v>
      </c>
      <c r="EU94">
        <v>0</v>
      </c>
      <c r="EV94">
        <v>9.1945454545454594E-2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1.5</v>
      </c>
      <c r="FE94">
        <v>1.6</v>
      </c>
      <c r="FF94">
        <v>1.2402299999999999</v>
      </c>
      <c r="FG94">
        <v>2.5903299999999998</v>
      </c>
      <c r="FH94">
        <v>2.19604</v>
      </c>
      <c r="FI94">
        <v>2.66235</v>
      </c>
      <c r="FJ94">
        <v>2.4462899999999999</v>
      </c>
      <c r="FK94">
        <v>2.2741699999999998</v>
      </c>
      <c r="FL94">
        <v>32.068399999999997</v>
      </c>
      <c r="FM94">
        <v>24.148800000000001</v>
      </c>
      <c r="FN94">
        <v>19</v>
      </c>
      <c r="FO94">
        <v>865.07600000000002</v>
      </c>
      <c r="FP94">
        <v>574.21199999999999</v>
      </c>
      <c r="FQ94">
        <v>18.2943</v>
      </c>
      <c r="FR94">
        <v>25.630099999999999</v>
      </c>
      <c r="FS94">
        <v>30</v>
      </c>
      <c r="FT94">
        <v>25.624600000000001</v>
      </c>
      <c r="FU94">
        <v>25.6252</v>
      </c>
      <c r="FV94">
        <v>24.895499999999998</v>
      </c>
      <c r="FW94">
        <v>29.9391</v>
      </c>
      <c r="FX94">
        <v>12.3309</v>
      </c>
      <c r="FY94">
        <v>18.295000000000002</v>
      </c>
      <c r="FZ94">
        <v>410</v>
      </c>
      <c r="GA94">
        <v>14.6591</v>
      </c>
      <c r="GB94">
        <v>99.853700000000003</v>
      </c>
      <c r="GC94">
        <v>99.686400000000006</v>
      </c>
    </row>
    <row r="95" spans="1:185" x14ac:dyDescent="0.2">
      <c r="A95">
        <v>80</v>
      </c>
      <c r="B95">
        <v>1769195942.0999999</v>
      </c>
      <c r="C95">
        <v>1381.0999999046301</v>
      </c>
      <c r="D95" t="s">
        <v>455</v>
      </c>
      <c r="E95" t="s">
        <v>456</v>
      </c>
      <c r="F95">
        <v>15</v>
      </c>
      <c r="G95">
        <v>1769195934.03333</v>
      </c>
      <c r="H95">
        <f t="shared" si="13"/>
        <v>6.2895924604935657E-4</v>
      </c>
      <c r="I95">
        <v>0</v>
      </c>
      <c r="J95">
        <f t="shared" si="25"/>
        <v>-2.3734481502934715E-3</v>
      </c>
      <c r="K95">
        <f t="shared" si="14"/>
        <v>-8.8443739735204321E-2</v>
      </c>
      <c r="L95">
        <f t="shared" si="15"/>
        <v>69.882546069322245</v>
      </c>
      <c r="M95">
        <f t="shared" si="16"/>
        <v>1.5409920278539049</v>
      </c>
      <c r="N95">
        <f t="shared" si="17"/>
        <v>2.2051171780794423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26288.624971858717</v>
      </c>
      <c r="T95">
        <f t="shared" si="21"/>
        <v>100.00114000000001</v>
      </c>
      <c r="U95">
        <f t="shared" si="22"/>
        <v>84.300580495662075</v>
      </c>
      <c r="V95">
        <f t="shared" si="23"/>
        <v>0.84299619479999999</v>
      </c>
      <c r="W95">
        <f t="shared" si="24"/>
        <v>0.158690409048</v>
      </c>
      <c r="X95">
        <v>1</v>
      </c>
      <c r="Y95">
        <v>1769195934.03333</v>
      </c>
      <c r="Z95">
        <v>409.76440000000002</v>
      </c>
      <c r="AA95">
        <v>409.976</v>
      </c>
      <c r="AB95">
        <v>15.381346666666699</v>
      </c>
      <c r="AC95">
        <v>14.6072466666667</v>
      </c>
      <c r="AD95">
        <v>410.58533333333298</v>
      </c>
      <c r="AE95">
        <v>15.2894066666667</v>
      </c>
      <c r="AF95">
        <v>800.00646666666705</v>
      </c>
      <c r="AG95">
        <v>100.1212</v>
      </c>
      <c r="AH95">
        <v>6.4567946666666695E-2</v>
      </c>
      <c r="AI95">
        <v>18.99954</v>
      </c>
      <c r="AJ95">
        <v>999.9</v>
      </c>
      <c r="AK95">
        <v>999.9</v>
      </c>
      <c r="AL95">
        <v>0</v>
      </c>
      <c r="AM95">
        <v>0</v>
      </c>
      <c r="AN95">
        <v>5005.7</v>
      </c>
      <c r="AO95">
        <v>0</v>
      </c>
      <c r="AP95">
        <v>1.7502500000000001</v>
      </c>
      <c r="AQ95">
        <v>-0.211549866666667</v>
      </c>
      <c r="AR95">
        <v>416.16553333333297</v>
      </c>
      <c r="AS95">
        <v>416.05346666666702</v>
      </c>
      <c r="AT95">
        <v>0.77410673333333302</v>
      </c>
      <c r="AU95">
        <v>409.976</v>
      </c>
      <c r="AV95">
        <v>14.6072466666667</v>
      </c>
      <c r="AW95">
        <v>1.5399993333333299</v>
      </c>
      <c r="AX95">
        <v>1.4624953333333299</v>
      </c>
      <c r="AY95">
        <v>13.3711866666667</v>
      </c>
      <c r="AZ95">
        <v>12.5815933333333</v>
      </c>
      <c r="BA95">
        <v>100.00114000000001</v>
      </c>
      <c r="BB95">
        <v>0.90012800000000004</v>
      </c>
      <c r="BC95">
        <v>0</v>
      </c>
      <c r="BD95">
        <v>9.9872039999999995E-2</v>
      </c>
      <c r="BE95">
        <v>0</v>
      </c>
      <c r="BF95">
        <v>24.666699999999999</v>
      </c>
      <c r="BG95">
        <v>1648.9573333333301</v>
      </c>
      <c r="BH95">
        <v>1769195835.0999999</v>
      </c>
      <c r="BI95" t="s">
        <v>440</v>
      </c>
      <c r="BJ95">
        <v>1769195835.0999999</v>
      </c>
      <c r="BK95">
        <v>1769195834.0999999</v>
      </c>
      <c r="BL95">
        <v>3</v>
      </c>
      <c r="BM95">
        <v>2.1999999999999999E-2</v>
      </c>
      <c r="BN95">
        <v>1E-3</v>
      </c>
      <c r="BO95">
        <v>-0.82099999999999995</v>
      </c>
      <c r="BP95">
        <v>9.1999999999999998E-2</v>
      </c>
      <c r="BQ95">
        <v>410</v>
      </c>
      <c r="BR95">
        <v>15</v>
      </c>
      <c r="BS95">
        <v>0.22</v>
      </c>
      <c r="BT95">
        <v>0.09</v>
      </c>
      <c r="BU95">
        <v>-0.208747428571429</v>
      </c>
      <c r="BV95">
        <v>-3.7058415584415597E-2</v>
      </c>
      <c r="BW95">
        <v>2.4004335544054602E-2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0.776924476190476</v>
      </c>
      <c r="CD95">
        <v>-0.10940376623376601</v>
      </c>
      <c r="CE95">
        <v>1.46271500027112E-2</v>
      </c>
      <c r="CF95">
        <v>0</v>
      </c>
      <c r="CG95">
        <v>1</v>
      </c>
      <c r="CH95">
        <v>2</v>
      </c>
      <c r="CI95" t="s">
        <v>297</v>
      </c>
      <c r="CJ95">
        <v>3.5325600000000001</v>
      </c>
      <c r="CK95">
        <v>2.7023100000000002</v>
      </c>
      <c r="CL95">
        <v>9.7892599999999996E-2</v>
      </c>
      <c r="CM95">
        <v>9.6583000000000002E-2</v>
      </c>
      <c r="CN95">
        <v>8.7034399999999998E-2</v>
      </c>
      <c r="CO95">
        <v>8.2955000000000001E-2</v>
      </c>
      <c r="CP95">
        <v>31624.6</v>
      </c>
      <c r="CQ95">
        <v>27804.799999999999</v>
      </c>
      <c r="CR95">
        <v>32446.5</v>
      </c>
      <c r="CS95">
        <v>30705</v>
      </c>
      <c r="CT95">
        <v>40115.199999999997</v>
      </c>
      <c r="CU95">
        <v>39597.300000000003</v>
      </c>
      <c r="CV95">
        <v>47389.599999999999</v>
      </c>
      <c r="CW95">
        <v>46828.7</v>
      </c>
      <c r="CX95">
        <v>2.6206999999999998</v>
      </c>
      <c r="CY95">
        <v>2.12554</v>
      </c>
      <c r="CZ95">
        <v>0</v>
      </c>
      <c r="DA95">
        <v>0</v>
      </c>
      <c r="DB95">
        <v>999.9</v>
      </c>
      <c r="DC95">
        <v>999.9</v>
      </c>
      <c r="DD95">
        <v>54.883000000000003</v>
      </c>
      <c r="DE95">
        <v>27.513000000000002</v>
      </c>
      <c r="DF95">
        <v>20.217500000000001</v>
      </c>
      <c r="DG95">
        <v>30.3764</v>
      </c>
      <c r="DH95">
        <v>16.306100000000001</v>
      </c>
      <c r="DI95">
        <v>2</v>
      </c>
      <c r="DJ95">
        <v>-0.10759100000000001</v>
      </c>
      <c r="DK95">
        <v>2.16906</v>
      </c>
      <c r="DL95">
        <v>20.230899999999998</v>
      </c>
      <c r="DM95">
        <v>5.2498800000000001</v>
      </c>
      <c r="DN95">
        <v>12.033899999999999</v>
      </c>
      <c r="DO95">
        <v>4.9673999999999996</v>
      </c>
      <c r="DP95">
        <v>3.2909999999999999</v>
      </c>
      <c r="DQ95">
        <v>536.4</v>
      </c>
      <c r="DR95">
        <v>9999</v>
      </c>
      <c r="DS95">
        <v>9999</v>
      </c>
      <c r="DT95">
        <v>9999</v>
      </c>
      <c r="DU95">
        <v>1.87104</v>
      </c>
      <c r="DV95">
        <v>1.87609</v>
      </c>
      <c r="DW95">
        <v>1.8762799999999999</v>
      </c>
      <c r="DX95">
        <v>1.8827799999999999</v>
      </c>
      <c r="DY95">
        <v>1.87558</v>
      </c>
      <c r="DZ95">
        <v>1.8746499999999999</v>
      </c>
      <c r="EA95">
        <v>1.87076</v>
      </c>
      <c r="EB95">
        <v>1.8745700000000001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-0.82099999999999995</v>
      </c>
      <c r="EQ95">
        <v>9.1899999999999996E-2</v>
      </c>
      <c r="ER95">
        <v>-0.820799999999963</v>
      </c>
      <c r="ES95">
        <v>0</v>
      </c>
      <c r="ET95">
        <v>0</v>
      </c>
      <c r="EU95">
        <v>0</v>
      </c>
      <c r="EV95">
        <v>9.1945454545454594E-2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1.8</v>
      </c>
      <c r="FE95">
        <v>1.8</v>
      </c>
      <c r="FF95">
        <v>1.2402299999999999</v>
      </c>
      <c r="FG95">
        <v>2.5927699999999998</v>
      </c>
      <c r="FH95">
        <v>2.19604</v>
      </c>
      <c r="FI95">
        <v>2.66235</v>
      </c>
      <c r="FJ95">
        <v>2.4462899999999999</v>
      </c>
      <c r="FK95">
        <v>2.3120099999999999</v>
      </c>
      <c r="FL95">
        <v>32.068399999999997</v>
      </c>
      <c r="FM95">
        <v>24.157499999999999</v>
      </c>
      <c r="FN95">
        <v>19</v>
      </c>
      <c r="FO95">
        <v>865.31799999999998</v>
      </c>
      <c r="FP95">
        <v>574.19600000000003</v>
      </c>
      <c r="FQ95">
        <v>18.295999999999999</v>
      </c>
      <c r="FR95">
        <v>25.630099999999999</v>
      </c>
      <c r="FS95">
        <v>30</v>
      </c>
      <c r="FT95">
        <v>25.624600000000001</v>
      </c>
      <c r="FU95">
        <v>25.6252</v>
      </c>
      <c r="FV95">
        <v>24.897300000000001</v>
      </c>
      <c r="FW95">
        <v>29.668299999999999</v>
      </c>
      <c r="FX95">
        <v>12.3309</v>
      </c>
      <c r="FY95">
        <v>18.296099999999999</v>
      </c>
      <c r="FZ95">
        <v>410</v>
      </c>
      <c r="GA95">
        <v>14.6592</v>
      </c>
      <c r="GB95">
        <v>99.852999999999994</v>
      </c>
      <c r="GC95">
        <v>99.686099999999996</v>
      </c>
    </row>
    <row r="96" spans="1:185" x14ac:dyDescent="0.2">
      <c r="A96">
        <v>81</v>
      </c>
      <c r="B96">
        <v>1769195957.0999999</v>
      </c>
      <c r="C96">
        <v>1396.0999999046301</v>
      </c>
      <c r="D96" t="s">
        <v>457</v>
      </c>
      <c r="E96" t="s">
        <v>458</v>
      </c>
      <c r="F96">
        <v>15</v>
      </c>
      <c r="G96">
        <v>1769195949.03333</v>
      </c>
      <c r="H96">
        <f t="shared" si="13"/>
        <v>6.2399008347597238E-4</v>
      </c>
      <c r="I96">
        <v>0</v>
      </c>
      <c r="J96">
        <f t="shared" si="25"/>
        <v>-1.8179238944887319E-3</v>
      </c>
      <c r="K96">
        <f t="shared" si="14"/>
        <v>-6.7742785012046669E-2</v>
      </c>
      <c r="L96">
        <f t="shared" si="15"/>
        <v>69.900597218388683</v>
      </c>
      <c r="M96">
        <f t="shared" si="16"/>
        <v>1.541391359342233</v>
      </c>
      <c r="N96">
        <f t="shared" si="17"/>
        <v>2.20511901282689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26213.218624818408</v>
      </c>
      <c r="T96">
        <f t="shared" si="21"/>
        <v>99.998453333333302</v>
      </c>
      <c r="U96">
        <f t="shared" si="22"/>
        <v>84.298350365348327</v>
      </c>
      <c r="V96">
        <f t="shared" si="23"/>
        <v>0.84299654199999974</v>
      </c>
      <c r="W96">
        <f t="shared" si="24"/>
        <v>0.15869109515999996</v>
      </c>
      <c r="X96">
        <v>1</v>
      </c>
      <c r="Y96">
        <v>1769195949.03333</v>
      </c>
      <c r="Z96">
        <v>409.76560000000001</v>
      </c>
      <c r="AA96">
        <v>410.00053333333301</v>
      </c>
      <c r="AB96">
        <v>15.3849133333333</v>
      </c>
      <c r="AC96">
        <v>14.6169266666667</v>
      </c>
      <c r="AD96">
        <v>410.58640000000003</v>
      </c>
      <c r="AE96">
        <v>15.2929266666667</v>
      </c>
      <c r="AF96">
        <v>800.00093333333302</v>
      </c>
      <c r="AG96">
        <v>100.1238</v>
      </c>
      <c r="AH96">
        <v>6.4698039999999998E-2</v>
      </c>
      <c r="AI96">
        <v>18.999553333333299</v>
      </c>
      <c r="AJ96">
        <v>999.9</v>
      </c>
      <c r="AK96">
        <v>999.9</v>
      </c>
      <c r="AL96">
        <v>0</v>
      </c>
      <c r="AM96">
        <v>0</v>
      </c>
      <c r="AN96">
        <v>4993.1666666666697</v>
      </c>
      <c r="AO96">
        <v>0</v>
      </c>
      <c r="AP96">
        <v>1.7502500000000001</v>
      </c>
      <c r="AQ96">
        <v>-0.23487959999999999</v>
      </c>
      <c r="AR96">
        <v>416.16826666666702</v>
      </c>
      <c r="AS96">
        <v>416.0822</v>
      </c>
      <c r="AT96">
        <v>0.76797333333333295</v>
      </c>
      <c r="AU96">
        <v>410.00053333333301</v>
      </c>
      <c r="AV96">
        <v>14.6169266666667</v>
      </c>
      <c r="AW96">
        <v>1.54039533333333</v>
      </c>
      <c r="AX96">
        <v>1.4635026666666699</v>
      </c>
      <c r="AY96">
        <v>13.375120000000001</v>
      </c>
      <c r="AZ96">
        <v>12.592079999999999</v>
      </c>
      <c r="BA96">
        <v>99.998453333333302</v>
      </c>
      <c r="BB96">
        <v>0.90011913333333304</v>
      </c>
      <c r="BC96">
        <v>0</v>
      </c>
      <c r="BD96">
        <v>9.9880999999999998E-2</v>
      </c>
      <c r="BE96">
        <v>0</v>
      </c>
      <c r="BF96">
        <v>24.666699999999999</v>
      </c>
      <c r="BG96">
        <v>1648.91133333333</v>
      </c>
      <c r="BH96">
        <v>1769195835.0999999</v>
      </c>
      <c r="BI96" t="s">
        <v>440</v>
      </c>
      <c r="BJ96">
        <v>1769195835.0999999</v>
      </c>
      <c r="BK96">
        <v>1769195834.0999999</v>
      </c>
      <c r="BL96">
        <v>3</v>
      </c>
      <c r="BM96">
        <v>2.1999999999999999E-2</v>
      </c>
      <c r="BN96">
        <v>1E-3</v>
      </c>
      <c r="BO96">
        <v>-0.82099999999999995</v>
      </c>
      <c r="BP96">
        <v>9.1999999999999998E-2</v>
      </c>
      <c r="BQ96">
        <v>410</v>
      </c>
      <c r="BR96">
        <v>15</v>
      </c>
      <c r="BS96">
        <v>0.22</v>
      </c>
      <c r="BT96">
        <v>0.09</v>
      </c>
      <c r="BU96">
        <v>-0.2310593</v>
      </c>
      <c r="BV96">
        <v>-9.7848631578947395E-2</v>
      </c>
      <c r="BW96">
        <v>2.44308724549493E-2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0.76471495</v>
      </c>
      <c r="CD96">
        <v>8.3502721804511001E-2</v>
      </c>
      <c r="CE96">
        <v>8.6480029687494991E-3</v>
      </c>
      <c r="CF96">
        <v>1</v>
      </c>
      <c r="CG96">
        <v>2</v>
      </c>
      <c r="CH96">
        <v>2</v>
      </c>
      <c r="CI96" t="s">
        <v>304</v>
      </c>
      <c r="CJ96">
        <v>3.5325099999999998</v>
      </c>
      <c r="CK96">
        <v>2.7025700000000001</v>
      </c>
      <c r="CL96">
        <v>9.7898299999999994E-2</v>
      </c>
      <c r="CM96">
        <v>9.6587800000000001E-2</v>
      </c>
      <c r="CN96">
        <v>8.70369E-2</v>
      </c>
      <c r="CO96">
        <v>8.2889099999999993E-2</v>
      </c>
      <c r="CP96">
        <v>31625.5</v>
      </c>
      <c r="CQ96">
        <v>27804.7</v>
      </c>
      <c r="CR96">
        <v>32447.599999999999</v>
      </c>
      <c r="CS96">
        <v>30705</v>
      </c>
      <c r="CT96">
        <v>40116.400000000001</v>
      </c>
      <c r="CU96">
        <v>39600.699999999997</v>
      </c>
      <c r="CV96">
        <v>47391.1</v>
      </c>
      <c r="CW96">
        <v>46829.2</v>
      </c>
      <c r="CX96">
        <v>2.6206399999999999</v>
      </c>
      <c r="CY96">
        <v>2.1254400000000002</v>
      </c>
      <c r="CZ96">
        <v>0</v>
      </c>
      <c r="DA96">
        <v>0</v>
      </c>
      <c r="DB96">
        <v>999.9</v>
      </c>
      <c r="DC96">
        <v>999.9</v>
      </c>
      <c r="DD96">
        <v>54.81</v>
      </c>
      <c r="DE96">
        <v>27.513000000000002</v>
      </c>
      <c r="DF96">
        <v>20.192699999999999</v>
      </c>
      <c r="DG96">
        <v>30.586400000000001</v>
      </c>
      <c r="DH96">
        <v>16.330100000000002</v>
      </c>
      <c r="DI96">
        <v>2</v>
      </c>
      <c r="DJ96">
        <v>-0.107768</v>
      </c>
      <c r="DK96">
        <v>2.1768100000000001</v>
      </c>
      <c r="DL96">
        <v>20.230799999999999</v>
      </c>
      <c r="DM96">
        <v>5.2505899999999999</v>
      </c>
      <c r="DN96">
        <v>12.033899999999999</v>
      </c>
      <c r="DO96">
        <v>4.96732</v>
      </c>
      <c r="DP96">
        <v>3.2909999999999999</v>
      </c>
      <c r="DQ96">
        <v>536.4</v>
      </c>
      <c r="DR96">
        <v>9999</v>
      </c>
      <c r="DS96">
        <v>9999</v>
      </c>
      <c r="DT96">
        <v>9999</v>
      </c>
      <c r="DU96">
        <v>1.87103</v>
      </c>
      <c r="DV96">
        <v>1.8760699999999999</v>
      </c>
      <c r="DW96">
        <v>1.87625</v>
      </c>
      <c r="DX96">
        <v>1.8827799999999999</v>
      </c>
      <c r="DY96">
        <v>1.87557</v>
      </c>
      <c r="DZ96">
        <v>1.87463</v>
      </c>
      <c r="EA96">
        <v>1.8707499999999999</v>
      </c>
      <c r="EB96">
        <v>1.87456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-0.82099999999999995</v>
      </c>
      <c r="EQ96">
        <v>9.1999999999999998E-2</v>
      </c>
      <c r="ER96">
        <v>-0.820799999999963</v>
      </c>
      <c r="ES96">
        <v>0</v>
      </c>
      <c r="ET96">
        <v>0</v>
      </c>
      <c r="EU96">
        <v>0</v>
      </c>
      <c r="EV96">
        <v>9.1945454545454594E-2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2</v>
      </c>
      <c r="FE96">
        <v>2</v>
      </c>
      <c r="FF96">
        <v>1.2402299999999999</v>
      </c>
      <c r="FG96">
        <v>2.5891099999999998</v>
      </c>
      <c r="FH96">
        <v>2.19604</v>
      </c>
      <c r="FI96">
        <v>2.66235</v>
      </c>
      <c r="FJ96">
        <v>2.4462899999999999</v>
      </c>
      <c r="FK96">
        <v>2.2949199999999998</v>
      </c>
      <c r="FL96">
        <v>32.068399999999997</v>
      </c>
      <c r="FM96">
        <v>24.148800000000001</v>
      </c>
      <c r="FN96">
        <v>19</v>
      </c>
      <c r="FO96">
        <v>865.26199999999994</v>
      </c>
      <c r="FP96">
        <v>574.12</v>
      </c>
      <c r="FQ96">
        <v>18.2974</v>
      </c>
      <c r="FR96">
        <v>25.630099999999999</v>
      </c>
      <c r="FS96">
        <v>30</v>
      </c>
      <c r="FT96">
        <v>25.624600000000001</v>
      </c>
      <c r="FU96">
        <v>25.6252</v>
      </c>
      <c r="FV96">
        <v>24.897600000000001</v>
      </c>
      <c r="FW96">
        <v>29.668299999999999</v>
      </c>
      <c r="FX96">
        <v>11.9567</v>
      </c>
      <c r="FY96">
        <v>18.295300000000001</v>
      </c>
      <c r="FZ96">
        <v>410</v>
      </c>
      <c r="GA96">
        <v>14.6592</v>
      </c>
      <c r="GB96">
        <v>99.856300000000005</v>
      </c>
      <c r="GC96">
        <v>99.686800000000005</v>
      </c>
    </row>
    <row r="97" spans="1:185" x14ac:dyDescent="0.2">
      <c r="A97">
        <v>82</v>
      </c>
      <c r="B97">
        <v>1769195972.0999999</v>
      </c>
      <c r="C97">
        <v>1411.0999999046301</v>
      </c>
      <c r="D97" t="s">
        <v>459</v>
      </c>
      <c r="E97" t="s">
        <v>460</v>
      </c>
      <c r="F97">
        <v>15</v>
      </c>
      <c r="G97">
        <v>1769195964.03333</v>
      </c>
      <c r="H97">
        <f t="shared" si="13"/>
        <v>6.3275270050328319E-4</v>
      </c>
      <c r="I97">
        <v>0</v>
      </c>
      <c r="J97">
        <f t="shared" si="25"/>
        <v>-2.5831524333605935E-3</v>
      </c>
      <c r="K97">
        <f t="shared" si="14"/>
        <v>-9.6258121958238296E-2</v>
      </c>
      <c r="L97">
        <f t="shared" si="15"/>
        <v>69.888027681910231</v>
      </c>
      <c r="M97">
        <f t="shared" si="16"/>
        <v>1.5413167963245873</v>
      </c>
      <c r="N97">
        <f t="shared" si="17"/>
        <v>2.2054089197362496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26306.842145042618</v>
      </c>
      <c r="T97">
        <f t="shared" si="21"/>
        <v>100.000646666667</v>
      </c>
      <c r="U97">
        <f t="shared" si="22"/>
        <v>84.300171337583038</v>
      </c>
      <c r="V97">
        <f t="shared" si="23"/>
        <v>0.842996262</v>
      </c>
      <c r="W97">
        <f t="shared" si="24"/>
        <v>0.15869026523999999</v>
      </c>
      <c r="X97">
        <v>1</v>
      </c>
      <c r="Y97">
        <v>1769195964.03333</v>
      </c>
      <c r="Z97">
        <v>409.79579999999999</v>
      </c>
      <c r="AA97">
        <v>409.99959999999999</v>
      </c>
      <c r="AB97">
        <v>15.384346666666699</v>
      </c>
      <c r="AC97">
        <v>14.60558</v>
      </c>
      <c r="AD97">
        <v>410.616533333333</v>
      </c>
      <c r="AE97">
        <v>15.29238</v>
      </c>
      <c r="AF97">
        <v>800.00626666666699</v>
      </c>
      <c r="AG97">
        <v>100.122733333333</v>
      </c>
      <c r="AH97">
        <v>6.4608366666666694E-2</v>
      </c>
      <c r="AI97">
        <v>19.001660000000001</v>
      </c>
      <c r="AJ97">
        <v>999.9</v>
      </c>
      <c r="AK97">
        <v>999.9</v>
      </c>
      <c r="AL97">
        <v>0</v>
      </c>
      <c r="AM97">
        <v>0</v>
      </c>
      <c r="AN97">
        <v>5008.6666666666697</v>
      </c>
      <c r="AO97">
        <v>0</v>
      </c>
      <c r="AP97">
        <v>1.7502500000000001</v>
      </c>
      <c r="AQ97">
        <v>-0.20376793333333301</v>
      </c>
      <c r="AR97">
        <v>416.19886666666702</v>
      </c>
      <c r="AS97">
        <v>416.07659999999998</v>
      </c>
      <c r="AT97">
        <v>0.77875720000000004</v>
      </c>
      <c r="AU97">
        <v>409.99959999999999</v>
      </c>
      <c r="AV97">
        <v>14.60558</v>
      </c>
      <c r="AW97">
        <v>1.540322</v>
      </c>
      <c r="AX97">
        <v>1.4623506666666699</v>
      </c>
      <c r="AY97">
        <v>13.374406666666699</v>
      </c>
      <c r="AZ97">
        <v>12.5800933333333</v>
      </c>
      <c r="BA97">
        <v>100.000646666667</v>
      </c>
      <c r="BB97">
        <v>0.9001304</v>
      </c>
      <c r="BC97">
        <v>0</v>
      </c>
      <c r="BD97">
        <v>9.9869799999999995E-2</v>
      </c>
      <c r="BE97">
        <v>0</v>
      </c>
      <c r="BF97">
        <v>24.677800000000001</v>
      </c>
      <c r="BG97">
        <v>1648.95333333333</v>
      </c>
      <c r="BH97">
        <v>1769195835.0999999</v>
      </c>
      <c r="BI97" t="s">
        <v>440</v>
      </c>
      <c r="BJ97">
        <v>1769195835.0999999</v>
      </c>
      <c r="BK97">
        <v>1769195834.0999999</v>
      </c>
      <c r="BL97">
        <v>3</v>
      </c>
      <c r="BM97">
        <v>2.1999999999999999E-2</v>
      </c>
      <c r="BN97">
        <v>1E-3</v>
      </c>
      <c r="BO97">
        <v>-0.82099999999999995</v>
      </c>
      <c r="BP97">
        <v>9.1999999999999998E-2</v>
      </c>
      <c r="BQ97">
        <v>410</v>
      </c>
      <c r="BR97">
        <v>15</v>
      </c>
      <c r="BS97">
        <v>0.22</v>
      </c>
      <c r="BT97">
        <v>0.09</v>
      </c>
      <c r="BU97">
        <v>-0.21857271428571401</v>
      </c>
      <c r="BV97">
        <v>0.17685163636363599</v>
      </c>
      <c r="BW97">
        <v>2.6967712147859299E-2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0.77757957142857204</v>
      </c>
      <c r="CD97">
        <v>3.8889506493508003E-2</v>
      </c>
      <c r="CE97">
        <v>5.0852975056616297E-3</v>
      </c>
      <c r="CF97">
        <v>1</v>
      </c>
      <c r="CG97">
        <v>2</v>
      </c>
      <c r="CH97">
        <v>2</v>
      </c>
      <c r="CI97" t="s">
        <v>304</v>
      </c>
      <c r="CJ97">
        <v>3.5325000000000002</v>
      </c>
      <c r="CK97">
        <v>2.7024300000000001</v>
      </c>
      <c r="CL97">
        <v>9.7898799999999994E-2</v>
      </c>
      <c r="CM97">
        <v>9.6585099999999993E-2</v>
      </c>
      <c r="CN97">
        <v>8.7040000000000006E-2</v>
      </c>
      <c r="CO97">
        <v>8.2814600000000002E-2</v>
      </c>
      <c r="CP97">
        <v>31624.9</v>
      </c>
      <c r="CQ97">
        <v>27804.799999999999</v>
      </c>
      <c r="CR97">
        <v>32447</v>
      </c>
      <c r="CS97">
        <v>30705.1</v>
      </c>
      <c r="CT97">
        <v>40115.699999999997</v>
      </c>
      <c r="CU97">
        <v>39604</v>
      </c>
      <c r="CV97">
        <v>47390.400000000001</v>
      </c>
      <c r="CW97">
        <v>46829.1</v>
      </c>
      <c r="CX97">
        <v>2.6206200000000002</v>
      </c>
      <c r="CY97">
        <v>2.1251799999999998</v>
      </c>
      <c r="CZ97">
        <v>0</v>
      </c>
      <c r="DA97">
        <v>0</v>
      </c>
      <c r="DB97">
        <v>999.9</v>
      </c>
      <c r="DC97">
        <v>999.9</v>
      </c>
      <c r="DD97">
        <v>54.737000000000002</v>
      </c>
      <c r="DE97">
        <v>27.523</v>
      </c>
      <c r="DF97">
        <v>20.175000000000001</v>
      </c>
      <c r="DG97">
        <v>30.016400000000001</v>
      </c>
      <c r="DH97">
        <v>16.402200000000001</v>
      </c>
      <c r="DI97">
        <v>2</v>
      </c>
      <c r="DJ97">
        <v>-0.107669</v>
      </c>
      <c r="DK97">
        <v>2.1823100000000002</v>
      </c>
      <c r="DL97">
        <v>20.230799999999999</v>
      </c>
      <c r="DM97">
        <v>5.2505899999999999</v>
      </c>
      <c r="DN97">
        <v>12.033899999999999</v>
      </c>
      <c r="DO97">
        <v>4.9672799999999997</v>
      </c>
      <c r="DP97">
        <v>3.2909999999999999</v>
      </c>
      <c r="DQ97">
        <v>536.4</v>
      </c>
      <c r="DR97">
        <v>9999</v>
      </c>
      <c r="DS97">
        <v>9999</v>
      </c>
      <c r="DT97">
        <v>9999</v>
      </c>
      <c r="DU97">
        <v>1.87103</v>
      </c>
      <c r="DV97">
        <v>1.8760699999999999</v>
      </c>
      <c r="DW97">
        <v>1.8762300000000001</v>
      </c>
      <c r="DX97">
        <v>1.8827799999999999</v>
      </c>
      <c r="DY97">
        <v>1.87554</v>
      </c>
      <c r="DZ97">
        <v>1.87459</v>
      </c>
      <c r="EA97">
        <v>1.8707400000000001</v>
      </c>
      <c r="EB97">
        <v>1.8745400000000001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-0.82099999999999995</v>
      </c>
      <c r="EQ97">
        <v>9.1999999999999998E-2</v>
      </c>
      <c r="ER97">
        <v>-0.820799999999963</v>
      </c>
      <c r="ES97">
        <v>0</v>
      </c>
      <c r="ET97">
        <v>0</v>
      </c>
      <c r="EU97">
        <v>0</v>
      </c>
      <c r="EV97">
        <v>9.1945454545454594E-2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2.2999999999999998</v>
      </c>
      <c r="FE97">
        <v>2.2999999999999998</v>
      </c>
      <c r="FF97">
        <v>1.2402299999999999</v>
      </c>
      <c r="FG97">
        <v>2.5939899999999998</v>
      </c>
      <c r="FH97">
        <v>2.19604</v>
      </c>
      <c r="FI97">
        <v>2.66113</v>
      </c>
      <c r="FJ97">
        <v>2.4462899999999999</v>
      </c>
      <c r="FK97">
        <v>2.2338900000000002</v>
      </c>
      <c r="FL97">
        <v>32.068399999999997</v>
      </c>
      <c r="FM97">
        <v>24.14</v>
      </c>
      <c r="FN97">
        <v>19</v>
      </c>
      <c r="FO97">
        <v>865.24400000000003</v>
      </c>
      <c r="FP97">
        <v>573.92100000000005</v>
      </c>
      <c r="FQ97">
        <v>18.290700000000001</v>
      </c>
      <c r="FR97">
        <v>25.6279</v>
      </c>
      <c r="FS97">
        <v>30.0001</v>
      </c>
      <c r="FT97">
        <v>25.624600000000001</v>
      </c>
      <c r="FU97">
        <v>25.6252</v>
      </c>
      <c r="FV97">
        <v>24.898599999999998</v>
      </c>
      <c r="FW97">
        <v>29.668299999999999</v>
      </c>
      <c r="FX97">
        <v>11.5764</v>
      </c>
      <c r="FY97">
        <v>18.290400000000002</v>
      </c>
      <c r="FZ97">
        <v>410</v>
      </c>
      <c r="GA97">
        <v>14.6592</v>
      </c>
      <c r="GB97">
        <v>99.854699999999994</v>
      </c>
      <c r="GC97">
        <v>99.686800000000005</v>
      </c>
    </row>
    <row r="98" spans="1:185" x14ac:dyDescent="0.2">
      <c r="A98">
        <v>83</v>
      </c>
      <c r="B98">
        <v>1769195987.0999999</v>
      </c>
      <c r="C98">
        <v>1426.0999999046301</v>
      </c>
      <c r="D98" t="s">
        <v>461</v>
      </c>
      <c r="E98" t="s">
        <v>462</v>
      </c>
      <c r="F98">
        <v>15</v>
      </c>
      <c r="G98">
        <v>1769195979.03333</v>
      </c>
      <c r="H98">
        <f t="shared" si="13"/>
        <v>6.2657617915699588E-4</v>
      </c>
      <c r="I98">
        <v>0</v>
      </c>
      <c r="J98">
        <f t="shared" si="25"/>
        <v>-2.3160140789827447E-3</v>
      </c>
      <c r="K98">
        <f t="shared" si="14"/>
        <v>-8.6303526958990531E-2</v>
      </c>
      <c r="L98">
        <f t="shared" si="15"/>
        <v>69.870003944015451</v>
      </c>
      <c r="M98">
        <f t="shared" si="16"/>
        <v>1.5407590457148508</v>
      </c>
      <c r="N98">
        <f t="shared" si="17"/>
        <v>2.2051795602436357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26192.965993581649</v>
      </c>
      <c r="T98">
        <f t="shared" si="21"/>
        <v>99.998140000000006</v>
      </c>
      <c r="U98">
        <f t="shared" si="22"/>
        <v>84.298046107178109</v>
      </c>
      <c r="V98">
        <f t="shared" si="23"/>
        <v>0.84299614079999996</v>
      </c>
      <c r="W98">
        <f t="shared" si="24"/>
        <v>0.15869027404800001</v>
      </c>
      <c r="X98">
        <v>1</v>
      </c>
      <c r="Y98">
        <v>1769195979.03333</v>
      </c>
      <c r="Z98">
        <v>409.77826666666698</v>
      </c>
      <c r="AA98">
        <v>409.99133333333299</v>
      </c>
      <c r="AB98">
        <v>15.378686666666701</v>
      </c>
      <c r="AC98">
        <v>14.6075133333333</v>
      </c>
      <c r="AD98">
        <v>410.59913333333299</v>
      </c>
      <c r="AE98">
        <v>15.2867333333333</v>
      </c>
      <c r="AF98">
        <v>800.00206666666702</v>
      </c>
      <c r="AG98">
        <v>100.123133333333</v>
      </c>
      <c r="AH98">
        <v>6.4813733333333304E-2</v>
      </c>
      <c r="AI98">
        <v>18.9999933333333</v>
      </c>
      <c r="AJ98">
        <v>999.9</v>
      </c>
      <c r="AK98">
        <v>999.9</v>
      </c>
      <c r="AL98">
        <v>0</v>
      </c>
      <c r="AM98">
        <v>0</v>
      </c>
      <c r="AN98">
        <v>4989.8666666666704</v>
      </c>
      <c r="AO98">
        <v>0</v>
      </c>
      <c r="AP98">
        <v>1.7502500000000001</v>
      </c>
      <c r="AQ98">
        <v>-0.213053466666667</v>
      </c>
      <c r="AR98">
        <v>416.17853333333301</v>
      </c>
      <c r="AS98">
        <v>416.06913333333301</v>
      </c>
      <c r="AT98">
        <v>0.77117559999999996</v>
      </c>
      <c r="AU98">
        <v>409.99133333333299</v>
      </c>
      <c r="AV98">
        <v>14.6075133333333</v>
      </c>
      <c r="AW98">
        <v>1.5397626666666699</v>
      </c>
      <c r="AX98">
        <v>1.4625493333333299</v>
      </c>
      <c r="AY98">
        <v>13.368819999999999</v>
      </c>
      <c r="AZ98">
        <v>12.5821466666667</v>
      </c>
      <c r="BA98">
        <v>99.998140000000006</v>
      </c>
      <c r="BB98">
        <v>0.90012979999999998</v>
      </c>
      <c r="BC98">
        <v>0</v>
      </c>
      <c r="BD98">
        <v>9.9870239999999999E-2</v>
      </c>
      <c r="BE98">
        <v>0</v>
      </c>
      <c r="BF98">
        <v>24.680019999999999</v>
      </c>
      <c r="BG98">
        <v>1648.91</v>
      </c>
      <c r="BH98">
        <v>1769195835.0999999</v>
      </c>
      <c r="BI98" t="s">
        <v>440</v>
      </c>
      <c r="BJ98">
        <v>1769195835.0999999</v>
      </c>
      <c r="BK98">
        <v>1769195834.0999999</v>
      </c>
      <c r="BL98">
        <v>3</v>
      </c>
      <c r="BM98">
        <v>2.1999999999999999E-2</v>
      </c>
      <c r="BN98">
        <v>1E-3</v>
      </c>
      <c r="BO98">
        <v>-0.82099999999999995</v>
      </c>
      <c r="BP98">
        <v>9.1999999999999998E-2</v>
      </c>
      <c r="BQ98">
        <v>410</v>
      </c>
      <c r="BR98">
        <v>15</v>
      </c>
      <c r="BS98">
        <v>0.22</v>
      </c>
      <c r="BT98">
        <v>0.09</v>
      </c>
      <c r="BU98">
        <v>-0.21224065</v>
      </c>
      <c r="BV98">
        <v>0.112136887218045</v>
      </c>
      <c r="BW98">
        <v>2.87562728135532E-2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0.77477684999999996</v>
      </c>
      <c r="CD98">
        <v>-0.17295333834586199</v>
      </c>
      <c r="CE98">
        <v>2.2499752743697001E-2</v>
      </c>
      <c r="CF98">
        <v>0</v>
      </c>
      <c r="CG98">
        <v>1</v>
      </c>
      <c r="CH98">
        <v>2</v>
      </c>
      <c r="CI98" t="s">
        <v>297</v>
      </c>
      <c r="CJ98">
        <v>3.5325600000000001</v>
      </c>
      <c r="CK98">
        <v>2.7028799999999999</v>
      </c>
      <c r="CL98">
        <v>9.7896999999999998E-2</v>
      </c>
      <c r="CM98">
        <v>9.6579799999999993E-2</v>
      </c>
      <c r="CN98">
        <v>8.7054500000000007E-2</v>
      </c>
      <c r="CO98">
        <v>8.3132700000000004E-2</v>
      </c>
      <c r="CP98">
        <v>31624.9</v>
      </c>
      <c r="CQ98">
        <v>27805.7</v>
      </c>
      <c r="CR98">
        <v>32447</v>
      </c>
      <c r="CS98">
        <v>30705.9</v>
      </c>
      <c r="CT98">
        <v>40115</v>
      </c>
      <c r="CU98">
        <v>39590.9</v>
      </c>
      <c r="CV98">
        <v>47390.400000000001</v>
      </c>
      <c r="CW98">
        <v>46830.400000000001</v>
      </c>
      <c r="CX98">
        <v>2.6206999999999998</v>
      </c>
      <c r="CY98">
        <v>2.12534</v>
      </c>
      <c r="CZ98">
        <v>0</v>
      </c>
      <c r="DA98">
        <v>0</v>
      </c>
      <c r="DB98">
        <v>999.9</v>
      </c>
      <c r="DC98">
        <v>999.9</v>
      </c>
      <c r="DD98">
        <v>54.639000000000003</v>
      </c>
      <c r="DE98">
        <v>27.533000000000001</v>
      </c>
      <c r="DF98">
        <v>20.151499999999999</v>
      </c>
      <c r="DG98">
        <v>30.496400000000001</v>
      </c>
      <c r="DH98">
        <v>16.3141</v>
      </c>
      <c r="DI98">
        <v>2</v>
      </c>
      <c r="DJ98">
        <v>-0.10780099999999999</v>
      </c>
      <c r="DK98">
        <v>2.1692200000000001</v>
      </c>
      <c r="DL98">
        <v>20.231100000000001</v>
      </c>
      <c r="DM98">
        <v>5.2510700000000003</v>
      </c>
      <c r="DN98">
        <v>12.033899999999999</v>
      </c>
      <c r="DO98">
        <v>4.9672799999999997</v>
      </c>
      <c r="DP98">
        <v>3.2909999999999999</v>
      </c>
      <c r="DQ98">
        <v>536.4</v>
      </c>
      <c r="DR98">
        <v>9999</v>
      </c>
      <c r="DS98">
        <v>9999</v>
      </c>
      <c r="DT98">
        <v>9999</v>
      </c>
      <c r="DU98">
        <v>1.87104</v>
      </c>
      <c r="DV98">
        <v>1.87608</v>
      </c>
      <c r="DW98">
        <v>1.87625</v>
      </c>
      <c r="DX98">
        <v>1.8827799999999999</v>
      </c>
      <c r="DY98">
        <v>1.87558</v>
      </c>
      <c r="DZ98">
        <v>1.8746100000000001</v>
      </c>
      <c r="EA98">
        <v>1.87076</v>
      </c>
      <c r="EB98">
        <v>1.87459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-0.82099999999999995</v>
      </c>
      <c r="EQ98">
        <v>9.1899999999999996E-2</v>
      </c>
      <c r="ER98">
        <v>-0.820799999999963</v>
      </c>
      <c r="ES98">
        <v>0</v>
      </c>
      <c r="ET98">
        <v>0</v>
      </c>
      <c r="EU98">
        <v>0</v>
      </c>
      <c r="EV98">
        <v>9.1945454545454594E-2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2.5</v>
      </c>
      <c r="FE98">
        <v>2.5</v>
      </c>
      <c r="FF98">
        <v>1.2402299999999999</v>
      </c>
      <c r="FG98">
        <v>2.5927699999999998</v>
      </c>
      <c r="FH98">
        <v>2.19604</v>
      </c>
      <c r="FI98">
        <v>2.66235</v>
      </c>
      <c r="FJ98">
        <v>2.4462899999999999</v>
      </c>
      <c r="FK98">
        <v>2.2961399999999998</v>
      </c>
      <c r="FL98">
        <v>32.090400000000002</v>
      </c>
      <c r="FM98">
        <v>24.157499999999999</v>
      </c>
      <c r="FN98">
        <v>19</v>
      </c>
      <c r="FO98">
        <v>865.31799999999998</v>
      </c>
      <c r="FP98">
        <v>574.04300000000001</v>
      </c>
      <c r="FQ98">
        <v>18.2912</v>
      </c>
      <c r="FR98">
        <v>25.6279</v>
      </c>
      <c r="FS98">
        <v>30.0001</v>
      </c>
      <c r="FT98">
        <v>25.624600000000001</v>
      </c>
      <c r="FU98">
        <v>25.6252</v>
      </c>
      <c r="FV98">
        <v>24.900099999999998</v>
      </c>
      <c r="FW98">
        <v>29.395099999999999</v>
      </c>
      <c r="FX98">
        <v>11.2057</v>
      </c>
      <c r="FY98">
        <v>18.291</v>
      </c>
      <c r="FZ98">
        <v>410</v>
      </c>
      <c r="GA98">
        <v>14.6595</v>
      </c>
      <c r="GB98">
        <v>99.854600000000005</v>
      </c>
      <c r="GC98">
        <v>99.689499999999995</v>
      </c>
    </row>
    <row r="99" spans="1:185" x14ac:dyDescent="0.2">
      <c r="A99">
        <v>84</v>
      </c>
      <c r="B99">
        <v>1769196002.0999999</v>
      </c>
      <c r="C99">
        <v>1441.0999999046301</v>
      </c>
      <c r="D99" t="s">
        <v>463</v>
      </c>
      <c r="E99" t="s">
        <v>464</v>
      </c>
      <c r="F99">
        <v>15</v>
      </c>
      <c r="G99">
        <v>1769195994.03333</v>
      </c>
      <c r="H99">
        <f t="shared" si="13"/>
        <v>5.9958108017387412E-4</v>
      </c>
      <c r="I99">
        <v>0</v>
      </c>
      <c r="J99">
        <f t="shared" si="25"/>
        <v>-1.8185301709598204E-3</v>
      </c>
      <c r="K99">
        <f t="shared" si="14"/>
        <v>-6.7765377188079623E-2</v>
      </c>
      <c r="L99">
        <f t="shared" si="15"/>
        <v>69.938761164269707</v>
      </c>
      <c r="M99">
        <f t="shared" si="16"/>
        <v>1.5424562107578064</v>
      </c>
      <c r="N99">
        <f t="shared" si="17"/>
        <v>2.2054382792611089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26243.033059729129</v>
      </c>
      <c r="T99">
        <f t="shared" si="21"/>
        <v>100.00039333333299</v>
      </c>
      <c r="U99">
        <f t="shared" si="22"/>
        <v>84.299950898502402</v>
      </c>
      <c r="V99">
        <f t="shared" si="23"/>
        <v>0.8429961932000003</v>
      </c>
      <c r="W99">
        <f t="shared" si="24"/>
        <v>0.15869043103200003</v>
      </c>
      <c r="X99">
        <v>1</v>
      </c>
      <c r="Y99">
        <v>1769195994.03333</v>
      </c>
      <c r="Z99">
        <v>409.76620000000003</v>
      </c>
      <c r="AA99">
        <v>409.98860000000002</v>
      </c>
      <c r="AB99">
        <v>15.395486666666701</v>
      </c>
      <c r="AC99">
        <v>14.65756</v>
      </c>
      <c r="AD99">
        <v>410.58686666666699</v>
      </c>
      <c r="AE99">
        <v>15.303559999999999</v>
      </c>
      <c r="AF99">
        <v>800.01206666666701</v>
      </c>
      <c r="AG99">
        <v>100.12406666666701</v>
      </c>
      <c r="AH99">
        <v>6.4790246666666704E-2</v>
      </c>
      <c r="AI99">
        <v>19.0018733333333</v>
      </c>
      <c r="AJ99">
        <v>999.9</v>
      </c>
      <c r="AK99">
        <v>999.9</v>
      </c>
      <c r="AL99">
        <v>0</v>
      </c>
      <c r="AM99">
        <v>0</v>
      </c>
      <c r="AN99">
        <v>4998.1000000000004</v>
      </c>
      <c r="AO99">
        <v>0</v>
      </c>
      <c r="AP99">
        <v>1.7502500000000001</v>
      </c>
      <c r="AQ99">
        <v>-0.22245073333333301</v>
      </c>
      <c r="AR99">
        <v>416.17326666666702</v>
      </c>
      <c r="AS99">
        <v>416.08746666666701</v>
      </c>
      <c r="AT99">
        <v>0.73792286666666695</v>
      </c>
      <c r="AU99">
        <v>409.98860000000002</v>
      </c>
      <c r="AV99">
        <v>14.65756</v>
      </c>
      <c r="AW99">
        <v>1.54145933333333</v>
      </c>
      <c r="AX99">
        <v>1.467576</v>
      </c>
      <c r="AY99">
        <v>13.385719999999999</v>
      </c>
      <c r="AZ99">
        <v>12.6344666666667</v>
      </c>
      <c r="BA99">
        <v>100.00039333333299</v>
      </c>
      <c r="BB99">
        <v>0.90012766666666699</v>
      </c>
      <c r="BC99">
        <v>0</v>
      </c>
      <c r="BD99">
        <v>9.9872359999999993E-2</v>
      </c>
      <c r="BE99">
        <v>0</v>
      </c>
      <c r="BF99">
        <v>24.773326666666701</v>
      </c>
      <c r="BG99">
        <v>1648.9466666666699</v>
      </c>
      <c r="BH99">
        <v>1769195835.0999999</v>
      </c>
      <c r="BI99" t="s">
        <v>440</v>
      </c>
      <c r="BJ99">
        <v>1769195835.0999999</v>
      </c>
      <c r="BK99">
        <v>1769195834.0999999</v>
      </c>
      <c r="BL99">
        <v>3</v>
      </c>
      <c r="BM99">
        <v>2.1999999999999999E-2</v>
      </c>
      <c r="BN99">
        <v>1E-3</v>
      </c>
      <c r="BO99">
        <v>-0.82099999999999995</v>
      </c>
      <c r="BP99">
        <v>9.1999999999999998E-2</v>
      </c>
      <c r="BQ99">
        <v>410</v>
      </c>
      <c r="BR99">
        <v>15</v>
      </c>
      <c r="BS99">
        <v>0.22</v>
      </c>
      <c r="BT99">
        <v>0.09</v>
      </c>
      <c r="BU99">
        <v>-0.211601571428571</v>
      </c>
      <c r="BV99">
        <v>-0.174839298701299</v>
      </c>
      <c r="BW99">
        <v>2.7039072185003898E-2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0.74034961904761898</v>
      </c>
      <c r="CD99">
        <v>-1.20935064935147E-3</v>
      </c>
      <c r="CE99">
        <v>1.4710682352747801E-2</v>
      </c>
      <c r="CF99">
        <v>1</v>
      </c>
      <c r="CG99">
        <v>2</v>
      </c>
      <c r="CH99">
        <v>2</v>
      </c>
      <c r="CI99" t="s">
        <v>304</v>
      </c>
      <c r="CJ99">
        <v>3.5325299999999999</v>
      </c>
      <c r="CK99">
        <v>2.7025999999999999</v>
      </c>
      <c r="CL99">
        <v>9.7898899999999997E-2</v>
      </c>
      <c r="CM99">
        <v>9.6582799999999996E-2</v>
      </c>
      <c r="CN99">
        <v>8.7128300000000006E-2</v>
      </c>
      <c r="CO99">
        <v>8.3072400000000005E-2</v>
      </c>
      <c r="CP99">
        <v>31625.1</v>
      </c>
      <c r="CQ99">
        <v>27805.3</v>
      </c>
      <c r="CR99">
        <v>32447.3</v>
      </c>
      <c r="CS99">
        <v>30705.5</v>
      </c>
      <c r="CT99">
        <v>40111.9</v>
      </c>
      <c r="CU99">
        <v>39593.300000000003</v>
      </c>
      <c r="CV99">
        <v>47390.6</v>
      </c>
      <c r="CW99">
        <v>46830.1</v>
      </c>
      <c r="CX99">
        <v>2.6206399999999999</v>
      </c>
      <c r="CY99">
        <v>2.1255199999999999</v>
      </c>
      <c r="CZ99">
        <v>0</v>
      </c>
      <c r="DA99">
        <v>0</v>
      </c>
      <c r="DB99">
        <v>999.9</v>
      </c>
      <c r="DC99">
        <v>999.9</v>
      </c>
      <c r="DD99">
        <v>54.566000000000003</v>
      </c>
      <c r="DE99">
        <v>27.533000000000001</v>
      </c>
      <c r="DF99">
        <v>20.128699999999998</v>
      </c>
      <c r="DG99">
        <v>30.3764</v>
      </c>
      <c r="DH99">
        <v>16.3462</v>
      </c>
      <c r="DI99">
        <v>2</v>
      </c>
      <c r="DJ99">
        <v>-0.107673</v>
      </c>
      <c r="DK99">
        <v>2.2016800000000001</v>
      </c>
      <c r="DL99">
        <v>20.230499999999999</v>
      </c>
      <c r="DM99">
        <v>5.2503500000000001</v>
      </c>
      <c r="DN99">
        <v>12.033899999999999</v>
      </c>
      <c r="DO99">
        <v>4.9672799999999997</v>
      </c>
      <c r="DP99">
        <v>3.2909999999999999</v>
      </c>
      <c r="DQ99">
        <v>536.4</v>
      </c>
      <c r="DR99">
        <v>9999</v>
      </c>
      <c r="DS99">
        <v>9999</v>
      </c>
      <c r="DT99">
        <v>9999</v>
      </c>
      <c r="DU99">
        <v>1.87103</v>
      </c>
      <c r="DV99">
        <v>1.87609</v>
      </c>
      <c r="DW99">
        <v>1.87629</v>
      </c>
      <c r="DX99">
        <v>1.8827799999999999</v>
      </c>
      <c r="DY99">
        <v>1.87561</v>
      </c>
      <c r="DZ99">
        <v>1.8746400000000001</v>
      </c>
      <c r="EA99">
        <v>1.8708</v>
      </c>
      <c r="EB99">
        <v>1.8745799999999999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-0.82099999999999995</v>
      </c>
      <c r="EQ99">
        <v>9.1999999999999998E-2</v>
      </c>
      <c r="ER99">
        <v>-0.820799999999963</v>
      </c>
      <c r="ES99">
        <v>0</v>
      </c>
      <c r="ET99">
        <v>0</v>
      </c>
      <c r="EU99">
        <v>0</v>
      </c>
      <c r="EV99">
        <v>9.1945454545454594E-2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2.8</v>
      </c>
      <c r="FE99">
        <v>2.8</v>
      </c>
      <c r="FF99">
        <v>1.2402299999999999</v>
      </c>
      <c r="FG99">
        <v>2.5915499999999998</v>
      </c>
      <c r="FH99">
        <v>2.19604</v>
      </c>
      <c r="FI99">
        <v>2.66235</v>
      </c>
      <c r="FJ99">
        <v>2.4462899999999999</v>
      </c>
      <c r="FK99">
        <v>2.3168899999999999</v>
      </c>
      <c r="FL99">
        <v>32.090400000000002</v>
      </c>
      <c r="FM99">
        <v>24.157499999999999</v>
      </c>
      <c r="FN99">
        <v>19</v>
      </c>
      <c r="FO99">
        <v>865.26199999999994</v>
      </c>
      <c r="FP99">
        <v>574.20500000000004</v>
      </c>
      <c r="FQ99">
        <v>18.289100000000001</v>
      </c>
      <c r="FR99">
        <v>25.6279</v>
      </c>
      <c r="FS99">
        <v>30.0002</v>
      </c>
      <c r="FT99">
        <v>25.624600000000001</v>
      </c>
      <c r="FU99">
        <v>25.627300000000002</v>
      </c>
      <c r="FV99">
        <v>24.9023</v>
      </c>
      <c r="FW99">
        <v>29.395099999999999</v>
      </c>
      <c r="FX99">
        <v>11.2057</v>
      </c>
      <c r="FY99">
        <v>18.2864</v>
      </c>
      <c r="FZ99">
        <v>410</v>
      </c>
      <c r="GA99">
        <v>14.6595</v>
      </c>
      <c r="GB99">
        <v>99.8553</v>
      </c>
      <c r="GC99">
        <v>99.688599999999994</v>
      </c>
    </row>
    <row r="100" spans="1:185" x14ac:dyDescent="0.2">
      <c r="A100">
        <v>85</v>
      </c>
      <c r="B100">
        <v>1769196017.0999999</v>
      </c>
      <c r="C100">
        <v>1456.0999999046301</v>
      </c>
      <c r="D100" t="s">
        <v>465</v>
      </c>
      <c r="E100" t="s">
        <v>466</v>
      </c>
      <c r="F100">
        <v>15</v>
      </c>
      <c r="G100">
        <v>1769196009.03333</v>
      </c>
      <c r="H100">
        <f t="shared" si="13"/>
        <v>6.2184446645618019E-4</v>
      </c>
      <c r="I100">
        <v>0</v>
      </c>
      <c r="J100">
        <f t="shared" si="25"/>
        <v>-2.2726864903738716E-3</v>
      </c>
      <c r="K100">
        <f t="shared" si="14"/>
        <v>-8.468897558578975E-2</v>
      </c>
      <c r="L100">
        <f t="shared" si="15"/>
        <v>70.00159036495775</v>
      </c>
      <c r="M100">
        <f t="shared" si="16"/>
        <v>1.5438707718450684</v>
      </c>
      <c r="N100">
        <f t="shared" si="17"/>
        <v>2.2054795666726998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26273.149049510401</v>
      </c>
      <c r="T100">
        <f t="shared" si="21"/>
        <v>100.000873333333</v>
      </c>
      <c r="U100">
        <f t="shared" si="22"/>
        <v>84.300328936442838</v>
      </c>
      <c r="V100">
        <f t="shared" si="23"/>
        <v>0.84299592720000027</v>
      </c>
      <c r="W100">
        <f t="shared" si="24"/>
        <v>0.15868963611200004</v>
      </c>
      <c r="X100">
        <v>1</v>
      </c>
      <c r="Y100">
        <v>1769196009.03333</v>
      </c>
      <c r="Z100">
        <v>409.78493333333302</v>
      </c>
      <c r="AA100">
        <v>409.99759999999998</v>
      </c>
      <c r="AB100">
        <v>15.409753333333301</v>
      </c>
      <c r="AC100">
        <v>14.6444266666667</v>
      </c>
      <c r="AD100">
        <v>410.60573333333298</v>
      </c>
      <c r="AE100">
        <v>15.3177866666667</v>
      </c>
      <c r="AF100">
        <v>800.00086666666698</v>
      </c>
      <c r="AG100">
        <v>100.12326666666701</v>
      </c>
      <c r="AH100">
        <v>6.4629820000000004E-2</v>
      </c>
      <c r="AI100">
        <v>19.0021733333333</v>
      </c>
      <c r="AJ100">
        <v>999.9</v>
      </c>
      <c r="AK100">
        <v>999.9</v>
      </c>
      <c r="AL100">
        <v>0</v>
      </c>
      <c r="AM100">
        <v>0</v>
      </c>
      <c r="AN100">
        <v>5003.1000000000004</v>
      </c>
      <c r="AO100">
        <v>0</v>
      </c>
      <c r="AP100">
        <v>1.7502500000000001</v>
      </c>
      <c r="AQ100">
        <v>-0.21259566666666699</v>
      </c>
      <c r="AR100">
        <v>416.198466666667</v>
      </c>
      <c r="AS100">
        <v>416.09100000000001</v>
      </c>
      <c r="AT100">
        <v>0.76532933333333297</v>
      </c>
      <c r="AU100">
        <v>409.99759999999998</v>
      </c>
      <c r="AV100">
        <v>14.6444266666667</v>
      </c>
      <c r="AW100">
        <v>1.5428726666666699</v>
      </c>
      <c r="AX100">
        <v>1.46624666666667</v>
      </c>
      <c r="AY100">
        <v>13.39978</v>
      </c>
      <c r="AZ100">
        <v>12.6206333333333</v>
      </c>
      <c r="BA100">
        <v>100.000873333333</v>
      </c>
      <c r="BB100">
        <v>0.90013846666666697</v>
      </c>
      <c r="BC100">
        <v>0</v>
      </c>
      <c r="BD100">
        <v>9.9861626666666703E-2</v>
      </c>
      <c r="BE100">
        <v>0</v>
      </c>
      <c r="BF100">
        <v>24.9600066666667</v>
      </c>
      <c r="BG100">
        <v>1648.96066666667</v>
      </c>
      <c r="BH100">
        <v>1769195835.0999999</v>
      </c>
      <c r="BI100" t="s">
        <v>440</v>
      </c>
      <c r="BJ100">
        <v>1769195835.0999999</v>
      </c>
      <c r="BK100">
        <v>1769195834.0999999</v>
      </c>
      <c r="BL100">
        <v>3</v>
      </c>
      <c r="BM100">
        <v>2.1999999999999999E-2</v>
      </c>
      <c r="BN100">
        <v>1E-3</v>
      </c>
      <c r="BO100">
        <v>-0.82099999999999995</v>
      </c>
      <c r="BP100">
        <v>9.1999999999999998E-2</v>
      </c>
      <c r="BQ100">
        <v>410</v>
      </c>
      <c r="BR100">
        <v>15</v>
      </c>
      <c r="BS100">
        <v>0.22</v>
      </c>
      <c r="BT100">
        <v>0.09</v>
      </c>
      <c r="BU100">
        <v>-0.21691589999999999</v>
      </c>
      <c r="BV100">
        <v>3.13394887218044E-2</v>
      </c>
      <c r="BW100">
        <v>1.9653599491950599E-2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0.76072439999999997</v>
      </c>
      <c r="CD100">
        <v>0.13776640601503901</v>
      </c>
      <c r="CE100">
        <v>1.4065415142824601E-2</v>
      </c>
      <c r="CF100">
        <v>0</v>
      </c>
      <c r="CG100">
        <v>1</v>
      </c>
      <c r="CH100">
        <v>2</v>
      </c>
      <c r="CI100" t="s">
        <v>297</v>
      </c>
      <c r="CJ100">
        <v>3.5325199999999999</v>
      </c>
      <c r="CK100">
        <v>2.7025600000000001</v>
      </c>
      <c r="CL100">
        <v>9.7901299999999997E-2</v>
      </c>
      <c r="CM100">
        <v>9.6589999999999995E-2</v>
      </c>
      <c r="CN100">
        <v>8.7145500000000001E-2</v>
      </c>
      <c r="CO100">
        <v>8.2976300000000003E-2</v>
      </c>
      <c r="CP100">
        <v>31625</v>
      </c>
      <c r="CQ100">
        <v>27805.3</v>
      </c>
      <c r="CR100">
        <v>32447.3</v>
      </c>
      <c r="CS100">
        <v>30705.8</v>
      </c>
      <c r="CT100">
        <v>40111.199999999997</v>
      </c>
      <c r="CU100">
        <v>39597.800000000003</v>
      </c>
      <c r="CV100">
        <v>47390.8</v>
      </c>
      <c r="CW100">
        <v>46830.3</v>
      </c>
      <c r="CX100">
        <v>2.6204800000000001</v>
      </c>
      <c r="CY100">
        <v>2.1249799999999999</v>
      </c>
      <c r="CZ100">
        <v>0</v>
      </c>
      <c r="DA100">
        <v>0</v>
      </c>
      <c r="DB100">
        <v>999.9</v>
      </c>
      <c r="DC100">
        <v>999.9</v>
      </c>
      <c r="DD100">
        <v>54.481000000000002</v>
      </c>
      <c r="DE100">
        <v>27.523</v>
      </c>
      <c r="DF100">
        <v>20.080500000000001</v>
      </c>
      <c r="DG100">
        <v>30.406400000000001</v>
      </c>
      <c r="DH100">
        <v>16.402200000000001</v>
      </c>
      <c r="DI100">
        <v>2</v>
      </c>
      <c r="DJ100">
        <v>-0.107179</v>
      </c>
      <c r="DK100">
        <v>2.2164000000000001</v>
      </c>
      <c r="DL100">
        <v>20.2301</v>
      </c>
      <c r="DM100">
        <v>5.2505899999999999</v>
      </c>
      <c r="DN100">
        <v>12.033899999999999</v>
      </c>
      <c r="DO100">
        <v>4.9672799999999997</v>
      </c>
      <c r="DP100">
        <v>3.2909999999999999</v>
      </c>
      <c r="DQ100">
        <v>536.4</v>
      </c>
      <c r="DR100">
        <v>9999</v>
      </c>
      <c r="DS100">
        <v>9999</v>
      </c>
      <c r="DT100">
        <v>9999</v>
      </c>
      <c r="DU100">
        <v>1.87107</v>
      </c>
      <c r="DV100">
        <v>1.8761099999999999</v>
      </c>
      <c r="DW100">
        <v>1.8763300000000001</v>
      </c>
      <c r="DX100">
        <v>1.8827799999999999</v>
      </c>
      <c r="DY100">
        <v>1.8755999999999999</v>
      </c>
      <c r="DZ100">
        <v>1.8746499999999999</v>
      </c>
      <c r="EA100">
        <v>1.8708199999999999</v>
      </c>
      <c r="EB100">
        <v>1.87462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-0.82099999999999995</v>
      </c>
      <c r="EQ100">
        <v>9.1999999999999998E-2</v>
      </c>
      <c r="ER100">
        <v>-0.820799999999963</v>
      </c>
      <c r="ES100">
        <v>0</v>
      </c>
      <c r="ET100">
        <v>0</v>
      </c>
      <c r="EU100">
        <v>0</v>
      </c>
      <c r="EV100">
        <v>9.1945454545454594E-2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3</v>
      </c>
      <c r="FE100">
        <v>3</v>
      </c>
      <c r="FF100">
        <v>1.2402299999999999</v>
      </c>
      <c r="FG100">
        <v>2.5842299999999998</v>
      </c>
      <c r="FH100">
        <v>2.19604</v>
      </c>
      <c r="FI100">
        <v>2.66113</v>
      </c>
      <c r="FJ100">
        <v>2.4462899999999999</v>
      </c>
      <c r="FK100">
        <v>2.2949199999999998</v>
      </c>
      <c r="FL100">
        <v>32.090400000000002</v>
      </c>
      <c r="FM100">
        <v>24.148800000000001</v>
      </c>
      <c r="FN100">
        <v>19</v>
      </c>
      <c r="FO100">
        <v>865.14800000000002</v>
      </c>
      <c r="FP100">
        <v>573.81600000000003</v>
      </c>
      <c r="FQ100">
        <v>18.280200000000001</v>
      </c>
      <c r="FR100">
        <v>25.630099999999999</v>
      </c>
      <c r="FS100">
        <v>30.0001</v>
      </c>
      <c r="FT100">
        <v>25.626799999999999</v>
      </c>
      <c r="FU100">
        <v>25.6295</v>
      </c>
      <c r="FV100">
        <v>24.899799999999999</v>
      </c>
      <c r="FW100">
        <v>29.395099999999999</v>
      </c>
      <c r="FX100">
        <v>10.829800000000001</v>
      </c>
      <c r="FY100">
        <v>18.279399999999999</v>
      </c>
      <c r="FZ100">
        <v>410</v>
      </c>
      <c r="GA100">
        <v>14.6595</v>
      </c>
      <c r="GB100">
        <v>99.855500000000006</v>
      </c>
      <c r="GC100">
        <v>99.689300000000003</v>
      </c>
    </row>
    <row r="101" spans="1:185" x14ac:dyDescent="0.2">
      <c r="A101">
        <v>86</v>
      </c>
      <c r="B101">
        <v>1769196032.0999999</v>
      </c>
      <c r="C101">
        <v>1471.0999999046301</v>
      </c>
      <c r="D101" t="s">
        <v>467</v>
      </c>
      <c r="E101" t="s">
        <v>468</v>
      </c>
      <c r="F101">
        <v>15</v>
      </c>
      <c r="G101">
        <v>1769196024.03333</v>
      </c>
      <c r="H101">
        <f t="shared" si="13"/>
        <v>6.3034186571273433E-4</v>
      </c>
      <c r="I101">
        <v>0</v>
      </c>
      <c r="J101">
        <f t="shared" si="25"/>
        <v>-2.8988391502640979E-3</v>
      </c>
      <c r="K101">
        <f t="shared" si="14"/>
        <v>-0.10802181429936754</v>
      </c>
      <c r="L101">
        <f t="shared" si="15"/>
        <v>69.981785426558048</v>
      </c>
      <c r="M101">
        <f t="shared" si="16"/>
        <v>1.5432631911779422</v>
      </c>
      <c r="N101">
        <f t="shared" si="17"/>
        <v>2.2052355220309581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26283.310329580425</v>
      </c>
      <c r="T101">
        <f t="shared" si="21"/>
        <v>99.999160000000003</v>
      </c>
      <c r="U101">
        <f t="shared" si="22"/>
        <v>84.298867023568818</v>
      </c>
      <c r="V101">
        <f t="shared" si="23"/>
        <v>0.84299575139999994</v>
      </c>
      <c r="W101">
        <f t="shared" si="24"/>
        <v>0.15868933952400002</v>
      </c>
      <c r="X101">
        <v>1</v>
      </c>
      <c r="Y101">
        <v>1769196024.03333</v>
      </c>
      <c r="Z101">
        <v>409.80279999999999</v>
      </c>
      <c r="AA101">
        <v>409.99066666666698</v>
      </c>
      <c r="AB101">
        <v>15.40368</v>
      </c>
      <c r="AC101">
        <v>14.627893333333301</v>
      </c>
      <c r="AD101">
        <v>410.623533333333</v>
      </c>
      <c r="AE101">
        <v>15.311726666666701</v>
      </c>
      <c r="AF101">
        <v>800.00379999999996</v>
      </c>
      <c r="AG101">
        <v>100.1236</v>
      </c>
      <c r="AH101">
        <v>6.4354513333333294E-2</v>
      </c>
      <c r="AI101">
        <v>19.000399999999999</v>
      </c>
      <c r="AJ101">
        <v>999.9</v>
      </c>
      <c r="AK101">
        <v>999.9</v>
      </c>
      <c r="AL101">
        <v>0</v>
      </c>
      <c r="AM101">
        <v>0</v>
      </c>
      <c r="AN101">
        <v>5004.7333333333299</v>
      </c>
      <c r="AO101">
        <v>0</v>
      </c>
      <c r="AP101">
        <v>1.7502500000000001</v>
      </c>
      <c r="AQ101">
        <v>-0.187770666666667</v>
      </c>
      <c r="AR101">
        <v>416.214133333333</v>
      </c>
      <c r="AS101">
        <v>416.07679999999999</v>
      </c>
      <c r="AT101">
        <v>0.77577039999999997</v>
      </c>
      <c r="AU101">
        <v>409.99066666666698</v>
      </c>
      <c r="AV101">
        <v>14.627893333333301</v>
      </c>
      <c r="AW101">
        <v>1.54227133333333</v>
      </c>
      <c r="AX101">
        <v>1.4645980000000001</v>
      </c>
      <c r="AY101">
        <v>13.393793333333299</v>
      </c>
      <c r="AZ101">
        <v>12.6035066666667</v>
      </c>
      <c r="BA101">
        <v>99.999160000000003</v>
      </c>
      <c r="BB101">
        <v>0.9001422</v>
      </c>
      <c r="BC101">
        <v>0</v>
      </c>
      <c r="BD101">
        <v>9.985782E-2</v>
      </c>
      <c r="BE101">
        <v>0</v>
      </c>
      <c r="BF101">
        <v>25</v>
      </c>
      <c r="BG101">
        <v>1648.93333333333</v>
      </c>
      <c r="BH101">
        <v>1769195835.0999999</v>
      </c>
      <c r="BI101" t="s">
        <v>440</v>
      </c>
      <c r="BJ101">
        <v>1769195835.0999999</v>
      </c>
      <c r="BK101">
        <v>1769195834.0999999</v>
      </c>
      <c r="BL101">
        <v>3</v>
      </c>
      <c r="BM101">
        <v>2.1999999999999999E-2</v>
      </c>
      <c r="BN101">
        <v>1E-3</v>
      </c>
      <c r="BO101">
        <v>-0.82099999999999995</v>
      </c>
      <c r="BP101">
        <v>9.1999999999999998E-2</v>
      </c>
      <c r="BQ101">
        <v>410</v>
      </c>
      <c r="BR101">
        <v>15</v>
      </c>
      <c r="BS101">
        <v>0.22</v>
      </c>
      <c r="BT101">
        <v>0.09</v>
      </c>
      <c r="BU101">
        <v>-0.19821023809523799</v>
      </c>
      <c r="BV101">
        <v>0.15038610389610399</v>
      </c>
      <c r="BW101">
        <v>2.6539332495830799E-2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0.77690633333333303</v>
      </c>
      <c r="CD101">
        <v>-8.2701038961034597E-3</v>
      </c>
      <c r="CE101">
        <v>2.80936965194503E-3</v>
      </c>
      <c r="CF101">
        <v>1</v>
      </c>
      <c r="CG101">
        <v>2</v>
      </c>
      <c r="CH101">
        <v>2</v>
      </c>
      <c r="CI101" t="s">
        <v>304</v>
      </c>
      <c r="CJ101">
        <v>3.5325099999999998</v>
      </c>
      <c r="CK101">
        <v>2.7021199999999999</v>
      </c>
      <c r="CL101">
        <v>9.7902299999999998E-2</v>
      </c>
      <c r="CM101">
        <v>9.6581799999999995E-2</v>
      </c>
      <c r="CN101">
        <v>8.7103100000000003E-2</v>
      </c>
      <c r="CO101">
        <v>8.2902799999999999E-2</v>
      </c>
      <c r="CP101">
        <v>31624.6</v>
      </c>
      <c r="CQ101">
        <v>27804.799999999999</v>
      </c>
      <c r="CR101">
        <v>32446.9</v>
      </c>
      <c r="CS101">
        <v>30705</v>
      </c>
      <c r="CT101">
        <v>40112.699999999997</v>
      </c>
      <c r="CU101">
        <v>39600.300000000003</v>
      </c>
      <c r="CV101">
        <v>47390.3</v>
      </c>
      <c r="CW101">
        <v>46829.4</v>
      </c>
      <c r="CX101">
        <v>2.6204000000000001</v>
      </c>
      <c r="CY101">
        <v>2.1251799999999998</v>
      </c>
      <c r="CZ101">
        <v>0</v>
      </c>
      <c r="DA101">
        <v>0</v>
      </c>
      <c r="DB101">
        <v>999.9</v>
      </c>
      <c r="DC101">
        <v>999.9</v>
      </c>
      <c r="DD101">
        <v>54.406999999999996</v>
      </c>
      <c r="DE101">
        <v>27.553000000000001</v>
      </c>
      <c r="DF101">
        <v>20.088699999999999</v>
      </c>
      <c r="DG101">
        <v>30.016400000000001</v>
      </c>
      <c r="DH101">
        <v>16.334099999999999</v>
      </c>
      <c r="DI101">
        <v>2</v>
      </c>
      <c r="DJ101">
        <v>-0.107083</v>
      </c>
      <c r="DK101">
        <v>2.2002999999999999</v>
      </c>
      <c r="DL101">
        <v>20.230499999999999</v>
      </c>
      <c r="DM101">
        <v>5.2505899999999999</v>
      </c>
      <c r="DN101">
        <v>12.033899999999999</v>
      </c>
      <c r="DO101">
        <v>4.9673999999999996</v>
      </c>
      <c r="DP101">
        <v>3.2910400000000002</v>
      </c>
      <c r="DQ101">
        <v>536.4</v>
      </c>
      <c r="DR101">
        <v>9999</v>
      </c>
      <c r="DS101">
        <v>9999</v>
      </c>
      <c r="DT101">
        <v>9999</v>
      </c>
      <c r="DU101">
        <v>1.87107</v>
      </c>
      <c r="DV101">
        <v>1.8761099999999999</v>
      </c>
      <c r="DW101">
        <v>1.8763300000000001</v>
      </c>
      <c r="DX101">
        <v>1.88279</v>
      </c>
      <c r="DY101">
        <v>1.87561</v>
      </c>
      <c r="DZ101">
        <v>1.8746499999999999</v>
      </c>
      <c r="EA101">
        <v>1.8708100000000001</v>
      </c>
      <c r="EB101">
        <v>1.8746100000000001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-0.82099999999999995</v>
      </c>
      <c r="EQ101">
        <v>9.1899999999999996E-2</v>
      </c>
      <c r="ER101">
        <v>-0.820799999999963</v>
      </c>
      <c r="ES101">
        <v>0</v>
      </c>
      <c r="ET101">
        <v>0</v>
      </c>
      <c r="EU101">
        <v>0</v>
      </c>
      <c r="EV101">
        <v>9.1945454545454594E-2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3.3</v>
      </c>
      <c r="FE101">
        <v>3.3</v>
      </c>
      <c r="FF101">
        <v>1.2402299999999999</v>
      </c>
      <c r="FG101">
        <v>2.5964399999999999</v>
      </c>
      <c r="FH101">
        <v>2.19604</v>
      </c>
      <c r="FI101">
        <v>2.66235</v>
      </c>
      <c r="FJ101">
        <v>2.4462899999999999</v>
      </c>
      <c r="FK101">
        <v>2.2936999999999999</v>
      </c>
      <c r="FL101">
        <v>32.090400000000002</v>
      </c>
      <c r="FM101">
        <v>24.148800000000001</v>
      </c>
      <c r="FN101">
        <v>19</v>
      </c>
      <c r="FO101">
        <v>865.10799999999995</v>
      </c>
      <c r="FP101">
        <v>573.99300000000005</v>
      </c>
      <c r="FQ101">
        <v>18.274999999999999</v>
      </c>
      <c r="FR101">
        <v>25.630600000000001</v>
      </c>
      <c r="FS101">
        <v>30.0002</v>
      </c>
      <c r="FT101">
        <v>25.628900000000002</v>
      </c>
      <c r="FU101">
        <v>25.631599999999999</v>
      </c>
      <c r="FV101">
        <v>24.9011</v>
      </c>
      <c r="FW101">
        <v>29.395099999999999</v>
      </c>
      <c r="FX101">
        <v>10.457700000000001</v>
      </c>
      <c r="FY101">
        <v>18.276299999999999</v>
      </c>
      <c r="FZ101">
        <v>410</v>
      </c>
      <c r="GA101">
        <v>14.6595</v>
      </c>
      <c r="GB101">
        <v>99.854399999999998</v>
      </c>
      <c r="GC101">
        <v>99.687100000000001</v>
      </c>
    </row>
    <row r="102" spans="1:185" x14ac:dyDescent="0.2">
      <c r="A102">
        <v>87</v>
      </c>
      <c r="B102">
        <v>1769196048</v>
      </c>
      <c r="C102">
        <v>1487</v>
      </c>
      <c r="D102" t="s">
        <v>469</v>
      </c>
      <c r="E102" t="s">
        <v>470</v>
      </c>
      <c r="F102">
        <v>15</v>
      </c>
      <c r="G102">
        <v>1769196040.0666699</v>
      </c>
      <c r="H102">
        <f t="shared" si="13"/>
        <v>6.3853424549094448E-4</v>
      </c>
      <c r="I102">
        <v>0</v>
      </c>
      <c r="J102">
        <f t="shared" si="25"/>
        <v>-2.222924296895171E-3</v>
      </c>
      <c r="K102">
        <f t="shared" si="14"/>
        <v>-8.2834646268278064E-2</v>
      </c>
      <c r="L102">
        <f t="shared" si="15"/>
        <v>69.940223926936056</v>
      </c>
      <c r="M102">
        <f t="shared" si="16"/>
        <v>1.5420393419816776</v>
      </c>
      <c r="N102">
        <f t="shared" si="17"/>
        <v>2.2047961178857372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26272.187140192698</v>
      </c>
      <c r="T102">
        <f t="shared" si="21"/>
        <v>100.001246666667</v>
      </c>
      <c r="U102">
        <f t="shared" si="22"/>
        <v>84.300605254444108</v>
      </c>
      <c r="V102">
        <f t="shared" si="23"/>
        <v>0.8429955431999997</v>
      </c>
      <c r="W102">
        <f t="shared" si="24"/>
        <v>0.15868880603199995</v>
      </c>
      <c r="X102">
        <v>1</v>
      </c>
      <c r="Y102">
        <v>1769196040.0666699</v>
      </c>
      <c r="Z102">
        <v>409.78533333333303</v>
      </c>
      <c r="AA102">
        <v>410.00886666666702</v>
      </c>
      <c r="AB102">
        <v>15.3914066666667</v>
      </c>
      <c r="AC102">
        <v>14.6055266666667</v>
      </c>
      <c r="AD102">
        <v>410.606066666667</v>
      </c>
      <c r="AE102">
        <v>15.2994733333333</v>
      </c>
      <c r="AF102">
        <v>800.00293333333298</v>
      </c>
      <c r="AG102">
        <v>100.12406666666701</v>
      </c>
      <c r="AH102">
        <v>6.42640933333333E-2</v>
      </c>
      <c r="AI102">
        <v>18.997206666666699</v>
      </c>
      <c r="AJ102">
        <v>999.9</v>
      </c>
      <c r="AK102">
        <v>999.9</v>
      </c>
      <c r="AL102">
        <v>0</v>
      </c>
      <c r="AM102">
        <v>0</v>
      </c>
      <c r="AN102">
        <v>5002.8333333333303</v>
      </c>
      <c r="AO102">
        <v>0</v>
      </c>
      <c r="AP102">
        <v>1.7502500000000001</v>
      </c>
      <c r="AQ102">
        <v>-0.22362679999999999</v>
      </c>
      <c r="AR102">
        <v>416.19099999999997</v>
      </c>
      <c r="AS102">
        <v>416.08613333333301</v>
      </c>
      <c r="AT102">
        <v>0.78587753333333299</v>
      </c>
      <c r="AU102">
        <v>410.00886666666702</v>
      </c>
      <c r="AV102">
        <v>14.6055266666667</v>
      </c>
      <c r="AW102">
        <v>1.5410506666666699</v>
      </c>
      <c r="AX102">
        <v>1.4623646666666701</v>
      </c>
      <c r="AY102">
        <v>13.381653333333301</v>
      </c>
      <c r="AZ102">
        <v>12.5802333333333</v>
      </c>
      <c r="BA102">
        <v>100.001246666667</v>
      </c>
      <c r="BB102">
        <v>0.90014933333333302</v>
      </c>
      <c r="BC102">
        <v>0</v>
      </c>
      <c r="BD102">
        <v>9.9850693333333296E-2</v>
      </c>
      <c r="BE102">
        <v>0</v>
      </c>
      <c r="BF102">
        <v>25</v>
      </c>
      <c r="BG102">
        <v>1648.97</v>
      </c>
      <c r="BH102">
        <v>1769195835.0999999</v>
      </c>
      <c r="BI102" t="s">
        <v>440</v>
      </c>
      <c r="BJ102">
        <v>1769195835.0999999</v>
      </c>
      <c r="BK102">
        <v>1769195834.0999999</v>
      </c>
      <c r="BL102">
        <v>3</v>
      </c>
      <c r="BM102">
        <v>2.1999999999999999E-2</v>
      </c>
      <c r="BN102">
        <v>1E-3</v>
      </c>
      <c r="BO102">
        <v>-0.82099999999999995</v>
      </c>
      <c r="BP102">
        <v>9.1999999999999998E-2</v>
      </c>
      <c r="BQ102">
        <v>410</v>
      </c>
      <c r="BR102">
        <v>15</v>
      </c>
      <c r="BS102">
        <v>0.22</v>
      </c>
      <c r="BT102">
        <v>0.09</v>
      </c>
      <c r="BU102">
        <v>-0.20985638095238099</v>
      </c>
      <c r="BV102">
        <v>-0.14613068248880401</v>
      </c>
      <c r="BW102">
        <v>2.4282119642466699E-2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0.78359438095238099</v>
      </c>
      <c r="CD102">
        <v>2.18350444680727E-2</v>
      </c>
      <c r="CE102">
        <v>4.8139650173436802E-3</v>
      </c>
      <c r="CF102">
        <v>1</v>
      </c>
      <c r="CG102">
        <v>2</v>
      </c>
      <c r="CH102">
        <v>2</v>
      </c>
      <c r="CI102" t="s">
        <v>304</v>
      </c>
      <c r="CJ102">
        <v>3.5325299999999999</v>
      </c>
      <c r="CK102">
        <v>2.7022300000000001</v>
      </c>
      <c r="CL102">
        <v>9.7901000000000002E-2</v>
      </c>
      <c r="CM102">
        <v>9.6586500000000006E-2</v>
      </c>
      <c r="CN102">
        <v>8.70417E-2</v>
      </c>
      <c r="CO102">
        <v>8.2861000000000004E-2</v>
      </c>
      <c r="CP102">
        <v>31624.799999999999</v>
      </c>
      <c r="CQ102">
        <v>27805.5</v>
      </c>
      <c r="CR102">
        <v>32447.1</v>
      </c>
      <c r="CS102">
        <v>30705.9</v>
      </c>
      <c r="CT102">
        <v>40115.599999999999</v>
      </c>
      <c r="CU102">
        <v>39603.1</v>
      </c>
      <c r="CV102">
        <v>47390.400000000001</v>
      </c>
      <c r="CW102">
        <v>46830.6</v>
      </c>
      <c r="CX102">
        <v>2.62046</v>
      </c>
      <c r="CY102">
        <v>2.1251000000000002</v>
      </c>
      <c r="CZ102">
        <v>0</v>
      </c>
      <c r="DA102">
        <v>0</v>
      </c>
      <c r="DB102">
        <v>999.9</v>
      </c>
      <c r="DC102">
        <v>999.9</v>
      </c>
      <c r="DD102">
        <v>54.322000000000003</v>
      </c>
      <c r="DE102">
        <v>27.562999999999999</v>
      </c>
      <c r="DF102">
        <v>20.0702</v>
      </c>
      <c r="DG102">
        <v>30.189699999999998</v>
      </c>
      <c r="DH102">
        <v>16.3582</v>
      </c>
      <c r="DI102">
        <v>2</v>
      </c>
      <c r="DJ102">
        <v>-0.10710600000000001</v>
      </c>
      <c r="DK102">
        <v>2.1638099999999998</v>
      </c>
      <c r="DL102">
        <v>20.231100000000001</v>
      </c>
      <c r="DM102">
        <v>5.2513100000000001</v>
      </c>
      <c r="DN102">
        <v>12.033899999999999</v>
      </c>
      <c r="DO102">
        <v>4.9674399999999999</v>
      </c>
      <c r="DP102">
        <v>3.2909999999999999</v>
      </c>
      <c r="DQ102">
        <v>536.4</v>
      </c>
      <c r="DR102">
        <v>9999</v>
      </c>
      <c r="DS102">
        <v>9999</v>
      </c>
      <c r="DT102">
        <v>9999</v>
      </c>
      <c r="DU102">
        <v>1.8710599999999999</v>
      </c>
      <c r="DV102">
        <v>1.8761099999999999</v>
      </c>
      <c r="DW102">
        <v>1.8763300000000001</v>
      </c>
      <c r="DX102">
        <v>1.8827799999999999</v>
      </c>
      <c r="DY102">
        <v>1.8755999999999999</v>
      </c>
      <c r="DZ102">
        <v>1.8746700000000001</v>
      </c>
      <c r="EA102">
        <v>1.8708199999999999</v>
      </c>
      <c r="EB102">
        <v>1.8745700000000001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-0.82099999999999995</v>
      </c>
      <c r="EQ102">
        <v>9.1999999999999998E-2</v>
      </c>
      <c r="ER102">
        <v>-0.820799999999963</v>
      </c>
      <c r="ES102">
        <v>0</v>
      </c>
      <c r="ET102">
        <v>0</v>
      </c>
      <c r="EU102">
        <v>0</v>
      </c>
      <c r="EV102">
        <v>9.1945454545454594E-2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3.5</v>
      </c>
      <c r="FE102">
        <v>3.6</v>
      </c>
      <c r="FF102">
        <v>1.2402299999999999</v>
      </c>
      <c r="FG102">
        <v>2.5939899999999998</v>
      </c>
      <c r="FH102">
        <v>2.19604</v>
      </c>
      <c r="FI102">
        <v>2.66235</v>
      </c>
      <c r="FJ102">
        <v>2.4462899999999999</v>
      </c>
      <c r="FK102">
        <v>2.2936999999999999</v>
      </c>
      <c r="FL102">
        <v>32.090400000000002</v>
      </c>
      <c r="FM102">
        <v>24.157499999999999</v>
      </c>
      <c r="FN102">
        <v>19</v>
      </c>
      <c r="FO102">
        <v>865.16399999999999</v>
      </c>
      <c r="FP102">
        <v>573.93100000000004</v>
      </c>
      <c r="FQ102">
        <v>18.286200000000001</v>
      </c>
      <c r="FR102">
        <v>25.632300000000001</v>
      </c>
      <c r="FS102">
        <v>30.0001</v>
      </c>
      <c r="FT102">
        <v>25.628900000000002</v>
      </c>
      <c r="FU102">
        <v>25.631599999999999</v>
      </c>
      <c r="FV102">
        <v>24.9009</v>
      </c>
      <c r="FW102">
        <v>29.395099999999999</v>
      </c>
      <c r="FX102">
        <v>10.087</v>
      </c>
      <c r="FY102">
        <v>18.288900000000002</v>
      </c>
      <c r="FZ102">
        <v>410</v>
      </c>
      <c r="GA102">
        <v>14.6595</v>
      </c>
      <c r="GB102">
        <v>99.854699999999994</v>
      </c>
      <c r="GC102">
        <v>99.689700000000002</v>
      </c>
    </row>
    <row r="103" spans="1:185" x14ac:dyDescent="0.2">
      <c r="A103">
        <v>88</v>
      </c>
      <c r="B103">
        <v>1769196233</v>
      </c>
      <c r="C103">
        <v>1672</v>
      </c>
      <c r="D103" t="s">
        <v>471</v>
      </c>
      <c r="E103" t="s">
        <v>472</v>
      </c>
      <c r="F103">
        <v>15</v>
      </c>
      <c r="G103">
        <v>1769196224.5</v>
      </c>
      <c r="H103">
        <f t="shared" si="13"/>
        <v>1.0769528797705345E-4</v>
      </c>
      <c r="I103">
        <v>0</v>
      </c>
      <c r="J103">
        <f t="shared" si="25"/>
        <v>-3.3980360297288778E-2</v>
      </c>
      <c r="K103">
        <f t="shared" si="14"/>
        <v>-1.2662379592620443</v>
      </c>
      <c r="L103">
        <f t="shared" si="15"/>
        <v>72.643566564796274</v>
      </c>
      <c r="M103">
        <f t="shared" si="16"/>
        <v>1.5954542788550843</v>
      </c>
      <c r="N103">
        <f t="shared" si="17"/>
        <v>2.1962774603474049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26235.354023504431</v>
      </c>
      <c r="T103">
        <f t="shared" si="21"/>
        <v>0</v>
      </c>
      <c r="U103">
        <f t="shared" si="22"/>
        <v>0</v>
      </c>
      <c r="V103">
        <f t="shared" si="23"/>
        <v>0.84327507000000002</v>
      </c>
      <c r="W103">
        <f t="shared" si="24"/>
        <v>0.15938767500000001</v>
      </c>
      <c r="X103">
        <v>1</v>
      </c>
      <c r="Y103">
        <v>1769196224.5</v>
      </c>
      <c r="Z103">
        <v>411.67075</v>
      </c>
      <c r="AA103">
        <v>410.14337499999999</v>
      </c>
      <c r="AB103">
        <v>15.924849999999999</v>
      </c>
      <c r="AC103">
        <v>15.792375</v>
      </c>
      <c r="AD103">
        <v>412.49156249999999</v>
      </c>
      <c r="AE103">
        <v>15.832906250000001</v>
      </c>
      <c r="AF103">
        <v>800.00193750000005</v>
      </c>
      <c r="AG103">
        <v>100.122</v>
      </c>
      <c r="AH103">
        <v>6.4455687499999997E-2</v>
      </c>
      <c r="AI103">
        <v>18.935187500000001</v>
      </c>
      <c r="AJ103">
        <v>999.9</v>
      </c>
      <c r="AK103">
        <v>999.9</v>
      </c>
      <c r="AL103">
        <v>0</v>
      </c>
      <c r="AM103">
        <v>0</v>
      </c>
      <c r="AN103">
        <v>4995.9375</v>
      </c>
      <c r="AO103">
        <v>0</v>
      </c>
      <c r="AP103">
        <v>1.6937899999999999</v>
      </c>
      <c r="AQ103">
        <v>1.5274716875000001</v>
      </c>
      <c r="AR103">
        <v>418.33262500000001</v>
      </c>
      <c r="AS103">
        <v>416.72449999999998</v>
      </c>
      <c r="AT103">
        <v>0.13247888125000001</v>
      </c>
      <c r="AU103">
        <v>410.14337499999999</v>
      </c>
      <c r="AV103">
        <v>15.792375</v>
      </c>
      <c r="AW103">
        <v>1.5944275000000001</v>
      </c>
      <c r="AX103">
        <v>1.58116375</v>
      </c>
      <c r="AY103">
        <v>13.904949999999999</v>
      </c>
      <c r="AZ103">
        <v>13.775543750000001</v>
      </c>
      <c r="BA103">
        <v>0</v>
      </c>
      <c r="BB103">
        <v>0.89083100000000004</v>
      </c>
      <c r="BC103">
        <v>0</v>
      </c>
      <c r="BD103">
        <v>0.109169</v>
      </c>
      <c r="BE103">
        <v>0</v>
      </c>
      <c r="BF103">
        <v>24.6562625</v>
      </c>
      <c r="BG103">
        <v>0</v>
      </c>
      <c r="BH103">
        <v>1769195835.0999999</v>
      </c>
      <c r="BI103" t="s">
        <v>440</v>
      </c>
      <c r="BJ103">
        <v>1769195835.0999999</v>
      </c>
      <c r="BK103">
        <v>1769195834.0999999</v>
      </c>
      <c r="BL103">
        <v>3</v>
      </c>
      <c r="BM103">
        <v>2.1999999999999999E-2</v>
      </c>
      <c r="BN103">
        <v>1E-3</v>
      </c>
      <c r="BO103">
        <v>-0.82099999999999995</v>
      </c>
      <c r="BP103">
        <v>9.1999999999999998E-2</v>
      </c>
      <c r="BQ103">
        <v>410</v>
      </c>
      <c r="BR103">
        <v>15</v>
      </c>
      <c r="BS103">
        <v>0.22</v>
      </c>
      <c r="BT103">
        <v>0.09</v>
      </c>
      <c r="BU103">
        <v>2.0272006</v>
      </c>
      <c r="BV103">
        <v>-9.5013050526315794</v>
      </c>
      <c r="BW103">
        <v>0.93579358754660202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-4.8349545000000001E-2</v>
      </c>
      <c r="CD103">
        <v>3.5386551744360899</v>
      </c>
      <c r="CE103">
        <v>0.34162123090436203</v>
      </c>
      <c r="CF103">
        <v>0</v>
      </c>
      <c r="CG103">
        <v>0</v>
      </c>
      <c r="CH103">
        <v>2</v>
      </c>
      <c r="CI103" t="s">
        <v>290</v>
      </c>
      <c r="CJ103">
        <v>3.5325299999999999</v>
      </c>
      <c r="CK103">
        <v>2.7023000000000001</v>
      </c>
      <c r="CL103">
        <v>9.8085599999999995E-2</v>
      </c>
      <c r="CM103">
        <v>9.6597699999999995E-2</v>
      </c>
      <c r="CN103">
        <v>8.9585300000000007E-2</v>
      </c>
      <c r="CO103">
        <v>8.6341200000000007E-2</v>
      </c>
      <c r="CP103">
        <v>31618</v>
      </c>
      <c r="CQ103">
        <v>27806.2</v>
      </c>
      <c r="CR103">
        <v>32446.799999999999</v>
      </c>
      <c r="CS103">
        <v>30707.1</v>
      </c>
      <c r="CT103">
        <v>40000.300000000003</v>
      </c>
      <c r="CU103">
        <v>39450.300000000003</v>
      </c>
      <c r="CV103">
        <v>47390.2</v>
      </c>
      <c r="CW103">
        <v>46832.800000000003</v>
      </c>
      <c r="CX103">
        <v>2.6199400000000002</v>
      </c>
      <c r="CY103">
        <v>2.1262599999999998</v>
      </c>
      <c r="CZ103">
        <v>0</v>
      </c>
      <c r="DA103">
        <v>0</v>
      </c>
      <c r="DB103">
        <v>999.9</v>
      </c>
      <c r="DC103">
        <v>999.9</v>
      </c>
      <c r="DD103">
        <v>53.546999999999997</v>
      </c>
      <c r="DE103">
        <v>27.634</v>
      </c>
      <c r="DF103">
        <v>19.867000000000001</v>
      </c>
      <c r="DG103">
        <v>30.329699999999999</v>
      </c>
      <c r="DH103">
        <v>16.438300000000002</v>
      </c>
      <c r="DI103">
        <v>2</v>
      </c>
      <c r="DJ103">
        <v>-0.105994</v>
      </c>
      <c r="DK103">
        <v>2.2069399999999999</v>
      </c>
      <c r="DL103">
        <v>20.2346</v>
      </c>
      <c r="DM103">
        <v>5.2493999999999996</v>
      </c>
      <c r="DN103">
        <v>12.033899999999999</v>
      </c>
      <c r="DO103">
        <v>4.96652</v>
      </c>
      <c r="DP103">
        <v>3.2909999999999999</v>
      </c>
      <c r="DQ103">
        <v>536.5</v>
      </c>
      <c r="DR103">
        <v>9999</v>
      </c>
      <c r="DS103">
        <v>9999</v>
      </c>
      <c r="DT103">
        <v>9999</v>
      </c>
      <c r="DU103">
        <v>1.87103</v>
      </c>
      <c r="DV103">
        <v>1.87608</v>
      </c>
      <c r="DW103">
        <v>1.87626</v>
      </c>
      <c r="DX103">
        <v>1.8827799999999999</v>
      </c>
      <c r="DY103">
        <v>1.87557</v>
      </c>
      <c r="DZ103">
        <v>1.8746400000000001</v>
      </c>
      <c r="EA103">
        <v>1.8707499999999999</v>
      </c>
      <c r="EB103">
        <v>1.8745700000000001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-0.82099999999999995</v>
      </c>
      <c r="EQ103">
        <v>9.1899999999999996E-2</v>
      </c>
      <c r="ER103">
        <v>-0.820799999999963</v>
      </c>
      <c r="ES103">
        <v>0</v>
      </c>
      <c r="ET103">
        <v>0</v>
      </c>
      <c r="EU103">
        <v>0</v>
      </c>
      <c r="EV103">
        <v>9.1945454545454594E-2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6.6</v>
      </c>
      <c r="FE103">
        <v>6.6</v>
      </c>
      <c r="FF103">
        <v>1.24146</v>
      </c>
      <c r="FG103">
        <v>2.5952099999999998</v>
      </c>
      <c r="FH103">
        <v>2.19604</v>
      </c>
      <c r="FI103">
        <v>2.66113</v>
      </c>
      <c r="FJ103">
        <v>2.4462899999999999</v>
      </c>
      <c r="FK103">
        <v>2.2619600000000002</v>
      </c>
      <c r="FL103">
        <v>32.156399999999998</v>
      </c>
      <c r="FM103">
        <v>24.14</v>
      </c>
      <c r="FN103">
        <v>19</v>
      </c>
      <c r="FO103">
        <v>864.99</v>
      </c>
      <c r="FP103">
        <v>575.01</v>
      </c>
      <c r="FQ103">
        <v>17.9711</v>
      </c>
      <c r="FR103">
        <v>25.65</v>
      </c>
      <c r="FS103">
        <v>30.0001</v>
      </c>
      <c r="FT103">
        <v>25.648299999999999</v>
      </c>
      <c r="FU103">
        <v>25.648900000000001</v>
      </c>
      <c r="FV103">
        <v>24.9194</v>
      </c>
      <c r="FW103">
        <v>25.662700000000001</v>
      </c>
      <c r="FX103">
        <v>8.9741599999999995</v>
      </c>
      <c r="FY103">
        <v>18.025200000000002</v>
      </c>
      <c r="FZ103">
        <v>410</v>
      </c>
      <c r="GA103">
        <v>15.1807</v>
      </c>
      <c r="GB103">
        <v>99.854100000000003</v>
      </c>
      <c r="GC103">
        <v>99.694100000000006</v>
      </c>
    </row>
    <row r="104" spans="1:185" x14ac:dyDescent="0.2">
      <c r="A104">
        <v>89</v>
      </c>
      <c r="B104">
        <v>1769196248</v>
      </c>
      <c r="C104">
        <v>1687</v>
      </c>
      <c r="D104" t="s">
        <v>473</v>
      </c>
      <c r="E104" t="s">
        <v>474</v>
      </c>
      <c r="F104">
        <v>15</v>
      </c>
      <c r="G104">
        <v>1769196239.9333301</v>
      </c>
      <c r="H104">
        <f t="shared" si="13"/>
        <v>5.5070825855726752E-4</v>
      </c>
      <c r="I104">
        <v>0</v>
      </c>
      <c r="J104">
        <f t="shared" si="25"/>
        <v>-1.5567000185057762E-2</v>
      </c>
      <c r="K104">
        <f t="shared" si="14"/>
        <v>-0.58008586058848077</v>
      </c>
      <c r="L104">
        <f t="shared" si="15"/>
        <v>72.776896497507948</v>
      </c>
      <c r="M104">
        <f t="shared" si="16"/>
        <v>1.5960634399052771</v>
      </c>
      <c r="N104">
        <f t="shared" si="17"/>
        <v>2.1930908251355978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26292.66371629784</v>
      </c>
      <c r="T104">
        <f t="shared" si="21"/>
        <v>0</v>
      </c>
      <c r="U104">
        <f t="shared" si="22"/>
        <v>0</v>
      </c>
      <c r="V104">
        <f t="shared" si="23"/>
        <v>0.84327507000000002</v>
      </c>
      <c r="W104">
        <f t="shared" si="24"/>
        <v>0.15938767500000001</v>
      </c>
      <c r="X104">
        <v>1</v>
      </c>
      <c r="Y104">
        <v>1769196239.9333301</v>
      </c>
      <c r="Z104">
        <v>410.48966666666701</v>
      </c>
      <c r="AA104">
        <v>410.04713333333302</v>
      </c>
      <c r="AB104">
        <v>15.931426666666701</v>
      </c>
      <c r="AC104">
        <v>15.254006666666699</v>
      </c>
      <c r="AD104">
        <v>411.31060000000002</v>
      </c>
      <c r="AE104">
        <v>15.839460000000001</v>
      </c>
      <c r="AF104">
        <v>799.998066666667</v>
      </c>
      <c r="AG104">
        <v>100.118866666667</v>
      </c>
      <c r="AH104">
        <v>6.4467399999999994E-2</v>
      </c>
      <c r="AI104">
        <v>18.911933333333302</v>
      </c>
      <c r="AJ104">
        <v>999.9</v>
      </c>
      <c r="AK104">
        <v>999.9</v>
      </c>
      <c r="AL104">
        <v>0</v>
      </c>
      <c r="AM104">
        <v>0</v>
      </c>
      <c r="AN104">
        <v>5005.1666666666697</v>
      </c>
      <c r="AO104">
        <v>0</v>
      </c>
      <c r="AP104">
        <v>1.6937899999999999</v>
      </c>
      <c r="AQ104">
        <v>0.4425944</v>
      </c>
      <c r="AR104">
        <v>417.135066666667</v>
      </c>
      <c r="AS104">
        <v>416.398666666667</v>
      </c>
      <c r="AT104">
        <v>0.67740599999999995</v>
      </c>
      <c r="AU104">
        <v>410.04713333333302</v>
      </c>
      <c r="AV104">
        <v>15.254006666666699</v>
      </c>
      <c r="AW104">
        <v>1.5950340000000001</v>
      </c>
      <c r="AX104">
        <v>1.52721333333333</v>
      </c>
      <c r="AY104">
        <v>13.910880000000001</v>
      </c>
      <c r="AZ104">
        <v>13.243</v>
      </c>
      <c r="BA104">
        <v>0</v>
      </c>
      <c r="BB104">
        <v>0.89083100000000004</v>
      </c>
      <c r="BC104">
        <v>0</v>
      </c>
      <c r="BD104">
        <v>0.109169</v>
      </c>
      <c r="BE104">
        <v>0</v>
      </c>
      <c r="BF104">
        <v>24.666699999999999</v>
      </c>
      <c r="BG104">
        <v>0</v>
      </c>
      <c r="BH104">
        <v>1769195835.0999999</v>
      </c>
      <c r="BI104" t="s">
        <v>440</v>
      </c>
      <c r="BJ104">
        <v>1769195835.0999999</v>
      </c>
      <c r="BK104">
        <v>1769195834.0999999</v>
      </c>
      <c r="BL104">
        <v>3</v>
      </c>
      <c r="BM104">
        <v>2.1999999999999999E-2</v>
      </c>
      <c r="BN104">
        <v>1E-3</v>
      </c>
      <c r="BO104">
        <v>-0.82099999999999995</v>
      </c>
      <c r="BP104">
        <v>9.1999999999999998E-2</v>
      </c>
      <c r="BQ104">
        <v>410</v>
      </c>
      <c r="BR104">
        <v>15</v>
      </c>
      <c r="BS104">
        <v>0.22</v>
      </c>
      <c r="BT104">
        <v>0.09</v>
      </c>
      <c r="BU104">
        <v>0.56269060000000004</v>
      </c>
      <c r="BV104">
        <v>-2.6143514887218</v>
      </c>
      <c r="BW104">
        <v>0.25831808245153898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0.61445229999999995</v>
      </c>
      <c r="CD104">
        <v>1.3509674887218099</v>
      </c>
      <c r="CE104">
        <v>0.13363028097482199</v>
      </c>
      <c r="CF104">
        <v>0</v>
      </c>
      <c r="CG104">
        <v>0</v>
      </c>
      <c r="CH104">
        <v>2</v>
      </c>
      <c r="CI104" t="s">
        <v>290</v>
      </c>
      <c r="CJ104">
        <v>3.5325000000000002</v>
      </c>
      <c r="CK104">
        <v>2.70234</v>
      </c>
      <c r="CL104">
        <v>9.7966600000000001E-2</v>
      </c>
      <c r="CM104">
        <v>9.6580299999999994E-2</v>
      </c>
      <c r="CN104">
        <v>8.9105000000000004E-2</v>
      </c>
      <c r="CO104">
        <v>8.4803199999999995E-2</v>
      </c>
      <c r="CP104">
        <v>31622.2</v>
      </c>
      <c r="CQ104">
        <v>27806</v>
      </c>
      <c r="CR104">
        <v>32446.799999999999</v>
      </c>
      <c r="CS104">
        <v>30706.3</v>
      </c>
      <c r="CT104">
        <v>40022.5</v>
      </c>
      <c r="CU104">
        <v>39517.599999999999</v>
      </c>
      <c r="CV104">
        <v>47390.7</v>
      </c>
      <c r="CW104">
        <v>46831.5</v>
      </c>
      <c r="CX104">
        <v>2.6201400000000001</v>
      </c>
      <c r="CY104">
        <v>2.1253799999999998</v>
      </c>
      <c r="CZ104">
        <v>0</v>
      </c>
      <c r="DA104">
        <v>0</v>
      </c>
      <c r="DB104">
        <v>999.9</v>
      </c>
      <c r="DC104">
        <v>999.9</v>
      </c>
      <c r="DD104">
        <v>53.472999999999999</v>
      </c>
      <c r="DE104">
        <v>27.664000000000001</v>
      </c>
      <c r="DF104">
        <v>19.874500000000001</v>
      </c>
      <c r="DG104">
        <v>30.2697</v>
      </c>
      <c r="DH104">
        <v>16.386199999999999</v>
      </c>
      <c r="DI104">
        <v>2</v>
      </c>
      <c r="DJ104">
        <v>-0.106016</v>
      </c>
      <c r="DK104">
        <v>1.98431</v>
      </c>
      <c r="DL104">
        <v>20.238099999999999</v>
      </c>
      <c r="DM104">
        <v>5.24892</v>
      </c>
      <c r="DN104">
        <v>12.033899999999999</v>
      </c>
      <c r="DO104">
        <v>4.9664400000000004</v>
      </c>
      <c r="DP104">
        <v>3.2909999999999999</v>
      </c>
      <c r="DQ104">
        <v>536.5</v>
      </c>
      <c r="DR104">
        <v>9999</v>
      </c>
      <c r="DS104">
        <v>9999</v>
      </c>
      <c r="DT104">
        <v>9999</v>
      </c>
      <c r="DU104">
        <v>1.87103</v>
      </c>
      <c r="DV104">
        <v>1.8760699999999999</v>
      </c>
      <c r="DW104">
        <v>1.8762799999999999</v>
      </c>
      <c r="DX104">
        <v>1.8827799999999999</v>
      </c>
      <c r="DY104">
        <v>1.8755900000000001</v>
      </c>
      <c r="DZ104">
        <v>1.8746400000000001</v>
      </c>
      <c r="EA104">
        <v>1.8707499999999999</v>
      </c>
      <c r="EB104">
        <v>1.8745499999999999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-0.82099999999999995</v>
      </c>
      <c r="EQ104">
        <v>9.1999999999999998E-2</v>
      </c>
      <c r="ER104">
        <v>-0.820799999999963</v>
      </c>
      <c r="ES104">
        <v>0</v>
      </c>
      <c r="ET104">
        <v>0</v>
      </c>
      <c r="EU104">
        <v>0</v>
      </c>
      <c r="EV104">
        <v>9.1945454545454594E-2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6.9</v>
      </c>
      <c r="FE104">
        <v>6.9</v>
      </c>
      <c r="FF104">
        <v>1.24146</v>
      </c>
      <c r="FG104">
        <v>2.5915499999999998</v>
      </c>
      <c r="FH104">
        <v>2.19604</v>
      </c>
      <c r="FI104">
        <v>2.66113</v>
      </c>
      <c r="FJ104">
        <v>2.4462899999999999</v>
      </c>
      <c r="FK104">
        <v>2.2900399999999999</v>
      </c>
      <c r="FL104">
        <v>32.156399999999998</v>
      </c>
      <c r="FM104">
        <v>24.157499999999999</v>
      </c>
      <c r="FN104">
        <v>19</v>
      </c>
      <c r="FO104">
        <v>865.21100000000001</v>
      </c>
      <c r="FP104">
        <v>574.33600000000001</v>
      </c>
      <c r="FQ104">
        <v>18.1326</v>
      </c>
      <c r="FR104">
        <v>25.6538</v>
      </c>
      <c r="FS104">
        <v>30</v>
      </c>
      <c r="FT104">
        <v>25.650500000000001</v>
      </c>
      <c r="FU104">
        <v>25.648900000000001</v>
      </c>
      <c r="FV104">
        <v>24.916</v>
      </c>
      <c r="FW104">
        <v>27.453800000000001</v>
      </c>
      <c r="FX104">
        <v>8.9741599999999995</v>
      </c>
      <c r="FY104">
        <v>18.2117</v>
      </c>
      <c r="FZ104">
        <v>410</v>
      </c>
      <c r="GA104">
        <v>14.883100000000001</v>
      </c>
      <c r="GB104">
        <v>99.854699999999994</v>
      </c>
      <c r="GC104">
        <v>99.691500000000005</v>
      </c>
    </row>
    <row r="105" spans="1:185" x14ac:dyDescent="0.2">
      <c r="A105">
        <v>90</v>
      </c>
      <c r="B105">
        <v>1769196263</v>
      </c>
      <c r="C105">
        <v>1702</v>
      </c>
      <c r="D105" t="s">
        <v>475</v>
      </c>
      <c r="E105" t="s">
        <v>476</v>
      </c>
      <c r="F105">
        <v>15</v>
      </c>
      <c r="G105">
        <v>1769196254.9333301</v>
      </c>
      <c r="H105">
        <f t="shared" si="13"/>
        <v>6.9430952292809638E-4</v>
      </c>
      <c r="I105">
        <v>0</v>
      </c>
      <c r="J105">
        <f t="shared" si="25"/>
        <v>-8.2313160781995656E-3</v>
      </c>
      <c r="K105">
        <f t="shared" si="14"/>
        <v>-0.30673026364973199</v>
      </c>
      <c r="L105">
        <f t="shared" si="15"/>
        <v>72.183363443784359</v>
      </c>
      <c r="M105">
        <f t="shared" si="16"/>
        <v>1.5828661575286911</v>
      </c>
      <c r="N105">
        <f t="shared" si="17"/>
        <v>2.1928406796413835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26255.067497067888</v>
      </c>
      <c r="T105">
        <f t="shared" si="21"/>
        <v>0</v>
      </c>
      <c r="U105">
        <f t="shared" si="22"/>
        <v>0</v>
      </c>
      <c r="V105">
        <f t="shared" si="23"/>
        <v>0.84327507000000002</v>
      </c>
      <c r="W105">
        <f t="shared" si="24"/>
        <v>0.15938767500000001</v>
      </c>
      <c r="X105">
        <v>1</v>
      </c>
      <c r="Y105">
        <v>1769196254.9333301</v>
      </c>
      <c r="Z105">
        <v>410.05279999999999</v>
      </c>
      <c r="AA105">
        <v>410.02526666666699</v>
      </c>
      <c r="AB105">
        <v>15.7996266666667</v>
      </c>
      <c r="AC105">
        <v>14.945453333333299</v>
      </c>
      <c r="AD105">
        <v>410.87366666666702</v>
      </c>
      <c r="AE105">
        <v>15.7076933333333</v>
      </c>
      <c r="AF105">
        <v>800.00120000000004</v>
      </c>
      <c r="AG105">
        <v>100.11920000000001</v>
      </c>
      <c r="AH105">
        <v>6.4569586666666706E-2</v>
      </c>
      <c r="AI105">
        <v>18.910106666666699</v>
      </c>
      <c r="AJ105">
        <v>999.9</v>
      </c>
      <c r="AK105">
        <v>999.9</v>
      </c>
      <c r="AL105">
        <v>0</v>
      </c>
      <c r="AM105">
        <v>0</v>
      </c>
      <c r="AN105">
        <v>4998.9333333333298</v>
      </c>
      <c r="AO105">
        <v>0</v>
      </c>
      <c r="AP105">
        <v>1.6937899999999999</v>
      </c>
      <c r="AQ105">
        <v>2.7728260000000001E-2</v>
      </c>
      <c r="AR105">
        <v>416.63560000000001</v>
      </c>
      <c r="AS105">
        <v>416.24619999999999</v>
      </c>
      <c r="AT105">
        <v>0.854182</v>
      </c>
      <c r="AU105">
        <v>410.02526666666699</v>
      </c>
      <c r="AV105">
        <v>14.945453333333299</v>
      </c>
      <c r="AW105">
        <v>1.58184533333333</v>
      </c>
      <c r="AX105">
        <v>1.4963266666666699</v>
      </c>
      <c r="AY105">
        <v>13.7830266666667</v>
      </c>
      <c r="AZ105">
        <v>12.9305066666667</v>
      </c>
      <c r="BA105">
        <v>0</v>
      </c>
      <c r="BB105">
        <v>0.89083100000000004</v>
      </c>
      <c r="BC105">
        <v>0</v>
      </c>
      <c r="BD105">
        <v>0.109169</v>
      </c>
      <c r="BE105">
        <v>0</v>
      </c>
      <c r="BF105">
        <v>24.666699999999999</v>
      </c>
      <c r="BG105">
        <v>0</v>
      </c>
      <c r="BH105">
        <v>1769195835.0999999</v>
      </c>
      <c r="BI105" t="s">
        <v>440</v>
      </c>
      <c r="BJ105">
        <v>1769195835.0999999</v>
      </c>
      <c r="BK105">
        <v>1769195834.0999999</v>
      </c>
      <c r="BL105">
        <v>3</v>
      </c>
      <c r="BM105">
        <v>2.1999999999999999E-2</v>
      </c>
      <c r="BN105">
        <v>1E-3</v>
      </c>
      <c r="BO105">
        <v>-0.82099999999999995</v>
      </c>
      <c r="BP105">
        <v>9.1999999999999998E-2</v>
      </c>
      <c r="BQ105">
        <v>410</v>
      </c>
      <c r="BR105">
        <v>15</v>
      </c>
      <c r="BS105">
        <v>0.22</v>
      </c>
      <c r="BT105">
        <v>0.09</v>
      </c>
      <c r="BU105">
        <v>0.114434785</v>
      </c>
      <c r="BV105">
        <v>-1.3939385639097699</v>
      </c>
      <c r="BW105">
        <v>0.139155788913323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0.82277734999999996</v>
      </c>
      <c r="CD105">
        <v>0.53909300751879596</v>
      </c>
      <c r="CE105">
        <v>5.3229644277672003E-2</v>
      </c>
      <c r="CF105">
        <v>0</v>
      </c>
      <c r="CG105">
        <v>0</v>
      </c>
      <c r="CH105">
        <v>2</v>
      </c>
      <c r="CI105" t="s">
        <v>290</v>
      </c>
      <c r="CJ105">
        <v>3.5325600000000001</v>
      </c>
      <c r="CK105">
        <v>2.7022300000000001</v>
      </c>
      <c r="CL105">
        <v>9.7917199999999996E-2</v>
      </c>
      <c r="CM105">
        <v>9.6579100000000001E-2</v>
      </c>
      <c r="CN105">
        <v>8.8466799999999998E-2</v>
      </c>
      <c r="CO105">
        <v>8.3786100000000002E-2</v>
      </c>
      <c r="CP105">
        <v>31622.3</v>
      </c>
      <c r="CQ105">
        <v>27805.8</v>
      </c>
      <c r="CR105">
        <v>32445.1</v>
      </c>
      <c r="CS105">
        <v>30706.1</v>
      </c>
      <c r="CT105">
        <v>40049.599999999999</v>
      </c>
      <c r="CU105">
        <v>39562.6</v>
      </c>
      <c r="CV105">
        <v>47388.6</v>
      </c>
      <c r="CW105">
        <v>46831.3</v>
      </c>
      <c r="CX105">
        <v>2.6206200000000002</v>
      </c>
      <c r="CY105">
        <v>2.1246399999999999</v>
      </c>
      <c r="CZ105">
        <v>0</v>
      </c>
      <c r="DA105">
        <v>0</v>
      </c>
      <c r="DB105">
        <v>999.9</v>
      </c>
      <c r="DC105">
        <v>999.9</v>
      </c>
      <c r="DD105">
        <v>53.423999999999999</v>
      </c>
      <c r="DE105">
        <v>27.664000000000001</v>
      </c>
      <c r="DF105">
        <v>19.856100000000001</v>
      </c>
      <c r="DG105">
        <v>30.389700000000001</v>
      </c>
      <c r="DH105">
        <v>16.3582</v>
      </c>
      <c r="DI105">
        <v>2</v>
      </c>
      <c r="DJ105">
        <v>-0.106348</v>
      </c>
      <c r="DK105">
        <v>1.80185</v>
      </c>
      <c r="DL105">
        <v>20.240300000000001</v>
      </c>
      <c r="DM105">
        <v>5.2516699999999998</v>
      </c>
      <c r="DN105">
        <v>12.033899999999999</v>
      </c>
      <c r="DO105">
        <v>4.9676799999999997</v>
      </c>
      <c r="DP105">
        <v>3.2909999999999999</v>
      </c>
      <c r="DQ105">
        <v>536.5</v>
      </c>
      <c r="DR105">
        <v>9999</v>
      </c>
      <c r="DS105">
        <v>9999</v>
      </c>
      <c r="DT105">
        <v>9999</v>
      </c>
      <c r="DU105">
        <v>1.8710500000000001</v>
      </c>
      <c r="DV105">
        <v>1.87609</v>
      </c>
      <c r="DW105">
        <v>1.8763000000000001</v>
      </c>
      <c r="DX105">
        <v>1.8827799999999999</v>
      </c>
      <c r="DY105">
        <v>1.8755900000000001</v>
      </c>
      <c r="DZ105">
        <v>1.87466</v>
      </c>
      <c r="EA105">
        <v>1.87076</v>
      </c>
      <c r="EB105">
        <v>1.87459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-0.82</v>
      </c>
      <c r="EQ105">
        <v>9.1899999999999996E-2</v>
      </c>
      <c r="ER105">
        <v>-0.820799999999963</v>
      </c>
      <c r="ES105">
        <v>0</v>
      </c>
      <c r="ET105">
        <v>0</v>
      </c>
      <c r="EU105">
        <v>0</v>
      </c>
      <c r="EV105">
        <v>9.1945454545454594E-2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7.1</v>
      </c>
      <c r="FE105">
        <v>7.1</v>
      </c>
      <c r="FF105">
        <v>1.24146</v>
      </c>
      <c r="FG105">
        <v>2.5891099999999998</v>
      </c>
      <c r="FH105">
        <v>2.19604</v>
      </c>
      <c r="FI105">
        <v>2.66235</v>
      </c>
      <c r="FJ105">
        <v>2.4462899999999999</v>
      </c>
      <c r="FK105">
        <v>2.3034699999999999</v>
      </c>
      <c r="FL105">
        <v>32.178400000000003</v>
      </c>
      <c r="FM105">
        <v>24.157499999999999</v>
      </c>
      <c r="FN105">
        <v>19</v>
      </c>
      <c r="FO105">
        <v>865.65800000000002</v>
      </c>
      <c r="FP105">
        <v>573.79399999999998</v>
      </c>
      <c r="FQ105">
        <v>18.3279</v>
      </c>
      <c r="FR105">
        <v>25.655999999999999</v>
      </c>
      <c r="FS105">
        <v>30.0001</v>
      </c>
      <c r="FT105">
        <v>25.650500000000001</v>
      </c>
      <c r="FU105">
        <v>25.651</v>
      </c>
      <c r="FV105">
        <v>24.913599999999999</v>
      </c>
      <c r="FW105">
        <v>28.3111</v>
      </c>
      <c r="FX105">
        <v>8.5960300000000007</v>
      </c>
      <c r="FY105">
        <v>18.3993</v>
      </c>
      <c r="FZ105">
        <v>410</v>
      </c>
      <c r="GA105">
        <v>14.7058</v>
      </c>
      <c r="GB105">
        <v>99.85</v>
      </c>
      <c r="GC105">
        <v>99.690899999999999</v>
      </c>
    </row>
    <row r="106" spans="1:185" x14ac:dyDescent="0.2">
      <c r="A106">
        <v>91</v>
      </c>
      <c r="B106">
        <v>1769196278</v>
      </c>
      <c r="C106">
        <v>1717</v>
      </c>
      <c r="D106" t="s">
        <v>477</v>
      </c>
      <c r="E106" t="s">
        <v>478</v>
      </c>
      <c r="F106">
        <v>15</v>
      </c>
      <c r="G106">
        <v>1769196269.9333301</v>
      </c>
      <c r="H106">
        <f t="shared" si="13"/>
        <v>7.3117540072169295E-4</v>
      </c>
      <c r="I106">
        <v>0</v>
      </c>
      <c r="J106">
        <f t="shared" si="25"/>
        <v>-5.2657181965793292E-3</v>
      </c>
      <c r="K106">
        <f t="shared" si="14"/>
        <v>-0.19622076413997352</v>
      </c>
      <c r="L106">
        <f t="shared" si="15"/>
        <v>71.454525002045756</v>
      </c>
      <c r="M106">
        <f t="shared" si="16"/>
        <v>1.5687067061055664</v>
      </c>
      <c r="N106">
        <f t="shared" si="17"/>
        <v>2.1953916929132955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26264.462305618683</v>
      </c>
      <c r="T106">
        <f t="shared" si="21"/>
        <v>0</v>
      </c>
      <c r="U106">
        <f t="shared" si="22"/>
        <v>0</v>
      </c>
      <c r="V106">
        <f t="shared" si="23"/>
        <v>0.84327507000000002</v>
      </c>
      <c r="W106">
        <f t="shared" si="24"/>
        <v>0.15938767500000001</v>
      </c>
      <c r="X106">
        <v>1</v>
      </c>
      <c r="Y106">
        <v>1769196269.9333301</v>
      </c>
      <c r="Z106">
        <v>409.87153333333299</v>
      </c>
      <c r="AA106">
        <v>410.00086666666698</v>
      </c>
      <c r="AB106">
        <v>15.6582066666667</v>
      </c>
      <c r="AC106">
        <v>14.7585533333333</v>
      </c>
      <c r="AD106">
        <v>410.69226666666702</v>
      </c>
      <c r="AE106">
        <v>15.5662533333333</v>
      </c>
      <c r="AF106">
        <v>800.00426666666704</v>
      </c>
      <c r="AG106">
        <v>100.119733333333</v>
      </c>
      <c r="AH106">
        <v>6.4581479999999997E-2</v>
      </c>
      <c r="AI106">
        <v>18.928726666666702</v>
      </c>
      <c r="AJ106">
        <v>999.9</v>
      </c>
      <c r="AK106">
        <v>999.9</v>
      </c>
      <c r="AL106">
        <v>0</v>
      </c>
      <c r="AM106">
        <v>0</v>
      </c>
      <c r="AN106">
        <v>5000.7333333333299</v>
      </c>
      <c r="AO106">
        <v>0</v>
      </c>
      <c r="AP106">
        <v>1.6937899999999999</v>
      </c>
      <c r="AQ106">
        <v>-0.12929481333333301</v>
      </c>
      <c r="AR106">
        <v>416.39139999999998</v>
      </c>
      <c r="AS106">
        <v>416.14260000000002</v>
      </c>
      <c r="AT106">
        <v>0.89965980000000001</v>
      </c>
      <c r="AU106">
        <v>410.00086666666698</v>
      </c>
      <c r="AV106">
        <v>14.7585533333333</v>
      </c>
      <c r="AW106">
        <v>1.5676966666666701</v>
      </c>
      <c r="AX106">
        <v>1.47762533333333</v>
      </c>
      <c r="AY106">
        <v>13.644873333333299</v>
      </c>
      <c r="AZ106">
        <v>12.738533333333301</v>
      </c>
      <c r="BA106">
        <v>0</v>
      </c>
      <c r="BB106">
        <v>0.89083100000000004</v>
      </c>
      <c r="BC106">
        <v>0</v>
      </c>
      <c r="BD106">
        <v>0.109169</v>
      </c>
      <c r="BE106">
        <v>0</v>
      </c>
      <c r="BF106">
        <v>24.666699999999999</v>
      </c>
      <c r="BG106">
        <v>0</v>
      </c>
      <c r="BH106">
        <v>1769195835.0999999</v>
      </c>
      <c r="BI106" t="s">
        <v>440</v>
      </c>
      <c r="BJ106">
        <v>1769195835.0999999</v>
      </c>
      <c r="BK106">
        <v>1769195834.0999999</v>
      </c>
      <c r="BL106">
        <v>3</v>
      </c>
      <c r="BM106">
        <v>2.1999999999999999E-2</v>
      </c>
      <c r="BN106">
        <v>1E-3</v>
      </c>
      <c r="BO106">
        <v>-0.82099999999999995</v>
      </c>
      <c r="BP106">
        <v>9.1999999999999998E-2</v>
      </c>
      <c r="BQ106">
        <v>410</v>
      </c>
      <c r="BR106">
        <v>15</v>
      </c>
      <c r="BS106">
        <v>0.22</v>
      </c>
      <c r="BT106">
        <v>0.09</v>
      </c>
      <c r="BU106">
        <v>-9.18288285714286E-2</v>
      </c>
      <c r="BV106">
        <v>-0.61655199740259703</v>
      </c>
      <c r="BW106">
        <v>6.8719357457291394E-2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0.89291719047619</v>
      </c>
      <c r="CD106">
        <v>7.6480441558441095E-2</v>
      </c>
      <c r="CE106">
        <v>9.8489355316488999E-3</v>
      </c>
      <c r="CF106">
        <v>1</v>
      </c>
      <c r="CG106">
        <v>1</v>
      </c>
      <c r="CH106">
        <v>2</v>
      </c>
      <c r="CI106" t="s">
        <v>297</v>
      </c>
      <c r="CJ106">
        <v>3.5324599999999999</v>
      </c>
      <c r="CK106">
        <v>2.7022300000000001</v>
      </c>
      <c r="CL106">
        <v>9.7896499999999997E-2</v>
      </c>
      <c r="CM106">
        <v>9.6581500000000001E-2</v>
      </c>
      <c r="CN106">
        <v>8.7951799999999997E-2</v>
      </c>
      <c r="CO106">
        <v>8.3162E-2</v>
      </c>
      <c r="CP106">
        <v>31623.3</v>
      </c>
      <c r="CQ106">
        <v>27805.8</v>
      </c>
      <c r="CR106">
        <v>32445.4</v>
      </c>
      <c r="CS106">
        <v>30706.1</v>
      </c>
      <c r="CT106">
        <v>40073</v>
      </c>
      <c r="CU106">
        <v>39590.5</v>
      </c>
      <c r="CV106">
        <v>47388.7</v>
      </c>
      <c r="CW106">
        <v>46831.5</v>
      </c>
      <c r="CX106">
        <v>2.62046</v>
      </c>
      <c r="CY106">
        <v>2.12398</v>
      </c>
      <c r="CZ106">
        <v>0</v>
      </c>
      <c r="DA106">
        <v>0</v>
      </c>
      <c r="DB106">
        <v>999.9</v>
      </c>
      <c r="DC106">
        <v>999.9</v>
      </c>
      <c r="DD106">
        <v>53.381999999999998</v>
      </c>
      <c r="DE106">
        <v>27.664000000000001</v>
      </c>
      <c r="DF106">
        <v>19.840199999999999</v>
      </c>
      <c r="DG106">
        <v>30.329699999999999</v>
      </c>
      <c r="DH106">
        <v>16.462299999999999</v>
      </c>
      <c r="DI106">
        <v>2</v>
      </c>
      <c r="DJ106">
        <v>-0.10623199999999999</v>
      </c>
      <c r="DK106">
        <v>1.71852</v>
      </c>
      <c r="DL106">
        <v>20.241</v>
      </c>
      <c r="DM106">
        <v>5.2478400000000001</v>
      </c>
      <c r="DN106">
        <v>12.033899999999999</v>
      </c>
      <c r="DO106">
        <v>4.9668400000000004</v>
      </c>
      <c r="DP106">
        <v>3.2906</v>
      </c>
      <c r="DQ106">
        <v>536.5</v>
      </c>
      <c r="DR106">
        <v>9999</v>
      </c>
      <c r="DS106">
        <v>9999</v>
      </c>
      <c r="DT106">
        <v>9999</v>
      </c>
      <c r="DU106">
        <v>1.87104</v>
      </c>
      <c r="DV106">
        <v>1.87608</v>
      </c>
      <c r="DW106">
        <v>1.87625</v>
      </c>
      <c r="DX106">
        <v>1.8827799999999999</v>
      </c>
      <c r="DY106">
        <v>1.8755599999999999</v>
      </c>
      <c r="DZ106">
        <v>1.8746100000000001</v>
      </c>
      <c r="EA106">
        <v>1.87073</v>
      </c>
      <c r="EB106">
        <v>1.8745499999999999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-0.82099999999999995</v>
      </c>
      <c r="EQ106">
        <v>9.1999999999999998E-2</v>
      </c>
      <c r="ER106">
        <v>-0.820799999999963</v>
      </c>
      <c r="ES106">
        <v>0</v>
      </c>
      <c r="ET106">
        <v>0</v>
      </c>
      <c r="EU106">
        <v>0</v>
      </c>
      <c r="EV106">
        <v>9.1945454545454594E-2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7.4</v>
      </c>
      <c r="FE106">
        <v>7.4</v>
      </c>
      <c r="FF106">
        <v>1.24146</v>
      </c>
      <c r="FG106">
        <v>2.5915499999999998</v>
      </c>
      <c r="FH106">
        <v>2.19604</v>
      </c>
      <c r="FI106">
        <v>2.66235</v>
      </c>
      <c r="FJ106">
        <v>2.4462899999999999</v>
      </c>
      <c r="FK106">
        <v>2.3132299999999999</v>
      </c>
      <c r="FL106">
        <v>32.178400000000003</v>
      </c>
      <c r="FM106">
        <v>24.148800000000001</v>
      </c>
      <c r="FN106">
        <v>19</v>
      </c>
      <c r="FO106">
        <v>865.54300000000001</v>
      </c>
      <c r="FP106">
        <v>573.33100000000002</v>
      </c>
      <c r="FQ106">
        <v>18.498100000000001</v>
      </c>
      <c r="FR106">
        <v>25.6586</v>
      </c>
      <c r="FS106">
        <v>30.0001</v>
      </c>
      <c r="FT106">
        <v>25.6526</v>
      </c>
      <c r="FU106">
        <v>25.654800000000002</v>
      </c>
      <c r="FV106">
        <v>24.912299999999998</v>
      </c>
      <c r="FW106">
        <v>28.871200000000002</v>
      </c>
      <c r="FX106">
        <v>8.2246199999999998</v>
      </c>
      <c r="FY106">
        <v>18.545000000000002</v>
      </c>
      <c r="FZ106">
        <v>410</v>
      </c>
      <c r="GA106">
        <v>14.6069</v>
      </c>
      <c r="GB106">
        <v>99.850499999999997</v>
      </c>
      <c r="GC106">
        <v>99.691100000000006</v>
      </c>
    </row>
    <row r="107" spans="1:185" x14ac:dyDescent="0.2">
      <c r="A107">
        <v>92</v>
      </c>
      <c r="B107">
        <v>1769196293</v>
      </c>
      <c r="C107">
        <v>1732</v>
      </c>
      <c r="D107" t="s">
        <v>479</v>
      </c>
      <c r="E107" t="s">
        <v>480</v>
      </c>
      <c r="F107">
        <v>15</v>
      </c>
      <c r="G107">
        <v>1769196284.9333301</v>
      </c>
      <c r="H107">
        <f t="shared" si="13"/>
        <v>7.4347704308865405E-4</v>
      </c>
      <c r="I107">
        <v>0</v>
      </c>
      <c r="J107">
        <f t="shared" si="25"/>
        <v>-4.4157251641116571E-3</v>
      </c>
      <c r="K107">
        <f t="shared" si="14"/>
        <v>-0.1645467785376285</v>
      </c>
      <c r="L107">
        <f t="shared" si="15"/>
        <v>70.808687933998229</v>
      </c>
      <c r="M107">
        <f t="shared" si="16"/>
        <v>1.557353457333662</v>
      </c>
      <c r="N107">
        <f t="shared" si="17"/>
        <v>2.199381887693348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26218.470092996246</v>
      </c>
      <c r="T107">
        <f t="shared" si="21"/>
        <v>0</v>
      </c>
      <c r="U107">
        <f t="shared" si="22"/>
        <v>0</v>
      </c>
      <c r="V107">
        <f t="shared" si="23"/>
        <v>0.84327507000000002</v>
      </c>
      <c r="W107">
        <f t="shared" si="24"/>
        <v>0.15938767500000001</v>
      </c>
      <c r="X107">
        <v>1</v>
      </c>
      <c r="Y107">
        <v>1769196284.9333301</v>
      </c>
      <c r="Z107">
        <v>409.84153333333302</v>
      </c>
      <c r="AA107">
        <v>410.01673333333298</v>
      </c>
      <c r="AB107">
        <v>15.544786666666701</v>
      </c>
      <c r="AC107">
        <v>14.6298933333333</v>
      </c>
      <c r="AD107">
        <v>410.66233333333298</v>
      </c>
      <c r="AE107">
        <v>15.452833333333301</v>
      </c>
      <c r="AF107">
        <v>800.00566666666703</v>
      </c>
      <c r="AG107">
        <v>100.12026666666701</v>
      </c>
      <c r="AH107">
        <v>6.4669333333333301E-2</v>
      </c>
      <c r="AI107">
        <v>18.957813333333299</v>
      </c>
      <c r="AJ107">
        <v>999.9</v>
      </c>
      <c r="AK107">
        <v>999.9</v>
      </c>
      <c r="AL107">
        <v>0</v>
      </c>
      <c r="AM107">
        <v>0</v>
      </c>
      <c r="AN107">
        <v>4993.5666666666702</v>
      </c>
      <c r="AO107">
        <v>0</v>
      </c>
      <c r="AP107">
        <v>1.6937899999999999</v>
      </c>
      <c r="AQ107">
        <v>-0.17542733333333299</v>
      </c>
      <c r="AR107">
        <v>416.31286666666699</v>
      </c>
      <c r="AS107">
        <v>416.10446666666701</v>
      </c>
      <c r="AT107">
        <v>0.91491213333333299</v>
      </c>
      <c r="AU107">
        <v>410.01673333333298</v>
      </c>
      <c r="AV107">
        <v>14.6298933333333</v>
      </c>
      <c r="AW107">
        <v>1.5563499999999999</v>
      </c>
      <c r="AX107">
        <v>1.46475</v>
      </c>
      <c r="AY107">
        <v>13.53326</v>
      </c>
      <c r="AZ107">
        <v>12.6050733333333</v>
      </c>
      <c r="BA107">
        <v>0</v>
      </c>
      <c r="BB107">
        <v>0.89083100000000004</v>
      </c>
      <c r="BC107">
        <v>0</v>
      </c>
      <c r="BD107">
        <v>0.109169</v>
      </c>
      <c r="BE107">
        <v>0</v>
      </c>
      <c r="BF107">
        <v>24.655573333333301</v>
      </c>
      <c r="BG107">
        <v>0</v>
      </c>
      <c r="BH107">
        <v>1769195835.0999999</v>
      </c>
      <c r="BI107" t="s">
        <v>440</v>
      </c>
      <c r="BJ107">
        <v>1769195835.0999999</v>
      </c>
      <c r="BK107">
        <v>1769195834.0999999</v>
      </c>
      <c r="BL107">
        <v>3</v>
      </c>
      <c r="BM107">
        <v>2.1999999999999999E-2</v>
      </c>
      <c r="BN107">
        <v>1E-3</v>
      </c>
      <c r="BO107">
        <v>-0.82099999999999995</v>
      </c>
      <c r="BP107">
        <v>9.1999999999999998E-2</v>
      </c>
      <c r="BQ107">
        <v>410</v>
      </c>
      <c r="BR107">
        <v>15</v>
      </c>
      <c r="BS107">
        <v>0.22</v>
      </c>
      <c r="BT107">
        <v>0.09</v>
      </c>
      <c r="BU107">
        <v>-0.18180394999999999</v>
      </c>
      <c r="BV107">
        <v>0.16318019548872101</v>
      </c>
      <c r="BW107">
        <v>2.69370003071519E-2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0.91287459999999998</v>
      </c>
      <c r="CD107">
        <v>-1.08591879699246E-2</v>
      </c>
      <c r="CE107">
        <v>1.6091391025638498E-2</v>
      </c>
      <c r="CF107">
        <v>1</v>
      </c>
      <c r="CG107">
        <v>2</v>
      </c>
      <c r="CH107">
        <v>2</v>
      </c>
      <c r="CI107" t="s">
        <v>304</v>
      </c>
      <c r="CJ107">
        <v>3.5325299999999999</v>
      </c>
      <c r="CK107">
        <v>2.7027199999999998</v>
      </c>
      <c r="CL107">
        <v>9.7892999999999994E-2</v>
      </c>
      <c r="CM107">
        <v>9.6569000000000002E-2</v>
      </c>
      <c r="CN107">
        <v>8.7521000000000002E-2</v>
      </c>
      <c r="CO107">
        <v>8.2905400000000004E-2</v>
      </c>
      <c r="CP107">
        <v>31623.599999999999</v>
      </c>
      <c r="CQ107">
        <v>27806.6</v>
      </c>
      <c r="CR107">
        <v>32445.7</v>
      </c>
      <c r="CS107">
        <v>30706.7</v>
      </c>
      <c r="CT107">
        <v>40093</v>
      </c>
      <c r="CU107">
        <v>39602.699999999997</v>
      </c>
      <c r="CV107">
        <v>47389.2</v>
      </c>
      <c r="CW107">
        <v>46832.5</v>
      </c>
      <c r="CX107">
        <v>2.6206399999999999</v>
      </c>
      <c r="CY107">
        <v>2.1237200000000001</v>
      </c>
      <c r="CZ107">
        <v>0</v>
      </c>
      <c r="DA107">
        <v>0</v>
      </c>
      <c r="DB107">
        <v>999.9</v>
      </c>
      <c r="DC107">
        <v>999.9</v>
      </c>
      <c r="DD107">
        <v>53.308999999999997</v>
      </c>
      <c r="DE107">
        <v>27.664000000000001</v>
      </c>
      <c r="DF107">
        <v>19.8139</v>
      </c>
      <c r="DG107">
        <v>30.479700000000001</v>
      </c>
      <c r="DH107">
        <v>16.458300000000001</v>
      </c>
      <c r="DI107">
        <v>2</v>
      </c>
      <c r="DJ107">
        <v>-0.105894</v>
      </c>
      <c r="DK107">
        <v>1.7251700000000001</v>
      </c>
      <c r="DL107">
        <v>20.241099999999999</v>
      </c>
      <c r="DM107">
        <v>5.2513100000000001</v>
      </c>
      <c r="DN107">
        <v>12.033899999999999</v>
      </c>
      <c r="DO107">
        <v>4.9673999999999996</v>
      </c>
      <c r="DP107">
        <v>3.2909999999999999</v>
      </c>
      <c r="DQ107">
        <v>536.5</v>
      </c>
      <c r="DR107">
        <v>9999</v>
      </c>
      <c r="DS107">
        <v>9999</v>
      </c>
      <c r="DT107">
        <v>9999</v>
      </c>
      <c r="DU107">
        <v>1.87104</v>
      </c>
      <c r="DV107">
        <v>1.87609</v>
      </c>
      <c r="DW107">
        <v>1.8762799999999999</v>
      </c>
      <c r="DX107">
        <v>1.8827799999999999</v>
      </c>
      <c r="DY107">
        <v>1.87557</v>
      </c>
      <c r="DZ107">
        <v>1.87462</v>
      </c>
      <c r="EA107">
        <v>1.87076</v>
      </c>
      <c r="EB107">
        <v>1.8745799999999999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-0.82099999999999995</v>
      </c>
      <c r="EQ107">
        <v>9.1999999999999998E-2</v>
      </c>
      <c r="ER107">
        <v>-0.820799999999963</v>
      </c>
      <c r="ES107">
        <v>0</v>
      </c>
      <c r="ET107">
        <v>0</v>
      </c>
      <c r="EU107">
        <v>0</v>
      </c>
      <c r="EV107">
        <v>9.1945454545454594E-2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7.6</v>
      </c>
      <c r="FE107">
        <v>7.6</v>
      </c>
      <c r="FF107">
        <v>1.24146</v>
      </c>
      <c r="FG107">
        <v>2.5964399999999999</v>
      </c>
      <c r="FH107">
        <v>2.19604</v>
      </c>
      <c r="FI107">
        <v>2.66235</v>
      </c>
      <c r="FJ107">
        <v>2.4462899999999999</v>
      </c>
      <c r="FK107">
        <v>2.2839399999999999</v>
      </c>
      <c r="FL107">
        <v>32.178400000000003</v>
      </c>
      <c r="FM107">
        <v>24.148800000000001</v>
      </c>
      <c r="FN107">
        <v>19</v>
      </c>
      <c r="FO107">
        <v>865.74599999999998</v>
      </c>
      <c r="FP107">
        <v>573.16099999999994</v>
      </c>
      <c r="FQ107">
        <v>18.608899999999998</v>
      </c>
      <c r="FR107">
        <v>25.6617</v>
      </c>
      <c r="FS107">
        <v>30.0002</v>
      </c>
      <c r="FT107">
        <v>25.654800000000002</v>
      </c>
      <c r="FU107">
        <v>25.657399999999999</v>
      </c>
      <c r="FV107">
        <v>24.9132</v>
      </c>
      <c r="FW107">
        <v>28.871200000000002</v>
      </c>
      <c r="FX107">
        <v>8.2246199999999998</v>
      </c>
      <c r="FY107">
        <v>18.628900000000002</v>
      </c>
      <c r="FZ107">
        <v>410</v>
      </c>
      <c r="GA107">
        <v>14.564299999999999</v>
      </c>
      <c r="GB107">
        <v>99.851500000000001</v>
      </c>
      <c r="GC107">
        <v>99.693200000000004</v>
      </c>
    </row>
    <row r="108" spans="1:185" x14ac:dyDescent="0.2">
      <c r="A108">
        <v>93</v>
      </c>
      <c r="B108">
        <v>1769196308</v>
      </c>
      <c r="C108">
        <v>1747</v>
      </c>
      <c r="D108" t="s">
        <v>481</v>
      </c>
      <c r="E108" t="s">
        <v>482</v>
      </c>
      <c r="F108">
        <v>15</v>
      </c>
      <c r="G108">
        <v>1769196299.9333301</v>
      </c>
      <c r="H108">
        <f t="shared" si="13"/>
        <v>7.0183309616084222E-4</v>
      </c>
      <c r="I108">
        <v>0</v>
      </c>
      <c r="J108">
        <f t="shared" si="25"/>
        <v>-3.5863251681068466E-3</v>
      </c>
      <c r="K108">
        <f t="shared" si="14"/>
        <v>-0.1336401680966299</v>
      </c>
      <c r="L108">
        <f t="shared" si="15"/>
        <v>70.313488065759017</v>
      </c>
      <c r="M108">
        <f t="shared" si="16"/>
        <v>1.549523644530715</v>
      </c>
      <c r="N108">
        <f t="shared" si="17"/>
        <v>2.2037359931305924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26257.429374469422</v>
      </c>
      <c r="T108">
        <f t="shared" si="21"/>
        <v>0</v>
      </c>
      <c r="U108">
        <f t="shared" si="22"/>
        <v>0</v>
      </c>
      <c r="V108">
        <f t="shared" si="23"/>
        <v>0.84327507000000002</v>
      </c>
      <c r="W108">
        <f t="shared" si="24"/>
        <v>0.15938767500000001</v>
      </c>
      <c r="X108">
        <v>1</v>
      </c>
      <c r="Y108">
        <v>1769196299.9333301</v>
      </c>
      <c r="Z108">
        <v>409.80393333333302</v>
      </c>
      <c r="AA108">
        <v>409.99639999999999</v>
      </c>
      <c r="AB108">
        <v>15.466673333333301</v>
      </c>
      <c r="AC108">
        <v>14.6029533333333</v>
      </c>
      <c r="AD108">
        <v>410.62479999999999</v>
      </c>
      <c r="AE108">
        <v>15.3747066666667</v>
      </c>
      <c r="AF108">
        <v>800.00239999999997</v>
      </c>
      <c r="AG108">
        <v>100.11993333333299</v>
      </c>
      <c r="AH108">
        <v>6.4741880000000002E-2</v>
      </c>
      <c r="AI108">
        <v>18.9895</v>
      </c>
      <c r="AJ108">
        <v>999.9</v>
      </c>
      <c r="AK108">
        <v>999.9</v>
      </c>
      <c r="AL108">
        <v>0</v>
      </c>
      <c r="AM108">
        <v>0</v>
      </c>
      <c r="AN108">
        <v>5000.4666666666699</v>
      </c>
      <c r="AO108">
        <v>0</v>
      </c>
      <c r="AP108">
        <v>1.6937899999999999</v>
      </c>
      <c r="AQ108">
        <v>-0.192354266666667</v>
      </c>
      <c r="AR108">
        <v>416.24186666666702</v>
      </c>
      <c r="AS108">
        <v>416.07220000000001</v>
      </c>
      <c r="AT108">
        <v>0.86370480000000005</v>
      </c>
      <c r="AU108">
        <v>409.99639999999999</v>
      </c>
      <c r="AV108">
        <v>14.6029533333333</v>
      </c>
      <c r="AW108">
        <v>1.54852066666667</v>
      </c>
      <c r="AX108">
        <v>1.462048</v>
      </c>
      <c r="AY108">
        <v>13.45584</v>
      </c>
      <c r="AZ108">
        <v>12.576919999999999</v>
      </c>
      <c r="BA108">
        <v>0</v>
      </c>
      <c r="BB108">
        <v>0.89083100000000004</v>
      </c>
      <c r="BC108">
        <v>0</v>
      </c>
      <c r="BD108">
        <v>0.109169</v>
      </c>
      <c r="BE108">
        <v>0</v>
      </c>
      <c r="BF108">
        <v>24.6111066666667</v>
      </c>
      <c r="BG108">
        <v>0</v>
      </c>
      <c r="BH108">
        <v>1769195835.0999999</v>
      </c>
      <c r="BI108" t="s">
        <v>440</v>
      </c>
      <c r="BJ108">
        <v>1769195835.0999999</v>
      </c>
      <c r="BK108">
        <v>1769195834.0999999</v>
      </c>
      <c r="BL108">
        <v>3</v>
      </c>
      <c r="BM108">
        <v>2.1999999999999999E-2</v>
      </c>
      <c r="BN108">
        <v>1E-3</v>
      </c>
      <c r="BO108">
        <v>-0.82099999999999995</v>
      </c>
      <c r="BP108">
        <v>9.1999999999999998E-2</v>
      </c>
      <c r="BQ108">
        <v>410</v>
      </c>
      <c r="BR108">
        <v>15</v>
      </c>
      <c r="BS108">
        <v>0.22</v>
      </c>
      <c r="BT108">
        <v>0.09</v>
      </c>
      <c r="BU108">
        <v>-0.18505089999999999</v>
      </c>
      <c r="BV108">
        <v>-3.53288120300752E-2</v>
      </c>
      <c r="BW108">
        <v>2.1794909616467802E-2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0.87094205000000002</v>
      </c>
      <c r="CD108">
        <v>-0.16242717293233</v>
      </c>
      <c r="CE108">
        <v>1.58443749749714E-2</v>
      </c>
      <c r="CF108">
        <v>0</v>
      </c>
      <c r="CG108">
        <v>1</v>
      </c>
      <c r="CH108">
        <v>2</v>
      </c>
      <c r="CI108" t="s">
        <v>297</v>
      </c>
      <c r="CJ108">
        <v>3.5325299999999999</v>
      </c>
      <c r="CK108">
        <v>2.70234</v>
      </c>
      <c r="CL108">
        <v>9.7883600000000001E-2</v>
      </c>
      <c r="CM108">
        <v>9.6568500000000002E-2</v>
      </c>
      <c r="CN108">
        <v>8.7248000000000006E-2</v>
      </c>
      <c r="CO108">
        <v>8.2799300000000006E-2</v>
      </c>
      <c r="CP108">
        <v>31622.7</v>
      </c>
      <c r="CQ108">
        <v>27805.9</v>
      </c>
      <c r="CR108">
        <v>32444.400000000001</v>
      </c>
      <c r="CS108">
        <v>30705.9</v>
      </c>
      <c r="CT108">
        <v>40103.9</v>
      </c>
      <c r="CU108">
        <v>39606.6</v>
      </c>
      <c r="CV108">
        <v>47387.5</v>
      </c>
      <c r="CW108">
        <v>46831.5</v>
      </c>
      <c r="CX108">
        <v>2.6205799999999999</v>
      </c>
      <c r="CY108">
        <v>2.1235200000000001</v>
      </c>
      <c r="CZ108">
        <v>0</v>
      </c>
      <c r="DA108">
        <v>0</v>
      </c>
      <c r="DB108">
        <v>999.9</v>
      </c>
      <c r="DC108">
        <v>999.9</v>
      </c>
      <c r="DD108">
        <v>53.234999999999999</v>
      </c>
      <c r="DE108">
        <v>27.693999999999999</v>
      </c>
      <c r="DF108">
        <v>19.822900000000001</v>
      </c>
      <c r="DG108">
        <v>30.689699999999998</v>
      </c>
      <c r="DH108">
        <v>16.402200000000001</v>
      </c>
      <c r="DI108">
        <v>2</v>
      </c>
      <c r="DJ108">
        <v>-0.105112</v>
      </c>
      <c r="DK108">
        <v>1.8083100000000001</v>
      </c>
      <c r="DL108">
        <v>20.2395</v>
      </c>
      <c r="DM108">
        <v>5.2478400000000001</v>
      </c>
      <c r="DN108">
        <v>12.033899999999999</v>
      </c>
      <c r="DO108">
        <v>4.9669600000000003</v>
      </c>
      <c r="DP108">
        <v>3.2905799999999998</v>
      </c>
      <c r="DQ108">
        <v>536.5</v>
      </c>
      <c r="DR108">
        <v>9999</v>
      </c>
      <c r="DS108">
        <v>9999</v>
      </c>
      <c r="DT108">
        <v>9999</v>
      </c>
      <c r="DU108">
        <v>1.87104</v>
      </c>
      <c r="DV108">
        <v>1.87612</v>
      </c>
      <c r="DW108">
        <v>1.87632</v>
      </c>
      <c r="DX108">
        <v>1.88279</v>
      </c>
      <c r="DY108">
        <v>1.8755999999999999</v>
      </c>
      <c r="DZ108">
        <v>1.8746700000000001</v>
      </c>
      <c r="EA108">
        <v>1.8707800000000001</v>
      </c>
      <c r="EB108">
        <v>1.87459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-0.82099999999999995</v>
      </c>
      <c r="EQ108">
        <v>9.1899999999999996E-2</v>
      </c>
      <c r="ER108">
        <v>-0.820799999999963</v>
      </c>
      <c r="ES108">
        <v>0</v>
      </c>
      <c r="ET108">
        <v>0</v>
      </c>
      <c r="EU108">
        <v>0</v>
      </c>
      <c r="EV108">
        <v>9.1945454545454594E-2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7.9</v>
      </c>
      <c r="FE108">
        <v>7.9</v>
      </c>
      <c r="FF108">
        <v>1.24146</v>
      </c>
      <c r="FG108">
        <v>2.5927699999999998</v>
      </c>
      <c r="FH108">
        <v>2.19604</v>
      </c>
      <c r="FI108">
        <v>2.66235</v>
      </c>
      <c r="FJ108">
        <v>2.4462899999999999</v>
      </c>
      <c r="FK108">
        <v>2.2973599999999998</v>
      </c>
      <c r="FL108">
        <v>32.178400000000003</v>
      </c>
      <c r="FM108">
        <v>24.157499999999999</v>
      </c>
      <c r="FN108">
        <v>19</v>
      </c>
      <c r="FO108">
        <v>865.745</v>
      </c>
      <c r="FP108">
        <v>573.03300000000002</v>
      </c>
      <c r="FQ108">
        <v>18.653500000000001</v>
      </c>
      <c r="FR108">
        <v>25.664300000000001</v>
      </c>
      <c r="FS108">
        <v>30.000299999999999</v>
      </c>
      <c r="FT108">
        <v>25.658300000000001</v>
      </c>
      <c r="FU108">
        <v>25.659600000000001</v>
      </c>
      <c r="FV108">
        <v>24.912400000000002</v>
      </c>
      <c r="FW108">
        <v>28.871200000000002</v>
      </c>
      <c r="FX108">
        <v>7.8486099999999999</v>
      </c>
      <c r="FY108">
        <v>18.254999999999999</v>
      </c>
      <c r="FZ108">
        <v>410</v>
      </c>
      <c r="GA108">
        <v>14.553699999999999</v>
      </c>
      <c r="GB108">
        <v>99.847800000000007</v>
      </c>
      <c r="GC108">
        <v>99.690899999999999</v>
      </c>
    </row>
    <row r="109" spans="1:185" x14ac:dyDescent="0.2">
      <c r="A109">
        <v>94</v>
      </c>
      <c r="B109">
        <v>1769196323</v>
      </c>
      <c r="C109">
        <v>1762</v>
      </c>
      <c r="D109" t="s">
        <v>483</v>
      </c>
      <c r="E109" t="s">
        <v>484</v>
      </c>
      <c r="F109">
        <v>15</v>
      </c>
      <c r="G109">
        <v>1769196314.9333301</v>
      </c>
      <c r="H109">
        <f t="shared" si="13"/>
        <v>6.705998000355502E-4</v>
      </c>
      <c r="I109">
        <v>0</v>
      </c>
      <c r="J109">
        <f t="shared" si="25"/>
        <v>-2.5738962004248972E-3</v>
      </c>
      <c r="K109">
        <f t="shared" si="14"/>
        <v>-9.5913199379418987E-2</v>
      </c>
      <c r="L109">
        <f t="shared" si="15"/>
        <v>69.96862953972915</v>
      </c>
      <c r="M109">
        <f t="shared" si="16"/>
        <v>1.5440023455147556</v>
      </c>
      <c r="N109">
        <f t="shared" si="17"/>
        <v>2.2067065707468942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26303.446283933947</v>
      </c>
      <c r="T109">
        <f t="shared" si="21"/>
        <v>0</v>
      </c>
      <c r="U109">
        <f t="shared" si="22"/>
        <v>0</v>
      </c>
      <c r="V109">
        <f t="shared" si="23"/>
        <v>0.84327507000000002</v>
      </c>
      <c r="W109">
        <f t="shared" si="24"/>
        <v>0.15938767500000001</v>
      </c>
      <c r="X109">
        <v>1</v>
      </c>
      <c r="Y109">
        <v>1769196314.9333301</v>
      </c>
      <c r="Z109">
        <v>409.7758</v>
      </c>
      <c r="AA109">
        <v>409.99939999999998</v>
      </c>
      <c r="AB109">
        <v>15.4116533333333</v>
      </c>
      <c r="AC109">
        <v>14.5863333333333</v>
      </c>
      <c r="AD109">
        <v>410.59660000000002</v>
      </c>
      <c r="AE109">
        <v>15.319706666666701</v>
      </c>
      <c r="AF109">
        <v>800.01059999999995</v>
      </c>
      <c r="AG109">
        <v>100.11920000000001</v>
      </c>
      <c r="AH109">
        <v>6.4882273333333296E-2</v>
      </c>
      <c r="AI109">
        <v>19.011086666666699</v>
      </c>
      <c r="AJ109">
        <v>999.9</v>
      </c>
      <c r="AK109">
        <v>999.9</v>
      </c>
      <c r="AL109">
        <v>0</v>
      </c>
      <c r="AM109">
        <v>0</v>
      </c>
      <c r="AN109">
        <v>5008.3999999999996</v>
      </c>
      <c r="AO109">
        <v>0</v>
      </c>
      <c r="AP109">
        <v>1.6937899999999999</v>
      </c>
      <c r="AQ109">
        <v>-0.2236572</v>
      </c>
      <c r="AR109">
        <v>416.18993333333299</v>
      </c>
      <c r="AS109">
        <v>416.06833333333299</v>
      </c>
      <c r="AT109">
        <v>0.82531286666666703</v>
      </c>
      <c r="AU109">
        <v>409.99939999999998</v>
      </c>
      <c r="AV109">
        <v>14.5863333333333</v>
      </c>
      <c r="AW109">
        <v>1.5430026666666701</v>
      </c>
      <c r="AX109">
        <v>1.460372</v>
      </c>
      <c r="AY109">
        <v>13.4010533333333</v>
      </c>
      <c r="AZ109">
        <v>12.5594533333333</v>
      </c>
      <c r="BA109">
        <v>0</v>
      </c>
      <c r="BB109">
        <v>0.89083100000000004</v>
      </c>
      <c r="BC109">
        <v>0</v>
      </c>
      <c r="BD109">
        <v>0.109169</v>
      </c>
      <c r="BE109">
        <v>0</v>
      </c>
      <c r="BF109">
        <v>24.46</v>
      </c>
      <c r="BG109">
        <v>0</v>
      </c>
      <c r="BH109">
        <v>1769195835.0999999</v>
      </c>
      <c r="BI109" t="s">
        <v>440</v>
      </c>
      <c r="BJ109">
        <v>1769195835.0999999</v>
      </c>
      <c r="BK109">
        <v>1769195834.0999999</v>
      </c>
      <c r="BL109">
        <v>3</v>
      </c>
      <c r="BM109">
        <v>2.1999999999999999E-2</v>
      </c>
      <c r="BN109">
        <v>1E-3</v>
      </c>
      <c r="BO109">
        <v>-0.82099999999999995</v>
      </c>
      <c r="BP109">
        <v>9.1999999999999998E-2</v>
      </c>
      <c r="BQ109">
        <v>410</v>
      </c>
      <c r="BR109">
        <v>15</v>
      </c>
      <c r="BS109">
        <v>0.22</v>
      </c>
      <c r="BT109">
        <v>0.09</v>
      </c>
      <c r="BU109">
        <v>-0.21070554999999999</v>
      </c>
      <c r="BV109">
        <v>-5.3185488721804799E-2</v>
      </c>
      <c r="BW109">
        <v>3.99633692291766E-2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0.83419705</v>
      </c>
      <c r="CD109">
        <v>-0.16439769924812001</v>
      </c>
      <c r="CE109">
        <v>1.5874674996594399E-2</v>
      </c>
      <c r="CF109">
        <v>0</v>
      </c>
      <c r="CG109">
        <v>1</v>
      </c>
      <c r="CH109">
        <v>2</v>
      </c>
      <c r="CI109" t="s">
        <v>297</v>
      </c>
      <c r="CJ109">
        <v>3.5325299999999999</v>
      </c>
      <c r="CK109">
        <v>2.7028300000000001</v>
      </c>
      <c r="CL109">
        <v>9.7884700000000005E-2</v>
      </c>
      <c r="CM109">
        <v>9.6573699999999998E-2</v>
      </c>
      <c r="CN109">
        <v>8.7052900000000003E-2</v>
      </c>
      <c r="CO109">
        <v>8.27238E-2</v>
      </c>
      <c r="CP109">
        <v>31621.599999999999</v>
      </c>
      <c r="CQ109">
        <v>27804.6</v>
      </c>
      <c r="CR109">
        <v>32443.3</v>
      </c>
      <c r="CS109">
        <v>30704.6</v>
      </c>
      <c r="CT109">
        <v>40111.599999999999</v>
      </c>
      <c r="CU109">
        <v>39608.300000000003</v>
      </c>
      <c r="CV109">
        <v>47386.1</v>
      </c>
      <c r="CW109">
        <v>46829.5</v>
      </c>
      <c r="CX109">
        <v>2.6202999999999999</v>
      </c>
      <c r="CY109">
        <v>2.1232600000000001</v>
      </c>
      <c r="CZ109">
        <v>0</v>
      </c>
      <c r="DA109">
        <v>0</v>
      </c>
      <c r="DB109">
        <v>999.9</v>
      </c>
      <c r="DC109">
        <v>999.9</v>
      </c>
      <c r="DD109">
        <v>53.167999999999999</v>
      </c>
      <c r="DE109">
        <v>27.693999999999999</v>
      </c>
      <c r="DF109">
        <v>19.796900000000001</v>
      </c>
      <c r="DG109">
        <v>30.419699999999999</v>
      </c>
      <c r="DH109">
        <v>16.406199999999998</v>
      </c>
      <c r="DI109">
        <v>2</v>
      </c>
      <c r="DJ109">
        <v>-0.10165200000000001</v>
      </c>
      <c r="DK109">
        <v>2.4965299999999999</v>
      </c>
      <c r="DL109">
        <v>20.2288</v>
      </c>
      <c r="DM109">
        <v>5.2505899999999999</v>
      </c>
      <c r="DN109">
        <v>12.033899999999999</v>
      </c>
      <c r="DO109">
        <v>4.9674399999999999</v>
      </c>
      <c r="DP109">
        <v>3.2909999999999999</v>
      </c>
      <c r="DQ109">
        <v>536.5</v>
      </c>
      <c r="DR109">
        <v>9999</v>
      </c>
      <c r="DS109">
        <v>9999</v>
      </c>
      <c r="DT109">
        <v>9999</v>
      </c>
      <c r="DU109">
        <v>1.8710500000000001</v>
      </c>
      <c r="DV109">
        <v>1.8761000000000001</v>
      </c>
      <c r="DW109">
        <v>1.8763000000000001</v>
      </c>
      <c r="DX109">
        <v>1.8827799999999999</v>
      </c>
      <c r="DY109">
        <v>1.87561</v>
      </c>
      <c r="DZ109">
        <v>1.87466</v>
      </c>
      <c r="EA109">
        <v>1.8707499999999999</v>
      </c>
      <c r="EB109">
        <v>1.8745700000000001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-0.82099999999999995</v>
      </c>
      <c r="EQ109">
        <v>9.1999999999999998E-2</v>
      </c>
      <c r="ER109">
        <v>-0.820799999999963</v>
      </c>
      <c r="ES109">
        <v>0</v>
      </c>
      <c r="ET109">
        <v>0</v>
      </c>
      <c r="EU109">
        <v>0</v>
      </c>
      <c r="EV109">
        <v>9.1945454545454594E-2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8.1</v>
      </c>
      <c r="FE109">
        <v>8.1</v>
      </c>
      <c r="FF109">
        <v>1.24146</v>
      </c>
      <c r="FG109">
        <v>2.5927699999999998</v>
      </c>
      <c r="FH109">
        <v>2.19604</v>
      </c>
      <c r="FI109">
        <v>2.66235</v>
      </c>
      <c r="FJ109">
        <v>2.4462899999999999</v>
      </c>
      <c r="FK109">
        <v>2.2936999999999999</v>
      </c>
      <c r="FL109">
        <v>32.200499999999998</v>
      </c>
      <c r="FM109">
        <v>24.157499999999999</v>
      </c>
      <c r="FN109">
        <v>19</v>
      </c>
      <c r="FO109">
        <v>865.51900000000001</v>
      </c>
      <c r="FP109">
        <v>572.86599999999999</v>
      </c>
      <c r="FQ109">
        <v>18.1904</v>
      </c>
      <c r="FR109">
        <v>25.666</v>
      </c>
      <c r="FS109">
        <v>29.9998</v>
      </c>
      <c r="FT109">
        <v>25.660499999999999</v>
      </c>
      <c r="FU109">
        <v>25.662600000000001</v>
      </c>
      <c r="FV109">
        <v>24.912099999999999</v>
      </c>
      <c r="FW109">
        <v>28.871200000000002</v>
      </c>
      <c r="FX109">
        <v>7.4780899999999999</v>
      </c>
      <c r="FY109">
        <v>18.2224</v>
      </c>
      <c r="FZ109">
        <v>410</v>
      </c>
      <c r="GA109">
        <v>14.5687</v>
      </c>
      <c r="GB109">
        <v>99.844700000000003</v>
      </c>
      <c r="GC109">
        <v>99.686700000000002</v>
      </c>
    </row>
    <row r="110" spans="1:185" x14ac:dyDescent="0.2">
      <c r="A110">
        <v>95</v>
      </c>
      <c r="B110">
        <v>1769196338</v>
      </c>
      <c r="C110">
        <v>1777</v>
      </c>
      <c r="D110" t="s">
        <v>485</v>
      </c>
      <c r="E110" t="s">
        <v>486</v>
      </c>
      <c r="F110">
        <v>15</v>
      </c>
      <c r="G110">
        <v>1769196329.9333301</v>
      </c>
      <c r="H110">
        <f t="shared" si="13"/>
        <v>6.5490075922006771E-4</v>
      </c>
      <c r="I110">
        <v>0</v>
      </c>
      <c r="J110">
        <f t="shared" si="25"/>
        <v>-2.7522730750458831E-3</v>
      </c>
      <c r="K110">
        <f t="shared" si="14"/>
        <v>-0.10256020275794527</v>
      </c>
      <c r="L110">
        <f t="shared" si="15"/>
        <v>69.882861244452428</v>
      </c>
      <c r="M110">
        <f t="shared" si="16"/>
        <v>1.5400292811362202</v>
      </c>
      <c r="N110">
        <f t="shared" si="17"/>
        <v>2.2037295750515273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26237.709616630724</v>
      </c>
      <c r="T110">
        <f t="shared" si="21"/>
        <v>0</v>
      </c>
      <c r="U110">
        <f t="shared" si="22"/>
        <v>0</v>
      </c>
      <c r="V110">
        <f t="shared" si="23"/>
        <v>0.84327507000000002</v>
      </c>
      <c r="W110">
        <f t="shared" si="24"/>
        <v>0.15938767500000001</v>
      </c>
      <c r="X110">
        <v>1</v>
      </c>
      <c r="Y110">
        <v>1769196329.9333301</v>
      </c>
      <c r="Z110">
        <v>409.79539999999997</v>
      </c>
      <c r="AA110">
        <v>410.00266666666698</v>
      </c>
      <c r="AB110">
        <v>15.37204</v>
      </c>
      <c r="AC110">
        <v>14.5660066666667</v>
      </c>
      <c r="AD110">
        <v>410.616266666667</v>
      </c>
      <c r="AE110">
        <v>15.2800933333333</v>
      </c>
      <c r="AF110">
        <v>800.0086</v>
      </c>
      <c r="AG110">
        <v>100.11879999999999</v>
      </c>
      <c r="AH110">
        <v>6.4993506666666701E-2</v>
      </c>
      <c r="AI110">
        <v>18.989453333333302</v>
      </c>
      <c r="AJ110">
        <v>999.9</v>
      </c>
      <c r="AK110">
        <v>999.9</v>
      </c>
      <c r="AL110">
        <v>0</v>
      </c>
      <c r="AM110">
        <v>0</v>
      </c>
      <c r="AN110">
        <v>4997.2666666666701</v>
      </c>
      <c r="AO110">
        <v>0</v>
      </c>
      <c r="AP110">
        <v>1.6937899999999999</v>
      </c>
      <c r="AQ110">
        <v>-0.207257</v>
      </c>
      <c r="AR110">
        <v>416.193266666667</v>
      </c>
      <c r="AS110">
        <v>416.06313333333298</v>
      </c>
      <c r="AT110">
        <v>0.80602513333333303</v>
      </c>
      <c r="AU110">
        <v>410.00266666666698</v>
      </c>
      <c r="AV110">
        <v>14.5660066666667</v>
      </c>
      <c r="AW110">
        <v>1.5390313333333301</v>
      </c>
      <c r="AX110">
        <v>1.4583333333333299</v>
      </c>
      <c r="AY110">
        <v>13.361520000000001</v>
      </c>
      <c r="AZ110">
        <v>12.5381466666667</v>
      </c>
      <c r="BA110">
        <v>0</v>
      </c>
      <c r="BB110">
        <v>0.89083100000000004</v>
      </c>
      <c r="BC110">
        <v>0</v>
      </c>
      <c r="BD110">
        <v>0.109169</v>
      </c>
      <c r="BE110">
        <v>0</v>
      </c>
      <c r="BF110">
        <v>24.262219999999999</v>
      </c>
      <c r="BG110">
        <v>0</v>
      </c>
      <c r="BH110">
        <v>1769195835.0999999</v>
      </c>
      <c r="BI110" t="s">
        <v>440</v>
      </c>
      <c r="BJ110">
        <v>1769195835.0999999</v>
      </c>
      <c r="BK110">
        <v>1769195834.0999999</v>
      </c>
      <c r="BL110">
        <v>3</v>
      </c>
      <c r="BM110">
        <v>2.1999999999999999E-2</v>
      </c>
      <c r="BN110">
        <v>1E-3</v>
      </c>
      <c r="BO110">
        <v>-0.82099999999999995</v>
      </c>
      <c r="BP110">
        <v>9.1999999999999998E-2</v>
      </c>
      <c r="BQ110">
        <v>410</v>
      </c>
      <c r="BR110">
        <v>15</v>
      </c>
      <c r="BS110">
        <v>0.22</v>
      </c>
      <c r="BT110">
        <v>0.09</v>
      </c>
      <c r="BU110">
        <v>-0.20502919999999999</v>
      </c>
      <c r="BV110">
        <v>5.6057503759398497E-2</v>
      </c>
      <c r="BW110">
        <v>2.4320749229002001E-2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0.80784710000000004</v>
      </c>
      <c r="CD110">
        <v>-5.2125834586466697E-2</v>
      </c>
      <c r="CE110">
        <v>5.3709447483659802E-3</v>
      </c>
      <c r="CF110">
        <v>1</v>
      </c>
      <c r="CG110">
        <v>2</v>
      </c>
      <c r="CH110">
        <v>2</v>
      </c>
      <c r="CI110" t="s">
        <v>304</v>
      </c>
      <c r="CJ110">
        <v>3.53247</v>
      </c>
      <c r="CK110">
        <v>2.7027999999999999</v>
      </c>
      <c r="CL110">
        <v>9.7887000000000002E-2</v>
      </c>
      <c r="CM110">
        <v>9.6566799999999994E-2</v>
      </c>
      <c r="CN110">
        <v>8.6933499999999997E-2</v>
      </c>
      <c r="CO110">
        <v>8.2673800000000006E-2</v>
      </c>
      <c r="CP110">
        <v>31622.400000000001</v>
      </c>
      <c r="CQ110">
        <v>27805.1</v>
      </c>
      <c r="CR110">
        <v>32444.2</v>
      </c>
      <c r="CS110">
        <v>30705</v>
      </c>
      <c r="CT110">
        <v>40118.300000000003</v>
      </c>
      <c r="CU110">
        <v>39611</v>
      </c>
      <c r="CV110">
        <v>47387.7</v>
      </c>
      <c r="CW110">
        <v>46830.1</v>
      </c>
      <c r="CX110">
        <v>2.6201599999999998</v>
      </c>
      <c r="CY110">
        <v>2.1231800000000001</v>
      </c>
      <c r="CZ110">
        <v>0</v>
      </c>
      <c r="DA110">
        <v>0</v>
      </c>
      <c r="DB110">
        <v>999.9</v>
      </c>
      <c r="DC110">
        <v>999.9</v>
      </c>
      <c r="DD110">
        <v>53.094999999999999</v>
      </c>
      <c r="DE110">
        <v>27.693999999999999</v>
      </c>
      <c r="DF110">
        <v>19.769600000000001</v>
      </c>
      <c r="DG110">
        <v>30.1797</v>
      </c>
      <c r="DH110">
        <v>16.478400000000001</v>
      </c>
      <c r="DI110">
        <v>2</v>
      </c>
      <c r="DJ110">
        <v>-0.103128</v>
      </c>
      <c r="DK110">
        <v>2.2058</v>
      </c>
      <c r="DL110">
        <v>20.234400000000001</v>
      </c>
      <c r="DM110">
        <v>5.2510700000000003</v>
      </c>
      <c r="DN110">
        <v>12.033899999999999</v>
      </c>
      <c r="DO110">
        <v>4.9674800000000001</v>
      </c>
      <c r="DP110">
        <v>3.2909999999999999</v>
      </c>
      <c r="DQ110">
        <v>536.5</v>
      </c>
      <c r="DR110">
        <v>9999</v>
      </c>
      <c r="DS110">
        <v>9999</v>
      </c>
      <c r="DT110">
        <v>9999</v>
      </c>
      <c r="DU110">
        <v>1.8710500000000001</v>
      </c>
      <c r="DV110">
        <v>1.87612</v>
      </c>
      <c r="DW110">
        <v>1.8763399999999999</v>
      </c>
      <c r="DX110">
        <v>1.88279</v>
      </c>
      <c r="DY110">
        <v>1.8755999999999999</v>
      </c>
      <c r="DZ110">
        <v>1.8746499999999999</v>
      </c>
      <c r="EA110">
        <v>1.87077</v>
      </c>
      <c r="EB110">
        <v>1.8746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-0.82099999999999995</v>
      </c>
      <c r="EQ110">
        <v>9.1899999999999996E-2</v>
      </c>
      <c r="ER110">
        <v>-0.820799999999963</v>
      </c>
      <c r="ES110">
        <v>0</v>
      </c>
      <c r="ET110">
        <v>0</v>
      </c>
      <c r="EU110">
        <v>0</v>
      </c>
      <c r="EV110">
        <v>9.1945454545454594E-2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8.4</v>
      </c>
      <c r="FE110">
        <v>8.4</v>
      </c>
      <c r="FF110">
        <v>1.24146</v>
      </c>
      <c r="FG110">
        <v>2.5878899999999998</v>
      </c>
      <c r="FH110">
        <v>2.19604</v>
      </c>
      <c r="FI110">
        <v>2.66235</v>
      </c>
      <c r="FJ110">
        <v>2.4462899999999999</v>
      </c>
      <c r="FK110">
        <v>2.3046899999999999</v>
      </c>
      <c r="FL110">
        <v>32.178400000000003</v>
      </c>
      <c r="FM110">
        <v>24.148800000000001</v>
      </c>
      <c r="FN110">
        <v>19</v>
      </c>
      <c r="FO110">
        <v>865.43</v>
      </c>
      <c r="FP110">
        <v>572.83399999999995</v>
      </c>
      <c r="FQ110">
        <v>18.216000000000001</v>
      </c>
      <c r="FR110">
        <v>25.668600000000001</v>
      </c>
      <c r="FS110">
        <v>29.9998</v>
      </c>
      <c r="FT110">
        <v>25.6631</v>
      </c>
      <c r="FU110">
        <v>25.665199999999999</v>
      </c>
      <c r="FV110">
        <v>24.9117</v>
      </c>
      <c r="FW110">
        <v>28.871200000000002</v>
      </c>
      <c r="FX110">
        <v>7.4780899999999999</v>
      </c>
      <c r="FY110">
        <v>18.243300000000001</v>
      </c>
      <c r="FZ110">
        <v>410</v>
      </c>
      <c r="GA110">
        <v>14.57</v>
      </c>
      <c r="GB110">
        <v>99.847800000000007</v>
      </c>
      <c r="GC110">
        <v>99.687899999999999</v>
      </c>
    </row>
    <row r="111" spans="1:185" x14ac:dyDescent="0.2">
      <c r="A111">
        <v>96</v>
      </c>
      <c r="B111">
        <v>1769196353</v>
      </c>
      <c r="C111">
        <v>1792</v>
      </c>
      <c r="D111" t="s">
        <v>487</v>
      </c>
      <c r="E111" t="s">
        <v>488</v>
      </c>
      <c r="F111">
        <v>15</v>
      </c>
      <c r="G111">
        <v>1769196344.9333301</v>
      </c>
      <c r="H111">
        <f t="shared" si="13"/>
        <v>6.4911749468938012E-4</v>
      </c>
      <c r="I111">
        <v>0</v>
      </c>
      <c r="J111">
        <f t="shared" si="25"/>
        <v>-2.4236846796595619E-3</v>
      </c>
      <c r="K111">
        <f t="shared" si="14"/>
        <v>-9.0315744618860661E-2</v>
      </c>
      <c r="L111">
        <f t="shared" si="15"/>
        <v>69.84693147216926</v>
      </c>
      <c r="M111">
        <f t="shared" si="16"/>
        <v>1.5378726763109052</v>
      </c>
      <c r="N111">
        <f t="shared" si="17"/>
        <v>2.20177557395442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26275.157314469954</v>
      </c>
      <c r="T111">
        <f t="shared" si="21"/>
        <v>0</v>
      </c>
      <c r="U111">
        <f t="shared" si="22"/>
        <v>0</v>
      </c>
      <c r="V111">
        <f t="shared" si="23"/>
        <v>0.84327507000000002</v>
      </c>
      <c r="W111">
        <f t="shared" si="24"/>
        <v>0.15938767500000001</v>
      </c>
      <c r="X111">
        <v>1</v>
      </c>
      <c r="Y111">
        <v>1769196344.9333301</v>
      </c>
      <c r="Z111">
        <v>409.78333333333302</v>
      </c>
      <c r="AA111">
        <v>410.00293333333298</v>
      </c>
      <c r="AB111">
        <v>15.350580000000001</v>
      </c>
      <c r="AC111">
        <v>14.5516466666667</v>
      </c>
      <c r="AD111">
        <v>410.60419999999999</v>
      </c>
      <c r="AE111">
        <v>15.25864</v>
      </c>
      <c r="AF111">
        <v>800.00813333333303</v>
      </c>
      <c r="AG111">
        <v>100.1186</v>
      </c>
      <c r="AH111">
        <v>6.4759606666666705E-2</v>
      </c>
      <c r="AI111">
        <v>18.975239999999999</v>
      </c>
      <c r="AJ111">
        <v>999.9</v>
      </c>
      <c r="AK111">
        <v>999.9</v>
      </c>
      <c r="AL111">
        <v>0</v>
      </c>
      <c r="AM111">
        <v>0</v>
      </c>
      <c r="AN111">
        <v>5003.2333333333299</v>
      </c>
      <c r="AO111">
        <v>0</v>
      </c>
      <c r="AP111">
        <v>1.6937899999999999</v>
      </c>
      <c r="AQ111">
        <v>-0.21962880000000001</v>
      </c>
      <c r="AR111">
        <v>416.17180000000002</v>
      </c>
      <c r="AS111">
        <v>416.05746666666698</v>
      </c>
      <c r="AT111">
        <v>0.7989252</v>
      </c>
      <c r="AU111">
        <v>410.00293333333298</v>
      </c>
      <c r="AV111">
        <v>14.5516466666667</v>
      </c>
      <c r="AW111">
        <v>1.5368793333333299</v>
      </c>
      <c r="AX111">
        <v>1.4568926666666699</v>
      </c>
      <c r="AY111">
        <v>13.34008</v>
      </c>
      <c r="AZ111">
        <v>12.52308</v>
      </c>
      <c r="BA111">
        <v>0</v>
      </c>
      <c r="BB111">
        <v>0.89083100000000004</v>
      </c>
      <c r="BC111">
        <v>0</v>
      </c>
      <c r="BD111">
        <v>0.109169</v>
      </c>
      <c r="BE111">
        <v>0</v>
      </c>
      <c r="BF111">
        <v>24.095553333333299</v>
      </c>
      <c r="BG111">
        <v>0</v>
      </c>
      <c r="BH111">
        <v>1769195835.0999999</v>
      </c>
      <c r="BI111" t="s">
        <v>440</v>
      </c>
      <c r="BJ111">
        <v>1769195835.0999999</v>
      </c>
      <c r="BK111">
        <v>1769195834.0999999</v>
      </c>
      <c r="BL111">
        <v>3</v>
      </c>
      <c r="BM111">
        <v>2.1999999999999999E-2</v>
      </c>
      <c r="BN111">
        <v>1E-3</v>
      </c>
      <c r="BO111">
        <v>-0.82099999999999995</v>
      </c>
      <c r="BP111">
        <v>9.1999999999999998E-2</v>
      </c>
      <c r="BQ111">
        <v>410</v>
      </c>
      <c r="BR111">
        <v>15</v>
      </c>
      <c r="BS111">
        <v>0.22</v>
      </c>
      <c r="BT111">
        <v>0.09</v>
      </c>
      <c r="BU111">
        <v>-0.20959171428571399</v>
      </c>
      <c r="BV111">
        <v>-0.10776358441558501</v>
      </c>
      <c r="BW111">
        <v>2.1427595565715999E-2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0.79965276190476198</v>
      </c>
      <c r="CD111">
        <v>-8.4262597402594008E-3</v>
      </c>
      <c r="CE111">
        <v>1.8609265460993701E-3</v>
      </c>
      <c r="CF111">
        <v>1</v>
      </c>
      <c r="CG111">
        <v>2</v>
      </c>
      <c r="CH111">
        <v>2</v>
      </c>
      <c r="CI111" t="s">
        <v>304</v>
      </c>
      <c r="CJ111">
        <v>3.5324900000000001</v>
      </c>
      <c r="CK111">
        <v>2.7027000000000001</v>
      </c>
      <c r="CL111">
        <v>9.7885899999999998E-2</v>
      </c>
      <c r="CM111">
        <v>9.6560800000000002E-2</v>
      </c>
      <c r="CN111">
        <v>8.6832999999999994E-2</v>
      </c>
      <c r="CO111">
        <v>8.2582600000000006E-2</v>
      </c>
      <c r="CP111">
        <v>31622.5</v>
      </c>
      <c r="CQ111">
        <v>27805.4</v>
      </c>
      <c r="CR111">
        <v>32444.3</v>
      </c>
      <c r="CS111">
        <v>30705.1</v>
      </c>
      <c r="CT111">
        <v>40122.5</v>
      </c>
      <c r="CU111">
        <v>39615.4</v>
      </c>
      <c r="CV111">
        <v>47387.199999999997</v>
      </c>
      <c r="CW111">
        <v>46830.5</v>
      </c>
      <c r="CX111">
        <v>2.62018</v>
      </c>
      <c r="CY111">
        <v>2.1231800000000001</v>
      </c>
      <c r="CZ111">
        <v>0</v>
      </c>
      <c r="DA111">
        <v>0</v>
      </c>
      <c r="DB111">
        <v>999.9</v>
      </c>
      <c r="DC111">
        <v>999.9</v>
      </c>
      <c r="DD111">
        <v>53.021999999999998</v>
      </c>
      <c r="DE111">
        <v>27.693999999999999</v>
      </c>
      <c r="DF111">
        <v>19.740200000000002</v>
      </c>
      <c r="DG111">
        <v>30.3597</v>
      </c>
      <c r="DH111">
        <v>16.462299999999999</v>
      </c>
      <c r="DI111">
        <v>2</v>
      </c>
      <c r="DJ111">
        <v>-0.103384</v>
      </c>
      <c r="DK111">
        <v>2.1232799999999998</v>
      </c>
      <c r="DL111">
        <v>20.2362</v>
      </c>
      <c r="DM111">
        <v>5.2507099999999998</v>
      </c>
      <c r="DN111">
        <v>12.033899999999999</v>
      </c>
      <c r="DO111">
        <v>4.9672400000000003</v>
      </c>
      <c r="DP111">
        <v>3.2909999999999999</v>
      </c>
      <c r="DQ111">
        <v>536.5</v>
      </c>
      <c r="DR111">
        <v>9999</v>
      </c>
      <c r="DS111">
        <v>9999</v>
      </c>
      <c r="DT111">
        <v>9999</v>
      </c>
      <c r="DU111">
        <v>1.87103</v>
      </c>
      <c r="DV111">
        <v>1.87609</v>
      </c>
      <c r="DW111">
        <v>1.8763399999999999</v>
      </c>
      <c r="DX111">
        <v>1.8827799999999999</v>
      </c>
      <c r="DY111">
        <v>1.87557</v>
      </c>
      <c r="DZ111">
        <v>1.87466</v>
      </c>
      <c r="EA111">
        <v>1.8707400000000001</v>
      </c>
      <c r="EB111">
        <v>1.8745700000000001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-0.82099999999999995</v>
      </c>
      <c r="EQ111">
        <v>9.1999999999999998E-2</v>
      </c>
      <c r="ER111">
        <v>-0.820799999999963</v>
      </c>
      <c r="ES111">
        <v>0</v>
      </c>
      <c r="ET111">
        <v>0</v>
      </c>
      <c r="EU111">
        <v>0</v>
      </c>
      <c r="EV111">
        <v>9.1945454545454594E-2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8.6</v>
      </c>
      <c r="FE111">
        <v>8.6</v>
      </c>
      <c r="FF111">
        <v>1.24146</v>
      </c>
      <c r="FG111">
        <v>2.5927699999999998</v>
      </c>
      <c r="FH111">
        <v>2.19604</v>
      </c>
      <c r="FI111">
        <v>2.66235</v>
      </c>
      <c r="FJ111">
        <v>2.4462899999999999</v>
      </c>
      <c r="FK111">
        <v>2.2814899999999998</v>
      </c>
      <c r="FL111">
        <v>32.200499999999998</v>
      </c>
      <c r="FM111">
        <v>24.148800000000001</v>
      </c>
      <c r="FN111">
        <v>19</v>
      </c>
      <c r="FO111">
        <v>865.49</v>
      </c>
      <c r="FP111">
        <v>572.85699999999997</v>
      </c>
      <c r="FQ111">
        <v>18.2715</v>
      </c>
      <c r="FR111">
        <v>25.671099999999999</v>
      </c>
      <c r="FS111">
        <v>30.0001</v>
      </c>
      <c r="FT111">
        <v>25.665600000000001</v>
      </c>
      <c r="FU111">
        <v>25.667300000000001</v>
      </c>
      <c r="FV111">
        <v>24.9117</v>
      </c>
      <c r="FW111">
        <v>28.871200000000002</v>
      </c>
      <c r="FX111">
        <v>7.1063900000000002</v>
      </c>
      <c r="FY111">
        <v>18.296399999999998</v>
      </c>
      <c r="FZ111">
        <v>410</v>
      </c>
      <c r="GA111">
        <v>14.57</v>
      </c>
      <c r="GB111">
        <v>99.847200000000001</v>
      </c>
      <c r="GC111">
        <v>99.688599999999994</v>
      </c>
    </row>
    <row r="112" spans="1:185" x14ac:dyDescent="0.2">
      <c r="A112">
        <v>97</v>
      </c>
      <c r="B112">
        <v>1769196368</v>
      </c>
      <c r="C112">
        <v>1807</v>
      </c>
      <c r="D112" t="s">
        <v>489</v>
      </c>
      <c r="E112" t="s">
        <v>490</v>
      </c>
      <c r="F112">
        <v>15</v>
      </c>
      <c r="G112">
        <v>1769196359.9333301</v>
      </c>
      <c r="H112">
        <f t="shared" si="13"/>
        <v>6.4235664536393456E-4</v>
      </c>
      <c r="I112">
        <v>0</v>
      </c>
      <c r="J112">
        <f t="shared" si="25"/>
        <v>-2.6701542549182945E-3</v>
      </c>
      <c r="K112">
        <f t="shared" si="14"/>
        <v>-9.9500141996209865E-2</v>
      </c>
      <c r="L112">
        <f t="shared" si="15"/>
        <v>69.754918893413404</v>
      </c>
      <c r="M112">
        <f t="shared" si="16"/>
        <v>1.5355777410418594</v>
      </c>
      <c r="N112">
        <f t="shared" si="17"/>
        <v>2.201389902536115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26261.142796349253</v>
      </c>
      <c r="T112">
        <f t="shared" si="21"/>
        <v>0</v>
      </c>
      <c r="U112">
        <f t="shared" si="22"/>
        <v>0</v>
      </c>
      <c r="V112">
        <f t="shared" si="23"/>
        <v>0.84327507000000002</v>
      </c>
      <c r="W112">
        <f t="shared" si="24"/>
        <v>0.15938767500000001</v>
      </c>
      <c r="X112">
        <v>1</v>
      </c>
      <c r="Y112">
        <v>1769196359.9333301</v>
      </c>
      <c r="Z112">
        <v>409.79493333333301</v>
      </c>
      <c r="AA112">
        <v>409.99959999999999</v>
      </c>
      <c r="AB112">
        <v>15.327973333333301</v>
      </c>
      <c r="AC112">
        <v>14.53734</v>
      </c>
      <c r="AD112">
        <v>410.61579999999998</v>
      </c>
      <c r="AE112">
        <v>15.2360333333333</v>
      </c>
      <c r="AF112">
        <v>800.005</v>
      </c>
      <c r="AG112">
        <v>100.116666666667</v>
      </c>
      <c r="AH112">
        <v>6.4727679999999996E-2</v>
      </c>
      <c r="AI112">
        <v>18.972433333333299</v>
      </c>
      <c r="AJ112">
        <v>999.9</v>
      </c>
      <c r="AK112">
        <v>999.9</v>
      </c>
      <c r="AL112">
        <v>0</v>
      </c>
      <c r="AM112">
        <v>0</v>
      </c>
      <c r="AN112">
        <v>5000.9666666666699</v>
      </c>
      <c r="AO112">
        <v>0</v>
      </c>
      <c r="AP112">
        <v>1.6937899999999999</v>
      </c>
      <c r="AQ112">
        <v>-0.204833933333333</v>
      </c>
      <c r="AR112">
        <v>416.17399999999998</v>
      </c>
      <c r="AS112">
        <v>416.04806666666701</v>
      </c>
      <c r="AT112">
        <v>0.79063933333333303</v>
      </c>
      <c r="AU112">
        <v>409.99959999999999</v>
      </c>
      <c r="AV112">
        <v>14.53734</v>
      </c>
      <c r="AW112">
        <v>1.5345839999999999</v>
      </c>
      <c r="AX112">
        <v>1.45542866666667</v>
      </c>
      <c r="AY112">
        <v>13.317173333333299</v>
      </c>
      <c r="AZ112">
        <v>12.507759999999999</v>
      </c>
      <c r="BA112">
        <v>0</v>
      </c>
      <c r="BB112">
        <v>0.89083100000000004</v>
      </c>
      <c r="BC112">
        <v>0</v>
      </c>
      <c r="BD112">
        <v>0.109169</v>
      </c>
      <c r="BE112">
        <v>0</v>
      </c>
      <c r="BF112">
        <v>24.002220000000001</v>
      </c>
      <c r="BG112">
        <v>0</v>
      </c>
      <c r="BH112">
        <v>1769195835.0999999</v>
      </c>
      <c r="BI112" t="s">
        <v>440</v>
      </c>
      <c r="BJ112">
        <v>1769195835.0999999</v>
      </c>
      <c r="BK112">
        <v>1769195834.0999999</v>
      </c>
      <c r="BL112">
        <v>3</v>
      </c>
      <c r="BM112">
        <v>2.1999999999999999E-2</v>
      </c>
      <c r="BN112">
        <v>1E-3</v>
      </c>
      <c r="BO112">
        <v>-0.82099999999999995</v>
      </c>
      <c r="BP112">
        <v>9.1999999999999998E-2</v>
      </c>
      <c r="BQ112">
        <v>410</v>
      </c>
      <c r="BR112">
        <v>15</v>
      </c>
      <c r="BS112">
        <v>0.22</v>
      </c>
      <c r="BT112">
        <v>0.09</v>
      </c>
      <c r="BU112">
        <v>-0.207082047619048</v>
      </c>
      <c r="BV112">
        <v>-1.7538000000000002E-2</v>
      </c>
      <c r="BW112">
        <v>2.05595192700797E-2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0.79384323809523805</v>
      </c>
      <c r="CD112">
        <v>-5.5716233766232498E-2</v>
      </c>
      <c r="CE112">
        <v>5.8047761361597503E-3</v>
      </c>
      <c r="CF112">
        <v>1</v>
      </c>
      <c r="CG112">
        <v>2</v>
      </c>
      <c r="CH112">
        <v>2</v>
      </c>
      <c r="CI112" t="s">
        <v>304</v>
      </c>
      <c r="CJ112">
        <v>3.5325600000000001</v>
      </c>
      <c r="CK112">
        <v>2.7024900000000001</v>
      </c>
      <c r="CL112">
        <v>9.7882200000000003E-2</v>
      </c>
      <c r="CM112">
        <v>9.6564499999999998E-2</v>
      </c>
      <c r="CN112">
        <v>8.6765800000000004E-2</v>
      </c>
      <c r="CO112">
        <v>8.2552299999999995E-2</v>
      </c>
      <c r="CP112">
        <v>31621.4</v>
      </c>
      <c r="CQ112">
        <v>27804.799999999999</v>
      </c>
      <c r="CR112">
        <v>32443.1</v>
      </c>
      <c r="CS112">
        <v>30704.6</v>
      </c>
      <c r="CT112">
        <v>40124.300000000003</v>
      </c>
      <c r="CU112">
        <v>39616</v>
      </c>
      <c r="CV112">
        <v>47385.8</v>
      </c>
      <c r="CW112">
        <v>46829.7</v>
      </c>
      <c r="CX112">
        <v>2.6200999999999999</v>
      </c>
      <c r="CY112">
        <v>2.1230000000000002</v>
      </c>
      <c r="CZ112">
        <v>0</v>
      </c>
      <c r="DA112">
        <v>0</v>
      </c>
      <c r="DB112">
        <v>999.9</v>
      </c>
      <c r="DC112">
        <v>999.9</v>
      </c>
      <c r="DD112">
        <v>52.960999999999999</v>
      </c>
      <c r="DE112">
        <v>27.704000000000001</v>
      </c>
      <c r="DF112">
        <v>19.7317</v>
      </c>
      <c r="DG112">
        <v>30.059699999999999</v>
      </c>
      <c r="DH112">
        <v>16.366199999999999</v>
      </c>
      <c r="DI112">
        <v>2</v>
      </c>
      <c r="DJ112">
        <v>-0.10329099999999999</v>
      </c>
      <c r="DK112">
        <v>2.0663999999999998</v>
      </c>
      <c r="DL112">
        <v>20.236799999999999</v>
      </c>
      <c r="DM112">
        <v>5.2510700000000003</v>
      </c>
      <c r="DN112">
        <v>12.033899999999999</v>
      </c>
      <c r="DO112">
        <v>4.9673999999999996</v>
      </c>
      <c r="DP112">
        <v>3.2909999999999999</v>
      </c>
      <c r="DQ112">
        <v>536.5</v>
      </c>
      <c r="DR112">
        <v>9999</v>
      </c>
      <c r="DS112">
        <v>9999</v>
      </c>
      <c r="DT112">
        <v>9999</v>
      </c>
      <c r="DU112">
        <v>1.87104</v>
      </c>
      <c r="DV112">
        <v>1.8761000000000001</v>
      </c>
      <c r="DW112">
        <v>1.87635</v>
      </c>
      <c r="DX112">
        <v>1.8827799999999999</v>
      </c>
      <c r="DY112">
        <v>1.8755999999999999</v>
      </c>
      <c r="DZ112">
        <v>1.87469</v>
      </c>
      <c r="EA112">
        <v>1.8707800000000001</v>
      </c>
      <c r="EB112">
        <v>1.87459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-0.82</v>
      </c>
      <c r="EQ112">
        <v>9.1999999999999998E-2</v>
      </c>
      <c r="ER112">
        <v>-0.820799999999963</v>
      </c>
      <c r="ES112">
        <v>0</v>
      </c>
      <c r="ET112">
        <v>0</v>
      </c>
      <c r="EU112">
        <v>0</v>
      </c>
      <c r="EV112">
        <v>9.1945454545454594E-2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8.9</v>
      </c>
      <c r="FE112">
        <v>8.9</v>
      </c>
      <c r="FF112">
        <v>1.24146</v>
      </c>
      <c r="FG112">
        <v>2.5915499999999998</v>
      </c>
      <c r="FH112">
        <v>2.19604</v>
      </c>
      <c r="FI112">
        <v>2.66235</v>
      </c>
      <c r="FJ112">
        <v>2.4462899999999999</v>
      </c>
      <c r="FK112">
        <v>2.2827099999999998</v>
      </c>
      <c r="FL112">
        <v>32.200499999999998</v>
      </c>
      <c r="FM112">
        <v>24.148800000000001</v>
      </c>
      <c r="FN112">
        <v>19</v>
      </c>
      <c r="FO112">
        <v>865.45</v>
      </c>
      <c r="FP112">
        <v>572.73900000000003</v>
      </c>
      <c r="FQ112">
        <v>18.3308</v>
      </c>
      <c r="FR112">
        <v>25.673300000000001</v>
      </c>
      <c r="FS112">
        <v>30.0001</v>
      </c>
      <c r="FT112">
        <v>25.6678</v>
      </c>
      <c r="FU112">
        <v>25.669</v>
      </c>
      <c r="FV112">
        <v>24.911799999999999</v>
      </c>
      <c r="FW112">
        <v>28.871200000000002</v>
      </c>
      <c r="FX112">
        <v>6.7298600000000004</v>
      </c>
      <c r="FY112">
        <v>18.354199999999999</v>
      </c>
      <c r="FZ112">
        <v>410</v>
      </c>
      <c r="GA112">
        <v>14.5709</v>
      </c>
      <c r="GB112">
        <v>99.843999999999994</v>
      </c>
      <c r="GC112">
        <v>99.686899999999994</v>
      </c>
    </row>
    <row r="113" spans="1:185" x14ac:dyDescent="0.2">
      <c r="A113">
        <v>98</v>
      </c>
      <c r="B113">
        <v>1769196383</v>
      </c>
      <c r="C113">
        <v>1822</v>
      </c>
      <c r="D113" t="s">
        <v>491</v>
      </c>
      <c r="E113" t="s">
        <v>492</v>
      </c>
      <c r="F113">
        <v>15</v>
      </c>
      <c r="G113">
        <v>1769196374.9333301</v>
      </c>
      <c r="H113">
        <f t="shared" si="13"/>
        <v>6.4704218868904422E-4</v>
      </c>
      <c r="I113">
        <v>0</v>
      </c>
      <c r="J113">
        <f t="shared" si="25"/>
        <v>-3.0338496491595195E-3</v>
      </c>
      <c r="K113">
        <f t="shared" si="14"/>
        <v>-0.11305282094863868</v>
      </c>
      <c r="L113">
        <f t="shared" si="15"/>
        <v>69.692124382611638</v>
      </c>
      <c r="M113">
        <f t="shared" si="16"/>
        <v>1.5345478154898753</v>
      </c>
      <c r="N113">
        <f t="shared" si="17"/>
        <v>2.2018955930589321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26205.477697082941</v>
      </c>
      <c r="T113">
        <f t="shared" si="21"/>
        <v>0</v>
      </c>
      <c r="U113">
        <f t="shared" si="22"/>
        <v>0</v>
      </c>
      <c r="V113">
        <f t="shared" si="23"/>
        <v>0.84327507000000002</v>
      </c>
      <c r="W113">
        <f t="shared" si="24"/>
        <v>0.15938767500000001</v>
      </c>
      <c r="X113">
        <v>1</v>
      </c>
      <c r="Y113">
        <v>1769196374.9333301</v>
      </c>
      <c r="Z113">
        <v>409.80266666666699</v>
      </c>
      <c r="AA113">
        <v>409.99279999999999</v>
      </c>
      <c r="AB113">
        <v>15.31738</v>
      </c>
      <c r="AC113">
        <v>14.5209666666667</v>
      </c>
      <c r="AD113">
        <v>410.62346666666701</v>
      </c>
      <c r="AE113">
        <v>15.2254466666667</v>
      </c>
      <c r="AF113">
        <v>800.00066666666703</v>
      </c>
      <c r="AG113">
        <v>100.118666666667</v>
      </c>
      <c r="AH113">
        <v>6.4773026666666705E-2</v>
      </c>
      <c r="AI113">
        <v>18.976113333333299</v>
      </c>
      <c r="AJ113">
        <v>999.9</v>
      </c>
      <c r="AK113">
        <v>999.9</v>
      </c>
      <c r="AL113">
        <v>0</v>
      </c>
      <c r="AM113">
        <v>0</v>
      </c>
      <c r="AN113">
        <v>4991.7666666666701</v>
      </c>
      <c r="AO113">
        <v>0</v>
      </c>
      <c r="AP113">
        <v>1.6937899999999999</v>
      </c>
      <c r="AQ113">
        <v>-0.190081733333333</v>
      </c>
      <c r="AR113">
        <v>416.17753333333297</v>
      </c>
      <c r="AS113">
        <v>416.034066666667</v>
      </c>
      <c r="AT113">
        <v>0.79641673333333296</v>
      </c>
      <c r="AU113">
        <v>409.99279999999999</v>
      </c>
      <c r="AV113">
        <v>14.5209666666667</v>
      </c>
      <c r="AW113">
        <v>1.53355666666667</v>
      </c>
      <c r="AX113">
        <v>1.45382066666667</v>
      </c>
      <c r="AY113">
        <v>13.306900000000001</v>
      </c>
      <c r="AZ113">
        <v>12.4909266666667</v>
      </c>
      <c r="BA113">
        <v>0</v>
      </c>
      <c r="BB113">
        <v>0.89083100000000004</v>
      </c>
      <c r="BC113">
        <v>0</v>
      </c>
      <c r="BD113">
        <v>0.109169</v>
      </c>
      <c r="BE113">
        <v>0</v>
      </c>
      <c r="BF113">
        <v>24</v>
      </c>
      <c r="BG113">
        <v>0</v>
      </c>
      <c r="BH113">
        <v>1769195835.0999999</v>
      </c>
      <c r="BI113" t="s">
        <v>440</v>
      </c>
      <c r="BJ113">
        <v>1769195835.0999999</v>
      </c>
      <c r="BK113">
        <v>1769195834.0999999</v>
      </c>
      <c r="BL113">
        <v>3</v>
      </c>
      <c r="BM113">
        <v>2.1999999999999999E-2</v>
      </c>
      <c r="BN113">
        <v>1E-3</v>
      </c>
      <c r="BO113">
        <v>-0.82099999999999995</v>
      </c>
      <c r="BP113">
        <v>9.1999999999999998E-2</v>
      </c>
      <c r="BQ113">
        <v>410</v>
      </c>
      <c r="BR113">
        <v>15</v>
      </c>
      <c r="BS113">
        <v>0.22</v>
      </c>
      <c r="BT113">
        <v>0.09</v>
      </c>
      <c r="BU113">
        <v>-0.19783666666666699</v>
      </c>
      <c r="BV113">
        <v>8.70697402597405E-2</v>
      </c>
      <c r="BW113">
        <v>1.62033460898648E-2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0.79340271428571396</v>
      </c>
      <c r="CD113">
        <v>4.46491168831167E-2</v>
      </c>
      <c r="CE113">
        <v>5.5427197049725601E-3</v>
      </c>
      <c r="CF113">
        <v>1</v>
      </c>
      <c r="CG113">
        <v>2</v>
      </c>
      <c r="CH113">
        <v>2</v>
      </c>
      <c r="CI113" t="s">
        <v>304</v>
      </c>
      <c r="CJ113">
        <v>3.53254</v>
      </c>
      <c r="CK113">
        <v>2.7023799999999998</v>
      </c>
      <c r="CL113">
        <v>9.7883600000000001E-2</v>
      </c>
      <c r="CM113">
        <v>9.6570900000000001E-2</v>
      </c>
      <c r="CN113">
        <v>8.6721000000000006E-2</v>
      </c>
      <c r="CO113">
        <v>8.2481899999999997E-2</v>
      </c>
      <c r="CP113">
        <v>31621.200000000001</v>
      </c>
      <c r="CQ113">
        <v>27804.799999999999</v>
      </c>
      <c r="CR113">
        <v>32442.9</v>
      </c>
      <c r="CS113">
        <v>30704.9</v>
      </c>
      <c r="CT113">
        <v>40126.199999999997</v>
      </c>
      <c r="CU113">
        <v>39619.199999999997</v>
      </c>
      <c r="CV113">
        <v>47385.5</v>
      </c>
      <c r="CW113">
        <v>46829.8</v>
      </c>
      <c r="CX113">
        <v>2.6201599999999998</v>
      </c>
      <c r="CY113">
        <v>2.12296</v>
      </c>
      <c r="CZ113">
        <v>0</v>
      </c>
      <c r="DA113">
        <v>0</v>
      </c>
      <c r="DB113">
        <v>999.9</v>
      </c>
      <c r="DC113">
        <v>999.9</v>
      </c>
      <c r="DD113">
        <v>52.875</v>
      </c>
      <c r="DE113">
        <v>27.724</v>
      </c>
      <c r="DF113">
        <v>19.722300000000001</v>
      </c>
      <c r="DG113">
        <v>30.149699999999999</v>
      </c>
      <c r="DH113">
        <v>16.382200000000001</v>
      </c>
      <c r="DI113">
        <v>2</v>
      </c>
      <c r="DJ113">
        <v>-0.10315199999999999</v>
      </c>
      <c r="DK113">
        <v>2.0213199999999998</v>
      </c>
      <c r="DL113">
        <v>20.237300000000001</v>
      </c>
      <c r="DM113">
        <v>5.2513100000000001</v>
      </c>
      <c r="DN113">
        <v>12.033899999999999</v>
      </c>
      <c r="DO113">
        <v>4.9673600000000002</v>
      </c>
      <c r="DP113">
        <v>3.2909999999999999</v>
      </c>
      <c r="DQ113">
        <v>536.5</v>
      </c>
      <c r="DR113">
        <v>9999</v>
      </c>
      <c r="DS113">
        <v>9999</v>
      </c>
      <c r="DT113">
        <v>9999</v>
      </c>
      <c r="DU113">
        <v>1.87104</v>
      </c>
      <c r="DV113">
        <v>1.87608</v>
      </c>
      <c r="DW113">
        <v>1.87632</v>
      </c>
      <c r="DX113">
        <v>1.8827799999999999</v>
      </c>
      <c r="DY113">
        <v>1.8755900000000001</v>
      </c>
      <c r="DZ113">
        <v>1.8746400000000001</v>
      </c>
      <c r="EA113">
        <v>1.87076</v>
      </c>
      <c r="EB113">
        <v>1.8745499999999999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-0.82099999999999995</v>
      </c>
      <c r="EQ113">
        <v>9.1899999999999996E-2</v>
      </c>
      <c r="ER113">
        <v>-0.820799999999963</v>
      </c>
      <c r="ES113">
        <v>0</v>
      </c>
      <c r="ET113">
        <v>0</v>
      </c>
      <c r="EU113">
        <v>0</v>
      </c>
      <c r="EV113">
        <v>9.1945454545454594E-2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9.1</v>
      </c>
      <c r="FE113">
        <v>9.1</v>
      </c>
      <c r="FF113">
        <v>1.24146</v>
      </c>
      <c r="FG113">
        <v>2.5915499999999998</v>
      </c>
      <c r="FH113">
        <v>2.19604</v>
      </c>
      <c r="FI113">
        <v>2.66235</v>
      </c>
      <c r="FJ113">
        <v>2.4462899999999999</v>
      </c>
      <c r="FK113">
        <v>2.2900399999999999</v>
      </c>
      <c r="FL113">
        <v>32.222499999999997</v>
      </c>
      <c r="FM113">
        <v>24.157499999999999</v>
      </c>
      <c r="FN113">
        <v>19</v>
      </c>
      <c r="FO113">
        <v>865.51300000000003</v>
      </c>
      <c r="FP113">
        <v>572.72400000000005</v>
      </c>
      <c r="FQ113">
        <v>18.386700000000001</v>
      </c>
      <c r="FR113">
        <v>25.6755</v>
      </c>
      <c r="FS113">
        <v>30</v>
      </c>
      <c r="FT113">
        <v>25.668199999999999</v>
      </c>
      <c r="FU113">
        <v>25.670400000000001</v>
      </c>
      <c r="FV113">
        <v>24.9115</v>
      </c>
      <c r="FW113">
        <v>28.871200000000002</v>
      </c>
      <c r="FX113">
        <v>6.7298600000000004</v>
      </c>
      <c r="FY113">
        <v>18.403199999999998</v>
      </c>
      <c r="FZ113">
        <v>410</v>
      </c>
      <c r="GA113">
        <v>14.5823</v>
      </c>
      <c r="GB113">
        <v>99.843400000000003</v>
      </c>
      <c r="GC113">
        <v>99.687399999999997</v>
      </c>
    </row>
    <row r="114" spans="1:185" x14ac:dyDescent="0.2">
      <c r="A114">
        <v>99</v>
      </c>
      <c r="B114">
        <v>1769196398</v>
      </c>
      <c r="C114">
        <v>1837</v>
      </c>
      <c r="D114" t="s">
        <v>493</v>
      </c>
      <c r="E114" t="s">
        <v>494</v>
      </c>
      <c r="F114">
        <v>15</v>
      </c>
      <c r="G114">
        <v>1769196389.9333301</v>
      </c>
      <c r="H114">
        <f t="shared" si="13"/>
        <v>6.3825448392135806E-4</v>
      </c>
      <c r="I114">
        <v>0</v>
      </c>
      <c r="J114">
        <f t="shared" si="25"/>
        <v>-2.8110002345451031E-3</v>
      </c>
      <c r="K114">
        <f t="shared" si="14"/>
        <v>-0.10474860093698052</v>
      </c>
      <c r="L114">
        <f t="shared" si="15"/>
        <v>69.613632161821997</v>
      </c>
      <c r="M114">
        <f t="shared" si="16"/>
        <v>1.5336667008581419</v>
      </c>
      <c r="N114">
        <f t="shared" si="17"/>
        <v>2.2031125991142382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26270.592678416699</v>
      </c>
      <c r="T114">
        <f t="shared" si="21"/>
        <v>0</v>
      </c>
      <c r="U114">
        <f t="shared" si="22"/>
        <v>0</v>
      </c>
      <c r="V114">
        <f t="shared" si="23"/>
        <v>0.84327507000000002</v>
      </c>
      <c r="W114">
        <f t="shared" si="24"/>
        <v>0.15938767500000001</v>
      </c>
      <c r="X114">
        <v>1</v>
      </c>
      <c r="Y114">
        <v>1769196389.9333301</v>
      </c>
      <c r="Z114">
        <v>409.79093333333299</v>
      </c>
      <c r="AA114">
        <v>409.98693333333301</v>
      </c>
      <c r="AB114">
        <v>15.308313333333301</v>
      </c>
      <c r="AC114">
        <v>14.52272</v>
      </c>
      <c r="AD114">
        <v>410.61166666666702</v>
      </c>
      <c r="AE114">
        <v>15.21636</v>
      </c>
      <c r="AF114">
        <v>800.01173333333304</v>
      </c>
      <c r="AG114">
        <v>100.12073333333301</v>
      </c>
      <c r="AH114">
        <v>6.4484166666666703E-2</v>
      </c>
      <c r="AI114">
        <v>18.984966666666701</v>
      </c>
      <c r="AJ114">
        <v>999.9</v>
      </c>
      <c r="AK114">
        <v>999.9</v>
      </c>
      <c r="AL114">
        <v>0</v>
      </c>
      <c r="AM114">
        <v>0</v>
      </c>
      <c r="AN114">
        <v>5002.5333333333301</v>
      </c>
      <c r="AO114">
        <v>0</v>
      </c>
      <c r="AP114">
        <v>1.6937899999999999</v>
      </c>
      <c r="AQ114">
        <v>-0.19594726666666701</v>
      </c>
      <c r="AR114">
        <v>416.16173333333302</v>
      </c>
      <c r="AS114">
        <v>416.02873333333298</v>
      </c>
      <c r="AT114">
        <v>0.78559480000000004</v>
      </c>
      <c r="AU114">
        <v>409.98693333333301</v>
      </c>
      <c r="AV114">
        <v>14.52272</v>
      </c>
      <c r="AW114">
        <v>1.53268133333333</v>
      </c>
      <c r="AX114">
        <v>1.454026</v>
      </c>
      <c r="AY114">
        <v>13.2981466666667</v>
      </c>
      <c r="AZ114">
        <v>12.493093333333301</v>
      </c>
      <c r="BA114">
        <v>0</v>
      </c>
      <c r="BB114">
        <v>0.89083100000000004</v>
      </c>
      <c r="BC114">
        <v>0</v>
      </c>
      <c r="BD114">
        <v>0.109169</v>
      </c>
      <c r="BE114">
        <v>0</v>
      </c>
      <c r="BF114">
        <v>24</v>
      </c>
      <c r="BG114">
        <v>0</v>
      </c>
      <c r="BH114">
        <v>1769195835.0999999</v>
      </c>
      <c r="BI114" t="s">
        <v>440</v>
      </c>
      <c r="BJ114">
        <v>1769195835.0999999</v>
      </c>
      <c r="BK114">
        <v>1769195834.0999999</v>
      </c>
      <c r="BL114">
        <v>3</v>
      </c>
      <c r="BM114">
        <v>2.1999999999999999E-2</v>
      </c>
      <c r="BN114">
        <v>1E-3</v>
      </c>
      <c r="BO114">
        <v>-0.82099999999999995</v>
      </c>
      <c r="BP114">
        <v>9.1999999999999998E-2</v>
      </c>
      <c r="BQ114">
        <v>410</v>
      </c>
      <c r="BR114">
        <v>15</v>
      </c>
      <c r="BS114">
        <v>0.22</v>
      </c>
      <c r="BT114">
        <v>0.09</v>
      </c>
      <c r="BU114">
        <v>-0.19582975</v>
      </c>
      <c r="BV114">
        <v>3.4482180451127803E-2</v>
      </c>
      <c r="BW114">
        <v>2.4901047449605401E-2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0.78840049999999995</v>
      </c>
      <c r="CD114">
        <v>-9.18088421052628E-2</v>
      </c>
      <c r="CE114">
        <v>1.00109772824635E-2</v>
      </c>
      <c r="CF114">
        <v>1</v>
      </c>
      <c r="CG114">
        <v>2</v>
      </c>
      <c r="CH114">
        <v>2</v>
      </c>
      <c r="CI114" t="s">
        <v>304</v>
      </c>
      <c r="CJ114">
        <v>3.5325199999999999</v>
      </c>
      <c r="CK114">
        <v>2.70235</v>
      </c>
      <c r="CL114">
        <v>9.7880700000000001E-2</v>
      </c>
      <c r="CM114">
        <v>9.6569100000000005E-2</v>
      </c>
      <c r="CN114">
        <v>8.6711399999999994E-2</v>
      </c>
      <c r="CO114">
        <v>8.2555000000000003E-2</v>
      </c>
      <c r="CP114">
        <v>31622.2</v>
      </c>
      <c r="CQ114">
        <v>27804.6</v>
      </c>
      <c r="CR114">
        <v>32443.8</v>
      </c>
      <c r="CS114">
        <v>30704.5</v>
      </c>
      <c r="CT114">
        <v>40127.800000000003</v>
      </c>
      <c r="CU114">
        <v>39615.9</v>
      </c>
      <c r="CV114">
        <v>47387</v>
      </c>
      <c r="CW114">
        <v>46829.7</v>
      </c>
      <c r="CX114">
        <v>2.62</v>
      </c>
      <c r="CY114">
        <v>2.1230000000000002</v>
      </c>
      <c r="CZ114">
        <v>0</v>
      </c>
      <c r="DA114">
        <v>0</v>
      </c>
      <c r="DB114">
        <v>999.9</v>
      </c>
      <c r="DC114">
        <v>999.9</v>
      </c>
      <c r="DD114">
        <v>52.832000000000001</v>
      </c>
      <c r="DE114">
        <v>27.734000000000002</v>
      </c>
      <c r="DF114">
        <v>19.717300000000002</v>
      </c>
      <c r="DG114">
        <v>30.2697</v>
      </c>
      <c r="DH114">
        <v>16.4543</v>
      </c>
      <c r="DI114">
        <v>2</v>
      </c>
      <c r="DJ114">
        <v>-0.103197</v>
      </c>
      <c r="DK114">
        <v>2.0266199999999999</v>
      </c>
      <c r="DL114">
        <v>20.237100000000002</v>
      </c>
      <c r="DM114">
        <v>5.2505899999999999</v>
      </c>
      <c r="DN114">
        <v>12.033899999999999</v>
      </c>
      <c r="DO114">
        <v>4.9674399999999999</v>
      </c>
      <c r="DP114">
        <v>3.2909999999999999</v>
      </c>
      <c r="DQ114">
        <v>536.5</v>
      </c>
      <c r="DR114">
        <v>9999</v>
      </c>
      <c r="DS114">
        <v>9999</v>
      </c>
      <c r="DT114">
        <v>9999</v>
      </c>
      <c r="DU114">
        <v>1.8710500000000001</v>
      </c>
      <c r="DV114">
        <v>1.87615</v>
      </c>
      <c r="DW114">
        <v>1.87635</v>
      </c>
      <c r="DX114">
        <v>1.88279</v>
      </c>
      <c r="DY114">
        <v>1.87561</v>
      </c>
      <c r="DZ114">
        <v>1.8746799999999999</v>
      </c>
      <c r="EA114">
        <v>1.87083</v>
      </c>
      <c r="EB114">
        <v>1.8746499999999999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-0.82099999999999995</v>
      </c>
      <c r="EQ114">
        <v>9.1899999999999996E-2</v>
      </c>
      <c r="ER114">
        <v>-0.820799999999963</v>
      </c>
      <c r="ES114">
        <v>0</v>
      </c>
      <c r="ET114">
        <v>0</v>
      </c>
      <c r="EU114">
        <v>0</v>
      </c>
      <c r="EV114">
        <v>9.1945454545454594E-2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9.4</v>
      </c>
      <c r="FE114">
        <v>9.4</v>
      </c>
      <c r="FF114">
        <v>1.24146</v>
      </c>
      <c r="FG114">
        <v>2.5915499999999998</v>
      </c>
      <c r="FH114">
        <v>2.19604</v>
      </c>
      <c r="FI114">
        <v>2.66235</v>
      </c>
      <c r="FJ114">
        <v>2.4462899999999999</v>
      </c>
      <c r="FK114">
        <v>2.31934</v>
      </c>
      <c r="FL114">
        <v>32.222499999999997</v>
      </c>
      <c r="FM114">
        <v>24.148800000000001</v>
      </c>
      <c r="FN114">
        <v>19</v>
      </c>
      <c r="FO114">
        <v>865.42</v>
      </c>
      <c r="FP114">
        <v>572.79600000000005</v>
      </c>
      <c r="FQ114">
        <v>18.425799999999999</v>
      </c>
      <c r="FR114">
        <v>25.677600000000002</v>
      </c>
      <c r="FS114">
        <v>30.0002</v>
      </c>
      <c r="FT114">
        <v>25.671700000000001</v>
      </c>
      <c r="FU114">
        <v>25.674199999999999</v>
      </c>
      <c r="FV114">
        <v>24.9146</v>
      </c>
      <c r="FW114">
        <v>28.586300000000001</v>
      </c>
      <c r="FX114">
        <v>6.35642</v>
      </c>
      <c r="FY114">
        <v>18.433399999999999</v>
      </c>
      <c r="FZ114">
        <v>410</v>
      </c>
      <c r="GA114">
        <v>14.595499999999999</v>
      </c>
      <c r="GB114">
        <v>99.846400000000003</v>
      </c>
      <c r="GC114">
        <v>99.686899999999994</v>
      </c>
    </row>
    <row r="115" spans="1:185" x14ac:dyDescent="0.2">
      <c r="A115">
        <v>100</v>
      </c>
      <c r="B115">
        <v>1769196413</v>
      </c>
      <c r="C115">
        <v>1852</v>
      </c>
      <c r="D115" t="s">
        <v>495</v>
      </c>
      <c r="E115" t="s">
        <v>496</v>
      </c>
      <c r="F115">
        <v>15</v>
      </c>
      <c r="G115">
        <v>1769196404.9333301</v>
      </c>
      <c r="H115">
        <f t="shared" si="13"/>
        <v>6.3101528945082677E-4</v>
      </c>
      <c r="I115">
        <v>0</v>
      </c>
      <c r="J115">
        <f t="shared" si="25"/>
        <v>-2.1258566005227493E-3</v>
      </c>
      <c r="K115">
        <f t="shared" si="14"/>
        <v>-7.9217533303919951E-2</v>
      </c>
      <c r="L115">
        <f t="shared" si="15"/>
        <v>69.572128602246138</v>
      </c>
      <c r="M115">
        <f t="shared" si="16"/>
        <v>1.5336811085618607</v>
      </c>
      <c r="N115">
        <f t="shared" si="17"/>
        <v>2.2044475846500773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26259.244992176344</v>
      </c>
      <c r="T115">
        <f t="shared" si="21"/>
        <v>0</v>
      </c>
      <c r="U115">
        <f t="shared" si="22"/>
        <v>0</v>
      </c>
      <c r="V115">
        <f t="shared" si="23"/>
        <v>0.84327507000000002</v>
      </c>
      <c r="W115">
        <f t="shared" si="24"/>
        <v>0.15938767500000001</v>
      </c>
      <c r="X115">
        <v>1</v>
      </c>
      <c r="Y115">
        <v>1769196404.9333301</v>
      </c>
      <c r="Z115">
        <v>409.78039999999999</v>
      </c>
      <c r="AA115">
        <v>410.00459999999998</v>
      </c>
      <c r="AB115">
        <v>15.3087466666667</v>
      </c>
      <c r="AC115">
        <v>14.5320533333333</v>
      </c>
      <c r="AD115">
        <v>410.601133333333</v>
      </c>
      <c r="AE115">
        <v>15.216806666666701</v>
      </c>
      <c r="AF115">
        <v>800.00073333333296</v>
      </c>
      <c r="AG115">
        <v>100.1186</v>
      </c>
      <c r="AH115">
        <v>6.4722773333333303E-2</v>
      </c>
      <c r="AI115">
        <v>18.994673333333299</v>
      </c>
      <c r="AJ115">
        <v>999.9</v>
      </c>
      <c r="AK115">
        <v>999.9</v>
      </c>
      <c r="AL115">
        <v>0</v>
      </c>
      <c r="AM115">
        <v>0</v>
      </c>
      <c r="AN115">
        <v>5000.8999999999996</v>
      </c>
      <c r="AO115">
        <v>0</v>
      </c>
      <c r="AP115">
        <v>1.6937899999999999</v>
      </c>
      <c r="AQ115">
        <v>-0.22405193333333301</v>
      </c>
      <c r="AR115">
        <v>416.15120000000002</v>
      </c>
      <c r="AS115">
        <v>416.05053333333302</v>
      </c>
      <c r="AT115">
        <v>0.776692933333333</v>
      </c>
      <c r="AU115">
        <v>410.00459999999998</v>
      </c>
      <c r="AV115">
        <v>14.5320533333333</v>
      </c>
      <c r="AW115">
        <v>1.5326913333333301</v>
      </c>
      <c r="AX115">
        <v>1.4549300000000001</v>
      </c>
      <c r="AY115">
        <v>13.2982533333333</v>
      </c>
      <c r="AZ115">
        <v>12.502560000000001</v>
      </c>
      <c r="BA115">
        <v>0</v>
      </c>
      <c r="BB115">
        <v>0.89083100000000004</v>
      </c>
      <c r="BC115">
        <v>0</v>
      </c>
      <c r="BD115">
        <v>0.109169</v>
      </c>
      <c r="BE115">
        <v>0</v>
      </c>
      <c r="BF115">
        <v>24</v>
      </c>
      <c r="BG115">
        <v>0</v>
      </c>
      <c r="BH115">
        <v>1769195835.0999999</v>
      </c>
      <c r="BI115" t="s">
        <v>440</v>
      </c>
      <c r="BJ115">
        <v>1769195835.0999999</v>
      </c>
      <c r="BK115">
        <v>1769195834.0999999</v>
      </c>
      <c r="BL115">
        <v>3</v>
      </c>
      <c r="BM115">
        <v>2.1999999999999999E-2</v>
      </c>
      <c r="BN115">
        <v>1E-3</v>
      </c>
      <c r="BO115">
        <v>-0.82099999999999995</v>
      </c>
      <c r="BP115">
        <v>9.1999999999999998E-2</v>
      </c>
      <c r="BQ115">
        <v>410</v>
      </c>
      <c r="BR115">
        <v>15</v>
      </c>
      <c r="BS115">
        <v>0.22</v>
      </c>
      <c r="BT115">
        <v>0.09</v>
      </c>
      <c r="BU115">
        <v>-0.21656800000000001</v>
      </c>
      <c r="BV115">
        <v>-0.105237383458647</v>
      </c>
      <c r="BW115">
        <v>2.5026050107837601E-2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0.77631494999999995</v>
      </c>
      <c r="CD115">
        <v>1.4952496240601999E-2</v>
      </c>
      <c r="CE115">
        <v>2.3582857221931199E-3</v>
      </c>
      <c r="CF115">
        <v>1</v>
      </c>
      <c r="CG115">
        <v>2</v>
      </c>
      <c r="CH115">
        <v>2</v>
      </c>
      <c r="CI115" t="s">
        <v>304</v>
      </c>
      <c r="CJ115">
        <v>3.5325799999999998</v>
      </c>
      <c r="CK115">
        <v>2.7027000000000001</v>
      </c>
      <c r="CL115">
        <v>9.7880700000000001E-2</v>
      </c>
      <c r="CM115">
        <v>9.6558599999999994E-2</v>
      </c>
      <c r="CN115">
        <v>8.66981E-2</v>
      </c>
      <c r="CO115">
        <v>8.2630700000000001E-2</v>
      </c>
      <c r="CP115">
        <v>31621.9</v>
      </c>
      <c r="CQ115">
        <v>27804.6</v>
      </c>
      <c r="CR115">
        <v>32443.5</v>
      </c>
      <c r="CS115">
        <v>30704.1</v>
      </c>
      <c r="CT115">
        <v>40127.9</v>
      </c>
      <c r="CU115">
        <v>39612.1</v>
      </c>
      <c r="CV115">
        <v>47386.3</v>
      </c>
      <c r="CW115">
        <v>46829.1</v>
      </c>
      <c r="CX115">
        <v>2.6201400000000001</v>
      </c>
      <c r="CY115">
        <v>2.12304</v>
      </c>
      <c r="CZ115">
        <v>0</v>
      </c>
      <c r="DA115">
        <v>0</v>
      </c>
      <c r="DB115">
        <v>999.9</v>
      </c>
      <c r="DC115">
        <v>999.9</v>
      </c>
      <c r="DD115">
        <v>52.759</v>
      </c>
      <c r="DE115">
        <v>27.734000000000002</v>
      </c>
      <c r="DF115">
        <v>19.690100000000001</v>
      </c>
      <c r="DG115">
        <v>30.149699999999999</v>
      </c>
      <c r="DH115">
        <v>16.4223</v>
      </c>
      <c r="DI115">
        <v>2</v>
      </c>
      <c r="DJ115">
        <v>-0.10287399999999999</v>
      </c>
      <c r="DK115">
        <v>2.03329</v>
      </c>
      <c r="DL115">
        <v>20.236899999999999</v>
      </c>
      <c r="DM115">
        <v>5.2507099999999998</v>
      </c>
      <c r="DN115">
        <v>12.033899999999999</v>
      </c>
      <c r="DO115">
        <v>4.9672400000000003</v>
      </c>
      <c r="DP115">
        <v>3.2909999999999999</v>
      </c>
      <c r="DQ115">
        <v>536.5</v>
      </c>
      <c r="DR115">
        <v>9999</v>
      </c>
      <c r="DS115">
        <v>9999</v>
      </c>
      <c r="DT115">
        <v>9999</v>
      </c>
      <c r="DU115">
        <v>1.8710500000000001</v>
      </c>
      <c r="DV115">
        <v>1.8761399999999999</v>
      </c>
      <c r="DW115">
        <v>1.87635</v>
      </c>
      <c r="DX115">
        <v>1.88279</v>
      </c>
      <c r="DY115">
        <v>1.87561</v>
      </c>
      <c r="DZ115">
        <v>1.87469</v>
      </c>
      <c r="EA115">
        <v>1.8708</v>
      </c>
      <c r="EB115">
        <v>1.8746100000000001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-0.82099999999999995</v>
      </c>
      <c r="EQ115">
        <v>9.1999999999999998E-2</v>
      </c>
      <c r="ER115">
        <v>-0.820799999999963</v>
      </c>
      <c r="ES115">
        <v>0</v>
      </c>
      <c r="ET115">
        <v>0</v>
      </c>
      <c r="EU115">
        <v>0</v>
      </c>
      <c r="EV115">
        <v>9.1945454545454594E-2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9.6</v>
      </c>
      <c r="FE115">
        <v>9.6</v>
      </c>
      <c r="FF115">
        <v>1.24146</v>
      </c>
      <c r="FG115">
        <v>2.5939899999999998</v>
      </c>
      <c r="FH115">
        <v>2.19604</v>
      </c>
      <c r="FI115">
        <v>2.66235</v>
      </c>
      <c r="FJ115">
        <v>2.4462899999999999</v>
      </c>
      <c r="FK115">
        <v>2.2997999999999998</v>
      </c>
      <c r="FL115">
        <v>32.222499999999997</v>
      </c>
      <c r="FM115">
        <v>24.148800000000001</v>
      </c>
      <c r="FN115">
        <v>19</v>
      </c>
      <c r="FO115">
        <v>865.577</v>
      </c>
      <c r="FP115">
        <v>572.83299999999997</v>
      </c>
      <c r="FQ115">
        <v>18.442399999999999</v>
      </c>
      <c r="FR115">
        <v>25.6798</v>
      </c>
      <c r="FS115">
        <v>30.0001</v>
      </c>
      <c r="FT115">
        <v>25.673400000000001</v>
      </c>
      <c r="FU115">
        <v>25.674700000000001</v>
      </c>
      <c r="FV115">
        <v>24.914400000000001</v>
      </c>
      <c r="FW115">
        <v>28.314299999999999</v>
      </c>
      <c r="FX115">
        <v>6.35642</v>
      </c>
      <c r="FY115">
        <v>18.443200000000001</v>
      </c>
      <c r="FZ115">
        <v>410</v>
      </c>
      <c r="GA115">
        <v>14.602600000000001</v>
      </c>
      <c r="GB115">
        <v>99.845200000000006</v>
      </c>
      <c r="GC115">
        <v>99.685599999999994</v>
      </c>
    </row>
    <row r="116" spans="1:185" x14ac:dyDescent="0.2">
      <c r="A116">
        <v>101</v>
      </c>
      <c r="B116">
        <v>1769196428</v>
      </c>
      <c r="C116">
        <v>1867</v>
      </c>
      <c r="D116" t="s">
        <v>497</v>
      </c>
      <c r="E116" t="s">
        <v>498</v>
      </c>
      <c r="F116">
        <v>15</v>
      </c>
      <c r="G116">
        <v>1769196419.9333301</v>
      </c>
      <c r="H116">
        <f t="shared" si="13"/>
        <v>6.0068342863359918E-4</v>
      </c>
      <c r="I116">
        <v>0</v>
      </c>
      <c r="J116">
        <f t="shared" si="25"/>
        <v>-1.9410898111945675E-3</v>
      </c>
      <c r="K116">
        <f t="shared" si="14"/>
        <v>-7.2332417307166261E-2</v>
      </c>
      <c r="L116">
        <f t="shared" si="15"/>
        <v>69.592029103313195</v>
      </c>
      <c r="M116">
        <f t="shared" si="16"/>
        <v>1.5349752670980708</v>
      </c>
      <c r="N116">
        <f t="shared" si="17"/>
        <v>2.2056768381035643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26249.908802619866</v>
      </c>
      <c r="T116">
        <f t="shared" si="21"/>
        <v>0</v>
      </c>
      <c r="U116">
        <f t="shared" si="22"/>
        <v>0</v>
      </c>
      <c r="V116">
        <f t="shared" si="23"/>
        <v>0.84327507000000002</v>
      </c>
      <c r="W116">
        <f t="shared" si="24"/>
        <v>0.15938767500000001</v>
      </c>
      <c r="X116">
        <v>1</v>
      </c>
      <c r="Y116">
        <v>1769196419.9333301</v>
      </c>
      <c r="Z116">
        <v>409.77719999999999</v>
      </c>
      <c r="AA116">
        <v>409.99446666666699</v>
      </c>
      <c r="AB116">
        <v>15.322506666666699</v>
      </c>
      <c r="AC116">
        <v>14.583159999999999</v>
      </c>
      <c r="AD116">
        <v>410.59813333333301</v>
      </c>
      <c r="AE116">
        <v>15.2305333333333</v>
      </c>
      <c r="AF116">
        <v>800.00286666666705</v>
      </c>
      <c r="AG116">
        <v>100.113066666667</v>
      </c>
      <c r="AH116">
        <v>6.4750219999999997E-2</v>
      </c>
      <c r="AI116">
        <v>19.003606666666698</v>
      </c>
      <c r="AJ116">
        <v>999.9</v>
      </c>
      <c r="AK116">
        <v>999.9</v>
      </c>
      <c r="AL116">
        <v>0</v>
      </c>
      <c r="AM116">
        <v>0</v>
      </c>
      <c r="AN116">
        <v>4999.7333333333299</v>
      </c>
      <c r="AO116">
        <v>0</v>
      </c>
      <c r="AP116">
        <v>1.6937899999999999</v>
      </c>
      <c r="AQ116">
        <v>-0.21720173333333301</v>
      </c>
      <c r="AR116">
        <v>416.15366666666699</v>
      </c>
      <c r="AS116">
        <v>416.061933333333</v>
      </c>
      <c r="AT116">
        <v>0.73933073333333299</v>
      </c>
      <c r="AU116">
        <v>409.99446666666699</v>
      </c>
      <c r="AV116">
        <v>14.583159999999999</v>
      </c>
      <c r="AW116">
        <v>1.53398266666667</v>
      </c>
      <c r="AX116">
        <v>1.45996666666667</v>
      </c>
      <c r="AY116">
        <v>13.311159999999999</v>
      </c>
      <c r="AZ116">
        <v>12.555213333333301</v>
      </c>
      <c r="BA116">
        <v>0</v>
      </c>
      <c r="BB116">
        <v>0.89083100000000004</v>
      </c>
      <c r="BC116">
        <v>0</v>
      </c>
      <c r="BD116">
        <v>0.109169</v>
      </c>
      <c r="BE116">
        <v>0</v>
      </c>
      <c r="BF116">
        <v>24</v>
      </c>
      <c r="BG116">
        <v>0</v>
      </c>
      <c r="BH116">
        <v>1769195835.0999999</v>
      </c>
      <c r="BI116" t="s">
        <v>440</v>
      </c>
      <c r="BJ116">
        <v>1769195835.0999999</v>
      </c>
      <c r="BK116">
        <v>1769195834.0999999</v>
      </c>
      <c r="BL116">
        <v>3</v>
      </c>
      <c r="BM116">
        <v>2.1999999999999999E-2</v>
      </c>
      <c r="BN116">
        <v>1E-3</v>
      </c>
      <c r="BO116">
        <v>-0.82099999999999995</v>
      </c>
      <c r="BP116">
        <v>9.1999999999999998E-2</v>
      </c>
      <c r="BQ116">
        <v>410</v>
      </c>
      <c r="BR116">
        <v>15</v>
      </c>
      <c r="BS116">
        <v>0.22</v>
      </c>
      <c r="BT116">
        <v>0.09</v>
      </c>
      <c r="BU116">
        <v>-0.21438019047619</v>
      </c>
      <c r="BV116">
        <v>-9.7939402597403094E-2</v>
      </c>
      <c r="BW116">
        <v>2.8725260954708499E-2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0.75059076190476204</v>
      </c>
      <c r="CD116">
        <v>-0.133179038961037</v>
      </c>
      <c r="CE116">
        <v>1.9947529821783199E-2</v>
      </c>
      <c r="CF116">
        <v>0</v>
      </c>
      <c r="CG116">
        <v>1</v>
      </c>
      <c r="CH116">
        <v>2</v>
      </c>
      <c r="CI116" t="s">
        <v>297</v>
      </c>
      <c r="CJ116">
        <v>3.5325600000000001</v>
      </c>
      <c r="CK116">
        <v>2.7023700000000002</v>
      </c>
      <c r="CL116">
        <v>9.7874900000000001E-2</v>
      </c>
      <c r="CM116">
        <v>9.6557699999999996E-2</v>
      </c>
      <c r="CN116">
        <v>8.6802699999999997E-2</v>
      </c>
      <c r="CO116">
        <v>8.2760899999999998E-2</v>
      </c>
      <c r="CP116">
        <v>31622.2</v>
      </c>
      <c r="CQ116">
        <v>27805.200000000001</v>
      </c>
      <c r="CR116">
        <v>32443.599999999999</v>
      </c>
      <c r="CS116">
        <v>30704.799999999999</v>
      </c>
      <c r="CT116">
        <v>40123.4</v>
      </c>
      <c r="CU116">
        <v>39607</v>
      </c>
      <c r="CV116">
        <v>47386.7</v>
      </c>
      <c r="CW116">
        <v>46829.9</v>
      </c>
      <c r="CX116">
        <v>2.6198000000000001</v>
      </c>
      <c r="CY116">
        <v>2.1228600000000002</v>
      </c>
      <c r="CZ116">
        <v>0</v>
      </c>
      <c r="DA116">
        <v>0</v>
      </c>
      <c r="DB116">
        <v>999.9</v>
      </c>
      <c r="DC116">
        <v>999.9</v>
      </c>
      <c r="DD116">
        <v>52.686</v>
      </c>
      <c r="DE116">
        <v>27.744</v>
      </c>
      <c r="DF116">
        <v>19.674700000000001</v>
      </c>
      <c r="DG116">
        <v>30.239699999999999</v>
      </c>
      <c r="DH116">
        <v>16.322099999999999</v>
      </c>
      <c r="DI116">
        <v>2</v>
      </c>
      <c r="DJ116">
        <v>-0.10198</v>
      </c>
      <c r="DK116">
        <v>2.3260200000000002</v>
      </c>
      <c r="DL116">
        <v>20.232099999999999</v>
      </c>
      <c r="DM116">
        <v>5.2503500000000001</v>
      </c>
      <c r="DN116">
        <v>12.033899999999999</v>
      </c>
      <c r="DO116">
        <v>4.9670800000000002</v>
      </c>
      <c r="DP116">
        <v>3.2909999999999999</v>
      </c>
      <c r="DQ116">
        <v>536.5</v>
      </c>
      <c r="DR116">
        <v>9999</v>
      </c>
      <c r="DS116">
        <v>9999</v>
      </c>
      <c r="DT116">
        <v>9999</v>
      </c>
      <c r="DU116">
        <v>1.87104</v>
      </c>
      <c r="DV116">
        <v>1.87612</v>
      </c>
      <c r="DW116">
        <v>1.87635</v>
      </c>
      <c r="DX116">
        <v>1.8827799999999999</v>
      </c>
      <c r="DY116">
        <v>1.8755999999999999</v>
      </c>
      <c r="DZ116">
        <v>1.87469</v>
      </c>
      <c r="EA116">
        <v>1.8708</v>
      </c>
      <c r="EB116">
        <v>1.87463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-0.82099999999999995</v>
      </c>
      <c r="EQ116">
        <v>9.1899999999999996E-2</v>
      </c>
      <c r="ER116">
        <v>-0.820799999999963</v>
      </c>
      <c r="ES116">
        <v>0</v>
      </c>
      <c r="ET116">
        <v>0</v>
      </c>
      <c r="EU116">
        <v>0</v>
      </c>
      <c r="EV116">
        <v>9.1945454545454594E-2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9.9</v>
      </c>
      <c r="FE116">
        <v>9.9</v>
      </c>
      <c r="FF116">
        <v>1.24146</v>
      </c>
      <c r="FG116">
        <v>2.5964399999999999</v>
      </c>
      <c r="FH116">
        <v>2.19604</v>
      </c>
      <c r="FI116">
        <v>2.66235</v>
      </c>
      <c r="FJ116">
        <v>2.4462899999999999</v>
      </c>
      <c r="FK116">
        <v>2.2912599999999999</v>
      </c>
      <c r="FL116">
        <v>32.222499999999997</v>
      </c>
      <c r="FM116">
        <v>24.148800000000001</v>
      </c>
      <c r="FN116">
        <v>19</v>
      </c>
      <c r="FO116">
        <v>865.27499999999998</v>
      </c>
      <c r="FP116">
        <v>572.71900000000005</v>
      </c>
      <c r="FQ116">
        <v>18.3279</v>
      </c>
      <c r="FR116">
        <v>25.681899999999999</v>
      </c>
      <c r="FS116">
        <v>30.000299999999999</v>
      </c>
      <c r="FT116">
        <v>25.674299999999999</v>
      </c>
      <c r="FU116">
        <v>25.6768</v>
      </c>
      <c r="FV116">
        <v>24.9162</v>
      </c>
      <c r="FW116">
        <v>28.314299999999999</v>
      </c>
      <c r="FX116">
        <v>5.9834500000000004</v>
      </c>
      <c r="FY116">
        <v>18.322199999999999</v>
      </c>
      <c r="FZ116">
        <v>410</v>
      </c>
      <c r="GA116">
        <v>14.594099999999999</v>
      </c>
      <c r="GB116">
        <v>99.845799999999997</v>
      </c>
      <c r="GC116">
        <v>99.687600000000003</v>
      </c>
    </row>
    <row r="117" spans="1:185" x14ac:dyDescent="0.2">
      <c r="A117">
        <v>102</v>
      </c>
      <c r="B117">
        <v>1769196443</v>
      </c>
      <c r="C117">
        <v>1882</v>
      </c>
      <c r="D117" t="s">
        <v>499</v>
      </c>
      <c r="E117" t="s">
        <v>500</v>
      </c>
      <c r="F117">
        <v>15</v>
      </c>
      <c r="G117">
        <v>1769196434.9333301</v>
      </c>
      <c r="H117">
        <f t="shared" si="13"/>
        <v>6.0918135138110909E-4</v>
      </c>
      <c r="I117">
        <v>0</v>
      </c>
      <c r="J117">
        <f t="shared" si="25"/>
        <v>-2.1762605741897307E-3</v>
      </c>
      <c r="K117">
        <f t="shared" si="14"/>
        <v>-8.1095777801517832E-2</v>
      </c>
      <c r="L117">
        <f t="shared" si="15"/>
        <v>69.644583743479657</v>
      </c>
      <c r="M117">
        <f t="shared" si="16"/>
        <v>1.5360501009727752</v>
      </c>
      <c r="N117">
        <f t="shared" si="17"/>
        <v>2.2055557207872392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26230.310934113873</v>
      </c>
      <c r="T117">
        <f t="shared" si="21"/>
        <v>0</v>
      </c>
      <c r="U117">
        <f t="shared" si="22"/>
        <v>0</v>
      </c>
      <c r="V117">
        <f t="shared" si="23"/>
        <v>0.84327507000000002</v>
      </c>
      <c r="W117">
        <f t="shared" si="24"/>
        <v>0.15938767500000001</v>
      </c>
      <c r="X117">
        <v>1</v>
      </c>
      <c r="Y117">
        <v>1769196434.9333301</v>
      </c>
      <c r="Z117">
        <v>409.780666666667</v>
      </c>
      <c r="AA117">
        <v>409.99133333333299</v>
      </c>
      <c r="AB117">
        <v>15.3335066666667</v>
      </c>
      <c r="AC117">
        <v>14.5837133333333</v>
      </c>
      <c r="AD117">
        <v>410.612666666667</v>
      </c>
      <c r="AE117">
        <v>15.2415066666667</v>
      </c>
      <c r="AF117">
        <v>800.00773333333302</v>
      </c>
      <c r="AG117">
        <v>100.11133333333299</v>
      </c>
      <c r="AH117">
        <v>6.4714740000000007E-2</v>
      </c>
      <c r="AI117">
        <v>19.0027266666667</v>
      </c>
      <c r="AJ117">
        <v>999.9</v>
      </c>
      <c r="AK117">
        <v>999.9</v>
      </c>
      <c r="AL117">
        <v>0</v>
      </c>
      <c r="AM117">
        <v>0</v>
      </c>
      <c r="AN117">
        <v>4996.5666666666702</v>
      </c>
      <c r="AO117">
        <v>0</v>
      </c>
      <c r="AP117">
        <v>1.6937899999999999</v>
      </c>
      <c r="AQ117">
        <v>-0.19939773333333299</v>
      </c>
      <c r="AR117">
        <v>416.17320000000001</v>
      </c>
      <c r="AS117">
        <v>416.05906666666698</v>
      </c>
      <c r="AT117">
        <v>0.74974233333333296</v>
      </c>
      <c r="AU117">
        <v>409.99133333333299</v>
      </c>
      <c r="AV117">
        <v>14.5837133333333</v>
      </c>
      <c r="AW117">
        <v>1.5350520000000001</v>
      </c>
      <c r="AX117">
        <v>1.45999533333333</v>
      </c>
      <c r="AY117">
        <v>13.32184</v>
      </c>
      <c r="AZ117">
        <v>12.55552</v>
      </c>
      <c r="BA117">
        <v>0</v>
      </c>
      <c r="BB117">
        <v>0.89083100000000004</v>
      </c>
      <c r="BC117">
        <v>0</v>
      </c>
      <c r="BD117">
        <v>0.109169</v>
      </c>
      <c r="BE117">
        <v>0</v>
      </c>
      <c r="BF117">
        <v>24</v>
      </c>
      <c r="BG117">
        <v>0</v>
      </c>
      <c r="BH117">
        <v>1769196463</v>
      </c>
      <c r="BI117" t="s">
        <v>501</v>
      </c>
      <c r="BJ117">
        <v>1769196460</v>
      </c>
      <c r="BK117">
        <v>1769196463</v>
      </c>
      <c r="BL117">
        <v>4</v>
      </c>
      <c r="BM117">
        <v>-1.0999999999999999E-2</v>
      </c>
      <c r="BN117">
        <v>0</v>
      </c>
      <c r="BO117">
        <v>-0.83199999999999996</v>
      </c>
      <c r="BP117">
        <v>9.1999999999999998E-2</v>
      </c>
      <c r="BQ117">
        <v>410</v>
      </c>
      <c r="BR117">
        <v>15</v>
      </c>
      <c r="BS117">
        <v>0.22</v>
      </c>
      <c r="BT117">
        <v>0.08</v>
      </c>
      <c r="BU117">
        <v>-0.21032419047619</v>
      </c>
      <c r="BV117">
        <v>0.21199044155844199</v>
      </c>
      <c r="BW117">
        <v>2.7324048303243899E-2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0.74864919047619005</v>
      </c>
      <c r="CD117">
        <v>3.1427376623377301E-2</v>
      </c>
      <c r="CE117">
        <v>3.9525806352311999E-3</v>
      </c>
      <c r="CF117">
        <v>1</v>
      </c>
      <c r="CG117">
        <v>2</v>
      </c>
      <c r="CH117">
        <v>2</v>
      </c>
      <c r="CI117" t="s">
        <v>304</v>
      </c>
      <c r="CJ117">
        <v>3.5326200000000001</v>
      </c>
      <c r="CK117">
        <v>2.7027000000000001</v>
      </c>
      <c r="CL117">
        <v>9.7875799999999999E-2</v>
      </c>
      <c r="CM117">
        <v>9.6558099999999994E-2</v>
      </c>
      <c r="CN117">
        <v>8.6820999999999995E-2</v>
      </c>
      <c r="CO117">
        <v>8.2740400000000006E-2</v>
      </c>
      <c r="CP117">
        <v>31622.400000000001</v>
      </c>
      <c r="CQ117">
        <v>27805.1</v>
      </c>
      <c r="CR117">
        <v>32443.9</v>
      </c>
      <c r="CS117">
        <v>30704.7</v>
      </c>
      <c r="CT117">
        <v>40123</v>
      </c>
      <c r="CU117">
        <v>39607.699999999997</v>
      </c>
      <c r="CV117">
        <v>47387.199999999997</v>
      </c>
      <c r="CW117">
        <v>46829.8</v>
      </c>
      <c r="CX117">
        <v>2.6196199999999998</v>
      </c>
      <c r="CY117">
        <v>2.1226799999999999</v>
      </c>
      <c r="CZ117">
        <v>0</v>
      </c>
      <c r="DA117">
        <v>0</v>
      </c>
      <c r="DB117">
        <v>999.9</v>
      </c>
      <c r="DC117">
        <v>999.9</v>
      </c>
      <c r="DD117">
        <v>52.637</v>
      </c>
      <c r="DE117">
        <v>27.734000000000002</v>
      </c>
      <c r="DF117">
        <v>19.642700000000001</v>
      </c>
      <c r="DG117">
        <v>30.419699999999999</v>
      </c>
      <c r="DH117">
        <v>16.3261</v>
      </c>
      <c r="DI117">
        <v>2</v>
      </c>
      <c r="DJ117">
        <v>-0.10236199999999999</v>
      </c>
      <c r="DK117">
        <v>2.21028</v>
      </c>
      <c r="DL117">
        <v>20.234200000000001</v>
      </c>
      <c r="DM117">
        <v>5.2507099999999998</v>
      </c>
      <c r="DN117">
        <v>12.033899999999999</v>
      </c>
      <c r="DO117">
        <v>4.9669999999999996</v>
      </c>
      <c r="DP117">
        <v>3.2909999999999999</v>
      </c>
      <c r="DQ117">
        <v>536.5</v>
      </c>
      <c r="DR117">
        <v>9999</v>
      </c>
      <c r="DS117">
        <v>9999</v>
      </c>
      <c r="DT117">
        <v>9999</v>
      </c>
      <c r="DU117">
        <v>1.87104</v>
      </c>
      <c r="DV117">
        <v>1.87612</v>
      </c>
      <c r="DW117">
        <v>1.8763399999999999</v>
      </c>
      <c r="DX117">
        <v>1.8827799999999999</v>
      </c>
      <c r="DY117">
        <v>1.8755999999999999</v>
      </c>
      <c r="DZ117">
        <v>1.8746799999999999</v>
      </c>
      <c r="EA117">
        <v>1.8708100000000001</v>
      </c>
      <c r="EB117">
        <v>1.8746400000000001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-0.83199999999999996</v>
      </c>
      <c r="EQ117">
        <v>9.1999999999999998E-2</v>
      </c>
      <c r="ER117">
        <v>-0.820799999999963</v>
      </c>
      <c r="ES117">
        <v>0</v>
      </c>
      <c r="ET117">
        <v>0</v>
      </c>
      <c r="EU117">
        <v>0</v>
      </c>
      <c r="EV117">
        <v>9.1945454545454594E-2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10.1</v>
      </c>
      <c r="FE117">
        <v>10.1</v>
      </c>
      <c r="FF117">
        <v>1.24146</v>
      </c>
      <c r="FG117">
        <v>2.5903299999999998</v>
      </c>
      <c r="FH117">
        <v>2.19604</v>
      </c>
      <c r="FI117">
        <v>2.66235</v>
      </c>
      <c r="FJ117">
        <v>2.4462899999999999</v>
      </c>
      <c r="FK117">
        <v>2.32056</v>
      </c>
      <c r="FL117">
        <v>32.222499999999997</v>
      </c>
      <c r="FM117">
        <v>24.157499999999999</v>
      </c>
      <c r="FN117">
        <v>19</v>
      </c>
      <c r="FO117">
        <v>865.14200000000005</v>
      </c>
      <c r="FP117">
        <v>572.60500000000002</v>
      </c>
      <c r="FQ117">
        <v>18.310700000000001</v>
      </c>
      <c r="FR117">
        <v>25.6829</v>
      </c>
      <c r="FS117">
        <v>30</v>
      </c>
      <c r="FT117">
        <v>25.676400000000001</v>
      </c>
      <c r="FU117">
        <v>25.678999999999998</v>
      </c>
      <c r="FV117">
        <v>24.915700000000001</v>
      </c>
      <c r="FW117">
        <v>28.314299999999999</v>
      </c>
      <c r="FX117">
        <v>5.6133800000000003</v>
      </c>
      <c r="FY117">
        <v>18.321999999999999</v>
      </c>
      <c r="FZ117">
        <v>410</v>
      </c>
      <c r="GA117">
        <v>14.594099999999999</v>
      </c>
      <c r="GB117">
        <v>99.846699999999998</v>
      </c>
      <c r="GC117">
        <v>99.687200000000004</v>
      </c>
    </row>
    <row r="118" spans="1:185" x14ac:dyDescent="0.2">
      <c r="A118">
        <v>103</v>
      </c>
      <c r="B118">
        <v>1769196465</v>
      </c>
      <c r="C118">
        <v>1904</v>
      </c>
      <c r="D118" t="s">
        <v>502</v>
      </c>
      <c r="E118" t="s">
        <v>503</v>
      </c>
      <c r="F118">
        <v>15</v>
      </c>
      <c r="G118">
        <v>1769196464</v>
      </c>
      <c r="H118">
        <f t="shared" si="13"/>
        <v>-1.6237095957403706E-7</v>
      </c>
      <c r="I118">
        <v>0</v>
      </c>
      <c r="J118">
        <f t="shared" si="25"/>
        <v>-4.0613230995312422E-4</v>
      </c>
      <c r="K118">
        <f t="shared" si="14"/>
        <v>-1.5134040452962938E-2</v>
      </c>
      <c r="L118">
        <f t="shared" si="15"/>
        <v>66.200030103462893</v>
      </c>
      <c r="M118">
        <f t="shared" si="16"/>
        <v>1.4590286748806101</v>
      </c>
      <c r="N118">
        <f t="shared" si="17"/>
        <v>2.2039698057543466</v>
      </c>
      <c r="O118">
        <v>479</v>
      </c>
      <c r="P118">
        <v>60</v>
      </c>
      <c r="Q118">
        <f t="shared" si="18"/>
        <v>1</v>
      </c>
      <c r="R118">
        <f t="shared" si="19"/>
        <v>0</v>
      </c>
      <c r="S118">
        <f t="shared" si="20"/>
        <v>26279.939594372543</v>
      </c>
      <c r="T118">
        <f t="shared" si="21"/>
        <v>0</v>
      </c>
      <c r="U118">
        <f t="shared" si="22"/>
        <v>0</v>
      </c>
      <c r="V118">
        <f t="shared" si="23"/>
        <v>0.84327507000000002</v>
      </c>
      <c r="W118">
        <f t="shared" si="24"/>
        <v>0.15938767500000001</v>
      </c>
      <c r="X118">
        <v>1</v>
      </c>
      <c r="Y118">
        <v>1769196464</v>
      </c>
      <c r="Z118">
        <v>409.97199999999998</v>
      </c>
      <c r="AA118">
        <v>409.95299999999997</v>
      </c>
      <c r="AB118">
        <v>14.5627</v>
      </c>
      <c r="AC118">
        <v>14.562900000000001</v>
      </c>
      <c r="AD118">
        <v>410.803</v>
      </c>
      <c r="AE118">
        <v>14.4711</v>
      </c>
      <c r="AF118">
        <v>800.03200000000004</v>
      </c>
      <c r="AG118">
        <v>100.113</v>
      </c>
      <c r="AH118">
        <v>7.6434299999999997E-2</v>
      </c>
      <c r="AI118">
        <v>18.991199999999999</v>
      </c>
      <c r="AJ118">
        <v>999.9</v>
      </c>
      <c r="AK118">
        <v>999.9</v>
      </c>
      <c r="AL118">
        <v>0</v>
      </c>
      <c r="AM118">
        <v>0</v>
      </c>
      <c r="AN118">
        <v>5004.5</v>
      </c>
      <c r="AO118">
        <v>0</v>
      </c>
      <c r="AP118">
        <v>1.6937899999999999</v>
      </c>
      <c r="AQ118">
        <v>1.85852E-2</v>
      </c>
      <c r="AR118">
        <v>416.03</v>
      </c>
      <c r="AS118">
        <v>416.01100000000002</v>
      </c>
      <c r="AT118">
        <v>-2.2697400000000001E-4</v>
      </c>
      <c r="AU118">
        <v>409.95299999999997</v>
      </c>
      <c r="AV118">
        <v>14.562900000000001</v>
      </c>
      <c r="AW118">
        <v>1.45791</v>
      </c>
      <c r="AX118">
        <v>1.4579299999999999</v>
      </c>
      <c r="AY118">
        <v>12.5337</v>
      </c>
      <c r="AZ118">
        <v>12.533899999999999</v>
      </c>
      <c r="BA118">
        <v>0</v>
      </c>
      <c r="BB118">
        <v>0.89083100000000004</v>
      </c>
      <c r="BC118">
        <v>0</v>
      </c>
      <c r="BD118">
        <v>0.109169</v>
      </c>
      <c r="BE118">
        <v>0</v>
      </c>
      <c r="BF118">
        <v>24</v>
      </c>
      <c r="BG118">
        <v>0</v>
      </c>
      <c r="BH118">
        <v>1769196463</v>
      </c>
      <c r="BI118" t="s">
        <v>501</v>
      </c>
      <c r="BJ118">
        <v>1769196460</v>
      </c>
      <c r="BK118">
        <v>1769196463</v>
      </c>
      <c r="BL118">
        <v>4</v>
      </c>
      <c r="BM118">
        <v>-1.0999999999999999E-2</v>
      </c>
      <c r="BN118">
        <v>0</v>
      </c>
      <c r="BO118">
        <v>-0.83199999999999996</v>
      </c>
      <c r="BP118">
        <v>9.1999999999999998E-2</v>
      </c>
      <c r="BQ118">
        <v>410</v>
      </c>
      <c r="BR118">
        <v>15</v>
      </c>
      <c r="BS118">
        <v>0.22</v>
      </c>
      <c r="BT118">
        <v>0.08</v>
      </c>
      <c r="BU118">
        <v>-2.7881405238095201E-2</v>
      </c>
      <c r="BV118">
        <v>0.51174830961038997</v>
      </c>
      <c r="BW118">
        <v>7.1379876622673005E-2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0.14645599576190499</v>
      </c>
      <c r="CD118">
        <v>-1.9546821805714301</v>
      </c>
      <c r="CE118">
        <v>0.25522677261453502</v>
      </c>
      <c r="CF118">
        <v>0</v>
      </c>
      <c r="CG118">
        <v>0</v>
      </c>
      <c r="CH118">
        <v>2</v>
      </c>
      <c r="CI118" t="s">
        <v>290</v>
      </c>
      <c r="CJ118">
        <v>3.5339800000000001</v>
      </c>
      <c r="CK118">
        <v>2.7128100000000002</v>
      </c>
      <c r="CL118">
        <v>9.7894599999999998E-2</v>
      </c>
      <c r="CM118">
        <v>9.6548099999999998E-2</v>
      </c>
      <c r="CN118">
        <v>8.3649200000000007E-2</v>
      </c>
      <c r="CO118">
        <v>8.2669800000000002E-2</v>
      </c>
      <c r="CP118">
        <v>31622.3</v>
      </c>
      <c r="CQ118">
        <v>27805.8</v>
      </c>
      <c r="CR118">
        <v>32444.5</v>
      </c>
      <c r="CS118">
        <v>30705.1</v>
      </c>
      <c r="CT118">
        <v>40267.300000000003</v>
      </c>
      <c r="CU118">
        <v>39611.599999999999</v>
      </c>
      <c r="CV118">
        <v>47388</v>
      </c>
      <c r="CW118">
        <v>46830.6</v>
      </c>
      <c r="CX118">
        <v>1.6922200000000001</v>
      </c>
      <c r="CY118">
        <v>1.60442</v>
      </c>
      <c r="CZ118">
        <v>0</v>
      </c>
      <c r="DA118">
        <v>0</v>
      </c>
      <c r="DB118">
        <v>999.9</v>
      </c>
      <c r="DC118">
        <v>999.9</v>
      </c>
      <c r="DD118">
        <v>52.539000000000001</v>
      </c>
      <c r="DE118">
        <v>27.744</v>
      </c>
      <c r="DF118">
        <v>19.620200000000001</v>
      </c>
      <c r="DG118">
        <v>30.099699999999999</v>
      </c>
      <c r="DH118">
        <v>16.6707</v>
      </c>
      <c r="DI118">
        <v>2</v>
      </c>
      <c r="DJ118">
        <v>-0.10266699999999999</v>
      </c>
      <c r="DK118">
        <v>2.1503700000000001</v>
      </c>
      <c r="DL118">
        <v>20.232500000000002</v>
      </c>
      <c r="DM118">
        <v>5.2398100000000003</v>
      </c>
      <c r="DN118">
        <v>12.033899999999999</v>
      </c>
      <c r="DO118">
        <v>4.9647199999999998</v>
      </c>
      <c r="DP118">
        <v>3.2894600000000001</v>
      </c>
      <c r="DQ118">
        <v>536.5</v>
      </c>
      <c r="DR118">
        <v>9999</v>
      </c>
      <c r="DS118">
        <v>9999</v>
      </c>
      <c r="DT118">
        <v>9999</v>
      </c>
      <c r="DU118">
        <v>1.8711100000000001</v>
      </c>
      <c r="DV118">
        <v>1.8761099999999999</v>
      </c>
      <c r="DW118">
        <v>1.87635</v>
      </c>
      <c r="DX118">
        <v>1.88279</v>
      </c>
      <c r="DY118">
        <v>1.87561</v>
      </c>
      <c r="DZ118">
        <v>1.87469</v>
      </c>
      <c r="EA118">
        <v>1.8708400000000001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-0.83199999999999996</v>
      </c>
      <c r="EQ118">
        <v>9.1499999999999998E-2</v>
      </c>
      <c r="ER118">
        <v>-0.83190909090899401</v>
      </c>
      <c r="ES118">
        <v>0</v>
      </c>
      <c r="ET118">
        <v>0</v>
      </c>
      <c r="EU118">
        <v>0</v>
      </c>
      <c r="EV118">
        <v>9.1569999999998999E-2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0.1</v>
      </c>
      <c r="FE118">
        <v>0</v>
      </c>
      <c r="FF118">
        <v>1.24146</v>
      </c>
      <c r="FG118">
        <v>2.5939899999999998</v>
      </c>
      <c r="FH118">
        <v>2.19604</v>
      </c>
      <c r="FI118">
        <v>2.66235</v>
      </c>
      <c r="FJ118">
        <v>2.4462899999999999</v>
      </c>
      <c r="FK118">
        <v>2.2961399999999998</v>
      </c>
      <c r="FL118">
        <v>32.244599999999998</v>
      </c>
      <c r="FM118">
        <v>24.157499999999999</v>
      </c>
      <c r="FN118">
        <v>19</v>
      </c>
      <c r="FO118">
        <v>303.58999999999997</v>
      </c>
      <c r="FP118">
        <v>279.887</v>
      </c>
      <c r="FQ118">
        <v>18.3306</v>
      </c>
      <c r="FR118">
        <v>25.686299999999999</v>
      </c>
      <c r="FS118">
        <v>30.0001</v>
      </c>
      <c r="FT118">
        <v>25.698</v>
      </c>
      <c r="FU118">
        <v>25.696300000000001</v>
      </c>
      <c r="FV118">
        <v>24.917000000000002</v>
      </c>
      <c r="FW118">
        <v>26.732900000000001</v>
      </c>
      <c r="FX118">
        <v>5.6133800000000003</v>
      </c>
      <c r="FY118">
        <v>18.335999999999999</v>
      </c>
      <c r="FZ118">
        <v>410</v>
      </c>
      <c r="GA118">
        <v>15.079700000000001</v>
      </c>
      <c r="GB118">
        <v>99.848500000000001</v>
      </c>
      <c r="GC118">
        <v>99.688800000000001</v>
      </c>
    </row>
    <row r="119" spans="1:185" x14ac:dyDescent="0.2">
      <c r="A119">
        <v>104</v>
      </c>
      <c r="B119">
        <v>1769196480</v>
      </c>
      <c r="C119">
        <v>1919</v>
      </c>
      <c r="D119" t="s">
        <v>504</v>
      </c>
      <c r="E119" t="s">
        <v>505</v>
      </c>
      <c r="F119">
        <v>15</v>
      </c>
      <c r="G119">
        <v>1769196471.9333301</v>
      </c>
      <c r="H119">
        <f t="shared" si="13"/>
        <v>4.3600091189829307E-4</v>
      </c>
      <c r="I119">
        <v>0</v>
      </c>
      <c r="J119">
        <f t="shared" si="25"/>
        <v>-1.3181141871981589E-3</v>
      </c>
      <c r="K119">
        <f t="shared" si="14"/>
        <v>-4.911796708068792E-2</v>
      </c>
      <c r="L119">
        <f t="shared" si="15"/>
        <v>69.124607625947803</v>
      </c>
      <c r="M119">
        <f t="shared" si="16"/>
        <v>1.5234512533196476</v>
      </c>
      <c r="N119">
        <f t="shared" si="17"/>
        <v>2.2039202906777566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26189.213438494622</v>
      </c>
      <c r="T119">
        <f t="shared" si="21"/>
        <v>0</v>
      </c>
      <c r="U119">
        <f t="shared" si="22"/>
        <v>0</v>
      </c>
      <c r="V119">
        <f t="shared" si="23"/>
        <v>0.84327507000000002</v>
      </c>
      <c r="W119">
        <f t="shared" si="24"/>
        <v>0.15938767500000001</v>
      </c>
      <c r="X119">
        <v>1</v>
      </c>
      <c r="Y119">
        <v>1769196471.9333301</v>
      </c>
      <c r="Z119">
        <v>409.79820000000001</v>
      </c>
      <c r="AA119">
        <v>409.96006666666699</v>
      </c>
      <c r="AB119">
        <v>15.2074266666667</v>
      </c>
      <c r="AC119">
        <v>14.6709666666667</v>
      </c>
      <c r="AD119">
        <v>410.62993333333299</v>
      </c>
      <c r="AE119">
        <v>15.115866666666699</v>
      </c>
      <c r="AF119">
        <v>800.37739999999997</v>
      </c>
      <c r="AG119">
        <v>100.111066666667</v>
      </c>
      <c r="AH119">
        <v>6.70428E-2</v>
      </c>
      <c r="AI119">
        <v>18.990839999999999</v>
      </c>
      <c r="AJ119">
        <v>999.9</v>
      </c>
      <c r="AK119">
        <v>999.9</v>
      </c>
      <c r="AL119">
        <v>0</v>
      </c>
      <c r="AM119">
        <v>0</v>
      </c>
      <c r="AN119">
        <v>4989.6333333333296</v>
      </c>
      <c r="AO119">
        <v>0</v>
      </c>
      <c r="AP119">
        <v>1.6937899999999999</v>
      </c>
      <c r="AQ119">
        <v>-0.16188137999999999</v>
      </c>
      <c r="AR119">
        <v>416.12619999999998</v>
      </c>
      <c r="AS119">
        <v>416.06393333333301</v>
      </c>
      <c r="AT119">
        <v>0.53647413506666697</v>
      </c>
      <c r="AU119">
        <v>409.96006666666699</v>
      </c>
      <c r="AV119">
        <v>14.6709666666667</v>
      </c>
      <c r="AW119">
        <v>1.522432</v>
      </c>
      <c r="AX119">
        <v>1.46872466666667</v>
      </c>
      <c r="AY119">
        <v>13.1934466666667</v>
      </c>
      <c r="AZ119">
        <v>12.646319999999999</v>
      </c>
      <c r="BA119">
        <v>0</v>
      </c>
      <c r="BB119">
        <v>0.89083100000000004</v>
      </c>
      <c r="BC119">
        <v>0</v>
      </c>
      <c r="BD119">
        <v>0.109169</v>
      </c>
      <c r="BE119">
        <v>0</v>
      </c>
      <c r="BF119">
        <v>24</v>
      </c>
      <c r="BG119">
        <v>0</v>
      </c>
      <c r="BH119">
        <v>1769196463</v>
      </c>
      <c r="BI119" t="s">
        <v>501</v>
      </c>
      <c r="BJ119">
        <v>1769196460</v>
      </c>
      <c r="BK119">
        <v>1769196463</v>
      </c>
      <c r="BL119">
        <v>4</v>
      </c>
      <c r="BM119">
        <v>-1.0999999999999999E-2</v>
      </c>
      <c r="BN119">
        <v>0</v>
      </c>
      <c r="BO119">
        <v>-0.83199999999999996</v>
      </c>
      <c r="BP119">
        <v>9.1999999999999998E-2</v>
      </c>
      <c r="BQ119">
        <v>410</v>
      </c>
      <c r="BR119">
        <v>15</v>
      </c>
      <c r="BS119">
        <v>0.22</v>
      </c>
      <c r="BT119">
        <v>0.08</v>
      </c>
      <c r="BU119">
        <v>-0.1209456465</v>
      </c>
      <c r="BV119">
        <v>-1.0909212157894701</v>
      </c>
      <c r="BW119">
        <v>0.10949411524321299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0.40449164045000002</v>
      </c>
      <c r="CD119">
        <v>2.8045451626014999</v>
      </c>
      <c r="CE119">
        <v>0.28862816452201401</v>
      </c>
      <c r="CF119">
        <v>0</v>
      </c>
      <c r="CG119">
        <v>0</v>
      </c>
      <c r="CH119">
        <v>2</v>
      </c>
      <c r="CI119" t="s">
        <v>290</v>
      </c>
      <c r="CJ119">
        <v>3.5325600000000001</v>
      </c>
      <c r="CK119">
        <v>2.7028599999999998</v>
      </c>
      <c r="CL119">
        <v>9.7868499999999997E-2</v>
      </c>
      <c r="CM119">
        <v>9.6561099999999997E-2</v>
      </c>
      <c r="CN119">
        <v>8.6992299999999995E-2</v>
      </c>
      <c r="CO119">
        <v>8.3149399999999998E-2</v>
      </c>
      <c r="CP119">
        <v>31622.400000000001</v>
      </c>
      <c r="CQ119">
        <v>27805.599999999999</v>
      </c>
      <c r="CR119">
        <v>32443.599999999999</v>
      </c>
      <c r="CS119">
        <v>30705.4</v>
      </c>
      <c r="CT119">
        <v>40115</v>
      </c>
      <c r="CU119">
        <v>39590.6</v>
      </c>
      <c r="CV119">
        <v>47386.9</v>
      </c>
      <c r="CW119">
        <v>46831</v>
      </c>
      <c r="CX119">
        <v>2.6172599999999999</v>
      </c>
      <c r="CY119">
        <v>2.1215000000000002</v>
      </c>
      <c r="CZ119">
        <v>0</v>
      </c>
      <c r="DA119">
        <v>0</v>
      </c>
      <c r="DB119">
        <v>999.9</v>
      </c>
      <c r="DC119">
        <v>999.9</v>
      </c>
      <c r="DD119">
        <v>52.491</v>
      </c>
      <c r="DE119">
        <v>27.744</v>
      </c>
      <c r="DF119">
        <v>19.6022</v>
      </c>
      <c r="DG119">
        <v>30.5197</v>
      </c>
      <c r="DH119">
        <v>16.318100000000001</v>
      </c>
      <c r="DI119">
        <v>2</v>
      </c>
      <c r="DJ119">
        <v>-0.102766</v>
      </c>
      <c r="DK119">
        <v>2.11368</v>
      </c>
      <c r="DL119">
        <v>20.235900000000001</v>
      </c>
      <c r="DM119">
        <v>5.2491599999999998</v>
      </c>
      <c r="DN119">
        <v>12.033899999999999</v>
      </c>
      <c r="DO119">
        <v>4.96652</v>
      </c>
      <c r="DP119">
        <v>3.2909999999999999</v>
      </c>
      <c r="DQ119">
        <v>536.5</v>
      </c>
      <c r="DR119">
        <v>9999</v>
      </c>
      <c r="DS119">
        <v>9999</v>
      </c>
      <c r="DT119">
        <v>9999</v>
      </c>
      <c r="DU119">
        <v>1.8710800000000001</v>
      </c>
      <c r="DV119">
        <v>1.87612</v>
      </c>
      <c r="DW119">
        <v>1.8763399999999999</v>
      </c>
      <c r="DX119">
        <v>1.88279</v>
      </c>
      <c r="DY119">
        <v>1.87561</v>
      </c>
      <c r="DZ119">
        <v>1.87469</v>
      </c>
      <c r="EA119">
        <v>1.87083</v>
      </c>
      <c r="EB119">
        <v>1.8746700000000001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-0.83199999999999996</v>
      </c>
      <c r="EQ119">
        <v>9.1600000000000001E-2</v>
      </c>
      <c r="ER119">
        <v>-0.83190909090899401</v>
      </c>
      <c r="ES119">
        <v>0</v>
      </c>
      <c r="ET119">
        <v>0</v>
      </c>
      <c r="EU119">
        <v>0</v>
      </c>
      <c r="EV119">
        <v>9.1569999999998999E-2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0.3</v>
      </c>
      <c r="FE119">
        <v>0.3</v>
      </c>
      <c r="FF119">
        <v>1.24146</v>
      </c>
      <c r="FG119">
        <v>2.5891099999999998</v>
      </c>
      <c r="FH119">
        <v>2.19604</v>
      </c>
      <c r="FI119">
        <v>2.66235</v>
      </c>
      <c r="FJ119">
        <v>2.4462899999999999</v>
      </c>
      <c r="FK119">
        <v>2.3315399999999999</v>
      </c>
      <c r="FL119">
        <v>32.244599999999998</v>
      </c>
      <c r="FM119">
        <v>24.157499999999999</v>
      </c>
      <c r="FN119">
        <v>19</v>
      </c>
      <c r="FO119">
        <v>863.05100000000004</v>
      </c>
      <c r="FP119">
        <v>571.75199999999995</v>
      </c>
      <c r="FQ119">
        <v>18.3492</v>
      </c>
      <c r="FR119">
        <v>25.687999999999999</v>
      </c>
      <c r="FS119">
        <v>30</v>
      </c>
      <c r="FT119">
        <v>25.6829</v>
      </c>
      <c r="FU119">
        <v>25.683299999999999</v>
      </c>
      <c r="FV119">
        <v>24.9206</v>
      </c>
      <c r="FW119">
        <v>27.7164</v>
      </c>
      <c r="FX119">
        <v>5.6133800000000003</v>
      </c>
      <c r="FY119">
        <v>18.3552</v>
      </c>
      <c r="FZ119">
        <v>410</v>
      </c>
      <c r="GA119">
        <v>14.65</v>
      </c>
      <c r="GB119">
        <v>99.846000000000004</v>
      </c>
      <c r="GC119">
        <v>99.689599999999999</v>
      </c>
    </row>
    <row r="120" spans="1:185" x14ac:dyDescent="0.2">
      <c r="A120">
        <v>105</v>
      </c>
      <c r="B120">
        <v>1769196495</v>
      </c>
      <c r="C120">
        <v>1934</v>
      </c>
      <c r="D120" t="s">
        <v>506</v>
      </c>
      <c r="E120" t="s">
        <v>507</v>
      </c>
      <c r="F120">
        <v>15</v>
      </c>
      <c r="G120">
        <v>1769196486.9333301</v>
      </c>
      <c r="H120">
        <f t="shared" si="13"/>
        <v>5.7877179002797821E-4</v>
      </c>
      <c r="I120">
        <v>0</v>
      </c>
      <c r="J120">
        <f t="shared" si="25"/>
        <v>-1.4681645231533859E-3</v>
      </c>
      <c r="K120">
        <f t="shared" si="14"/>
        <v>-5.4709415479829542E-2</v>
      </c>
      <c r="L120">
        <f t="shared" si="15"/>
        <v>69.933497058495703</v>
      </c>
      <c r="M120">
        <f t="shared" si="16"/>
        <v>1.5413452225008943</v>
      </c>
      <c r="N120">
        <f t="shared" si="17"/>
        <v>2.2040156539170916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26283.778721086717</v>
      </c>
      <c r="T120">
        <f t="shared" si="21"/>
        <v>0</v>
      </c>
      <c r="U120">
        <f t="shared" si="22"/>
        <v>0</v>
      </c>
      <c r="V120">
        <f t="shared" si="23"/>
        <v>0.84327507000000002</v>
      </c>
      <c r="W120">
        <f t="shared" si="24"/>
        <v>0.15938767500000001</v>
      </c>
      <c r="X120">
        <v>1</v>
      </c>
      <c r="Y120">
        <v>1769196486.9333301</v>
      </c>
      <c r="Z120">
        <v>409.772066666667</v>
      </c>
      <c r="AA120">
        <v>410.000133333333</v>
      </c>
      <c r="AB120">
        <v>15.38594</v>
      </c>
      <c r="AC120">
        <v>14.6736133333333</v>
      </c>
      <c r="AD120">
        <v>410.60406666666699</v>
      </c>
      <c r="AE120">
        <v>15.2943933333333</v>
      </c>
      <c r="AF120">
        <v>800.00773333333302</v>
      </c>
      <c r="AG120">
        <v>100.11386666666699</v>
      </c>
      <c r="AH120">
        <v>6.4947400000000002E-2</v>
      </c>
      <c r="AI120">
        <v>18.991533333333301</v>
      </c>
      <c r="AJ120">
        <v>999.9</v>
      </c>
      <c r="AK120">
        <v>999.9</v>
      </c>
      <c r="AL120">
        <v>0</v>
      </c>
      <c r="AM120">
        <v>0</v>
      </c>
      <c r="AN120">
        <v>5005.1000000000004</v>
      </c>
      <c r="AO120">
        <v>0</v>
      </c>
      <c r="AP120">
        <v>1.6937899999999999</v>
      </c>
      <c r="AQ120">
        <v>-0.227834066666667</v>
      </c>
      <c r="AR120">
        <v>416.17540000000002</v>
      </c>
      <c r="AS120">
        <v>416.10593333333298</v>
      </c>
      <c r="AT120">
        <v>0.71232633333333295</v>
      </c>
      <c r="AU120">
        <v>410.000133333333</v>
      </c>
      <c r="AV120">
        <v>14.6736133333333</v>
      </c>
      <c r="AW120">
        <v>1.54034466666667</v>
      </c>
      <c r="AX120">
        <v>1.4690319999999999</v>
      </c>
      <c r="AY120">
        <v>13.37462</v>
      </c>
      <c r="AZ120">
        <v>12.6495933333333</v>
      </c>
      <c r="BA120">
        <v>0</v>
      </c>
      <c r="BB120">
        <v>0.89083100000000004</v>
      </c>
      <c r="BC120">
        <v>0</v>
      </c>
      <c r="BD120">
        <v>0.109169</v>
      </c>
      <c r="BE120">
        <v>0</v>
      </c>
      <c r="BF120">
        <v>24</v>
      </c>
      <c r="BG120">
        <v>0</v>
      </c>
      <c r="BH120">
        <v>1769196463</v>
      </c>
      <c r="BI120" t="s">
        <v>501</v>
      </c>
      <c r="BJ120">
        <v>1769196460</v>
      </c>
      <c r="BK120">
        <v>1769196463</v>
      </c>
      <c r="BL120">
        <v>4</v>
      </c>
      <c r="BM120">
        <v>-1.0999999999999999E-2</v>
      </c>
      <c r="BN120">
        <v>0</v>
      </c>
      <c r="BO120">
        <v>-0.83199999999999996</v>
      </c>
      <c r="BP120">
        <v>9.1999999999999998E-2</v>
      </c>
      <c r="BQ120">
        <v>410</v>
      </c>
      <c r="BR120">
        <v>15</v>
      </c>
      <c r="BS120">
        <v>0.22</v>
      </c>
      <c r="BT120">
        <v>0.08</v>
      </c>
      <c r="BU120">
        <v>-0.233908476190476</v>
      </c>
      <c r="BV120">
        <v>0.17687929870129901</v>
      </c>
      <c r="BW120">
        <v>2.3013776049552501E-2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0.70288357142857105</v>
      </c>
      <c r="CD120">
        <v>0.16913594805194701</v>
      </c>
      <c r="CE120">
        <v>1.9179880762257701E-2</v>
      </c>
      <c r="CF120">
        <v>0</v>
      </c>
      <c r="CG120">
        <v>1</v>
      </c>
      <c r="CH120">
        <v>2</v>
      </c>
      <c r="CI120" t="s">
        <v>297</v>
      </c>
      <c r="CJ120">
        <v>3.5325299999999999</v>
      </c>
      <c r="CK120">
        <v>2.7025299999999999</v>
      </c>
      <c r="CL120">
        <v>9.7883100000000001E-2</v>
      </c>
      <c r="CM120">
        <v>9.6561999999999995E-2</v>
      </c>
      <c r="CN120">
        <v>8.7052299999999999E-2</v>
      </c>
      <c r="CO120">
        <v>8.3090399999999995E-2</v>
      </c>
      <c r="CP120">
        <v>31622.400000000001</v>
      </c>
      <c r="CQ120">
        <v>27806.1</v>
      </c>
      <c r="CR120">
        <v>32444.1</v>
      </c>
      <c r="CS120">
        <v>30706</v>
      </c>
      <c r="CT120">
        <v>40112.6</v>
      </c>
      <c r="CU120">
        <v>39594</v>
      </c>
      <c r="CV120">
        <v>47387.199999999997</v>
      </c>
      <c r="CW120">
        <v>46831.9</v>
      </c>
      <c r="CX120">
        <v>2.61904</v>
      </c>
      <c r="CY120">
        <v>2.1225999999999998</v>
      </c>
      <c r="CZ120">
        <v>0</v>
      </c>
      <c r="DA120">
        <v>0</v>
      </c>
      <c r="DB120">
        <v>999.9</v>
      </c>
      <c r="DC120">
        <v>999.9</v>
      </c>
      <c r="DD120">
        <v>52.442</v>
      </c>
      <c r="DE120">
        <v>27.765000000000001</v>
      </c>
      <c r="DF120">
        <v>19.608000000000001</v>
      </c>
      <c r="DG120">
        <v>30.2498</v>
      </c>
      <c r="DH120">
        <v>16.438300000000002</v>
      </c>
      <c r="DI120">
        <v>2</v>
      </c>
      <c r="DJ120">
        <v>-0.10262400000000001</v>
      </c>
      <c r="DK120">
        <v>2.08914</v>
      </c>
      <c r="DL120">
        <v>20.235900000000001</v>
      </c>
      <c r="DM120">
        <v>5.24688</v>
      </c>
      <c r="DN120">
        <v>12.033899999999999</v>
      </c>
      <c r="DO120">
        <v>4.9661200000000001</v>
      </c>
      <c r="DP120">
        <v>3.2907199999999999</v>
      </c>
      <c r="DQ120">
        <v>536.5</v>
      </c>
      <c r="DR120">
        <v>9999</v>
      </c>
      <c r="DS120">
        <v>9999</v>
      </c>
      <c r="DT120">
        <v>9999</v>
      </c>
      <c r="DU120">
        <v>1.87107</v>
      </c>
      <c r="DV120">
        <v>1.8761099999999999</v>
      </c>
      <c r="DW120">
        <v>1.87636</v>
      </c>
      <c r="DX120">
        <v>1.88279</v>
      </c>
      <c r="DY120">
        <v>1.87561</v>
      </c>
      <c r="DZ120">
        <v>1.8746799999999999</v>
      </c>
      <c r="EA120">
        <v>1.8708199999999999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-0.83199999999999996</v>
      </c>
      <c r="EQ120">
        <v>9.1600000000000001E-2</v>
      </c>
      <c r="ER120">
        <v>-0.83190909090899401</v>
      </c>
      <c r="ES120">
        <v>0</v>
      </c>
      <c r="ET120">
        <v>0</v>
      </c>
      <c r="EU120">
        <v>0</v>
      </c>
      <c r="EV120">
        <v>9.1569999999998999E-2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0.6</v>
      </c>
      <c r="FE120">
        <v>0.5</v>
      </c>
      <c r="FF120">
        <v>1.24146</v>
      </c>
      <c r="FG120">
        <v>2.5915499999999998</v>
      </c>
      <c r="FH120">
        <v>2.19604</v>
      </c>
      <c r="FI120">
        <v>2.66235</v>
      </c>
      <c r="FJ120">
        <v>2.4462899999999999</v>
      </c>
      <c r="FK120">
        <v>2.3107899999999999</v>
      </c>
      <c r="FL120">
        <v>32.244599999999998</v>
      </c>
      <c r="FM120">
        <v>24.148800000000001</v>
      </c>
      <c r="FN120">
        <v>19</v>
      </c>
      <c r="FO120">
        <v>864.70600000000002</v>
      </c>
      <c r="FP120">
        <v>572.61500000000001</v>
      </c>
      <c r="FQ120">
        <v>18.3688</v>
      </c>
      <c r="FR120">
        <v>25.688400000000001</v>
      </c>
      <c r="FS120">
        <v>30.0001</v>
      </c>
      <c r="FT120">
        <v>25.6829</v>
      </c>
      <c r="FU120">
        <v>25.685500000000001</v>
      </c>
      <c r="FV120">
        <v>24.919799999999999</v>
      </c>
      <c r="FW120">
        <v>27.7164</v>
      </c>
      <c r="FX120">
        <v>5.2406600000000001</v>
      </c>
      <c r="FY120">
        <v>18.373200000000001</v>
      </c>
      <c r="FZ120">
        <v>410</v>
      </c>
      <c r="GA120">
        <v>14.65</v>
      </c>
      <c r="GB120">
        <v>99.847099999999998</v>
      </c>
      <c r="GC120">
        <v>99.691599999999994</v>
      </c>
    </row>
    <row r="121" spans="1:185" x14ac:dyDescent="0.2">
      <c r="A121">
        <v>106</v>
      </c>
      <c r="B121">
        <v>1769196510</v>
      </c>
      <c r="C121">
        <v>1949</v>
      </c>
      <c r="D121" t="s">
        <v>508</v>
      </c>
      <c r="E121" t="s">
        <v>509</v>
      </c>
      <c r="F121">
        <v>15</v>
      </c>
      <c r="G121">
        <v>1769196501.9333301</v>
      </c>
      <c r="H121">
        <f t="shared" si="13"/>
        <v>5.9377078192710626E-4</v>
      </c>
      <c r="I121">
        <v>0</v>
      </c>
      <c r="J121">
        <f t="shared" si="25"/>
        <v>-2.3005540627275339E-3</v>
      </c>
      <c r="K121">
        <f t="shared" si="14"/>
        <v>-8.5727427728085143E-2</v>
      </c>
      <c r="L121">
        <f t="shared" si="15"/>
        <v>69.946592642217809</v>
      </c>
      <c r="M121">
        <f t="shared" si="16"/>
        <v>1.5418917090619677</v>
      </c>
      <c r="N121">
        <f t="shared" si="17"/>
        <v>2.2043843035340722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26263.325441183089</v>
      </c>
      <c r="T121">
        <f t="shared" si="21"/>
        <v>0</v>
      </c>
      <c r="U121">
        <f t="shared" si="22"/>
        <v>0</v>
      </c>
      <c r="V121">
        <f t="shared" si="23"/>
        <v>0.84327507000000002</v>
      </c>
      <c r="W121">
        <f t="shared" si="24"/>
        <v>0.15938767500000001</v>
      </c>
      <c r="X121">
        <v>1</v>
      </c>
      <c r="Y121">
        <v>1769196501.9333301</v>
      </c>
      <c r="Z121">
        <v>409.80133333333299</v>
      </c>
      <c r="AA121">
        <v>409.99833333333299</v>
      </c>
      <c r="AB121">
        <v>15.3916466666667</v>
      </c>
      <c r="AC121">
        <v>14.66086</v>
      </c>
      <c r="AD121">
        <v>410.63313333333298</v>
      </c>
      <c r="AE121">
        <v>15.300086666666701</v>
      </c>
      <c r="AF121">
        <v>800.00319999999999</v>
      </c>
      <c r="AG121">
        <v>100.11239999999999</v>
      </c>
      <c r="AH121">
        <v>6.4776780000000006E-2</v>
      </c>
      <c r="AI121">
        <v>18.994213333333299</v>
      </c>
      <c r="AJ121">
        <v>999.9</v>
      </c>
      <c r="AK121">
        <v>999.9</v>
      </c>
      <c r="AL121">
        <v>0</v>
      </c>
      <c r="AM121">
        <v>0</v>
      </c>
      <c r="AN121">
        <v>5001.8333333333303</v>
      </c>
      <c r="AO121">
        <v>0</v>
      </c>
      <c r="AP121">
        <v>1.6937899999999999</v>
      </c>
      <c r="AQ121">
        <v>-0.197056066666667</v>
      </c>
      <c r="AR121">
        <v>416.20740000000001</v>
      </c>
      <c r="AS121">
        <v>416.09886666666699</v>
      </c>
      <c r="AT121">
        <v>0.73077106666666702</v>
      </c>
      <c r="AU121">
        <v>409.99833333333299</v>
      </c>
      <c r="AV121">
        <v>14.66086</v>
      </c>
      <c r="AW121">
        <v>1.54089733333333</v>
      </c>
      <c r="AX121">
        <v>1.4677373333333299</v>
      </c>
      <c r="AY121">
        <v>13.38012</v>
      </c>
      <c r="AZ121">
        <v>12.636146666666701</v>
      </c>
      <c r="BA121">
        <v>0</v>
      </c>
      <c r="BB121">
        <v>0.89083100000000004</v>
      </c>
      <c r="BC121">
        <v>0</v>
      </c>
      <c r="BD121">
        <v>0.109169</v>
      </c>
      <c r="BE121">
        <v>0</v>
      </c>
      <c r="BF121">
        <v>24</v>
      </c>
      <c r="BG121">
        <v>0</v>
      </c>
      <c r="BH121">
        <v>1769196463</v>
      </c>
      <c r="BI121" t="s">
        <v>501</v>
      </c>
      <c r="BJ121">
        <v>1769196460</v>
      </c>
      <c r="BK121">
        <v>1769196463</v>
      </c>
      <c r="BL121">
        <v>4</v>
      </c>
      <c r="BM121">
        <v>-1.0999999999999999E-2</v>
      </c>
      <c r="BN121">
        <v>0</v>
      </c>
      <c r="BO121">
        <v>-0.83199999999999996</v>
      </c>
      <c r="BP121">
        <v>9.1999999999999998E-2</v>
      </c>
      <c r="BQ121">
        <v>410</v>
      </c>
      <c r="BR121">
        <v>15</v>
      </c>
      <c r="BS121">
        <v>0.22</v>
      </c>
      <c r="BT121">
        <v>0.08</v>
      </c>
      <c r="BU121">
        <v>-0.19852755</v>
      </c>
      <c r="BV121">
        <v>6.4217548872180397E-2</v>
      </c>
      <c r="BW121">
        <v>2.9387801919291301E-2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0.72842744999999998</v>
      </c>
      <c r="CD121">
        <v>4.0554992481202798E-2</v>
      </c>
      <c r="CE121">
        <v>4.7489048787588903E-3</v>
      </c>
      <c r="CF121">
        <v>1</v>
      </c>
      <c r="CG121">
        <v>2</v>
      </c>
      <c r="CH121">
        <v>2</v>
      </c>
      <c r="CI121" t="s">
        <v>304</v>
      </c>
      <c r="CJ121">
        <v>3.5325000000000002</v>
      </c>
      <c r="CK121">
        <v>2.70261</v>
      </c>
      <c r="CL121">
        <v>9.7878999999999994E-2</v>
      </c>
      <c r="CM121">
        <v>9.6553700000000006E-2</v>
      </c>
      <c r="CN121">
        <v>8.7053500000000006E-2</v>
      </c>
      <c r="CO121">
        <v>8.30761E-2</v>
      </c>
      <c r="CP121">
        <v>31622.7</v>
      </c>
      <c r="CQ121">
        <v>27806</v>
      </c>
      <c r="CR121">
        <v>32444.3</v>
      </c>
      <c r="CS121">
        <v>30705.599999999999</v>
      </c>
      <c r="CT121">
        <v>40112.800000000003</v>
      </c>
      <c r="CU121">
        <v>39594.400000000001</v>
      </c>
      <c r="CV121">
        <v>47387.5</v>
      </c>
      <c r="CW121">
        <v>46831.6</v>
      </c>
      <c r="CX121">
        <v>2.6194799999999998</v>
      </c>
      <c r="CY121">
        <v>2.1226400000000001</v>
      </c>
      <c r="CZ121">
        <v>0</v>
      </c>
      <c r="DA121">
        <v>0</v>
      </c>
      <c r="DB121">
        <v>999.9</v>
      </c>
      <c r="DC121">
        <v>999.9</v>
      </c>
      <c r="DD121">
        <v>52.393000000000001</v>
      </c>
      <c r="DE121">
        <v>27.765000000000001</v>
      </c>
      <c r="DF121">
        <v>19.588000000000001</v>
      </c>
      <c r="DG121">
        <v>30.489799999999999</v>
      </c>
      <c r="DH121">
        <v>16.402200000000001</v>
      </c>
      <c r="DI121">
        <v>2</v>
      </c>
      <c r="DJ121">
        <v>-0.102618</v>
      </c>
      <c r="DK121">
        <v>2.08412</v>
      </c>
      <c r="DL121">
        <v>20.2363</v>
      </c>
      <c r="DM121">
        <v>5.2483199999999997</v>
      </c>
      <c r="DN121">
        <v>12.033899999999999</v>
      </c>
      <c r="DO121">
        <v>4.9662800000000002</v>
      </c>
      <c r="DP121">
        <v>3.2909999999999999</v>
      </c>
      <c r="DQ121">
        <v>536.5</v>
      </c>
      <c r="DR121">
        <v>9999</v>
      </c>
      <c r="DS121">
        <v>9999</v>
      </c>
      <c r="DT121">
        <v>9999</v>
      </c>
      <c r="DU121">
        <v>1.8710500000000001</v>
      </c>
      <c r="DV121">
        <v>1.8761000000000001</v>
      </c>
      <c r="DW121">
        <v>1.8763300000000001</v>
      </c>
      <c r="DX121">
        <v>1.8827799999999999</v>
      </c>
      <c r="DY121">
        <v>1.8755999999999999</v>
      </c>
      <c r="DZ121">
        <v>1.8746700000000001</v>
      </c>
      <c r="EA121">
        <v>1.8708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-0.83199999999999996</v>
      </c>
      <c r="EQ121">
        <v>9.1499999999999998E-2</v>
      </c>
      <c r="ER121">
        <v>-0.83190909090899401</v>
      </c>
      <c r="ES121">
        <v>0</v>
      </c>
      <c r="ET121">
        <v>0</v>
      </c>
      <c r="EU121">
        <v>0</v>
      </c>
      <c r="EV121">
        <v>9.1569999999998999E-2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0.8</v>
      </c>
      <c r="FE121">
        <v>0.8</v>
      </c>
      <c r="FF121">
        <v>1.24146</v>
      </c>
      <c r="FG121">
        <v>2.5964399999999999</v>
      </c>
      <c r="FH121">
        <v>2.19604</v>
      </c>
      <c r="FI121">
        <v>2.66235</v>
      </c>
      <c r="FJ121">
        <v>2.4462899999999999</v>
      </c>
      <c r="FK121">
        <v>2.2949199999999998</v>
      </c>
      <c r="FL121">
        <v>32.266599999999997</v>
      </c>
      <c r="FM121">
        <v>24.148800000000001</v>
      </c>
      <c r="FN121">
        <v>19</v>
      </c>
      <c r="FO121">
        <v>865.15</v>
      </c>
      <c r="FP121">
        <v>572.64599999999996</v>
      </c>
      <c r="FQ121">
        <v>18.383700000000001</v>
      </c>
      <c r="FR121">
        <v>25.689800000000002</v>
      </c>
      <c r="FS121">
        <v>30.0001</v>
      </c>
      <c r="FT121">
        <v>25.684999999999999</v>
      </c>
      <c r="FU121">
        <v>25.685500000000001</v>
      </c>
      <c r="FV121">
        <v>24.921099999999999</v>
      </c>
      <c r="FW121">
        <v>27.7164</v>
      </c>
      <c r="FX121">
        <v>5.2406600000000001</v>
      </c>
      <c r="FY121">
        <v>18.3858</v>
      </c>
      <c r="FZ121">
        <v>410</v>
      </c>
      <c r="GA121">
        <v>14.65</v>
      </c>
      <c r="GB121">
        <v>99.847700000000003</v>
      </c>
      <c r="GC121">
        <v>99.690600000000003</v>
      </c>
    </row>
    <row r="122" spans="1:185" x14ac:dyDescent="0.2">
      <c r="A122">
        <v>107</v>
      </c>
      <c r="B122">
        <v>1769196525</v>
      </c>
      <c r="C122">
        <v>1964</v>
      </c>
      <c r="D122" t="s">
        <v>510</v>
      </c>
      <c r="E122" t="s">
        <v>511</v>
      </c>
      <c r="F122">
        <v>15</v>
      </c>
      <c r="G122">
        <v>1769196516.9333301</v>
      </c>
      <c r="H122">
        <f t="shared" si="13"/>
        <v>5.9823616396737151E-4</v>
      </c>
      <c r="I122">
        <v>0</v>
      </c>
      <c r="J122">
        <f t="shared" si="25"/>
        <v>-2.3911026351915244E-3</v>
      </c>
      <c r="K122">
        <f t="shared" si="14"/>
        <v>-8.910161324606633E-2</v>
      </c>
      <c r="L122">
        <f t="shared" si="15"/>
        <v>69.919239514258251</v>
      </c>
      <c r="M122">
        <f t="shared" si="16"/>
        <v>1.5417395860215588</v>
      </c>
      <c r="N122">
        <f t="shared" si="17"/>
        <v>2.20502911177568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26213.757615871447</v>
      </c>
      <c r="T122">
        <f t="shared" si="21"/>
        <v>0</v>
      </c>
      <c r="U122">
        <f t="shared" si="22"/>
        <v>0</v>
      </c>
      <c r="V122">
        <f t="shared" si="23"/>
        <v>0.84327507000000002</v>
      </c>
      <c r="W122">
        <f t="shared" si="24"/>
        <v>0.15938767500000001</v>
      </c>
      <c r="X122">
        <v>1</v>
      </c>
      <c r="Y122">
        <v>1769196516.9333301</v>
      </c>
      <c r="Z122">
        <v>409.79626666666701</v>
      </c>
      <c r="AA122">
        <v>409.99133333333299</v>
      </c>
      <c r="AB122">
        <v>15.38996</v>
      </c>
      <c r="AC122">
        <v>14.6536733333333</v>
      </c>
      <c r="AD122">
        <v>410.62819999999999</v>
      </c>
      <c r="AE122">
        <v>15.298386666666699</v>
      </c>
      <c r="AF122">
        <v>800</v>
      </c>
      <c r="AG122">
        <v>100.113266666667</v>
      </c>
      <c r="AH122">
        <v>6.5004493333333302E-2</v>
      </c>
      <c r="AI122">
        <v>18.998899999999999</v>
      </c>
      <c r="AJ122">
        <v>999.9</v>
      </c>
      <c r="AK122">
        <v>999.9</v>
      </c>
      <c r="AL122">
        <v>0</v>
      </c>
      <c r="AM122">
        <v>0</v>
      </c>
      <c r="AN122">
        <v>4993.7</v>
      </c>
      <c r="AO122">
        <v>0</v>
      </c>
      <c r="AP122">
        <v>1.6937899999999999</v>
      </c>
      <c r="AQ122">
        <v>-0.19521086666666701</v>
      </c>
      <c r="AR122">
        <v>416.20153333333297</v>
      </c>
      <c r="AS122">
        <v>416.08859999999999</v>
      </c>
      <c r="AT122">
        <v>0.73628686666666698</v>
      </c>
      <c r="AU122">
        <v>409.99133333333299</v>
      </c>
      <c r="AV122">
        <v>14.6536733333333</v>
      </c>
      <c r="AW122">
        <v>1.5407379999999999</v>
      </c>
      <c r="AX122">
        <v>1.46702666666667</v>
      </c>
      <c r="AY122">
        <v>13.378539999999999</v>
      </c>
      <c r="AZ122">
        <v>12.6287533333333</v>
      </c>
      <c r="BA122">
        <v>0</v>
      </c>
      <c r="BB122">
        <v>0.89083100000000004</v>
      </c>
      <c r="BC122">
        <v>0</v>
      </c>
      <c r="BD122">
        <v>0.109169</v>
      </c>
      <c r="BE122">
        <v>0</v>
      </c>
      <c r="BF122">
        <v>24</v>
      </c>
      <c r="BG122">
        <v>0</v>
      </c>
      <c r="BH122">
        <v>1769196463</v>
      </c>
      <c r="BI122" t="s">
        <v>501</v>
      </c>
      <c r="BJ122">
        <v>1769196460</v>
      </c>
      <c r="BK122">
        <v>1769196463</v>
      </c>
      <c r="BL122">
        <v>4</v>
      </c>
      <c r="BM122">
        <v>-1.0999999999999999E-2</v>
      </c>
      <c r="BN122">
        <v>0</v>
      </c>
      <c r="BO122">
        <v>-0.83199999999999996</v>
      </c>
      <c r="BP122">
        <v>9.1999999999999998E-2</v>
      </c>
      <c r="BQ122">
        <v>410</v>
      </c>
      <c r="BR122">
        <v>15</v>
      </c>
      <c r="BS122">
        <v>0.22</v>
      </c>
      <c r="BT122">
        <v>0.08</v>
      </c>
      <c r="BU122">
        <v>-0.19315019047619</v>
      </c>
      <c r="BV122">
        <v>2.6854675324675E-2</v>
      </c>
      <c r="BW122">
        <v>3.1899207195132701E-2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0.73492242857142898</v>
      </c>
      <c r="CD122">
        <v>4.37756883116883E-2</v>
      </c>
      <c r="CE122">
        <v>5.1577082080303503E-3</v>
      </c>
      <c r="CF122">
        <v>1</v>
      </c>
      <c r="CG122">
        <v>2</v>
      </c>
      <c r="CH122">
        <v>2</v>
      </c>
      <c r="CI122" t="s">
        <v>304</v>
      </c>
      <c r="CJ122">
        <v>3.5325500000000001</v>
      </c>
      <c r="CK122">
        <v>2.7030500000000002</v>
      </c>
      <c r="CL122">
        <v>9.7879900000000006E-2</v>
      </c>
      <c r="CM122">
        <v>9.6558199999999997E-2</v>
      </c>
      <c r="CN122">
        <v>8.70586E-2</v>
      </c>
      <c r="CO122">
        <v>8.3019800000000005E-2</v>
      </c>
      <c r="CP122">
        <v>31623.4</v>
      </c>
      <c r="CQ122">
        <v>27806.1</v>
      </c>
      <c r="CR122">
        <v>32445.1</v>
      </c>
      <c r="CS122">
        <v>30705.9</v>
      </c>
      <c r="CT122">
        <v>40113.599999999999</v>
      </c>
      <c r="CU122">
        <v>39597.199999999997</v>
      </c>
      <c r="CV122">
        <v>47388.7</v>
      </c>
      <c r="CW122">
        <v>46832</v>
      </c>
      <c r="CX122">
        <v>2.6196999999999999</v>
      </c>
      <c r="CY122">
        <v>2.1226400000000001</v>
      </c>
      <c r="CZ122">
        <v>0</v>
      </c>
      <c r="DA122">
        <v>0</v>
      </c>
      <c r="DB122">
        <v>999.9</v>
      </c>
      <c r="DC122">
        <v>999.9</v>
      </c>
      <c r="DD122">
        <v>52.32</v>
      </c>
      <c r="DE122">
        <v>27.774999999999999</v>
      </c>
      <c r="DF122">
        <v>19.572800000000001</v>
      </c>
      <c r="DG122">
        <v>30.4298</v>
      </c>
      <c r="DH122">
        <v>16.318100000000001</v>
      </c>
      <c r="DI122">
        <v>2</v>
      </c>
      <c r="DJ122">
        <v>-0.102437</v>
      </c>
      <c r="DK122">
        <v>2.16845</v>
      </c>
      <c r="DL122">
        <v>20.235399999999998</v>
      </c>
      <c r="DM122">
        <v>5.2491599999999998</v>
      </c>
      <c r="DN122">
        <v>12.033899999999999</v>
      </c>
      <c r="DO122">
        <v>4.9663599999999999</v>
      </c>
      <c r="DP122">
        <v>3.2909999999999999</v>
      </c>
      <c r="DQ122">
        <v>536.5</v>
      </c>
      <c r="DR122">
        <v>9999</v>
      </c>
      <c r="DS122">
        <v>9999</v>
      </c>
      <c r="DT122">
        <v>9999</v>
      </c>
      <c r="DU122">
        <v>1.8710899999999999</v>
      </c>
      <c r="DV122">
        <v>1.87608</v>
      </c>
      <c r="DW122">
        <v>1.87635</v>
      </c>
      <c r="DX122">
        <v>1.88279</v>
      </c>
      <c r="DY122">
        <v>1.8755999999999999</v>
      </c>
      <c r="DZ122">
        <v>1.87469</v>
      </c>
      <c r="EA122">
        <v>1.8708100000000001</v>
      </c>
      <c r="EB122">
        <v>1.87466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-0.83199999999999996</v>
      </c>
      <c r="EQ122">
        <v>9.1600000000000001E-2</v>
      </c>
      <c r="ER122">
        <v>-0.83190909090899401</v>
      </c>
      <c r="ES122">
        <v>0</v>
      </c>
      <c r="ET122">
        <v>0</v>
      </c>
      <c r="EU122">
        <v>0</v>
      </c>
      <c r="EV122">
        <v>9.1569999999998999E-2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1.1000000000000001</v>
      </c>
      <c r="FE122">
        <v>1</v>
      </c>
      <c r="FF122">
        <v>1.24146</v>
      </c>
      <c r="FG122">
        <v>2.5976599999999999</v>
      </c>
      <c r="FH122">
        <v>2.19604</v>
      </c>
      <c r="FI122">
        <v>2.66235</v>
      </c>
      <c r="FJ122">
        <v>2.4462899999999999</v>
      </c>
      <c r="FK122">
        <v>2.3071299999999999</v>
      </c>
      <c r="FL122">
        <v>32.266599999999997</v>
      </c>
      <c r="FM122">
        <v>24.148800000000001</v>
      </c>
      <c r="FN122">
        <v>19</v>
      </c>
      <c r="FO122">
        <v>865.35400000000004</v>
      </c>
      <c r="FP122">
        <v>572.66999999999996</v>
      </c>
      <c r="FQ122">
        <v>18.388999999999999</v>
      </c>
      <c r="FR122">
        <v>25.6906</v>
      </c>
      <c r="FS122">
        <v>30.0002</v>
      </c>
      <c r="FT122">
        <v>25.684999999999999</v>
      </c>
      <c r="FU122">
        <v>25.6876</v>
      </c>
      <c r="FV122">
        <v>24.9209</v>
      </c>
      <c r="FW122">
        <v>27.7164</v>
      </c>
      <c r="FX122">
        <v>4.8659999999999997</v>
      </c>
      <c r="FY122">
        <v>18.356300000000001</v>
      </c>
      <c r="FZ122">
        <v>410</v>
      </c>
      <c r="GA122">
        <v>14.65</v>
      </c>
      <c r="GB122">
        <v>99.850200000000001</v>
      </c>
      <c r="GC122">
        <v>99.691500000000005</v>
      </c>
    </row>
    <row r="123" spans="1:185" x14ac:dyDescent="0.2">
      <c r="A123">
        <v>108</v>
      </c>
      <c r="B123">
        <v>1769196540</v>
      </c>
      <c r="C123">
        <v>1979</v>
      </c>
      <c r="D123" t="s">
        <v>512</v>
      </c>
      <c r="E123" t="s">
        <v>513</v>
      </c>
      <c r="F123">
        <v>15</v>
      </c>
      <c r="G123">
        <v>1769196531.9333301</v>
      </c>
      <c r="H123">
        <f t="shared" si="13"/>
        <v>6.0852582529346785E-4</v>
      </c>
      <c r="I123">
        <v>0</v>
      </c>
      <c r="J123">
        <f t="shared" si="25"/>
        <v>-1.8626752355160574E-3</v>
      </c>
      <c r="K123">
        <f t="shared" si="14"/>
        <v>-6.9410390836143879E-2</v>
      </c>
      <c r="L123">
        <f t="shared" si="15"/>
        <v>69.910802678360426</v>
      </c>
      <c r="M123">
        <f t="shared" si="16"/>
        <v>1.542018570281404</v>
      </c>
      <c r="N123">
        <f t="shared" si="17"/>
        <v>2.205694272136725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26312.41670044612</v>
      </c>
      <c r="T123">
        <f t="shared" si="21"/>
        <v>0</v>
      </c>
      <c r="U123">
        <f t="shared" si="22"/>
        <v>0</v>
      </c>
      <c r="V123">
        <f t="shared" si="23"/>
        <v>0.84327507000000002</v>
      </c>
      <c r="W123">
        <f t="shared" si="24"/>
        <v>0.15938767500000001</v>
      </c>
      <c r="X123">
        <v>1</v>
      </c>
      <c r="Y123">
        <v>1769196531.9333301</v>
      </c>
      <c r="Z123">
        <v>409.7758</v>
      </c>
      <c r="AA123">
        <v>410.00073333333302</v>
      </c>
      <c r="AB123">
        <v>15.392666666666701</v>
      </c>
      <c r="AC123">
        <v>14.6437266666667</v>
      </c>
      <c r="AD123">
        <v>410.6078</v>
      </c>
      <c r="AE123">
        <v>15.3010866666667</v>
      </c>
      <c r="AF123">
        <v>800.00933333333296</v>
      </c>
      <c r="AG123">
        <v>100.11386666666699</v>
      </c>
      <c r="AH123">
        <v>6.4913506666666704E-2</v>
      </c>
      <c r="AI123">
        <v>19.003733333333301</v>
      </c>
      <c r="AJ123">
        <v>999.9</v>
      </c>
      <c r="AK123">
        <v>999.9</v>
      </c>
      <c r="AL123">
        <v>0</v>
      </c>
      <c r="AM123">
        <v>0</v>
      </c>
      <c r="AN123">
        <v>5010</v>
      </c>
      <c r="AO123">
        <v>0</v>
      </c>
      <c r="AP123">
        <v>1.6937899999999999</v>
      </c>
      <c r="AQ123">
        <v>-0.22479460000000001</v>
      </c>
      <c r="AR123">
        <v>416.18200000000002</v>
      </c>
      <c r="AS123">
        <v>416.09379999999999</v>
      </c>
      <c r="AT123">
        <v>0.74892939999999997</v>
      </c>
      <c r="AU123">
        <v>410.00073333333302</v>
      </c>
      <c r="AV123">
        <v>14.6437266666667</v>
      </c>
      <c r="AW123">
        <v>1.54102133333333</v>
      </c>
      <c r="AX123">
        <v>1.4660426666666699</v>
      </c>
      <c r="AY123">
        <v>13.38134</v>
      </c>
      <c r="AZ123">
        <v>12.618513333333301</v>
      </c>
      <c r="BA123">
        <v>0</v>
      </c>
      <c r="BB123">
        <v>0.89083100000000004</v>
      </c>
      <c r="BC123">
        <v>0</v>
      </c>
      <c r="BD123">
        <v>0.109169</v>
      </c>
      <c r="BE123">
        <v>0</v>
      </c>
      <c r="BF123">
        <v>24</v>
      </c>
      <c r="BG123">
        <v>0</v>
      </c>
      <c r="BH123">
        <v>1769196463</v>
      </c>
      <c r="BI123" t="s">
        <v>501</v>
      </c>
      <c r="BJ123">
        <v>1769196460</v>
      </c>
      <c r="BK123">
        <v>1769196463</v>
      </c>
      <c r="BL123">
        <v>4</v>
      </c>
      <c r="BM123">
        <v>-1.0999999999999999E-2</v>
      </c>
      <c r="BN123">
        <v>0</v>
      </c>
      <c r="BO123">
        <v>-0.83199999999999996</v>
      </c>
      <c r="BP123">
        <v>9.1999999999999998E-2</v>
      </c>
      <c r="BQ123">
        <v>410</v>
      </c>
      <c r="BR123">
        <v>15</v>
      </c>
      <c r="BS123">
        <v>0.22</v>
      </c>
      <c r="BT123">
        <v>0.08</v>
      </c>
      <c r="BU123">
        <v>-0.21120765</v>
      </c>
      <c r="BV123">
        <v>-0.27544452631578997</v>
      </c>
      <c r="BW123">
        <v>3.2515790489045501E-2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0.74749114999999999</v>
      </c>
      <c r="CD123">
        <v>3.28686766917295E-2</v>
      </c>
      <c r="CE123">
        <v>3.3033929568702502E-3</v>
      </c>
      <c r="CF123">
        <v>1</v>
      </c>
      <c r="CG123">
        <v>2</v>
      </c>
      <c r="CH123">
        <v>2</v>
      </c>
      <c r="CI123" t="s">
        <v>304</v>
      </c>
      <c r="CJ123">
        <v>3.5325799999999998</v>
      </c>
      <c r="CK123">
        <v>2.70234</v>
      </c>
      <c r="CL123">
        <v>9.7874000000000003E-2</v>
      </c>
      <c r="CM123">
        <v>9.6556100000000006E-2</v>
      </c>
      <c r="CN123">
        <v>8.7053199999999997E-2</v>
      </c>
      <c r="CO123">
        <v>8.3001400000000003E-2</v>
      </c>
      <c r="CP123">
        <v>31623.1</v>
      </c>
      <c r="CQ123">
        <v>27806.2</v>
      </c>
      <c r="CR123">
        <v>32444.5</v>
      </c>
      <c r="CS123">
        <v>30705.9</v>
      </c>
      <c r="CT123">
        <v>40113.1</v>
      </c>
      <c r="CU123">
        <v>39598</v>
      </c>
      <c r="CV123">
        <v>47387.8</v>
      </c>
      <c r="CW123">
        <v>46831.9</v>
      </c>
      <c r="CX123">
        <v>2.6196999999999999</v>
      </c>
      <c r="CY123">
        <v>2.1225999999999998</v>
      </c>
      <c r="CZ123">
        <v>0</v>
      </c>
      <c r="DA123">
        <v>0</v>
      </c>
      <c r="DB123">
        <v>999.9</v>
      </c>
      <c r="DC123">
        <v>999.9</v>
      </c>
      <c r="DD123">
        <v>52.277000000000001</v>
      </c>
      <c r="DE123">
        <v>27.774999999999999</v>
      </c>
      <c r="DF123">
        <v>19.557500000000001</v>
      </c>
      <c r="DG123">
        <v>30.069800000000001</v>
      </c>
      <c r="DH123">
        <v>16.322099999999999</v>
      </c>
      <c r="DI123">
        <v>2</v>
      </c>
      <c r="DJ123">
        <v>-0.10211199999999999</v>
      </c>
      <c r="DK123">
        <v>2.1814800000000001</v>
      </c>
      <c r="DL123">
        <v>20.2346</v>
      </c>
      <c r="DM123">
        <v>5.2483199999999997</v>
      </c>
      <c r="DN123">
        <v>12.033899999999999</v>
      </c>
      <c r="DO123">
        <v>4.9664000000000001</v>
      </c>
      <c r="DP123">
        <v>3.2909999999999999</v>
      </c>
      <c r="DQ123">
        <v>536.6</v>
      </c>
      <c r="DR123">
        <v>9999</v>
      </c>
      <c r="DS123">
        <v>9999</v>
      </c>
      <c r="DT123">
        <v>9999</v>
      </c>
      <c r="DU123">
        <v>1.8711500000000001</v>
      </c>
      <c r="DV123">
        <v>1.87615</v>
      </c>
      <c r="DW123">
        <v>1.87635</v>
      </c>
      <c r="DX123">
        <v>1.8828100000000001</v>
      </c>
      <c r="DY123">
        <v>1.87561</v>
      </c>
      <c r="DZ123">
        <v>1.87469</v>
      </c>
      <c r="EA123">
        <v>1.87087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-0.83199999999999996</v>
      </c>
      <c r="EQ123">
        <v>9.1499999999999998E-2</v>
      </c>
      <c r="ER123">
        <v>-0.83190909090899401</v>
      </c>
      <c r="ES123">
        <v>0</v>
      </c>
      <c r="ET123">
        <v>0</v>
      </c>
      <c r="EU123">
        <v>0</v>
      </c>
      <c r="EV123">
        <v>9.1569999999998999E-2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1.3</v>
      </c>
      <c r="FE123">
        <v>1.3</v>
      </c>
      <c r="FF123">
        <v>1.24146</v>
      </c>
      <c r="FG123">
        <v>2.5878899999999998</v>
      </c>
      <c r="FH123">
        <v>2.19604</v>
      </c>
      <c r="FI123">
        <v>2.66235</v>
      </c>
      <c r="FJ123">
        <v>2.4462899999999999</v>
      </c>
      <c r="FK123">
        <v>2.3303199999999999</v>
      </c>
      <c r="FL123">
        <v>32.266599999999997</v>
      </c>
      <c r="FM123">
        <v>24.157499999999999</v>
      </c>
      <c r="FN123">
        <v>19</v>
      </c>
      <c r="FO123">
        <v>865.39</v>
      </c>
      <c r="FP123">
        <v>572.66300000000001</v>
      </c>
      <c r="FQ123">
        <v>18.347100000000001</v>
      </c>
      <c r="FR123">
        <v>25.6906</v>
      </c>
      <c r="FS123">
        <v>30.0002</v>
      </c>
      <c r="FT123">
        <v>25.687200000000001</v>
      </c>
      <c r="FU123">
        <v>25.689800000000002</v>
      </c>
      <c r="FV123">
        <v>24.922499999999999</v>
      </c>
      <c r="FW123">
        <v>27.7164</v>
      </c>
      <c r="FX123">
        <v>4.8659999999999997</v>
      </c>
      <c r="FY123">
        <v>18.345500000000001</v>
      </c>
      <c r="FZ123">
        <v>410</v>
      </c>
      <c r="GA123">
        <v>14.65</v>
      </c>
      <c r="GB123">
        <v>99.848299999999995</v>
      </c>
      <c r="GC123">
        <v>99.691400000000002</v>
      </c>
    </row>
    <row r="124" spans="1:185" x14ac:dyDescent="0.2">
      <c r="A124">
        <v>109</v>
      </c>
      <c r="B124">
        <v>1769196555</v>
      </c>
      <c r="C124">
        <v>1994</v>
      </c>
      <c r="D124" t="s">
        <v>514</v>
      </c>
      <c r="E124" t="s">
        <v>515</v>
      </c>
      <c r="F124">
        <v>15</v>
      </c>
      <c r="G124">
        <v>1769196546.9333301</v>
      </c>
      <c r="H124">
        <f t="shared" si="13"/>
        <v>6.1118173873464608E-4</v>
      </c>
      <c r="I124">
        <v>0</v>
      </c>
      <c r="J124">
        <f t="shared" si="25"/>
        <v>-2.1052083587975441E-3</v>
      </c>
      <c r="K124">
        <f t="shared" si="14"/>
        <v>-7.8448100983728827E-2</v>
      </c>
      <c r="L124">
        <f t="shared" si="15"/>
        <v>69.902081611533902</v>
      </c>
      <c r="M124">
        <f t="shared" si="16"/>
        <v>1.5414349934921019</v>
      </c>
      <c r="N124">
        <f t="shared" si="17"/>
        <v>2.205134608234276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26215.042698917641</v>
      </c>
      <c r="T124">
        <f t="shared" si="21"/>
        <v>0</v>
      </c>
      <c r="U124">
        <f t="shared" si="22"/>
        <v>0</v>
      </c>
      <c r="V124">
        <f t="shared" si="23"/>
        <v>0.84327507000000002</v>
      </c>
      <c r="W124">
        <f t="shared" si="24"/>
        <v>0.15938767500000001</v>
      </c>
      <c r="X124">
        <v>1</v>
      </c>
      <c r="Y124">
        <v>1769196546.9333301</v>
      </c>
      <c r="Z124">
        <v>409.777533333333</v>
      </c>
      <c r="AA124">
        <v>409.99253333333297</v>
      </c>
      <c r="AB124">
        <v>15.386886666666699</v>
      </c>
      <c r="AC124">
        <v>14.6346666666667</v>
      </c>
      <c r="AD124">
        <v>410.60939999999999</v>
      </c>
      <c r="AE124">
        <v>15.2953266666667</v>
      </c>
      <c r="AF124">
        <v>800.00206666666702</v>
      </c>
      <c r="AG124">
        <v>100.1138</v>
      </c>
      <c r="AH124">
        <v>6.4684893333333299E-2</v>
      </c>
      <c r="AI124">
        <v>18.999666666666698</v>
      </c>
      <c r="AJ124">
        <v>999.9</v>
      </c>
      <c r="AK124">
        <v>999.9</v>
      </c>
      <c r="AL124">
        <v>0</v>
      </c>
      <c r="AM124">
        <v>0</v>
      </c>
      <c r="AN124">
        <v>4993.8999999999996</v>
      </c>
      <c r="AO124">
        <v>0</v>
      </c>
      <c r="AP124">
        <v>1.6937899999999999</v>
      </c>
      <c r="AQ124">
        <v>-0.21489466666666701</v>
      </c>
      <c r="AR124">
        <v>416.18146666666701</v>
      </c>
      <c r="AS124">
        <v>416.08179999999999</v>
      </c>
      <c r="AT124">
        <v>0.75222319999999998</v>
      </c>
      <c r="AU124">
        <v>409.99253333333297</v>
      </c>
      <c r="AV124">
        <v>14.6346666666667</v>
      </c>
      <c r="AW124">
        <v>1.5404373333333301</v>
      </c>
      <c r="AX124">
        <v>1.4651306666666699</v>
      </c>
      <c r="AY124">
        <v>13.3755466666667</v>
      </c>
      <c r="AZ124">
        <v>12.6090466666667</v>
      </c>
      <c r="BA124">
        <v>0</v>
      </c>
      <c r="BB124">
        <v>0.89083100000000004</v>
      </c>
      <c r="BC124">
        <v>0</v>
      </c>
      <c r="BD124">
        <v>0.109169</v>
      </c>
      <c r="BE124">
        <v>0</v>
      </c>
      <c r="BF124">
        <v>24</v>
      </c>
      <c r="BG124">
        <v>0</v>
      </c>
      <c r="BH124">
        <v>1769196463</v>
      </c>
      <c r="BI124" t="s">
        <v>501</v>
      </c>
      <c r="BJ124">
        <v>1769196460</v>
      </c>
      <c r="BK124">
        <v>1769196463</v>
      </c>
      <c r="BL124">
        <v>4</v>
      </c>
      <c r="BM124">
        <v>-1.0999999999999999E-2</v>
      </c>
      <c r="BN124">
        <v>0</v>
      </c>
      <c r="BO124">
        <v>-0.83199999999999996</v>
      </c>
      <c r="BP124">
        <v>9.1999999999999998E-2</v>
      </c>
      <c r="BQ124">
        <v>410</v>
      </c>
      <c r="BR124">
        <v>15</v>
      </c>
      <c r="BS124">
        <v>0.22</v>
      </c>
      <c r="BT124">
        <v>0.08</v>
      </c>
      <c r="BU124">
        <v>-0.222342428571429</v>
      </c>
      <c r="BV124">
        <v>0.213743376623377</v>
      </c>
      <c r="BW124">
        <v>2.7255269501111699E-2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0.75192400000000004</v>
      </c>
      <c r="CD124">
        <v>1.0553064935066501E-2</v>
      </c>
      <c r="CE124">
        <v>2.0378086035646101E-3</v>
      </c>
      <c r="CF124">
        <v>1</v>
      </c>
      <c r="CG124">
        <v>2</v>
      </c>
      <c r="CH124">
        <v>2</v>
      </c>
      <c r="CI124" t="s">
        <v>304</v>
      </c>
      <c r="CJ124">
        <v>3.5325600000000001</v>
      </c>
      <c r="CK124">
        <v>2.7025399999999999</v>
      </c>
      <c r="CL124">
        <v>9.7878900000000005E-2</v>
      </c>
      <c r="CM124">
        <v>9.6561300000000003E-2</v>
      </c>
      <c r="CN124">
        <v>8.7004600000000001E-2</v>
      </c>
      <c r="CO124">
        <v>8.29482E-2</v>
      </c>
      <c r="CP124">
        <v>31622.3</v>
      </c>
      <c r="CQ124">
        <v>27805.7</v>
      </c>
      <c r="CR124">
        <v>32443.9</v>
      </c>
      <c r="CS124">
        <v>30705.599999999999</v>
      </c>
      <c r="CT124">
        <v>40114.699999999997</v>
      </c>
      <c r="CU124">
        <v>39600.199999999997</v>
      </c>
      <c r="CV124">
        <v>47387.1</v>
      </c>
      <c r="CW124">
        <v>46831.7</v>
      </c>
      <c r="CX124">
        <v>2.6197400000000002</v>
      </c>
      <c r="CY124">
        <v>2.1227</v>
      </c>
      <c r="CZ124">
        <v>0</v>
      </c>
      <c r="DA124">
        <v>0</v>
      </c>
      <c r="DB124">
        <v>999.9</v>
      </c>
      <c r="DC124">
        <v>999.9</v>
      </c>
      <c r="DD124">
        <v>52.228000000000002</v>
      </c>
      <c r="DE124">
        <v>27.795000000000002</v>
      </c>
      <c r="DF124">
        <v>19.562200000000001</v>
      </c>
      <c r="DG124">
        <v>30.579799999999999</v>
      </c>
      <c r="DH124">
        <v>16.386199999999999</v>
      </c>
      <c r="DI124">
        <v>2</v>
      </c>
      <c r="DJ124">
        <v>-0.10205500000000001</v>
      </c>
      <c r="DK124">
        <v>2.1366200000000002</v>
      </c>
      <c r="DL124">
        <v>20.235299999999999</v>
      </c>
      <c r="DM124">
        <v>5.2477200000000002</v>
      </c>
      <c r="DN124">
        <v>12.033899999999999</v>
      </c>
      <c r="DO124">
        <v>4.96624</v>
      </c>
      <c r="DP124">
        <v>3.2909999999999999</v>
      </c>
      <c r="DQ124">
        <v>536.6</v>
      </c>
      <c r="DR124">
        <v>9999</v>
      </c>
      <c r="DS124">
        <v>9999</v>
      </c>
      <c r="DT124">
        <v>9999</v>
      </c>
      <c r="DU124">
        <v>1.87113</v>
      </c>
      <c r="DV124">
        <v>1.8761099999999999</v>
      </c>
      <c r="DW124">
        <v>1.87636</v>
      </c>
      <c r="DX124">
        <v>1.8828100000000001</v>
      </c>
      <c r="DY124">
        <v>1.87561</v>
      </c>
      <c r="DZ124">
        <v>1.87469</v>
      </c>
      <c r="EA124">
        <v>1.87087</v>
      </c>
      <c r="EB124">
        <v>1.8746700000000001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-0.83099999999999996</v>
      </c>
      <c r="EQ124">
        <v>9.1600000000000001E-2</v>
      </c>
      <c r="ER124">
        <v>-0.83190909090899401</v>
      </c>
      <c r="ES124">
        <v>0</v>
      </c>
      <c r="ET124">
        <v>0</v>
      </c>
      <c r="EU124">
        <v>0</v>
      </c>
      <c r="EV124">
        <v>9.1569999999998999E-2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1.6</v>
      </c>
      <c r="FE124">
        <v>1.5</v>
      </c>
      <c r="FF124">
        <v>1.24146</v>
      </c>
      <c r="FG124">
        <v>2.5915499999999998</v>
      </c>
      <c r="FH124">
        <v>2.19604</v>
      </c>
      <c r="FI124">
        <v>2.66235</v>
      </c>
      <c r="FJ124">
        <v>2.4462899999999999</v>
      </c>
      <c r="FK124">
        <v>2.2997999999999998</v>
      </c>
      <c r="FL124">
        <v>32.266599999999997</v>
      </c>
      <c r="FM124">
        <v>24.157499999999999</v>
      </c>
      <c r="FN124">
        <v>19</v>
      </c>
      <c r="FO124">
        <v>865.46100000000001</v>
      </c>
      <c r="FP124">
        <v>572.76300000000003</v>
      </c>
      <c r="FQ124">
        <v>18.346299999999999</v>
      </c>
      <c r="FR124">
        <v>25.692699999999999</v>
      </c>
      <c r="FS124">
        <v>30.0001</v>
      </c>
      <c r="FT124">
        <v>25.689399999999999</v>
      </c>
      <c r="FU124">
        <v>25.6919</v>
      </c>
      <c r="FV124">
        <v>24.920300000000001</v>
      </c>
      <c r="FW124">
        <v>27.7164</v>
      </c>
      <c r="FX124">
        <v>4.4885900000000003</v>
      </c>
      <c r="FY124">
        <v>18.349799999999998</v>
      </c>
      <c r="FZ124">
        <v>410</v>
      </c>
      <c r="GA124">
        <v>14.65</v>
      </c>
      <c r="GB124">
        <v>99.846599999999995</v>
      </c>
      <c r="GC124">
        <v>99.690799999999996</v>
      </c>
    </row>
    <row r="125" spans="1:185" x14ac:dyDescent="0.2">
      <c r="A125">
        <v>110</v>
      </c>
      <c r="B125">
        <v>1769196570</v>
      </c>
      <c r="C125">
        <v>2009</v>
      </c>
      <c r="D125" t="s">
        <v>516</v>
      </c>
      <c r="E125" t="s">
        <v>517</v>
      </c>
      <c r="F125">
        <v>15</v>
      </c>
      <c r="G125">
        <v>1769196561.9333301</v>
      </c>
      <c r="H125">
        <f t="shared" si="13"/>
        <v>6.116697988459395E-4</v>
      </c>
      <c r="I125">
        <v>0</v>
      </c>
      <c r="J125">
        <f t="shared" si="25"/>
        <v>-2.485703096253772E-3</v>
      </c>
      <c r="K125">
        <f t="shared" si="14"/>
        <v>-9.2626787603039412E-2</v>
      </c>
      <c r="L125">
        <f t="shared" si="15"/>
        <v>69.874975840973008</v>
      </c>
      <c r="M125">
        <f t="shared" si="16"/>
        <v>1.5407667641025538</v>
      </c>
      <c r="N125">
        <f t="shared" si="17"/>
        <v>2.2050336984862113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26227.016492767671</v>
      </c>
      <c r="T125">
        <f t="shared" si="21"/>
        <v>0</v>
      </c>
      <c r="U125">
        <f t="shared" si="22"/>
        <v>0</v>
      </c>
      <c r="V125">
        <f t="shared" si="23"/>
        <v>0.84327507000000002</v>
      </c>
      <c r="W125">
        <f t="shared" si="24"/>
        <v>0.15938767500000001</v>
      </c>
      <c r="X125">
        <v>1</v>
      </c>
      <c r="Y125">
        <v>1769196561.9333301</v>
      </c>
      <c r="Z125">
        <v>409.785866666667</v>
      </c>
      <c r="AA125">
        <v>409.98340000000002</v>
      </c>
      <c r="AB125">
        <v>15.380459999999999</v>
      </c>
      <c r="AC125">
        <v>14.6276333333333</v>
      </c>
      <c r="AD125">
        <v>410.61766666666699</v>
      </c>
      <c r="AE125">
        <v>15.2889</v>
      </c>
      <c r="AF125">
        <v>800.00093333333302</v>
      </c>
      <c r="AG125">
        <v>100.11213333333301</v>
      </c>
      <c r="AH125">
        <v>6.4764113333333304E-2</v>
      </c>
      <c r="AI125">
        <v>18.998933333333301</v>
      </c>
      <c r="AJ125">
        <v>999.9</v>
      </c>
      <c r="AK125">
        <v>999.9</v>
      </c>
      <c r="AL125">
        <v>0</v>
      </c>
      <c r="AM125">
        <v>0</v>
      </c>
      <c r="AN125">
        <v>4995.9333333333298</v>
      </c>
      <c r="AO125">
        <v>0</v>
      </c>
      <c r="AP125">
        <v>1.6937899999999999</v>
      </c>
      <c r="AQ125">
        <v>-0.19746506666666699</v>
      </c>
      <c r="AR125">
        <v>416.18706666666702</v>
      </c>
      <c r="AS125">
        <v>416.06946666666698</v>
      </c>
      <c r="AT125">
        <v>0.75282606666666696</v>
      </c>
      <c r="AU125">
        <v>409.98340000000002</v>
      </c>
      <c r="AV125">
        <v>14.6276333333333</v>
      </c>
      <c r="AW125">
        <v>1.53977066666667</v>
      </c>
      <c r="AX125">
        <v>1.46440533333333</v>
      </c>
      <c r="AY125">
        <v>13.3689066666667</v>
      </c>
      <c r="AZ125">
        <v>12.601466666666701</v>
      </c>
      <c r="BA125">
        <v>0</v>
      </c>
      <c r="BB125">
        <v>0.89083100000000004</v>
      </c>
      <c r="BC125">
        <v>0</v>
      </c>
      <c r="BD125">
        <v>0.109169</v>
      </c>
      <c r="BE125">
        <v>0</v>
      </c>
      <c r="BF125">
        <v>24</v>
      </c>
      <c r="BG125">
        <v>0</v>
      </c>
      <c r="BH125">
        <v>1769196463</v>
      </c>
      <c r="BI125" t="s">
        <v>501</v>
      </c>
      <c r="BJ125">
        <v>1769196460</v>
      </c>
      <c r="BK125">
        <v>1769196463</v>
      </c>
      <c r="BL125">
        <v>4</v>
      </c>
      <c r="BM125">
        <v>-1.0999999999999999E-2</v>
      </c>
      <c r="BN125">
        <v>0</v>
      </c>
      <c r="BO125">
        <v>-0.83199999999999996</v>
      </c>
      <c r="BP125">
        <v>9.1999999999999998E-2</v>
      </c>
      <c r="BQ125">
        <v>410</v>
      </c>
      <c r="BR125">
        <v>15</v>
      </c>
      <c r="BS125">
        <v>0.22</v>
      </c>
      <c r="BT125">
        <v>0.08</v>
      </c>
      <c r="BU125">
        <v>-0.19499520000000001</v>
      </c>
      <c r="BV125">
        <v>0.110692060150376</v>
      </c>
      <c r="BW125">
        <v>2.8235841206877499E-2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0.75297104999999998</v>
      </c>
      <c r="CD125">
        <v>2.1508421052618002E-3</v>
      </c>
      <c r="CE125">
        <v>1.47583178157268E-3</v>
      </c>
      <c r="CF125">
        <v>1</v>
      </c>
      <c r="CG125">
        <v>2</v>
      </c>
      <c r="CH125">
        <v>2</v>
      </c>
      <c r="CI125" t="s">
        <v>304</v>
      </c>
      <c r="CJ125">
        <v>3.5325299999999999</v>
      </c>
      <c r="CK125">
        <v>2.7025100000000002</v>
      </c>
      <c r="CL125">
        <v>9.7872200000000006E-2</v>
      </c>
      <c r="CM125">
        <v>9.6556100000000006E-2</v>
      </c>
      <c r="CN125">
        <v>8.7020600000000004E-2</v>
      </c>
      <c r="CO125">
        <v>8.2934900000000006E-2</v>
      </c>
      <c r="CP125">
        <v>31622.6</v>
      </c>
      <c r="CQ125">
        <v>27805.9</v>
      </c>
      <c r="CR125">
        <v>32444</v>
      </c>
      <c r="CS125">
        <v>30705.5</v>
      </c>
      <c r="CT125">
        <v>40114.199999999997</v>
      </c>
      <c r="CU125">
        <v>39600.199999999997</v>
      </c>
      <c r="CV125">
        <v>47387.4</v>
      </c>
      <c r="CW125">
        <v>46831.1</v>
      </c>
      <c r="CX125">
        <v>2.6194999999999999</v>
      </c>
      <c r="CY125">
        <v>2.1225200000000002</v>
      </c>
      <c r="CZ125">
        <v>0</v>
      </c>
      <c r="DA125">
        <v>0</v>
      </c>
      <c r="DB125">
        <v>999.9</v>
      </c>
      <c r="DC125">
        <v>999.9</v>
      </c>
      <c r="DD125">
        <v>52.179000000000002</v>
      </c>
      <c r="DE125">
        <v>27.795000000000002</v>
      </c>
      <c r="DF125">
        <v>19.542400000000001</v>
      </c>
      <c r="DG125">
        <v>30.369800000000001</v>
      </c>
      <c r="DH125">
        <v>16.406199999999998</v>
      </c>
      <c r="DI125">
        <v>2</v>
      </c>
      <c r="DJ125">
        <v>-0.10204299999999999</v>
      </c>
      <c r="DK125">
        <v>2.1335000000000002</v>
      </c>
      <c r="DL125">
        <v>20.235299999999999</v>
      </c>
      <c r="DM125">
        <v>5.2483199999999997</v>
      </c>
      <c r="DN125">
        <v>12.033899999999999</v>
      </c>
      <c r="DO125">
        <v>4.9664400000000004</v>
      </c>
      <c r="DP125">
        <v>3.2909999999999999</v>
      </c>
      <c r="DQ125">
        <v>536.6</v>
      </c>
      <c r="DR125">
        <v>9999</v>
      </c>
      <c r="DS125">
        <v>9999</v>
      </c>
      <c r="DT125">
        <v>9999</v>
      </c>
      <c r="DU125">
        <v>1.8711</v>
      </c>
      <c r="DV125">
        <v>1.87612</v>
      </c>
      <c r="DW125">
        <v>1.87635</v>
      </c>
      <c r="DX125">
        <v>1.88279</v>
      </c>
      <c r="DY125">
        <v>1.8755999999999999</v>
      </c>
      <c r="DZ125">
        <v>1.87469</v>
      </c>
      <c r="EA125">
        <v>1.87087</v>
      </c>
      <c r="EB125">
        <v>1.8746499999999999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-0.83199999999999996</v>
      </c>
      <c r="EQ125">
        <v>9.1499999999999998E-2</v>
      </c>
      <c r="ER125">
        <v>-0.83190909090899401</v>
      </c>
      <c r="ES125">
        <v>0</v>
      </c>
      <c r="ET125">
        <v>0</v>
      </c>
      <c r="EU125">
        <v>0</v>
      </c>
      <c r="EV125">
        <v>9.1569999999998999E-2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1.8</v>
      </c>
      <c r="FE125">
        <v>1.8</v>
      </c>
      <c r="FF125">
        <v>1.24146</v>
      </c>
      <c r="FG125">
        <v>2.5903299999999998</v>
      </c>
      <c r="FH125">
        <v>2.19604</v>
      </c>
      <c r="FI125">
        <v>2.66235</v>
      </c>
      <c r="FJ125">
        <v>2.4462899999999999</v>
      </c>
      <c r="FK125">
        <v>2.3010299999999999</v>
      </c>
      <c r="FL125">
        <v>32.266599999999997</v>
      </c>
      <c r="FM125">
        <v>24.148800000000001</v>
      </c>
      <c r="FN125">
        <v>19</v>
      </c>
      <c r="FO125">
        <v>865.245</v>
      </c>
      <c r="FP125">
        <v>572.625</v>
      </c>
      <c r="FQ125">
        <v>18.3506</v>
      </c>
      <c r="FR125">
        <v>25.692699999999999</v>
      </c>
      <c r="FS125">
        <v>30.0001</v>
      </c>
      <c r="FT125">
        <v>25.689800000000002</v>
      </c>
      <c r="FU125">
        <v>25.6919</v>
      </c>
      <c r="FV125">
        <v>24.924299999999999</v>
      </c>
      <c r="FW125">
        <v>27.7164</v>
      </c>
      <c r="FX125">
        <v>4.1111800000000001</v>
      </c>
      <c r="FY125">
        <v>18.351900000000001</v>
      </c>
      <c r="FZ125">
        <v>410</v>
      </c>
      <c r="GA125">
        <v>14.65</v>
      </c>
      <c r="GB125">
        <v>99.847200000000001</v>
      </c>
      <c r="GC125">
        <v>99.69</v>
      </c>
    </row>
    <row r="126" spans="1:185" x14ac:dyDescent="0.2">
      <c r="A126">
        <v>111</v>
      </c>
      <c r="B126">
        <v>1769196585</v>
      </c>
      <c r="C126">
        <v>2024</v>
      </c>
      <c r="D126" t="s">
        <v>518</v>
      </c>
      <c r="E126" t="s">
        <v>519</v>
      </c>
      <c r="F126">
        <v>15</v>
      </c>
      <c r="G126">
        <v>1769196576.9333301</v>
      </c>
      <c r="H126">
        <f t="shared" si="13"/>
        <v>6.1909749333581663E-4</v>
      </c>
      <c r="I126">
        <v>0</v>
      </c>
      <c r="J126">
        <f t="shared" si="25"/>
        <v>-2.1278900039102613E-3</v>
      </c>
      <c r="K126">
        <f t="shared" si="14"/>
        <v>-7.9293305677527334E-2</v>
      </c>
      <c r="L126">
        <f t="shared" si="15"/>
        <v>69.874595898826513</v>
      </c>
      <c r="M126">
        <f t="shared" si="16"/>
        <v>1.5406032735945827</v>
      </c>
      <c r="N126">
        <f t="shared" si="17"/>
        <v>2.2048117112909926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26288.198681029673</v>
      </c>
      <c r="T126">
        <f t="shared" si="21"/>
        <v>0</v>
      </c>
      <c r="U126">
        <f t="shared" si="22"/>
        <v>0</v>
      </c>
      <c r="V126">
        <f t="shared" si="23"/>
        <v>0.84327507000000002</v>
      </c>
      <c r="W126">
        <f t="shared" si="24"/>
        <v>0.15938767500000001</v>
      </c>
      <c r="X126">
        <v>1</v>
      </c>
      <c r="Y126">
        <v>1769196576.9333301</v>
      </c>
      <c r="Z126">
        <v>409.78333333333302</v>
      </c>
      <c r="AA126">
        <v>410.00133333333298</v>
      </c>
      <c r="AB126">
        <v>15.37828</v>
      </c>
      <c r="AC126">
        <v>14.61632</v>
      </c>
      <c r="AD126">
        <v>410.61513333333301</v>
      </c>
      <c r="AE126">
        <v>15.286720000000001</v>
      </c>
      <c r="AF126">
        <v>800.01160000000004</v>
      </c>
      <c r="AG126">
        <v>100.115733333333</v>
      </c>
      <c r="AH126">
        <v>6.4733766666666706E-2</v>
      </c>
      <c r="AI126">
        <v>18.997319999999998</v>
      </c>
      <c r="AJ126">
        <v>999.9</v>
      </c>
      <c r="AK126">
        <v>999.9</v>
      </c>
      <c r="AL126">
        <v>0</v>
      </c>
      <c r="AM126">
        <v>0</v>
      </c>
      <c r="AN126">
        <v>5005.8333333333303</v>
      </c>
      <c r="AO126">
        <v>0</v>
      </c>
      <c r="AP126">
        <v>1.6937899999999999</v>
      </c>
      <c r="AQ126">
        <v>-0.218064333333333</v>
      </c>
      <c r="AR126">
        <v>416.18340000000001</v>
      </c>
      <c r="AS126">
        <v>416.08293333333302</v>
      </c>
      <c r="AT126">
        <v>0.76197579999999998</v>
      </c>
      <c r="AU126">
        <v>410.00133333333298</v>
      </c>
      <c r="AV126">
        <v>14.61632</v>
      </c>
      <c r="AW126">
        <v>1.53961066666667</v>
      </c>
      <c r="AX126">
        <v>1.4633246666666699</v>
      </c>
      <c r="AY126">
        <v>13.3673066666667</v>
      </c>
      <c r="AZ126">
        <v>12.590246666666699</v>
      </c>
      <c r="BA126">
        <v>0</v>
      </c>
      <c r="BB126">
        <v>0.89083100000000004</v>
      </c>
      <c r="BC126">
        <v>0</v>
      </c>
      <c r="BD126">
        <v>0.109169</v>
      </c>
      <c r="BE126">
        <v>0</v>
      </c>
      <c r="BF126">
        <v>24</v>
      </c>
      <c r="BG126">
        <v>0</v>
      </c>
      <c r="BH126">
        <v>1769196463</v>
      </c>
      <c r="BI126" t="s">
        <v>501</v>
      </c>
      <c r="BJ126">
        <v>1769196460</v>
      </c>
      <c r="BK126">
        <v>1769196463</v>
      </c>
      <c r="BL126">
        <v>4</v>
      </c>
      <c r="BM126">
        <v>-1.0999999999999999E-2</v>
      </c>
      <c r="BN126">
        <v>0</v>
      </c>
      <c r="BO126">
        <v>-0.83199999999999996</v>
      </c>
      <c r="BP126">
        <v>9.1999999999999998E-2</v>
      </c>
      <c r="BQ126">
        <v>410</v>
      </c>
      <c r="BR126">
        <v>15</v>
      </c>
      <c r="BS126">
        <v>0.22</v>
      </c>
      <c r="BT126">
        <v>0.08</v>
      </c>
      <c r="BU126">
        <v>-0.20573790476190501</v>
      </c>
      <c r="BV126">
        <v>-0.17620161038961099</v>
      </c>
      <c r="BW126">
        <v>2.9260139077729501E-2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0.75965276190476205</v>
      </c>
      <c r="CD126">
        <v>3.5581870129869901E-2</v>
      </c>
      <c r="CE126">
        <v>4.4358854369761797E-3</v>
      </c>
      <c r="CF126">
        <v>1</v>
      </c>
      <c r="CG126">
        <v>2</v>
      </c>
      <c r="CH126">
        <v>2</v>
      </c>
      <c r="CI126" t="s">
        <v>304</v>
      </c>
      <c r="CJ126">
        <v>3.5325299999999999</v>
      </c>
      <c r="CK126">
        <v>2.7025800000000002</v>
      </c>
      <c r="CL126">
        <v>9.7877699999999998E-2</v>
      </c>
      <c r="CM126">
        <v>9.6560599999999996E-2</v>
      </c>
      <c r="CN126">
        <v>8.6971999999999994E-2</v>
      </c>
      <c r="CO126">
        <v>8.2872600000000005E-2</v>
      </c>
      <c r="CP126">
        <v>31622.400000000001</v>
      </c>
      <c r="CQ126">
        <v>27806.1</v>
      </c>
      <c r="CR126">
        <v>32443.9</v>
      </c>
      <c r="CS126">
        <v>30706</v>
      </c>
      <c r="CT126">
        <v>40116.199999999997</v>
      </c>
      <c r="CU126">
        <v>39603.800000000003</v>
      </c>
      <c r="CV126">
        <v>47387.1</v>
      </c>
      <c r="CW126">
        <v>46832</v>
      </c>
      <c r="CX126">
        <v>2.6195599999999999</v>
      </c>
      <c r="CY126">
        <v>2.1225399999999999</v>
      </c>
      <c r="CZ126">
        <v>0</v>
      </c>
      <c r="DA126">
        <v>0</v>
      </c>
      <c r="DB126">
        <v>999.9</v>
      </c>
      <c r="DC126">
        <v>999.9</v>
      </c>
      <c r="DD126">
        <v>52.13</v>
      </c>
      <c r="DE126">
        <v>27.805</v>
      </c>
      <c r="DF126">
        <v>19.535499999999999</v>
      </c>
      <c r="DG126">
        <v>30.309799999999999</v>
      </c>
      <c r="DH126">
        <v>16.418299999999999</v>
      </c>
      <c r="DI126">
        <v>2</v>
      </c>
      <c r="DJ126">
        <v>-0.102175</v>
      </c>
      <c r="DK126">
        <v>2.1134599999999999</v>
      </c>
      <c r="DL126">
        <v>20.235700000000001</v>
      </c>
      <c r="DM126">
        <v>5.2484400000000004</v>
      </c>
      <c r="DN126">
        <v>12.033899999999999</v>
      </c>
      <c r="DO126">
        <v>4.9665600000000003</v>
      </c>
      <c r="DP126">
        <v>3.2909999999999999</v>
      </c>
      <c r="DQ126">
        <v>536.6</v>
      </c>
      <c r="DR126">
        <v>9999</v>
      </c>
      <c r="DS126">
        <v>9999</v>
      </c>
      <c r="DT126">
        <v>9999</v>
      </c>
      <c r="DU126">
        <v>1.87113</v>
      </c>
      <c r="DV126">
        <v>1.8761000000000001</v>
      </c>
      <c r="DW126">
        <v>1.8763700000000001</v>
      </c>
      <c r="DX126">
        <v>1.8828199999999999</v>
      </c>
      <c r="DY126">
        <v>1.87561</v>
      </c>
      <c r="DZ126">
        <v>1.87469</v>
      </c>
      <c r="EA126">
        <v>1.87086</v>
      </c>
      <c r="EB126">
        <v>1.87466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-0.83199999999999996</v>
      </c>
      <c r="EQ126">
        <v>9.1499999999999998E-2</v>
      </c>
      <c r="ER126">
        <v>-0.83190909090899401</v>
      </c>
      <c r="ES126">
        <v>0</v>
      </c>
      <c r="ET126">
        <v>0</v>
      </c>
      <c r="EU126">
        <v>0</v>
      </c>
      <c r="EV126">
        <v>9.1569999999998999E-2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2.1</v>
      </c>
      <c r="FE126">
        <v>2</v>
      </c>
      <c r="FF126">
        <v>1.24146</v>
      </c>
      <c r="FG126">
        <v>2.5927699999999998</v>
      </c>
      <c r="FH126">
        <v>2.19604</v>
      </c>
      <c r="FI126">
        <v>2.66357</v>
      </c>
      <c r="FJ126">
        <v>2.4462899999999999</v>
      </c>
      <c r="FK126">
        <v>2.2534200000000002</v>
      </c>
      <c r="FL126">
        <v>32.266599999999997</v>
      </c>
      <c r="FM126">
        <v>24.148800000000001</v>
      </c>
      <c r="FN126">
        <v>19</v>
      </c>
      <c r="FO126">
        <v>865.32799999999997</v>
      </c>
      <c r="FP126">
        <v>572.65899999999999</v>
      </c>
      <c r="FQ126">
        <v>18.354700000000001</v>
      </c>
      <c r="FR126">
        <v>25.694500000000001</v>
      </c>
      <c r="FS126">
        <v>30.0001</v>
      </c>
      <c r="FT126">
        <v>25.691600000000001</v>
      </c>
      <c r="FU126">
        <v>25.6936</v>
      </c>
      <c r="FV126">
        <v>24.924399999999999</v>
      </c>
      <c r="FW126">
        <v>27.7164</v>
      </c>
      <c r="FX126">
        <v>4.1111800000000001</v>
      </c>
      <c r="FY126">
        <v>18.357399999999998</v>
      </c>
      <c r="FZ126">
        <v>410</v>
      </c>
      <c r="GA126">
        <v>14.6501</v>
      </c>
      <c r="GB126">
        <v>99.846699999999998</v>
      </c>
      <c r="GC126">
        <v>99.691699999999997</v>
      </c>
    </row>
    <row r="127" spans="1:185" x14ac:dyDescent="0.2">
      <c r="A127">
        <v>112</v>
      </c>
      <c r="B127">
        <v>1769196600</v>
      </c>
      <c r="C127">
        <v>2039</v>
      </c>
      <c r="D127" t="s">
        <v>520</v>
      </c>
      <c r="E127" t="s">
        <v>521</v>
      </c>
      <c r="F127">
        <v>15</v>
      </c>
      <c r="G127">
        <v>1769196591.9333301</v>
      </c>
      <c r="H127">
        <f t="shared" si="13"/>
        <v>6.167491238340926E-4</v>
      </c>
      <c r="I127">
        <v>0</v>
      </c>
      <c r="J127">
        <f t="shared" si="25"/>
        <v>-2.2108414508211177E-3</v>
      </c>
      <c r="K127">
        <f t="shared" si="14"/>
        <v>-8.2384393292116789E-2</v>
      </c>
      <c r="L127">
        <f t="shared" si="15"/>
        <v>69.835997037202191</v>
      </c>
      <c r="M127">
        <f t="shared" si="16"/>
        <v>1.539631176106125</v>
      </c>
      <c r="N127">
        <f t="shared" si="17"/>
        <v>2.2046383547527091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26261.728212673923</v>
      </c>
      <c r="T127">
        <f t="shared" si="21"/>
        <v>0</v>
      </c>
      <c r="U127">
        <f t="shared" si="22"/>
        <v>0</v>
      </c>
      <c r="V127">
        <f t="shared" si="23"/>
        <v>0.84327507000000002</v>
      </c>
      <c r="W127">
        <f t="shared" si="24"/>
        <v>0.15938767500000001</v>
      </c>
      <c r="X127">
        <v>1</v>
      </c>
      <c r="Y127">
        <v>1769196591.9333301</v>
      </c>
      <c r="Z127">
        <v>409.77993333333302</v>
      </c>
      <c r="AA127">
        <v>409.992866666667</v>
      </c>
      <c r="AB127">
        <v>15.3685266666667</v>
      </c>
      <c r="AC127">
        <v>14.609439999999999</v>
      </c>
      <c r="AD127">
        <v>410.61186666666703</v>
      </c>
      <c r="AE127">
        <v>15.276960000000001</v>
      </c>
      <c r="AF127">
        <v>800.00166666666701</v>
      </c>
      <c r="AG127">
        <v>100.11620000000001</v>
      </c>
      <c r="AH127">
        <v>6.4592179999999999E-2</v>
      </c>
      <c r="AI127">
        <v>18.99606</v>
      </c>
      <c r="AJ127">
        <v>999.9</v>
      </c>
      <c r="AK127">
        <v>999.9</v>
      </c>
      <c r="AL127">
        <v>0</v>
      </c>
      <c r="AM127">
        <v>0</v>
      </c>
      <c r="AN127">
        <v>5001.4333333333298</v>
      </c>
      <c r="AO127">
        <v>0</v>
      </c>
      <c r="AP127">
        <v>1.6937899999999999</v>
      </c>
      <c r="AQ127">
        <v>-0.21275839999999999</v>
      </c>
      <c r="AR127">
        <v>416.17599999999999</v>
      </c>
      <c r="AS127">
        <v>416.07139999999998</v>
      </c>
      <c r="AT127">
        <v>0.75909020000000005</v>
      </c>
      <c r="AU127">
        <v>409.992866666667</v>
      </c>
      <c r="AV127">
        <v>14.609439999999999</v>
      </c>
      <c r="AW127">
        <v>1.53863866666667</v>
      </c>
      <c r="AX127">
        <v>1.4626413333333299</v>
      </c>
      <c r="AY127">
        <v>13.3576333333333</v>
      </c>
      <c r="AZ127">
        <v>12.583126666666701</v>
      </c>
      <c r="BA127">
        <v>0</v>
      </c>
      <c r="BB127">
        <v>0.89083100000000004</v>
      </c>
      <c r="BC127">
        <v>0</v>
      </c>
      <c r="BD127">
        <v>0.109169</v>
      </c>
      <c r="BE127">
        <v>0</v>
      </c>
      <c r="BF127">
        <v>24</v>
      </c>
      <c r="BG127">
        <v>0</v>
      </c>
      <c r="BH127">
        <v>1769196463</v>
      </c>
      <c r="BI127" t="s">
        <v>501</v>
      </c>
      <c r="BJ127">
        <v>1769196460</v>
      </c>
      <c r="BK127">
        <v>1769196463</v>
      </c>
      <c r="BL127">
        <v>4</v>
      </c>
      <c r="BM127">
        <v>-1.0999999999999999E-2</v>
      </c>
      <c r="BN127">
        <v>0</v>
      </c>
      <c r="BO127">
        <v>-0.83199999999999996</v>
      </c>
      <c r="BP127">
        <v>9.1999999999999998E-2</v>
      </c>
      <c r="BQ127">
        <v>410</v>
      </c>
      <c r="BR127">
        <v>15</v>
      </c>
      <c r="BS127">
        <v>0.22</v>
      </c>
      <c r="BT127">
        <v>0.08</v>
      </c>
      <c r="BU127">
        <v>-0.21478120000000001</v>
      </c>
      <c r="BV127">
        <v>-8.7738947368419598E-3</v>
      </c>
      <c r="BW127">
        <v>1.75689037409851E-2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0.75978274999999995</v>
      </c>
      <c r="CD127">
        <v>-1.0321849624060001E-2</v>
      </c>
      <c r="CE127">
        <v>1.62070009178133E-3</v>
      </c>
      <c r="CF127">
        <v>1</v>
      </c>
      <c r="CG127">
        <v>2</v>
      </c>
      <c r="CH127">
        <v>2</v>
      </c>
      <c r="CI127" t="s">
        <v>304</v>
      </c>
      <c r="CJ127">
        <v>3.5324800000000001</v>
      </c>
      <c r="CK127">
        <v>2.7023899999999998</v>
      </c>
      <c r="CL127">
        <v>9.78739E-2</v>
      </c>
      <c r="CM127">
        <v>9.6562999999999996E-2</v>
      </c>
      <c r="CN127">
        <v>8.69558E-2</v>
      </c>
      <c r="CO127">
        <v>8.2852099999999998E-2</v>
      </c>
      <c r="CP127">
        <v>31622.9</v>
      </c>
      <c r="CQ127">
        <v>27805.8</v>
      </c>
      <c r="CR127">
        <v>32444.3</v>
      </c>
      <c r="CS127">
        <v>30705.8</v>
      </c>
      <c r="CT127">
        <v>40117.1</v>
      </c>
      <c r="CU127">
        <v>39604.6</v>
      </c>
      <c r="CV127">
        <v>47387.4</v>
      </c>
      <c r="CW127">
        <v>46831.9</v>
      </c>
      <c r="CX127">
        <v>2.6197400000000002</v>
      </c>
      <c r="CY127">
        <v>2.1225800000000001</v>
      </c>
      <c r="CZ127">
        <v>0</v>
      </c>
      <c r="DA127">
        <v>0</v>
      </c>
      <c r="DB127">
        <v>999.9</v>
      </c>
      <c r="DC127">
        <v>999.9</v>
      </c>
      <c r="DD127">
        <v>52.057000000000002</v>
      </c>
      <c r="DE127">
        <v>27.805</v>
      </c>
      <c r="DF127">
        <v>19.5077</v>
      </c>
      <c r="DG127">
        <v>30.129799999999999</v>
      </c>
      <c r="DH127">
        <v>16.4663</v>
      </c>
      <c r="DI127">
        <v>2</v>
      </c>
      <c r="DJ127">
        <v>-0.102016</v>
      </c>
      <c r="DK127">
        <v>2.0991200000000001</v>
      </c>
      <c r="DL127">
        <v>20.2361</v>
      </c>
      <c r="DM127">
        <v>5.24796</v>
      </c>
      <c r="DN127">
        <v>12.033899999999999</v>
      </c>
      <c r="DO127">
        <v>4.9665999999999997</v>
      </c>
      <c r="DP127">
        <v>3.2909999999999999</v>
      </c>
      <c r="DQ127">
        <v>536.6</v>
      </c>
      <c r="DR127">
        <v>9999</v>
      </c>
      <c r="DS127">
        <v>9999</v>
      </c>
      <c r="DT127">
        <v>9999</v>
      </c>
      <c r="DU127">
        <v>1.87114</v>
      </c>
      <c r="DV127">
        <v>1.87616</v>
      </c>
      <c r="DW127">
        <v>1.8763700000000001</v>
      </c>
      <c r="DX127">
        <v>1.8828499999999999</v>
      </c>
      <c r="DY127">
        <v>1.87561</v>
      </c>
      <c r="DZ127">
        <v>1.87469</v>
      </c>
      <c r="EA127">
        <v>1.87087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-0.83199999999999996</v>
      </c>
      <c r="EQ127">
        <v>9.1600000000000001E-2</v>
      </c>
      <c r="ER127">
        <v>-0.83190909090899401</v>
      </c>
      <c r="ES127">
        <v>0</v>
      </c>
      <c r="ET127">
        <v>0</v>
      </c>
      <c r="EU127">
        <v>0</v>
      </c>
      <c r="EV127">
        <v>9.1569999999998999E-2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2.2999999999999998</v>
      </c>
      <c r="FE127">
        <v>2.2999999999999998</v>
      </c>
      <c r="FF127">
        <v>1.24146</v>
      </c>
      <c r="FG127">
        <v>2.5952099999999998</v>
      </c>
      <c r="FH127">
        <v>2.19604</v>
      </c>
      <c r="FI127">
        <v>2.66357</v>
      </c>
      <c r="FJ127">
        <v>2.4462899999999999</v>
      </c>
      <c r="FK127">
        <v>2.2802699999999998</v>
      </c>
      <c r="FL127">
        <v>32.266599999999997</v>
      </c>
      <c r="FM127">
        <v>24.148800000000001</v>
      </c>
      <c r="FN127">
        <v>19</v>
      </c>
      <c r="FO127">
        <v>865.49599999999998</v>
      </c>
      <c r="FP127">
        <v>572.69500000000005</v>
      </c>
      <c r="FQ127">
        <v>18.363</v>
      </c>
      <c r="FR127">
        <v>25.692699999999999</v>
      </c>
      <c r="FS127">
        <v>30.0001</v>
      </c>
      <c r="FT127">
        <v>25.691600000000001</v>
      </c>
      <c r="FU127">
        <v>25.694099999999999</v>
      </c>
      <c r="FV127">
        <v>24.923100000000002</v>
      </c>
      <c r="FW127">
        <v>27.7164</v>
      </c>
      <c r="FX127">
        <v>3.7408399999999999</v>
      </c>
      <c r="FY127">
        <v>18.365600000000001</v>
      </c>
      <c r="FZ127">
        <v>410</v>
      </c>
      <c r="GA127">
        <v>14.6533</v>
      </c>
      <c r="GB127">
        <v>99.847499999999997</v>
      </c>
      <c r="GC127">
        <v>99.691299999999998</v>
      </c>
    </row>
    <row r="128" spans="1:185" x14ac:dyDescent="0.2">
      <c r="A128">
        <v>113</v>
      </c>
      <c r="B128">
        <v>1769196615</v>
      </c>
      <c r="C128">
        <v>2054</v>
      </c>
      <c r="D128" t="s">
        <v>522</v>
      </c>
      <c r="E128" t="s">
        <v>523</v>
      </c>
      <c r="F128">
        <v>15</v>
      </c>
      <c r="G128">
        <v>1769196606.9333301</v>
      </c>
      <c r="H128">
        <f t="shared" si="13"/>
        <v>6.2086526298293172E-4</v>
      </c>
      <c r="I128">
        <v>0</v>
      </c>
      <c r="J128">
        <f t="shared" si="25"/>
        <v>-1.7693399612236206E-3</v>
      </c>
      <c r="K128">
        <f t="shared" si="14"/>
        <v>-6.5932362168606526E-2</v>
      </c>
      <c r="L128">
        <f t="shared" si="15"/>
        <v>69.801569086204765</v>
      </c>
      <c r="M128">
        <f t="shared" si="16"/>
        <v>1.5390034141194482</v>
      </c>
      <c r="N128">
        <f t="shared" si="17"/>
        <v>2.2048263875254479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26265.649130248319</v>
      </c>
      <c r="T128">
        <f t="shared" si="21"/>
        <v>0</v>
      </c>
      <c r="U128">
        <f t="shared" si="22"/>
        <v>0</v>
      </c>
      <c r="V128">
        <f t="shared" si="23"/>
        <v>0.84327507000000002</v>
      </c>
      <c r="W128">
        <f t="shared" si="24"/>
        <v>0.15938767500000001</v>
      </c>
      <c r="X128">
        <v>1</v>
      </c>
      <c r="Y128">
        <v>1769196606.9333301</v>
      </c>
      <c r="Z128">
        <v>409.77280000000002</v>
      </c>
      <c r="AA128">
        <v>410.00839999999999</v>
      </c>
      <c r="AB128">
        <v>15.36286</v>
      </c>
      <c r="AC128">
        <v>14.5987066666667</v>
      </c>
      <c r="AD128">
        <v>410.60480000000001</v>
      </c>
      <c r="AE128">
        <v>15.2713066666667</v>
      </c>
      <c r="AF128">
        <v>800.00566666666703</v>
      </c>
      <c r="AG128">
        <v>100.112333333333</v>
      </c>
      <c r="AH128">
        <v>6.4548713333333299E-2</v>
      </c>
      <c r="AI128">
        <v>18.997426666666701</v>
      </c>
      <c r="AJ128">
        <v>999.9</v>
      </c>
      <c r="AK128">
        <v>999.9</v>
      </c>
      <c r="AL128">
        <v>0</v>
      </c>
      <c r="AM128">
        <v>0</v>
      </c>
      <c r="AN128">
        <v>5002.2666666666701</v>
      </c>
      <c r="AO128">
        <v>0</v>
      </c>
      <c r="AP128">
        <v>1.6937899999999999</v>
      </c>
      <c r="AQ128">
        <v>-0.23552039999999999</v>
      </c>
      <c r="AR128">
        <v>416.166333333333</v>
      </c>
      <c r="AS128">
        <v>416.08273333333301</v>
      </c>
      <c r="AT128">
        <v>0.76416479999999998</v>
      </c>
      <c r="AU128">
        <v>410.00839999999999</v>
      </c>
      <c r="AV128">
        <v>14.5987066666667</v>
      </c>
      <c r="AW128">
        <v>1.5380119999999999</v>
      </c>
      <c r="AX128">
        <v>1.4615100000000001</v>
      </c>
      <c r="AY128">
        <v>13.351380000000001</v>
      </c>
      <c r="AZ128">
        <v>12.5713133333333</v>
      </c>
      <c r="BA128">
        <v>0</v>
      </c>
      <c r="BB128">
        <v>0.89083100000000004</v>
      </c>
      <c r="BC128">
        <v>0</v>
      </c>
      <c r="BD128">
        <v>0.109169</v>
      </c>
      <c r="BE128">
        <v>0</v>
      </c>
      <c r="BF128">
        <v>24</v>
      </c>
      <c r="BG128">
        <v>0</v>
      </c>
      <c r="BH128">
        <v>1769196463</v>
      </c>
      <c r="BI128" t="s">
        <v>501</v>
      </c>
      <c r="BJ128">
        <v>1769196460</v>
      </c>
      <c r="BK128">
        <v>1769196463</v>
      </c>
      <c r="BL128">
        <v>4</v>
      </c>
      <c r="BM128">
        <v>-1.0999999999999999E-2</v>
      </c>
      <c r="BN128">
        <v>0</v>
      </c>
      <c r="BO128">
        <v>-0.83199999999999996</v>
      </c>
      <c r="BP128">
        <v>9.1999999999999998E-2</v>
      </c>
      <c r="BQ128">
        <v>410</v>
      </c>
      <c r="BR128">
        <v>15</v>
      </c>
      <c r="BS128">
        <v>0.22</v>
      </c>
      <c r="BT128">
        <v>0.08</v>
      </c>
      <c r="BU128">
        <v>-0.231477285714286</v>
      </c>
      <c r="BV128">
        <v>-8.99555844155853E-3</v>
      </c>
      <c r="BW128">
        <v>1.7483439171161401E-2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0.76279076190476203</v>
      </c>
      <c r="CD128">
        <v>1.30655844155838E-2</v>
      </c>
      <c r="CE128">
        <v>3.1513774147152499E-3</v>
      </c>
      <c r="CF128">
        <v>1</v>
      </c>
      <c r="CG128">
        <v>2</v>
      </c>
      <c r="CH128">
        <v>2</v>
      </c>
      <c r="CI128" t="s">
        <v>304</v>
      </c>
      <c r="CJ128">
        <v>3.5325500000000001</v>
      </c>
      <c r="CK128">
        <v>2.70241</v>
      </c>
      <c r="CL128">
        <v>9.7870799999999994E-2</v>
      </c>
      <c r="CM128">
        <v>9.6554100000000004E-2</v>
      </c>
      <c r="CN128">
        <v>8.6907100000000001E-2</v>
      </c>
      <c r="CO128">
        <v>8.2806500000000005E-2</v>
      </c>
      <c r="CP128">
        <v>31623.599999999999</v>
      </c>
      <c r="CQ128">
        <v>27806.1</v>
      </c>
      <c r="CR128">
        <v>32445</v>
      </c>
      <c r="CS128">
        <v>30705.8</v>
      </c>
      <c r="CT128">
        <v>40120.400000000001</v>
      </c>
      <c r="CU128">
        <v>39606.800000000003</v>
      </c>
      <c r="CV128">
        <v>47388.6</v>
      </c>
      <c r="CW128">
        <v>46832.1</v>
      </c>
      <c r="CX128">
        <v>2.61944</v>
      </c>
      <c r="CY128">
        <v>2.1224799999999999</v>
      </c>
      <c r="CZ128">
        <v>0</v>
      </c>
      <c r="DA128">
        <v>0</v>
      </c>
      <c r="DB128">
        <v>999.9</v>
      </c>
      <c r="DC128">
        <v>999.9</v>
      </c>
      <c r="DD128">
        <v>52.008000000000003</v>
      </c>
      <c r="DE128">
        <v>27.815000000000001</v>
      </c>
      <c r="DF128">
        <v>19.502300000000002</v>
      </c>
      <c r="DG128">
        <v>29.799800000000001</v>
      </c>
      <c r="DH128">
        <v>16.414300000000001</v>
      </c>
      <c r="DI128">
        <v>2</v>
      </c>
      <c r="DJ128">
        <v>-0.10233100000000001</v>
      </c>
      <c r="DK128">
        <v>2.0997599999999998</v>
      </c>
      <c r="DL128">
        <v>20.236000000000001</v>
      </c>
      <c r="DM128">
        <v>5.24796</v>
      </c>
      <c r="DN128">
        <v>12.033899999999999</v>
      </c>
      <c r="DO128">
        <v>4.9667599999999998</v>
      </c>
      <c r="DP128">
        <v>3.2909999999999999</v>
      </c>
      <c r="DQ128">
        <v>536.6</v>
      </c>
      <c r="DR128">
        <v>9999</v>
      </c>
      <c r="DS128">
        <v>9999</v>
      </c>
      <c r="DT128">
        <v>9999</v>
      </c>
      <c r="DU128">
        <v>1.87113</v>
      </c>
      <c r="DV128">
        <v>1.87615</v>
      </c>
      <c r="DW128">
        <v>1.8763700000000001</v>
      </c>
      <c r="DX128">
        <v>1.88287</v>
      </c>
      <c r="DY128">
        <v>1.8756200000000001</v>
      </c>
      <c r="DZ128">
        <v>1.87469</v>
      </c>
      <c r="EA128">
        <v>1.8708800000000001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-0.83199999999999996</v>
      </c>
      <c r="EQ128">
        <v>9.1600000000000001E-2</v>
      </c>
      <c r="ER128">
        <v>-0.83190909090899401</v>
      </c>
      <c r="ES128">
        <v>0</v>
      </c>
      <c r="ET128">
        <v>0</v>
      </c>
      <c r="EU128">
        <v>0</v>
      </c>
      <c r="EV128">
        <v>9.1569999999998999E-2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2.6</v>
      </c>
      <c r="FE128">
        <v>2.5</v>
      </c>
      <c r="FF128">
        <v>1.24146</v>
      </c>
      <c r="FG128">
        <v>2.5988799999999999</v>
      </c>
      <c r="FH128">
        <v>2.19604</v>
      </c>
      <c r="FI128">
        <v>2.66357</v>
      </c>
      <c r="FJ128">
        <v>2.4462899999999999</v>
      </c>
      <c r="FK128">
        <v>2.2985799999999998</v>
      </c>
      <c r="FL128">
        <v>32.266599999999997</v>
      </c>
      <c r="FM128">
        <v>24.148800000000001</v>
      </c>
      <c r="FN128">
        <v>19</v>
      </c>
      <c r="FO128">
        <v>865.21699999999998</v>
      </c>
      <c r="FP128">
        <v>572.61900000000003</v>
      </c>
      <c r="FQ128">
        <v>18.371200000000002</v>
      </c>
      <c r="FR128">
        <v>25.692699999999999</v>
      </c>
      <c r="FS128">
        <v>30</v>
      </c>
      <c r="FT128">
        <v>25.691600000000001</v>
      </c>
      <c r="FU128">
        <v>25.694099999999999</v>
      </c>
      <c r="FV128">
        <v>24.9236</v>
      </c>
      <c r="FW128">
        <v>27.7164</v>
      </c>
      <c r="FX128">
        <v>3.7408399999999999</v>
      </c>
      <c r="FY128">
        <v>18.371400000000001</v>
      </c>
      <c r="FZ128">
        <v>410</v>
      </c>
      <c r="GA128">
        <v>14.669499999999999</v>
      </c>
      <c r="GB128">
        <v>99.849900000000005</v>
      </c>
      <c r="GC128">
        <v>99.691500000000005</v>
      </c>
    </row>
    <row r="129" spans="1:185" x14ac:dyDescent="0.2">
      <c r="A129">
        <v>114</v>
      </c>
      <c r="B129">
        <v>1769196630</v>
      </c>
      <c r="C129">
        <v>2069</v>
      </c>
      <c r="D129" t="s">
        <v>524</v>
      </c>
      <c r="E129" t="s">
        <v>525</v>
      </c>
      <c r="F129">
        <v>15</v>
      </c>
      <c r="G129">
        <v>1769196621.9333301</v>
      </c>
      <c r="H129">
        <f t="shared" si="13"/>
        <v>6.0102547560640716E-4</v>
      </c>
      <c r="I129">
        <v>0</v>
      </c>
      <c r="J129">
        <f t="shared" si="25"/>
        <v>-2.1865485254664247E-3</v>
      </c>
      <c r="K129">
        <f t="shared" si="14"/>
        <v>-8.1479146144749548E-2</v>
      </c>
      <c r="L129">
        <f t="shared" si="15"/>
        <v>69.747797969427467</v>
      </c>
      <c r="M129">
        <f t="shared" si="16"/>
        <v>1.5380481880245489</v>
      </c>
      <c r="N129">
        <f t="shared" si="17"/>
        <v>2.2051566254446073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26259.6083704667</v>
      </c>
      <c r="T129">
        <f t="shared" si="21"/>
        <v>0</v>
      </c>
      <c r="U129">
        <f t="shared" si="22"/>
        <v>0</v>
      </c>
      <c r="V129">
        <f t="shared" si="23"/>
        <v>0.84327507000000002</v>
      </c>
      <c r="W129">
        <f t="shared" si="24"/>
        <v>0.15938767500000001</v>
      </c>
      <c r="X129">
        <v>1</v>
      </c>
      <c r="Y129">
        <v>1769196621.9333301</v>
      </c>
      <c r="Z129">
        <v>409.76760000000002</v>
      </c>
      <c r="AA129">
        <v>409.97359999999998</v>
      </c>
      <c r="AB129">
        <v>15.3531866666667</v>
      </c>
      <c r="AC129">
        <v>14.6134466666667</v>
      </c>
      <c r="AD129">
        <v>410.59933333333299</v>
      </c>
      <c r="AE129">
        <v>15.261620000000001</v>
      </c>
      <c r="AF129">
        <v>800.00786666666704</v>
      </c>
      <c r="AG129">
        <v>100.113266666667</v>
      </c>
      <c r="AH129">
        <v>6.4515406666666705E-2</v>
      </c>
      <c r="AI129">
        <v>18.999826666666699</v>
      </c>
      <c r="AJ129">
        <v>999.9</v>
      </c>
      <c r="AK129">
        <v>999.9</v>
      </c>
      <c r="AL129">
        <v>0</v>
      </c>
      <c r="AM129">
        <v>0</v>
      </c>
      <c r="AN129">
        <v>5001.2666666666701</v>
      </c>
      <c r="AO129">
        <v>0</v>
      </c>
      <c r="AP129">
        <v>1.6937899999999999</v>
      </c>
      <c r="AQ129">
        <v>-0.20600180000000001</v>
      </c>
      <c r="AR129">
        <v>416.15686666666699</v>
      </c>
      <c r="AS129">
        <v>416.053333333333</v>
      </c>
      <c r="AT129">
        <v>0.73973353333333303</v>
      </c>
      <c r="AU129">
        <v>409.97359999999998</v>
      </c>
      <c r="AV129">
        <v>14.6134466666667</v>
      </c>
      <c r="AW129">
        <v>1.5370573333333299</v>
      </c>
      <c r="AX129">
        <v>1.46300133333333</v>
      </c>
      <c r="AY129">
        <v>13.3418666666667</v>
      </c>
      <c r="AZ129">
        <v>12.586866666666699</v>
      </c>
      <c r="BA129">
        <v>0</v>
      </c>
      <c r="BB129">
        <v>0.89083100000000004</v>
      </c>
      <c r="BC129">
        <v>0</v>
      </c>
      <c r="BD129">
        <v>0.109169</v>
      </c>
      <c r="BE129">
        <v>0</v>
      </c>
      <c r="BF129">
        <v>24</v>
      </c>
      <c r="BG129">
        <v>0</v>
      </c>
      <c r="BH129">
        <v>1769196463</v>
      </c>
      <c r="BI129" t="s">
        <v>501</v>
      </c>
      <c r="BJ129">
        <v>1769196460</v>
      </c>
      <c r="BK129">
        <v>1769196463</v>
      </c>
      <c r="BL129">
        <v>4</v>
      </c>
      <c r="BM129">
        <v>-1.0999999999999999E-2</v>
      </c>
      <c r="BN129">
        <v>0</v>
      </c>
      <c r="BO129">
        <v>-0.83199999999999996</v>
      </c>
      <c r="BP129">
        <v>9.1999999999999998E-2</v>
      </c>
      <c r="BQ129">
        <v>410</v>
      </c>
      <c r="BR129">
        <v>15</v>
      </c>
      <c r="BS129">
        <v>0.22</v>
      </c>
      <c r="BT129">
        <v>0.08</v>
      </c>
      <c r="BU129">
        <v>-0.21157529999999999</v>
      </c>
      <c r="BV129">
        <v>8.3300120300751901E-2</v>
      </c>
      <c r="BW129">
        <v>1.5892215248668101E-2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0.74519250000000004</v>
      </c>
      <c r="CD129">
        <v>-0.149268451127819</v>
      </c>
      <c r="CE129">
        <v>1.53212803593564E-2</v>
      </c>
      <c r="CF129">
        <v>0</v>
      </c>
      <c r="CG129">
        <v>1</v>
      </c>
      <c r="CH129">
        <v>2</v>
      </c>
      <c r="CI129" t="s">
        <v>297</v>
      </c>
      <c r="CJ129">
        <v>3.5325299999999999</v>
      </c>
      <c r="CK129">
        <v>2.7023700000000002</v>
      </c>
      <c r="CL129">
        <v>9.7874299999999997E-2</v>
      </c>
      <c r="CM129">
        <v>9.6562800000000004E-2</v>
      </c>
      <c r="CN129">
        <v>8.6916099999999996E-2</v>
      </c>
      <c r="CO129">
        <v>8.2932699999999998E-2</v>
      </c>
      <c r="CP129">
        <v>31623.1</v>
      </c>
      <c r="CQ129">
        <v>27806.6</v>
      </c>
      <c r="CR129">
        <v>32444.6</v>
      </c>
      <c r="CS129">
        <v>30706.6</v>
      </c>
      <c r="CT129">
        <v>40119.5</v>
      </c>
      <c r="CU129">
        <v>39602.199999999997</v>
      </c>
      <c r="CV129">
        <v>47388.1</v>
      </c>
      <c r="CW129">
        <v>46833.3</v>
      </c>
      <c r="CX129">
        <v>2.6196000000000002</v>
      </c>
      <c r="CY129">
        <v>2.1224799999999999</v>
      </c>
      <c r="CZ129">
        <v>0</v>
      </c>
      <c r="DA129">
        <v>0</v>
      </c>
      <c r="DB129">
        <v>999.9</v>
      </c>
      <c r="DC129">
        <v>999.9</v>
      </c>
      <c r="DD129">
        <v>51.959000000000003</v>
      </c>
      <c r="DE129">
        <v>27.815000000000001</v>
      </c>
      <c r="DF129">
        <v>19.4834</v>
      </c>
      <c r="DG129">
        <v>30.4298</v>
      </c>
      <c r="DH129">
        <v>16.338100000000001</v>
      </c>
      <c r="DI129">
        <v>2</v>
      </c>
      <c r="DJ129">
        <v>-0.102203</v>
      </c>
      <c r="DK129">
        <v>2.13069</v>
      </c>
      <c r="DL129">
        <v>20.235600000000002</v>
      </c>
      <c r="DM129">
        <v>5.2480799999999999</v>
      </c>
      <c r="DN129">
        <v>12.033899999999999</v>
      </c>
      <c r="DO129">
        <v>4.9669999999999996</v>
      </c>
      <c r="DP129">
        <v>3.2910200000000001</v>
      </c>
      <c r="DQ129">
        <v>536.6</v>
      </c>
      <c r="DR129">
        <v>9999</v>
      </c>
      <c r="DS129">
        <v>9999</v>
      </c>
      <c r="DT129">
        <v>9999</v>
      </c>
      <c r="DU129">
        <v>1.87114</v>
      </c>
      <c r="DV129">
        <v>1.8761699999999999</v>
      </c>
      <c r="DW129">
        <v>1.8763700000000001</v>
      </c>
      <c r="DX129">
        <v>1.8828400000000001</v>
      </c>
      <c r="DY129">
        <v>1.87561</v>
      </c>
      <c r="DZ129">
        <v>1.87469</v>
      </c>
      <c r="EA129">
        <v>1.8708800000000001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-0.83199999999999996</v>
      </c>
      <c r="EQ129">
        <v>9.1600000000000001E-2</v>
      </c>
      <c r="ER129">
        <v>-0.83190909090899401</v>
      </c>
      <c r="ES129">
        <v>0</v>
      </c>
      <c r="ET129">
        <v>0</v>
      </c>
      <c r="EU129">
        <v>0</v>
      </c>
      <c r="EV129">
        <v>9.1569999999998999E-2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2.8</v>
      </c>
      <c r="FE129">
        <v>2.8</v>
      </c>
      <c r="FF129">
        <v>1.24146</v>
      </c>
      <c r="FG129">
        <v>2.5927699999999998</v>
      </c>
      <c r="FH129">
        <v>2.19604</v>
      </c>
      <c r="FI129">
        <v>2.66357</v>
      </c>
      <c r="FJ129">
        <v>2.4462899999999999</v>
      </c>
      <c r="FK129">
        <v>2.2961399999999998</v>
      </c>
      <c r="FL129">
        <v>32.266599999999997</v>
      </c>
      <c r="FM129">
        <v>24.157499999999999</v>
      </c>
      <c r="FN129">
        <v>19</v>
      </c>
      <c r="FO129">
        <v>865.36599999999999</v>
      </c>
      <c r="FP129">
        <v>572.61900000000003</v>
      </c>
      <c r="FQ129">
        <v>18.362300000000001</v>
      </c>
      <c r="FR129">
        <v>25.692699999999999</v>
      </c>
      <c r="FS129">
        <v>30.0002</v>
      </c>
      <c r="FT129">
        <v>25.691600000000001</v>
      </c>
      <c r="FU129">
        <v>25.694099999999999</v>
      </c>
      <c r="FV129">
        <v>24.925699999999999</v>
      </c>
      <c r="FW129">
        <v>27.431999999999999</v>
      </c>
      <c r="FX129">
        <v>3.3649399999999998</v>
      </c>
      <c r="FY129">
        <v>18.363299999999999</v>
      </c>
      <c r="FZ129">
        <v>410</v>
      </c>
      <c r="GA129">
        <v>14.6736</v>
      </c>
      <c r="GB129">
        <v>99.848699999999994</v>
      </c>
      <c r="GC129">
        <v>99.694199999999995</v>
      </c>
    </row>
    <row r="130" spans="1:185" x14ac:dyDescent="0.2">
      <c r="A130">
        <v>115</v>
      </c>
      <c r="B130">
        <v>1769196645</v>
      </c>
      <c r="C130">
        <v>2084</v>
      </c>
      <c r="D130" t="s">
        <v>526</v>
      </c>
      <c r="E130" t="s">
        <v>527</v>
      </c>
      <c r="F130">
        <v>15</v>
      </c>
      <c r="G130">
        <v>1769196636.9333301</v>
      </c>
      <c r="H130">
        <f t="shared" si="13"/>
        <v>6.0454308719577971E-4</v>
      </c>
      <c r="I130">
        <v>0</v>
      </c>
      <c r="J130">
        <f t="shared" si="25"/>
        <v>-1.6428572063316568E-3</v>
      </c>
      <c r="K130">
        <f t="shared" si="14"/>
        <v>-6.1219131819220847E-2</v>
      </c>
      <c r="L130">
        <f t="shared" si="15"/>
        <v>69.800762988593902</v>
      </c>
      <c r="M130">
        <f t="shared" si="16"/>
        <v>1.5390733588226631</v>
      </c>
      <c r="N130">
        <f t="shared" si="17"/>
        <v>2.204952056289359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26195.128743560719</v>
      </c>
      <c r="T130">
        <f t="shared" si="21"/>
        <v>0</v>
      </c>
      <c r="U130">
        <f t="shared" si="22"/>
        <v>0</v>
      </c>
      <c r="V130">
        <f t="shared" si="23"/>
        <v>0.84327507000000002</v>
      </c>
      <c r="W130">
        <f t="shared" si="24"/>
        <v>0.15938767500000001</v>
      </c>
      <c r="X130">
        <v>1</v>
      </c>
      <c r="Y130">
        <v>1769196636.9333301</v>
      </c>
      <c r="Z130">
        <v>409.77473333333302</v>
      </c>
      <c r="AA130">
        <v>410.00786666666698</v>
      </c>
      <c r="AB130">
        <v>15.362959999999999</v>
      </c>
      <c r="AC130">
        <v>14.6188933333333</v>
      </c>
      <c r="AD130">
        <v>410.606533333333</v>
      </c>
      <c r="AE130">
        <v>15.271366666666699</v>
      </c>
      <c r="AF130">
        <v>800.00293333333298</v>
      </c>
      <c r="AG130">
        <v>100.116133333333</v>
      </c>
      <c r="AH130">
        <v>6.4649460000000006E-2</v>
      </c>
      <c r="AI130">
        <v>18.998339999999999</v>
      </c>
      <c r="AJ130">
        <v>999.9</v>
      </c>
      <c r="AK130">
        <v>999.9</v>
      </c>
      <c r="AL130">
        <v>0</v>
      </c>
      <c r="AM130">
        <v>0</v>
      </c>
      <c r="AN130">
        <v>4990.5</v>
      </c>
      <c r="AO130">
        <v>0</v>
      </c>
      <c r="AP130">
        <v>1.6937899999999999</v>
      </c>
      <c r="AQ130">
        <v>-0.233156266666667</v>
      </c>
      <c r="AR130">
        <v>416.16820000000001</v>
      </c>
      <c r="AS130">
        <v>416.09053333333298</v>
      </c>
      <c r="AT130">
        <v>0.74405100000000002</v>
      </c>
      <c r="AU130">
        <v>410.00786666666698</v>
      </c>
      <c r="AV130">
        <v>14.6188933333333</v>
      </c>
      <c r="AW130">
        <v>1.5380799999999999</v>
      </c>
      <c r="AX130">
        <v>1.46358866666667</v>
      </c>
      <c r="AY130">
        <v>13.3520533333333</v>
      </c>
      <c r="AZ130">
        <v>12.5929866666667</v>
      </c>
      <c r="BA130">
        <v>0</v>
      </c>
      <c r="BB130">
        <v>0.89083100000000004</v>
      </c>
      <c r="BC130">
        <v>0</v>
      </c>
      <c r="BD130">
        <v>0.109169</v>
      </c>
      <c r="BE130">
        <v>0</v>
      </c>
      <c r="BF130">
        <v>24</v>
      </c>
      <c r="BG130">
        <v>0</v>
      </c>
      <c r="BH130">
        <v>1769196463</v>
      </c>
      <c r="BI130" t="s">
        <v>501</v>
      </c>
      <c r="BJ130">
        <v>1769196460</v>
      </c>
      <c r="BK130">
        <v>1769196463</v>
      </c>
      <c r="BL130">
        <v>4</v>
      </c>
      <c r="BM130">
        <v>-1.0999999999999999E-2</v>
      </c>
      <c r="BN130">
        <v>0</v>
      </c>
      <c r="BO130">
        <v>-0.83199999999999996</v>
      </c>
      <c r="BP130">
        <v>9.1999999999999998E-2</v>
      </c>
      <c r="BQ130">
        <v>410</v>
      </c>
      <c r="BR130">
        <v>15</v>
      </c>
      <c r="BS130">
        <v>0.22</v>
      </c>
      <c r="BT130">
        <v>0.08</v>
      </c>
      <c r="BU130">
        <v>-0.22591580952380999</v>
      </c>
      <c r="BV130">
        <v>-2.3419948051948601E-2</v>
      </c>
      <c r="BW130">
        <v>2.77733670963475E-2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0.739259</v>
      </c>
      <c r="CD130">
        <v>8.4202675324674806E-2</v>
      </c>
      <c r="CE130">
        <v>8.9664851530574605E-3</v>
      </c>
      <c r="CF130">
        <v>1</v>
      </c>
      <c r="CG130">
        <v>2</v>
      </c>
      <c r="CH130">
        <v>2</v>
      </c>
      <c r="CI130" t="s">
        <v>304</v>
      </c>
      <c r="CJ130">
        <v>3.5325700000000002</v>
      </c>
      <c r="CK130">
        <v>2.70241</v>
      </c>
      <c r="CL130">
        <v>9.7877099999999995E-2</v>
      </c>
      <c r="CM130">
        <v>9.6559800000000001E-2</v>
      </c>
      <c r="CN130">
        <v>8.69529E-2</v>
      </c>
      <c r="CO130">
        <v>8.2898399999999997E-2</v>
      </c>
      <c r="CP130">
        <v>31622.799999999999</v>
      </c>
      <c r="CQ130">
        <v>27806.7</v>
      </c>
      <c r="CR130">
        <v>32444.400000000001</v>
      </c>
      <c r="CS130">
        <v>30706.6</v>
      </c>
      <c r="CT130">
        <v>40117.599999999999</v>
      </c>
      <c r="CU130">
        <v>39603.4</v>
      </c>
      <c r="CV130">
        <v>47387.8</v>
      </c>
      <c r="CW130">
        <v>46833</v>
      </c>
      <c r="CX130">
        <v>2.6197400000000002</v>
      </c>
      <c r="CY130">
        <v>2.1225399999999999</v>
      </c>
      <c r="CZ130">
        <v>0</v>
      </c>
      <c r="DA130">
        <v>0</v>
      </c>
      <c r="DB130">
        <v>999.9</v>
      </c>
      <c r="DC130">
        <v>999.9</v>
      </c>
      <c r="DD130">
        <v>51.911000000000001</v>
      </c>
      <c r="DE130">
        <v>27.835000000000001</v>
      </c>
      <c r="DF130">
        <v>19.487100000000002</v>
      </c>
      <c r="DG130">
        <v>30.219799999999999</v>
      </c>
      <c r="DH130">
        <v>16.310099999999998</v>
      </c>
      <c r="DI130">
        <v>2</v>
      </c>
      <c r="DJ130">
        <v>-0.10236199999999999</v>
      </c>
      <c r="DK130">
        <v>2.10684</v>
      </c>
      <c r="DL130">
        <v>20.235900000000001</v>
      </c>
      <c r="DM130">
        <v>5.2481999999999998</v>
      </c>
      <c r="DN130">
        <v>12.033899999999999</v>
      </c>
      <c r="DO130">
        <v>4.9672000000000001</v>
      </c>
      <c r="DP130">
        <v>3.2909999999999999</v>
      </c>
      <c r="DQ130">
        <v>536.6</v>
      </c>
      <c r="DR130">
        <v>9999</v>
      </c>
      <c r="DS130">
        <v>9999</v>
      </c>
      <c r="DT130">
        <v>9999</v>
      </c>
      <c r="DU130">
        <v>1.87113</v>
      </c>
      <c r="DV130">
        <v>1.8761699999999999</v>
      </c>
      <c r="DW130">
        <v>1.8763700000000001</v>
      </c>
      <c r="DX130">
        <v>1.8828499999999999</v>
      </c>
      <c r="DY130">
        <v>1.87561</v>
      </c>
      <c r="DZ130">
        <v>1.87469</v>
      </c>
      <c r="EA130">
        <v>1.87087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-0.83199999999999996</v>
      </c>
      <c r="EQ130">
        <v>9.1600000000000001E-2</v>
      </c>
      <c r="ER130">
        <v>-0.83190909090899401</v>
      </c>
      <c r="ES130">
        <v>0</v>
      </c>
      <c r="ET130">
        <v>0</v>
      </c>
      <c r="EU130">
        <v>0</v>
      </c>
      <c r="EV130">
        <v>9.1569999999998999E-2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3.1</v>
      </c>
      <c r="FE130">
        <v>3</v>
      </c>
      <c r="FF130">
        <v>1.24146</v>
      </c>
      <c r="FG130">
        <v>2.5927699999999998</v>
      </c>
      <c r="FH130">
        <v>2.19604</v>
      </c>
      <c r="FI130">
        <v>2.66357</v>
      </c>
      <c r="FJ130">
        <v>2.4462899999999999</v>
      </c>
      <c r="FK130">
        <v>2.3168899999999999</v>
      </c>
      <c r="FL130">
        <v>32.288699999999999</v>
      </c>
      <c r="FM130">
        <v>24.157499999999999</v>
      </c>
      <c r="FN130">
        <v>19</v>
      </c>
      <c r="FO130">
        <v>865.49599999999998</v>
      </c>
      <c r="FP130">
        <v>572.66499999999996</v>
      </c>
      <c r="FQ130">
        <v>18.366099999999999</v>
      </c>
      <c r="FR130">
        <v>25.692699999999999</v>
      </c>
      <c r="FS130">
        <v>30</v>
      </c>
      <c r="FT130">
        <v>25.691600000000001</v>
      </c>
      <c r="FU130">
        <v>25.694099999999999</v>
      </c>
      <c r="FV130">
        <v>24.9255</v>
      </c>
      <c r="FW130">
        <v>27.431999999999999</v>
      </c>
      <c r="FX130">
        <v>3.3649399999999998</v>
      </c>
      <c r="FY130">
        <v>18.366900000000001</v>
      </c>
      <c r="FZ130">
        <v>410</v>
      </c>
      <c r="GA130">
        <v>14.672800000000001</v>
      </c>
      <c r="GB130">
        <v>99.847999999999999</v>
      </c>
      <c r="GC130">
        <v>99.693700000000007</v>
      </c>
    </row>
    <row r="131" spans="1:185" x14ac:dyDescent="0.2">
      <c r="A131">
        <v>116</v>
      </c>
      <c r="B131">
        <v>1769196660</v>
      </c>
      <c r="C131">
        <v>2099</v>
      </c>
      <c r="D131" t="s">
        <v>528</v>
      </c>
      <c r="E131" t="s">
        <v>529</v>
      </c>
      <c r="F131">
        <v>15</v>
      </c>
      <c r="G131">
        <v>1769196651.9333301</v>
      </c>
      <c r="H131">
        <f t="shared" si="13"/>
        <v>6.1259507196104158E-4</v>
      </c>
      <c r="I131">
        <v>0</v>
      </c>
      <c r="J131">
        <f t="shared" si="25"/>
        <v>-2.0203000611776264E-3</v>
      </c>
      <c r="K131">
        <f t="shared" si="14"/>
        <v>-7.5284093640603705E-2</v>
      </c>
      <c r="L131">
        <f t="shared" si="15"/>
        <v>69.816244089146622</v>
      </c>
      <c r="M131">
        <f t="shared" si="16"/>
        <v>1.5396676991627951</v>
      </c>
      <c r="N131">
        <f t="shared" si="17"/>
        <v>2.2053144210920768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26282.660239150835</v>
      </c>
      <c r="T131">
        <f t="shared" si="21"/>
        <v>0</v>
      </c>
      <c r="U131">
        <f t="shared" si="22"/>
        <v>0</v>
      </c>
      <c r="V131">
        <f t="shared" si="23"/>
        <v>0.84327507000000002</v>
      </c>
      <c r="W131">
        <f t="shared" si="24"/>
        <v>0.15938767500000001</v>
      </c>
      <c r="X131">
        <v>1</v>
      </c>
      <c r="Y131">
        <v>1769196651.9333301</v>
      </c>
      <c r="Z131">
        <v>409.76406666666702</v>
      </c>
      <c r="AA131">
        <v>409.98373333333302</v>
      </c>
      <c r="AB131">
        <v>15.36872</v>
      </c>
      <c r="AC131">
        <v>14.614753333333301</v>
      </c>
      <c r="AD131">
        <v>410.59586666666701</v>
      </c>
      <c r="AE131">
        <v>15.277139999999999</v>
      </c>
      <c r="AF131">
        <v>800.00919999999996</v>
      </c>
      <c r="AG131">
        <v>100.117466666667</v>
      </c>
      <c r="AH131">
        <v>6.4441726666666699E-2</v>
      </c>
      <c r="AI131">
        <v>19.000973333333299</v>
      </c>
      <c r="AJ131">
        <v>999.9</v>
      </c>
      <c r="AK131">
        <v>999.9</v>
      </c>
      <c r="AL131">
        <v>0</v>
      </c>
      <c r="AM131">
        <v>0</v>
      </c>
      <c r="AN131">
        <v>5004.8999999999996</v>
      </c>
      <c r="AO131">
        <v>0</v>
      </c>
      <c r="AP131">
        <v>1.6937899999999999</v>
      </c>
      <c r="AQ131">
        <v>-0.21964513333333299</v>
      </c>
      <c r="AR131">
        <v>416.15980000000002</v>
      </c>
      <c r="AS131">
        <v>416.06433333333302</v>
      </c>
      <c r="AT131">
        <v>0.75396406666666704</v>
      </c>
      <c r="AU131">
        <v>409.98373333333302</v>
      </c>
      <c r="AV131">
        <v>14.614753333333301</v>
      </c>
      <c r="AW131">
        <v>1.538678</v>
      </c>
      <c r="AX131">
        <v>1.4631926666666699</v>
      </c>
      <c r="AY131">
        <v>13.35802</v>
      </c>
      <c r="AZ131">
        <v>12.5888733333333</v>
      </c>
      <c r="BA131">
        <v>0</v>
      </c>
      <c r="BB131">
        <v>0.89083100000000004</v>
      </c>
      <c r="BC131">
        <v>0</v>
      </c>
      <c r="BD131">
        <v>0.109169</v>
      </c>
      <c r="BE131">
        <v>0</v>
      </c>
      <c r="BF131">
        <v>24</v>
      </c>
      <c r="BG131">
        <v>0</v>
      </c>
      <c r="BH131">
        <v>1769196463</v>
      </c>
      <c r="BI131" t="s">
        <v>501</v>
      </c>
      <c r="BJ131">
        <v>1769196460</v>
      </c>
      <c r="BK131">
        <v>1769196463</v>
      </c>
      <c r="BL131">
        <v>4</v>
      </c>
      <c r="BM131">
        <v>-1.0999999999999999E-2</v>
      </c>
      <c r="BN131">
        <v>0</v>
      </c>
      <c r="BO131">
        <v>-0.83199999999999996</v>
      </c>
      <c r="BP131">
        <v>9.1999999999999998E-2</v>
      </c>
      <c r="BQ131">
        <v>410</v>
      </c>
      <c r="BR131">
        <v>15</v>
      </c>
      <c r="BS131">
        <v>0.22</v>
      </c>
      <c r="BT131">
        <v>0.08</v>
      </c>
      <c r="BU131">
        <v>-0.2159866</v>
      </c>
      <c r="BV131">
        <v>5.7653323308270603E-2</v>
      </c>
      <c r="BW131">
        <v>2.8022231674868399E-2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0.75251045000000005</v>
      </c>
      <c r="CD131">
        <v>3.2348165413533199E-2</v>
      </c>
      <c r="CE131">
        <v>3.23644188075424E-3</v>
      </c>
      <c r="CF131">
        <v>1</v>
      </c>
      <c r="CG131">
        <v>2</v>
      </c>
      <c r="CH131">
        <v>2</v>
      </c>
      <c r="CI131" t="s">
        <v>304</v>
      </c>
      <c r="CJ131">
        <v>3.5325899999999999</v>
      </c>
      <c r="CK131">
        <v>2.7021099999999998</v>
      </c>
      <c r="CL131">
        <v>9.7874000000000003E-2</v>
      </c>
      <c r="CM131">
        <v>9.6559099999999995E-2</v>
      </c>
      <c r="CN131">
        <v>8.6962499999999998E-2</v>
      </c>
      <c r="CO131">
        <v>8.2876199999999997E-2</v>
      </c>
      <c r="CP131">
        <v>31623.3</v>
      </c>
      <c r="CQ131">
        <v>27806.6</v>
      </c>
      <c r="CR131">
        <v>32444.799999999999</v>
      </c>
      <c r="CS131">
        <v>30706.5</v>
      </c>
      <c r="CT131">
        <v>40117.9</v>
      </c>
      <c r="CU131">
        <v>39604.400000000001</v>
      </c>
      <c r="CV131">
        <v>47388.6</v>
      </c>
      <c r="CW131">
        <v>46832.9</v>
      </c>
      <c r="CX131">
        <v>2.61972</v>
      </c>
      <c r="CY131">
        <v>2.12262</v>
      </c>
      <c r="CZ131">
        <v>0</v>
      </c>
      <c r="DA131">
        <v>0</v>
      </c>
      <c r="DB131">
        <v>999.9</v>
      </c>
      <c r="DC131">
        <v>999.9</v>
      </c>
      <c r="DD131">
        <v>51.862000000000002</v>
      </c>
      <c r="DE131">
        <v>27.835000000000001</v>
      </c>
      <c r="DF131">
        <v>19.470600000000001</v>
      </c>
      <c r="DG131">
        <v>30.399799999999999</v>
      </c>
      <c r="DH131">
        <v>16.3261</v>
      </c>
      <c r="DI131">
        <v>2</v>
      </c>
      <c r="DJ131">
        <v>-0.102173</v>
      </c>
      <c r="DK131">
        <v>2.1384500000000002</v>
      </c>
      <c r="DL131">
        <v>20.235499999999998</v>
      </c>
      <c r="DM131">
        <v>5.2483199999999997</v>
      </c>
      <c r="DN131">
        <v>12.033899999999999</v>
      </c>
      <c r="DO131">
        <v>4.9669600000000003</v>
      </c>
      <c r="DP131">
        <v>3.2909999999999999</v>
      </c>
      <c r="DQ131">
        <v>536.6</v>
      </c>
      <c r="DR131">
        <v>9999</v>
      </c>
      <c r="DS131">
        <v>9999</v>
      </c>
      <c r="DT131">
        <v>9999</v>
      </c>
      <c r="DU131">
        <v>1.8711199999999999</v>
      </c>
      <c r="DV131">
        <v>1.87616</v>
      </c>
      <c r="DW131">
        <v>1.87636</v>
      </c>
      <c r="DX131">
        <v>1.8828199999999999</v>
      </c>
      <c r="DY131">
        <v>1.87561</v>
      </c>
      <c r="DZ131">
        <v>1.87469</v>
      </c>
      <c r="EA131">
        <v>1.87083</v>
      </c>
      <c r="EB131">
        <v>1.8746799999999999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-0.83199999999999996</v>
      </c>
      <c r="EQ131">
        <v>9.1600000000000001E-2</v>
      </c>
      <c r="ER131">
        <v>-0.83190909090899401</v>
      </c>
      <c r="ES131">
        <v>0</v>
      </c>
      <c r="ET131">
        <v>0</v>
      </c>
      <c r="EU131">
        <v>0</v>
      </c>
      <c r="EV131">
        <v>9.1569999999998999E-2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3.3</v>
      </c>
      <c r="FE131">
        <v>3.3</v>
      </c>
      <c r="FF131">
        <v>1.24146</v>
      </c>
      <c r="FG131">
        <v>2.5915499999999998</v>
      </c>
      <c r="FH131">
        <v>2.19604</v>
      </c>
      <c r="FI131">
        <v>2.66235</v>
      </c>
      <c r="FJ131">
        <v>2.4462899999999999</v>
      </c>
      <c r="FK131">
        <v>2.2912599999999999</v>
      </c>
      <c r="FL131">
        <v>32.288699999999999</v>
      </c>
      <c r="FM131">
        <v>24.157499999999999</v>
      </c>
      <c r="FN131">
        <v>19</v>
      </c>
      <c r="FO131">
        <v>865.51199999999994</v>
      </c>
      <c r="FP131">
        <v>572.76800000000003</v>
      </c>
      <c r="FQ131">
        <v>18.365500000000001</v>
      </c>
      <c r="FR131">
        <v>25.692699999999999</v>
      </c>
      <c r="FS131">
        <v>30.000299999999999</v>
      </c>
      <c r="FT131">
        <v>25.6937</v>
      </c>
      <c r="FU131">
        <v>25.697900000000001</v>
      </c>
      <c r="FV131">
        <v>24.927299999999999</v>
      </c>
      <c r="FW131">
        <v>27.150700000000001</v>
      </c>
      <c r="FX131">
        <v>2.9919600000000002</v>
      </c>
      <c r="FY131">
        <v>18.3628</v>
      </c>
      <c r="FZ131">
        <v>410</v>
      </c>
      <c r="GA131">
        <v>14.6753</v>
      </c>
      <c r="GB131">
        <v>99.849599999999995</v>
      </c>
      <c r="GC131">
        <v>99.6935</v>
      </c>
    </row>
    <row r="132" spans="1:185" x14ac:dyDescent="0.2">
      <c r="A132">
        <v>117</v>
      </c>
      <c r="B132">
        <v>1769196675</v>
      </c>
      <c r="C132">
        <v>2114</v>
      </c>
      <c r="D132" t="s">
        <v>530</v>
      </c>
      <c r="E132" t="s">
        <v>531</v>
      </c>
      <c r="F132">
        <v>15</v>
      </c>
      <c r="G132">
        <v>1769196666.9333301</v>
      </c>
      <c r="H132">
        <f t="shared" si="13"/>
        <v>5.8717054109075784E-4</v>
      </c>
      <c r="I132">
        <v>0</v>
      </c>
      <c r="J132">
        <f t="shared" si="25"/>
        <v>-1.4816136387159286E-3</v>
      </c>
      <c r="K132">
        <f t="shared" si="14"/>
        <v>-5.5210580873451105E-2</v>
      </c>
      <c r="L132">
        <f t="shared" si="15"/>
        <v>69.83561479033277</v>
      </c>
      <c r="M132">
        <f t="shared" si="16"/>
        <v>1.5403774570361661</v>
      </c>
      <c r="N132">
        <f t="shared" si="17"/>
        <v>2.205719047023265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26209.225490715908</v>
      </c>
      <c r="T132">
        <f t="shared" si="21"/>
        <v>0</v>
      </c>
      <c r="U132">
        <f t="shared" si="22"/>
        <v>0</v>
      </c>
      <c r="V132">
        <f t="shared" si="23"/>
        <v>0.84327507000000002</v>
      </c>
      <c r="W132">
        <f t="shared" si="24"/>
        <v>0.15938767500000001</v>
      </c>
      <c r="X132">
        <v>1</v>
      </c>
      <c r="Y132">
        <v>1769196666.9333301</v>
      </c>
      <c r="Z132">
        <v>409.75606666666698</v>
      </c>
      <c r="AA132">
        <v>409.98779999999999</v>
      </c>
      <c r="AB132">
        <v>15.3759</v>
      </c>
      <c r="AC132">
        <v>14.653219999999999</v>
      </c>
      <c r="AD132">
        <v>410.58806666666698</v>
      </c>
      <c r="AE132">
        <v>15.2843133333333</v>
      </c>
      <c r="AF132">
        <v>799.99760000000003</v>
      </c>
      <c r="AG132">
        <v>100.117</v>
      </c>
      <c r="AH132">
        <v>6.4287406666666699E-2</v>
      </c>
      <c r="AI132">
        <v>19.003913333333301</v>
      </c>
      <c r="AJ132">
        <v>999.9</v>
      </c>
      <c r="AK132">
        <v>999.9</v>
      </c>
      <c r="AL132">
        <v>0</v>
      </c>
      <c r="AM132">
        <v>0</v>
      </c>
      <c r="AN132">
        <v>4992.8666666666704</v>
      </c>
      <c r="AO132">
        <v>0</v>
      </c>
      <c r="AP132">
        <v>1.6937899999999999</v>
      </c>
      <c r="AQ132">
        <v>-0.23179520000000001</v>
      </c>
      <c r="AR132">
        <v>416.15473333333301</v>
      </c>
      <c r="AS132">
        <v>416.08479999999997</v>
      </c>
      <c r="AT132">
        <v>0.72267413333333297</v>
      </c>
      <c r="AU132">
        <v>409.98779999999999</v>
      </c>
      <c r="AV132">
        <v>14.653219999999999</v>
      </c>
      <c r="AW132">
        <v>1.53938666666667</v>
      </c>
      <c r="AX132">
        <v>1.467036</v>
      </c>
      <c r="AY132">
        <v>13.3650866666667</v>
      </c>
      <c r="AZ132">
        <v>12.628826666666701</v>
      </c>
      <c r="BA132">
        <v>0</v>
      </c>
      <c r="BB132">
        <v>0.89083100000000004</v>
      </c>
      <c r="BC132">
        <v>0</v>
      </c>
      <c r="BD132">
        <v>0.109169</v>
      </c>
      <c r="BE132">
        <v>0</v>
      </c>
      <c r="BF132">
        <v>24</v>
      </c>
      <c r="BG132">
        <v>0</v>
      </c>
      <c r="BH132">
        <v>1769196463</v>
      </c>
      <c r="BI132" t="s">
        <v>501</v>
      </c>
      <c r="BJ132">
        <v>1769196460</v>
      </c>
      <c r="BK132">
        <v>1769196463</v>
      </c>
      <c r="BL132">
        <v>4</v>
      </c>
      <c r="BM132">
        <v>-1.0999999999999999E-2</v>
      </c>
      <c r="BN132">
        <v>0</v>
      </c>
      <c r="BO132">
        <v>-0.83199999999999996</v>
      </c>
      <c r="BP132">
        <v>9.1999999999999998E-2</v>
      </c>
      <c r="BQ132">
        <v>410</v>
      </c>
      <c r="BR132">
        <v>15</v>
      </c>
      <c r="BS132">
        <v>0.22</v>
      </c>
      <c r="BT132">
        <v>0.08</v>
      </c>
      <c r="BU132">
        <v>-0.22044825000000001</v>
      </c>
      <c r="BV132">
        <v>-9.9071052631578893E-2</v>
      </c>
      <c r="BW132">
        <v>2.65190502881891E-2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0.73292330000000006</v>
      </c>
      <c r="CD132">
        <v>-0.209853203007517</v>
      </c>
      <c r="CE132">
        <v>2.2556189787062898E-2</v>
      </c>
      <c r="CF132">
        <v>0</v>
      </c>
      <c r="CG132">
        <v>1</v>
      </c>
      <c r="CH132">
        <v>2</v>
      </c>
      <c r="CI132" t="s">
        <v>297</v>
      </c>
      <c r="CJ132">
        <v>3.5325500000000001</v>
      </c>
      <c r="CK132">
        <v>2.7021299999999999</v>
      </c>
      <c r="CL132">
        <v>9.7874000000000003E-2</v>
      </c>
      <c r="CM132">
        <v>9.6557000000000004E-2</v>
      </c>
      <c r="CN132">
        <v>8.70697E-2</v>
      </c>
      <c r="CO132">
        <v>8.3140099999999995E-2</v>
      </c>
      <c r="CP132">
        <v>31622.6</v>
      </c>
      <c r="CQ132">
        <v>27806.400000000001</v>
      </c>
      <c r="CR132">
        <v>32444.1</v>
      </c>
      <c r="CS132">
        <v>30706.2</v>
      </c>
      <c r="CT132">
        <v>40112.300000000003</v>
      </c>
      <c r="CU132">
        <v>39592.300000000003</v>
      </c>
      <c r="CV132">
        <v>47387.7</v>
      </c>
      <c r="CW132">
        <v>46832.6</v>
      </c>
      <c r="CX132">
        <v>2.61964</v>
      </c>
      <c r="CY132">
        <v>2.12242</v>
      </c>
      <c r="CZ132">
        <v>0</v>
      </c>
      <c r="DA132">
        <v>0</v>
      </c>
      <c r="DB132">
        <v>999.9</v>
      </c>
      <c r="DC132">
        <v>999.9</v>
      </c>
      <c r="DD132">
        <v>51.837000000000003</v>
      </c>
      <c r="DE132">
        <v>27.844999999999999</v>
      </c>
      <c r="DF132">
        <v>19.471299999999999</v>
      </c>
      <c r="DG132">
        <v>30.459800000000001</v>
      </c>
      <c r="DH132">
        <v>16.386199999999999</v>
      </c>
      <c r="DI132">
        <v>2</v>
      </c>
      <c r="DJ132">
        <v>-0.101565</v>
      </c>
      <c r="DK132">
        <v>2.1749200000000002</v>
      </c>
      <c r="DL132">
        <v>20.2349</v>
      </c>
      <c r="DM132">
        <v>5.2486800000000002</v>
      </c>
      <c r="DN132">
        <v>12.033899999999999</v>
      </c>
      <c r="DO132">
        <v>4.9670800000000002</v>
      </c>
      <c r="DP132">
        <v>3.2910200000000001</v>
      </c>
      <c r="DQ132">
        <v>536.6</v>
      </c>
      <c r="DR132">
        <v>9999</v>
      </c>
      <c r="DS132">
        <v>9999</v>
      </c>
      <c r="DT132">
        <v>9999</v>
      </c>
      <c r="DU132">
        <v>1.8711599999999999</v>
      </c>
      <c r="DV132">
        <v>1.8762000000000001</v>
      </c>
      <c r="DW132">
        <v>1.8763700000000001</v>
      </c>
      <c r="DX132">
        <v>1.8828800000000001</v>
      </c>
      <c r="DY132">
        <v>1.8756299999999999</v>
      </c>
      <c r="DZ132">
        <v>1.87469</v>
      </c>
      <c r="EA132">
        <v>1.87087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-0.83199999999999996</v>
      </c>
      <c r="EQ132">
        <v>9.1600000000000001E-2</v>
      </c>
      <c r="ER132">
        <v>-0.83190909090899401</v>
      </c>
      <c r="ES132">
        <v>0</v>
      </c>
      <c r="ET132">
        <v>0</v>
      </c>
      <c r="EU132">
        <v>0</v>
      </c>
      <c r="EV132">
        <v>9.1569999999998999E-2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3.6</v>
      </c>
      <c r="FE132">
        <v>3.5</v>
      </c>
      <c r="FF132">
        <v>1.24146</v>
      </c>
      <c r="FG132">
        <v>2.5903299999999998</v>
      </c>
      <c r="FH132">
        <v>2.19604</v>
      </c>
      <c r="FI132">
        <v>2.66235</v>
      </c>
      <c r="FJ132">
        <v>2.4462899999999999</v>
      </c>
      <c r="FK132">
        <v>2.2985799999999998</v>
      </c>
      <c r="FL132">
        <v>32.310699999999997</v>
      </c>
      <c r="FM132">
        <v>24.148800000000001</v>
      </c>
      <c r="FN132">
        <v>19</v>
      </c>
      <c r="FO132">
        <v>865.49300000000005</v>
      </c>
      <c r="FP132">
        <v>572.64400000000001</v>
      </c>
      <c r="FQ132">
        <v>18.3566</v>
      </c>
      <c r="FR132">
        <v>25.694900000000001</v>
      </c>
      <c r="FS132">
        <v>30.0002</v>
      </c>
      <c r="FT132">
        <v>25.697199999999999</v>
      </c>
      <c r="FU132">
        <v>25.700600000000001</v>
      </c>
      <c r="FV132">
        <v>24.929099999999998</v>
      </c>
      <c r="FW132">
        <v>27.150700000000001</v>
      </c>
      <c r="FX132">
        <v>2.9919600000000002</v>
      </c>
      <c r="FY132">
        <v>18.351400000000002</v>
      </c>
      <c r="FZ132">
        <v>410</v>
      </c>
      <c r="GA132">
        <v>14.672800000000001</v>
      </c>
      <c r="GB132">
        <v>99.847700000000003</v>
      </c>
      <c r="GC132">
        <v>99.692700000000002</v>
      </c>
    </row>
    <row r="133" spans="1:185" x14ac:dyDescent="0.2">
      <c r="A133">
        <v>118</v>
      </c>
      <c r="B133">
        <v>1769196690</v>
      </c>
      <c r="C133">
        <v>2129</v>
      </c>
      <c r="D133" t="s">
        <v>532</v>
      </c>
      <c r="E133" t="s">
        <v>533</v>
      </c>
      <c r="F133">
        <v>15</v>
      </c>
      <c r="G133">
        <v>1769196681.9333301</v>
      </c>
      <c r="H133">
        <f t="shared" si="13"/>
        <v>5.8894652445795007E-4</v>
      </c>
      <c r="I133">
        <v>0</v>
      </c>
      <c r="J133">
        <f t="shared" si="25"/>
        <v>-1.442555432816042E-3</v>
      </c>
      <c r="K133">
        <f t="shared" si="14"/>
        <v>-5.3755123000184965E-2</v>
      </c>
      <c r="L133">
        <f t="shared" si="15"/>
        <v>69.941483314548663</v>
      </c>
      <c r="M133">
        <f t="shared" si="16"/>
        <v>1.5426522931331692</v>
      </c>
      <c r="N133">
        <f t="shared" si="17"/>
        <v>2.2056327947684222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26283.30397324196</v>
      </c>
      <c r="T133">
        <f t="shared" si="21"/>
        <v>0</v>
      </c>
      <c r="U133">
        <f t="shared" si="22"/>
        <v>0</v>
      </c>
      <c r="V133">
        <f t="shared" si="23"/>
        <v>0.84327507000000002</v>
      </c>
      <c r="W133">
        <f t="shared" si="24"/>
        <v>0.15938767500000001</v>
      </c>
      <c r="X133">
        <v>1</v>
      </c>
      <c r="Y133">
        <v>1769196681.9333301</v>
      </c>
      <c r="Z133">
        <v>409.76606666666697</v>
      </c>
      <c r="AA133">
        <v>410.00053333333301</v>
      </c>
      <c r="AB133">
        <v>15.39838</v>
      </c>
      <c r="AC133">
        <v>14.673539999999999</v>
      </c>
      <c r="AD133">
        <v>410.597933333333</v>
      </c>
      <c r="AE133">
        <v>15.306813333333301</v>
      </c>
      <c r="AF133">
        <v>800.00786666666704</v>
      </c>
      <c r="AG133">
        <v>100.11839999999999</v>
      </c>
      <c r="AH133">
        <v>6.4365533333333294E-2</v>
      </c>
      <c r="AI133">
        <v>19.0032866666667</v>
      </c>
      <c r="AJ133">
        <v>999.9</v>
      </c>
      <c r="AK133">
        <v>999.9</v>
      </c>
      <c r="AL133">
        <v>0</v>
      </c>
      <c r="AM133">
        <v>0</v>
      </c>
      <c r="AN133">
        <v>5005</v>
      </c>
      <c r="AO133">
        <v>0</v>
      </c>
      <c r="AP133">
        <v>1.6937899999999999</v>
      </c>
      <c r="AQ133">
        <v>-0.234448133333333</v>
      </c>
      <c r="AR133">
        <v>416.174466666667</v>
      </c>
      <c r="AS133">
        <v>416.1062</v>
      </c>
      <c r="AT133">
        <v>0.72485846666666698</v>
      </c>
      <c r="AU133">
        <v>410.00053333333301</v>
      </c>
      <c r="AV133">
        <v>14.673539999999999</v>
      </c>
      <c r="AW133">
        <v>1.5416620000000001</v>
      </c>
      <c r="AX133">
        <v>1.4690906666666701</v>
      </c>
      <c r="AY133">
        <v>13.3877333333333</v>
      </c>
      <c r="AZ133">
        <v>12.6502</v>
      </c>
      <c r="BA133">
        <v>0</v>
      </c>
      <c r="BB133">
        <v>0.89083100000000004</v>
      </c>
      <c r="BC133">
        <v>0</v>
      </c>
      <c r="BD133">
        <v>0.109169</v>
      </c>
      <c r="BE133">
        <v>0</v>
      </c>
      <c r="BF133">
        <v>24</v>
      </c>
      <c r="BG133">
        <v>0</v>
      </c>
      <c r="BH133">
        <v>1769196463</v>
      </c>
      <c r="BI133" t="s">
        <v>501</v>
      </c>
      <c r="BJ133">
        <v>1769196460</v>
      </c>
      <c r="BK133">
        <v>1769196463</v>
      </c>
      <c r="BL133">
        <v>4</v>
      </c>
      <c r="BM133">
        <v>-1.0999999999999999E-2</v>
      </c>
      <c r="BN133">
        <v>0</v>
      </c>
      <c r="BO133">
        <v>-0.83199999999999996</v>
      </c>
      <c r="BP133">
        <v>9.1999999999999998E-2</v>
      </c>
      <c r="BQ133">
        <v>410</v>
      </c>
      <c r="BR133">
        <v>15</v>
      </c>
      <c r="BS133">
        <v>0.22</v>
      </c>
      <c r="BT133">
        <v>0.08</v>
      </c>
      <c r="BU133">
        <v>-0.23138719999999999</v>
      </c>
      <c r="BV133">
        <v>1.7343428571428302E-2</v>
      </c>
      <c r="BW133">
        <v>2.1460698610716301E-2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0.72161699999999995</v>
      </c>
      <c r="CD133">
        <v>5.93266466165411E-2</v>
      </c>
      <c r="CE133">
        <v>6.4503749735964899E-3</v>
      </c>
      <c r="CF133">
        <v>1</v>
      </c>
      <c r="CG133">
        <v>2</v>
      </c>
      <c r="CH133">
        <v>2</v>
      </c>
      <c r="CI133" t="s">
        <v>304</v>
      </c>
      <c r="CJ133">
        <v>3.5325099999999998</v>
      </c>
      <c r="CK133">
        <v>2.7021799999999998</v>
      </c>
      <c r="CL133">
        <v>9.7874299999999997E-2</v>
      </c>
      <c r="CM133">
        <v>9.6564399999999995E-2</v>
      </c>
      <c r="CN133">
        <v>8.7096199999999999E-2</v>
      </c>
      <c r="CO133">
        <v>8.3134E-2</v>
      </c>
      <c r="CP133">
        <v>31622.5</v>
      </c>
      <c r="CQ133">
        <v>27805.9</v>
      </c>
      <c r="CR133">
        <v>32443.9</v>
      </c>
      <c r="CS133">
        <v>30705.9</v>
      </c>
      <c r="CT133">
        <v>40111.1</v>
      </c>
      <c r="CU133">
        <v>39592.300000000003</v>
      </c>
      <c r="CV133">
        <v>47387.7</v>
      </c>
      <c r="CW133">
        <v>46832.2</v>
      </c>
      <c r="CX133">
        <v>2.6195599999999999</v>
      </c>
      <c r="CY133">
        <v>2.1225399999999999</v>
      </c>
      <c r="CZ133">
        <v>0</v>
      </c>
      <c r="DA133">
        <v>0</v>
      </c>
      <c r="DB133">
        <v>999.9</v>
      </c>
      <c r="DC133">
        <v>999.9</v>
      </c>
      <c r="DD133">
        <v>51.789000000000001</v>
      </c>
      <c r="DE133">
        <v>27.844999999999999</v>
      </c>
      <c r="DF133">
        <v>19.4543</v>
      </c>
      <c r="DG133">
        <v>30.4298</v>
      </c>
      <c r="DH133">
        <v>16.4543</v>
      </c>
      <c r="DI133">
        <v>2</v>
      </c>
      <c r="DJ133">
        <v>-0.10138999999999999</v>
      </c>
      <c r="DK133">
        <v>2.1844999999999999</v>
      </c>
      <c r="DL133">
        <v>20.2348</v>
      </c>
      <c r="DM133">
        <v>5.2491599999999998</v>
      </c>
      <c r="DN133">
        <v>12.033899999999999</v>
      </c>
      <c r="DO133">
        <v>4.9669600000000003</v>
      </c>
      <c r="DP133">
        <v>3.2909999999999999</v>
      </c>
      <c r="DQ133">
        <v>536.6</v>
      </c>
      <c r="DR133">
        <v>9999</v>
      </c>
      <c r="DS133">
        <v>9999</v>
      </c>
      <c r="DT133">
        <v>9999</v>
      </c>
      <c r="DU133">
        <v>1.87117</v>
      </c>
      <c r="DV133">
        <v>1.8761399999999999</v>
      </c>
      <c r="DW133">
        <v>1.8763700000000001</v>
      </c>
      <c r="DX133">
        <v>1.88286</v>
      </c>
      <c r="DY133">
        <v>1.87561</v>
      </c>
      <c r="DZ133">
        <v>1.87469</v>
      </c>
      <c r="EA133">
        <v>1.8708800000000001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-0.83199999999999996</v>
      </c>
      <c r="EQ133">
        <v>9.1600000000000001E-2</v>
      </c>
      <c r="ER133">
        <v>-0.83190909090899401</v>
      </c>
      <c r="ES133">
        <v>0</v>
      </c>
      <c r="ET133">
        <v>0</v>
      </c>
      <c r="EU133">
        <v>0</v>
      </c>
      <c r="EV133">
        <v>9.1569999999998999E-2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3.8</v>
      </c>
      <c r="FE133">
        <v>3.8</v>
      </c>
      <c r="FF133">
        <v>1.24146</v>
      </c>
      <c r="FG133">
        <v>2.5915499999999998</v>
      </c>
      <c r="FH133">
        <v>2.19604</v>
      </c>
      <c r="FI133">
        <v>2.66357</v>
      </c>
      <c r="FJ133">
        <v>2.4462899999999999</v>
      </c>
      <c r="FK133">
        <v>2.3071299999999999</v>
      </c>
      <c r="FL133">
        <v>32.310699999999997</v>
      </c>
      <c r="FM133">
        <v>24.148800000000001</v>
      </c>
      <c r="FN133">
        <v>19</v>
      </c>
      <c r="FO133">
        <v>865.44600000000003</v>
      </c>
      <c r="FP133">
        <v>572.76</v>
      </c>
      <c r="FQ133">
        <v>18.343</v>
      </c>
      <c r="FR133">
        <v>25.697099999999999</v>
      </c>
      <c r="FS133">
        <v>30.0002</v>
      </c>
      <c r="FT133">
        <v>25.698899999999998</v>
      </c>
      <c r="FU133">
        <v>25.7027</v>
      </c>
      <c r="FV133">
        <v>24.927600000000002</v>
      </c>
      <c r="FW133">
        <v>27.150700000000001</v>
      </c>
      <c r="FX133">
        <v>2.6181100000000002</v>
      </c>
      <c r="FY133">
        <v>18.341200000000001</v>
      </c>
      <c r="FZ133">
        <v>410</v>
      </c>
      <c r="GA133">
        <v>14.672800000000001</v>
      </c>
      <c r="GB133">
        <v>99.847499999999997</v>
      </c>
      <c r="GC133">
        <v>99.691699999999997</v>
      </c>
    </row>
    <row r="134" spans="1:185" x14ac:dyDescent="0.2">
      <c r="A134">
        <v>119</v>
      </c>
      <c r="B134">
        <v>1769196705</v>
      </c>
      <c r="C134">
        <v>2144</v>
      </c>
      <c r="D134" t="s">
        <v>534</v>
      </c>
      <c r="E134" t="s">
        <v>535</v>
      </c>
      <c r="F134">
        <v>15</v>
      </c>
      <c r="G134">
        <v>1769196696.9333301</v>
      </c>
      <c r="H134">
        <f t="shared" si="13"/>
        <v>5.9272108704642621E-4</v>
      </c>
      <c r="I134">
        <v>0</v>
      </c>
      <c r="J134">
        <f t="shared" si="25"/>
        <v>-1.5770854390129299E-3</v>
      </c>
      <c r="K134">
        <f t="shared" si="14"/>
        <v>-5.8768224657021993E-2</v>
      </c>
      <c r="L134">
        <f t="shared" si="15"/>
        <v>69.967480098494761</v>
      </c>
      <c r="M134">
        <f t="shared" si="16"/>
        <v>1.542981745672777</v>
      </c>
      <c r="N134">
        <f t="shared" si="17"/>
        <v>2.2052841455783283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26264.915791596202</v>
      </c>
      <c r="T134">
        <f t="shared" si="21"/>
        <v>0</v>
      </c>
      <c r="U134">
        <f t="shared" si="22"/>
        <v>0</v>
      </c>
      <c r="V134">
        <f t="shared" si="23"/>
        <v>0.84327507000000002</v>
      </c>
      <c r="W134">
        <f t="shared" si="24"/>
        <v>0.15938767500000001</v>
      </c>
      <c r="X134">
        <v>1</v>
      </c>
      <c r="Y134">
        <v>1769196696.9333301</v>
      </c>
      <c r="Z134">
        <v>409.76413333333301</v>
      </c>
      <c r="AA134">
        <v>409.99426666666699</v>
      </c>
      <c r="AB134">
        <v>15.4014066666667</v>
      </c>
      <c r="AC134">
        <v>14.67192</v>
      </c>
      <c r="AD134">
        <v>410.59593333333299</v>
      </c>
      <c r="AE134">
        <v>15.30986</v>
      </c>
      <c r="AF134">
        <v>800.00413333333302</v>
      </c>
      <c r="AG134">
        <v>100.11993333333299</v>
      </c>
      <c r="AH134">
        <v>6.4535466666666694E-2</v>
      </c>
      <c r="AI134">
        <v>19.0007533333333</v>
      </c>
      <c r="AJ134">
        <v>999.9</v>
      </c>
      <c r="AK134">
        <v>999.9</v>
      </c>
      <c r="AL134">
        <v>0</v>
      </c>
      <c r="AM134">
        <v>0</v>
      </c>
      <c r="AN134">
        <v>5001.8666666666704</v>
      </c>
      <c r="AO134">
        <v>0</v>
      </c>
      <c r="AP134">
        <v>1.6937899999999999</v>
      </c>
      <c r="AQ134">
        <v>-0.23025093333333299</v>
      </c>
      <c r="AR134">
        <v>416.17360000000002</v>
      </c>
      <c r="AS134">
        <v>416.099066666667</v>
      </c>
      <c r="AT134">
        <v>0.72950613333333303</v>
      </c>
      <c r="AU134">
        <v>409.99426666666699</v>
      </c>
      <c r="AV134">
        <v>14.67192</v>
      </c>
      <c r="AW134">
        <v>1.5419879999999999</v>
      </c>
      <c r="AX134">
        <v>1.4689506666666701</v>
      </c>
      <c r="AY134">
        <v>13.390973333333299</v>
      </c>
      <c r="AZ134">
        <v>12.6487533333333</v>
      </c>
      <c r="BA134">
        <v>0</v>
      </c>
      <c r="BB134">
        <v>0.89083100000000004</v>
      </c>
      <c r="BC134">
        <v>0</v>
      </c>
      <c r="BD134">
        <v>0.109169</v>
      </c>
      <c r="BE134">
        <v>0</v>
      </c>
      <c r="BF134">
        <v>24</v>
      </c>
      <c r="BG134">
        <v>0</v>
      </c>
      <c r="BH134">
        <v>1769196463</v>
      </c>
      <c r="BI134" t="s">
        <v>501</v>
      </c>
      <c r="BJ134">
        <v>1769196460</v>
      </c>
      <c r="BK134">
        <v>1769196463</v>
      </c>
      <c r="BL134">
        <v>4</v>
      </c>
      <c r="BM134">
        <v>-1.0999999999999999E-2</v>
      </c>
      <c r="BN134">
        <v>0</v>
      </c>
      <c r="BO134">
        <v>-0.83199999999999996</v>
      </c>
      <c r="BP134">
        <v>9.1999999999999998E-2</v>
      </c>
      <c r="BQ134">
        <v>410</v>
      </c>
      <c r="BR134">
        <v>15</v>
      </c>
      <c r="BS134">
        <v>0.22</v>
      </c>
      <c r="BT134">
        <v>0.08</v>
      </c>
      <c r="BU134">
        <v>-0.22807957142857099</v>
      </c>
      <c r="BV134">
        <v>3.1946103896103702E-2</v>
      </c>
      <c r="BW134">
        <v>2.09332907534556E-2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0.72885342857142899</v>
      </c>
      <c r="CD134">
        <v>2.1162701298701601E-2</v>
      </c>
      <c r="CE134">
        <v>2.5411247148313101E-3</v>
      </c>
      <c r="CF134">
        <v>1</v>
      </c>
      <c r="CG134">
        <v>2</v>
      </c>
      <c r="CH134">
        <v>2</v>
      </c>
      <c r="CI134" t="s">
        <v>304</v>
      </c>
      <c r="CJ134">
        <v>3.5324900000000001</v>
      </c>
      <c r="CK134">
        <v>2.7021999999999999</v>
      </c>
      <c r="CL134">
        <v>9.7879499999999994E-2</v>
      </c>
      <c r="CM134">
        <v>9.6557900000000002E-2</v>
      </c>
      <c r="CN134">
        <v>8.7127099999999999E-2</v>
      </c>
      <c r="CO134">
        <v>8.3128199999999999E-2</v>
      </c>
      <c r="CP134">
        <v>31621.9</v>
      </c>
      <c r="CQ134">
        <v>27805.599999999999</v>
      </c>
      <c r="CR134">
        <v>32443.5</v>
      </c>
      <c r="CS134">
        <v>30705.4</v>
      </c>
      <c r="CT134">
        <v>40109.1</v>
      </c>
      <c r="CU134">
        <v>39592</v>
      </c>
      <c r="CV134">
        <v>47387.1</v>
      </c>
      <c r="CW134">
        <v>46831.6</v>
      </c>
      <c r="CX134">
        <v>2.6195599999999999</v>
      </c>
      <c r="CY134">
        <v>2.12256</v>
      </c>
      <c r="CZ134">
        <v>0</v>
      </c>
      <c r="DA134">
        <v>0</v>
      </c>
      <c r="DB134">
        <v>999.9</v>
      </c>
      <c r="DC134">
        <v>999.9</v>
      </c>
      <c r="DD134">
        <v>51.776000000000003</v>
      </c>
      <c r="DE134">
        <v>27.855</v>
      </c>
      <c r="DF134">
        <v>19.459299999999999</v>
      </c>
      <c r="DG134">
        <v>30.2498</v>
      </c>
      <c r="DH134">
        <v>16.410299999999999</v>
      </c>
      <c r="DI134">
        <v>2</v>
      </c>
      <c r="DJ134">
        <v>-0.101297</v>
      </c>
      <c r="DK134">
        <v>2.17327</v>
      </c>
      <c r="DL134">
        <v>20.235199999999999</v>
      </c>
      <c r="DM134">
        <v>5.2485600000000003</v>
      </c>
      <c r="DN134">
        <v>12.033899999999999</v>
      </c>
      <c r="DO134">
        <v>4.9667599999999998</v>
      </c>
      <c r="DP134">
        <v>3.2909999999999999</v>
      </c>
      <c r="DQ134">
        <v>536.6</v>
      </c>
      <c r="DR134">
        <v>9999</v>
      </c>
      <c r="DS134">
        <v>9999</v>
      </c>
      <c r="DT134">
        <v>9999</v>
      </c>
      <c r="DU134">
        <v>1.8711500000000001</v>
      </c>
      <c r="DV134">
        <v>1.87615</v>
      </c>
      <c r="DW134">
        <v>1.87636</v>
      </c>
      <c r="DX134">
        <v>1.8828100000000001</v>
      </c>
      <c r="DY134">
        <v>1.87561</v>
      </c>
      <c r="DZ134">
        <v>1.87469</v>
      </c>
      <c r="EA134">
        <v>1.87086</v>
      </c>
      <c r="EB134">
        <v>1.8746799999999999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-0.83199999999999996</v>
      </c>
      <c r="EQ134">
        <v>9.1600000000000001E-2</v>
      </c>
      <c r="ER134">
        <v>-0.83190909090899401</v>
      </c>
      <c r="ES134">
        <v>0</v>
      </c>
      <c r="ET134">
        <v>0</v>
      </c>
      <c r="EU134">
        <v>0</v>
      </c>
      <c r="EV134">
        <v>9.1569999999998999E-2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4.0999999999999996</v>
      </c>
      <c r="FE134">
        <v>4</v>
      </c>
      <c r="FF134">
        <v>1.24146</v>
      </c>
      <c r="FG134">
        <v>2.6000999999999999</v>
      </c>
      <c r="FH134">
        <v>2.19604</v>
      </c>
      <c r="FI134">
        <v>2.66235</v>
      </c>
      <c r="FJ134">
        <v>2.4462899999999999</v>
      </c>
      <c r="FK134">
        <v>2.2460900000000001</v>
      </c>
      <c r="FL134">
        <v>32.310699999999997</v>
      </c>
      <c r="FM134">
        <v>24.148800000000001</v>
      </c>
      <c r="FN134">
        <v>19</v>
      </c>
      <c r="FO134">
        <v>865.46600000000001</v>
      </c>
      <c r="FP134">
        <v>572.78800000000001</v>
      </c>
      <c r="FQ134">
        <v>18.338799999999999</v>
      </c>
      <c r="FR134">
        <v>25.6997</v>
      </c>
      <c r="FS134">
        <v>30.0001</v>
      </c>
      <c r="FT134">
        <v>25.700199999999999</v>
      </c>
      <c r="FU134">
        <v>25.704000000000001</v>
      </c>
      <c r="FV134">
        <v>24.930399999999999</v>
      </c>
      <c r="FW134">
        <v>27.150700000000001</v>
      </c>
      <c r="FX134">
        <v>2.6181100000000002</v>
      </c>
      <c r="FY134">
        <v>18.3385</v>
      </c>
      <c r="FZ134">
        <v>410</v>
      </c>
      <c r="GA134">
        <v>14.672800000000001</v>
      </c>
      <c r="GB134">
        <v>99.846199999999996</v>
      </c>
      <c r="GC134">
        <v>99.690399999999997</v>
      </c>
    </row>
    <row r="135" spans="1:185" x14ac:dyDescent="0.2">
      <c r="A135">
        <v>120</v>
      </c>
      <c r="B135">
        <v>1769196720</v>
      </c>
      <c r="C135">
        <v>2159</v>
      </c>
      <c r="D135" t="s">
        <v>536</v>
      </c>
      <c r="E135" t="s">
        <v>537</v>
      </c>
      <c r="F135">
        <v>15</v>
      </c>
      <c r="G135">
        <v>1769196711.9333301</v>
      </c>
      <c r="H135">
        <f t="shared" si="13"/>
        <v>5.9937952405369739E-4</v>
      </c>
      <c r="I135">
        <v>0</v>
      </c>
      <c r="J135">
        <f t="shared" si="25"/>
        <v>-1.5570800810367541E-3</v>
      </c>
      <c r="K135">
        <f t="shared" si="14"/>
        <v>-5.8022748639803876E-2</v>
      </c>
      <c r="L135">
        <f t="shared" si="15"/>
        <v>70.000925872222169</v>
      </c>
      <c r="M135">
        <f t="shared" si="16"/>
        <v>1.5435902400378165</v>
      </c>
      <c r="N135">
        <f t="shared" si="17"/>
        <v>2.2050997480453978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26277.291059675688</v>
      </c>
      <c r="T135">
        <f t="shared" si="21"/>
        <v>0</v>
      </c>
      <c r="U135">
        <f t="shared" si="22"/>
        <v>0</v>
      </c>
      <c r="V135">
        <f t="shared" si="23"/>
        <v>0.84327507000000002</v>
      </c>
      <c r="W135">
        <f t="shared" si="24"/>
        <v>0.15938767500000001</v>
      </c>
      <c r="X135">
        <v>1</v>
      </c>
      <c r="Y135">
        <v>1769196711.9333301</v>
      </c>
      <c r="Z135">
        <v>409.75366666666702</v>
      </c>
      <c r="AA135">
        <v>409.988133333333</v>
      </c>
      <c r="AB135">
        <v>15.407526666666699</v>
      </c>
      <c r="AC135">
        <v>14.6698533333333</v>
      </c>
      <c r="AD135">
        <v>410.5856</v>
      </c>
      <c r="AE135">
        <v>15.315946666666701</v>
      </c>
      <c r="AF135">
        <v>800.00800000000004</v>
      </c>
      <c r="AG135">
        <v>100.11960000000001</v>
      </c>
      <c r="AH135">
        <v>6.4568E-2</v>
      </c>
      <c r="AI135">
        <v>18.999413333333301</v>
      </c>
      <c r="AJ135">
        <v>999.9</v>
      </c>
      <c r="AK135">
        <v>999.9</v>
      </c>
      <c r="AL135">
        <v>0</v>
      </c>
      <c r="AM135">
        <v>0</v>
      </c>
      <c r="AN135">
        <v>5003.8999999999996</v>
      </c>
      <c r="AO135">
        <v>0</v>
      </c>
      <c r="AP135">
        <v>1.6937899999999999</v>
      </c>
      <c r="AQ135">
        <v>-0.23461706666666701</v>
      </c>
      <c r="AR135">
        <v>416.16573333333298</v>
      </c>
      <c r="AS135">
        <v>416.092266666667</v>
      </c>
      <c r="AT135">
        <v>0.73767573333333303</v>
      </c>
      <c r="AU135">
        <v>409.988133333333</v>
      </c>
      <c r="AV135">
        <v>14.6698533333333</v>
      </c>
      <c r="AW135">
        <v>1.5425966666666699</v>
      </c>
      <c r="AX135">
        <v>1.4687413333333299</v>
      </c>
      <c r="AY135">
        <v>13.397026666666701</v>
      </c>
      <c r="AZ135">
        <v>12.646573333333301</v>
      </c>
      <c r="BA135">
        <v>0</v>
      </c>
      <c r="BB135">
        <v>0.89083100000000004</v>
      </c>
      <c r="BC135">
        <v>0</v>
      </c>
      <c r="BD135">
        <v>0.109169</v>
      </c>
      <c r="BE135">
        <v>0</v>
      </c>
      <c r="BF135">
        <v>24</v>
      </c>
      <c r="BG135">
        <v>0</v>
      </c>
      <c r="BH135">
        <v>1769196463</v>
      </c>
      <c r="BI135" t="s">
        <v>501</v>
      </c>
      <c r="BJ135">
        <v>1769196460</v>
      </c>
      <c r="BK135">
        <v>1769196463</v>
      </c>
      <c r="BL135">
        <v>4</v>
      </c>
      <c r="BM135">
        <v>-1.0999999999999999E-2</v>
      </c>
      <c r="BN135">
        <v>0</v>
      </c>
      <c r="BO135">
        <v>-0.83199999999999996</v>
      </c>
      <c r="BP135">
        <v>9.1999999999999998E-2</v>
      </c>
      <c r="BQ135">
        <v>410</v>
      </c>
      <c r="BR135">
        <v>15</v>
      </c>
      <c r="BS135">
        <v>0.22</v>
      </c>
      <c r="BT135">
        <v>0.08</v>
      </c>
      <c r="BU135">
        <v>-0.2287323</v>
      </c>
      <c r="BV135">
        <v>-0.13068162406014999</v>
      </c>
      <c r="BW135">
        <v>2.0888914215679101E-2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0.73650035000000003</v>
      </c>
      <c r="CD135">
        <v>2.8219714285715201E-2</v>
      </c>
      <c r="CE135">
        <v>2.8089291424847301E-3</v>
      </c>
      <c r="CF135">
        <v>1</v>
      </c>
      <c r="CG135">
        <v>2</v>
      </c>
      <c r="CH135">
        <v>2</v>
      </c>
      <c r="CI135" t="s">
        <v>304</v>
      </c>
      <c r="CJ135">
        <v>3.5325799999999998</v>
      </c>
      <c r="CK135">
        <v>2.7023999999999999</v>
      </c>
      <c r="CL135">
        <v>9.7871799999999995E-2</v>
      </c>
      <c r="CM135">
        <v>9.6559099999999995E-2</v>
      </c>
      <c r="CN135">
        <v>8.7138199999999999E-2</v>
      </c>
      <c r="CO135">
        <v>8.3113800000000002E-2</v>
      </c>
      <c r="CP135">
        <v>31622.9</v>
      </c>
      <c r="CQ135">
        <v>27805.599999999999</v>
      </c>
      <c r="CR135">
        <v>32444.3</v>
      </c>
      <c r="CS135">
        <v>30705.4</v>
      </c>
      <c r="CT135">
        <v>40109.5</v>
      </c>
      <c r="CU135">
        <v>39592.5</v>
      </c>
      <c r="CV135">
        <v>47388.1</v>
      </c>
      <c r="CW135">
        <v>46831.3</v>
      </c>
      <c r="CX135">
        <v>2.61944</v>
      </c>
      <c r="CY135">
        <v>2.1225399999999999</v>
      </c>
      <c r="CZ135">
        <v>0</v>
      </c>
      <c r="DA135">
        <v>0</v>
      </c>
      <c r="DB135">
        <v>999.9</v>
      </c>
      <c r="DC135">
        <v>999.9</v>
      </c>
      <c r="DD135">
        <v>51.74</v>
      </c>
      <c r="DE135">
        <v>27.855</v>
      </c>
      <c r="DF135">
        <v>19.445799999999998</v>
      </c>
      <c r="DG135">
        <v>30.009799999999998</v>
      </c>
      <c r="DH135">
        <v>16.362200000000001</v>
      </c>
      <c r="DI135">
        <v>2</v>
      </c>
      <c r="DJ135">
        <v>-0.100994</v>
      </c>
      <c r="DK135">
        <v>2.1489699999999998</v>
      </c>
      <c r="DL135">
        <v>20.235600000000002</v>
      </c>
      <c r="DM135">
        <v>5.2496400000000003</v>
      </c>
      <c r="DN135">
        <v>12.033899999999999</v>
      </c>
      <c r="DO135">
        <v>4.96692</v>
      </c>
      <c r="DP135">
        <v>3.2909999999999999</v>
      </c>
      <c r="DQ135">
        <v>536.6</v>
      </c>
      <c r="DR135">
        <v>9999</v>
      </c>
      <c r="DS135">
        <v>9999</v>
      </c>
      <c r="DT135">
        <v>9999</v>
      </c>
      <c r="DU135">
        <v>1.87114</v>
      </c>
      <c r="DV135">
        <v>1.87612</v>
      </c>
      <c r="DW135">
        <v>1.8763700000000001</v>
      </c>
      <c r="DX135">
        <v>1.8828199999999999</v>
      </c>
      <c r="DY135">
        <v>1.87561</v>
      </c>
      <c r="DZ135">
        <v>1.87469</v>
      </c>
      <c r="EA135">
        <v>1.87086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-0.83199999999999996</v>
      </c>
      <c r="EQ135">
        <v>9.1600000000000001E-2</v>
      </c>
      <c r="ER135">
        <v>-0.83190909090899401</v>
      </c>
      <c r="ES135">
        <v>0</v>
      </c>
      <c r="ET135">
        <v>0</v>
      </c>
      <c r="EU135">
        <v>0</v>
      </c>
      <c r="EV135">
        <v>9.1569999999998999E-2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4.3</v>
      </c>
      <c r="FE135">
        <v>4.3</v>
      </c>
      <c r="FF135">
        <v>1.24268</v>
      </c>
      <c r="FG135">
        <v>2.5939899999999998</v>
      </c>
      <c r="FH135">
        <v>2.19604</v>
      </c>
      <c r="FI135">
        <v>2.66235</v>
      </c>
      <c r="FJ135">
        <v>2.4462899999999999</v>
      </c>
      <c r="FK135">
        <v>2.2888199999999999</v>
      </c>
      <c r="FL135">
        <v>32.310699999999997</v>
      </c>
      <c r="FM135">
        <v>24.148800000000001</v>
      </c>
      <c r="FN135">
        <v>19</v>
      </c>
      <c r="FO135">
        <v>865.39599999999996</v>
      </c>
      <c r="FP135">
        <v>572.80600000000004</v>
      </c>
      <c r="FQ135">
        <v>18.353200000000001</v>
      </c>
      <c r="FR135">
        <v>25.7028</v>
      </c>
      <c r="FS135">
        <v>30.0002</v>
      </c>
      <c r="FT135">
        <v>25.7028</v>
      </c>
      <c r="FU135">
        <v>25.707000000000001</v>
      </c>
      <c r="FV135">
        <v>24.930499999999999</v>
      </c>
      <c r="FW135">
        <v>27.150700000000001</v>
      </c>
      <c r="FX135">
        <v>2.2422</v>
      </c>
      <c r="FY135">
        <v>18.352599999999999</v>
      </c>
      <c r="FZ135">
        <v>410</v>
      </c>
      <c r="GA135">
        <v>14.672800000000001</v>
      </c>
      <c r="GB135">
        <v>99.848399999999998</v>
      </c>
      <c r="GC135">
        <v>99.69</v>
      </c>
    </row>
    <row r="136" spans="1:185" x14ac:dyDescent="0.2">
      <c r="A136">
        <v>121</v>
      </c>
      <c r="B136">
        <v>1769196735</v>
      </c>
      <c r="C136">
        <v>2174</v>
      </c>
      <c r="D136" t="s">
        <v>538</v>
      </c>
      <c r="E136" t="s">
        <v>539</v>
      </c>
      <c r="F136">
        <v>15</v>
      </c>
      <c r="G136">
        <v>1769196726.9333301</v>
      </c>
      <c r="H136">
        <f t="shared" si="13"/>
        <v>6.0025832490107262E-4</v>
      </c>
      <c r="I136">
        <v>0</v>
      </c>
      <c r="J136">
        <f t="shared" si="25"/>
        <v>-1.6141769579124921E-3</v>
      </c>
      <c r="K136">
        <f t="shared" si="14"/>
        <v>-6.0150396263985752E-2</v>
      </c>
      <c r="L136">
        <f t="shared" si="15"/>
        <v>69.99734777829083</v>
      </c>
      <c r="M136">
        <f t="shared" si="16"/>
        <v>1.5436738065394942</v>
      </c>
      <c r="N136">
        <f t="shared" si="17"/>
        <v>2.2053318526137833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26257.830190649918</v>
      </c>
      <c r="T136">
        <f t="shared" si="21"/>
        <v>0</v>
      </c>
      <c r="U136">
        <f t="shared" si="22"/>
        <v>0</v>
      </c>
      <c r="V136">
        <f t="shared" si="23"/>
        <v>0.84327507000000002</v>
      </c>
      <c r="W136">
        <f t="shared" si="24"/>
        <v>0.15938767500000001</v>
      </c>
      <c r="X136">
        <v>1</v>
      </c>
      <c r="Y136">
        <v>1769196726.9333301</v>
      </c>
      <c r="Z136">
        <v>409.7638</v>
      </c>
      <c r="AA136">
        <v>409.99606666666699</v>
      </c>
      <c r="AB136">
        <v>15.408440000000001</v>
      </c>
      <c r="AC136">
        <v>14.66968</v>
      </c>
      <c r="AD136">
        <v>410.59553333333298</v>
      </c>
      <c r="AE136">
        <v>15.3168666666667</v>
      </c>
      <c r="AF136">
        <v>800.00173333333305</v>
      </c>
      <c r="AG136">
        <v>100.119266666667</v>
      </c>
      <c r="AH136">
        <v>6.4386353333333396E-2</v>
      </c>
      <c r="AI136">
        <v>19.001100000000001</v>
      </c>
      <c r="AJ136">
        <v>999.9</v>
      </c>
      <c r="AK136">
        <v>999.9</v>
      </c>
      <c r="AL136">
        <v>0</v>
      </c>
      <c r="AM136">
        <v>0</v>
      </c>
      <c r="AN136">
        <v>5000.7333333333299</v>
      </c>
      <c r="AO136">
        <v>0</v>
      </c>
      <c r="AP136">
        <v>1.6937899999999999</v>
      </c>
      <c r="AQ136">
        <v>-0.23235066666666701</v>
      </c>
      <c r="AR136">
        <v>416.176266666667</v>
      </c>
      <c r="AS136">
        <v>416.10026666666698</v>
      </c>
      <c r="AT136">
        <v>0.73876466666666696</v>
      </c>
      <c r="AU136">
        <v>409.99606666666699</v>
      </c>
      <c r="AV136">
        <v>14.66968</v>
      </c>
      <c r="AW136">
        <v>1.5426820000000001</v>
      </c>
      <c r="AX136">
        <v>1.4687186666666701</v>
      </c>
      <c r="AY136">
        <v>13.3978933333333</v>
      </c>
      <c r="AZ136">
        <v>12.6463466666667</v>
      </c>
      <c r="BA136">
        <v>0</v>
      </c>
      <c r="BB136">
        <v>0.89083100000000004</v>
      </c>
      <c r="BC136">
        <v>0</v>
      </c>
      <c r="BD136">
        <v>0.109169</v>
      </c>
      <c r="BE136">
        <v>0</v>
      </c>
      <c r="BF136">
        <v>24</v>
      </c>
      <c r="BG136">
        <v>0</v>
      </c>
      <c r="BH136">
        <v>1769196463</v>
      </c>
      <c r="BI136" t="s">
        <v>501</v>
      </c>
      <c r="BJ136">
        <v>1769196460</v>
      </c>
      <c r="BK136">
        <v>1769196463</v>
      </c>
      <c r="BL136">
        <v>4</v>
      </c>
      <c r="BM136">
        <v>-1.0999999999999999E-2</v>
      </c>
      <c r="BN136">
        <v>0</v>
      </c>
      <c r="BO136">
        <v>-0.83199999999999996</v>
      </c>
      <c r="BP136">
        <v>9.1999999999999998E-2</v>
      </c>
      <c r="BQ136">
        <v>410</v>
      </c>
      <c r="BR136">
        <v>15</v>
      </c>
      <c r="BS136">
        <v>0.22</v>
      </c>
      <c r="BT136">
        <v>0.08</v>
      </c>
      <c r="BU136">
        <v>-0.23539080952381</v>
      </c>
      <c r="BV136">
        <v>6.12805714285714E-2</v>
      </c>
      <c r="BW136">
        <v>1.37898580938831E-2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0.73906152380952395</v>
      </c>
      <c r="CD136">
        <v>-6.9253246753239704E-3</v>
      </c>
      <c r="CE136">
        <v>1.15676740136541E-3</v>
      </c>
      <c r="CF136">
        <v>1</v>
      </c>
      <c r="CG136">
        <v>2</v>
      </c>
      <c r="CH136">
        <v>2</v>
      </c>
      <c r="CI136" t="s">
        <v>304</v>
      </c>
      <c r="CJ136">
        <v>3.5325299999999999</v>
      </c>
      <c r="CK136">
        <v>2.7021700000000002</v>
      </c>
      <c r="CL136">
        <v>9.7872000000000001E-2</v>
      </c>
      <c r="CM136">
        <v>9.6562999999999996E-2</v>
      </c>
      <c r="CN136">
        <v>8.7129999999999999E-2</v>
      </c>
      <c r="CO136">
        <v>8.3115800000000004E-2</v>
      </c>
      <c r="CP136">
        <v>31621.7</v>
      </c>
      <c r="CQ136">
        <v>27805.599999999999</v>
      </c>
      <c r="CR136">
        <v>32443.1</v>
      </c>
      <c r="CS136">
        <v>30705.5</v>
      </c>
      <c r="CT136">
        <v>40108.400000000001</v>
      </c>
      <c r="CU136">
        <v>39592.699999999997</v>
      </c>
      <c r="CV136">
        <v>47386.400000000001</v>
      </c>
      <c r="CW136">
        <v>46831.7</v>
      </c>
      <c r="CX136">
        <v>2.61944</v>
      </c>
      <c r="CY136">
        <v>2.1222799999999999</v>
      </c>
      <c r="CZ136">
        <v>0</v>
      </c>
      <c r="DA136">
        <v>0</v>
      </c>
      <c r="DB136">
        <v>999.9</v>
      </c>
      <c r="DC136">
        <v>999.9</v>
      </c>
      <c r="DD136">
        <v>51.697000000000003</v>
      </c>
      <c r="DE136">
        <v>27.855</v>
      </c>
      <c r="DF136">
        <v>19.4313</v>
      </c>
      <c r="DG136">
        <v>30.459800000000001</v>
      </c>
      <c r="DH136">
        <v>16.3141</v>
      </c>
      <c r="DI136">
        <v>2</v>
      </c>
      <c r="DJ136">
        <v>-0.100732</v>
      </c>
      <c r="DK136">
        <v>2.16621</v>
      </c>
      <c r="DL136">
        <v>20.235399999999998</v>
      </c>
      <c r="DM136">
        <v>5.2496400000000003</v>
      </c>
      <c r="DN136">
        <v>12.033899999999999</v>
      </c>
      <c r="DO136">
        <v>4.9667199999999996</v>
      </c>
      <c r="DP136">
        <v>3.2909999999999999</v>
      </c>
      <c r="DQ136">
        <v>536.6</v>
      </c>
      <c r="DR136">
        <v>9999</v>
      </c>
      <c r="DS136">
        <v>9999</v>
      </c>
      <c r="DT136">
        <v>9999</v>
      </c>
      <c r="DU136">
        <v>1.8711199999999999</v>
      </c>
      <c r="DV136">
        <v>1.87612</v>
      </c>
      <c r="DW136">
        <v>1.8763700000000001</v>
      </c>
      <c r="DX136">
        <v>1.8828100000000001</v>
      </c>
      <c r="DY136">
        <v>1.87561</v>
      </c>
      <c r="DZ136">
        <v>1.87469</v>
      </c>
      <c r="EA136">
        <v>1.87087</v>
      </c>
      <c r="EB136">
        <v>1.8746799999999999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-0.83199999999999996</v>
      </c>
      <c r="EQ136">
        <v>9.1499999999999998E-2</v>
      </c>
      <c r="ER136">
        <v>-0.83190909090899401</v>
      </c>
      <c r="ES136">
        <v>0</v>
      </c>
      <c r="ET136">
        <v>0</v>
      </c>
      <c r="EU136">
        <v>0</v>
      </c>
      <c r="EV136">
        <v>9.1569999999998999E-2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4.5999999999999996</v>
      </c>
      <c r="FE136">
        <v>4.5</v>
      </c>
      <c r="FF136">
        <v>1.24268</v>
      </c>
      <c r="FG136">
        <v>2.5976599999999999</v>
      </c>
      <c r="FH136">
        <v>2.19604</v>
      </c>
      <c r="FI136">
        <v>2.66357</v>
      </c>
      <c r="FJ136">
        <v>2.4462899999999999</v>
      </c>
      <c r="FK136">
        <v>2.2875999999999999</v>
      </c>
      <c r="FL136">
        <v>32.310699999999997</v>
      </c>
      <c r="FM136">
        <v>24.148800000000001</v>
      </c>
      <c r="FN136">
        <v>19</v>
      </c>
      <c r="FO136">
        <v>865.43100000000004</v>
      </c>
      <c r="FP136">
        <v>572.63199999999995</v>
      </c>
      <c r="FQ136">
        <v>18.352499999999999</v>
      </c>
      <c r="FR136">
        <v>25.7057</v>
      </c>
      <c r="FS136">
        <v>30.000299999999999</v>
      </c>
      <c r="FT136">
        <v>25.704999999999998</v>
      </c>
      <c r="FU136">
        <v>25.709199999999999</v>
      </c>
      <c r="FV136">
        <v>24.9298</v>
      </c>
      <c r="FW136">
        <v>27.150700000000001</v>
      </c>
      <c r="FX136">
        <v>2.2422</v>
      </c>
      <c r="FY136">
        <v>18.3504</v>
      </c>
      <c r="FZ136">
        <v>410</v>
      </c>
      <c r="GA136">
        <v>14.672800000000001</v>
      </c>
      <c r="GB136">
        <v>99.844800000000006</v>
      </c>
      <c r="GC136">
        <v>99.690700000000007</v>
      </c>
    </row>
    <row r="137" spans="1:185" x14ac:dyDescent="0.2">
      <c r="A137">
        <v>122</v>
      </c>
      <c r="B137">
        <v>1769196750</v>
      </c>
      <c r="C137">
        <v>2189</v>
      </c>
      <c r="D137" t="s">
        <v>540</v>
      </c>
      <c r="E137" t="s">
        <v>541</v>
      </c>
      <c r="F137">
        <v>15</v>
      </c>
      <c r="G137">
        <v>1769196741.9333301</v>
      </c>
      <c r="H137">
        <f t="shared" si="13"/>
        <v>6.0083013000329221E-4</v>
      </c>
      <c r="I137">
        <v>0</v>
      </c>
      <c r="J137">
        <f t="shared" si="25"/>
        <v>-1.8482883053660018E-3</v>
      </c>
      <c r="K137">
        <f t="shared" si="14"/>
        <v>-6.887427889048256E-2</v>
      </c>
      <c r="L137">
        <f t="shared" si="15"/>
        <v>69.989398563511784</v>
      </c>
      <c r="M137">
        <f t="shared" si="16"/>
        <v>1.5436282127739147</v>
      </c>
      <c r="N137">
        <f t="shared" si="17"/>
        <v>2.205517184682122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26203.438972316406</v>
      </c>
      <c r="T137">
        <f t="shared" si="21"/>
        <v>0</v>
      </c>
      <c r="U137">
        <f t="shared" si="22"/>
        <v>0</v>
      </c>
      <c r="V137">
        <f t="shared" si="23"/>
        <v>0.84327507000000002</v>
      </c>
      <c r="W137">
        <f t="shared" si="24"/>
        <v>0.15938767500000001</v>
      </c>
      <c r="X137">
        <v>1</v>
      </c>
      <c r="Y137">
        <v>1769196741.9333301</v>
      </c>
      <c r="Z137">
        <v>409.78133333333301</v>
      </c>
      <c r="AA137">
        <v>410.00299999999999</v>
      </c>
      <c r="AB137">
        <v>15.408006666666701</v>
      </c>
      <c r="AC137">
        <v>14.6685466666667</v>
      </c>
      <c r="AD137">
        <v>410.613333333333</v>
      </c>
      <c r="AE137">
        <v>15.31644</v>
      </c>
      <c r="AF137">
        <v>800.00613333333297</v>
      </c>
      <c r="AG137">
        <v>100.119133333333</v>
      </c>
      <c r="AH137">
        <v>6.4378146666666594E-2</v>
      </c>
      <c r="AI137">
        <v>19.0024466666667</v>
      </c>
      <c r="AJ137">
        <v>999.9</v>
      </c>
      <c r="AK137">
        <v>999.9</v>
      </c>
      <c r="AL137">
        <v>0</v>
      </c>
      <c r="AM137">
        <v>0</v>
      </c>
      <c r="AN137">
        <v>4991.8</v>
      </c>
      <c r="AO137">
        <v>0</v>
      </c>
      <c r="AP137">
        <v>1.6937899999999999</v>
      </c>
      <c r="AQ137">
        <v>-0.22159019999999999</v>
      </c>
      <c r="AR137">
        <v>416.19400000000002</v>
      </c>
      <c r="AS137">
        <v>416.10666666666702</v>
      </c>
      <c r="AT137">
        <v>0.73945733333333297</v>
      </c>
      <c r="AU137">
        <v>410.00299999999999</v>
      </c>
      <c r="AV137">
        <v>14.6685466666667</v>
      </c>
      <c r="AW137">
        <v>1.5426359999999999</v>
      </c>
      <c r="AX137">
        <v>1.4686013333333301</v>
      </c>
      <c r="AY137">
        <v>13.39744</v>
      </c>
      <c r="AZ137">
        <v>12.6451333333333</v>
      </c>
      <c r="BA137">
        <v>0</v>
      </c>
      <c r="BB137">
        <v>0.89083100000000004</v>
      </c>
      <c r="BC137">
        <v>0</v>
      </c>
      <c r="BD137">
        <v>0.109169</v>
      </c>
      <c r="BE137">
        <v>0</v>
      </c>
      <c r="BF137">
        <v>24</v>
      </c>
      <c r="BG137">
        <v>0</v>
      </c>
      <c r="BH137">
        <v>1769196463</v>
      </c>
      <c r="BI137" t="s">
        <v>501</v>
      </c>
      <c r="BJ137">
        <v>1769196460</v>
      </c>
      <c r="BK137">
        <v>1769196463</v>
      </c>
      <c r="BL137">
        <v>4</v>
      </c>
      <c r="BM137">
        <v>-1.0999999999999999E-2</v>
      </c>
      <c r="BN137">
        <v>0</v>
      </c>
      <c r="BO137">
        <v>-0.83199999999999996</v>
      </c>
      <c r="BP137">
        <v>9.1999999999999998E-2</v>
      </c>
      <c r="BQ137">
        <v>410</v>
      </c>
      <c r="BR137">
        <v>15</v>
      </c>
      <c r="BS137">
        <v>0.22</v>
      </c>
      <c r="BT137">
        <v>0.08</v>
      </c>
      <c r="BU137">
        <v>-0.22416839999999999</v>
      </c>
      <c r="BV137">
        <v>0.114347097744361</v>
      </c>
      <c r="BW137">
        <v>2.2740578054218401E-2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0.73913930000000005</v>
      </c>
      <c r="CD137">
        <v>9.6739849624055702E-3</v>
      </c>
      <c r="CE137">
        <v>1.23086486260676E-3</v>
      </c>
      <c r="CF137">
        <v>1</v>
      </c>
      <c r="CG137">
        <v>2</v>
      </c>
      <c r="CH137">
        <v>2</v>
      </c>
      <c r="CI137" t="s">
        <v>304</v>
      </c>
      <c r="CJ137">
        <v>3.5325600000000001</v>
      </c>
      <c r="CK137">
        <v>2.7021999999999999</v>
      </c>
      <c r="CL137">
        <v>9.7875799999999999E-2</v>
      </c>
      <c r="CM137">
        <v>9.6560800000000002E-2</v>
      </c>
      <c r="CN137">
        <v>8.7128800000000006E-2</v>
      </c>
      <c r="CO137">
        <v>8.3114400000000005E-2</v>
      </c>
      <c r="CP137">
        <v>31621.5</v>
      </c>
      <c r="CQ137">
        <v>27806</v>
      </c>
      <c r="CR137">
        <v>32443.1</v>
      </c>
      <c r="CS137">
        <v>30705.9</v>
      </c>
      <c r="CT137">
        <v>40108.400000000001</v>
      </c>
      <c r="CU137">
        <v>39593.199999999997</v>
      </c>
      <c r="CV137">
        <v>47386.3</v>
      </c>
      <c r="CW137">
        <v>46832.2</v>
      </c>
      <c r="CX137">
        <v>2.61958</v>
      </c>
      <c r="CY137">
        <v>2.1223000000000001</v>
      </c>
      <c r="CZ137">
        <v>0</v>
      </c>
      <c r="DA137">
        <v>0</v>
      </c>
      <c r="DB137">
        <v>999.9</v>
      </c>
      <c r="DC137">
        <v>999.9</v>
      </c>
      <c r="DD137">
        <v>51.673000000000002</v>
      </c>
      <c r="DE137">
        <v>27.855</v>
      </c>
      <c r="DF137">
        <v>19.420999999999999</v>
      </c>
      <c r="DG137">
        <v>30.3398</v>
      </c>
      <c r="DH137">
        <v>16.242000000000001</v>
      </c>
      <c r="DI137">
        <v>2</v>
      </c>
      <c r="DJ137">
        <v>-0.10038999999999999</v>
      </c>
      <c r="DK137">
        <v>2.1890700000000001</v>
      </c>
      <c r="DL137">
        <v>20.234999999999999</v>
      </c>
      <c r="DM137">
        <v>5.2492799999999997</v>
      </c>
      <c r="DN137">
        <v>12.033899999999999</v>
      </c>
      <c r="DO137">
        <v>4.9666800000000002</v>
      </c>
      <c r="DP137">
        <v>3.2909999999999999</v>
      </c>
      <c r="DQ137">
        <v>536.6</v>
      </c>
      <c r="DR137">
        <v>9999</v>
      </c>
      <c r="DS137">
        <v>9999</v>
      </c>
      <c r="DT137">
        <v>9999</v>
      </c>
      <c r="DU137">
        <v>1.87117</v>
      </c>
      <c r="DV137">
        <v>1.87616</v>
      </c>
      <c r="DW137">
        <v>1.8763700000000001</v>
      </c>
      <c r="DX137">
        <v>1.88287</v>
      </c>
      <c r="DY137">
        <v>1.87561</v>
      </c>
      <c r="DZ137">
        <v>1.87469</v>
      </c>
      <c r="EA137">
        <v>1.87087</v>
      </c>
      <c r="EB137">
        <v>1.8746799999999999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-0.83199999999999996</v>
      </c>
      <c r="EQ137">
        <v>9.1499999999999998E-2</v>
      </c>
      <c r="ER137">
        <v>-0.83190909090899401</v>
      </c>
      <c r="ES137">
        <v>0</v>
      </c>
      <c r="ET137">
        <v>0</v>
      </c>
      <c r="EU137">
        <v>0</v>
      </c>
      <c r="EV137">
        <v>9.1569999999998999E-2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4.8</v>
      </c>
      <c r="FE137">
        <v>4.8</v>
      </c>
      <c r="FF137">
        <v>1.24146</v>
      </c>
      <c r="FG137">
        <v>2.5964399999999999</v>
      </c>
      <c r="FH137">
        <v>2.19604</v>
      </c>
      <c r="FI137">
        <v>2.66357</v>
      </c>
      <c r="FJ137">
        <v>2.4462899999999999</v>
      </c>
      <c r="FK137">
        <v>2.2924799999999999</v>
      </c>
      <c r="FL137">
        <v>32.310699999999997</v>
      </c>
      <c r="FM137">
        <v>24.157499999999999</v>
      </c>
      <c r="FN137">
        <v>19</v>
      </c>
      <c r="FO137">
        <v>865.62300000000005</v>
      </c>
      <c r="FP137">
        <v>572.67100000000005</v>
      </c>
      <c r="FQ137">
        <v>18.345700000000001</v>
      </c>
      <c r="FR137">
        <v>25.707899999999999</v>
      </c>
      <c r="FS137">
        <v>30.0002</v>
      </c>
      <c r="FT137">
        <v>25.7088</v>
      </c>
      <c r="FU137">
        <v>25.711400000000001</v>
      </c>
      <c r="FV137">
        <v>24.930099999999999</v>
      </c>
      <c r="FW137">
        <v>27.150700000000001</v>
      </c>
      <c r="FX137">
        <v>1.87182</v>
      </c>
      <c r="FY137">
        <v>18.343499999999999</v>
      </c>
      <c r="FZ137">
        <v>410</v>
      </c>
      <c r="GA137">
        <v>14.672800000000001</v>
      </c>
      <c r="GB137">
        <v>99.8446</v>
      </c>
      <c r="GC137">
        <v>99.691800000000001</v>
      </c>
    </row>
    <row r="138" spans="1:185" x14ac:dyDescent="0.2">
      <c r="A138">
        <v>123</v>
      </c>
      <c r="B138">
        <v>1769196765</v>
      </c>
      <c r="C138">
        <v>2204</v>
      </c>
      <c r="D138" t="s">
        <v>542</v>
      </c>
      <c r="E138" t="s">
        <v>543</v>
      </c>
      <c r="F138">
        <v>15</v>
      </c>
      <c r="G138">
        <v>1769196756.9333301</v>
      </c>
      <c r="H138">
        <f t="shared" si="13"/>
        <v>5.9837081401934767E-4</v>
      </c>
      <c r="I138">
        <v>0</v>
      </c>
      <c r="J138">
        <f t="shared" si="25"/>
        <v>-1.6936760660133275E-3</v>
      </c>
      <c r="K138">
        <f t="shared" si="14"/>
        <v>-6.3112836553731191E-2</v>
      </c>
      <c r="L138">
        <f t="shared" si="15"/>
        <v>69.977843006167944</v>
      </c>
      <c r="M138">
        <f t="shared" si="16"/>
        <v>1.5433521651116637</v>
      </c>
      <c r="N138">
        <f t="shared" si="17"/>
        <v>2.2054869067279346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26278.271500476778</v>
      </c>
      <c r="T138">
        <f t="shared" si="21"/>
        <v>0</v>
      </c>
      <c r="U138">
        <f t="shared" si="22"/>
        <v>0</v>
      </c>
      <c r="V138">
        <f t="shared" si="23"/>
        <v>0.84327507000000002</v>
      </c>
      <c r="W138">
        <f t="shared" si="24"/>
        <v>0.15938767500000001</v>
      </c>
      <c r="X138">
        <v>1</v>
      </c>
      <c r="Y138">
        <v>1769196756.9333301</v>
      </c>
      <c r="Z138">
        <v>409.77046666666701</v>
      </c>
      <c r="AA138">
        <v>409.998066666667</v>
      </c>
      <c r="AB138">
        <v>15.405426666666701</v>
      </c>
      <c r="AC138">
        <v>14.668993333333299</v>
      </c>
      <c r="AD138">
        <v>410.602466666667</v>
      </c>
      <c r="AE138">
        <v>15.31386</v>
      </c>
      <c r="AF138">
        <v>800.00813333333303</v>
      </c>
      <c r="AG138">
        <v>100.11813333333301</v>
      </c>
      <c r="AH138">
        <v>6.4237366666666698E-2</v>
      </c>
      <c r="AI138">
        <v>19.002226666666701</v>
      </c>
      <c r="AJ138">
        <v>999.9</v>
      </c>
      <c r="AK138">
        <v>999.9</v>
      </c>
      <c r="AL138">
        <v>0</v>
      </c>
      <c r="AM138">
        <v>0</v>
      </c>
      <c r="AN138">
        <v>5004.1666666666697</v>
      </c>
      <c r="AO138">
        <v>0</v>
      </c>
      <c r="AP138">
        <v>1.6937899999999999</v>
      </c>
      <c r="AQ138">
        <v>-0.2271994</v>
      </c>
      <c r="AR138">
        <v>416.18206666666703</v>
      </c>
      <c r="AS138">
        <v>416.10166666666697</v>
      </c>
      <c r="AT138">
        <v>0.73644006666666695</v>
      </c>
      <c r="AU138">
        <v>409.998066666667</v>
      </c>
      <c r="AV138">
        <v>14.668993333333299</v>
      </c>
      <c r="AW138">
        <v>1.542362</v>
      </c>
      <c r="AX138">
        <v>1.4686313333333301</v>
      </c>
      <c r="AY138">
        <v>13.3947066666667</v>
      </c>
      <c r="AZ138">
        <v>12.6454533333333</v>
      </c>
      <c r="BA138">
        <v>0</v>
      </c>
      <c r="BB138">
        <v>0.89083100000000004</v>
      </c>
      <c r="BC138">
        <v>0</v>
      </c>
      <c r="BD138">
        <v>0.109169</v>
      </c>
      <c r="BE138">
        <v>0</v>
      </c>
      <c r="BF138">
        <v>24</v>
      </c>
      <c r="BG138">
        <v>0</v>
      </c>
      <c r="BH138">
        <v>1769196463</v>
      </c>
      <c r="BI138" t="s">
        <v>501</v>
      </c>
      <c r="BJ138">
        <v>1769196460</v>
      </c>
      <c r="BK138">
        <v>1769196463</v>
      </c>
      <c r="BL138">
        <v>4</v>
      </c>
      <c r="BM138">
        <v>-1.0999999999999999E-2</v>
      </c>
      <c r="BN138">
        <v>0</v>
      </c>
      <c r="BO138">
        <v>-0.83199999999999996</v>
      </c>
      <c r="BP138">
        <v>9.1999999999999998E-2</v>
      </c>
      <c r="BQ138">
        <v>410</v>
      </c>
      <c r="BR138">
        <v>15</v>
      </c>
      <c r="BS138">
        <v>0.22</v>
      </c>
      <c r="BT138">
        <v>0.08</v>
      </c>
      <c r="BU138">
        <v>-0.222364238095238</v>
      </c>
      <c r="BV138">
        <v>-3.8269948051948201E-2</v>
      </c>
      <c r="BW138">
        <v>1.8709170827125102E-2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0.73747342857142895</v>
      </c>
      <c r="CD138">
        <v>-2.1164103896103601E-2</v>
      </c>
      <c r="CE138">
        <v>2.17943932439228E-3</v>
      </c>
      <c r="CF138">
        <v>1</v>
      </c>
      <c r="CG138">
        <v>2</v>
      </c>
      <c r="CH138">
        <v>2</v>
      </c>
      <c r="CI138" t="s">
        <v>304</v>
      </c>
      <c r="CJ138">
        <v>3.5325299999999999</v>
      </c>
      <c r="CK138">
        <v>2.7020300000000002</v>
      </c>
      <c r="CL138">
        <v>9.7874299999999997E-2</v>
      </c>
      <c r="CM138">
        <v>9.6553100000000003E-2</v>
      </c>
      <c r="CN138">
        <v>8.7105299999999997E-2</v>
      </c>
      <c r="CO138">
        <v>8.3107399999999998E-2</v>
      </c>
      <c r="CP138">
        <v>31621.1</v>
      </c>
      <c r="CQ138">
        <v>27806.3</v>
      </c>
      <c r="CR138">
        <v>32442.6</v>
      </c>
      <c r="CS138">
        <v>30706</v>
      </c>
      <c r="CT138">
        <v>40108.699999999997</v>
      </c>
      <c r="CU138">
        <v>39593.800000000003</v>
      </c>
      <c r="CV138">
        <v>47385.3</v>
      </c>
      <c r="CW138">
        <v>46832.5</v>
      </c>
      <c r="CX138">
        <v>2.6193200000000001</v>
      </c>
      <c r="CY138">
        <v>2.1221000000000001</v>
      </c>
      <c r="CZ138">
        <v>0</v>
      </c>
      <c r="DA138">
        <v>0</v>
      </c>
      <c r="DB138">
        <v>999.9</v>
      </c>
      <c r="DC138">
        <v>999.9</v>
      </c>
      <c r="DD138">
        <v>51.648000000000003</v>
      </c>
      <c r="DE138">
        <v>27.885000000000002</v>
      </c>
      <c r="DF138">
        <v>19.446100000000001</v>
      </c>
      <c r="DG138">
        <v>30.309799999999999</v>
      </c>
      <c r="DH138">
        <v>16.322099999999999</v>
      </c>
      <c r="DI138">
        <v>2</v>
      </c>
      <c r="DJ138">
        <v>-0.10011200000000001</v>
      </c>
      <c r="DK138">
        <v>2.19882</v>
      </c>
      <c r="DL138">
        <v>20.2348</v>
      </c>
      <c r="DM138">
        <v>5.2498800000000001</v>
      </c>
      <c r="DN138">
        <v>12.033899999999999</v>
      </c>
      <c r="DO138">
        <v>4.9668400000000004</v>
      </c>
      <c r="DP138">
        <v>3.2909999999999999</v>
      </c>
      <c r="DQ138">
        <v>536.6</v>
      </c>
      <c r="DR138">
        <v>9999</v>
      </c>
      <c r="DS138">
        <v>9999</v>
      </c>
      <c r="DT138">
        <v>9999</v>
      </c>
      <c r="DU138">
        <v>1.87117</v>
      </c>
      <c r="DV138">
        <v>1.87619</v>
      </c>
      <c r="DW138">
        <v>1.8763700000000001</v>
      </c>
      <c r="DX138">
        <v>1.88289</v>
      </c>
      <c r="DY138">
        <v>1.87561</v>
      </c>
      <c r="DZ138">
        <v>1.87469</v>
      </c>
      <c r="EA138">
        <v>1.8708800000000001</v>
      </c>
      <c r="EB138">
        <v>1.8746799999999999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-0.83199999999999996</v>
      </c>
      <c r="EQ138">
        <v>9.1600000000000001E-2</v>
      </c>
      <c r="ER138">
        <v>-0.83190909090899401</v>
      </c>
      <c r="ES138">
        <v>0</v>
      </c>
      <c r="ET138">
        <v>0</v>
      </c>
      <c r="EU138">
        <v>0</v>
      </c>
      <c r="EV138">
        <v>9.1569999999998999E-2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5.0999999999999996</v>
      </c>
      <c r="FE138">
        <v>5</v>
      </c>
      <c r="FF138">
        <v>1.24146</v>
      </c>
      <c r="FG138">
        <v>2.5976599999999999</v>
      </c>
      <c r="FH138">
        <v>2.19604</v>
      </c>
      <c r="FI138">
        <v>2.66357</v>
      </c>
      <c r="FJ138">
        <v>2.4462899999999999</v>
      </c>
      <c r="FK138">
        <v>2.32178</v>
      </c>
      <c r="FL138">
        <v>32.332799999999999</v>
      </c>
      <c r="FM138">
        <v>24.157499999999999</v>
      </c>
      <c r="FN138">
        <v>19</v>
      </c>
      <c r="FO138">
        <v>865.41600000000005</v>
      </c>
      <c r="FP138">
        <v>572.54200000000003</v>
      </c>
      <c r="FQ138">
        <v>18.3368</v>
      </c>
      <c r="FR138">
        <v>25.711400000000001</v>
      </c>
      <c r="FS138">
        <v>30.000299999999999</v>
      </c>
      <c r="FT138">
        <v>25.710999999999999</v>
      </c>
      <c r="FU138">
        <v>25.7135</v>
      </c>
      <c r="FV138">
        <v>24.932200000000002</v>
      </c>
      <c r="FW138">
        <v>27.150700000000001</v>
      </c>
      <c r="FX138">
        <v>1.87182</v>
      </c>
      <c r="FY138">
        <v>18.336099999999998</v>
      </c>
      <c r="FZ138">
        <v>410</v>
      </c>
      <c r="GA138">
        <v>14.672800000000001</v>
      </c>
      <c r="GB138">
        <v>99.8429</v>
      </c>
      <c r="GC138">
        <v>99.692400000000006</v>
      </c>
    </row>
    <row r="139" spans="1:185" x14ac:dyDescent="0.2">
      <c r="A139">
        <v>124</v>
      </c>
      <c r="B139">
        <v>1769196780</v>
      </c>
      <c r="C139">
        <v>2219</v>
      </c>
      <c r="D139" t="s">
        <v>544</v>
      </c>
      <c r="E139" t="s">
        <v>545</v>
      </c>
      <c r="F139">
        <v>15</v>
      </c>
      <c r="G139">
        <v>1769196771.9333301</v>
      </c>
      <c r="H139">
        <f t="shared" si="13"/>
        <v>6.0235283936191136E-4</v>
      </c>
      <c r="I139">
        <v>0</v>
      </c>
      <c r="J139">
        <f t="shared" si="25"/>
        <v>-1.9636348834580308E-3</v>
      </c>
      <c r="K139">
        <f t="shared" si="14"/>
        <v>-7.3172532775176199E-2</v>
      </c>
      <c r="L139">
        <f t="shared" si="15"/>
        <v>69.991044555439544</v>
      </c>
      <c r="M139">
        <f t="shared" si="16"/>
        <v>1.5436157103039647</v>
      </c>
      <c r="N139">
        <f t="shared" si="17"/>
        <v>2.2054474541829059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26233.300346978645</v>
      </c>
      <c r="T139">
        <f t="shared" si="21"/>
        <v>0</v>
      </c>
      <c r="U139">
        <f t="shared" si="22"/>
        <v>0</v>
      </c>
      <c r="V139">
        <f t="shared" si="23"/>
        <v>0.84327507000000002</v>
      </c>
      <c r="W139">
        <f t="shared" si="24"/>
        <v>0.15938767500000001</v>
      </c>
      <c r="X139">
        <v>1</v>
      </c>
      <c r="Y139">
        <v>1769196771.9333301</v>
      </c>
      <c r="Z139">
        <v>409.77199999999999</v>
      </c>
      <c r="AA139">
        <v>409.98906666666699</v>
      </c>
      <c r="AB139">
        <v>15.4082133333333</v>
      </c>
      <c r="AC139">
        <v>14.666880000000001</v>
      </c>
      <c r="AD139">
        <v>410.60393333333298</v>
      </c>
      <c r="AE139">
        <v>15.31664</v>
      </c>
      <c r="AF139">
        <v>800.00673333333305</v>
      </c>
      <c r="AG139">
        <v>100.117066666667</v>
      </c>
      <c r="AH139">
        <v>6.4289659999999998E-2</v>
      </c>
      <c r="AI139">
        <v>19.001940000000001</v>
      </c>
      <c r="AJ139">
        <v>999.9</v>
      </c>
      <c r="AK139">
        <v>999.9</v>
      </c>
      <c r="AL139">
        <v>0</v>
      </c>
      <c r="AM139">
        <v>0</v>
      </c>
      <c r="AN139">
        <v>4996.8</v>
      </c>
      <c r="AO139">
        <v>0</v>
      </c>
      <c r="AP139">
        <v>1.6937899999999999</v>
      </c>
      <c r="AQ139">
        <v>-0.21701253333333301</v>
      </c>
      <c r="AR139">
        <v>416.184666666667</v>
      </c>
      <c r="AS139">
        <v>416.09179999999998</v>
      </c>
      <c r="AT139">
        <v>0.74134319999999998</v>
      </c>
      <c r="AU139">
        <v>409.98906666666699</v>
      </c>
      <c r="AV139">
        <v>14.666880000000001</v>
      </c>
      <c r="AW139">
        <v>1.542624</v>
      </c>
      <c r="AX139">
        <v>1.468402</v>
      </c>
      <c r="AY139">
        <v>13.397313333333299</v>
      </c>
      <c r="AZ139">
        <v>12.6430666666667</v>
      </c>
      <c r="BA139">
        <v>0</v>
      </c>
      <c r="BB139">
        <v>0.89083100000000004</v>
      </c>
      <c r="BC139">
        <v>0</v>
      </c>
      <c r="BD139">
        <v>0.109169</v>
      </c>
      <c r="BE139">
        <v>0</v>
      </c>
      <c r="BF139">
        <v>24</v>
      </c>
      <c r="BG139">
        <v>0</v>
      </c>
      <c r="BH139">
        <v>1769196463</v>
      </c>
      <c r="BI139" t="s">
        <v>501</v>
      </c>
      <c r="BJ139">
        <v>1769196460</v>
      </c>
      <c r="BK139">
        <v>1769196463</v>
      </c>
      <c r="BL139">
        <v>4</v>
      </c>
      <c r="BM139">
        <v>-1.0999999999999999E-2</v>
      </c>
      <c r="BN139">
        <v>0</v>
      </c>
      <c r="BO139">
        <v>-0.83199999999999996</v>
      </c>
      <c r="BP139">
        <v>9.1999999999999998E-2</v>
      </c>
      <c r="BQ139">
        <v>410</v>
      </c>
      <c r="BR139">
        <v>15</v>
      </c>
      <c r="BS139">
        <v>0.22</v>
      </c>
      <c r="BT139">
        <v>0.08</v>
      </c>
      <c r="BU139">
        <v>-0.21535345</v>
      </c>
      <c r="BV139">
        <v>-4.8810360902255497E-2</v>
      </c>
      <c r="BW139">
        <v>2.1553449738904901E-2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0.73969240000000003</v>
      </c>
      <c r="CD139">
        <v>3.5402616541355299E-2</v>
      </c>
      <c r="CE139">
        <v>3.6458633600287399E-3</v>
      </c>
      <c r="CF139">
        <v>1</v>
      </c>
      <c r="CG139">
        <v>2</v>
      </c>
      <c r="CH139">
        <v>2</v>
      </c>
      <c r="CI139" t="s">
        <v>304</v>
      </c>
      <c r="CJ139">
        <v>3.5324900000000001</v>
      </c>
      <c r="CK139">
        <v>2.702</v>
      </c>
      <c r="CL139">
        <v>9.7870499999999999E-2</v>
      </c>
      <c r="CM139">
        <v>9.6548999999999996E-2</v>
      </c>
      <c r="CN139">
        <v>8.7136000000000005E-2</v>
      </c>
      <c r="CO139">
        <v>8.3105899999999996E-2</v>
      </c>
      <c r="CP139">
        <v>31621.599999999999</v>
      </c>
      <c r="CQ139">
        <v>27805.5</v>
      </c>
      <c r="CR139">
        <v>32443</v>
      </c>
      <c r="CS139">
        <v>30705</v>
      </c>
      <c r="CT139">
        <v>40108</v>
      </c>
      <c r="CU139">
        <v>39592.9</v>
      </c>
      <c r="CV139">
        <v>47386.1</v>
      </c>
      <c r="CW139">
        <v>46831.4</v>
      </c>
      <c r="CX139">
        <v>2.6193599999999999</v>
      </c>
      <c r="CY139">
        <v>2.1219999999999999</v>
      </c>
      <c r="CZ139">
        <v>0</v>
      </c>
      <c r="DA139">
        <v>0</v>
      </c>
      <c r="DB139">
        <v>999.9</v>
      </c>
      <c r="DC139">
        <v>999.9</v>
      </c>
      <c r="DD139">
        <v>51.624000000000002</v>
      </c>
      <c r="DE139">
        <v>27.875</v>
      </c>
      <c r="DF139">
        <v>19.424600000000002</v>
      </c>
      <c r="DG139">
        <v>30.459800000000001</v>
      </c>
      <c r="DH139">
        <v>16.350200000000001</v>
      </c>
      <c r="DI139">
        <v>2</v>
      </c>
      <c r="DJ139">
        <v>-9.9754099999999998E-2</v>
      </c>
      <c r="DK139">
        <v>2.2057199999999999</v>
      </c>
      <c r="DL139">
        <v>20.2349</v>
      </c>
      <c r="DM139">
        <v>5.2490399999999999</v>
      </c>
      <c r="DN139">
        <v>12.033899999999999</v>
      </c>
      <c r="DO139">
        <v>4.9664400000000004</v>
      </c>
      <c r="DP139">
        <v>3.2909999999999999</v>
      </c>
      <c r="DQ139">
        <v>536.6</v>
      </c>
      <c r="DR139">
        <v>9999</v>
      </c>
      <c r="DS139">
        <v>9999</v>
      </c>
      <c r="DT139">
        <v>9999</v>
      </c>
      <c r="DU139">
        <v>1.87114</v>
      </c>
      <c r="DV139">
        <v>1.87616</v>
      </c>
      <c r="DW139">
        <v>1.8763700000000001</v>
      </c>
      <c r="DX139">
        <v>1.88286</v>
      </c>
      <c r="DY139">
        <v>1.87561</v>
      </c>
      <c r="DZ139">
        <v>1.8746700000000001</v>
      </c>
      <c r="EA139">
        <v>1.8708800000000001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-0.83199999999999996</v>
      </c>
      <c r="EQ139">
        <v>9.1499999999999998E-2</v>
      </c>
      <c r="ER139">
        <v>-0.83190909090899401</v>
      </c>
      <c r="ES139">
        <v>0</v>
      </c>
      <c r="ET139">
        <v>0</v>
      </c>
      <c r="EU139">
        <v>0</v>
      </c>
      <c r="EV139">
        <v>9.1569999999998999E-2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5.3</v>
      </c>
      <c r="FE139">
        <v>5.3</v>
      </c>
      <c r="FF139">
        <v>1.24146</v>
      </c>
      <c r="FG139">
        <v>2.5927699999999998</v>
      </c>
      <c r="FH139">
        <v>2.19604</v>
      </c>
      <c r="FI139">
        <v>2.66357</v>
      </c>
      <c r="FJ139">
        <v>2.4462899999999999</v>
      </c>
      <c r="FK139">
        <v>2.3156699999999999</v>
      </c>
      <c r="FL139">
        <v>32.332799999999999</v>
      </c>
      <c r="FM139">
        <v>24.157499999999999</v>
      </c>
      <c r="FN139">
        <v>19</v>
      </c>
      <c r="FO139">
        <v>865.48800000000006</v>
      </c>
      <c r="FP139">
        <v>572.50800000000004</v>
      </c>
      <c r="FQ139">
        <v>18.3322</v>
      </c>
      <c r="FR139">
        <v>25.714400000000001</v>
      </c>
      <c r="FS139">
        <v>30.000299999999999</v>
      </c>
      <c r="FT139">
        <v>25.713200000000001</v>
      </c>
      <c r="FU139">
        <v>25.717400000000001</v>
      </c>
      <c r="FV139">
        <v>24.9343</v>
      </c>
      <c r="FW139">
        <v>27.150700000000001</v>
      </c>
      <c r="FX139">
        <v>1.49712</v>
      </c>
      <c r="FY139">
        <v>18.3306</v>
      </c>
      <c r="FZ139">
        <v>410</v>
      </c>
      <c r="GA139">
        <v>14.672800000000001</v>
      </c>
      <c r="GB139">
        <v>99.844300000000004</v>
      </c>
      <c r="GC139">
        <v>99.689599999999999</v>
      </c>
    </row>
    <row r="140" spans="1:185" x14ac:dyDescent="0.2">
      <c r="A140">
        <v>125</v>
      </c>
      <c r="B140">
        <v>1769196795</v>
      </c>
      <c r="C140">
        <v>2234</v>
      </c>
      <c r="D140" t="s">
        <v>546</v>
      </c>
      <c r="E140" t="s">
        <v>547</v>
      </c>
      <c r="F140">
        <v>15</v>
      </c>
      <c r="G140">
        <v>1769196786.9333301</v>
      </c>
      <c r="H140">
        <f t="shared" si="13"/>
        <v>6.0680867031838719E-4</v>
      </c>
      <c r="I140">
        <v>0</v>
      </c>
      <c r="J140">
        <f t="shared" si="25"/>
        <v>-1.4400018626837116E-3</v>
      </c>
      <c r="K140">
        <f t="shared" si="14"/>
        <v>-5.3659967227706225E-2</v>
      </c>
      <c r="L140">
        <f t="shared" si="15"/>
        <v>70.015254917958302</v>
      </c>
      <c r="M140">
        <f t="shared" si="16"/>
        <v>1.5441361670805931</v>
      </c>
      <c r="N140">
        <f t="shared" si="17"/>
        <v>2.2054281868857921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26263.794912181056</v>
      </c>
      <c r="T140">
        <f t="shared" si="21"/>
        <v>0</v>
      </c>
      <c r="U140">
        <f t="shared" si="22"/>
        <v>0</v>
      </c>
      <c r="V140">
        <f t="shared" si="23"/>
        <v>0.84327507000000002</v>
      </c>
      <c r="W140">
        <f t="shared" si="24"/>
        <v>0.15938767500000001</v>
      </c>
      <c r="X140">
        <v>1</v>
      </c>
      <c r="Y140">
        <v>1769196786.9333301</v>
      </c>
      <c r="Z140">
        <v>409.763933333333</v>
      </c>
      <c r="AA140">
        <v>410.00766666666698</v>
      </c>
      <c r="AB140">
        <v>15.413220000000001</v>
      </c>
      <c r="AC140">
        <v>14.666406666666701</v>
      </c>
      <c r="AD140">
        <v>410.59586666666701</v>
      </c>
      <c r="AE140">
        <v>15.32166</v>
      </c>
      <c r="AF140">
        <v>800.00686666666695</v>
      </c>
      <c r="AG140">
        <v>100.118333333333</v>
      </c>
      <c r="AH140">
        <v>6.4248053333333305E-2</v>
      </c>
      <c r="AI140">
        <v>19.001799999999999</v>
      </c>
      <c r="AJ140">
        <v>999.9</v>
      </c>
      <c r="AK140">
        <v>999.9</v>
      </c>
      <c r="AL140">
        <v>0</v>
      </c>
      <c r="AM140">
        <v>0</v>
      </c>
      <c r="AN140">
        <v>5001.7666666666701</v>
      </c>
      <c r="AO140">
        <v>0</v>
      </c>
      <c r="AP140">
        <v>1.6937899999999999</v>
      </c>
      <c r="AQ140">
        <v>-0.243874066666667</v>
      </c>
      <c r="AR140">
        <v>416.17853333333301</v>
      </c>
      <c r="AS140">
        <v>416.11059999999998</v>
      </c>
      <c r="AT140">
        <v>0.74682173333333302</v>
      </c>
      <c r="AU140">
        <v>410.00766666666698</v>
      </c>
      <c r="AV140">
        <v>14.666406666666701</v>
      </c>
      <c r="AW140">
        <v>1.54314666666667</v>
      </c>
      <c r="AX140">
        <v>1.4683759999999999</v>
      </c>
      <c r="AY140">
        <v>13.4025133333333</v>
      </c>
      <c r="AZ140">
        <v>12.6427933333333</v>
      </c>
      <c r="BA140">
        <v>0</v>
      </c>
      <c r="BB140">
        <v>0.89083100000000004</v>
      </c>
      <c r="BC140">
        <v>0</v>
      </c>
      <c r="BD140">
        <v>0.109169</v>
      </c>
      <c r="BE140">
        <v>0</v>
      </c>
      <c r="BF140">
        <v>24</v>
      </c>
      <c r="BG140">
        <v>0</v>
      </c>
      <c r="BH140">
        <v>1769196463</v>
      </c>
      <c r="BI140" t="s">
        <v>501</v>
      </c>
      <c r="BJ140">
        <v>1769196460</v>
      </c>
      <c r="BK140">
        <v>1769196463</v>
      </c>
      <c r="BL140">
        <v>4</v>
      </c>
      <c r="BM140">
        <v>-1.0999999999999999E-2</v>
      </c>
      <c r="BN140">
        <v>0</v>
      </c>
      <c r="BO140">
        <v>-0.83199999999999996</v>
      </c>
      <c r="BP140">
        <v>9.1999999999999998E-2</v>
      </c>
      <c r="BQ140">
        <v>410</v>
      </c>
      <c r="BR140">
        <v>15</v>
      </c>
      <c r="BS140">
        <v>0.22</v>
      </c>
      <c r="BT140">
        <v>0.08</v>
      </c>
      <c r="BU140">
        <v>-0.23726838095238101</v>
      </c>
      <c r="BV140">
        <v>-0.183143844155844</v>
      </c>
      <c r="BW140">
        <v>2.96802659827579E-2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0.74578652380952404</v>
      </c>
      <c r="CD140">
        <v>2.30266753246763E-2</v>
      </c>
      <c r="CE140">
        <v>2.4895304896620498E-3</v>
      </c>
      <c r="CF140">
        <v>1</v>
      </c>
      <c r="CG140">
        <v>2</v>
      </c>
      <c r="CH140">
        <v>2</v>
      </c>
      <c r="CI140" t="s">
        <v>304</v>
      </c>
      <c r="CJ140">
        <v>3.53247</v>
      </c>
      <c r="CK140">
        <v>2.7023000000000001</v>
      </c>
      <c r="CL140">
        <v>9.7874299999999997E-2</v>
      </c>
      <c r="CM140">
        <v>9.6558699999999997E-2</v>
      </c>
      <c r="CN140">
        <v>8.7157999999999999E-2</v>
      </c>
      <c r="CO140">
        <v>8.3099699999999999E-2</v>
      </c>
      <c r="CP140">
        <v>31620.799999999999</v>
      </c>
      <c r="CQ140">
        <v>27805.3</v>
      </c>
      <c r="CR140">
        <v>32442.3</v>
      </c>
      <c r="CS140">
        <v>30705.200000000001</v>
      </c>
      <c r="CT140">
        <v>40106.1</v>
      </c>
      <c r="CU140">
        <v>39593.199999999997</v>
      </c>
      <c r="CV140">
        <v>47385</v>
      </c>
      <c r="CW140">
        <v>46831.4</v>
      </c>
      <c r="CX140">
        <v>2.61938</v>
      </c>
      <c r="CY140">
        <v>2.1217000000000001</v>
      </c>
      <c r="CZ140">
        <v>0</v>
      </c>
      <c r="DA140">
        <v>0</v>
      </c>
      <c r="DB140">
        <v>999.9</v>
      </c>
      <c r="DC140">
        <v>999.9</v>
      </c>
      <c r="DD140">
        <v>51.575000000000003</v>
      </c>
      <c r="DE140">
        <v>27.885000000000002</v>
      </c>
      <c r="DF140">
        <v>19.4194</v>
      </c>
      <c r="DG140">
        <v>30.129799999999999</v>
      </c>
      <c r="DH140">
        <v>16.402200000000001</v>
      </c>
      <c r="DI140">
        <v>2</v>
      </c>
      <c r="DJ140">
        <v>-9.9353700000000003E-2</v>
      </c>
      <c r="DK140">
        <v>2.2162000000000002</v>
      </c>
      <c r="DL140">
        <v>20.2347</v>
      </c>
      <c r="DM140">
        <v>5.2493999999999996</v>
      </c>
      <c r="DN140">
        <v>12.033899999999999</v>
      </c>
      <c r="DO140">
        <v>4.9666800000000002</v>
      </c>
      <c r="DP140">
        <v>3.2909999999999999</v>
      </c>
      <c r="DQ140">
        <v>536.6</v>
      </c>
      <c r="DR140">
        <v>9999</v>
      </c>
      <c r="DS140">
        <v>9999</v>
      </c>
      <c r="DT140">
        <v>9999</v>
      </c>
      <c r="DU140">
        <v>1.87113</v>
      </c>
      <c r="DV140">
        <v>1.87612</v>
      </c>
      <c r="DW140">
        <v>1.8763700000000001</v>
      </c>
      <c r="DX140">
        <v>1.88283</v>
      </c>
      <c r="DY140">
        <v>1.87561</v>
      </c>
      <c r="DZ140">
        <v>1.8746700000000001</v>
      </c>
      <c r="EA140">
        <v>1.87086</v>
      </c>
      <c r="EB140">
        <v>1.8746700000000001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-0.83199999999999996</v>
      </c>
      <c r="EQ140">
        <v>9.1600000000000001E-2</v>
      </c>
      <c r="ER140">
        <v>-0.83190909090899401</v>
      </c>
      <c r="ES140">
        <v>0</v>
      </c>
      <c r="ET140">
        <v>0</v>
      </c>
      <c r="EU140">
        <v>0</v>
      </c>
      <c r="EV140">
        <v>9.1569999999998999E-2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5.6</v>
      </c>
      <c r="FE140">
        <v>5.5</v>
      </c>
      <c r="FF140">
        <v>1.24146</v>
      </c>
      <c r="FG140">
        <v>2.5952099999999998</v>
      </c>
      <c r="FH140">
        <v>2.19604</v>
      </c>
      <c r="FI140">
        <v>2.66235</v>
      </c>
      <c r="FJ140">
        <v>2.4462899999999999</v>
      </c>
      <c r="FK140">
        <v>2.2839399999999999</v>
      </c>
      <c r="FL140">
        <v>32.310699999999997</v>
      </c>
      <c r="FM140">
        <v>24.148800000000001</v>
      </c>
      <c r="FN140">
        <v>19</v>
      </c>
      <c r="FO140">
        <v>865.56899999999996</v>
      </c>
      <c r="FP140">
        <v>572.30799999999999</v>
      </c>
      <c r="FQ140">
        <v>18.3264</v>
      </c>
      <c r="FR140">
        <v>25.718399999999999</v>
      </c>
      <c r="FS140">
        <v>30.0002</v>
      </c>
      <c r="FT140">
        <v>25.717099999999999</v>
      </c>
      <c r="FU140">
        <v>25.72</v>
      </c>
      <c r="FV140">
        <v>24.930800000000001</v>
      </c>
      <c r="FW140">
        <v>27.150700000000001</v>
      </c>
      <c r="FX140">
        <v>1.49712</v>
      </c>
      <c r="FY140">
        <v>18.3249</v>
      </c>
      <c r="FZ140">
        <v>410</v>
      </c>
      <c r="GA140">
        <v>14.672800000000001</v>
      </c>
      <c r="GB140">
        <v>99.842100000000002</v>
      </c>
      <c r="GC140">
        <v>99.689899999999994</v>
      </c>
    </row>
    <row r="141" spans="1:185" x14ac:dyDescent="0.2">
      <c r="A141">
        <v>126</v>
      </c>
      <c r="B141">
        <v>1769196810</v>
      </c>
      <c r="C141">
        <v>2249</v>
      </c>
      <c r="D141" t="s">
        <v>548</v>
      </c>
      <c r="E141" t="s">
        <v>549</v>
      </c>
      <c r="F141">
        <v>15</v>
      </c>
      <c r="G141">
        <v>1769196801.9333301</v>
      </c>
      <c r="H141">
        <f t="shared" si="13"/>
        <v>6.0863029302006858E-4</v>
      </c>
      <c r="I141">
        <v>0</v>
      </c>
      <c r="J141">
        <f t="shared" si="25"/>
        <v>-1.729219289597036E-3</v>
      </c>
      <c r="K141">
        <f t="shared" si="14"/>
        <v>-6.443731276594547E-2</v>
      </c>
      <c r="L141">
        <f t="shared" si="15"/>
        <v>70.02041197111653</v>
      </c>
      <c r="M141">
        <f t="shared" si="16"/>
        <v>1.5441182093566614</v>
      </c>
      <c r="N141">
        <f t="shared" si="17"/>
        <v>2.2052401091179115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26273.796991387229</v>
      </c>
      <c r="T141">
        <f t="shared" si="21"/>
        <v>0</v>
      </c>
      <c r="U141">
        <f t="shared" si="22"/>
        <v>0</v>
      </c>
      <c r="V141">
        <f t="shared" si="23"/>
        <v>0.84327507000000002</v>
      </c>
      <c r="W141">
        <f t="shared" si="24"/>
        <v>0.15938767500000001</v>
      </c>
      <c r="X141">
        <v>1</v>
      </c>
      <c r="Y141">
        <v>1769196801.9333301</v>
      </c>
      <c r="Z141">
        <v>409.77159999999998</v>
      </c>
      <c r="AA141">
        <v>410.00279999999998</v>
      </c>
      <c r="AB141">
        <v>15.413026666666701</v>
      </c>
      <c r="AC141">
        <v>14.663973333333301</v>
      </c>
      <c r="AD141">
        <v>410.60353333333302</v>
      </c>
      <c r="AE141">
        <v>15.321453333333301</v>
      </c>
      <c r="AF141">
        <v>800.00906666666697</v>
      </c>
      <c r="AG141">
        <v>100.1182</v>
      </c>
      <c r="AH141">
        <v>6.4472926666666694E-2</v>
      </c>
      <c r="AI141">
        <v>19.000433333333302</v>
      </c>
      <c r="AJ141">
        <v>999.9</v>
      </c>
      <c r="AK141">
        <v>999.9</v>
      </c>
      <c r="AL141">
        <v>0</v>
      </c>
      <c r="AM141">
        <v>0</v>
      </c>
      <c r="AN141">
        <v>5003.3999999999996</v>
      </c>
      <c r="AO141">
        <v>0</v>
      </c>
      <c r="AP141">
        <v>1.6937899999999999</v>
      </c>
      <c r="AQ141">
        <v>-0.23127646666666701</v>
      </c>
      <c r="AR141">
        <v>416.186266666667</v>
      </c>
      <c r="AS141">
        <v>416.1046</v>
      </c>
      <c r="AT141">
        <v>0.74904440000000005</v>
      </c>
      <c r="AU141">
        <v>410.00279999999998</v>
      </c>
      <c r="AV141">
        <v>14.663973333333301</v>
      </c>
      <c r="AW141">
        <v>1.54312466666667</v>
      </c>
      <c r="AX141">
        <v>1.4681326666666701</v>
      </c>
      <c r="AY141">
        <v>13.402286666666701</v>
      </c>
      <c r="AZ141">
        <v>12.64024</v>
      </c>
      <c r="BA141">
        <v>0</v>
      </c>
      <c r="BB141">
        <v>0.89083100000000004</v>
      </c>
      <c r="BC141">
        <v>0</v>
      </c>
      <c r="BD141">
        <v>0.109169</v>
      </c>
      <c r="BE141">
        <v>0</v>
      </c>
      <c r="BF141">
        <v>24</v>
      </c>
      <c r="BG141">
        <v>0</v>
      </c>
      <c r="BH141">
        <v>1769196463</v>
      </c>
      <c r="BI141" t="s">
        <v>501</v>
      </c>
      <c r="BJ141">
        <v>1769196460</v>
      </c>
      <c r="BK141">
        <v>1769196463</v>
      </c>
      <c r="BL141">
        <v>4</v>
      </c>
      <c r="BM141">
        <v>-1.0999999999999999E-2</v>
      </c>
      <c r="BN141">
        <v>0</v>
      </c>
      <c r="BO141">
        <v>-0.83199999999999996</v>
      </c>
      <c r="BP141">
        <v>9.1999999999999998E-2</v>
      </c>
      <c r="BQ141">
        <v>410</v>
      </c>
      <c r="BR141">
        <v>15</v>
      </c>
      <c r="BS141">
        <v>0.22</v>
      </c>
      <c r="BT141">
        <v>0.08</v>
      </c>
      <c r="BU141">
        <v>-0.23654030000000001</v>
      </c>
      <c r="BV141">
        <v>0.155353172932331</v>
      </c>
      <c r="BW141">
        <v>2.8584590630442799E-2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0.74917005000000003</v>
      </c>
      <c r="CD141">
        <v>-9.5406766917292898E-3</v>
      </c>
      <c r="CE141">
        <v>1.4447755007266699E-3</v>
      </c>
      <c r="CF141">
        <v>1</v>
      </c>
      <c r="CG141">
        <v>2</v>
      </c>
      <c r="CH141">
        <v>2</v>
      </c>
      <c r="CI141" t="s">
        <v>304</v>
      </c>
      <c r="CJ141">
        <v>3.5325600000000001</v>
      </c>
      <c r="CK141">
        <v>2.7021299999999999</v>
      </c>
      <c r="CL141">
        <v>9.7872000000000001E-2</v>
      </c>
      <c r="CM141">
        <v>9.6549899999999994E-2</v>
      </c>
      <c r="CN141">
        <v>8.7118299999999996E-2</v>
      </c>
      <c r="CO141">
        <v>8.3086599999999997E-2</v>
      </c>
      <c r="CP141">
        <v>31621</v>
      </c>
      <c r="CQ141">
        <v>27805.599999999999</v>
      </c>
      <c r="CR141">
        <v>32442.5</v>
      </c>
      <c r="CS141">
        <v>30705.200000000001</v>
      </c>
      <c r="CT141">
        <v>40108.400000000001</v>
      </c>
      <c r="CU141">
        <v>39593.699999999997</v>
      </c>
      <c r="CV141">
        <v>47385.599999999999</v>
      </c>
      <c r="CW141">
        <v>46831.4</v>
      </c>
      <c r="CX141">
        <v>2.6192000000000002</v>
      </c>
      <c r="CY141">
        <v>2.1217199999999998</v>
      </c>
      <c r="CZ141">
        <v>0</v>
      </c>
      <c r="DA141">
        <v>0</v>
      </c>
      <c r="DB141">
        <v>999.9</v>
      </c>
      <c r="DC141">
        <v>999.9</v>
      </c>
      <c r="DD141">
        <v>51.55</v>
      </c>
      <c r="DE141">
        <v>27.905999999999999</v>
      </c>
      <c r="DF141">
        <v>19.433</v>
      </c>
      <c r="DG141">
        <v>29.799800000000001</v>
      </c>
      <c r="DH141">
        <v>16.3902</v>
      </c>
      <c r="DI141">
        <v>2</v>
      </c>
      <c r="DJ141">
        <v>-9.9266300000000002E-2</v>
      </c>
      <c r="DK141">
        <v>2.1768800000000001</v>
      </c>
      <c r="DL141">
        <v>20.235199999999999</v>
      </c>
      <c r="DM141">
        <v>5.2491599999999998</v>
      </c>
      <c r="DN141">
        <v>12.033899999999999</v>
      </c>
      <c r="DO141">
        <v>4.9664000000000001</v>
      </c>
      <c r="DP141">
        <v>3.2909999999999999</v>
      </c>
      <c r="DQ141">
        <v>536.6</v>
      </c>
      <c r="DR141">
        <v>9999</v>
      </c>
      <c r="DS141">
        <v>9999</v>
      </c>
      <c r="DT141">
        <v>9999</v>
      </c>
      <c r="DU141">
        <v>1.8711599999999999</v>
      </c>
      <c r="DV141">
        <v>1.87615</v>
      </c>
      <c r="DW141">
        <v>1.87636</v>
      </c>
      <c r="DX141">
        <v>1.8828400000000001</v>
      </c>
      <c r="DY141">
        <v>1.8756200000000001</v>
      </c>
      <c r="DZ141">
        <v>1.87469</v>
      </c>
      <c r="EA141">
        <v>1.87086</v>
      </c>
      <c r="EB141">
        <v>1.8746700000000001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-0.83199999999999996</v>
      </c>
      <c r="EQ141">
        <v>9.1600000000000001E-2</v>
      </c>
      <c r="ER141">
        <v>-0.83190909090899401</v>
      </c>
      <c r="ES141">
        <v>0</v>
      </c>
      <c r="ET141">
        <v>0</v>
      </c>
      <c r="EU141">
        <v>0</v>
      </c>
      <c r="EV141">
        <v>9.1569999999998999E-2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5.8</v>
      </c>
      <c r="FE141">
        <v>5.8</v>
      </c>
      <c r="FF141">
        <v>1.24146</v>
      </c>
      <c r="FG141">
        <v>2.5903299999999998</v>
      </c>
      <c r="FH141">
        <v>2.19604</v>
      </c>
      <c r="FI141">
        <v>2.66235</v>
      </c>
      <c r="FJ141">
        <v>2.4462899999999999</v>
      </c>
      <c r="FK141">
        <v>2.2827099999999998</v>
      </c>
      <c r="FL141">
        <v>32.310699999999997</v>
      </c>
      <c r="FM141">
        <v>24.148800000000001</v>
      </c>
      <c r="FN141">
        <v>19</v>
      </c>
      <c r="FO141">
        <v>865.44299999999998</v>
      </c>
      <c r="FP141">
        <v>572.35599999999999</v>
      </c>
      <c r="FQ141">
        <v>18.335599999999999</v>
      </c>
      <c r="FR141">
        <v>25.722300000000001</v>
      </c>
      <c r="FS141">
        <v>30.0001</v>
      </c>
      <c r="FT141">
        <v>25.7197</v>
      </c>
      <c r="FU141">
        <v>25.722999999999999</v>
      </c>
      <c r="FV141">
        <v>24.932500000000001</v>
      </c>
      <c r="FW141">
        <v>27.150700000000001</v>
      </c>
      <c r="FX141">
        <v>1.1250899999999999</v>
      </c>
      <c r="FY141">
        <v>18.334700000000002</v>
      </c>
      <c r="FZ141">
        <v>410</v>
      </c>
      <c r="GA141">
        <v>14.672800000000001</v>
      </c>
      <c r="GB141">
        <v>99.843000000000004</v>
      </c>
      <c r="GC141">
        <v>99.689899999999994</v>
      </c>
    </row>
    <row r="142" spans="1:185" x14ac:dyDescent="0.2">
      <c r="A142">
        <v>127</v>
      </c>
      <c r="B142">
        <v>1769196944</v>
      </c>
      <c r="C142">
        <v>2383</v>
      </c>
      <c r="D142" t="s">
        <v>550</v>
      </c>
      <c r="E142" t="s">
        <v>551</v>
      </c>
      <c r="F142">
        <v>15</v>
      </c>
      <c r="G142">
        <v>1769196936</v>
      </c>
      <c r="H142">
        <f t="shared" si="13"/>
        <v>-1.0924421349873907E-3</v>
      </c>
      <c r="I142">
        <v>0</v>
      </c>
      <c r="J142">
        <f t="shared" si="25"/>
        <v>-0.12836365591976762</v>
      </c>
      <c r="K142">
        <f t="shared" si="14"/>
        <v>-4.7833199028272348</v>
      </c>
      <c r="L142">
        <f t="shared" si="15"/>
        <v>68.071025555464928</v>
      </c>
      <c r="M142">
        <f t="shared" si="16"/>
        <v>1.5047892629579878</v>
      </c>
      <c r="N142">
        <f t="shared" si="17"/>
        <v>2.2106164123116834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26221.766519999775</v>
      </c>
      <c r="T142">
        <f t="shared" si="21"/>
        <v>100.0005</v>
      </c>
      <c r="U142">
        <f t="shared" si="22"/>
        <v>84.300175798771463</v>
      </c>
      <c r="V142">
        <f t="shared" si="23"/>
        <v>0.84299754299999963</v>
      </c>
      <c r="W142">
        <f t="shared" si="24"/>
        <v>0.15869431221999994</v>
      </c>
      <c r="X142">
        <v>1</v>
      </c>
      <c r="Y142">
        <v>1769196936</v>
      </c>
      <c r="Z142">
        <v>416.38006666666701</v>
      </c>
      <c r="AA142">
        <v>409.832333333333</v>
      </c>
      <c r="AB142">
        <v>15.0206933333333</v>
      </c>
      <c r="AC142">
        <v>16.365733333333299</v>
      </c>
      <c r="AD142">
        <v>417.21193333333298</v>
      </c>
      <c r="AE142">
        <v>14.929119999999999</v>
      </c>
      <c r="AF142">
        <v>800.00066666666703</v>
      </c>
      <c r="AG142">
        <v>100.1168</v>
      </c>
      <c r="AH142">
        <v>6.4278833333333299E-2</v>
      </c>
      <c r="AI142">
        <v>19.039459999999998</v>
      </c>
      <c r="AJ142">
        <v>999.9</v>
      </c>
      <c r="AK142">
        <v>999.9</v>
      </c>
      <c r="AL142">
        <v>0</v>
      </c>
      <c r="AM142">
        <v>0</v>
      </c>
      <c r="AN142">
        <v>4995.4666666666699</v>
      </c>
      <c r="AO142">
        <v>0</v>
      </c>
      <c r="AP142">
        <v>1.6937899999999999</v>
      </c>
      <c r="AQ142">
        <v>6.5476473333333303</v>
      </c>
      <c r="AR142">
        <v>422.72873333333303</v>
      </c>
      <c r="AS142">
        <v>416.65113333333301</v>
      </c>
      <c r="AT142">
        <v>-1.3450464666666699</v>
      </c>
      <c r="AU142">
        <v>409.832333333333</v>
      </c>
      <c r="AV142">
        <v>16.365733333333299</v>
      </c>
      <c r="AW142">
        <v>1.503822</v>
      </c>
      <c r="AX142">
        <v>1.6384846666666699</v>
      </c>
      <c r="AY142">
        <v>13.0012266666667</v>
      </c>
      <c r="AZ142">
        <v>14.32474</v>
      </c>
      <c r="BA142">
        <v>100.0005</v>
      </c>
      <c r="BB142">
        <v>0.900075133333333</v>
      </c>
      <c r="BC142">
        <v>0</v>
      </c>
      <c r="BD142">
        <v>9.9924633333333304E-2</v>
      </c>
      <c r="BE142">
        <v>0</v>
      </c>
      <c r="BF142">
        <v>24</v>
      </c>
      <c r="BG142">
        <v>1648.9253333333299</v>
      </c>
      <c r="BH142">
        <v>1769196463</v>
      </c>
      <c r="BI142" t="s">
        <v>501</v>
      </c>
      <c r="BJ142">
        <v>1769196460</v>
      </c>
      <c r="BK142">
        <v>1769196463</v>
      </c>
      <c r="BL142">
        <v>4</v>
      </c>
      <c r="BM142">
        <v>-1.0999999999999999E-2</v>
      </c>
      <c r="BN142">
        <v>0</v>
      </c>
      <c r="BO142">
        <v>-0.83199999999999996</v>
      </c>
      <c r="BP142">
        <v>9.1999999999999998E-2</v>
      </c>
      <c r="BQ142">
        <v>410</v>
      </c>
      <c r="BR142">
        <v>15</v>
      </c>
      <c r="BS142">
        <v>0.22</v>
      </c>
      <c r="BT142">
        <v>0.08</v>
      </c>
      <c r="BU142">
        <v>8.3799054999999996</v>
      </c>
      <c r="BV142">
        <v>-39.455452781954897</v>
      </c>
      <c r="BW142">
        <v>3.8562503030787201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-1.5086323500000001</v>
      </c>
      <c r="CD142">
        <v>4.1460528270676704</v>
      </c>
      <c r="CE142">
        <v>0.40970976046944202</v>
      </c>
      <c r="CF142">
        <v>0</v>
      </c>
      <c r="CG142">
        <v>0</v>
      </c>
      <c r="CH142">
        <v>2</v>
      </c>
      <c r="CI142" t="s">
        <v>290</v>
      </c>
      <c r="CJ142">
        <v>3.5324599999999999</v>
      </c>
      <c r="CK142">
        <v>2.7020400000000002</v>
      </c>
      <c r="CL142">
        <v>9.8478200000000002E-2</v>
      </c>
      <c r="CM142">
        <v>9.6572099999999994E-2</v>
      </c>
      <c r="CN142">
        <v>8.8326500000000002E-2</v>
      </c>
      <c r="CO142">
        <v>9.0119699999999997E-2</v>
      </c>
      <c r="CP142">
        <v>31596.3</v>
      </c>
      <c r="CQ142">
        <v>27801.1</v>
      </c>
      <c r="CR142">
        <v>32439.1</v>
      </c>
      <c r="CS142">
        <v>30701.1</v>
      </c>
      <c r="CT142">
        <v>40050</v>
      </c>
      <c r="CU142">
        <v>39276.199999999997</v>
      </c>
      <c r="CV142">
        <v>47381</v>
      </c>
      <c r="CW142">
        <v>46825.7</v>
      </c>
      <c r="CX142">
        <v>2.6166</v>
      </c>
      <c r="CY142">
        <v>2.1236000000000002</v>
      </c>
      <c r="CZ142">
        <v>0</v>
      </c>
      <c r="DA142">
        <v>0</v>
      </c>
      <c r="DB142">
        <v>999.9</v>
      </c>
      <c r="DC142">
        <v>999.9</v>
      </c>
      <c r="DD142">
        <v>51.281999999999996</v>
      </c>
      <c r="DE142">
        <v>27.946000000000002</v>
      </c>
      <c r="DF142">
        <v>19.377700000000001</v>
      </c>
      <c r="DG142">
        <v>30.599799999999998</v>
      </c>
      <c r="DH142">
        <v>16.3782</v>
      </c>
      <c r="DI142">
        <v>2</v>
      </c>
      <c r="DJ142">
        <v>-8.9884099999999995E-2</v>
      </c>
      <c r="DK142">
        <v>3.28241</v>
      </c>
      <c r="DL142">
        <v>20.209199999999999</v>
      </c>
      <c r="DM142">
        <v>5.2501199999999999</v>
      </c>
      <c r="DN142">
        <v>12.033899999999999</v>
      </c>
      <c r="DO142">
        <v>4.9666800000000002</v>
      </c>
      <c r="DP142">
        <v>3.2909999999999999</v>
      </c>
      <c r="DQ142">
        <v>536.70000000000005</v>
      </c>
      <c r="DR142">
        <v>9999</v>
      </c>
      <c r="DS142">
        <v>9999</v>
      </c>
      <c r="DT142">
        <v>9999</v>
      </c>
      <c r="DU142">
        <v>1.8711899999999999</v>
      </c>
      <c r="DV142">
        <v>1.87615</v>
      </c>
      <c r="DW142">
        <v>1.87635</v>
      </c>
      <c r="DX142">
        <v>1.8828100000000001</v>
      </c>
      <c r="DY142">
        <v>1.87561</v>
      </c>
      <c r="DZ142">
        <v>1.87469</v>
      </c>
      <c r="EA142">
        <v>1.87086</v>
      </c>
      <c r="EB142">
        <v>1.8746700000000001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-0.83199999999999996</v>
      </c>
      <c r="EQ142">
        <v>9.1499999999999998E-2</v>
      </c>
      <c r="ER142">
        <v>-0.83190909090899401</v>
      </c>
      <c r="ES142">
        <v>0</v>
      </c>
      <c r="ET142">
        <v>0</v>
      </c>
      <c r="EU142">
        <v>0</v>
      </c>
      <c r="EV142">
        <v>9.1569999999998999E-2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8.1</v>
      </c>
      <c r="FE142">
        <v>8</v>
      </c>
      <c r="FF142">
        <v>1.2439</v>
      </c>
      <c r="FG142">
        <v>2.5939899999999998</v>
      </c>
      <c r="FH142">
        <v>2.19604</v>
      </c>
      <c r="FI142">
        <v>2.66113</v>
      </c>
      <c r="FJ142">
        <v>2.4462899999999999</v>
      </c>
      <c r="FK142">
        <v>2.2912599999999999</v>
      </c>
      <c r="FL142">
        <v>32.377000000000002</v>
      </c>
      <c r="FM142">
        <v>24.14</v>
      </c>
      <c r="FN142">
        <v>19</v>
      </c>
      <c r="FO142">
        <v>863.75</v>
      </c>
      <c r="FP142">
        <v>574.28499999999997</v>
      </c>
      <c r="FQ142">
        <v>17.3888</v>
      </c>
      <c r="FR142">
        <v>25.775600000000001</v>
      </c>
      <c r="FS142">
        <v>29.999700000000001</v>
      </c>
      <c r="FT142">
        <v>25.7653</v>
      </c>
      <c r="FU142">
        <v>25.767600000000002</v>
      </c>
      <c r="FV142">
        <v>24.971599999999999</v>
      </c>
      <c r="FW142">
        <v>19.071000000000002</v>
      </c>
      <c r="FX142">
        <v>1.57446</v>
      </c>
      <c r="FY142">
        <v>17.4209</v>
      </c>
      <c r="FZ142">
        <v>410</v>
      </c>
      <c r="GA142">
        <v>16.0276</v>
      </c>
      <c r="GB142">
        <v>99.833100000000002</v>
      </c>
      <c r="GC142">
        <v>99.677300000000002</v>
      </c>
    </row>
    <row r="143" spans="1:185" x14ac:dyDescent="0.2">
      <c r="A143">
        <v>128</v>
      </c>
      <c r="B143">
        <v>1769196959</v>
      </c>
      <c r="C143">
        <v>2398</v>
      </c>
      <c r="D143" t="s">
        <v>552</v>
      </c>
      <c r="E143" t="s">
        <v>553</v>
      </c>
      <c r="F143">
        <v>15</v>
      </c>
      <c r="G143">
        <v>1769196950.9333301</v>
      </c>
      <c r="H143">
        <f t="shared" si="13"/>
        <v>-1.2705565258777383E-4</v>
      </c>
      <c r="I143">
        <v>0</v>
      </c>
      <c r="J143">
        <f t="shared" si="25"/>
        <v>-3.6158031111069744E-2</v>
      </c>
      <c r="K143">
        <f t="shared" si="14"/>
        <v>-1.3473862879749254</v>
      </c>
      <c r="L143">
        <f t="shared" si="15"/>
        <v>72.587452143211166</v>
      </c>
      <c r="M143">
        <f t="shared" si="16"/>
        <v>1.5942191132910841</v>
      </c>
      <c r="N143">
        <f t="shared" si="17"/>
        <v>2.1962736894880606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26347.180822693914</v>
      </c>
      <c r="T143">
        <f t="shared" si="21"/>
        <v>99.999233333333294</v>
      </c>
      <c r="U143">
        <f t="shared" si="22"/>
        <v>84.29913888164694</v>
      </c>
      <c r="V143">
        <f t="shared" si="23"/>
        <v>0.8429978518000002</v>
      </c>
      <c r="W143">
        <f t="shared" si="24"/>
        <v>0.15869474642800002</v>
      </c>
      <c r="X143">
        <v>1</v>
      </c>
      <c r="Y143">
        <v>1769196950.9333301</v>
      </c>
      <c r="Z143">
        <v>411.92380000000003</v>
      </c>
      <c r="AA143">
        <v>410.17413333333297</v>
      </c>
      <c r="AB143">
        <v>15.9131933333333</v>
      </c>
      <c r="AC143">
        <v>16.069486666666698</v>
      </c>
      <c r="AD143">
        <v>412.75560000000002</v>
      </c>
      <c r="AE143">
        <v>15.8216133333333</v>
      </c>
      <c r="AF143">
        <v>799.99440000000004</v>
      </c>
      <c r="AG143">
        <v>100.117933333333</v>
      </c>
      <c r="AH143">
        <v>6.4291559999999998E-2</v>
      </c>
      <c r="AI143">
        <v>18.93516</v>
      </c>
      <c r="AJ143">
        <v>999.9</v>
      </c>
      <c r="AK143">
        <v>999.9</v>
      </c>
      <c r="AL143">
        <v>0</v>
      </c>
      <c r="AM143">
        <v>0</v>
      </c>
      <c r="AN143">
        <v>5014.5333333333301</v>
      </c>
      <c r="AO143">
        <v>0</v>
      </c>
      <c r="AP143">
        <v>1.6937899999999999</v>
      </c>
      <c r="AQ143">
        <v>1.7496222666666701</v>
      </c>
      <c r="AR143">
        <v>418.58466666666698</v>
      </c>
      <c r="AS143">
        <v>416.87313333333299</v>
      </c>
      <c r="AT143">
        <v>-0.15630542</v>
      </c>
      <c r="AU143">
        <v>410.17413333333297</v>
      </c>
      <c r="AV143">
        <v>16.069486666666698</v>
      </c>
      <c r="AW143">
        <v>1.5931946666666701</v>
      </c>
      <c r="AX143">
        <v>1.60884466666667</v>
      </c>
      <c r="AY143">
        <v>13.89278</v>
      </c>
      <c r="AZ143">
        <v>14.042526666666699</v>
      </c>
      <c r="BA143">
        <v>99.999233333333294</v>
      </c>
      <c r="BB143">
        <v>0.900069866666667</v>
      </c>
      <c r="BC143">
        <v>0</v>
      </c>
      <c r="BD143">
        <v>9.99300733333333E-2</v>
      </c>
      <c r="BE143">
        <v>0</v>
      </c>
      <c r="BF143">
        <v>24</v>
      </c>
      <c r="BG143">
        <v>1648.9006666666701</v>
      </c>
      <c r="BH143">
        <v>1769196463</v>
      </c>
      <c r="BI143" t="s">
        <v>501</v>
      </c>
      <c r="BJ143">
        <v>1769196460</v>
      </c>
      <c r="BK143">
        <v>1769196463</v>
      </c>
      <c r="BL143">
        <v>4</v>
      </c>
      <c r="BM143">
        <v>-1.0999999999999999E-2</v>
      </c>
      <c r="BN143">
        <v>0</v>
      </c>
      <c r="BO143">
        <v>-0.83199999999999996</v>
      </c>
      <c r="BP143">
        <v>9.1999999999999998E-2</v>
      </c>
      <c r="BQ143">
        <v>410</v>
      </c>
      <c r="BR143">
        <v>15</v>
      </c>
      <c r="BS143">
        <v>0.22</v>
      </c>
      <c r="BT143">
        <v>0.08</v>
      </c>
      <c r="BU143">
        <v>2.5211380000000001</v>
      </c>
      <c r="BV143">
        <v>-13.1454903157895</v>
      </c>
      <c r="BW143">
        <v>1.28996972514943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-0.429700215</v>
      </c>
      <c r="CD143">
        <v>4.7881564736842099</v>
      </c>
      <c r="CE143">
        <v>0.46082799018314402</v>
      </c>
      <c r="CF143">
        <v>0</v>
      </c>
      <c r="CG143">
        <v>0</v>
      </c>
      <c r="CH143">
        <v>2</v>
      </c>
      <c r="CI143" t="s">
        <v>290</v>
      </c>
      <c r="CJ143">
        <v>3.5324599999999999</v>
      </c>
      <c r="CK143">
        <v>2.7021700000000002</v>
      </c>
      <c r="CL143">
        <v>9.8082600000000006E-2</v>
      </c>
      <c r="CM143">
        <v>9.6589099999999997E-2</v>
      </c>
      <c r="CN143">
        <v>8.9820800000000006E-2</v>
      </c>
      <c r="CO143">
        <v>8.7286500000000003E-2</v>
      </c>
      <c r="CP143">
        <v>31610.3</v>
      </c>
      <c r="CQ143">
        <v>27801.7</v>
      </c>
      <c r="CR143">
        <v>32439.200000000001</v>
      </c>
      <c r="CS143">
        <v>30702.400000000001</v>
      </c>
      <c r="CT143">
        <v>39982.6</v>
      </c>
      <c r="CU143">
        <v>39404.1</v>
      </c>
      <c r="CV143">
        <v>47381.4</v>
      </c>
      <c r="CW143">
        <v>46827.8</v>
      </c>
      <c r="CX143">
        <v>2.6177999999999999</v>
      </c>
      <c r="CY143">
        <v>2.12256</v>
      </c>
      <c r="CZ143">
        <v>0</v>
      </c>
      <c r="DA143">
        <v>0</v>
      </c>
      <c r="DB143">
        <v>999.9</v>
      </c>
      <c r="DC143">
        <v>999.9</v>
      </c>
      <c r="DD143">
        <v>51.256999999999998</v>
      </c>
      <c r="DE143">
        <v>27.946000000000002</v>
      </c>
      <c r="DF143">
        <v>19.367599999999999</v>
      </c>
      <c r="DG143">
        <v>30.209800000000001</v>
      </c>
      <c r="DH143">
        <v>16.3462</v>
      </c>
      <c r="DI143">
        <v>2</v>
      </c>
      <c r="DJ143">
        <v>-9.4922800000000002E-2</v>
      </c>
      <c r="DK143">
        <v>2.1560899999999998</v>
      </c>
      <c r="DL143">
        <v>20.231999999999999</v>
      </c>
      <c r="DM143">
        <v>5.2495200000000004</v>
      </c>
      <c r="DN143">
        <v>12.033899999999999</v>
      </c>
      <c r="DO143">
        <v>4.9668799999999997</v>
      </c>
      <c r="DP143">
        <v>3.2909999999999999</v>
      </c>
      <c r="DQ143">
        <v>536.70000000000005</v>
      </c>
      <c r="DR143">
        <v>9999</v>
      </c>
      <c r="DS143">
        <v>9999</v>
      </c>
      <c r="DT143">
        <v>9999</v>
      </c>
      <c r="DU143">
        <v>1.8711500000000001</v>
      </c>
      <c r="DV143">
        <v>1.87616</v>
      </c>
      <c r="DW143">
        <v>1.8763700000000001</v>
      </c>
      <c r="DX143">
        <v>1.88283</v>
      </c>
      <c r="DY143">
        <v>1.87561</v>
      </c>
      <c r="DZ143">
        <v>1.87469</v>
      </c>
      <c r="EA143">
        <v>1.87086</v>
      </c>
      <c r="EB143">
        <v>1.8746799999999999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-0.83199999999999996</v>
      </c>
      <c r="EQ143">
        <v>9.1600000000000001E-2</v>
      </c>
      <c r="ER143">
        <v>-0.83190909090899401</v>
      </c>
      <c r="ES143">
        <v>0</v>
      </c>
      <c r="ET143">
        <v>0</v>
      </c>
      <c r="EU143">
        <v>0</v>
      </c>
      <c r="EV143">
        <v>9.1569999999998999E-2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8.3000000000000007</v>
      </c>
      <c r="FE143">
        <v>8.3000000000000007</v>
      </c>
      <c r="FF143">
        <v>1.24268</v>
      </c>
      <c r="FG143">
        <v>2.5939899999999998</v>
      </c>
      <c r="FH143">
        <v>2.19604</v>
      </c>
      <c r="FI143">
        <v>2.66235</v>
      </c>
      <c r="FJ143">
        <v>2.4462899999999999</v>
      </c>
      <c r="FK143">
        <v>2.3168899999999999</v>
      </c>
      <c r="FL143">
        <v>32.377000000000002</v>
      </c>
      <c r="FM143">
        <v>24.157499999999999</v>
      </c>
      <c r="FN143">
        <v>19</v>
      </c>
      <c r="FO143">
        <v>864.93600000000004</v>
      </c>
      <c r="FP143">
        <v>573.51300000000003</v>
      </c>
      <c r="FQ143">
        <v>17.775099999999998</v>
      </c>
      <c r="FR143">
        <v>25.783000000000001</v>
      </c>
      <c r="FS143">
        <v>29.999199999999998</v>
      </c>
      <c r="FT143">
        <v>25.769500000000001</v>
      </c>
      <c r="FU143">
        <v>25.7697</v>
      </c>
      <c r="FV143">
        <v>24.949200000000001</v>
      </c>
      <c r="FW143">
        <v>22.604900000000001</v>
      </c>
      <c r="FX143">
        <v>1.57446</v>
      </c>
      <c r="FY143">
        <v>17.8432</v>
      </c>
      <c r="FZ143">
        <v>410</v>
      </c>
      <c r="GA143">
        <v>15.367000000000001</v>
      </c>
      <c r="GB143">
        <v>99.833600000000004</v>
      </c>
      <c r="GC143">
        <v>99.681600000000003</v>
      </c>
    </row>
    <row r="144" spans="1:185" x14ac:dyDescent="0.2">
      <c r="A144">
        <v>129</v>
      </c>
      <c r="B144">
        <v>1769196974</v>
      </c>
      <c r="C144">
        <v>2413</v>
      </c>
      <c r="D144" t="s">
        <v>554</v>
      </c>
      <c r="E144" t="s">
        <v>555</v>
      </c>
      <c r="F144">
        <v>15</v>
      </c>
      <c r="G144">
        <v>1769196965.9333301</v>
      </c>
      <c r="H144">
        <f t="shared" ref="H144:H207" si="26">AF144*Q144*(AB144-AC144)/(1000*X144*(1000-Q144*AB144))</f>
        <v>4.7089571075097639E-4</v>
      </c>
      <c r="I144">
        <v>0</v>
      </c>
      <c r="J144">
        <f t="shared" si="25"/>
        <v>-1.5128073246364875E-2</v>
      </c>
      <c r="K144">
        <f t="shared" ref="K144:K207" si="27">AF144*Q144*(AA144-Z144*(1000-Q144*AC144)/(1000-Q144*AB144))/(1000*X144)</f>
        <v>-0.56372976706112754</v>
      </c>
      <c r="L144">
        <f t="shared" ref="L144:L207" si="28">(M144/N144*100)</f>
        <v>73.321144046260287</v>
      </c>
      <c r="M144">
        <f t="shared" ref="M144:M207" si="29">AB144*(AG144+AH144)/1000</f>
        <v>1.6059326366325624</v>
      </c>
      <c r="N144">
        <f t="shared" ref="N144:N207" si="30">0.61365*EXP(17.502*AI144/(240.97+AI144))</f>
        <v>2.1902722025441066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26261.823627743306</v>
      </c>
      <c r="T144">
        <f t="shared" ref="T144:T207" si="34">$B$11*AO144+$C$11*AP144+$D$11*BA144</f>
        <v>100.00024000000001</v>
      </c>
      <c r="U144">
        <f t="shared" ref="U144:U207" si="35">T144*V144</f>
        <v>84.29998861948711</v>
      </c>
      <c r="V144">
        <f t="shared" ref="V144:V207" si="36">($B$11*$D$9+$C$11*$D$9+$D$11*(BB144*$E$9+BC144*$F$9+BD144*$G$9+BE144*$H$9))/($B$11+$C$11+$D$11)</f>
        <v>0.8429978629999999</v>
      </c>
      <c r="W144">
        <f t="shared" ref="W144:W207" si="37">($B$11*$L$9+$C$11*$L$9+$D$11*(BB144*$M$9+BC144*$N$9+BD144*$O$9+BE144*$P$9))/($B$11+$C$11+$D$11)</f>
        <v>0.15869459254000001</v>
      </c>
      <c r="X144">
        <v>1</v>
      </c>
      <c r="Y144">
        <v>1769196965.9333301</v>
      </c>
      <c r="Z144">
        <v>410.55180000000001</v>
      </c>
      <c r="AA144">
        <v>410.08879999999999</v>
      </c>
      <c r="AB144">
        <v>16.029773333333299</v>
      </c>
      <c r="AC144">
        <v>15.4505933333333</v>
      </c>
      <c r="AD144">
        <v>411.383733333333</v>
      </c>
      <c r="AE144">
        <v>15.938219999999999</v>
      </c>
      <c r="AF144">
        <v>800.00580000000002</v>
      </c>
      <c r="AG144">
        <v>100.12</v>
      </c>
      <c r="AH144">
        <v>6.4363386666666703E-2</v>
      </c>
      <c r="AI144">
        <v>18.89134</v>
      </c>
      <c r="AJ144">
        <v>999.9</v>
      </c>
      <c r="AK144">
        <v>999.9</v>
      </c>
      <c r="AL144">
        <v>0</v>
      </c>
      <c r="AM144">
        <v>0</v>
      </c>
      <c r="AN144">
        <v>4999.7333333333299</v>
      </c>
      <c r="AO144">
        <v>0</v>
      </c>
      <c r="AP144">
        <v>1.6937899999999999</v>
      </c>
      <c r="AQ144">
        <v>0.462986333333333</v>
      </c>
      <c r="AR144">
        <v>417.24020000000002</v>
      </c>
      <c r="AS144">
        <v>416.52440000000001</v>
      </c>
      <c r="AT144">
        <v>0.57917059999999998</v>
      </c>
      <c r="AU144">
        <v>410.08879999999999</v>
      </c>
      <c r="AV144">
        <v>15.4505933333333</v>
      </c>
      <c r="AW144">
        <v>1.6049026666666699</v>
      </c>
      <c r="AX144">
        <v>1.54691466666667</v>
      </c>
      <c r="AY144">
        <v>14.0059466666667</v>
      </c>
      <c r="AZ144">
        <v>13.4393733333333</v>
      </c>
      <c r="BA144">
        <v>100.00024000000001</v>
      </c>
      <c r="BB144">
        <v>0.90007219999999999</v>
      </c>
      <c r="BC144">
        <v>0</v>
      </c>
      <c r="BD144">
        <v>9.9927833333333299E-2</v>
      </c>
      <c r="BE144">
        <v>0</v>
      </c>
      <c r="BF144">
        <v>24</v>
      </c>
      <c r="BG144">
        <v>1648.9173333333299</v>
      </c>
      <c r="BH144">
        <v>1769196463</v>
      </c>
      <c r="BI144" t="s">
        <v>501</v>
      </c>
      <c r="BJ144">
        <v>1769196460</v>
      </c>
      <c r="BK144">
        <v>1769196463</v>
      </c>
      <c r="BL144">
        <v>4</v>
      </c>
      <c r="BM144">
        <v>-1.0999999999999999E-2</v>
      </c>
      <c r="BN144">
        <v>0</v>
      </c>
      <c r="BO144">
        <v>-0.83199999999999996</v>
      </c>
      <c r="BP144">
        <v>9.1999999999999998E-2</v>
      </c>
      <c r="BQ144">
        <v>410</v>
      </c>
      <c r="BR144">
        <v>15</v>
      </c>
      <c r="BS144">
        <v>0.22</v>
      </c>
      <c r="BT144">
        <v>0.08</v>
      </c>
      <c r="BU144">
        <v>0.59485975000000002</v>
      </c>
      <c r="BV144">
        <v>-2.97845860150376</v>
      </c>
      <c r="BW144">
        <v>0.29020408076436099</v>
      </c>
      <c r="BX144">
        <v>0</v>
      </c>
      <c r="BY144">
        <v>0</v>
      </c>
      <c r="BZ144">
        <v>0</v>
      </c>
      <c r="CA144">
        <v>0</v>
      </c>
      <c r="CB144">
        <v>-1</v>
      </c>
      <c r="CC144">
        <v>0.48895244500000001</v>
      </c>
      <c r="CD144">
        <v>2.01464584511278</v>
      </c>
      <c r="CE144">
        <v>0.196384242061965</v>
      </c>
      <c r="CF144">
        <v>0</v>
      </c>
      <c r="CG144">
        <v>0</v>
      </c>
      <c r="CH144">
        <v>2</v>
      </c>
      <c r="CI144" t="s">
        <v>290</v>
      </c>
      <c r="CJ144">
        <v>3.5325000000000002</v>
      </c>
      <c r="CK144">
        <v>2.7022200000000001</v>
      </c>
      <c r="CL144">
        <v>9.7939600000000002E-2</v>
      </c>
      <c r="CM144">
        <v>9.6557699999999996E-2</v>
      </c>
      <c r="CN144">
        <v>8.9562199999999995E-2</v>
      </c>
      <c r="CO144">
        <v>8.5361300000000001E-2</v>
      </c>
      <c r="CP144">
        <v>31615.200000000001</v>
      </c>
      <c r="CQ144">
        <v>27802.1</v>
      </c>
      <c r="CR144">
        <v>32439.1</v>
      </c>
      <c r="CS144">
        <v>30701.8</v>
      </c>
      <c r="CT144">
        <v>39994.400000000001</v>
      </c>
      <c r="CU144">
        <v>39488.9</v>
      </c>
      <c r="CV144">
        <v>47381.5</v>
      </c>
      <c r="CW144">
        <v>46826.9</v>
      </c>
      <c r="CX144">
        <v>2.61822</v>
      </c>
      <c r="CY144">
        <v>2.1216599999999999</v>
      </c>
      <c r="CZ144">
        <v>0</v>
      </c>
      <c r="DA144">
        <v>0</v>
      </c>
      <c r="DB144">
        <v>999.9</v>
      </c>
      <c r="DC144">
        <v>999.9</v>
      </c>
      <c r="DD144">
        <v>51.232999999999997</v>
      </c>
      <c r="DE144">
        <v>27.956</v>
      </c>
      <c r="DF144">
        <v>19.368400000000001</v>
      </c>
      <c r="DG144">
        <v>30.209800000000001</v>
      </c>
      <c r="DH144">
        <v>16.458300000000001</v>
      </c>
      <c r="DI144">
        <v>2</v>
      </c>
      <c r="DJ144">
        <v>-9.4067100000000001E-2</v>
      </c>
      <c r="DK144">
        <v>2.1063399999999999</v>
      </c>
      <c r="DL144">
        <v>20.2331</v>
      </c>
      <c r="DM144">
        <v>5.2491599999999998</v>
      </c>
      <c r="DN144">
        <v>12.033899999999999</v>
      </c>
      <c r="DO144">
        <v>4.9668400000000004</v>
      </c>
      <c r="DP144">
        <v>3.2909999999999999</v>
      </c>
      <c r="DQ144">
        <v>536.70000000000005</v>
      </c>
      <c r="DR144">
        <v>9999</v>
      </c>
      <c r="DS144">
        <v>9999</v>
      </c>
      <c r="DT144">
        <v>9999</v>
      </c>
      <c r="DU144">
        <v>1.8711599999999999</v>
      </c>
      <c r="DV144">
        <v>1.8761399999999999</v>
      </c>
      <c r="DW144">
        <v>1.87635</v>
      </c>
      <c r="DX144">
        <v>1.8828400000000001</v>
      </c>
      <c r="DY144">
        <v>1.87561</v>
      </c>
      <c r="DZ144">
        <v>1.87469</v>
      </c>
      <c r="EA144">
        <v>1.87087</v>
      </c>
      <c r="EB144">
        <v>1.8746700000000001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-0.83199999999999996</v>
      </c>
      <c r="EQ144">
        <v>9.1600000000000001E-2</v>
      </c>
      <c r="ER144">
        <v>-0.83190909090899401</v>
      </c>
      <c r="ES144">
        <v>0</v>
      </c>
      <c r="ET144">
        <v>0</v>
      </c>
      <c r="EU144">
        <v>0</v>
      </c>
      <c r="EV144">
        <v>9.1569999999998999E-2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8.6</v>
      </c>
      <c r="FE144">
        <v>8.5</v>
      </c>
      <c r="FF144">
        <v>1.24268</v>
      </c>
      <c r="FG144">
        <v>2.5927699999999998</v>
      </c>
      <c r="FH144">
        <v>2.19604</v>
      </c>
      <c r="FI144">
        <v>2.66235</v>
      </c>
      <c r="FJ144">
        <v>2.4462899999999999</v>
      </c>
      <c r="FK144">
        <v>2.2863799999999999</v>
      </c>
      <c r="FL144">
        <v>32.377000000000002</v>
      </c>
      <c r="FM144">
        <v>24.148800000000001</v>
      </c>
      <c r="FN144">
        <v>19</v>
      </c>
      <c r="FO144">
        <v>865.39499999999998</v>
      </c>
      <c r="FP144">
        <v>572.87300000000005</v>
      </c>
      <c r="FQ144">
        <v>17.995899999999999</v>
      </c>
      <c r="FR144">
        <v>25.790400000000002</v>
      </c>
      <c r="FS144">
        <v>30.0002</v>
      </c>
      <c r="FT144">
        <v>25.773900000000001</v>
      </c>
      <c r="FU144">
        <v>25.774000000000001</v>
      </c>
      <c r="FV144">
        <v>24.941400000000002</v>
      </c>
      <c r="FW144">
        <v>25.046099999999999</v>
      </c>
      <c r="FX144">
        <v>1.2002299999999999</v>
      </c>
      <c r="FY144">
        <v>18.0717</v>
      </c>
      <c r="FZ144">
        <v>410</v>
      </c>
      <c r="GA144">
        <v>14.984</v>
      </c>
      <c r="GB144">
        <v>99.833600000000004</v>
      </c>
      <c r="GC144">
        <v>99.679699999999997</v>
      </c>
    </row>
    <row r="145" spans="1:185" x14ac:dyDescent="0.2">
      <c r="A145">
        <v>130</v>
      </c>
      <c r="B145">
        <v>1769196989</v>
      </c>
      <c r="C145">
        <v>2428</v>
      </c>
      <c r="D145" t="s">
        <v>556</v>
      </c>
      <c r="E145" t="s">
        <v>557</v>
      </c>
      <c r="F145">
        <v>15</v>
      </c>
      <c r="G145">
        <v>1769196980.9333301</v>
      </c>
      <c r="H145">
        <f t="shared" si="26"/>
        <v>6.9600784694149307E-4</v>
      </c>
      <c r="I145">
        <v>0</v>
      </c>
      <c r="J145">
        <f t="shared" ref="J145:J208" si="38">K145*(0.0002153/0.0080229)</f>
        <v>-7.6426091206604234E-3</v>
      </c>
      <c r="K145">
        <f t="shared" si="27"/>
        <v>-0.28479279477076874</v>
      </c>
      <c r="L145">
        <f t="shared" si="28"/>
        <v>72.799570762670385</v>
      </c>
      <c r="M145">
        <f t="shared" si="29"/>
        <v>1.5940029402030675</v>
      </c>
      <c r="N145">
        <f t="shared" si="30"/>
        <v>2.1895773883057403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26196.72386497142</v>
      </c>
      <c r="T145">
        <f t="shared" si="34"/>
        <v>99.999619999999993</v>
      </c>
      <c r="U145">
        <f t="shared" si="35"/>
        <v>84.299477160769527</v>
      </c>
      <c r="V145">
        <f t="shared" si="36"/>
        <v>0.84299797500000029</v>
      </c>
      <c r="W145">
        <f t="shared" si="37"/>
        <v>0.15869487254000003</v>
      </c>
      <c r="X145">
        <v>1</v>
      </c>
      <c r="Y145">
        <v>1769196980.9333301</v>
      </c>
      <c r="Z145">
        <v>410.02333333333303</v>
      </c>
      <c r="AA145">
        <v>410.02406666666701</v>
      </c>
      <c r="AB145">
        <v>15.910539999999999</v>
      </c>
      <c r="AC145">
        <v>15.0543666666667</v>
      </c>
      <c r="AD145">
        <v>410.85520000000002</v>
      </c>
      <c r="AE145">
        <v>15.8189733333333</v>
      </c>
      <c r="AF145">
        <v>799.99453333333304</v>
      </c>
      <c r="AG145">
        <v>100.120933333333</v>
      </c>
      <c r="AH145">
        <v>6.4411739999999995E-2</v>
      </c>
      <c r="AI145">
        <v>18.88626</v>
      </c>
      <c r="AJ145">
        <v>999.9</v>
      </c>
      <c r="AK145">
        <v>999.9</v>
      </c>
      <c r="AL145">
        <v>0</v>
      </c>
      <c r="AM145">
        <v>0</v>
      </c>
      <c r="AN145">
        <v>4988.8999999999996</v>
      </c>
      <c r="AO145">
        <v>0</v>
      </c>
      <c r="AP145">
        <v>1.6975566666666699</v>
      </c>
      <c r="AQ145">
        <v>-6.6123333333333002E-4</v>
      </c>
      <c r="AR145">
        <v>416.65260000000001</v>
      </c>
      <c r="AS145">
        <v>416.29113333333299</v>
      </c>
      <c r="AT145">
        <v>0.85617739999999998</v>
      </c>
      <c r="AU145">
        <v>410.02406666666701</v>
      </c>
      <c r="AV145">
        <v>15.0543666666667</v>
      </c>
      <c r="AW145">
        <v>1.59298133333333</v>
      </c>
      <c r="AX145">
        <v>1.507258</v>
      </c>
      <c r="AY145">
        <v>13.891</v>
      </c>
      <c r="AZ145">
        <v>13.041740000000001</v>
      </c>
      <c r="BA145">
        <v>99.999619999999993</v>
      </c>
      <c r="BB145">
        <v>0.90006846666666696</v>
      </c>
      <c r="BC145">
        <v>0</v>
      </c>
      <c r="BD145">
        <v>9.9931566666666694E-2</v>
      </c>
      <c r="BE145">
        <v>0</v>
      </c>
      <c r="BF145">
        <v>24</v>
      </c>
      <c r="BG145">
        <v>1648.9066666666699</v>
      </c>
      <c r="BH145">
        <v>1769196463</v>
      </c>
      <c r="BI145" t="s">
        <v>501</v>
      </c>
      <c r="BJ145">
        <v>1769196460</v>
      </c>
      <c r="BK145">
        <v>1769196463</v>
      </c>
      <c r="BL145">
        <v>4</v>
      </c>
      <c r="BM145">
        <v>-1.0999999999999999E-2</v>
      </c>
      <c r="BN145">
        <v>0</v>
      </c>
      <c r="BO145">
        <v>-0.83199999999999996</v>
      </c>
      <c r="BP145">
        <v>9.1999999999999998E-2</v>
      </c>
      <c r="BQ145">
        <v>410</v>
      </c>
      <c r="BR145">
        <v>15</v>
      </c>
      <c r="BS145">
        <v>0.22</v>
      </c>
      <c r="BT145">
        <v>0.08</v>
      </c>
      <c r="BU145">
        <v>7.4069071428571401E-2</v>
      </c>
      <c r="BV145">
        <v>-1.37476118961039</v>
      </c>
      <c r="BW145">
        <v>0.142429044072305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0.81359623809523796</v>
      </c>
      <c r="CD145">
        <v>0.77667202597402696</v>
      </c>
      <c r="CE145">
        <v>8.0331491725524895E-2</v>
      </c>
      <c r="CF145">
        <v>0</v>
      </c>
      <c r="CG145">
        <v>0</v>
      </c>
      <c r="CH145">
        <v>2</v>
      </c>
      <c r="CI145" t="s">
        <v>290</v>
      </c>
      <c r="CJ145">
        <v>3.5325000000000002</v>
      </c>
      <c r="CK145">
        <v>2.7024499999999998</v>
      </c>
      <c r="CL145">
        <v>9.7882499999999997E-2</v>
      </c>
      <c r="CM145">
        <v>9.6550200000000003E-2</v>
      </c>
      <c r="CN145">
        <v>8.8894299999999996E-2</v>
      </c>
      <c r="CO145">
        <v>8.4071800000000002E-2</v>
      </c>
      <c r="CP145">
        <v>31616.400000000001</v>
      </c>
      <c r="CQ145">
        <v>27801.8</v>
      </c>
      <c r="CR145">
        <v>32438.400000000001</v>
      </c>
      <c r="CS145">
        <v>30701.3</v>
      </c>
      <c r="CT145">
        <v>40023.599999999999</v>
      </c>
      <c r="CU145">
        <v>39545.4</v>
      </c>
      <c r="CV145">
        <v>47380.2</v>
      </c>
      <c r="CW145">
        <v>46826.1</v>
      </c>
      <c r="CX145">
        <v>2.6185</v>
      </c>
      <c r="CY145">
        <v>2.1207400000000001</v>
      </c>
      <c r="CZ145">
        <v>0</v>
      </c>
      <c r="DA145">
        <v>0</v>
      </c>
      <c r="DB145">
        <v>999.9</v>
      </c>
      <c r="DC145">
        <v>999.9</v>
      </c>
      <c r="DD145">
        <v>51.232999999999997</v>
      </c>
      <c r="DE145">
        <v>27.956</v>
      </c>
      <c r="DF145">
        <v>19.370100000000001</v>
      </c>
      <c r="DG145">
        <v>30.419799999999999</v>
      </c>
      <c r="DH145">
        <v>16.442299999999999</v>
      </c>
      <c r="DI145">
        <v>2</v>
      </c>
      <c r="DJ145">
        <v>-9.4E-2</v>
      </c>
      <c r="DK145">
        <v>1.8483099999999999</v>
      </c>
      <c r="DL145">
        <v>20.235800000000001</v>
      </c>
      <c r="DM145">
        <v>5.2497600000000002</v>
      </c>
      <c r="DN145">
        <v>12.033899999999999</v>
      </c>
      <c r="DO145">
        <v>4.9668799999999997</v>
      </c>
      <c r="DP145">
        <v>3.2909999999999999</v>
      </c>
      <c r="DQ145">
        <v>536.70000000000005</v>
      </c>
      <c r="DR145">
        <v>9999</v>
      </c>
      <c r="DS145">
        <v>9999</v>
      </c>
      <c r="DT145">
        <v>9999</v>
      </c>
      <c r="DU145">
        <v>1.87114</v>
      </c>
      <c r="DV145">
        <v>1.8761699999999999</v>
      </c>
      <c r="DW145">
        <v>1.8763700000000001</v>
      </c>
      <c r="DX145">
        <v>1.8828100000000001</v>
      </c>
      <c r="DY145">
        <v>1.87561</v>
      </c>
      <c r="DZ145">
        <v>1.8746799999999999</v>
      </c>
      <c r="EA145">
        <v>1.87087</v>
      </c>
      <c r="EB145">
        <v>1.8746700000000001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-0.83199999999999996</v>
      </c>
      <c r="EQ145">
        <v>9.1499999999999998E-2</v>
      </c>
      <c r="ER145">
        <v>-0.83190909090899401</v>
      </c>
      <c r="ES145">
        <v>0</v>
      </c>
      <c r="ET145">
        <v>0</v>
      </c>
      <c r="EU145">
        <v>0</v>
      </c>
      <c r="EV145">
        <v>9.1569999999998999E-2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8.8000000000000007</v>
      </c>
      <c r="FE145">
        <v>8.8000000000000007</v>
      </c>
      <c r="FF145">
        <v>1.24268</v>
      </c>
      <c r="FG145">
        <v>2.5952099999999998</v>
      </c>
      <c r="FH145">
        <v>2.19604</v>
      </c>
      <c r="FI145">
        <v>2.66235</v>
      </c>
      <c r="FJ145">
        <v>2.4462899999999999</v>
      </c>
      <c r="FK145">
        <v>2.2607400000000002</v>
      </c>
      <c r="FL145">
        <v>32.399099999999997</v>
      </c>
      <c r="FM145">
        <v>24.148800000000001</v>
      </c>
      <c r="FN145">
        <v>19</v>
      </c>
      <c r="FO145">
        <v>865.73299999999995</v>
      </c>
      <c r="FP145">
        <v>572.23599999999999</v>
      </c>
      <c r="FQ145">
        <v>18.231100000000001</v>
      </c>
      <c r="FR145">
        <v>25.7973</v>
      </c>
      <c r="FS145">
        <v>30</v>
      </c>
      <c r="FT145">
        <v>25.778700000000001</v>
      </c>
      <c r="FU145">
        <v>25.780100000000001</v>
      </c>
      <c r="FV145">
        <v>24.939299999999999</v>
      </c>
      <c r="FW145">
        <v>26.5443</v>
      </c>
      <c r="FX145">
        <v>0.82517600000000002</v>
      </c>
      <c r="FY145">
        <v>18.310600000000001</v>
      </c>
      <c r="FZ145">
        <v>410</v>
      </c>
      <c r="GA145">
        <v>14.7471</v>
      </c>
      <c r="GB145">
        <v>99.831199999999995</v>
      </c>
      <c r="GC145">
        <v>99.677999999999997</v>
      </c>
    </row>
    <row r="146" spans="1:185" x14ac:dyDescent="0.2">
      <c r="A146">
        <v>131</v>
      </c>
      <c r="B146">
        <v>1769197004</v>
      </c>
      <c r="C146">
        <v>2443</v>
      </c>
      <c r="D146" t="s">
        <v>558</v>
      </c>
      <c r="E146" t="s">
        <v>559</v>
      </c>
      <c r="F146">
        <v>15</v>
      </c>
      <c r="G146">
        <v>1769196995.9333301</v>
      </c>
      <c r="H146">
        <f t="shared" si="26"/>
        <v>7.6615336627649925E-4</v>
      </c>
      <c r="I146">
        <v>0</v>
      </c>
      <c r="J146">
        <f t="shared" si="38"/>
        <v>-3.7669909583920272E-3</v>
      </c>
      <c r="K146">
        <f t="shared" si="27"/>
        <v>-0.14037246521172037</v>
      </c>
      <c r="L146">
        <f t="shared" si="28"/>
        <v>71.99747950329089</v>
      </c>
      <c r="M146">
        <f t="shared" si="29"/>
        <v>1.5778746873650893</v>
      </c>
      <c r="N146">
        <f t="shared" si="30"/>
        <v>2.1915693413864119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26299.946285697573</v>
      </c>
      <c r="T146">
        <f t="shared" si="34"/>
        <v>100.00014</v>
      </c>
      <c r="U146">
        <f t="shared" si="35"/>
        <v>84.299926879732411</v>
      </c>
      <c r="V146">
        <f t="shared" si="36"/>
        <v>0.84299808860000003</v>
      </c>
      <c r="W146">
        <f t="shared" si="37"/>
        <v>0.15869539039600003</v>
      </c>
      <c r="X146">
        <v>1</v>
      </c>
      <c r="Y146">
        <v>1769196995.9333301</v>
      </c>
      <c r="Z146">
        <v>409.80246666666699</v>
      </c>
      <c r="AA146">
        <v>410.01946666666697</v>
      </c>
      <c r="AB146">
        <v>15.749746666666701</v>
      </c>
      <c r="AC146">
        <v>14.807133333333301</v>
      </c>
      <c r="AD146">
        <v>410.63446666666698</v>
      </c>
      <c r="AE146">
        <v>15.658186666666699</v>
      </c>
      <c r="AF146">
        <v>799.99573333333296</v>
      </c>
      <c r="AG146">
        <v>100.119666666667</v>
      </c>
      <c r="AH146">
        <v>6.4464593333333306E-2</v>
      </c>
      <c r="AI146">
        <v>18.90082</v>
      </c>
      <c r="AJ146">
        <v>999.9</v>
      </c>
      <c r="AK146">
        <v>999.9</v>
      </c>
      <c r="AL146">
        <v>0</v>
      </c>
      <c r="AM146">
        <v>0</v>
      </c>
      <c r="AN146">
        <v>5006.1666666666697</v>
      </c>
      <c r="AO146">
        <v>0</v>
      </c>
      <c r="AP146">
        <v>1.6937899999999999</v>
      </c>
      <c r="AQ146">
        <v>-0.21685380000000001</v>
      </c>
      <c r="AR146">
        <v>416.36033333333302</v>
      </c>
      <c r="AS146">
        <v>416.18206666666703</v>
      </c>
      <c r="AT146">
        <v>0.94261333333333297</v>
      </c>
      <c r="AU146">
        <v>410.01946666666697</v>
      </c>
      <c r="AV146">
        <v>14.807133333333301</v>
      </c>
      <c r="AW146">
        <v>1.576862</v>
      </c>
      <c r="AX146">
        <v>1.4824866666666701</v>
      </c>
      <c r="AY146">
        <v>13.7344733333333</v>
      </c>
      <c r="AZ146">
        <v>12.7886466666667</v>
      </c>
      <c r="BA146">
        <v>100.00014</v>
      </c>
      <c r="BB146">
        <v>0.90006120000000001</v>
      </c>
      <c r="BC146">
        <v>0</v>
      </c>
      <c r="BD146">
        <v>9.9938713333333401E-2</v>
      </c>
      <c r="BE146">
        <v>0</v>
      </c>
      <c r="BF146">
        <v>24</v>
      </c>
      <c r="BG146">
        <v>1648.9106666666701</v>
      </c>
      <c r="BH146">
        <v>1769196463</v>
      </c>
      <c r="BI146" t="s">
        <v>501</v>
      </c>
      <c r="BJ146">
        <v>1769196460</v>
      </c>
      <c r="BK146">
        <v>1769196463</v>
      </c>
      <c r="BL146">
        <v>4</v>
      </c>
      <c r="BM146">
        <v>-1.0999999999999999E-2</v>
      </c>
      <c r="BN146">
        <v>0</v>
      </c>
      <c r="BO146">
        <v>-0.83199999999999996</v>
      </c>
      <c r="BP146">
        <v>9.1999999999999998E-2</v>
      </c>
      <c r="BQ146">
        <v>410</v>
      </c>
      <c r="BR146">
        <v>15</v>
      </c>
      <c r="BS146">
        <v>0.22</v>
      </c>
      <c r="BT146">
        <v>0.08</v>
      </c>
      <c r="BU146">
        <v>-0.166178342857143</v>
      </c>
      <c r="BV146">
        <v>-0.78116318181818201</v>
      </c>
      <c r="BW146">
        <v>8.4366929393575402E-2</v>
      </c>
      <c r="BX146">
        <v>0</v>
      </c>
      <c r="BY146">
        <v>0</v>
      </c>
      <c r="BZ146">
        <v>0</v>
      </c>
      <c r="CA146">
        <v>0</v>
      </c>
      <c r="CB146">
        <v>-1</v>
      </c>
      <c r="CC146">
        <v>0.92652271428571398</v>
      </c>
      <c r="CD146">
        <v>0.212496077922077</v>
      </c>
      <c r="CE146">
        <v>2.50439383715194E-2</v>
      </c>
      <c r="CF146">
        <v>0</v>
      </c>
      <c r="CG146">
        <v>0</v>
      </c>
      <c r="CH146">
        <v>2</v>
      </c>
      <c r="CI146" t="s">
        <v>290</v>
      </c>
      <c r="CJ146">
        <v>3.5325199999999999</v>
      </c>
      <c r="CK146">
        <v>2.7018900000000001</v>
      </c>
      <c r="CL146">
        <v>9.7857100000000002E-2</v>
      </c>
      <c r="CM146">
        <v>9.6548800000000004E-2</v>
      </c>
      <c r="CN146">
        <v>8.8268899999999997E-2</v>
      </c>
      <c r="CO146">
        <v>8.3316899999999999E-2</v>
      </c>
      <c r="CP146">
        <v>31616.799999999999</v>
      </c>
      <c r="CQ146">
        <v>27801.3</v>
      </c>
      <c r="CR146">
        <v>32437.9</v>
      </c>
      <c r="CS146">
        <v>30700.7</v>
      </c>
      <c r="CT146">
        <v>40051.300000000003</v>
      </c>
      <c r="CU146">
        <v>39578.400000000001</v>
      </c>
      <c r="CV146">
        <v>47379.5</v>
      </c>
      <c r="CW146">
        <v>46825.4</v>
      </c>
      <c r="CX146">
        <v>2.6185399999999999</v>
      </c>
      <c r="CY146">
        <v>2.1198800000000002</v>
      </c>
      <c r="CZ146">
        <v>0</v>
      </c>
      <c r="DA146">
        <v>0</v>
      </c>
      <c r="DB146">
        <v>999.9</v>
      </c>
      <c r="DC146">
        <v>999.9</v>
      </c>
      <c r="DD146">
        <v>51.209000000000003</v>
      </c>
      <c r="DE146">
        <v>27.956</v>
      </c>
      <c r="DF146">
        <v>19.3596</v>
      </c>
      <c r="DG146">
        <v>30.1798</v>
      </c>
      <c r="DH146">
        <v>16.442299999999999</v>
      </c>
      <c r="DI146">
        <v>2</v>
      </c>
      <c r="DJ146">
        <v>-9.3672800000000001E-2</v>
      </c>
      <c r="DK146">
        <v>1.68727</v>
      </c>
      <c r="DL146">
        <v>20.2379</v>
      </c>
      <c r="DM146">
        <v>5.2495200000000004</v>
      </c>
      <c r="DN146">
        <v>12.033899999999999</v>
      </c>
      <c r="DO146">
        <v>4.9667599999999998</v>
      </c>
      <c r="DP146">
        <v>3.2909999999999999</v>
      </c>
      <c r="DQ146">
        <v>536.70000000000005</v>
      </c>
      <c r="DR146">
        <v>9999</v>
      </c>
      <c r="DS146">
        <v>9999</v>
      </c>
      <c r="DT146">
        <v>9999</v>
      </c>
      <c r="DU146">
        <v>1.8711800000000001</v>
      </c>
      <c r="DV146">
        <v>1.87615</v>
      </c>
      <c r="DW146">
        <v>1.87636</v>
      </c>
      <c r="DX146">
        <v>1.8828199999999999</v>
      </c>
      <c r="DY146">
        <v>1.87561</v>
      </c>
      <c r="DZ146">
        <v>1.87469</v>
      </c>
      <c r="EA146">
        <v>1.87087</v>
      </c>
      <c r="EB146">
        <v>1.8746700000000001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-0.83199999999999996</v>
      </c>
      <c r="EQ146">
        <v>9.1600000000000001E-2</v>
      </c>
      <c r="ER146">
        <v>-0.83190909090899401</v>
      </c>
      <c r="ES146">
        <v>0</v>
      </c>
      <c r="ET146">
        <v>0</v>
      </c>
      <c r="EU146">
        <v>0</v>
      </c>
      <c r="EV146">
        <v>9.1569999999998999E-2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9.1</v>
      </c>
      <c r="FE146">
        <v>9</v>
      </c>
      <c r="FF146">
        <v>1.24268</v>
      </c>
      <c r="FG146">
        <v>2.5952099999999998</v>
      </c>
      <c r="FH146">
        <v>2.19604</v>
      </c>
      <c r="FI146">
        <v>2.66235</v>
      </c>
      <c r="FJ146">
        <v>2.4462899999999999</v>
      </c>
      <c r="FK146">
        <v>2.2705099999999998</v>
      </c>
      <c r="FL146">
        <v>32.399099999999997</v>
      </c>
      <c r="FM146">
        <v>24.148800000000001</v>
      </c>
      <c r="FN146">
        <v>19</v>
      </c>
      <c r="FO146">
        <v>865.85400000000004</v>
      </c>
      <c r="FP146">
        <v>571.63300000000004</v>
      </c>
      <c r="FQ146">
        <v>18.457699999999999</v>
      </c>
      <c r="FR146">
        <v>25.8034</v>
      </c>
      <c r="FS146">
        <v>30.0002</v>
      </c>
      <c r="FT146">
        <v>25.783899999999999</v>
      </c>
      <c r="FU146">
        <v>25.784800000000001</v>
      </c>
      <c r="FV146">
        <v>24.935400000000001</v>
      </c>
      <c r="FW146">
        <v>27.142499999999998</v>
      </c>
      <c r="FX146">
        <v>0.82517600000000002</v>
      </c>
      <c r="FY146">
        <v>18.518699999999999</v>
      </c>
      <c r="FZ146">
        <v>410</v>
      </c>
      <c r="GA146">
        <v>14.613</v>
      </c>
      <c r="GB146">
        <v>99.829599999999999</v>
      </c>
      <c r="GC146">
        <v>99.676500000000004</v>
      </c>
    </row>
    <row r="147" spans="1:185" x14ac:dyDescent="0.2">
      <c r="A147">
        <v>132</v>
      </c>
      <c r="B147">
        <v>1769197019</v>
      </c>
      <c r="C147">
        <v>2458</v>
      </c>
      <c r="D147" t="s">
        <v>560</v>
      </c>
      <c r="E147" t="s">
        <v>561</v>
      </c>
      <c r="F147">
        <v>15</v>
      </c>
      <c r="G147">
        <v>1769197010.9333301</v>
      </c>
      <c r="H147">
        <f t="shared" si="26"/>
        <v>7.7382830832289841E-4</v>
      </c>
      <c r="I147">
        <v>0</v>
      </c>
      <c r="J147">
        <f t="shared" si="38"/>
        <v>-3.2421378727818619E-3</v>
      </c>
      <c r="K147">
        <f t="shared" si="27"/>
        <v>-0.12081443539034649</v>
      </c>
      <c r="L147">
        <f t="shared" si="28"/>
        <v>71.267394173369439</v>
      </c>
      <c r="M147">
        <f t="shared" si="29"/>
        <v>1.5648661391175398</v>
      </c>
      <c r="N147">
        <f t="shared" si="30"/>
        <v>2.1957673032224951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26280.371468804376</v>
      </c>
      <c r="T147">
        <f t="shared" si="34"/>
        <v>99.999200000000002</v>
      </c>
      <c r="U147">
        <f t="shared" si="35"/>
        <v>84.299100861797925</v>
      </c>
      <c r="V147">
        <f t="shared" si="36"/>
        <v>0.84299775259999998</v>
      </c>
      <c r="W147">
        <f t="shared" si="37"/>
        <v>0.158694550396</v>
      </c>
      <c r="X147">
        <v>1</v>
      </c>
      <c r="Y147">
        <v>1769197010.9333301</v>
      </c>
      <c r="Z147">
        <v>409.75900000000001</v>
      </c>
      <c r="AA147">
        <v>410.00433333333302</v>
      </c>
      <c r="AB147">
        <v>15.619960000000001</v>
      </c>
      <c r="AC147">
        <v>14.6677933333333</v>
      </c>
      <c r="AD147">
        <v>410.590933333333</v>
      </c>
      <c r="AE147">
        <v>15.52838</v>
      </c>
      <c r="AF147">
        <v>800.00819999999999</v>
      </c>
      <c r="AG147">
        <v>100.11960000000001</v>
      </c>
      <c r="AH147">
        <v>6.4148173333333294E-2</v>
      </c>
      <c r="AI147">
        <v>18.931466666666701</v>
      </c>
      <c r="AJ147">
        <v>999.9</v>
      </c>
      <c r="AK147">
        <v>999.9</v>
      </c>
      <c r="AL147">
        <v>0</v>
      </c>
      <c r="AM147">
        <v>0</v>
      </c>
      <c r="AN147">
        <v>5003.3999999999996</v>
      </c>
      <c r="AO147">
        <v>0</v>
      </c>
      <c r="AP147">
        <v>1.6937899999999999</v>
      </c>
      <c r="AQ147">
        <v>-0.24542238</v>
      </c>
      <c r="AR147">
        <v>416.26106666666698</v>
      </c>
      <c r="AS147">
        <v>416.10786666666701</v>
      </c>
      <c r="AT147">
        <v>0.95215106666666705</v>
      </c>
      <c r="AU147">
        <v>410.00433333333302</v>
      </c>
      <c r="AV147">
        <v>14.6677933333333</v>
      </c>
      <c r="AW147">
        <v>1.56386133333333</v>
      </c>
      <c r="AX147">
        <v>1.4685333333333299</v>
      </c>
      <c r="AY147">
        <v>13.607226666666699</v>
      </c>
      <c r="AZ147">
        <v>12.6443933333333</v>
      </c>
      <c r="BA147">
        <v>99.999200000000002</v>
      </c>
      <c r="BB147">
        <v>0.90007239999999999</v>
      </c>
      <c r="BC147">
        <v>0</v>
      </c>
      <c r="BD147">
        <v>9.9927513333333301E-2</v>
      </c>
      <c r="BE147">
        <v>0</v>
      </c>
      <c r="BF147">
        <v>24</v>
      </c>
      <c r="BG147">
        <v>1648.9</v>
      </c>
      <c r="BH147">
        <v>1769196463</v>
      </c>
      <c r="BI147" t="s">
        <v>501</v>
      </c>
      <c r="BJ147">
        <v>1769196460</v>
      </c>
      <c r="BK147">
        <v>1769196463</v>
      </c>
      <c r="BL147">
        <v>4</v>
      </c>
      <c r="BM147">
        <v>-1.0999999999999999E-2</v>
      </c>
      <c r="BN147">
        <v>0</v>
      </c>
      <c r="BO147">
        <v>-0.83199999999999996</v>
      </c>
      <c r="BP147">
        <v>9.1999999999999998E-2</v>
      </c>
      <c r="BQ147">
        <v>410</v>
      </c>
      <c r="BR147">
        <v>15</v>
      </c>
      <c r="BS147">
        <v>0.22</v>
      </c>
      <c r="BT147">
        <v>0.08</v>
      </c>
      <c r="BU147">
        <v>-0.24989473500000001</v>
      </c>
      <c r="BV147">
        <v>-0.25344393834586498</v>
      </c>
      <c r="BW147">
        <v>7.5864140082085404E-2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0.95058500000000001</v>
      </c>
      <c r="CD147">
        <v>-1.27759398495344E-4</v>
      </c>
      <c r="CE147">
        <v>9.7906559994721497E-3</v>
      </c>
      <c r="CF147">
        <v>1</v>
      </c>
      <c r="CG147">
        <v>2</v>
      </c>
      <c r="CH147">
        <v>2</v>
      </c>
      <c r="CI147" t="s">
        <v>304</v>
      </c>
      <c r="CJ147">
        <v>3.53254</v>
      </c>
      <c r="CK147">
        <v>2.7019000000000002</v>
      </c>
      <c r="CL147">
        <v>9.7847000000000003E-2</v>
      </c>
      <c r="CM147">
        <v>9.6534300000000003E-2</v>
      </c>
      <c r="CN147">
        <v>8.7763999999999995E-2</v>
      </c>
      <c r="CO147">
        <v>8.2920599999999997E-2</v>
      </c>
      <c r="CP147">
        <v>31617.3</v>
      </c>
      <c r="CQ147">
        <v>27800.799999999999</v>
      </c>
      <c r="CR147">
        <v>32438</v>
      </c>
      <c r="CS147">
        <v>30699.8</v>
      </c>
      <c r="CT147">
        <v>40074.300000000003</v>
      </c>
      <c r="CU147">
        <v>39594.800000000003</v>
      </c>
      <c r="CV147">
        <v>47379.6</v>
      </c>
      <c r="CW147">
        <v>46824</v>
      </c>
      <c r="CX147">
        <v>2.6181800000000002</v>
      </c>
      <c r="CY147">
        <v>2.11978</v>
      </c>
      <c r="CZ147">
        <v>0</v>
      </c>
      <c r="DA147">
        <v>0</v>
      </c>
      <c r="DB147">
        <v>999.9</v>
      </c>
      <c r="DC147">
        <v>999.9</v>
      </c>
      <c r="DD147">
        <v>51.16</v>
      </c>
      <c r="DE147">
        <v>27.956</v>
      </c>
      <c r="DF147">
        <v>19.3428</v>
      </c>
      <c r="DG147">
        <v>30.509799999999998</v>
      </c>
      <c r="DH147">
        <v>16.382200000000001</v>
      </c>
      <c r="DI147">
        <v>2</v>
      </c>
      <c r="DJ147">
        <v>-9.3294699999999994E-2</v>
      </c>
      <c r="DK147">
        <v>1.6371899999999999</v>
      </c>
      <c r="DL147">
        <v>20.238499999999998</v>
      </c>
      <c r="DM147">
        <v>5.2496400000000003</v>
      </c>
      <c r="DN147">
        <v>12.033899999999999</v>
      </c>
      <c r="DO147">
        <v>4.9667599999999998</v>
      </c>
      <c r="DP147">
        <v>3.2909999999999999</v>
      </c>
      <c r="DQ147">
        <v>536.70000000000005</v>
      </c>
      <c r="DR147">
        <v>9999</v>
      </c>
      <c r="DS147">
        <v>9999</v>
      </c>
      <c r="DT147">
        <v>9999</v>
      </c>
      <c r="DU147">
        <v>1.8711199999999999</v>
      </c>
      <c r="DV147">
        <v>1.87615</v>
      </c>
      <c r="DW147">
        <v>1.87636</v>
      </c>
      <c r="DX147">
        <v>1.8828</v>
      </c>
      <c r="DY147">
        <v>1.87561</v>
      </c>
      <c r="DZ147">
        <v>1.8746799999999999</v>
      </c>
      <c r="EA147">
        <v>1.8708499999999999</v>
      </c>
      <c r="EB147">
        <v>1.8746499999999999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-0.83199999999999996</v>
      </c>
      <c r="EQ147">
        <v>9.1600000000000001E-2</v>
      </c>
      <c r="ER147">
        <v>-0.83190909090899401</v>
      </c>
      <c r="ES147">
        <v>0</v>
      </c>
      <c r="ET147">
        <v>0</v>
      </c>
      <c r="EU147">
        <v>0</v>
      </c>
      <c r="EV147">
        <v>9.1569999999998999E-2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9.3000000000000007</v>
      </c>
      <c r="FE147">
        <v>9.3000000000000007</v>
      </c>
      <c r="FF147">
        <v>1.24268</v>
      </c>
      <c r="FG147">
        <v>2.5952099999999998</v>
      </c>
      <c r="FH147">
        <v>2.19604</v>
      </c>
      <c r="FI147">
        <v>2.66235</v>
      </c>
      <c r="FJ147">
        <v>2.4462899999999999</v>
      </c>
      <c r="FK147">
        <v>2.2949199999999998</v>
      </c>
      <c r="FL147">
        <v>32.399099999999997</v>
      </c>
      <c r="FM147">
        <v>24.148800000000001</v>
      </c>
      <c r="FN147">
        <v>19</v>
      </c>
      <c r="FO147">
        <v>865.60199999999998</v>
      </c>
      <c r="FP147">
        <v>571.61800000000005</v>
      </c>
      <c r="FQ147">
        <v>18.629100000000001</v>
      </c>
      <c r="FR147">
        <v>25.808199999999999</v>
      </c>
      <c r="FS147">
        <v>30.000299999999999</v>
      </c>
      <c r="FT147">
        <v>25.789100000000001</v>
      </c>
      <c r="FU147">
        <v>25.790500000000002</v>
      </c>
      <c r="FV147">
        <v>24.938800000000001</v>
      </c>
      <c r="FW147">
        <v>27.417899999999999</v>
      </c>
      <c r="FX147">
        <v>0.454038</v>
      </c>
      <c r="FY147">
        <v>18.662199999999999</v>
      </c>
      <c r="FZ147">
        <v>410</v>
      </c>
      <c r="GA147">
        <v>14.551299999999999</v>
      </c>
      <c r="GB147">
        <v>99.829899999999995</v>
      </c>
      <c r="GC147">
        <v>99.673400000000001</v>
      </c>
    </row>
    <row r="148" spans="1:185" x14ac:dyDescent="0.2">
      <c r="A148">
        <v>133</v>
      </c>
      <c r="B148">
        <v>1769197034</v>
      </c>
      <c r="C148">
        <v>2473</v>
      </c>
      <c r="D148" t="s">
        <v>562</v>
      </c>
      <c r="E148" t="s">
        <v>563</v>
      </c>
      <c r="F148">
        <v>15</v>
      </c>
      <c r="G148">
        <v>1769197025.9333301</v>
      </c>
      <c r="H148">
        <f t="shared" si="26"/>
        <v>7.6243535281900014E-4</v>
      </c>
      <c r="I148">
        <v>0</v>
      </c>
      <c r="J148">
        <f t="shared" si="38"/>
        <v>-2.0956032717184651E-3</v>
      </c>
      <c r="K148">
        <f t="shared" si="27"/>
        <v>-7.8090178767626903E-2</v>
      </c>
      <c r="L148">
        <f t="shared" si="28"/>
        <v>70.652187384601703</v>
      </c>
      <c r="M148">
        <f t="shared" si="29"/>
        <v>1.5552589302187891</v>
      </c>
      <c r="N148">
        <f t="shared" si="30"/>
        <v>2.2012891430418051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26276.794939930798</v>
      </c>
      <c r="T148">
        <f t="shared" si="34"/>
        <v>99.999893333333304</v>
      </c>
      <c r="U148">
        <f t="shared" si="35"/>
        <v>84.299660440266265</v>
      </c>
      <c r="V148">
        <f t="shared" si="36"/>
        <v>0.84299750360000014</v>
      </c>
      <c r="W148">
        <f t="shared" si="37"/>
        <v>0.15869386293600005</v>
      </c>
      <c r="X148">
        <v>1</v>
      </c>
      <c r="Y148">
        <v>1769197025.9333301</v>
      </c>
      <c r="Z148">
        <v>409.71879999999999</v>
      </c>
      <c r="AA148">
        <v>410.011666666667</v>
      </c>
      <c r="AB148">
        <v>15.524126666666699</v>
      </c>
      <c r="AC148">
        <v>14.58588</v>
      </c>
      <c r="AD148">
        <v>410.55053333333302</v>
      </c>
      <c r="AE148">
        <v>15.43256</v>
      </c>
      <c r="AF148">
        <v>800.00199999999995</v>
      </c>
      <c r="AG148">
        <v>100.119</v>
      </c>
      <c r="AH148">
        <v>6.4344520000000002E-2</v>
      </c>
      <c r="AI148">
        <v>18.971699999999998</v>
      </c>
      <c r="AJ148">
        <v>999.9</v>
      </c>
      <c r="AK148">
        <v>999.9</v>
      </c>
      <c r="AL148">
        <v>0</v>
      </c>
      <c r="AM148">
        <v>0</v>
      </c>
      <c r="AN148">
        <v>5003.4333333333298</v>
      </c>
      <c r="AO148">
        <v>0</v>
      </c>
      <c r="AP148">
        <v>1.6937899999999999</v>
      </c>
      <c r="AQ148">
        <v>-0.293078533333333</v>
      </c>
      <c r="AR148">
        <v>416.17959999999999</v>
      </c>
      <c r="AS148">
        <v>416.0806</v>
      </c>
      <c r="AT148">
        <v>0.93825713333333305</v>
      </c>
      <c r="AU148">
        <v>410.011666666667</v>
      </c>
      <c r="AV148">
        <v>14.58588</v>
      </c>
      <c r="AW148">
        <v>1.5542640000000001</v>
      </c>
      <c r="AX148">
        <v>1.4603266666666701</v>
      </c>
      <c r="AY148">
        <v>13.5126733333333</v>
      </c>
      <c r="AZ148">
        <v>12.558946666666699</v>
      </c>
      <c r="BA148">
        <v>99.999893333333304</v>
      </c>
      <c r="BB148">
        <v>0.900081666666667</v>
      </c>
      <c r="BC148">
        <v>0</v>
      </c>
      <c r="BD148">
        <v>9.9918279999999998E-2</v>
      </c>
      <c r="BE148">
        <v>0</v>
      </c>
      <c r="BF148">
        <v>24</v>
      </c>
      <c r="BG148">
        <v>1648.91533333333</v>
      </c>
      <c r="BH148">
        <v>1769196463</v>
      </c>
      <c r="BI148" t="s">
        <v>501</v>
      </c>
      <c r="BJ148">
        <v>1769196460</v>
      </c>
      <c r="BK148">
        <v>1769196463</v>
      </c>
      <c r="BL148">
        <v>4</v>
      </c>
      <c r="BM148">
        <v>-1.0999999999999999E-2</v>
      </c>
      <c r="BN148">
        <v>0</v>
      </c>
      <c r="BO148">
        <v>-0.83199999999999996</v>
      </c>
      <c r="BP148">
        <v>9.1999999999999998E-2</v>
      </c>
      <c r="BQ148">
        <v>410</v>
      </c>
      <c r="BR148">
        <v>15</v>
      </c>
      <c r="BS148">
        <v>0.22</v>
      </c>
      <c r="BT148">
        <v>0.08</v>
      </c>
      <c r="BU148">
        <v>-0.295802476190476</v>
      </c>
      <c r="BV148">
        <v>-2.0828259740260199E-2</v>
      </c>
      <c r="BW148">
        <v>2.6197642245091701E-2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0.93996819047618996</v>
      </c>
      <c r="CD148">
        <v>1.29941298701312E-2</v>
      </c>
      <c r="CE148">
        <v>9.6764651585028207E-3</v>
      </c>
      <c r="CF148">
        <v>1</v>
      </c>
      <c r="CG148">
        <v>2</v>
      </c>
      <c r="CH148">
        <v>2</v>
      </c>
      <c r="CI148" t="s">
        <v>304</v>
      </c>
      <c r="CJ148">
        <v>3.5325500000000001</v>
      </c>
      <c r="CK148">
        <v>2.7021799999999998</v>
      </c>
      <c r="CL148">
        <v>9.7839700000000002E-2</v>
      </c>
      <c r="CM148">
        <v>9.6532699999999999E-2</v>
      </c>
      <c r="CN148">
        <v>8.7409899999999999E-2</v>
      </c>
      <c r="CO148">
        <v>8.2577100000000001E-2</v>
      </c>
      <c r="CP148">
        <v>31617</v>
      </c>
      <c r="CQ148">
        <v>27800.799999999999</v>
      </c>
      <c r="CR148">
        <v>32437.599999999999</v>
      </c>
      <c r="CS148">
        <v>30699.7</v>
      </c>
      <c r="CT148">
        <v>40090.1</v>
      </c>
      <c r="CU148">
        <v>39610.1</v>
      </c>
      <c r="CV148">
        <v>47379.3</v>
      </c>
      <c r="CW148">
        <v>46824.1</v>
      </c>
      <c r="CX148">
        <v>2.6183200000000002</v>
      </c>
      <c r="CY148">
        <v>2.1193399999999998</v>
      </c>
      <c r="CZ148">
        <v>0</v>
      </c>
      <c r="DA148">
        <v>0</v>
      </c>
      <c r="DB148">
        <v>999.9</v>
      </c>
      <c r="DC148">
        <v>999.9</v>
      </c>
      <c r="DD148">
        <v>51.140999999999998</v>
      </c>
      <c r="DE148">
        <v>27.986000000000001</v>
      </c>
      <c r="DF148">
        <v>19.366800000000001</v>
      </c>
      <c r="DG148">
        <v>30.119800000000001</v>
      </c>
      <c r="DH148">
        <v>16.374199999999998</v>
      </c>
      <c r="DI148">
        <v>2</v>
      </c>
      <c r="DJ148">
        <v>-9.2719499999999996E-2</v>
      </c>
      <c r="DK148">
        <v>1.7035899999999999</v>
      </c>
      <c r="DL148">
        <v>20.236999999999998</v>
      </c>
      <c r="DM148">
        <v>5.2497600000000002</v>
      </c>
      <c r="DN148">
        <v>12.033899999999999</v>
      </c>
      <c r="DO148">
        <v>4.9667599999999998</v>
      </c>
      <c r="DP148">
        <v>3.2909999999999999</v>
      </c>
      <c r="DQ148">
        <v>536.70000000000005</v>
      </c>
      <c r="DR148">
        <v>9999</v>
      </c>
      <c r="DS148">
        <v>9999</v>
      </c>
      <c r="DT148">
        <v>9999</v>
      </c>
      <c r="DU148">
        <v>1.8711500000000001</v>
      </c>
      <c r="DV148">
        <v>1.8761300000000001</v>
      </c>
      <c r="DW148">
        <v>1.87636</v>
      </c>
      <c r="DX148">
        <v>1.8828100000000001</v>
      </c>
      <c r="DY148">
        <v>1.87561</v>
      </c>
      <c r="DZ148">
        <v>1.87469</v>
      </c>
      <c r="EA148">
        <v>1.87087</v>
      </c>
      <c r="EB148">
        <v>1.8746400000000001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-0.83199999999999996</v>
      </c>
      <c r="EQ148">
        <v>9.1499999999999998E-2</v>
      </c>
      <c r="ER148">
        <v>-0.83190909090899401</v>
      </c>
      <c r="ES148">
        <v>0</v>
      </c>
      <c r="ET148">
        <v>0</v>
      </c>
      <c r="EU148">
        <v>0</v>
      </c>
      <c r="EV148">
        <v>9.1569999999998999E-2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9.6</v>
      </c>
      <c r="FE148">
        <v>9.5</v>
      </c>
      <c r="FF148">
        <v>1.24268</v>
      </c>
      <c r="FG148">
        <v>2.5976599999999999</v>
      </c>
      <c r="FH148">
        <v>2.19604</v>
      </c>
      <c r="FI148">
        <v>2.66235</v>
      </c>
      <c r="FJ148">
        <v>2.4462899999999999</v>
      </c>
      <c r="FK148">
        <v>2.3071299999999999</v>
      </c>
      <c r="FL148">
        <v>32.399099999999997</v>
      </c>
      <c r="FM148">
        <v>24.157499999999999</v>
      </c>
      <c r="FN148">
        <v>19</v>
      </c>
      <c r="FO148">
        <v>865.80100000000004</v>
      </c>
      <c r="FP148">
        <v>571.33900000000006</v>
      </c>
      <c r="FQ148">
        <v>18.718699999999998</v>
      </c>
      <c r="FR148">
        <v>25.812100000000001</v>
      </c>
      <c r="FS148">
        <v>30.000299999999999</v>
      </c>
      <c r="FT148">
        <v>25.793399999999998</v>
      </c>
      <c r="FU148">
        <v>25.7957</v>
      </c>
      <c r="FV148">
        <v>24.936599999999999</v>
      </c>
      <c r="FW148">
        <v>27.705300000000001</v>
      </c>
      <c r="FX148">
        <v>0.454038</v>
      </c>
      <c r="FY148">
        <v>18.721299999999999</v>
      </c>
      <c r="FZ148">
        <v>410</v>
      </c>
      <c r="GA148">
        <v>14.5289</v>
      </c>
      <c r="GB148">
        <v>99.828900000000004</v>
      </c>
      <c r="GC148">
        <v>99.673500000000004</v>
      </c>
    </row>
    <row r="149" spans="1:185" x14ac:dyDescent="0.2">
      <c r="A149">
        <v>134</v>
      </c>
      <c r="B149">
        <v>1769197049</v>
      </c>
      <c r="C149">
        <v>2488</v>
      </c>
      <c r="D149" t="s">
        <v>564</v>
      </c>
      <c r="E149" t="s">
        <v>565</v>
      </c>
      <c r="F149">
        <v>15</v>
      </c>
      <c r="G149">
        <v>1769197040.9333301</v>
      </c>
      <c r="H149">
        <f t="shared" si="26"/>
        <v>7.4063307823099176E-4</v>
      </c>
      <c r="I149">
        <v>0</v>
      </c>
      <c r="J149">
        <f t="shared" si="38"/>
        <v>-1.3052822571827708E-3</v>
      </c>
      <c r="K149">
        <f t="shared" si="27"/>
        <v>-4.86398003769236E-2</v>
      </c>
      <c r="L149">
        <f t="shared" si="28"/>
        <v>70.156679539581631</v>
      </c>
      <c r="M149">
        <f t="shared" si="29"/>
        <v>1.5477277086607455</v>
      </c>
      <c r="N149">
        <f t="shared" si="30"/>
        <v>2.2061017123644433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26191.4406789602</v>
      </c>
      <c r="T149">
        <f t="shared" si="34"/>
        <v>99.999780000000001</v>
      </c>
      <c r="U149">
        <f t="shared" si="35"/>
        <v>84.299521220645303</v>
      </c>
      <c r="V149">
        <f t="shared" si="36"/>
        <v>0.84299706679999997</v>
      </c>
      <c r="W149">
        <f t="shared" si="37"/>
        <v>0.158692718968</v>
      </c>
      <c r="X149">
        <v>1</v>
      </c>
      <c r="Y149">
        <v>1769197040.9333301</v>
      </c>
      <c r="Z149">
        <v>409.668133333333</v>
      </c>
      <c r="AA149">
        <v>409.98660000000001</v>
      </c>
      <c r="AB149">
        <v>15.448840000000001</v>
      </c>
      <c r="AC149">
        <v>14.5373533333333</v>
      </c>
      <c r="AD149">
        <v>410.50006666666701</v>
      </c>
      <c r="AE149">
        <v>15.35726</v>
      </c>
      <c r="AF149">
        <v>800.00199999999995</v>
      </c>
      <c r="AG149">
        <v>100.11960000000001</v>
      </c>
      <c r="AH149">
        <v>6.4472633333333307E-2</v>
      </c>
      <c r="AI149">
        <v>19.006693333333299</v>
      </c>
      <c r="AJ149">
        <v>999.9</v>
      </c>
      <c r="AK149">
        <v>999.9</v>
      </c>
      <c r="AL149">
        <v>0</v>
      </c>
      <c r="AM149">
        <v>0</v>
      </c>
      <c r="AN149">
        <v>4989.8666666666704</v>
      </c>
      <c r="AO149">
        <v>0</v>
      </c>
      <c r="AP149">
        <v>1.6937899999999999</v>
      </c>
      <c r="AQ149">
        <v>-0.31834913333333298</v>
      </c>
      <c r="AR149">
        <v>416.09653333333301</v>
      </c>
      <c r="AS149">
        <v>416.034533333333</v>
      </c>
      <c r="AT149">
        <v>0.91148346666666702</v>
      </c>
      <c r="AU149">
        <v>409.98660000000001</v>
      </c>
      <c r="AV149">
        <v>14.5373533333333</v>
      </c>
      <c r="AW149">
        <v>1.54672866666667</v>
      </c>
      <c r="AX149">
        <v>1.4554739999999999</v>
      </c>
      <c r="AY149">
        <v>13.438079999999999</v>
      </c>
      <c r="AZ149">
        <v>12.5082466666667</v>
      </c>
      <c r="BA149">
        <v>99.999780000000001</v>
      </c>
      <c r="BB149">
        <v>0.90009700000000004</v>
      </c>
      <c r="BC149">
        <v>0</v>
      </c>
      <c r="BD149">
        <v>9.9902973333333298E-2</v>
      </c>
      <c r="BE149">
        <v>0</v>
      </c>
      <c r="BF149">
        <v>24</v>
      </c>
      <c r="BG149">
        <v>1648.922</v>
      </c>
      <c r="BH149">
        <v>1769196463</v>
      </c>
      <c r="BI149" t="s">
        <v>501</v>
      </c>
      <c r="BJ149">
        <v>1769196460</v>
      </c>
      <c r="BK149">
        <v>1769196463</v>
      </c>
      <c r="BL149">
        <v>4</v>
      </c>
      <c r="BM149">
        <v>-1.0999999999999999E-2</v>
      </c>
      <c r="BN149">
        <v>0</v>
      </c>
      <c r="BO149">
        <v>-0.83199999999999996</v>
      </c>
      <c r="BP149">
        <v>9.1999999999999998E-2</v>
      </c>
      <c r="BQ149">
        <v>410</v>
      </c>
      <c r="BR149">
        <v>15</v>
      </c>
      <c r="BS149">
        <v>0.22</v>
      </c>
      <c r="BT149">
        <v>0.08</v>
      </c>
      <c r="BU149">
        <v>-0.31344452380952398</v>
      </c>
      <c r="BV149">
        <v>-9.9143766233766695E-2</v>
      </c>
      <c r="BW149">
        <v>2.0494008617198699E-2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0.92179347619047602</v>
      </c>
      <c r="CD149">
        <v>-0.19979719480519501</v>
      </c>
      <c r="CE149">
        <v>2.0499300704958E-2</v>
      </c>
      <c r="CF149">
        <v>0</v>
      </c>
      <c r="CG149">
        <v>1</v>
      </c>
      <c r="CH149">
        <v>2</v>
      </c>
      <c r="CI149" t="s">
        <v>297</v>
      </c>
      <c r="CJ149">
        <v>3.5325899999999999</v>
      </c>
      <c r="CK149">
        <v>2.7025700000000001</v>
      </c>
      <c r="CL149">
        <v>9.7831000000000001E-2</v>
      </c>
      <c r="CM149">
        <v>9.6534700000000001E-2</v>
      </c>
      <c r="CN149">
        <v>8.7114499999999997E-2</v>
      </c>
      <c r="CO149">
        <v>8.2420800000000002E-2</v>
      </c>
      <c r="CP149">
        <v>31616.799999999999</v>
      </c>
      <c r="CQ149">
        <v>27800</v>
      </c>
      <c r="CR149">
        <v>32437.1</v>
      </c>
      <c r="CS149">
        <v>30698.9</v>
      </c>
      <c r="CT149">
        <v>40102.800000000003</v>
      </c>
      <c r="CU149">
        <v>39616</v>
      </c>
      <c r="CV149">
        <v>47378.5</v>
      </c>
      <c r="CW149">
        <v>46822.9</v>
      </c>
      <c r="CX149">
        <v>2.6180599999999998</v>
      </c>
      <c r="CY149">
        <v>2.1190600000000002</v>
      </c>
      <c r="CZ149">
        <v>0</v>
      </c>
      <c r="DA149">
        <v>0</v>
      </c>
      <c r="DB149">
        <v>999.9</v>
      </c>
      <c r="DC149">
        <v>999.9</v>
      </c>
      <c r="DD149">
        <v>51.093000000000004</v>
      </c>
      <c r="DE149">
        <v>27.986000000000001</v>
      </c>
      <c r="DF149">
        <v>19.350200000000001</v>
      </c>
      <c r="DG149">
        <v>30.419799999999999</v>
      </c>
      <c r="DH149">
        <v>16.3582</v>
      </c>
      <c r="DI149">
        <v>2</v>
      </c>
      <c r="DJ149">
        <v>-8.5751999999999995E-2</v>
      </c>
      <c r="DK149">
        <v>3.5768800000000001</v>
      </c>
      <c r="DL149">
        <v>20.1997</v>
      </c>
      <c r="DM149">
        <v>5.2497600000000002</v>
      </c>
      <c r="DN149">
        <v>12.033899999999999</v>
      </c>
      <c r="DO149">
        <v>4.9668000000000001</v>
      </c>
      <c r="DP149">
        <v>3.2909999999999999</v>
      </c>
      <c r="DQ149">
        <v>536.70000000000005</v>
      </c>
      <c r="DR149">
        <v>9999</v>
      </c>
      <c r="DS149">
        <v>9999</v>
      </c>
      <c r="DT149">
        <v>9999</v>
      </c>
      <c r="DU149">
        <v>1.8711800000000001</v>
      </c>
      <c r="DV149">
        <v>1.8761399999999999</v>
      </c>
      <c r="DW149">
        <v>1.8763700000000001</v>
      </c>
      <c r="DX149">
        <v>1.88286</v>
      </c>
      <c r="DY149">
        <v>1.87561</v>
      </c>
      <c r="DZ149">
        <v>1.87469</v>
      </c>
      <c r="EA149">
        <v>1.87087</v>
      </c>
      <c r="EB149">
        <v>1.8746799999999999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-0.83199999999999996</v>
      </c>
      <c r="EQ149">
        <v>9.1600000000000001E-2</v>
      </c>
      <c r="ER149">
        <v>-0.83190909090899401</v>
      </c>
      <c r="ES149">
        <v>0</v>
      </c>
      <c r="ET149">
        <v>0</v>
      </c>
      <c r="EU149">
        <v>0</v>
      </c>
      <c r="EV149">
        <v>9.1569999999998999E-2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9.8000000000000007</v>
      </c>
      <c r="FE149">
        <v>9.8000000000000007</v>
      </c>
      <c r="FF149">
        <v>1.24268</v>
      </c>
      <c r="FG149">
        <v>2.5952099999999998</v>
      </c>
      <c r="FH149">
        <v>2.19604</v>
      </c>
      <c r="FI149">
        <v>2.66357</v>
      </c>
      <c r="FJ149">
        <v>2.4462899999999999</v>
      </c>
      <c r="FK149">
        <v>2.31934</v>
      </c>
      <c r="FL149">
        <v>32.399099999999997</v>
      </c>
      <c r="FM149">
        <v>24.148800000000001</v>
      </c>
      <c r="FN149">
        <v>19</v>
      </c>
      <c r="FO149">
        <v>865.63499999999999</v>
      </c>
      <c r="FP149">
        <v>571.17399999999998</v>
      </c>
      <c r="FQ149">
        <v>18.3947</v>
      </c>
      <c r="FR149">
        <v>25.816400000000002</v>
      </c>
      <c r="FS149">
        <v>30.004100000000001</v>
      </c>
      <c r="FT149">
        <v>25.798200000000001</v>
      </c>
      <c r="FU149">
        <v>25.8</v>
      </c>
      <c r="FV149">
        <v>24.936599999999999</v>
      </c>
      <c r="FW149">
        <v>27.705300000000001</v>
      </c>
      <c r="FX149">
        <v>7.9688999999999996E-2</v>
      </c>
      <c r="FY149">
        <v>18.213899999999999</v>
      </c>
      <c r="FZ149">
        <v>410</v>
      </c>
      <c r="GA149">
        <v>14.550700000000001</v>
      </c>
      <c r="GB149">
        <v>99.827299999999994</v>
      </c>
      <c r="GC149">
        <v>99.6708</v>
      </c>
    </row>
    <row r="150" spans="1:185" x14ac:dyDescent="0.2">
      <c r="A150">
        <v>135</v>
      </c>
      <c r="B150">
        <v>1769197064</v>
      </c>
      <c r="C150">
        <v>2503</v>
      </c>
      <c r="D150" t="s">
        <v>566</v>
      </c>
      <c r="E150" t="s">
        <v>567</v>
      </c>
      <c r="F150">
        <v>15</v>
      </c>
      <c r="G150">
        <v>1769197055.9333301</v>
      </c>
      <c r="H150">
        <f t="shared" si="26"/>
        <v>7.233878380765033E-4</v>
      </c>
      <c r="I150">
        <v>0</v>
      </c>
      <c r="J150">
        <f t="shared" si="38"/>
        <v>-1.5943427645523404E-3</v>
      </c>
      <c r="K150">
        <f t="shared" si="27"/>
        <v>-5.9411298493854951E-2</v>
      </c>
      <c r="L150">
        <f t="shared" si="28"/>
        <v>69.771194070541455</v>
      </c>
      <c r="M150">
        <f t="shared" si="29"/>
        <v>1.5394104884514483</v>
      </c>
      <c r="N150">
        <f t="shared" si="30"/>
        <v>2.2063697045159398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26231.561397553814</v>
      </c>
      <c r="T150">
        <f t="shared" si="34"/>
        <v>100.00104666666699</v>
      </c>
      <c r="U150">
        <f t="shared" si="35"/>
        <v>84.300629697355973</v>
      </c>
      <c r="V150">
        <f t="shared" si="36"/>
        <v>0.84299747359999999</v>
      </c>
      <c r="W150">
        <f t="shared" si="37"/>
        <v>0.15869365801599999</v>
      </c>
      <c r="X150">
        <v>1</v>
      </c>
      <c r="Y150">
        <v>1769197055.9333301</v>
      </c>
      <c r="Z150">
        <v>409.70159999999998</v>
      </c>
      <c r="AA150">
        <v>409.99779999999998</v>
      </c>
      <c r="AB150">
        <v>15.366020000000001</v>
      </c>
      <c r="AC150">
        <v>14.4756866666667</v>
      </c>
      <c r="AD150">
        <v>410.50659999999999</v>
      </c>
      <c r="AE150">
        <v>15.27802</v>
      </c>
      <c r="AF150">
        <v>800.00626666666699</v>
      </c>
      <c r="AG150">
        <v>100.11813333333301</v>
      </c>
      <c r="AH150">
        <v>6.4639333333333299E-2</v>
      </c>
      <c r="AI150">
        <v>19.00864</v>
      </c>
      <c r="AJ150">
        <v>999.9</v>
      </c>
      <c r="AK150">
        <v>999.9</v>
      </c>
      <c r="AL150">
        <v>0</v>
      </c>
      <c r="AM150">
        <v>0</v>
      </c>
      <c r="AN150">
        <v>4996.5666666666702</v>
      </c>
      <c r="AO150">
        <v>0</v>
      </c>
      <c r="AP150">
        <v>1.6937899999999999</v>
      </c>
      <c r="AQ150">
        <v>-0.32306933333333299</v>
      </c>
      <c r="AR150">
        <v>416.06946666666698</v>
      </c>
      <c r="AS150">
        <v>416.02019999999999</v>
      </c>
      <c r="AT150">
        <v>0.893926</v>
      </c>
      <c r="AU150">
        <v>409.99779999999998</v>
      </c>
      <c r="AV150">
        <v>14.4756866666667</v>
      </c>
      <c r="AW150">
        <v>1.5387786666666701</v>
      </c>
      <c r="AX150">
        <v>1.4492799999999999</v>
      </c>
      <c r="AY150">
        <v>13.3590133333333</v>
      </c>
      <c r="AZ150">
        <v>12.443300000000001</v>
      </c>
      <c r="BA150">
        <v>100.00104666666699</v>
      </c>
      <c r="BB150">
        <v>0.90008460000000001</v>
      </c>
      <c r="BC150">
        <v>0</v>
      </c>
      <c r="BD150">
        <v>9.99154133333333E-2</v>
      </c>
      <c r="BE150">
        <v>0</v>
      </c>
      <c r="BF150">
        <v>24</v>
      </c>
      <c r="BG150">
        <v>1648.9359999999999</v>
      </c>
      <c r="BH150">
        <v>1769197084</v>
      </c>
      <c r="BI150" t="s">
        <v>568</v>
      </c>
      <c r="BJ150">
        <v>1769197082</v>
      </c>
      <c r="BK150">
        <v>1769197084</v>
      </c>
      <c r="BL150">
        <v>5</v>
      </c>
      <c r="BM150">
        <v>2.7E-2</v>
      </c>
      <c r="BN150">
        <v>-4.0000000000000001E-3</v>
      </c>
      <c r="BO150">
        <v>-0.80500000000000005</v>
      </c>
      <c r="BP150">
        <v>8.7999999999999995E-2</v>
      </c>
      <c r="BQ150">
        <v>410</v>
      </c>
      <c r="BR150">
        <v>15</v>
      </c>
      <c r="BS150">
        <v>0.28000000000000003</v>
      </c>
      <c r="BT150">
        <v>0.06</v>
      </c>
      <c r="BU150">
        <v>-0.31976033333333298</v>
      </c>
      <c r="BV150">
        <v>3.2035636363635198E-2</v>
      </c>
      <c r="BW150">
        <v>2.71562375757365E-2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0.89689209523809499</v>
      </c>
      <c r="CD150">
        <v>-3.95929870129876E-2</v>
      </c>
      <c r="CE150">
        <v>8.9651609706142398E-3</v>
      </c>
      <c r="CF150">
        <v>1</v>
      </c>
      <c r="CG150">
        <v>2</v>
      </c>
      <c r="CH150">
        <v>2</v>
      </c>
      <c r="CI150" t="s">
        <v>304</v>
      </c>
      <c r="CJ150">
        <v>3.5325700000000002</v>
      </c>
      <c r="CK150">
        <v>2.70242</v>
      </c>
      <c r="CL150">
        <v>9.7829399999999997E-2</v>
      </c>
      <c r="CM150">
        <v>9.6529299999999998E-2</v>
      </c>
      <c r="CN150">
        <v>8.6788799999999999E-2</v>
      </c>
      <c r="CO150">
        <v>8.22629E-2</v>
      </c>
      <c r="CP150">
        <v>31616.2</v>
      </c>
      <c r="CQ150">
        <v>27800.9</v>
      </c>
      <c r="CR150">
        <v>32436.400000000001</v>
      </c>
      <c r="CS150">
        <v>30699.7</v>
      </c>
      <c r="CT150">
        <v>40116.9</v>
      </c>
      <c r="CU150">
        <v>39623.9</v>
      </c>
      <c r="CV150">
        <v>47377.7</v>
      </c>
      <c r="CW150">
        <v>46824</v>
      </c>
      <c r="CX150">
        <v>2.6179600000000001</v>
      </c>
      <c r="CY150">
        <v>2.11924</v>
      </c>
      <c r="CZ150">
        <v>0</v>
      </c>
      <c r="DA150">
        <v>0</v>
      </c>
      <c r="DB150">
        <v>999.9</v>
      </c>
      <c r="DC150">
        <v>999.9</v>
      </c>
      <c r="DD150">
        <v>50.945999999999998</v>
      </c>
      <c r="DE150">
        <v>27.986000000000001</v>
      </c>
      <c r="DF150">
        <v>19.2943</v>
      </c>
      <c r="DG150">
        <v>30.389800000000001</v>
      </c>
      <c r="DH150">
        <v>16.3462</v>
      </c>
      <c r="DI150">
        <v>2</v>
      </c>
      <c r="DJ150">
        <v>-8.92622E-2</v>
      </c>
      <c r="DK150">
        <v>2.3827400000000001</v>
      </c>
      <c r="DL150">
        <v>20.2272</v>
      </c>
      <c r="DM150">
        <v>5.2501199999999999</v>
      </c>
      <c r="DN150">
        <v>12.033899999999999</v>
      </c>
      <c r="DO150">
        <v>4.9667199999999996</v>
      </c>
      <c r="DP150">
        <v>3.2909999999999999</v>
      </c>
      <c r="DQ150">
        <v>536.70000000000005</v>
      </c>
      <c r="DR150">
        <v>9999</v>
      </c>
      <c r="DS150">
        <v>9999</v>
      </c>
      <c r="DT150">
        <v>9999</v>
      </c>
      <c r="DU150">
        <v>1.8711500000000001</v>
      </c>
      <c r="DV150">
        <v>1.8761099999999999</v>
      </c>
      <c r="DW150">
        <v>1.8763700000000001</v>
      </c>
      <c r="DX150">
        <v>1.8828100000000001</v>
      </c>
      <c r="DY150">
        <v>1.87561</v>
      </c>
      <c r="DZ150">
        <v>1.8746799999999999</v>
      </c>
      <c r="EA150">
        <v>1.87087</v>
      </c>
      <c r="EB150">
        <v>1.8746400000000001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-0.80500000000000005</v>
      </c>
      <c r="EQ150">
        <v>8.7999999999999995E-2</v>
      </c>
      <c r="ER150">
        <v>-0.83190909090899401</v>
      </c>
      <c r="ES150">
        <v>0</v>
      </c>
      <c r="ET150">
        <v>0</v>
      </c>
      <c r="EU150">
        <v>0</v>
      </c>
      <c r="EV150">
        <v>9.1569999999998999E-2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10.1</v>
      </c>
      <c r="FE150">
        <v>10</v>
      </c>
      <c r="FF150">
        <v>1.24268</v>
      </c>
      <c r="FG150">
        <v>2.5976599999999999</v>
      </c>
      <c r="FH150">
        <v>2.19604</v>
      </c>
      <c r="FI150">
        <v>2.66479</v>
      </c>
      <c r="FJ150">
        <v>2.4462899999999999</v>
      </c>
      <c r="FK150">
        <v>2.2900399999999999</v>
      </c>
      <c r="FL150">
        <v>32.421199999999999</v>
      </c>
      <c r="FM150">
        <v>24.157499999999999</v>
      </c>
      <c r="FN150">
        <v>19</v>
      </c>
      <c r="FO150">
        <v>865.61199999999997</v>
      </c>
      <c r="FP150">
        <v>571.36300000000006</v>
      </c>
      <c r="FQ150">
        <v>18.146000000000001</v>
      </c>
      <c r="FR150">
        <v>25.8186</v>
      </c>
      <c r="FS150">
        <v>29.999199999999998</v>
      </c>
      <c r="FT150">
        <v>25.802600000000002</v>
      </c>
      <c r="FU150">
        <v>25.8048</v>
      </c>
      <c r="FV150">
        <v>24.939900000000002</v>
      </c>
      <c r="FW150">
        <v>27.122900000000001</v>
      </c>
      <c r="FX150">
        <v>0</v>
      </c>
      <c r="FY150">
        <v>18.1876</v>
      </c>
      <c r="FZ150">
        <v>410</v>
      </c>
      <c r="GA150">
        <v>14.560700000000001</v>
      </c>
      <c r="GB150">
        <v>99.825500000000005</v>
      </c>
      <c r="GC150">
        <v>99.673199999999994</v>
      </c>
    </row>
    <row r="151" spans="1:185" x14ac:dyDescent="0.2">
      <c r="A151">
        <v>136</v>
      </c>
      <c r="B151">
        <v>1769197086</v>
      </c>
      <c r="C151">
        <v>2525</v>
      </c>
      <c r="D151" t="s">
        <v>569</v>
      </c>
      <c r="E151" t="s">
        <v>570</v>
      </c>
      <c r="F151">
        <v>15</v>
      </c>
      <c r="G151">
        <v>1769197085</v>
      </c>
      <c r="H151">
        <f t="shared" si="26"/>
        <v>-6.4941610159844312E-7</v>
      </c>
      <c r="I151">
        <v>0</v>
      </c>
      <c r="J151">
        <f t="shared" si="38"/>
        <v>4.3650301596541874E-4</v>
      </c>
      <c r="K151">
        <f t="shared" si="27"/>
        <v>1.6265768912164226E-2</v>
      </c>
      <c r="L151">
        <f t="shared" si="28"/>
        <v>66.136994016871114</v>
      </c>
      <c r="M151">
        <f t="shared" si="29"/>
        <v>1.4556938248971401</v>
      </c>
      <c r="N151">
        <f t="shared" si="30"/>
        <v>2.2010281031608456</v>
      </c>
      <c r="O151">
        <v>482</v>
      </c>
      <c r="P151">
        <v>60</v>
      </c>
      <c r="Q151">
        <f t="shared" si="31"/>
        <v>1</v>
      </c>
      <c r="R151">
        <f t="shared" si="32"/>
        <v>0</v>
      </c>
      <c r="S151">
        <f t="shared" si="33"/>
        <v>26298.090466745172</v>
      </c>
      <c r="T151">
        <f t="shared" si="34"/>
        <v>100.002</v>
      </c>
      <c r="U151">
        <f t="shared" si="35"/>
        <v>84.301512296525999</v>
      </c>
      <c r="V151">
        <f t="shared" si="36"/>
        <v>0.84299826300000003</v>
      </c>
      <c r="W151">
        <f t="shared" si="37"/>
        <v>0.15869585238</v>
      </c>
      <c r="X151">
        <v>1</v>
      </c>
      <c r="Y151">
        <v>1769197085</v>
      </c>
      <c r="Z151">
        <v>409.98200000000003</v>
      </c>
      <c r="AA151">
        <v>410.00200000000001</v>
      </c>
      <c r="AB151">
        <v>14.5289</v>
      </c>
      <c r="AC151">
        <v>14.5297</v>
      </c>
      <c r="AD151">
        <v>410.78699999999998</v>
      </c>
      <c r="AE151">
        <v>14.4411</v>
      </c>
      <c r="AF151">
        <v>799.976</v>
      </c>
      <c r="AG151">
        <v>100.117</v>
      </c>
      <c r="AH151">
        <v>7.5982599999999997E-2</v>
      </c>
      <c r="AI151">
        <v>18.969799999999999</v>
      </c>
      <c r="AJ151">
        <v>999.9</v>
      </c>
      <c r="AK151">
        <v>999.9</v>
      </c>
      <c r="AL151">
        <v>0</v>
      </c>
      <c r="AM151">
        <v>0</v>
      </c>
      <c r="AN151">
        <v>5007</v>
      </c>
      <c r="AO151">
        <v>0</v>
      </c>
      <c r="AP151">
        <v>1.71638</v>
      </c>
      <c r="AQ151">
        <v>-2.0141599999999999E-2</v>
      </c>
      <c r="AR151">
        <v>416.02699999999999</v>
      </c>
      <c r="AS151">
        <v>416.04700000000003</v>
      </c>
      <c r="AT151">
        <v>-7.4672699999999998E-4</v>
      </c>
      <c r="AU151">
        <v>410.00200000000001</v>
      </c>
      <c r="AV151">
        <v>14.5297</v>
      </c>
      <c r="AW151">
        <v>1.45459</v>
      </c>
      <c r="AX151">
        <v>1.4546699999999999</v>
      </c>
      <c r="AY151">
        <v>12.499000000000001</v>
      </c>
      <c r="AZ151">
        <v>12.4998</v>
      </c>
      <c r="BA151">
        <v>100.002</v>
      </c>
      <c r="BB151">
        <v>0.90005500000000005</v>
      </c>
      <c r="BC151">
        <v>0</v>
      </c>
      <c r="BD151">
        <v>9.9944900000000003E-2</v>
      </c>
      <c r="BE151">
        <v>0</v>
      </c>
      <c r="BF151">
        <v>24</v>
      </c>
      <c r="BG151">
        <v>1648.93</v>
      </c>
      <c r="BH151">
        <v>1769197084</v>
      </c>
      <c r="BI151" t="s">
        <v>568</v>
      </c>
      <c r="BJ151">
        <v>1769197082</v>
      </c>
      <c r="BK151">
        <v>1769197084</v>
      </c>
      <c r="BL151">
        <v>5</v>
      </c>
      <c r="BM151">
        <v>2.7E-2</v>
      </c>
      <c r="BN151">
        <v>-4.0000000000000001E-3</v>
      </c>
      <c r="BO151">
        <v>-0.80500000000000005</v>
      </c>
      <c r="BP151">
        <v>8.7999999999999995E-2</v>
      </c>
      <c r="BQ151">
        <v>410</v>
      </c>
      <c r="BR151">
        <v>15</v>
      </c>
      <c r="BS151">
        <v>0.28000000000000003</v>
      </c>
      <c r="BT151">
        <v>0.06</v>
      </c>
      <c r="BU151">
        <v>-7.2766096000000002E-2</v>
      </c>
      <c r="BV151">
        <v>0.73503767187969904</v>
      </c>
      <c r="BW151">
        <v>9.1439671569454997E-2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0.13042185814999999</v>
      </c>
      <c r="CD151">
        <v>-1.8551320422405999</v>
      </c>
      <c r="CE151">
        <v>0.243848588989831</v>
      </c>
      <c r="CF151">
        <v>0</v>
      </c>
      <c r="CG151">
        <v>0</v>
      </c>
      <c r="CH151">
        <v>2</v>
      </c>
      <c r="CI151" t="s">
        <v>290</v>
      </c>
      <c r="CJ151">
        <v>3.5339399999999999</v>
      </c>
      <c r="CK151">
        <v>2.71244</v>
      </c>
      <c r="CL151">
        <v>9.78657E-2</v>
      </c>
      <c r="CM151">
        <v>9.6526000000000001E-2</v>
      </c>
      <c r="CN151">
        <v>8.3481100000000003E-2</v>
      </c>
      <c r="CO151">
        <v>8.2507300000000006E-2</v>
      </c>
      <c r="CP151">
        <v>31615.599999999999</v>
      </c>
      <c r="CQ151">
        <v>27801</v>
      </c>
      <c r="CR151">
        <v>32437.1</v>
      </c>
      <c r="CS151">
        <v>30699.7</v>
      </c>
      <c r="CT151">
        <v>40267.599999999999</v>
      </c>
      <c r="CU151">
        <v>39613</v>
      </c>
      <c r="CV151">
        <v>47379</v>
      </c>
      <c r="CW151">
        <v>46823.9</v>
      </c>
      <c r="CX151">
        <v>1.68676</v>
      </c>
      <c r="CY151">
        <v>1.5970599999999999</v>
      </c>
      <c r="CZ151">
        <v>0</v>
      </c>
      <c r="DA151">
        <v>0</v>
      </c>
      <c r="DB151">
        <v>999.9</v>
      </c>
      <c r="DC151">
        <v>999.9</v>
      </c>
      <c r="DD151">
        <v>50.860999999999997</v>
      </c>
      <c r="DE151">
        <v>27.995999999999999</v>
      </c>
      <c r="DF151">
        <v>19.2742</v>
      </c>
      <c r="DG151">
        <v>30.399799999999999</v>
      </c>
      <c r="DH151">
        <v>16.706700000000001</v>
      </c>
      <c r="DI151">
        <v>2</v>
      </c>
      <c r="DJ151">
        <v>-9.0205300000000002E-2</v>
      </c>
      <c r="DK151">
        <v>2.1670400000000001</v>
      </c>
      <c r="DL151">
        <v>20.2285</v>
      </c>
      <c r="DM151">
        <v>5.2410100000000002</v>
      </c>
      <c r="DN151">
        <v>12.033899999999999</v>
      </c>
      <c r="DO151">
        <v>4.9651199999999998</v>
      </c>
      <c r="DP151">
        <v>3.2894800000000002</v>
      </c>
      <c r="DQ151">
        <v>536.70000000000005</v>
      </c>
      <c r="DR151">
        <v>9999</v>
      </c>
      <c r="DS151">
        <v>9999</v>
      </c>
      <c r="DT151">
        <v>9999</v>
      </c>
      <c r="DU151">
        <v>1.8711</v>
      </c>
      <c r="DV151">
        <v>1.8761099999999999</v>
      </c>
      <c r="DW151">
        <v>1.8763399999999999</v>
      </c>
      <c r="DX151">
        <v>1.8828</v>
      </c>
      <c r="DY151">
        <v>1.8755999999999999</v>
      </c>
      <c r="DZ151">
        <v>1.8746799999999999</v>
      </c>
      <c r="EA151">
        <v>1.8708499999999999</v>
      </c>
      <c r="EB151">
        <v>1.87463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-0.80500000000000005</v>
      </c>
      <c r="EQ151">
        <v>8.7800000000000003E-2</v>
      </c>
      <c r="ER151">
        <v>-0.80499999999989302</v>
      </c>
      <c r="ES151">
        <v>0</v>
      </c>
      <c r="ET151">
        <v>0</v>
      </c>
      <c r="EU151">
        <v>0</v>
      </c>
      <c r="EV151">
        <v>8.7840000000001695E-2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0.1</v>
      </c>
      <c r="FE151">
        <v>0</v>
      </c>
      <c r="FF151">
        <v>1.24268</v>
      </c>
      <c r="FG151">
        <v>2.5903299999999998</v>
      </c>
      <c r="FH151">
        <v>2.19604</v>
      </c>
      <c r="FI151">
        <v>2.66357</v>
      </c>
      <c r="FJ151">
        <v>2.4462899999999999</v>
      </c>
      <c r="FK151">
        <v>2.2814899999999998</v>
      </c>
      <c r="FL151">
        <v>32.421199999999999</v>
      </c>
      <c r="FM151">
        <v>24.148800000000001</v>
      </c>
      <c r="FN151">
        <v>19</v>
      </c>
      <c r="FO151">
        <v>300.53500000000003</v>
      </c>
      <c r="FP151">
        <v>277.09500000000003</v>
      </c>
      <c r="FQ151">
        <v>18.2273</v>
      </c>
      <c r="FR151">
        <v>25.824300000000001</v>
      </c>
      <c r="FS151">
        <v>30</v>
      </c>
      <c r="FT151">
        <v>25.8291</v>
      </c>
      <c r="FU151">
        <v>25.827300000000001</v>
      </c>
      <c r="FV151">
        <v>24.9404</v>
      </c>
      <c r="FW151">
        <v>25.492599999999999</v>
      </c>
      <c r="FX151">
        <v>0</v>
      </c>
      <c r="FY151">
        <v>18.243099999999998</v>
      </c>
      <c r="FZ151">
        <v>410</v>
      </c>
      <c r="GA151">
        <v>15.068899999999999</v>
      </c>
      <c r="GB151">
        <v>99.828100000000006</v>
      </c>
      <c r="GC151">
        <v>99.673199999999994</v>
      </c>
    </row>
    <row r="152" spans="1:185" x14ac:dyDescent="0.2">
      <c r="A152">
        <v>137</v>
      </c>
      <c r="B152">
        <v>1769197101</v>
      </c>
      <c r="C152">
        <v>2540</v>
      </c>
      <c r="D152" t="s">
        <v>571</v>
      </c>
      <c r="E152" t="s">
        <v>572</v>
      </c>
      <c r="F152">
        <v>15</v>
      </c>
      <c r="G152">
        <v>1769197092.9333301</v>
      </c>
      <c r="H152">
        <f t="shared" si="26"/>
        <v>4.6308060936908009E-4</v>
      </c>
      <c r="I152">
        <v>0</v>
      </c>
      <c r="J152">
        <f t="shared" si="38"/>
        <v>-4.1806067853158584E-4</v>
      </c>
      <c r="K152">
        <f t="shared" si="27"/>
        <v>-1.5578537007854436E-2</v>
      </c>
      <c r="L152">
        <f t="shared" si="28"/>
        <v>69.227331265788564</v>
      </c>
      <c r="M152">
        <f t="shared" si="29"/>
        <v>1.5235697289774328</v>
      </c>
      <c r="N152">
        <f t="shared" si="30"/>
        <v>2.2008211224088678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26220.993919922526</v>
      </c>
      <c r="T152">
        <f t="shared" si="34"/>
        <v>99.997693333333302</v>
      </c>
      <c r="U152">
        <f t="shared" si="35"/>
        <v>84.29780322581874</v>
      </c>
      <c r="V152">
        <f t="shared" si="36"/>
        <v>0.84299747739999975</v>
      </c>
      <c r="W152">
        <f t="shared" si="37"/>
        <v>0.15869378444399995</v>
      </c>
      <c r="X152">
        <v>1</v>
      </c>
      <c r="Y152">
        <v>1769197092.9333301</v>
      </c>
      <c r="Z152">
        <v>409.73939999999999</v>
      </c>
      <c r="AA152">
        <v>409.95699999999999</v>
      </c>
      <c r="AB152">
        <v>15.20778</v>
      </c>
      <c r="AC152">
        <v>14.638006666666699</v>
      </c>
      <c r="AD152">
        <v>410.54433333333299</v>
      </c>
      <c r="AE152">
        <v>15.1199333333333</v>
      </c>
      <c r="AF152">
        <v>800.38526666666701</v>
      </c>
      <c r="AG152">
        <v>100.11726666666701</v>
      </c>
      <c r="AH152">
        <v>6.63057533333333E-2</v>
      </c>
      <c r="AI152">
        <v>18.9682933333333</v>
      </c>
      <c r="AJ152">
        <v>999.9</v>
      </c>
      <c r="AK152">
        <v>999.9</v>
      </c>
      <c r="AL152">
        <v>0</v>
      </c>
      <c r="AM152">
        <v>0</v>
      </c>
      <c r="AN152">
        <v>4994.2666666666701</v>
      </c>
      <c r="AO152">
        <v>0</v>
      </c>
      <c r="AP152">
        <v>1.7045573333333299</v>
      </c>
      <c r="AQ152">
        <v>-0.21759029333333299</v>
      </c>
      <c r="AR152">
        <v>416.066933333333</v>
      </c>
      <c r="AS152">
        <v>416.04713333333302</v>
      </c>
      <c r="AT152">
        <v>0.56976821820000001</v>
      </c>
      <c r="AU152">
        <v>409.95699999999999</v>
      </c>
      <c r="AV152">
        <v>14.638006666666699</v>
      </c>
      <c r="AW152">
        <v>1.5225599999999999</v>
      </c>
      <c r="AX152">
        <v>1.4655166666666699</v>
      </c>
      <c r="AY152">
        <v>13.1944866666667</v>
      </c>
      <c r="AZ152">
        <v>12.612959999999999</v>
      </c>
      <c r="BA152">
        <v>99.997693333333302</v>
      </c>
      <c r="BB152">
        <v>0.900082733333333</v>
      </c>
      <c r="BC152">
        <v>0</v>
      </c>
      <c r="BD152">
        <v>9.9917220000000001E-2</v>
      </c>
      <c r="BE152">
        <v>0</v>
      </c>
      <c r="BF152">
        <v>24</v>
      </c>
      <c r="BG152">
        <v>1648.88</v>
      </c>
      <c r="BH152">
        <v>1769197084</v>
      </c>
      <c r="BI152" t="s">
        <v>568</v>
      </c>
      <c r="BJ152">
        <v>1769197082</v>
      </c>
      <c r="BK152">
        <v>1769197084</v>
      </c>
      <c r="BL152">
        <v>5</v>
      </c>
      <c r="BM152">
        <v>2.7E-2</v>
      </c>
      <c r="BN152">
        <v>-4.0000000000000001E-3</v>
      </c>
      <c r="BO152">
        <v>-0.80500000000000005</v>
      </c>
      <c r="BP152">
        <v>8.7999999999999995E-2</v>
      </c>
      <c r="BQ152">
        <v>410</v>
      </c>
      <c r="BR152">
        <v>15</v>
      </c>
      <c r="BS152">
        <v>0.28000000000000003</v>
      </c>
      <c r="BT152">
        <v>0.06</v>
      </c>
      <c r="BU152">
        <v>-0.15330350749999999</v>
      </c>
      <c r="BV152">
        <v>-1.21592100406015</v>
      </c>
      <c r="BW152">
        <v>0.127571106472743</v>
      </c>
      <c r="BX152">
        <v>0</v>
      </c>
      <c r="BY152">
        <v>0</v>
      </c>
      <c r="BZ152">
        <v>0</v>
      </c>
      <c r="CA152">
        <v>0</v>
      </c>
      <c r="CB152">
        <v>-1</v>
      </c>
      <c r="CC152">
        <v>0.39418309564999998</v>
      </c>
      <c r="CD152">
        <v>3.0356825505112801</v>
      </c>
      <c r="CE152">
        <v>0.31223892859373698</v>
      </c>
      <c r="CF152">
        <v>0</v>
      </c>
      <c r="CG152">
        <v>0</v>
      </c>
      <c r="CH152">
        <v>2</v>
      </c>
      <c r="CI152" t="s">
        <v>290</v>
      </c>
      <c r="CJ152">
        <v>3.53254</v>
      </c>
      <c r="CK152">
        <v>2.7021799999999998</v>
      </c>
      <c r="CL152">
        <v>9.7827700000000004E-2</v>
      </c>
      <c r="CM152">
        <v>9.6526899999999999E-2</v>
      </c>
      <c r="CN152">
        <v>8.7064000000000002E-2</v>
      </c>
      <c r="CO152">
        <v>8.3092899999999997E-2</v>
      </c>
      <c r="CP152">
        <v>31616</v>
      </c>
      <c r="CQ152">
        <v>27800.3</v>
      </c>
      <c r="CR152">
        <v>32436.2</v>
      </c>
      <c r="CS152">
        <v>30699</v>
      </c>
      <c r="CT152">
        <v>40104.300000000003</v>
      </c>
      <c r="CU152">
        <v>39586.400000000001</v>
      </c>
      <c r="CV152">
        <v>47377.599999999999</v>
      </c>
      <c r="CW152">
        <v>46823.1</v>
      </c>
      <c r="CX152">
        <v>2.6150199999999999</v>
      </c>
      <c r="CY152">
        <v>2.1179399999999999</v>
      </c>
      <c r="CZ152">
        <v>0</v>
      </c>
      <c r="DA152">
        <v>0</v>
      </c>
      <c r="DB152">
        <v>999.9</v>
      </c>
      <c r="DC152">
        <v>999.9</v>
      </c>
      <c r="DD152">
        <v>50.811999999999998</v>
      </c>
      <c r="DE152">
        <v>27.995999999999999</v>
      </c>
      <c r="DF152">
        <v>19.255099999999999</v>
      </c>
      <c r="DG152">
        <v>30.4298</v>
      </c>
      <c r="DH152">
        <v>16.354199999999999</v>
      </c>
      <c r="DI152">
        <v>2</v>
      </c>
      <c r="DJ152">
        <v>-9.0103699999999995E-2</v>
      </c>
      <c r="DK152">
        <v>2.0846300000000002</v>
      </c>
      <c r="DL152">
        <v>20.232600000000001</v>
      </c>
      <c r="DM152">
        <v>5.2498800000000001</v>
      </c>
      <c r="DN152">
        <v>12.033899999999999</v>
      </c>
      <c r="DO152">
        <v>4.9666800000000002</v>
      </c>
      <c r="DP152">
        <v>3.2909999999999999</v>
      </c>
      <c r="DQ152">
        <v>536.70000000000005</v>
      </c>
      <c r="DR152">
        <v>9999</v>
      </c>
      <c r="DS152">
        <v>9999</v>
      </c>
      <c r="DT152">
        <v>9999</v>
      </c>
      <c r="DU152">
        <v>1.8711599999999999</v>
      </c>
      <c r="DV152">
        <v>1.8761399999999999</v>
      </c>
      <c r="DW152">
        <v>1.87636</v>
      </c>
      <c r="DX152">
        <v>1.8828199999999999</v>
      </c>
      <c r="DY152">
        <v>1.87561</v>
      </c>
      <c r="DZ152">
        <v>1.87469</v>
      </c>
      <c r="EA152">
        <v>1.87086</v>
      </c>
      <c r="EB152">
        <v>1.8746499999999999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-0.80500000000000005</v>
      </c>
      <c r="EQ152">
        <v>8.7900000000000006E-2</v>
      </c>
      <c r="ER152">
        <v>-0.80499999999989302</v>
      </c>
      <c r="ES152">
        <v>0</v>
      </c>
      <c r="ET152">
        <v>0</v>
      </c>
      <c r="EU152">
        <v>0</v>
      </c>
      <c r="EV152">
        <v>8.7840000000001695E-2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0.3</v>
      </c>
      <c r="FE152">
        <v>0.3</v>
      </c>
      <c r="FF152">
        <v>1.24268</v>
      </c>
      <c r="FG152">
        <v>2.5939899999999998</v>
      </c>
      <c r="FH152">
        <v>2.19604</v>
      </c>
      <c r="FI152">
        <v>2.66357</v>
      </c>
      <c r="FJ152">
        <v>2.4462899999999999</v>
      </c>
      <c r="FK152">
        <v>2.2863799999999999</v>
      </c>
      <c r="FL152">
        <v>32.421199999999999</v>
      </c>
      <c r="FM152">
        <v>24.148800000000001</v>
      </c>
      <c r="FN152">
        <v>19</v>
      </c>
      <c r="FO152">
        <v>863.077</v>
      </c>
      <c r="FP152">
        <v>570.48699999999997</v>
      </c>
      <c r="FQ152">
        <v>18.294499999999999</v>
      </c>
      <c r="FR152">
        <v>25.8278</v>
      </c>
      <c r="FS152">
        <v>30.0002</v>
      </c>
      <c r="FT152">
        <v>25.815100000000001</v>
      </c>
      <c r="FU152">
        <v>25.815200000000001</v>
      </c>
      <c r="FV152">
        <v>24.946200000000001</v>
      </c>
      <c r="FW152">
        <v>26.531400000000001</v>
      </c>
      <c r="FX152">
        <v>0</v>
      </c>
      <c r="FY152">
        <v>18.309000000000001</v>
      </c>
      <c r="FZ152">
        <v>410</v>
      </c>
      <c r="GA152">
        <v>14.603199999999999</v>
      </c>
      <c r="GB152">
        <v>99.825100000000006</v>
      </c>
      <c r="GC152">
        <v>99.671300000000002</v>
      </c>
    </row>
    <row r="153" spans="1:185" x14ac:dyDescent="0.2">
      <c r="A153">
        <v>138</v>
      </c>
      <c r="B153">
        <v>1769197116</v>
      </c>
      <c r="C153">
        <v>2555</v>
      </c>
      <c r="D153" t="s">
        <v>573</v>
      </c>
      <c r="E153" t="s">
        <v>574</v>
      </c>
      <c r="F153">
        <v>15</v>
      </c>
      <c r="G153">
        <v>1769197107.9333301</v>
      </c>
      <c r="H153">
        <f t="shared" si="26"/>
        <v>6.2036077623617693E-4</v>
      </c>
      <c r="I153">
        <v>0</v>
      </c>
      <c r="J153">
        <f t="shared" si="38"/>
        <v>6.9273171302593393E-5</v>
      </c>
      <c r="K153">
        <f t="shared" si="27"/>
        <v>2.5813828427476847E-3</v>
      </c>
      <c r="L153">
        <f t="shared" si="28"/>
        <v>70.129597668578157</v>
      </c>
      <c r="M153">
        <f t="shared" si="29"/>
        <v>1.5435316886184809</v>
      </c>
      <c r="N153">
        <f t="shared" si="30"/>
        <v>2.2009704032710662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26291.297793643676</v>
      </c>
      <c r="T153">
        <f t="shared" si="34"/>
        <v>100.002173333333</v>
      </c>
      <c r="U153">
        <f t="shared" si="35"/>
        <v>84.301584354615102</v>
      </c>
      <c r="V153">
        <f t="shared" si="36"/>
        <v>0.84299752240000025</v>
      </c>
      <c r="W153">
        <f t="shared" si="37"/>
        <v>0.15869396190400004</v>
      </c>
      <c r="X153">
        <v>1</v>
      </c>
      <c r="Y153">
        <v>1769197107.9333301</v>
      </c>
      <c r="Z153">
        <v>409.70760000000001</v>
      </c>
      <c r="AA153">
        <v>410.02853333333297</v>
      </c>
      <c r="AB153">
        <v>15.406879999999999</v>
      </c>
      <c r="AC153">
        <v>14.643380000000001</v>
      </c>
      <c r="AD153">
        <v>410.51253333333301</v>
      </c>
      <c r="AE153">
        <v>15.319046666666701</v>
      </c>
      <c r="AF153">
        <v>800.00386666666702</v>
      </c>
      <c r="AG153">
        <v>100.12026666666701</v>
      </c>
      <c r="AH153">
        <v>6.4305979999999999E-2</v>
      </c>
      <c r="AI153">
        <v>18.969380000000001</v>
      </c>
      <c r="AJ153">
        <v>999.9</v>
      </c>
      <c r="AK153">
        <v>999.9</v>
      </c>
      <c r="AL153">
        <v>0</v>
      </c>
      <c r="AM153">
        <v>0</v>
      </c>
      <c r="AN153">
        <v>5005.7333333333299</v>
      </c>
      <c r="AO153">
        <v>0</v>
      </c>
      <c r="AP153">
        <v>1.6937899999999999</v>
      </c>
      <c r="AQ153">
        <v>-0.32084153333333298</v>
      </c>
      <c r="AR153">
        <v>416.11873333333301</v>
      </c>
      <c r="AS153">
        <v>416.12186666666702</v>
      </c>
      <c r="AT153">
        <v>0.76350193333333305</v>
      </c>
      <c r="AU153">
        <v>410.02853333333297</v>
      </c>
      <c r="AV153">
        <v>14.643380000000001</v>
      </c>
      <c r="AW153">
        <v>1.54254</v>
      </c>
      <c r="AX153">
        <v>1.46609866666667</v>
      </c>
      <c r="AY153">
        <v>13.39648</v>
      </c>
      <c r="AZ153">
        <v>12.6190866666667</v>
      </c>
      <c r="BA153">
        <v>100.002173333333</v>
      </c>
      <c r="BB153">
        <v>0.90008026666666696</v>
      </c>
      <c r="BC153">
        <v>0</v>
      </c>
      <c r="BD153">
        <v>9.9919653333333303E-2</v>
      </c>
      <c r="BE153">
        <v>0</v>
      </c>
      <c r="BF153">
        <v>24</v>
      </c>
      <c r="BG153">
        <v>1648.95266666667</v>
      </c>
      <c r="BH153">
        <v>1769197084</v>
      </c>
      <c r="BI153" t="s">
        <v>568</v>
      </c>
      <c r="BJ153">
        <v>1769197082</v>
      </c>
      <c r="BK153">
        <v>1769197084</v>
      </c>
      <c r="BL153">
        <v>5</v>
      </c>
      <c r="BM153">
        <v>2.7E-2</v>
      </c>
      <c r="BN153">
        <v>-4.0000000000000001E-3</v>
      </c>
      <c r="BO153">
        <v>-0.80500000000000005</v>
      </c>
      <c r="BP153">
        <v>8.7999999999999995E-2</v>
      </c>
      <c r="BQ153">
        <v>410</v>
      </c>
      <c r="BR153">
        <v>15</v>
      </c>
      <c r="BS153">
        <v>0.28000000000000003</v>
      </c>
      <c r="BT153">
        <v>0.06</v>
      </c>
      <c r="BU153">
        <v>-0.31154179999999998</v>
      </c>
      <c r="BV153">
        <v>-0.15572562406015</v>
      </c>
      <c r="BW153">
        <v>3.0366158302623701E-2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0.75154425000000002</v>
      </c>
      <c r="CD153">
        <v>0.33371174436090201</v>
      </c>
      <c r="CE153">
        <v>3.2950000356411199E-2</v>
      </c>
      <c r="CF153">
        <v>0</v>
      </c>
      <c r="CG153">
        <v>1</v>
      </c>
      <c r="CH153">
        <v>2</v>
      </c>
      <c r="CI153" t="s">
        <v>297</v>
      </c>
      <c r="CJ153">
        <v>3.5324800000000001</v>
      </c>
      <c r="CK153">
        <v>2.7018399999999998</v>
      </c>
      <c r="CL153">
        <v>9.78353E-2</v>
      </c>
      <c r="CM153">
        <v>9.6536300000000005E-2</v>
      </c>
      <c r="CN153">
        <v>8.7094299999999999E-2</v>
      </c>
      <c r="CO153">
        <v>8.2806599999999994E-2</v>
      </c>
      <c r="CP153">
        <v>31615</v>
      </c>
      <c r="CQ153">
        <v>27799.7</v>
      </c>
      <c r="CR153">
        <v>32435.4</v>
      </c>
      <c r="CS153">
        <v>30698.7</v>
      </c>
      <c r="CT153">
        <v>40102.1</v>
      </c>
      <c r="CU153">
        <v>39598.800000000003</v>
      </c>
      <c r="CV153">
        <v>47376.5</v>
      </c>
      <c r="CW153">
        <v>46822.8</v>
      </c>
      <c r="CX153">
        <v>2.6171000000000002</v>
      </c>
      <c r="CY153">
        <v>2.1188400000000001</v>
      </c>
      <c r="CZ153">
        <v>0</v>
      </c>
      <c r="DA153">
        <v>0</v>
      </c>
      <c r="DB153">
        <v>999.9</v>
      </c>
      <c r="DC153">
        <v>999.9</v>
      </c>
      <c r="DD153">
        <v>50.762999999999998</v>
      </c>
      <c r="DE153">
        <v>27.995999999999999</v>
      </c>
      <c r="DF153">
        <v>19.236000000000001</v>
      </c>
      <c r="DG153">
        <v>29.919799999999999</v>
      </c>
      <c r="DH153">
        <v>16.350200000000001</v>
      </c>
      <c r="DI153">
        <v>2</v>
      </c>
      <c r="DJ153">
        <v>-8.9851600000000004E-2</v>
      </c>
      <c r="DK153">
        <v>2.0201799999999999</v>
      </c>
      <c r="DL153">
        <v>20.232800000000001</v>
      </c>
      <c r="DM153">
        <v>5.2462799999999996</v>
      </c>
      <c r="DN153">
        <v>12.033899999999999</v>
      </c>
      <c r="DO153">
        <v>4.9657600000000004</v>
      </c>
      <c r="DP153">
        <v>3.2907000000000002</v>
      </c>
      <c r="DQ153">
        <v>536.70000000000005</v>
      </c>
      <c r="DR153">
        <v>9999</v>
      </c>
      <c r="DS153">
        <v>9999</v>
      </c>
      <c r="DT153">
        <v>9999</v>
      </c>
      <c r="DU153">
        <v>1.8711599999999999</v>
      </c>
      <c r="DV153">
        <v>1.8761099999999999</v>
      </c>
      <c r="DW153">
        <v>1.87636</v>
      </c>
      <c r="DX153">
        <v>1.8828</v>
      </c>
      <c r="DY153">
        <v>1.8755999999999999</v>
      </c>
      <c r="DZ153">
        <v>1.87469</v>
      </c>
      <c r="EA153">
        <v>1.8708499999999999</v>
      </c>
      <c r="EB153">
        <v>1.8746400000000001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-0.80500000000000005</v>
      </c>
      <c r="EQ153">
        <v>8.7900000000000006E-2</v>
      </c>
      <c r="ER153">
        <v>-0.80499999999989302</v>
      </c>
      <c r="ES153">
        <v>0</v>
      </c>
      <c r="ET153">
        <v>0</v>
      </c>
      <c r="EU153">
        <v>0</v>
      </c>
      <c r="EV153">
        <v>8.7840000000001695E-2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0.6</v>
      </c>
      <c r="FE153">
        <v>0.5</v>
      </c>
      <c r="FF153">
        <v>1.24268</v>
      </c>
      <c r="FG153">
        <v>2.5952099999999998</v>
      </c>
      <c r="FH153">
        <v>2.19604</v>
      </c>
      <c r="FI153">
        <v>2.66357</v>
      </c>
      <c r="FJ153">
        <v>2.4462899999999999</v>
      </c>
      <c r="FK153">
        <v>2.2997999999999998</v>
      </c>
      <c r="FL153">
        <v>32.443300000000001</v>
      </c>
      <c r="FM153">
        <v>24.157499999999999</v>
      </c>
      <c r="FN153">
        <v>19</v>
      </c>
      <c r="FO153">
        <v>865.04600000000005</v>
      </c>
      <c r="FP153">
        <v>571.21900000000005</v>
      </c>
      <c r="FQ153">
        <v>18.360800000000001</v>
      </c>
      <c r="FR153">
        <v>25.831700000000001</v>
      </c>
      <c r="FS153">
        <v>30.0002</v>
      </c>
      <c r="FT153">
        <v>25.817299999999999</v>
      </c>
      <c r="FU153">
        <v>25.819500000000001</v>
      </c>
      <c r="FV153">
        <v>24.941299999999998</v>
      </c>
      <c r="FW153">
        <v>26.812100000000001</v>
      </c>
      <c r="FX153">
        <v>0</v>
      </c>
      <c r="FY153">
        <v>18.373999999999999</v>
      </c>
      <c r="FZ153">
        <v>410</v>
      </c>
      <c r="GA153">
        <v>14.601699999999999</v>
      </c>
      <c r="GB153">
        <v>99.822800000000001</v>
      </c>
      <c r="GC153">
        <v>99.670599999999993</v>
      </c>
    </row>
    <row r="154" spans="1:185" x14ac:dyDescent="0.2">
      <c r="A154">
        <v>139</v>
      </c>
      <c r="B154">
        <v>1769197131</v>
      </c>
      <c r="C154">
        <v>2570</v>
      </c>
      <c r="D154" t="s">
        <v>575</v>
      </c>
      <c r="E154" t="s">
        <v>576</v>
      </c>
      <c r="F154">
        <v>15</v>
      </c>
      <c r="G154">
        <v>1769197122.9333301</v>
      </c>
      <c r="H154">
        <f t="shared" si="26"/>
        <v>6.4943560460548825E-4</v>
      </c>
      <c r="I154">
        <v>0</v>
      </c>
      <c r="J154">
        <f t="shared" si="38"/>
        <v>-1.4170984329254417E-3</v>
      </c>
      <c r="K154">
        <f t="shared" si="27"/>
        <v>-5.2806497991256508E-2</v>
      </c>
      <c r="L154">
        <f t="shared" si="28"/>
        <v>70.052153938381068</v>
      </c>
      <c r="M154">
        <f t="shared" si="29"/>
        <v>1.5424669468158421</v>
      </c>
      <c r="N154">
        <f t="shared" si="30"/>
        <v>2.2018836825097758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26243.765932982653</v>
      </c>
      <c r="T154">
        <f t="shared" si="34"/>
        <v>99.999026666666694</v>
      </c>
      <c r="U154">
        <f t="shared" si="35"/>
        <v>84.298936802362107</v>
      </c>
      <c r="V154">
        <f t="shared" si="36"/>
        <v>0.84299757320000002</v>
      </c>
      <c r="W154">
        <f t="shared" si="37"/>
        <v>0.15869414087200001</v>
      </c>
      <c r="X154">
        <v>1</v>
      </c>
      <c r="Y154">
        <v>1769197122.9333301</v>
      </c>
      <c r="Z154">
        <v>409.72053333333298</v>
      </c>
      <c r="AA154">
        <v>409.98713333333302</v>
      </c>
      <c r="AB154">
        <v>15.39664</v>
      </c>
      <c r="AC154">
        <v>14.5973466666667</v>
      </c>
      <c r="AD154">
        <v>410.525466666667</v>
      </c>
      <c r="AE154">
        <v>15.30878</v>
      </c>
      <c r="AF154">
        <v>800.00226666666697</v>
      </c>
      <c r="AG154">
        <v>100.11799999999999</v>
      </c>
      <c r="AH154">
        <v>6.4049253333333306E-2</v>
      </c>
      <c r="AI154">
        <v>18.976026666666701</v>
      </c>
      <c r="AJ154">
        <v>999.9</v>
      </c>
      <c r="AK154">
        <v>999.9</v>
      </c>
      <c r="AL154">
        <v>0</v>
      </c>
      <c r="AM154">
        <v>0</v>
      </c>
      <c r="AN154">
        <v>4998.1000000000004</v>
      </c>
      <c r="AO154">
        <v>0</v>
      </c>
      <c r="AP154">
        <v>1.6975566666666699</v>
      </c>
      <c r="AQ154">
        <v>-0.26662386666666699</v>
      </c>
      <c r="AR154">
        <v>416.12759999999997</v>
      </c>
      <c r="AS154">
        <v>416.06053333333301</v>
      </c>
      <c r="AT154">
        <v>0.79928993333333298</v>
      </c>
      <c r="AU154">
        <v>409.98713333333302</v>
      </c>
      <c r="AV154">
        <v>14.5973466666667</v>
      </c>
      <c r="AW154">
        <v>1.5414813333333299</v>
      </c>
      <c r="AX154">
        <v>1.46145666666667</v>
      </c>
      <c r="AY154">
        <v>13.3859333333333</v>
      </c>
      <c r="AZ154">
        <v>12.570779999999999</v>
      </c>
      <c r="BA154">
        <v>99.999026666666694</v>
      </c>
      <c r="BB154">
        <v>0.90007780000000004</v>
      </c>
      <c r="BC154">
        <v>0</v>
      </c>
      <c r="BD154">
        <v>9.9922093333333295E-2</v>
      </c>
      <c r="BE154">
        <v>0</v>
      </c>
      <c r="BF154">
        <v>24</v>
      </c>
      <c r="BG154">
        <v>1648.9006666666701</v>
      </c>
      <c r="BH154">
        <v>1769197084</v>
      </c>
      <c r="BI154" t="s">
        <v>568</v>
      </c>
      <c r="BJ154">
        <v>1769197082</v>
      </c>
      <c r="BK154">
        <v>1769197084</v>
      </c>
      <c r="BL154">
        <v>5</v>
      </c>
      <c r="BM154">
        <v>2.7E-2</v>
      </c>
      <c r="BN154">
        <v>-4.0000000000000001E-3</v>
      </c>
      <c r="BO154">
        <v>-0.80500000000000005</v>
      </c>
      <c r="BP154">
        <v>8.7999999999999995E-2</v>
      </c>
      <c r="BQ154">
        <v>410</v>
      </c>
      <c r="BR154">
        <v>15</v>
      </c>
      <c r="BS154">
        <v>0.28000000000000003</v>
      </c>
      <c r="BT154">
        <v>0.06</v>
      </c>
      <c r="BU154">
        <v>-0.28290371428571398</v>
      </c>
      <c r="BV154">
        <v>0.33120007792207801</v>
      </c>
      <c r="BW154">
        <v>4.15744329333292E-2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0.79847400000000002</v>
      </c>
      <c r="CD154">
        <v>9.5454545454539304E-3</v>
      </c>
      <c r="CE154">
        <v>5.3387440738168201E-3</v>
      </c>
      <c r="CF154">
        <v>1</v>
      </c>
      <c r="CG154">
        <v>2</v>
      </c>
      <c r="CH154">
        <v>2</v>
      </c>
      <c r="CI154" t="s">
        <v>304</v>
      </c>
      <c r="CJ154">
        <v>3.53247</v>
      </c>
      <c r="CK154">
        <v>2.7019299999999999</v>
      </c>
      <c r="CL154">
        <v>9.7828799999999994E-2</v>
      </c>
      <c r="CM154">
        <v>9.65308E-2</v>
      </c>
      <c r="CN154">
        <v>8.7051199999999995E-2</v>
      </c>
      <c r="CO154">
        <v>8.2779199999999997E-2</v>
      </c>
      <c r="CP154">
        <v>31615</v>
      </c>
      <c r="CQ154">
        <v>27799.7</v>
      </c>
      <c r="CR154">
        <v>32435.200000000001</v>
      </c>
      <c r="CS154">
        <v>30698.400000000001</v>
      </c>
      <c r="CT154">
        <v>40103.699999999997</v>
      </c>
      <c r="CU154">
        <v>39599.699999999997</v>
      </c>
      <c r="CV154">
        <v>47376.1</v>
      </c>
      <c r="CW154">
        <v>46822.5</v>
      </c>
      <c r="CX154">
        <v>2.61754</v>
      </c>
      <c r="CY154">
        <v>2.1187399999999998</v>
      </c>
      <c r="CZ154">
        <v>0</v>
      </c>
      <c r="DA154">
        <v>0</v>
      </c>
      <c r="DB154">
        <v>999.9</v>
      </c>
      <c r="DC154">
        <v>999.9</v>
      </c>
      <c r="DD154">
        <v>50.738999999999997</v>
      </c>
      <c r="DE154">
        <v>28.015999999999998</v>
      </c>
      <c r="DF154">
        <v>19.248899999999999</v>
      </c>
      <c r="DG154">
        <v>30.279800000000002</v>
      </c>
      <c r="DH154">
        <v>16.370200000000001</v>
      </c>
      <c r="DI154">
        <v>2</v>
      </c>
      <c r="DJ154">
        <v>-8.9495900000000003E-2</v>
      </c>
      <c r="DK154">
        <v>1.98895</v>
      </c>
      <c r="DL154">
        <v>20.233499999999999</v>
      </c>
      <c r="DM154">
        <v>5.2485600000000003</v>
      </c>
      <c r="DN154">
        <v>12.033899999999999</v>
      </c>
      <c r="DO154">
        <v>4.9666399999999999</v>
      </c>
      <c r="DP154">
        <v>3.2909999999999999</v>
      </c>
      <c r="DQ154">
        <v>536.70000000000005</v>
      </c>
      <c r="DR154">
        <v>9999</v>
      </c>
      <c r="DS154">
        <v>9999</v>
      </c>
      <c r="DT154">
        <v>9999</v>
      </c>
      <c r="DU154">
        <v>1.87117</v>
      </c>
      <c r="DV154">
        <v>1.8761300000000001</v>
      </c>
      <c r="DW154">
        <v>1.87636</v>
      </c>
      <c r="DX154">
        <v>1.8828100000000001</v>
      </c>
      <c r="DY154">
        <v>1.87561</v>
      </c>
      <c r="DZ154">
        <v>1.8746799999999999</v>
      </c>
      <c r="EA154">
        <v>1.8708499999999999</v>
      </c>
      <c r="EB154">
        <v>1.87466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-0.80500000000000005</v>
      </c>
      <c r="EQ154">
        <v>8.7900000000000006E-2</v>
      </c>
      <c r="ER154">
        <v>-0.80499999999989302</v>
      </c>
      <c r="ES154">
        <v>0</v>
      </c>
      <c r="ET154">
        <v>0</v>
      </c>
      <c r="EU154">
        <v>0</v>
      </c>
      <c r="EV154">
        <v>8.7840000000001695E-2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0.8</v>
      </c>
      <c r="FE154">
        <v>0.8</v>
      </c>
      <c r="FF154">
        <v>1.24268</v>
      </c>
      <c r="FG154">
        <v>2.5988799999999999</v>
      </c>
      <c r="FH154">
        <v>2.19604</v>
      </c>
      <c r="FI154">
        <v>2.66357</v>
      </c>
      <c r="FJ154">
        <v>2.4462899999999999</v>
      </c>
      <c r="FK154">
        <v>2.2973599999999998</v>
      </c>
      <c r="FL154">
        <v>32.443300000000001</v>
      </c>
      <c r="FM154">
        <v>24.148800000000001</v>
      </c>
      <c r="FN154">
        <v>19</v>
      </c>
      <c r="FO154">
        <v>865.51900000000001</v>
      </c>
      <c r="FP154">
        <v>571.18100000000004</v>
      </c>
      <c r="FQ154">
        <v>18.419799999999999</v>
      </c>
      <c r="FR154">
        <v>25.8338</v>
      </c>
      <c r="FS154">
        <v>30.0001</v>
      </c>
      <c r="FT154">
        <v>25.821200000000001</v>
      </c>
      <c r="FU154">
        <v>25.823</v>
      </c>
      <c r="FV154">
        <v>24.942599999999999</v>
      </c>
      <c r="FW154">
        <v>26.812100000000001</v>
      </c>
      <c r="FX154">
        <v>0</v>
      </c>
      <c r="FY154">
        <v>18.427299999999999</v>
      </c>
      <c r="FZ154">
        <v>410</v>
      </c>
      <c r="GA154">
        <v>14.601699999999999</v>
      </c>
      <c r="GB154">
        <v>99.822100000000006</v>
      </c>
      <c r="GC154">
        <v>99.669700000000006</v>
      </c>
    </row>
    <row r="155" spans="1:185" x14ac:dyDescent="0.2">
      <c r="A155">
        <v>140</v>
      </c>
      <c r="B155">
        <v>1769197146</v>
      </c>
      <c r="C155">
        <v>2585</v>
      </c>
      <c r="D155" t="s">
        <v>577</v>
      </c>
      <c r="E155" t="s">
        <v>578</v>
      </c>
      <c r="F155">
        <v>15</v>
      </c>
      <c r="G155">
        <v>1769197137.9333301</v>
      </c>
      <c r="H155">
        <f t="shared" si="26"/>
        <v>6.4805998711624745E-4</v>
      </c>
      <c r="I155">
        <v>0</v>
      </c>
      <c r="J155">
        <f t="shared" si="38"/>
        <v>-8.3651670015508911E-4</v>
      </c>
      <c r="K155">
        <f t="shared" si="27"/>
        <v>-3.1171806008705363E-2</v>
      </c>
      <c r="L155">
        <f t="shared" si="28"/>
        <v>69.973251778026935</v>
      </c>
      <c r="M155">
        <f t="shared" si="29"/>
        <v>1.5418461063953453</v>
      </c>
      <c r="N155">
        <f t="shared" si="30"/>
        <v>2.2034792827500369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26209.82146851642</v>
      </c>
      <c r="T155">
        <f t="shared" si="34"/>
        <v>100.000066666667</v>
      </c>
      <c r="U155">
        <f t="shared" si="35"/>
        <v>84.299795079826225</v>
      </c>
      <c r="V155">
        <f t="shared" si="36"/>
        <v>0.8429973888000003</v>
      </c>
      <c r="W155">
        <f t="shared" si="37"/>
        <v>0.15869352396800007</v>
      </c>
      <c r="X155">
        <v>1</v>
      </c>
      <c r="Y155">
        <v>1769197137.9333301</v>
      </c>
      <c r="Z155">
        <v>409.71626666666702</v>
      </c>
      <c r="AA155">
        <v>410.00920000000002</v>
      </c>
      <c r="AB155">
        <v>15.3903533333333</v>
      </c>
      <c r="AC155">
        <v>14.592753333333301</v>
      </c>
      <c r="AD155">
        <v>410.52126666666697</v>
      </c>
      <c r="AE155">
        <v>15.3025066666667</v>
      </c>
      <c r="AF155">
        <v>800.00766666666698</v>
      </c>
      <c r="AG155">
        <v>100.118333333333</v>
      </c>
      <c r="AH155">
        <v>6.4298800000000003E-2</v>
      </c>
      <c r="AI155">
        <v>18.987633333333299</v>
      </c>
      <c r="AJ155">
        <v>999.9</v>
      </c>
      <c r="AK155">
        <v>999.9</v>
      </c>
      <c r="AL155">
        <v>0</v>
      </c>
      <c r="AM155">
        <v>0</v>
      </c>
      <c r="AN155">
        <v>4992.6666666666697</v>
      </c>
      <c r="AO155">
        <v>0</v>
      </c>
      <c r="AP155">
        <v>1.6937899999999999</v>
      </c>
      <c r="AQ155">
        <v>-0.29281819999999997</v>
      </c>
      <c r="AR155">
        <v>416.12060000000002</v>
      </c>
      <c r="AS155">
        <v>416.08080000000001</v>
      </c>
      <c r="AT155">
        <v>0.79758766666666703</v>
      </c>
      <c r="AU155">
        <v>410.00920000000002</v>
      </c>
      <c r="AV155">
        <v>14.592753333333301</v>
      </c>
      <c r="AW155">
        <v>1.5408580000000001</v>
      </c>
      <c r="AX155">
        <v>1.4610053333333299</v>
      </c>
      <c r="AY155">
        <v>13.3797333333333</v>
      </c>
      <c r="AZ155">
        <v>12.566053333333301</v>
      </c>
      <c r="BA155">
        <v>100.000066666667</v>
      </c>
      <c r="BB155">
        <v>0.90008626666666702</v>
      </c>
      <c r="BC155">
        <v>0</v>
      </c>
      <c r="BD155">
        <v>9.9913706666666699E-2</v>
      </c>
      <c r="BE155">
        <v>0</v>
      </c>
      <c r="BF155">
        <v>24</v>
      </c>
      <c r="BG155">
        <v>1648.92266666667</v>
      </c>
      <c r="BH155">
        <v>1769197084</v>
      </c>
      <c r="BI155" t="s">
        <v>568</v>
      </c>
      <c r="BJ155">
        <v>1769197082</v>
      </c>
      <c r="BK155">
        <v>1769197084</v>
      </c>
      <c r="BL155">
        <v>5</v>
      </c>
      <c r="BM155">
        <v>2.7E-2</v>
      </c>
      <c r="BN155">
        <v>-4.0000000000000001E-3</v>
      </c>
      <c r="BO155">
        <v>-0.80500000000000005</v>
      </c>
      <c r="BP155">
        <v>8.7999999999999995E-2</v>
      </c>
      <c r="BQ155">
        <v>410</v>
      </c>
      <c r="BR155">
        <v>15</v>
      </c>
      <c r="BS155">
        <v>0.28000000000000003</v>
      </c>
      <c r="BT155">
        <v>0.06</v>
      </c>
      <c r="BU155">
        <v>-0.275277285714286</v>
      </c>
      <c r="BV155">
        <v>-0.14747680519480499</v>
      </c>
      <c r="BW155">
        <v>3.6642107500918203E-2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0.79745252380952403</v>
      </c>
      <c r="CD155">
        <v>1.1998441558448299E-3</v>
      </c>
      <c r="CE155">
        <v>1.1350294151442201E-3</v>
      </c>
      <c r="CF155">
        <v>1</v>
      </c>
      <c r="CG155">
        <v>2</v>
      </c>
      <c r="CH155">
        <v>2</v>
      </c>
      <c r="CI155" t="s">
        <v>304</v>
      </c>
      <c r="CJ155">
        <v>3.5325700000000002</v>
      </c>
      <c r="CK155">
        <v>2.7021799999999998</v>
      </c>
      <c r="CL155">
        <v>9.7827800000000006E-2</v>
      </c>
      <c r="CM155">
        <v>9.6525799999999995E-2</v>
      </c>
      <c r="CN155">
        <v>8.7045300000000006E-2</v>
      </c>
      <c r="CO155">
        <v>8.2763900000000001E-2</v>
      </c>
      <c r="CP155">
        <v>31615.200000000001</v>
      </c>
      <c r="CQ155">
        <v>27800.2</v>
      </c>
      <c r="CR155">
        <v>32435.3</v>
      </c>
      <c r="CS155">
        <v>30698.9</v>
      </c>
      <c r="CT155">
        <v>40104.300000000003</v>
      </c>
      <c r="CU155">
        <v>39600.9</v>
      </c>
      <c r="CV155">
        <v>47376.5</v>
      </c>
      <c r="CW155">
        <v>46823.1</v>
      </c>
      <c r="CX155">
        <v>2.6175600000000001</v>
      </c>
      <c r="CY155">
        <v>2.1189</v>
      </c>
      <c r="CZ155">
        <v>0</v>
      </c>
      <c r="DA155">
        <v>0</v>
      </c>
      <c r="DB155">
        <v>999.9</v>
      </c>
      <c r="DC155">
        <v>999.9</v>
      </c>
      <c r="DD155">
        <v>50.69</v>
      </c>
      <c r="DE155">
        <v>28.015999999999998</v>
      </c>
      <c r="DF155">
        <v>19.231100000000001</v>
      </c>
      <c r="DG155">
        <v>30.279800000000002</v>
      </c>
      <c r="DH155">
        <v>16.3582</v>
      </c>
      <c r="DI155">
        <v>2</v>
      </c>
      <c r="DJ155">
        <v>-8.9402400000000007E-2</v>
      </c>
      <c r="DK155">
        <v>1.9939199999999999</v>
      </c>
      <c r="DL155">
        <v>20.233499999999999</v>
      </c>
      <c r="DM155">
        <v>5.2488000000000001</v>
      </c>
      <c r="DN155">
        <v>12.033899999999999</v>
      </c>
      <c r="DO155">
        <v>4.9666399999999999</v>
      </c>
      <c r="DP155">
        <v>3.2909999999999999</v>
      </c>
      <c r="DQ155">
        <v>536.70000000000005</v>
      </c>
      <c r="DR155">
        <v>9999</v>
      </c>
      <c r="DS155">
        <v>9999</v>
      </c>
      <c r="DT155">
        <v>9999</v>
      </c>
      <c r="DU155">
        <v>1.8711500000000001</v>
      </c>
      <c r="DV155">
        <v>1.87612</v>
      </c>
      <c r="DW155">
        <v>1.87635</v>
      </c>
      <c r="DX155">
        <v>1.8828</v>
      </c>
      <c r="DY155">
        <v>1.8755999999999999</v>
      </c>
      <c r="DZ155">
        <v>1.87469</v>
      </c>
      <c r="EA155">
        <v>1.8708499999999999</v>
      </c>
      <c r="EB155">
        <v>1.8746799999999999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-0.80500000000000005</v>
      </c>
      <c r="EQ155">
        <v>8.7900000000000006E-2</v>
      </c>
      <c r="ER155">
        <v>-0.80499999999989302</v>
      </c>
      <c r="ES155">
        <v>0</v>
      </c>
      <c r="ET155">
        <v>0</v>
      </c>
      <c r="EU155">
        <v>0</v>
      </c>
      <c r="EV155">
        <v>8.7840000000001695E-2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1.1000000000000001</v>
      </c>
      <c r="FE155">
        <v>1</v>
      </c>
      <c r="FF155">
        <v>1.24268</v>
      </c>
      <c r="FG155">
        <v>2.5939899999999998</v>
      </c>
      <c r="FH155">
        <v>2.19604</v>
      </c>
      <c r="FI155">
        <v>2.66357</v>
      </c>
      <c r="FJ155">
        <v>2.4462899999999999</v>
      </c>
      <c r="FK155">
        <v>2.3120099999999999</v>
      </c>
      <c r="FL155">
        <v>32.443300000000001</v>
      </c>
      <c r="FM155">
        <v>24.157499999999999</v>
      </c>
      <c r="FN155">
        <v>19</v>
      </c>
      <c r="FO155">
        <v>865.57899999999995</v>
      </c>
      <c r="FP155">
        <v>571.33699999999999</v>
      </c>
      <c r="FQ155">
        <v>18.454799999999999</v>
      </c>
      <c r="FR155">
        <v>25.835999999999999</v>
      </c>
      <c r="FS155">
        <v>30.0002</v>
      </c>
      <c r="FT155">
        <v>25.823799999999999</v>
      </c>
      <c r="FU155">
        <v>25.8261</v>
      </c>
      <c r="FV155">
        <v>24.943300000000001</v>
      </c>
      <c r="FW155">
        <v>26.812100000000001</v>
      </c>
      <c r="FX155">
        <v>0</v>
      </c>
      <c r="FY155">
        <v>18.456499999999998</v>
      </c>
      <c r="FZ155">
        <v>410</v>
      </c>
      <c r="GA155">
        <v>14.601699999999999</v>
      </c>
      <c r="GB155">
        <v>99.822699999999998</v>
      </c>
      <c r="GC155">
        <v>99.671000000000006</v>
      </c>
    </row>
    <row r="156" spans="1:185" x14ac:dyDescent="0.2">
      <c r="A156">
        <v>141</v>
      </c>
      <c r="B156">
        <v>1769197161</v>
      </c>
      <c r="C156">
        <v>2600</v>
      </c>
      <c r="D156" t="s">
        <v>579</v>
      </c>
      <c r="E156" t="s">
        <v>580</v>
      </c>
      <c r="F156">
        <v>15</v>
      </c>
      <c r="G156">
        <v>1769197152.9333301</v>
      </c>
      <c r="H156">
        <f t="shared" si="26"/>
        <v>6.4473905297677625E-4</v>
      </c>
      <c r="I156">
        <v>0</v>
      </c>
      <c r="J156">
        <f t="shared" si="38"/>
        <v>-9.203040175184802E-4</v>
      </c>
      <c r="K156">
        <f t="shared" si="27"/>
        <v>-3.4294041347649858E-2</v>
      </c>
      <c r="L156">
        <f t="shared" si="28"/>
        <v>69.887826803435615</v>
      </c>
      <c r="M156">
        <f t="shared" si="29"/>
        <v>1.541067442238951</v>
      </c>
      <c r="N156">
        <f t="shared" si="30"/>
        <v>2.205058466867643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26278.06501129927</v>
      </c>
      <c r="T156">
        <f t="shared" si="34"/>
        <v>99.999373333333295</v>
      </c>
      <c r="U156">
        <f t="shared" si="35"/>
        <v>84.299191701754708</v>
      </c>
      <c r="V156">
        <f t="shared" si="36"/>
        <v>0.84299719979999954</v>
      </c>
      <c r="W156">
        <f t="shared" si="37"/>
        <v>0.15869298650799993</v>
      </c>
      <c r="X156">
        <v>1</v>
      </c>
      <c r="Y156">
        <v>1769197152.9333301</v>
      </c>
      <c r="Z156">
        <v>409.71733333333299</v>
      </c>
      <c r="AA156">
        <v>410.00466666666699</v>
      </c>
      <c r="AB156">
        <v>15.382286666666699</v>
      </c>
      <c r="AC156">
        <v>14.588760000000001</v>
      </c>
      <c r="AD156">
        <v>410.52233333333299</v>
      </c>
      <c r="AE156">
        <v>15.2944333333333</v>
      </c>
      <c r="AF156">
        <v>800.00019999999995</v>
      </c>
      <c r="AG156">
        <v>100.120133333333</v>
      </c>
      <c r="AH156">
        <v>6.4415013333333299E-2</v>
      </c>
      <c r="AI156">
        <v>18.999113333333302</v>
      </c>
      <c r="AJ156">
        <v>999.9</v>
      </c>
      <c r="AK156">
        <v>999.9</v>
      </c>
      <c r="AL156">
        <v>0</v>
      </c>
      <c r="AM156">
        <v>0</v>
      </c>
      <c r="AN156">
        <v>5004</v>
      </c>
      <c r="AO156">
        <v>0</v>
      </c>
      <c r="AP156">
        <v>1.6937899999999999</v>
      </c>
      <c r="AQ156">
        <v>-0.28754259999999998</v>
      </c>
      <c r="AR156">
        <v>416.11826666666701</v>
      </c>
      <c r="AS156">
        <v>416.07493333333298</v>
      </c>
      <c r="AT156">
        <v>0.79350346666666705</v>
      </c>
      <c r="AU156">
        <v>410.00466666666699</v>
      </c>
      <c r="AV156">
        <v>14.588760000000001</v>
      </c>
      <c r="AW156">
        <v>1.54007466666667</v>
      </c>
      <c r="AX156">
        <v>1.4606300000000001</v>
      </c>
      <c r="AY156">
        <v>13.371919999999999</v>
      </c>
      <c r="AZ156">
        <v>12.562146666666701</v>
      </c>
      <c r="BA156">
        <v>99.999373333333295</v>
      </c>
      <c r="BB156">
        <v>0.90009353333333297</v>
      </c>
      <c r="BC156">
        <v>0</v>
      </c>
      <c r="BD156">
        <v>9.9906473333333301E-2</v>
      </c>
      <c r="BE156">
        <v>0</v>
      </c>
      <c r="BF156">
        <v>24</v>
      </c>
      <c r="BG156">
        <v>1648.91533333333</v>
      </c>
      <c r="BH156">
        <v>1769197084</v>
      </c>
      <c r="BI156" t="s">
        <v>568</v>
      </c>
      <c r="BJ156">
        <v>1769197082</v>
      </c>
      <c r="BK156">
        <v>1769197084</v>
      </c>
      <c r="BL156">
        <v>5</v>
      </c>
      <c r="BM156">
        <v>2.7E-2</v>
      </c>
      <c r="BN156">
        <v>-4.0000000000000001E-3</v>
      </c>
      <c r="BO156">
        <v>-0.80500000000000005</v>
      </c>
      <c r="BP156">
        <v>8.7999999999999995E-2</v>
      </c>
      <c r="BQ156">
        <v>410</v>
      </c>
      <c r="BR156">
        <v>15</v>
      </c>
      <c r="BS156">
        <v>0.28000000000000003</v>
      </c>
      <c r="BT156">
        <v>0.06</v>
      </c>
      <c r="BU156">
        <v>-0.28319</v>
      </c>
      <c r="BV156">
        <v>-0.161350597402597</v>
      </c>
      <c r="BW156">
        <v>2.29930696018232E-2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0.79497261904761896</v>
      </c>
      <c r="CD156">
        <v>-3.2137558441558599E-2</v>
      </c>
      <c r="CE156">
        <v>3.68399818360162E-3</v>
      </c>
      <c r="CF156">
        <v>1</v>
      </c>
      <c r="CG156">
        <v>2</v>
      </c>
      <c r="CH156">
        <v>2</v>
      </c>
      <c r="CI156" t="s">
        <v>304</v>
      </c>
      <c r="CJ156">
        <v>3.5325500000000001</v>
      </c>
      <c r="CK156">
        <v>2.70248</v>
      </c>
      <c r="CL156">
        <v>9.7829700000000006E-2</v>
      </c>
      <c r="CM156">
        <v>9.6531800000000001E-2</v>
      </c>
      <c r="CN156">
        <v>8.6985900000000005E-2</v>
      </c>
      <c r="CO156">
        <v>8.2747699999999993E-2</v>
      </c>
      <c r="CP156">
        <v>31615</v>
      </c>
      <c r="CQ156">
        <v>27800.3</v>
      </c>
      <c r="CR156">
        <v>32435.200000000001</v>
      </c>
      <c r="CS156">
        <v>30699.200000000001</v>
      </c>
      <c r="CT156">
        <v>40106.9</v>
      </c>
      <c r="CU156">
        <v>39602</v>
      </c>
      <c r="CV156">
        <v>47376.4</v>
      </c>
      <c r="CW156">
        <v>46823.5</v>
      </c>
      <c r="CX156">
        <v>2.6175799999999998</v>
      </c>
      <c r="CY156">
        <v>2.1188199999999999</v>
      </c>
      <c r="CZ156">
        <v>0</v>
      </c>
      <c r="DA156">
        <v>0</v>
      </c>
      <c r="DB156">
        <v>999.9</v>
      </c>
      <c r="DC156">
        <v>999.9</v>
      </c>
      <c r="DD156">
        <v>50.664999999999999</v>
      </c>
      <c r="DE156">
        <v>28.015999999999998</v>
      </c>
      <c r="DF156">
        <v>19.221699999999998</v>
      </c>
      <c r="DG156">
        <v>30.5198</v>
      </c>
      <c r="DH156">
        <v>16.334099999999999</v>
      </c>
      <c r="DI156">
        <v>2</v>
      </c>
      <c r="DJ156">
        <v>-8.8808899999999996E-2</v>
      </c>
      <c r="DK156">
        <v>2.3974700000000002</v>
      </c>
      <c r="DL156">
        <v>20.226600000000001</v>
      </c>
      <c r="DM156">
        <v>5.2492799999999997</v>
      </c>
      <c r="DN156">
        <v>12.033899999999999</v>
      </c>
      <c r="DO156">
        <v>4.9665999999999997</v>
      </c>
      <c r="DP156">
        <v>3.2909999999999999</v>
      </c>
      <c r="DQ156">
        <v>536.70000000000005</v>
      </c>
      <c r="DR156">
        <v>9999</v>
      </c>
      <c r="DS156">
        <v>9999</v>
      </c>
      <c r="DT156">
        <v>9999</v>
      </c>
      <c r="DU156">
        <v>1.8711500000000001</v>
      </c>
      <c r="DV156">
        <v>1.87612</v>
      </c>
      <c r="DW156">
        <v>1.87636</v>
      </c>
      <c r="DX156">
        <v>1.8828100000000001</v>
      </c>
      <c r="DY156">
        <v>1.87561</v>
      </c>
      <c r="DZ156">
        <v>1.8746799999999999</v>
      </c>
      <c r="EA156">
        <v>1.87083</v>
      </c>
      <c r="EB156">
        <v>1.8746499999999999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-0.80500000000000005</v>
      </c>
      <c r="EQ156">
        <v>8.7800000000000003E-2</v>
      </c>
      <c r="ER156">
        <v>-0.80499999999989302</v>
      </c>
      <c r="ES156">
        <v>0</v>
      </c>
      <c r="ET156">
        <v>0</v>
      </c>
      <c r="EU156">
        <v>0</v>
      </c>
      <c r="EV156">
        <v>8.7840000000001695E-2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1.3</v>
      </c>
      <c r="FE156">
        <v>1.3</v>
      </c>
      <c r="FF156">
        <v>1.24268</v>
      </c>
      <c r="FG156">
        <v>2.5891099999999998</v>
      </c>
      <c r="FH156">
        <v>2.19604</v>
      </c>
      <c r="FI156">
        <v>2.66357</v>
      </c>
      <c r="FJ156">
        <v>2.4462899999999999</v>
      </c>
      <c r="FK156">
        <v>2.32178</v>
      </c>
      <c r="FL156">
        <v>32.443300000000001</v>
      </c>
      <c r="FM156">
        <v>24.148800000000001</v>
      </c>
      <c r="FN156">
        <v>19</v>
      </c>
      <c r="FO156">
        <v>865.63199999999995</v>
      </c>
      <c r="FP156">
        <v>571.29999999999995</v>
      </c>
      <c r="FQ156">
        <v>18.4407</v>
      </c>
      <c r="FR156">
        <v>25.838200000000001</v>
      </c>
      <c r="FS156">
        <v>30.000499999999999</v>
      </c>
      <c r="FT156">
        <v>25.826000000000001</v>
      </c>
      <c r="FU156">
        <v>25.828199999999999</v>
      </c>
      <c r="FV156">
        <v>24.942299999999999</v>
      </c>
      <c r="FW156">
        <v>26.812100000000001</v>
      </c>
      <c r="FX156">
        <v>0</v>
      </c>
      <c r="FY156">
        <v>18.325800000000001</v>
      </c>
      <c r="FZ156">
        <v>410</v>
      </c>
      <c r="GA156">
        <v>14.601699999999999</v>
      </c>
      <c r="GB156">
        <v>99.822500000000005</v>
      </c>
      <c r="GC156">
        <v>99.671999999999997</v>
      </c>
    </row>
    <row r="157" spans="1:185" x14ac:dyDescent="0.2">
      <c r="A157">
        <v>142</v>
      </c>
      <c r="B157">
        <v>1769197176</v>
      </c>
      <c r="C157">
        <v>2615</v>
      </c>
      <c r="D157" t="s">
        <v>581</v>
      </c>
      <c r="E157" t="s">
        <v>582</v>
      </c>
      <c r="F157">
        <v>15</v>
      </c>
      <c r="G157">
        <v>1769197167.9333301</v>
      </c>
      <c r="H157">
        <f t="shared" si="26"/>
        <v>6.3752688601552128E-4</v>
      </c>
      <c r="I157">
        <v>0</v>
      </c>
      <c r="J157">
        <f t="shared" si="38"/>
        <v>-9.1536220706247217E-4</v>
      </c>
      <c r="K157">
        <f t="shared" si="27"/>
        <v>-3.4109890622580158E-2</v>
      </c>
      <c r="L157">
        <f t="shared" si="28"/>
        <v>69.798571778030151</v>
      </c>
      <c r="M157">
        <f t="shared" si="29"/>
        <v>1.5397954592851639</v>
      </c>
      <c r="N157">
        <f t="shared" si="30"/>
        <v>2.2060558261592269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26287.668640418127</v>
      </c>
      <c r="T157">
        <f t="shared" si="34"/>
        <v>99.999206666666694</v>
      </c>
      <c r="U157">
        <f t="shared" si="35"/>
        <v>84.299035402346888</v>
      </c>
      <c r="V157">
        <f t="shared" si="36"/>
        <v>0.84299704180000024</v>
      </c>
      <c r="W157">
        <f t="shared" si="37"/>
        <v>0.15869272142800006</v>
      </c>
      <c r="X157">
        <v>1</v>
      </c>
      <c r="Y157">
        <v>1769197167.9333301</v>
      </c>
      <c r="Z157">
        <v>409.71653333333302</v>
      </c>
      <c r="AA157">
        <v>410.00040000000001</v>
      </c>
      <c r="AB157">
        <v>15.369493333333301</v>
      </c>
      <c r="AC157">
        <v>14.58484</v>
      </c>
      <c r="AD157">
        <v>410.52153333333302</v>
      </c>
      <c r="AE157">
        <v>15.281653333333299</v>
      </c>
      <c r="AF157">
        <v>800.00733333333301</v>
      </c>
      <c r="AG157">
        <v>100.12066666666701</v>
      </c>
      <c r="AH157">
        <v>6.4513539999999994E-2</v>
      </c>
      <c r="AI157">
        <v>19.006360000000001</v>
      </c>
      <c r="AJ157">
        <v>999.9</v>
      </c>
      <c r="AK157">
        <v>999.9</v>
      </c>
      <c r="AL157">
        <v>0</v>
      </c>
      <c r="AM157">
        <v>0</v>
      </c>
      <c r="AN157">
        <v>5005.6666666666697</v>
      </c>
      <c r="AO157">
        <v>0</v>
      </c>
      <c r="AP157">
        <v>1.6937899999999999</v>
      </c>
      <c r="AQ157">
        <v>-0.28377486666666701</v>
      </c>
      <c r="AR157">
        <v>416.11206666666698</v>
      </c>
      <c r="AS157">
        <v>416.0686</v>
      </c>
      <c r="AT157">
        <v>0.78467920000000002</v>
      </c>
      <c r="AU157">
        <v>410.00040000000001</v>
      </c>
      <c r="AV157">
        <v>14.58484</v>
      </c>
      <c r="AW157">
        <v>1.5388013333333299</v>
      </c>
      <c r="AX157">
        <v>1.4602413333333299</v>
      </c>
      <c r="AY157">
        <v>13.3592666666667</v>
      </c>
      <c r="AZ157">
        <v>12.55808</v>
      </c>
      <c r="BA157">
        <v>99.999206666666694</v>
      </c>
      <c r="BB157">
        <v>0.90009686666666699</v>
      </c>
      <c r="BC157">
        <v>0</v>
      </c>
      <c r="BD157">
        <v>9.99030733333333E-2</v>
      </c>
      <c r="BE157">
        <v>0</v>
      </c>
      <c r="BF157">
        <v>24</v>
      </c>
      <c r="BG157">
        <v>1648.91333333333</v>
      </c>
      <c r="BH157">
        <v>1769197084</v>
      </c>
      <c r="BI157" t="s">
        <v>568</v>
      </c>
      <c r="BJ157">
        <v>1769197082</v>
      </c>
      <c r="BK157">
        <v>1769197084</v>
      </c>
      <c r="BL157">
        <v>5</v>
      </c>
      <c r="BM157">
        <v>2.7E-2</v>
      </c>
      <c r="BN157">
        <v>-4.0000000000000001E-3</v>
      </c>
      <c r="BO157">
        <v>-0.80500000000000005</v>
      </c>
      <c r="BP157">
        <v>8.7999999999999995E-2</v>
      </c>
      <c r="BQ157">
        <v>410</v>
      </c>
      <c r="BR157">
        <v>15</v>
      </c>
      <c r="BS157">
        <v>0.28000000000000003</v>
      </c>
      <c r="BT157">
        <v>0.06</v>
      </c>
      <c r="BU157">
        <v>-0.29138944999999999</v>
      </c>
      <c r="BV157">
        <v>8.5820436090225702E-2</v>
      </c>
      <c r="BW157">
        <v>1.9548615773181999E-2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0.7862249</v>
      </c>
      <c r="CD157">
        <v>-4.1307609022556202E-2</v>
      </c>
      <c r="CE157">
        <v>4.1066918669410797E-3</v>
      </c>
      <c r="CF157">
        <v>1</v>
      </c>
      <c r="CG157">
        <v>2</v>
      </c>
      <c r="CH157">
        <v>2</v>
      </c>
      <c r="CI157" t="s">
        <v>304</v>
      </c>
      <c r="CJ157">
        <v>3.5325299999999999</v>
      </c>
      <c r="CK157">
        <v>2.7021700000000002</v>
      </c>
      <c r="CL157">
        <v>9.7827399999999995E-2</v>
      </c>
      <c r="CM157">
        <v>9.6532900000000005E-2</v>
      </c>
      <c r="CN157">
        <v>8.6927099999999993E-2</v>
      </c>
      <c r="CO157">
        <v>8.2731399999999997E-2</v>
      </c>
      <c r="CP157">
        <v>31614.9</v>
      </c>
      <c r="CQ157">
        <v>27799.9</v>
      </c>
      <c r="CR157">
        <v>32435</v>
      </c>
      <c r="CS157">
        <v>30698.799999999999</v>
      </c>
      <c r="CT157">
        <v>40109.300000000003</v>
      </c>
      <c r="CU157">
        <v>39602.1</v>
      </c>
      <c r="CV157">
        <v>47376.1</v>
      </c>
      <c r="CW157">
        <v>46822.7</v>
      </c>
      <c r="CX157">
        <v>2.6176599999999999</v>
      </c>
      <c r="CY157">
        <v>2.11896</v>
      </c>
      <c r="CZ157">
        <v>0</v>
      </c>
      <c r="DA157">
        <v>0</v>
      </c>
      <c r="DB157">
        <v>999.9</v>
      </c>
      <c r="DC157">
        <v>999.9</v>
      </c>
      <c r="DD157">
        <v>50.616999999999997</v>
      </c>
      <c r="DE157">
        <v>28.026</v>
      </c>
      <c r="DF157">
        <v>19.214500000000001</v>
      </c>
      <c r="DG157">
        <v>30.219799999999999</v>
      </c>
      <c r="DH157">
        <v>16.334099999999999</v>
      </c>
      <c r="DI157">
        <v>2</v>
      </c>
      <c r="DJ157">
        <v>-8.8323200000000004E-2</v>
      </c>
      <c r="DK157">
        <v>2.2169699999999999</v>
      </c>
      <c r="DL157">
        <v>20.23</v>
      </c>
      <c r="DM157">
        <v>5.2490399999999999</v>
      </c>
      <c r="DN157">
        <v>12.033899999999999</v>
      </c>
      <c r="DO157">
        <v>4.9667599999999998</v>
      </c>
      <c r="DP157">
        <v>3.2909999999999999</v>
      </c>
      <c r="DQ157">
        <v>536.70000000000005</v>
      </c>
      <c r="DR157">
        <v>9999</v>
      </c>
      <c r="DS157">
        <v>9999</v>
      </c>
      <c r="DT157">
        <v>9999</v>
      </c>
      <c r="DU157">
        <v>1.87114</v>
      </c>
      <c r="DV157">
        <v>1.8761399999999999</v>
      </c>
      <c r="DW157">
        <v>1.87636</v>
      </c>
      <c r="DX157">
        <v>1.8828100000000001</v>
      </c>
      <c r="DY157">
        <v>1.87561</v>
      </c>
      <c r="DZ157">
        <v>1.8746799999999999</v>
      </c>
      <c r="EA157">
        <v>1.87086</v>
      </c>
      <c r="EB157">
        <v>1.87466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-0.80500000000000005</v>
      </c>
      <c r="EQ157">
        <v>8.7900000000000006E-2</v>
      </c>
      <c r="ER157">
        <v>-0.80499999999989302</v>
      </c>
      <c r="ES157">
        <v>0</v>
      </c>
      <c r="ET157">
        <v>0</v>
      </c>
      <c r="EU157">
        <v>0</v>
      </c>
      <c r="EV157">
        <v>8.7840000000001695E-2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1.6</v>
      </c>
      <c r="FE157">
        <v>1.5</v>
      </c>
      <c r="FF157">
        <v>1.24268</v>
      </c>
      <c r="FG157">
        <v>2.5903299999999998</v>
      </c>
      <c r="FH157">
        <v>2.19604</v>
      </c>
      <c r="FI157">
        <v>2.66357</v>
      </c>
      <c r="FJ157">
        <v>2.4462899999999999</v>
      </c>
      <c r="FK157">
        <v>2.2924799999999999</v>
      </c>
      <c r="FL157">
        <v>32.465400000000002</v>
      </c>
      <c r="FM157">
        <v>24.157499999999999</v>
      </c>
      <c r="FN157">
        <v>19</v>
      </c>
      <c r="FO157">
        <v>865.74099999999999</v>
      </c>
      <c r="FP157">
        <v>571.42999999999995</v>
      </c>
      <c r="FQ157">
        <v>18.296500000000002</v>
      </c>
      <c r="FR157">
        <v>25.838200000000001</v>
      </c>
      <c r="FS157">
        <v>29.9999</v>
      </c>
      <c r="FT157">
        <v>25.828199999999999</v>
      </c>
      <c r="FU157">
        <v>25.830400000000001</v>
      </c>
      <c r="FV157">
        <v>24.941600000000001</v>
      </c>
      <c r="FW157">
        <v>26.812100000000001</v>
      </c>
      <c r="FX157">
        <v>0</v>
      </c>
      <c r="FY157">
        <v>18.3062</v>
      </c>
      <c r="FZ157">
        <v>410</v>
      </c>
      <c r="GA157">
        <v>14.601699999999999</v>
      </c>
      <c r="GB157">
        <v>99.821799999999996</v>
      </c>
      <c r="GC157">
        <v>99.670500000000004</v>
      </c>
    </row>
    <row r="158" spans="1:185" x14ac:dyDescent="0.2">
      <c r="A158">
        <v>143</v>
      </c>
      <c r="B158">
        <v>1769197191</v>
      </c>
      <c r="C158">
        <v>2630</v>
      </c>
      <c r="D158" t="s">
        <v>583</v>
      </c>
      <c r="E158" t="s">
        <v>584</v>
      </c>
      <c r="F158">
        <v>15</v>
      </c>
      <c r="G158">
        <v>1769197182.9333301</v>
      </c>
      <c r="H158">
        <f t="shared" si="26"/>
        <v>6.3645386446731591E-4</v>
      </c>
      <c r="I158">
        <v>0</v>
      </c>
      <c r="J158">
        <f t="shared" si="38"/>
        <v>-6.083563608673346E-4</v>
      </c>
      <c r="K158">
        <f t="shared" si="27"/>
        <v>-2.2669680666988105E-2</v>
      </c>
      <c r="L158">
        <f t="shared" si="28"/>
        <v>69.806269528982</v>
      </c>
      <c r="M158">
        <f t="shared" si="29"/>
        <v>1.5392428017126301</v>
      </c>
      <c r="N158">
        <f t="shared" si="30"/>
        <v>2.2050208557177959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26209.953335873772</v>
      </c>
      <c r="T158">
        <f t="shared" si="34"/>
        <v>100.00036</v>
      </c>
      <c r="U158">
        <f t="shared" si="35"/>
        <v>84.300003278919249</v>
      </c>
      <c r="V158">
        <f t="shared" si="36"/>
        <v>0.84299699799999972</v>
      </c>
      <c r="W158">
        <f t="shared" si="37"/>
        <v>0.15869262491999994</v>
      </c>
      <c r="X158">
        <v>1</v>
      </c>
      <c r="Y158">
        <v>1769197182.9333301</v>
      </c>
      <c r="Z158">
        <v>409.69346666666701</v>
      </c>
      <c r="AA158">
        <v>409.991066666667</v>
      </c>
      <c r="AB158">
        <v>15.363906666666701</v>
      </c>
      <c r="AC158">
        <v>14.5805666666667</v>
      </c>
      <c r="AD158">
        <v>410.49846666666701</v>
      </c>
      <c r="AE158">
        <v>15.276066666666701</v>
      </c>
      <c r="AF158">
        <v>800.00440000000003</v>
      </c>
      <c r="AG158">
        <v>100.12113333333301</v>
      </c>
      <c r="AH158">
        <v>6.4505326666666696E-2</v>
      </c>
      <c r="AI158">
        <v>18.998840000000001</v>
      </c>
      <c r="AJ158">
        <v>999.9</v>
      </c>
      <c r="AK158">
        <v>999.9</v>
      </c>
      <c r="AL158">
        <v>0</v>
      </c>
      <c r="AM158">
        <v>0</v>
      </c>
      <c r="AN158">
        <v>4992.7333333333299</v>
      </c>
      <c r="AO158">
        <v>0</v>
      </c>
      <c r="AP158">
        <v>1.6937899999999999</v>
      </c>
      <c r="AQ158">
        <v>-0.29767453333333299</v>
      </c>
      <c r="AR158">
        <v>416.08613333333301</v>
      </c>
      <c r="AS158">
        <v>416.05733333333302</v>
      </c>
      <c r="AT158">
        <v>0.78335233333333298</v>
      </c>
      <c r="AU158">
        <v>409.991066666667</v>
      </c>
      <c r="AV158">
        <v>14.5805666666667</v>
      </c>
      <c r="AW158">
        <v>1.53825066666667</v>
      </c>
      <c r="AX158">
        <v>1.459822</v>
      </c>
      <c r="AY158">
        <v>13.353773333333301</v>
      </c>
      <c r="AZ158">
        <v>12.553706666666701</v>
      </c>
      <c r="BA158">
        <v>100.00036</v>
      </c>
      <c r="BB158">
        <v>0.90009813333333299</v>
      </c>
      <c r="BC158">
        <v>0</v>
      </c>
      <c r="BD158">
        <v>9.9901799999999999E-2</v>
      </c>
      <c r="BE158">
        <v>0</v>
      </c>
      <c r="BF158">
        <v>24</v>
      </c>
      <c r="BG158">
        <v>1648.93333333333</v>
      </c>
      <c r="BH158">
        <v>1769197084</v>
      </c>
      <c r="BI158" t="s">
        <v>568</v>
      </c>
      <c r="BJ158">
        <v>1769197082</v>
      </c>
      <c r="BK158">
        <v>1769197084</v>
      </c>
      <c r="BL158">
        <v>5</v>
      </c>
      <c r="BM158">
        <v>2.7E-2</v>
      </c>
      <c r="BN158">
        <v>-4.0000000000000001E-3</v>
      </c>
      <c r="BO158">
        <v>-0.80500000000000005</v>
      </c>
      <c r="BP158">
        <v>8.7999999999999995E-2</v>
      </c>
      <c r="BQ158">
        <v>410</v>
      </c>
      <c r="BR158">
        <v>15</v>
      </c>
      <c r="BS158">
        <v>0.28000000000000003</v>
      </c>
      <c r="BT158">
        <v>0.06</v>
      </c>
      <c r="BU158">
        <v>-0.29534623809523802</v>
      </c>
      <c r="BV158">
        <v>6.0951662337661999E-2</v>
      </c>
      <c r="BW158">
        <v>2.2362374686288999E-2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0.78278719047619005</v>
      </c>
      <c r="CD158">
        <v>1.5008649350649699E-2</v>
      </c>
      <c r="CE158">
        <v>1.7787640872258901E-3</v>
      </c>
      <c r="CF158">
        <v>1</v>
      </c>
      <c r="CG158">
        <v>2</v>
      </c>
      <c r="CH158">
        <v>2</v>
      </c>
      <c r="CI158" t="s">
        <v>304</v>
      </c>
      <c r="CJ158">
        <v>3.53254</v>
      </c>
      <c r="CK158">
        <v>2.7027100000000002</v>
      </c>
      <c r="CL158">
        <v>9.7826700000000003E-2</v>
      </c>
      <c r="CM158">
        <v>9.6522899999999995E-2</v>
      </c>
      <c r="CN158">
        <v>8.6944999999999995E-2</v>
      </c>
      <c r="CO158">
        <v>8.2718700000000006E-2</v>
      </c>
      <c r="CP158">
        <v>31616.1</v>
      </c>
      <c r="CQ158">
        <v>27800.3</v>
      </c>
      <c r="CR158">
        <v>32436.2</v>
      </c>
      <c r="CS158">
        <v>30698.9</v>
      </c>
      <c r="CT158">
        <v>40110</v>
      </c>
      <c r="CU158">
        <v>39602.800000000003</v>
      </c>
      <c r="CV158">
        <v>47377.9</v>
      </c>
      <c r="CW158">
        <v>46822.9</v>
      </c>
      <c r="CX158">
        <v>2.6173799999999998</v>
      </c>
      <c r="CY158">
        <v>2.1190199999999999</v>
      </c>
      <c r="CZ158">
        <v>0</v>
      </c>
      <c r="DA158">
        <v>0</v>
      </c>
      <c r="DB158">
        <v>999.9</v>
      </c>
      <c r="DC158">
        <v>999.9</v>
      </c>
      <c r="DD158">
        <v>50.58</v>
      </c>
      <c r="DE158">
        <v>28.026</v>
      </c>
      <c r="DF158">
        <v>19.200800000000001</v>
      </c>
      <c r="DG158">
        <v>30.219799999999999</v>
      </c>
      <c r="DH158">
        <v>16.3261</v>
      </c>
      <c r="DI158">
        <v>2</v>
      </c>
      <c r="DJ158">
        <v>-8.8949200000000006E-2</v>
      </c>
      <c r="DK158">
        <v>2.1297999999999999</v>
      </c>
      <c r="DL158">
        <v>20.231300000000001</v>
      </c>
      <c r="DM158">
        <v>5.2492799999999997</v>
      </c>
      <c r="DN158">
        <v>12.033899999999999</v>
      </c>
      <c r="DO158">
        <v>4.9668799999999997</v>
      </c>
      <c r="DP158">
        <v>3.2909999999999999</v>
      </c>
      <c r="DQ158">
        <v>536.70000000000005</v>
      </c>
      <c r="DR158">
        <v>9999</v>
      </c>
      <c r="DS158">
        <v>9999</v>
      </c>
      <c r="DT158">
        <v>9999</v>
      </c>
      <c r="DU158">
        <v>1.8711500000000001</v>
      </c>
      <c r="DV158">
        <v>1.8761300000000001</v>
      </c>
      <c r="DW158">
        <v>1.8763700000000001</v>
      </c>
      <c r="DX158">
        <v>1.8828499999999999</v>
      </c>
      <c r="DY158">
        <v>1.87561</v>
      </c>
      <c r="DZ158">
        <v>1.87469</v>
      </c>
      <c r="EA158">
        <v>1.87087</v>
      </c>
      <c r="EB158">
        <v>1.87466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-0.80500000000000005</v>
      </c>
      <c r="EQ158">
        <v>8.7800000000000003E-2</v>
      </c>
      <c r="ER158">
        <v>-0.80499999999989302</v>
      </c>
      <c r="ES158">
        <v>0</v>
      </c>
      <c r="ET158">
        <v>0</v>
      </c>
      <c r="EU158">
        <v>0</v>
      </c>
      <c r="EV158">
        <v>8.7840000000001695E-2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1.8</v>
      </c>
      <c r="FE158">
        <v>1.8</v>
      </c>
      <c r="FF158">
        <v>1.24268</v>
      </c>
      <c r="FG158">
        <v>2.5939899999999998</v>
      </c>
      <c r="FH158">
        <v>2.19604</v>
      </c>
      <c r="FI158">
        <v>2.66357</v>
      </c>
      <c r="FJ158">
        <v>2.4462899999999999</v>
      </c>
      <c r="FK158">
        <v>2.32544</v>
      </c>
      <c r="FL158">
        <v>32.465400000000002</v>
      </c>
      <c r="FM158">
        <v>24.157499999999999</v>
      </c>
      <c r="FN158">
        <v>19</v>
      </c>
      <c r="FO158">
        <v>865.48099999999999</v>
      </c>
      <c r="FP158">
        <v>571.476</v>
      </c>
      <c r="FQ158">
        <v>18.300999999999998</v>
      </c>
      <c r="FR158">
        <v>25.835999999999999</v>
      </c>
      <c r="FS158">
        <v>30</v>
      </c>
      <c r="FT158">
        <v>25.828199999999999</v>
      </c>
      <c r="FU158">
        <v>25.830400000000001</v>
      </c>
      <c r="FV158">
        <v>24.943000000000001</v>
      </c>
      <c r="FW158">
        <v>26.812100000000001</v>
      </c>
      <c r="FX158">
        <v>0</v>
      </c>
      <c r="FY158">
        <v>18.311900000000001</v>
      </c>
      <c r="FZ158">
        <v>410</v>
      </c>
      <c r="GA158">
        <v>14.601699999999999</v>
      </c>
      <c r="GB158">
        <v>99.825500000000005</v>
      </c>
      <c r="GC158">
        <v>99.670900000000003</v>
      </c>
    </row>
    <row r="159" spans="1:185" x14ac:dyDescent="0.2">
      <c r="A159">
        <v>144</v>
      </c>
      <c r="B159">
        <v>1769197206</v>
      </c>
      <c r="C159">
        <v>2645</v>
      </c>
      <c r="D159" t="s">
        <v>585</v>
      </c>
      <c r="E159" t="s">
        <v>586</v>
      </c>
      <c r="F159">
        <v>15</v>
      </c>
      <c r="G159">
        <v>1769197197.9333301</v>
      </c>
      <c r="H159">
        <f t="shared" si="26"/>
        <v>6.4149734059055759E-4</v>
      </c>
      <c r="I159">
        <v>0</v>
      </c>
      <c r="J159">
        <f t="shared" si="38"/>
        <v>-5.9950994195018573E-4</v>
      </c>
      <c r="K159">
        <f t="shared" si="27"/>
        <v>-2.2340029323140477E-2</v>
      </c>
      <c r="L159">
        <f t="shared" si="28"/>
        <v>69.845061472902742</v>
      </c>
      <c r="M159">
        <f t="shared" si="29"/>
        <v>1.5396061715973737</v>
      </c>
      <c r="N159">
        <f t="shared" si="30"/>
        <v>2.2043164385998613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26294.234121788457</v>
      </c>
      <c r="T159">
        <f t="shared" si="34"/>
        <v>100.00112666666701</v>
      </c>
      <c r="U159">
        <f t="shared" si="35"/>
        <v>84.300679576956028</v>
      </c>
      <c r="V159">
        <f t="shared" si="36"/>
        <v>0.84299729800000001</v>
      </c>
      <c r="W159">
        <f t="shared" si="37"/>
        <v>0.15869311508</v>
      </c>
      <c r="X159">
        <v>1</v>
      </c>
      <c r="Y159">
        <v>1769197197.9333301</v>
      </c>
      <c r="Z159">
        <v>409.69880000000001</v>
      </c>
      <c r="AA159">
        <v>409.99939999999998</v>
      </c>
      <c r="AB159">
        <v>15.3675933333333</v>
      </c>
      <c r="AC159">
        <v>14.578046666666699</v>
      </c>
      <c r="AD159">
        <v>410.503733333333</v>
      </c>
      <c r="AE159">
        <v>15.279766666666699</v>
      </c>
      <c r="AF159">
        <v>800.00220000000002</v>
      </c>
      <c r="AG159">
        <v>100.120533333333</v>
      </c>
      <c r="AH159">
        <v>6.4716120000000002E-2</v>
      </c>
      <c r="AI159">
        <v>18.99372</v>
      </c>
      <c r="AJ159">
        <v>999.9</v>
      </c>
      <c r="AK159">
        <v>999.9</v>
      </c>
      <c r="AL159">
        <v>0</v>
      </c>
      <c r="AM159">
        <v>0</v>
      </c>
      <c r="AN159">
        <v>5006.5666666666702</v>
      </c>
      <c r="AO159">
        <v>0</v>
      </c>
      <c r="AP159">
        <v>1.6937899999999999</v>
      </c>
      <c r="AQ159">
        <v>-0.30063273333333301</v>
      </c>
      <c r="AR159">
        <v>416.09300000000002</v>
      </c>
      <c r="AS159">
        <v>416.06473333333298</v>
      </c>
      <c r="AT159">
        <v>0.78956146666666704</v>
      </c>
      <c r="AU159">
        <v>409.99939999999998</v>
      </c>
      <c r="AV159">
        <v>14.578046666666699</v>
      </c>
      <c r="AW159">
        <v>1.53861133333333</v>
      </c>
      <c r="AX159">
        <v>1.4595606666666701</v>
      </c>
      <c r="AY159">
        <v>13.3573466666667</v>
      </c>
      <c r="AZ159">
        <v>12.55096</v>
      </c>
      <c r="BA159">
        <v>100.00112666666701</v>
      </c>
      <c r="BB159">
        <v>0.900092</v>
      </c>
      <c r="BC159">
        <v>0</v>
      </c>
      <c r="BD159">
        <v>9.9908066666666698E-2</v>
      </c>
      <c r="BE159">
        <v>0</v>
      </c>
      <c r="BF159">
        <v>24</v>
      </c>
      <c r="BG159">
        <v>1648.942</v>
      </c>
      <c r="BH159">
        <v>1769197084</v>
      </c>
      <c r="BI159" t="s">
        <v>568</v>
      </c>
      <c r="BJ159">
        <v>1769197082</v>
      </c>
      <c r="BK159">
        <v>1769197084</v>
      </c>
      <c r="BL159">
        <v>5</v>
      </c>
      <c r="BM159">
        <v>2.7E-2</v>
      </c>
      <c r="BN159">
        <v>-4.0000000000000001E-3</v>
      </c>
      <c r="BO159">
        <v>-0.80500000000000005</v>
      </c>
      <c r="BP159">
        <v>8.7999999999999995E-2</v>
      </c>
      <c r="BQ159">
        <v>410</v>
      </c>
      <c r="BR159">
        <v>15</v>
      </c>
      <c r="BS159">
        <v>0.28000000000000003</v>
      </c>
      <c r="BT159">
        <v>0.06</v>
      </c>
      <c r="BU159">
        <v>-0.29253128571428599</v>
      </c>
      <c r="BV159">
        <v>-0.105914571428571</v>
      </c>
      <c r="BW159">
        <v>1.8946330442903701E-2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0.78788338095238097</v>
      </c>
      <c r="CD159">
        <v>2.5657636363637101E-2</v>
      </c>
      <c r="CE159">
        <v>2.72863141129117E-3</v>
      </c>
      <c r="CF159">
        <v>1</v>
      </c>
      <c r="CG159">
        <v>2</v>
      </c>
      <c r="CH159">
        <v>2</v>
      </c>
      <c r="CI159" t="s">
        <v>304</v>
      </c>
      <c r="CJ159">
        <v>3.5325500000000001</v>
      </c>
      <c r="CK159">
        <v>2.7021799999999998</v>
      </c>
      <c r="CL159">
        <v>9.7828799999999994E-2</v>
      </c>
      <c r="CM159">
        <v>9.6528799999999998E-2</v>
      </c>
      <c r="CN159">
        <v>8.6949700000000005E-2</v>
      </c>
      <c r="CO159">
        <v>8.2703600000000002E-2</v>
      </c>
      <c r="CP159">
        <v>31615.9</v>
      </c>
      <c r="CQ159">
        <v>27800.400000000001</v>
      </c>
      <c r="CR159">
        <v>32436.2</v>
      </c>
      <c r="CS159">
        <v>30699.200000000001</v>
      </c>
      <c r="CT159">
        <v>40109.599999999999</v>
      </c>
      <c r="CU159">
        <v>39603.9</v>
      </c>
      <c r="CV159">
        <v>47377.7</v>
      </c>
      <c r="CW159">
        <v>46823.4</v>
      </c>
      <c r="CX159">
        <v>2.6173999999999999</v>
      </c>
      <c r="CY159">
        <v>2.1189200000000001</v>
      </c>
      <c r="CZ159">
        <v>0</v>
      </c>
      <c r="DA159">
        <v>0</v>
      </c>
      <c r="DB159">
        <v>999.9</v>
      </c>
      <c r="DC159">
        <v>999.9</v>
      </c>
      <c r="DD159">
        <v>50.561999999999998</v>
      </c>
      <c r="DE159">
        <v>28.026</v>
      </c>
      <c r="DF159">
        <v>19.193100000000001</v>
      </c>
      <c r="DG159">
        <v>30.099799999999998</v>
      </c>
      <c r="DH159">
        <v>16.366199999999999</v>
      </c>
      <c r="DI159">
        <v>2</v>
      </c>
      <c r="DJ159">
        <v>-8.9485800000000004E-2</v>
      </c>
      <c r="DK159">
        <v>2.1017999999999999</v>
      </c>
      <c r="DL159">
        <v>20.231400000000001</v>
      </c>
      <c r="DM159">
        <v>5.2466400000000002</v>
      </c>
      <c r="DN159">
        <v>12.033899999999999</v>
      </c>
      <c r="DO159">
        <v>4.9663199999999996</v>
      </c>
      <c r="DP159">
        <v>3.2906</v>
      </c>
      <c r="DQ159">
        <v>536.70000000000005</v>
      </c>
      <c r="DR159">
        <v>9999</v>
      </c>
      <c r="DS159">
        <v>9999</v>
      </c>
      <c r="DT159">
        <v>9999</v>
      </c>
      <c r="DU159">
        <v>1.87113</v>
      </c>
      <c r="DV159">
        <v>1.8761300000000001</v>
      </c>
      <c r="DW159">
        <v>1.8763700000000001</v>
      </c>
      <c r="DX159">
        <v>1.8828100000000001</v>
      </c>
      <c r="DY159">
        <v>1.87561</v>
      </c>
      <c r="DZ159">
        <v>1.8746799999999999</v>
      </c>
      <c r="EA159">
        <v>1.87086</v>
      </c>
      <c r="EB159">
        <v>1.87466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-0.80500000000000005</v>
      </c>
      <c r="EQ159">
        <v>8.7800000000000003E-2</v>
      </c>
      <c r="ER159">
        <v>-0.80499999999989302</v>
      </c>
      <c r="ES159">
        <v>0</v>
      </c>
      <c r="ET159">
        <v>0</v>
      </c>
      <c r="EU159">
        <v>0</v>
      </c>
      <c r="EV159">
        <v>8.7840000000001695E-2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2.1</v>
      </c>
      <c r="FE159">
        <v>2</v>
      </c>
      <c r="FF159">
        <v>1.24268</v>
      </c>
      <c r="FG159">
        <v>2.5964399999999999</v>
      </c>
      <c r="FH159">
        <v>2.19604</v>
      </c>
      <c r="FI159">
        <v>2.66357</v>
      </c>
      <c r="FJ159">
        <v>2.4462899999999999</v>
      </c>
      <c r="FK159">
        <v>2.3059099999999999</v>
      </c>
      <c r="FL159">
        <v>32.465400000000002</v>
      </c>
      <c r="FM159">
        <v>24.157499999999999</v>
      </c>
      <c r="FN159">
        <v>19</v>
      </c>
      <c r="FO159">
        <v>865.49900000000002</v>
      </c>
      <c r="FP159">
        <v>571.37599999999998</v>
      </c>
      <c r="FQ159">
        <v>18.320399999999999</v>
      </c>
      <c r="FR159">
        <v>25.834199999999999</v>
      </c>
      <c r="FS159">
        <v>30</v>
      </c>
      <c r="FT159">
        <v>25.828199999999999</v>
      </c>
      <c r="FU159">
        <v>25.828199999999999</v>
      </c>
      <c r="FV159">
        <v>24.9438</v>
      </c>
      <c r="FW159">
        <v>26.812100000000001</v>
      </c>
      <c r="FX159">
        <v>0</v>
      </c>
      <c r="FY159">
        <v>18.324200000000001</v>
      </c>
      <c r="FZ159">
        <v>410</v>
      </c>
      <c r="GA159">
        <v>14.601699999999999</v>
      </c>
      <c r="GB159">
        <v>99.825199999999995</v>
      </c>
      <c r="GC159">
        <v>99.671899999999994</v>
      </c>
    </row>
    <row r="160" spans="1:185" x14ac:dyDescent="0.2">
      <c r="A160">
        <v>145</v>
      </c>
      <c r="B160">
        <v>1769197221</v>
      </c>
      <c r="C160">
        <v>2660</v>
      </c>
      <c r="D160" t="s">
        <v>587</v>
      </c>
      <c r="E160" t="s">
        <v>588</v>
      </c>
      <c r="F160">
        <v>15</v>
      </c>
      <c r="G160">
        <v>1769197212.9333301</v>
      </c>
      <c r="H160">
        <f t="shared" si="26"/>
        <v>6.4325969292744923E-4</v>
      </c>
      <c r="I160">
        <v>0</v>
      </c>
      <c r="J160">
        <f t="shared" si="38"/>
        <v>-9.8823296496882698E-4</v>
      </c>
      <c r="K160">
        <f t="shared" si="27"/>
        <v>-3.682533327751232E-2</v>
      </c>
      <c r="L160">
        <f t="shared" si="28"/>
        <v>69.84925079904572</v>
      </c>
      <c r="M160">
        <f t="shared" si="29"/>
        <v>1.5395985908329748</v>
      </c>
      <c r="N160">
        <f t="shared" si="30"/>
        <v>2.2041733779827579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26211.965034785597</v>
      </c>
      <c r="T160">
        <f t="shared" si="34"/>
        <v>99.999719999999996</v>
      </c>
      <c r="U160">
        <f t="shared" si="35"/>
        <v>84.299537000635482</v>
      </c>
      <c r="V160">
        <f t="shared" si="36"/>
        <v>0.84299773040000003</v>
      </c>
      <c r="W160">
        <f t="shared" si="37"/>
        <v>0.15869422206400002</v>
      </c>
      <c r="X160">
        <v>1</v>
      </c>
      <c r="Y160">
        <v>1769197212.9333301</v>
      </c>
      <c r="Z160">
        <v>409.70499999999998</v>
      </c>
      <c r="AA160">
        <v>409.98840000000001</v>
      </c>
      <c r="AB160">
        <v>15.3673133333333</v>
      </c>
      <c r="AC160">
        <v>14.5756</v>
      </c>
      <c r="AD160">
        <v>410.51</v>
      </c>
      <c r="AE160">
        <v>15.279486666666701</v>
      </c>
      <c r="AF160">
        <v>800.004866666667</v>
      </c>
      <c r="AG160">
        <v>100.122066666667</v>
      </c>
      <c r="AH160">
        <v>6.4514906666666705E-2</v>
      </c>
      <c r="AI160">
        <v>18.99268</v>
      </c>
      <c r="AJ160">
        <v>999.9</v>
      </c>
      <c r="AK160">
        <v>999.9</v>
      </c>
      <c r="AL160">
        <v>0</v>
      </c>
      <c r="AM160">
        <v>0</v>
      </c>
      <c r="AN160">
        <v>4992.9333333333298</v>
      </c>
      <c r="AO160">
        <v>0</v>
      </c>
      <c r="AP160">
        <v>1.6937899999999999</v>
      </c>
      <c r="AQ160">
        <v>-0.28328053333333297</v>
      </c>
      <c r="AR160">
        <v>416.09946666666701</v>
      </c>
      <c r="AS160">
        <v>416.05259999999998</v>
      </c>
      <c r="AT160">
        <v>0.791706666666667</v>
      </c>
      <c r="AU160">
        <v>409.98840000000001</v>
      </c>
      <c r="AV160">
        <v>14.5756</v>
      </c>
      <c r="AW160">
        <v>1.538608</v>
      </c>
      <c r="AX160">
        <v>1.45933933333333</v>
      </c>
      <c r="AY160">
        <v>13.3573</v>
      </c>
      <c r="AZ160">
        <v>12.5486733333333</v>
      </c>
      <c r="BA160">
        <v>99.999719999999996</v>
      </c>
      <c r="BB160">
        <v>0.90007720000000002</v>
      </c>
      <c r="BC160">
        <v>0</v>
      </c>
      <c r="BD160">
        <v>9.9922853333333395E-2</v>
      </c>
      <c r="BE160">
        <v>0</v>
      </c>
      <c r="BF160">
        <v>24</v>
      </c>
      <c r="BG160">
        <v>1648.91</v>
      </c>
      <c r="BH160">
        <v>1769197084</v>
      </c>
      <c r="BI160" t="s">
        <v>568</v>
      </c>
      <c r="BJ160">
        <v>1769197082</v>
      </c>
      <c r="BK160">
        <v>1769197084</v>
      </c>
      <c r="BL160">
        <v>5</v>
      </c>
      <c r="BM160">
        <v>2.7E-2</v>
      </c>
      <c r="BN160">
        <v>-4.0000000000000001E-3</v>
      </c>
      <c r="BO160">
        <v>-0.80500000000000005</v>
      </c>
      <c r="BP160">
        <v>8.7999999999999995E-2</v>
      </c>
      <c r="BQ160">
        <v>410</v>
      </c>
      <c r="BR160">
        <v>15</v>
      </c>
      <c r="BS160">
        <v>0.28000000000000003</v>
      </c>
      <c r="BT160">
        <v>0.06</v>
      </c>
      <c r="BU160">
        <v>-0.28908004761904799</v>
      </c>
      <c r="BV160">
        <v>6.9962415584415294E-2</v>
      </c>
      <c r="BW160">
        <v>1.7958289110036E-2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0.79175642857142803</v>
      </c>
      <c r="CD160">
        <v>-4.6048831168821304E-3</v>
      </c>
      <c r="CE160">
        <v>1.13717199651586E-3</v>
      </c>
      <c r="CF160">
        <v>1</v>
      </c>
      <c r="CG160">
        <v>2</v>
      </c>
      <c r="CH160">
        <v>2</v>
      </c>
      <c r="CI160" t="s">
        <v>304</v>
      </c>
      <c r="CJ160">
        <v>3.5325700000000002</v>
      </c>
      <c r="CK160">
        <v>2.7025399999999999</v>
      </c>
      <c r="CL160">
        <v>9.7831100000000004E-2</v>
      </c>
      <c r="CM160">
        <v>9.6535099999999999E-2</v>
      </c>
      <c r="CN160">
        <v>8.6932499999999996E-2</v>
      </c>
      <c r="CO160">
        <v>8.27011E-2</v>
      </c>
      <c r="CP160">
        <v>31615.8</v>
      </c>
      <c r="CQ160">
        <v>27800.9</v>
      </c>
      <c r="CR160">
        <v>32436.1</v>
      </c>
      <c r="CS160">
        <v>30699.9</v>
      </c>
      <c r="CT160">
        <v>40110.199999999997</v>
      </c>
      <c r="CU160">
        <v>39605</v>
      </c>
      <c r="CV160">
        <v>47377.4</v>
      </c>
      <c r="CW160">
        <v>46824.6</v>
      </c>
      <c r="CX160">
        <v>2.6174400000000002</v>
      </c>
      <c r="CY160">
        <v>2.1189</v>
      </c>
      <c r="CZ160">
        <v>0</v>
      </c>
      <c r="DA160">
        <v>0</v>
      </c>
      <c r="DB160">
        <v>999.9</v>
      </c>
      <c r="DC160">
        <v>999.9</v>
      </c>
      <c r="DD160">
        <v>50.536999999999999</v>
      </c>
      <c r="DE160">
        <v>28.026</v>
      </c>
      <c r="DF160">
        <v>19.183499999999999</v>
      </c>
      <c r="DG160">
        <v>30.549800000000001</v>
      </c>
      <c r="DH160">
        <v>16.334099999999999</v>
      </c>
      <c r="DI160">
        <v>2</v>
      </c>
      <c r="DJ160">
        <v>-9.0065000000000006E-2</v>
      </c>
      <c r="DK160">
        <v>2.0729099999999998</v>
      </c>
      <c r="DL160">
        <v>20.232199999999999</v>
      </c>
      <c r="DM160">
        <v>5.2495200000000004</v>
      </c>
      <c r="DN160">
        <v>12.033899999999999</v>
      </c>
      <c r="DO160">
        <v>4.9667199999999996</v>
      </c>
      <c r="DP160">
        <v>3.2909999999999999</v>
      </c>
      <c r="DQ160">
        <v>536.70000000000005</v>
      </c>
      <c r="DR160">
        <v>9999</v>
      </c>
      <c r="DS160">
        <v>9999</v>
      </c>
      <c r="DT160">
        <v>9999</v>
      </c>
      <c r="DU160">
        <v>1.8711</v>
      </c>
      <c r="DV160">
        <v>1.87609</v>
      </c>
      <c r="DW160">
        <v>1.8763300000000001</v>
      </c>
      <c r="DX160">
        <v>1.88279</v>
      </c>
      <c r="DY160">
        <v>1.8755900000000001</v>
      </c>
      <c r="DZ160">
        <v>1.8746799999999999</v>
      </c>
      <c r="EA160">
        <v>1.8707800000000001</v>
      </c>
      <c r="EB160">
        <v>1.8746100000000001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-0.80500000000000005</v>
      </c>
      <c r="EQ160">
        <v>8.7900000000000006E-2</v>
      </c>
      <c r="ER160">
        <v>-0.80499999999989302</v>
      </c>
      <c r="ES160">
        <v>0</v>
      </c>
      <c r="ET160">
        <v>0</v>
      </c>
      <c r="EU160">
        <v>0</v>
      </c>
      <c r="EV160">
        <v>8.7840000000001695E-2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2.2999999999999998</v>
      </c>
      <c r="FE160">
        <v>2.2999999999999998</v>
      </c>
      <c r="FF160">
        <v>1.24268</v>
      </c>
      <c r="FG160">
        <v>2.5988799999999999</v>
      </c>
      <c r="FH160">
        <v>2.19604</v>
      </c>
      <c r="FI160">
        <v>2.66357</v>
      </c>
      <c r="FJ160">
        <v>2.4462899999999999</v>
      </c>
      <c r="FK160">
        <v>2.2875999999999999</v>
      </c>
      <c r="FL160">
        <v>32.465400000000002</v>
      </c>
      <c r="FM160">
        <v>24.157499999999999</v>
      </c>
      <c r="FN160">
        <v>19</v>
      </c>
      <c r="FO160">
        <v>865.50199999999995</v>
      </c>
      <c r="FP160">
        <v>571.33799999999997</v>
      </c>
      <c r="FQ160">
        <v>18.335000000000001</v>
      </c>
      <c r="FR160">
        <v>25.831199999999999</v>
      </c>
      <c r="FS160">
        <v>29.9998</v>
      </c>
      <c r="FT160">
        <v>25.826000000000001</v>
      </c>
      <c r="FU160">
        <v>25.8261</v>
      </c>
      <c r="FV160">
        <v>24.942900000000002</v>
      </c>
      <c r="FW160">
        <v>26.812100000000001</v>
      </c>
      <c r="FX160">
        <v>0</v>
      </c>
      <c r="FY160">
        <v>18.338999999999999</v>
      </c>
      <c r="FZ160">
        <v>410</v>
      </c>
      <c r="GA160">
        <v>14.601699999999999</v>
      </c>
      <c r="GB160">
        <v>99.824799999999996</v>
      </c>
      <c r="GC160">
        <v>99.674300000000002</v>
      </c>
    </row>
    <row r="161" spans="1:185" x14ac:dyDescent="0.2">
      <c r="A161">
        <v>146</v>
      </c>
      <c r="B161">
        <v>1769197236</v>
      </c>
      <c r="C161">
        <v>2675</v>
      </c>
      <c r="D161" t="s">
        <v>589</v>
      </c>
      <c r="E161" t="s">
        <v>590</v>
      </c>
      <c r="F161">
        <v>15</v>
      </c>
      <c r="G161">
        <v>1769197227.9333301</v>
      </c>
      <c r="H161">
        <f t="shared" si="26"/>
        <v>6.398129142783386E-4</v>
      </c>
      <c r="I161">
        <v>0</v>
      </c>
      <c r="J161">
        <f t="shared" si="38"/>
        <v>-8.1904673866575132E-4</v>
      </c>
      <c r="K161">
        <f t="shared" si="27"/>
        <v>-3.0520808544549263E-2</v>
      </c>
      <c r="L161">
        <f t="shared" si="28"/>
        <v>69.82750086517018</v>
      </c>
      <c r="M161">
        <f t="shared" si="29"/>
        <v>1.5390109707035851</v>
      </c>
      <c r="N161">
        <f t="shared" si="30"/>
        <v>2.2040184048334468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26275.133832175561</v>
      </c>
      <c r="T161">
        <f t="shared" si="34"/>
        <v>99.999533333333304</v>
      </c>
      <c r="U161">
        <f t="shared" si="35"/>
        <v>84.299326941305026</v>
      </c>
      <c r="V161">
        <f t="shared" si="36"/>
        <v>0.84299720339999973</v>
      </c>
      <c r="W161">
        <f t="shared" si="37"/>
        <v>0.15869283960399994</v>
      </c>
      <c r="X161">
        <v>1</v>
      </c>
      <c r="Y161">
        <v>1769197227.9333301</v>
      </c>
      <c r="Z161">
        <v>409.72553333333298</v>
      </c>
      <c r="AA161">
        <v>410.015066666667</v>
      </c>
      <c r="AB161">
        <v>15.361266666666699</v>
      </c>
      <c r="AC161">
        <v>14.573786666666701</v>
      </c>
      <c r="AD161">
        <v>410.53053333333298</v>
      </c>
      <c r="AE161">
        <v>15.273440000000001</v>
      </c>
      <c r="AF161">
        <v>800.00073333333296</v>
      </c>
      <c r="AG161">
        <v>100.12333333333299</v>
      </c>
      <c r="AH161">
        <v>6.4431393333333295E-2</v>
      </c>
      <c r="AI161">
        <v>18.9915533333333</v>
      </c>
      <c r="AJ161">
        <v>999.9</v>
      </c>
      <c r="AK161">
        <v>999.9</v>
      </c>
      <c r="AL161">
        <v>0</v>
      </c>
      <c r="AM161">
        <v>0</v>
      </c>
      <c r="AN161">
        <v>5003.2666666666701</v>
      </c>
      <c r="AO161">
        <v>0</v>
      </c>
      <c r="AP161">
        <v>1.6937899999999999</v>
      </c>
      <c r="AQ161">
        <v>-0.28975020000000001</v>
      </c>
      <c r="AR161">
        <v>416.11753333333297</v>
      </c>
      <c r="AS161">
        <v>416.07920000000001</v>
      </c>
      <c r="AT161">
        <v>0.78748899999999999</v>
      </c>
      <c r="AU161">
        <v>410.015066666667</v>
      </c>
      <c r="AV161">
        <v>14.573786666666701</v>
      </c>
      <c r="AW161">
        <v>1.53802333333333</v>
      </c>
      <c r="AX161">
        <v>1.459176</v>
      </c>
      <c r="AY161">
        <v>13.3515</v>
      </c>
      <c r="AZ161">
        <v>12.54698</v>
      </c>
      <c r="BA161">
        <v>99.999533333333304</v>
      </c>
      <c r="BB161">
        <v>0.90009573333333304</v>
      </c>
      <c r="BC161">
        <v>0</v>
      </c>
      <c r="BD161">
        <v>9.9904353333333307E-2</v>
      </c>
      <c r="BE161">
        <v>0</v>
      </c>
      <c r="BF161">
        <v>24</v>
      </c>
      <c r="BG161">
        <v>1648.9179999999999</v>
      </c>
      <c r="BH161">
        <v>1769197084</v>
      </c>
      <c r="BI161" t="s">
        <v>568</v>
      </c>
      <c r="BJ161">
        <v>1769197082</v>
      </c>
      <c r="BK161">
        <v>1769197084</v>
      </c>
      <c r="BL161">
        <v>5</v>
      </c>
      <c r="BM161">
        <v>2.7E-2</v>
      </c>
      <c r="BN161">
        <v>-4.0000000000000001E-3</v>
      </c>
      <c r="BO161">
        <v>-0.80500000000000005</v>
      </c>
      <c r="BP161">
        <v>8.7999999999999995E-2</v>
      </c>
      <c r="BQ161">
        <v>410</v>
      </c>
      <c r="BR161">
        <v>15</v>
      </c>
      <c r="BS161">
        <v>0.28000000000000003</v>
      </c>
      <c r="BT161">
        <v>0.06</v>
      </c>
      <c r="BU161">
        <v>-0.2872712</v>
      </c>
      <c r="BV161">
        <v>-1.0856390977443901E-2</v>
      </c>
      <c r="BW161">
        <v>1.50294126551905E-2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0.78818315000000005</v>
      </c>
      <c r="CD161">
        <v>-6.9409172932316599E-3</v>
      </c>
      <c r="CE161">
        <v>1.8418442734118501E-3</v>
      </c>
      <c r="CF161">
        <v>1</v>
      </c>
      <c r="CG161">
        <v>2</v>
      </c>
      <c r="CH161">
        <v>2</v>
      </c>
      <c r="CI161" t="s">
        <v>304</v>
      </c>
      <c r="CJ161">
        <v>3.53254</v>
      </c>
      <c r="CK161">
        <v>2.7019500000000001</v>
      </c>
      <c r="CL161">
        <v>9.7831500000000002E-2</v>
      </c>
      <c r="CM161">
        <v>9.6532499999999993E-2</v>
      </c>
      <c r="CN161">
        <v>8.6932800000000005E-2</v>
      </c>
      <c r="CO161">
        <v>8.2691799999999996E-2</v>
      </c>
      <c r="CP161">
        <v>31616.2</v>
      </c>
      <c r="CQ161">
        <v>27801.200000000001</v>
      </c>
      <c r="CR161">
        <v>32436.5</v>
      </c>
      <c r="CS161">
        <v>30700.2</v>
      </c>
      <c r="CT161">
        <v>40110.800000000003</v>
      </c>
      <c r="CU161">
        <v>39605.9</v>
      </c>
      <c r="CV161">
        <v>47378.3</v>
      </c>
      <c r="CW161">
        <v>46825.2</v>
      </c>
      <c r="CX161">
        <v>2.6177600000000001</v>
      </c>
      <c r="CY161">
        <v>2.1188400000000001</v>
      </c>
      <c r="CZ161">
        <v>0</v>
      </c>
      <c r="DA161">
        <v>0</v>
      </c>
      <c r="DB161">
        <v>999.9</v>
      </c>
      <c r="DC161">
        <v>999.9</v>
      </c>
      <c r="DD161">
        <v>50.512999999999998</v>
      </c>
      <c r="DE161">
        <v>28.047000000000001</v>
      </c>
      <c r="DF161">
        <v>19.197399999999998</v>
      </c>
      <c r="DG161">
        <v>30.2498</v>
      </c>
      <c r="DH161">
        <v>16.366199999999999</v>
      </c>
      <c r="DI161">
        <v>2</v>
      </c>
      <c r="DJ161">
        <v>-9.0792700000000004E-2</v>
      </c>
      <c r="DK161">
        <v>2.03444</v>
      </c>
      <c r="DL161">
        <v>20.232700000000001</v>
      </c>
      <c r="DM161">
        <v>5.2493999999999996</v>
      </c>
      <c r="DN161">
        <v>12.033899999999999</v>
      </c>
      <c r="DO161">
        <v>4.9667599999999998</v>
      </c>
      <c r="DP161">
        <v>3.2909999999999999</v>
      </c>
      <c r="DQ161">
        <v>536.70000000000005</v>
      </c>
      <c r="DR161">
        <v>9999</v>
      </c>
      <c r="DS161">
        <v>9999</v>
      </c>
      <c r="DT161">
        <v>9999</v>
      </c>
      <c r="DU161">
        <v>1.87107</v>
      </c>
      <c r="DV161">
        <v>1.87609</v>
      </c>
      <c r="DW161">
        <v>1.8763399999999999</v>
      </c>
      <c r="DX161">
        <v>1.8827799999999999</v>
      </c>
      <c r="DY161">
        <v>1.8755900000000001</v>
      </c>
      <c r="DZ161">
        <v>1.8746700000000001</v>
      </c>
      <c r="EA161">
        <v>1.8708100000000001</v>
      </c>
      <c r="EB161">
        <v>1.87462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-0.80500000000000005</v>
      </c>
      <c r="EQ161">
        <v>8.7900000000000006E-2</v>
      </c>
      <c r="ER161">
        <v>-0.80499999999989302</v>
      </c>
      <c r="ES161">
        <v>0</v>
      </c>
      <c r="ET161">
        <v>0</v>
      </c>
      <c r="EU161">
        <v>0</v>
      </c>
      <c r="EV161">
        <v>8.7840000000001695E-2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2.6</v>
      </c>
      <c r="FE161">
        <v>2.5</v>
      </c>
      <c r="FF161">
        <v>1.24268</v>
      </c>
      <c r="FG161">
        <v>2.5927699999999998</v>
      </c>
      <c r="FH161">
        <v>2.19604</v>
      </c>
      <c r="FI161">
        <v>2.66357</v>
      </c>
      <c r="FJ161">
        <v>2.4462899999999999</v>
      </c>
      <c r="FK161">
        <v>2.3144499999999999</v>
      </c>
      <c r="FL161">
        <v>32.465400000000002</v>
      </c>
      <c r="FM161">
        <v>24.157499999999999</v>
      </c>
      <c r="FN161">
        <v>19</v>
      </c>
      <c r="FO161">
        <v>865.76599999999996</v>
      </c>
      <c r="FP161">
        <v>571.26800000000003</v>
      </c>
      <c r="FQ161">
        <v>18.352</v>
      </c>
      <c r="FR161">
        <v>25.825900000000001</v>
      </c>
      <c r="FS161">
        <v>29.9999</v>
      </c>
      <c r="FT161">
        <v>25.823799999999999</v>
      </c>
      <c r="FU161">
        <v>25.823899999999998</v>
      </c>
      <c r="FV161">
        <v>24.942900000000002</v>
      </c>
      <c r="FW161">
        <v>26.812100000000001</v>
      </c>
      <c r="FX161">
        <v>0</v>
      </c>
      <c r="FY161">
        <v>18.357199999999999</v>
      </c>
      <c r="FZ161">
        <v>410</v>
      </c>
      <c r="GA161">
        <v>14.601699999999999</v>
      </c>
      <c r="GB161">
        <v>99.826300000000003</v>
      </c>
      <c r="GC161">
        <v>99.6755</v>
      </c>
    </row>
    <row r="162" spans="1:185" x14ac:dyDescent="0.2">
      <c r="A162">
        <v>147</v>
      </c>
      <c r="B162">
        <v>1769197251</v>
      </c>
      <c r="C162">
        <v>2690</v>
      </c>
      <c r="D162" t="s">
        <v>591</v>
      </c>
      <c r="E162" t="s">
        <v>592</v>
      </c>
      <c r="F162">
        <v>15</v>
      </c>
      <c r="G162">
        <v>1769197242.9333301</v>
      </c>
      <c r="H162">
        <f t="shared" si="26"/>
        <v>6.411242977351747E-4</v>
      </c>
      <c r="I162">
        <v>0</v>
      </c>
      <c r="J162">
        <f t="shared" si="38"/>
        <v>-8.1610518791963083E-4</v>
      </c>
      <c r="K162">
        <f t="shared" si="27"/>
        <v>-3.041119513311847E-2</v>
      </c>
      <c r="L162">
        <f t="shared" si="28"/>
        <v>69.820980460538351</v>
      </c>
      <c r="M162">
        <f t="shared" si="29"/>
        <v>1.539059982386298</v>
      </c>
      <c r="N162">
        <f t="shared" si="30"/>
        <v>2.2042944287443071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26236.490311771486</v>
      </c>
      <c r="T162">
        <f t="shared" si="34"/>
        <v>100.00015999999999</v>
      </c>
      <c r="U162">
        <f t="shared" si="35"/>
        <v>84.299823319501499</v>
      </c>
      <c r="V162">
        <f t="shared" si="36"/>
        <v>0.84299688439999998</v>
      </c>
      <c r="W162">
        <f t="shared" si="37"/>
        <v>0.158692107064</v>
      </c>
      <c r="X162">
        <v>1</v>
      </c>
      <c r="Y162">
        <v>1769197242.9333301</v>
      </c>
      <c r="Z162">
        <v>409.71480000000003</v>
      </c>
      <c r="AA162">
        <v>410.00513333333299</v>
      </c>
      <c r="AB162">
        <v>15.361993333333301</v>
      </c>
      <c r="AC162">
        <v>14.572900000000001</v>
      </c>
      <c r="AD162">
        <v>410.51979999999998</v>
      </c>
      <c r="AE162">
        <v>15.274139999999999</v>
      </c>
      <c r="AF162">
        <v>800.00086666666698</v>
      </c>
      <c r="AG162">
        <v>100.121733333333</v>
      </c>
      <c r="AH162">
        <v>6.4482673333333296E-2</v>
      </c>
      <c r="AI162">
        <v>18.993559999999999</v>
      </c>
      <c r="AJ162">
        <v>999.9</v>
      </c>
      <c r="AK162">
        <v>999.9</v>
      </c>
      <c r="AL162">
        <v>0</v>
      </c>
      <c r="AM162">
        <v>0</v>
      </c>
      <c r="AN162">
        <v>4997</v>
      </c>
      <c r="AO162">
        <v>0</v>
      </c>
      <c r="AP162">
        <v>1.6937899999999999</v>
      </c>
      <c r="AQ162">
        <v>-0.29041753333333298</v>
      </c>
      <c r="AR162">
        <v>416.10693333333302</v>
      </c>
      <c r="AS162">
        <v>416.06853333333299</v>
      </c>
      <c r="AT162">
        <v>0.789096666666666</v>
      </c>
      <c r="AU162">
        <v>410.00513333333299</v>
      </c>
      <c r="AV162">
        <v>14.572900000000001</v>
      </c>
      <c r="AW162">
        <v>1.538068</v>
      </c>
      <c r="AX162">
        <v>1.45906333333333</v>
      </c>
      <c r="AY162">
        <v>13.351940000000001</v>
      </c>
      <c r="AZ162">
        <v>12.5457933333333</v>
      </c>
      <c r="BA162">
        <v>100.00015999999999</v>
      </c>
      <c r="BB162">
        <v>0.90010540000000006</v>
      </c>
      <c r="BC162">
        <v>0</v>
      </c>
      <c r="BD162">
        <v>9.9894653333333305E-2</v>
      </c>
      <c r="BE162">
        <v>0</v>
      </c>
      <c r="BF162">
        <v>24</v>
      </c>
      <c r="BG162">
        <v>1648.932</v>
      </c>
      <c r="BH162">
        <v>1769197084</v>
      </c>
      <c r="BI162" t="s">
        <v>568</v>
      </c>
      <c r="BJ162">
        <v>1769197082</v>
      </c>
      <c r="BK162">
        <v>1769197084</v>
      </c>
      <c r="BL162">
        <v>5</v>
      </c>
      <c r="BM162">
        <v>2.7E-2</v>
      </c>
      <c r="BN162">
        <v>-4.0000000000000001E-3</v>
      </c>
      <c r="BO162">
        <v>-0.80500000000000005</v>
      </c>
      <c r="BP162">
        <v>8.7999999999999995E-2</v>
      </c>
      <c r="BQ162">
        <v>410</v>
      </c>
      <c r="BR162">
        <v>15</v>
      </c>
      <c r="BS162">
        <v>0.28000000000000003</v>
      </c>
      <c r="BT162">
        <v>0.06</v>
      </c>
      <c r="BU162">
        <v>-0.29058985714285701</v>
      </c>
      <c r="BV162">
        <v>-1.17356883116887E-2</v>
      </c>
      <c r="BW162">
        <v>1.25994101535622E-2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0.78895295238095198</v>
      </c>
      <c r="CD162">
        <v>-1.4253506493504999E-3</v>
      </c>
      <c r="CE162">
        <v>1.65605740860319E-3</v>
      </c>
      <c r="CF162">
        <v>1</v>
      </c>
      <c r="CG162">
        <v>2</v>
      </c>
      <c r="CH162">
        <v>2</v>
      </c>
      <c r="CI162" t="s">
        <v>304</v>
      </c>
      <c r="CJ162">
        <v>3.5325199999999999</v>
      </c>
      <c r="CK162">
        <v>2.70235</v>
      </c>
      <c r="CL162">
        <v>9.7835900000000003E-2</v>
      </c>
      <c r="CM162">
        <v>9.6531099999999995E-2</v>
      </c>
      <c r="CN162">
        <v>8.6929999999999993E-2</v>
      </c>
      <c r="CO162">
        <v>8.2692399999999999E-2</v>
      </c>
      <c r="CP162">
        <v>31616.6</v>
      </c>
      <c r="CQ162">
        <v>27801.4</v>
      </c>
      <c r="CR162">
        <v>32437</v>
      </c>
      <c r="CS162">
        <v>30700.400000000001</v>
      </c>
      <c r="CT162">
        <v>40111.4</v>
      </c>
      <c r="CU162">
        <v>39605.9</v>
      </c>
      <c r="CV162">
        <v>47378.8</v>
      </c>
      <c r="CW162">
        <v>46825.2</v>
      </c>
      <c r="CX162">
        <v>2.6178400000000002</v>
      </c>
      <c r="CY162">
        <v>2.1188799999999999</v>
      </c>
      <c r="CZ162">
        <v>0</v>
      </c>
      <c r="DA162">
        <v>0</v>
      </c>
      <c r="DB162">
        <v>999.9</v>
      </c>
      <c r="DC162">
        <v>999.9</v>
      </c>
      <c r="DD162">
        <v>50.488</v>
      </c>
      <c r="DE162">
        <v>28.047000000000001</v>
      </c>
      <c r="DF162">
        <v>19.1875</v>
      </c>
      <c r="DG162">
        <v>30.489799999999999</v>
      </c>
      <c r="DH162">
        <v>16.330100000000002</v>
      </c>
      <c r="DI162">
        <v>2</v>
      </c>
      <c r="DJ162">
        <v>-9.1367900000000002E-2</v>
      </c>
      <c r="DK162">
        <v>2.01322</v>
      </c>
      <c r="DL162">
        <v>20.2331</v>
      </c>
      <c r="DM162">
        <v>5.2501199999999999</v>
      </c>
      <c r="DN162">
        <v>12.033899999999999</v>
      </c>
      <c r="DO162">
        <v>4.9668000000000001</v>
      </c>
      <c r="DP162">
        <v>3.2909999999999999</v>
      </c>
      <c r="DQ162">
        <v>536.70000000000005</v>
      </c>
      <c r="DR162">
        <v>9999</v>
      </c>
      <c r="DS162">
        <v>9999</v>
      </c>
      <c r="DT162">
        <v>9999</v>
      </c>
      <c r="DU162">
        <v>1.8710899999999999</v>
      </c>
      <c r="DV162">
        <v>1.87608</v>
      </c>
      <c r="DW162">
        <v>1.87635</v>
      </c>
      <c r="DX162">
        <v>1.8828</v>
      </c>
      <c r="DY162">
        <v>1.87561</v>
      </c>
      <c r="DZ162">
        <v>1.8746799999999999</v>
      </c>
      <c r="EA162">
        <v>1.87083</v>
      </c>
      <c r="EB162">
        <v>1.87462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-0.80500000000000005</v>
      </c>
      <c r="EQ162">
        <v>8.7900000000000006E-2</v>
      </c>
      <c r="ER162">
        <v>-0.80499999999989302</v>
      </c>
      <c r="ES162">
        <v>0</v>
      </c>
      <c r="ET162">
        <v>0</v>
      </c>
      <c r="EU162">
        <v>0</v>
      </c>
      <c r="EV162">
        <v>8.7840000000001695E-2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2.8</v>
      </c>
      <c r="FE162">
        <v>2.8</v>
      </c>
      <c r="FF162">
        <v>1.24268</v>
      </c>
      <c r="FG162">
        <v>2.5939899999999998</v>
      </c>
      <c r="FH162">
        <v>2.19604</v>
      </c>
      <c r="FI162">
        <v>2.66357</v>
      </c>
      <c r="FJ162">
        <v>2.4462899999999999</v>
      </c>
      <c r="FK162">
        <v>2.32056</v>
      </c>
      <c r="FL162">
        <v>32.465400000000002</v>
      </c>
      <c r="FM162">
        <v>24.157499999999999</v>
      </c>
      <c r="FN162">
        <v>19</v>
      </c>
      <c r="FO162">
        <v>865.77</v>
      </c>
      <c r="FP162">
        <v>571.25099999999998</v>
      </c>
      <c r="FQ162">
        <v>18.368600000000001</v>
      </c>
      <c r="FR162">
        <v>25.819400000000002</v>
      </c>
      <c r="FS162">
        <v>30</v>
      </c>
      <c r="FT162">
        <v>25.819500000000001</v>
      </c>
      <c r="FU162">
        <v>25.819600000000001</v>
      </c>
      <c r="FV162">
        <v>24.943100000000001</v>
      </c>
      <c r="FW162">
        <v>26.812100000000001</v>
      </c>
      <c r="FX162">
        <v>0</v>
      </c>
      <c r="FY162">
        <v>18.371500000000001</v>
      </c>
      <c r="FZ162">
        <v>410</v>
      </c>
      <c r="GA162">
        <v>14.601699999999999</v>
      </c>
      <c r="GB162">
        <v>99.827699999999993</v>
      </c>
      <c r="GC162">
        <v>99.675700000000006</v>
      </c>
    </row>
    <row r="163" spans="1:185" x14ac:dyDescent="0.2">
      <c r="A163">
        <v>148</v>
      </c>
      <c r="B163">
        <v>1769197266</v>
      </c>
      <c r="C163">
        <v>2705</v>
      </c>
      <c r="D163" t="s">
        <v>593</v>
      </c>
      <c r="E163" t="s">
        <v>594</v>
      </c>
      <c r="F163">
        <v>15</v>
      </c>
      <c r="G163">
        <v>1769197257.9333301</v>
      </c>
      <c r="H163">
        <f t="shared" si="26"/>
        <v>6.4267195261896325E-4</v>
      </c>
      <c r="I163">
        <v>0</v>
      </c>
      <c r="J163">
        <f t="shared" si="38"/>
        <v>-1.3168421056412027E-3</v>
      </c>
      <c r="K163">
        <f t="shared" si="27"/>
        <v>-4.9070564465159339E-2</v>
      </c>
      <c r="L163">
        <f t="shared" si="28"/>
        <v>69.811903235790837</v>
      </c>
      <c r="M163">
        <f t="shared" si="29"/>
        <v>1.5391051174377741</v>
      </c>
      <c r="N163">
        <f t="shared" si="30"/>
        <v>2.2046456923533819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26277.528848532398</v>
      </c>
      <c r="T163">
        <f t="shared" si="34"/>
        <v>99.999533333333304</v>
      </c>
      <c r="U163">
        <f t="shared" si="35"/>
        <v>84.299303201415839</v>
      </c>
      <c r="V163">
        <f t="shared" si="36"/>
        <v>0.84299696599999996</v>
      </c>
      <c r="W163">
        <f t="shared" si="37"/>
        <v>0.15869254491999998</v>
      </c>
      <c r="X163">
        <v>1</v>
      </c>
      <c r="Y163">
        <v>1769197257.9333301</v>
      </c>
      <c r="Z163">
        <v>409.71460000000002</v>
      </c>
      <c r="AA163">
        <v>409.98239999999998</v>
      </c>
      <c r="AB163">
        <v>15.362120000000001</v>
      </c>
      <c r="AC163">
        <v>14.5711266666667</v>
      </c>
      <c r="AD163">
        <v>410.51960000000003</v>
      </c>
      <c r="AE163">
        <v>15.2742733333333</v>
      </c>
      <c r="AF163">
        <v>800.00566666666703</v>
      </c>
      <c r="AG163">
        <v>100.124</v>
      </c>
      <c r="AH163">
        <v>6.4328006666666701E-2</v>
      </c>
      <c r="AI163">
        <v>18.996113333333302</v>
      </c>
      <c r="AJ163">
        <v>999.9</v>
      </c>
      <c r="AK163">
        <v>999.9</v>
      </c>
      <c r="AL163">
        <v>0</v>
      </c>
      <c r="AM163">
        <v>0</v>
      </c>
      <c r="AN163">
        <v>5003.7</v>
      </c>
      <c r="AO163">
        <v>0</v>
      </c>
      <c r="AP163">
        <v>1.6937899999999999</v>
      </c>
      <c r="AQ163">
        <v>-0.26793600000000001</v>
      </c>
      <c r="AR163">
        <v>416.10680000000002</v>
      </c>
      <c r="AS163">
        <v>416.044733333333</v>
      </c>
      <c r="AT163">
        <v>0.79098013333333295</v>
      </c>
      <c r="AU163">
        <v>409.98239999999998</v>
      </c>
      <c r="AV163">
        <v>14.5711266666667</v>
      </c>
      <c r="AW163">
        <v>1.5381166666666699</v>
      </c>
      <c r="AX163">
        <v>1.4589206666666701</v>
      </c>
      <c r="AY163">
        <v>13.3524333333333</v>
      </c>
      <c r="AZ163">
        <v>12.544306666666699</v>
      </c>
      <c r="BA163">
        <v>99.999533333333304</v>
      </c>
      <c r="BB163">
        <v>0.90009919999999999</v>
      </c>
      <c r="BC163">
        <v>0</v>
      </c>
      <c r="BD163">
        <v>9.9900733333333297E-2</v>
      </c>
      <c r="BE163">
        <v>0</v>
      </c>
      <c r="BF163">
        <v>24</v>
      </c>
      <c r="BG163">
        <v>1648.92</v>
      </c>
      <c r="BH163">
        <v>1769197084</v>
      </c>
      <c r="BI163" t="s">
        <v>568</v>
      </c>
      <c r="BJ163">
        <v>1769197082</v>
      </c>
      <c r="BK163">
        <v>1769197084</v>
      </c>
      <c r="BL163">
        <v>5</v>
      </c>
      <c r="BM163">
        <v>2.7E-2</v>
      </c>
      <c r="BN163">
        <v>-4.0000000000000001E-3</v>
      </c>
      <c r="BO163">
        <v>-0.80500000000000005</v>
      </c>
      <c r="BP163">
        <v>8.7999999999999995E-2</v>
      </c>
      <c r="BQ163">
        <v>410</v>
      </c>
      <c r="BR163">
        <v>15</v>
      </c>
      <c r="BS163">
        <v>0.28000000000000003</v>
      </c>
      <c r="BT163">
        <v>0.06</v>
      </c>
      <c r="BU163">
        <v>-0.27324965000000001</v>
      </c>
      <c r="BV163">
        <v>2.0289428571429E-2</v>
      </c>
      <c r="BW163">
        <v>2.00989690339455E-2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0.79046459999999996</v>
      </c>
      <c r="CD163">
        <v>9.5366616541347309E-3</v>
      </c>
      <c r="CE163">
        <v>1.3059852372825601E-3</v>
      </c>
      <c r="CF163">
        <v>1</v>
      </c>
      <c r="CG163">
        <v>2</v>
      </c>
      <c r="CH163">
        <v>2</v>
      </c>
      <c r="CI163" t="s">
        <v>304</v>
      </c>
      <c r="CJ163">
        <v>3.53254</v>
      </c>
      <c r="CK163">
        <v>2.70201</v>
      </c>
      <c r="CL163">
        <v>9.7834000000000004E-2</v>
      </c>
      <c r="CM163">
        <v>9.6539799999999995E-2</v>
      </c>
      <c r="CN163">
        <v>8.6926299999999998E-2</v>
      </c>
      <c r="CO163">
        <v>8.2684499999999994E-2</v>
      </c>
      <c r="CP163">
        <v>31617.7</v>
      </c>
      <c r="CQ163">
        <v>27802.2</v>
      </c>
      <c r="CR163">
        <v>32438.1</v>
      </c>
      <c r="CS163">
        <v>30701.5</v>
      </c>
      <c r="CT163">
        <v>40113.199999999997</v>
      </c>
      <c r="CU163">
        <v>39607.599999999999</v>
      </c>
      <c r="CV163">
        <v>47380.7</v>
      </c>
      <c r="CW163">
        <v>46826.8</v>
      </c>
      <c r="CX163">
        <v>2.6179999999999999</v>
      </c>
      <c r="CY163">
        <v>2.1191599999999999</v>
      </c>
      <c r="CZ163">
        <v>0</v>
      </c>
      <c r="DA163">
        <v>0</v>
      </c>
      <c r="DB163">
        <v>999.9</v>
      </c>
      <c r="DC163">
        <v>999.9</v>
      </c>
      <c r="DD163">
        <v>50.463999999999999</v>
      </c>
      <c r="DE163">
        <v>28.056999999999999</v>
      </c>
      <c r="DF163">
        <v>19.1892</v>
      </c>
      <c r="DG163">
        <v>30.2498</v>
      </c>
      <c r="DH163">
        <v>16.2941</v>
      </c>
      <c r="DI163">
        <v>2</v>
      </c>
      <c r="DJ163">
        <v>-9.21545E-2</v>
      </c>
      <c r="DK163">
        <v>1.99607</v>
      </c>
      <c r="DL163">
        <v>20.2332</v>
      </c>
      <c r="DM163">
        <v>5.2498800000000001</v>
      </c>
      <c r="DN163">
        <v>12.033899999999999</v>
      </c>
      <c r="DO163">
        <v>4.9668400000000004</v>
      </c>
      <c r="DP163">
        <v>3.2909999999999999</v>
      </c>
      <c r="DQ163">
        <v>536.79999999999995</v>
      </c>
      <c r="DR163">
        <v>9999</v>
      </c>
      <c r="DS163">
        <v>9999</v>
      </c>
      <c r="DT163">
        <v>9999</v>
      </c>
      <c r="DU163">
        <v>1.87107</v>
      </c>
      <c r="DV163">
        <v>1.8760699999999999</v>
      </c>
      <c r="DW163">
        <v>1.87632</v>
      </c>
      <c r="DX163">
        <v>1.8827799999999999</v>
      </c>
      <c r="DY163">
        <v>1.87558</v>
      </c>
      <c r="DZ163">
        <v>1.87466</v>
      </c>
      <c r="EA163">
        <v>1.8707800000000001</v>
      </c>
      <c r="EB163">
        <v>1.87459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-0.80500000000000005</v>
      </c>
      <c r="EQ163">
        <v>8.7800000000000003E-2</v>
      </c>
      <c r="ER163">
        <v>-0.80499999999989302</v>
      </c>
      <c r="ES163">
        <v>0</v>
      </c>
      <c r="ET163">
        <v>0</v>
      </c>
      <c r="EU163">
        <v>0</v>
      </c>
      <c r="EV163">
        <v>8.7840000000001695E-2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3.1</v>
      </c>
      <c r="FE163">
        <v>3</v>
      </c>
      <c r="FF163">
        <v>1.24268</v>
      </c>
      <c r="FG163">
        <v>2.5952099999999998</v>
      </c>
      <c r="FH163">
        <v>2.19604</v>
      </c>
      <c r="FI163">
        <v>2.66357</v>
      </c>
      <c r="FJ163">
        <v>2.4462899999999999</v>
      </c>
      <c r="FK163">
        <v>2.32544</v>
      </c>
      <c r="FL163">
        <v>32.465400000000002</v>
      </c>
      <c r="FM163">
        <v>24.157499999999999</v>
      </c>
      <c r="FN163">
        <v>19</v>
      </c>
      <c r="FO163">
        <v>865.85</v>
      </c>
      <c r="FP163">
        <v>571.41300000000001</v>
      </c>
      <c r="FQ163">
        <v>18.377199999999998</v>
      </c>
      <c r="FR163">
        <v>25.8111</v>
      </c>
      <c r="FS163">
        <v>29.9998</v>
      </c>
      <c r="FT163">
        <v>25.815100000000001</v>
      </c>
      <c r="FU163">
        <v>25.814800000000002</v>
      </c>
      <c r="FV163">
        <v>24.944900000000001</v>
      </c>
      <c r="FW163">
        <v>26.812100000000001</v>
      </c>
      <c r="FX163">
        <v>0</v>
      </c>
      <c r="FY163">
        <v>18.379799999999999</v>
      </c>
      <c r="FZ163">
        <v>410</v>
      </c>
      <c r="GA163">
        <v>14.601699999999999</v>
      </c>
      <c r="GB163">
        <v>99.831400000000002</v>
      </c>
      <c r="GC163">
        <v>99.679199999999994</v>
      </c>
    </row>
    <row r="164" spans="1:185" x14ac:dyDescent="0.2">
      <c r="A164">
        <v>149</v>
      </c>
      <c r="B164">
        <v>1769197281</v>
      </c>
      <c r="C164">
        <v>2720</v>
      </c>
      <c r="D164" t="s">
        <v>595</v>
      </c>
      <c r="E164" t="s">
        <v>596</v>
      </c>
      <c r="F164">
        <v>15</v>
      </c>
      <c r="G164">
        <v>1769197272.9333301</v>
      </c>
      <c r="H164">
        <f t="shared" si="26"/>
        <v>6.4543818450040445E-4</v>
      </c>
      <c r="I164">
        <v>0</v>
      </c>
      <c r="J164">
        <f t="shared" si="38"/>
        <v>-9.6820355307774002E-4</v>
      </c>
      <c r="K164">
        <f t="shared" si="27"/>
        <v>-3.6078960919588482E-2</v>
      </c>
      <c r="L164">
        <f t="shared" si="28"/>
        <v>69.812760312762819</v>
      </c>
      <c r="M164">
        <f t="shared" si="29"/>
        <v>1.5391144081201276</v>
      </c>
      <c r="N164">
        <f t="shared" si="30"/>
        <v>2.2046319343696745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26238.974980020655</v>
      </c>
      <c r="T164">
        <f t="shared" si="34"/>
        <v>100.000246666667</v>
      </c>
      <c r="U164">
        <f t="shared" si="35"/>
        <v>84.299897499234547</v>
      </c>
      <c r="V164">
        <f t="shared" si="36"/>
        <v>0.84299689560000024</v>
      </c>
      <c r="W164">
        <f t="shared" si="37"/>
        <v>0.15869221301600003</v>
      </c>
      <c r="X164">
        <v>1</v>
      </c>
      <c r="Y164">
        <v>1769197272.9333301</v>
      </c>
      <c r="Z164">
        <v>409.72680000000003</v>
      </c>
      <c r="AA164">
        <v>410.01226666666702</v>
      </c>
      <c r="AB164">
        <v>15.362159999999999</v>
      </c>
      <c r="AC164">
        <v>14.56776</v>
      </c>
      <c r="AD164">
        <v>410.53179999999998</v>
      </c>
      <c r="AE164">
        <v>15.27434</v>
      </c>
      <c r="AF164">
        <v>800.00360000000001</v>
      </c>
      <c r="AG164">
        <v>100.124333333333</v>
      </c>
      <c r="AH164">
        <v>6.4338580000000006E-2</v>
      </c>
      <c r="AI164">
        <v>18.996013333333298</v>
      </c>
      <c r="AJ164">
        <v>999.9</v>
      </c>
      <c r="AK164">
        <v>999.9</v>
      </c>
      <c r="AL164">
        <v>0</v>
      </c>
      <c r="AM164">
        <v>0</v>
      </c>
      <c r="AN164">
        <v>4997.3333333333303</v>
      </c>
      <c r="AO164">
        <v>0</v>
      </c>
      <c r="AP164">
        <v>1.6937899999999999</v>
      </c>
      <c r="AQ164">
        <v>-0.28524986666666702</v>
      </c>
      <c r="AR164">
        <v>416.11946666666699</v>
      </c>
      <c r="AS164">
        <v>416.07339999999999</v>
      </c>
      <c r="AT164">
        <v>0.794420866666667</v>
      </c>
      <c r="AU164">
        <v>410.01226666666702</v>
      </c>
      <c r="AV164">
        <v>14.56776</v>
      </c>
      <c r="AW164">
        <v>1.5381279999999999</v>
      </c>
      <c r="AX164">
        <v>1.4585853333333301</v>
      </c>
      <c r="AY164">
        <v>13.3525066666667</v>
      </c>
      <c r="AZ164">
        <v>12.5408066666667</v>
      </c>
      <c r="BA164">
        <v>100.000246666667</v>
      </c>
      <c r="BB164">
        <v>0.90010386666666697</v>
      </c>
      <c r="BC164">
        <v>0</v>
      </c>
      <c r="BD164">
        <v>9.9896146666666602E-2</v>
      </c>
      <c r="BE164">
        <v>0</v>
      </c>
      <c r="BF164">
        <v>24</v>
      </c>
      <c r="BG164">
        <v>1648.9366666666699</v>
      </c>
      <c r="BH164">
        <v>1769197084</v>
      </c>
      <c r="BI164" t="s">
        <v>568</v>
      </c>
      <c r="BJ164">
        <v>1769197082</v>
      </c>
      <c r="BK164">
        <v>1769197084</v>
      </c>
      <c r="BL164">
        <v>5</v>
      </c>
      <c r="BM164">
        <v>2.7E-2</v>
      </c>
      <c r="BN164">
        <v>-4.0000000000000001E-3</v>
      </c>
      <c r="BO164">
        <v>-0.80500000000000005</v>
      </c>
      <c r="BP164">
        <v>8.7999999999999995E-2</v>
      </c>
      <c r="BQ164">
        <v>410</v>
      </c>
      <c r="BR164">
        <v>15</v>
      </c>
      <c r="BS164">
        <v>0.28000000000000003</v>
      </c>
      <c r="BT164">
        <v>0.06</v>
      </c>
      <c r="BU164">
        <v>-0.28384976190476202</v>
      </c>
      <c r="BV164">
        <v>-1.73677402597406E-2</v>
      </c>
      <c r="BW164">
        <v>2.3576910417781E-2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0.793656238095238</v>
      </c>
      <c r="CD164">
        <v>1.9308935064935698E-2</v>
      </c>
      <c r="CE164">
        <v>2.6044606955643E-3</v>
      </c>
      <c r="CF164">
        <v>1</v>
      </c>
      <c r="CG164">
        <v>2</v>
      </c>
      <c r="CH164">
        <v>2</v>
      </c>
      <c r="CI164" t="s">
        <v>304</v>
      </c>
      <c r="CJ164">
        <v>3.5325099999999998</v>
      </c>
      <c r="CK164">
        <v>2.7020400000000002</v>
      </c>
      <c r="CL164">
        <v>9.7841300000000006E-2</v>
      </c>
      <c r="CM164">
        <v>9.6529799999999999E-2</v>
      </c>
      <c r="CN164">
        <v>8.69148E-2</v>
      </c>
      <c r="CO164">
        <v>8.2668599999999995E-2</v>
      </c>
      <c r="CP164">
        <v>31618.5</v>
      </c>
      <c r="CQ164">
        <v>27803.5</v>
      </c>
      <c r="CR164">
        <v>32439.1</v>
      </c>
      <c r="CS164">
        <v>30702.5</v>
      </c>
      <c r="CT164">
        <v>40114.800000000003</v>
      </c>
      <c r="CU164">
        <v>39609.599999999999</v>
      </c>
      <c r="CV164">
        <v>47382.1</v>
      </c>
      <c r="CW164">
        <v>46828.3</v>
      </c>
      <c r="CX164">
        <v>2.6181000000000001</v>
      </c>
      <c r="CY164">
        <v>2.1194199999999999</v>
      </c>
      <c r="CZ164">
        <v>0</v>
      </c>
      <c r="DA164">
        <v>0</v>
      </c>
      <c r="DB164">
        <v>999.9</v>
      </c>
      <c r="DC164">
        <v>999.9</v>
      </c>
      <c r="DD164">
        <v>50.414999999999999</v>
      </c>
      <c r="DE164">
        <v>28.067</v>
      </c>
      <c r="DF164">
        <v>19.1829</v>
      </c>
      <c r="DG164">
        <v>30.399799999999999</v>
      </c>
      <c r="DH164">
        <v>16.374199999999998</v>
      </c>
      <c r="DI164">
        <v>2</v>
      </c>
      <c r="DJ164">
        <v>-9.2894299999999999E-2</v>
      </c>
      <c r="DK164">
        <v>1.9760599999999999</v>
      </c>
      <c r="DL164">
        <v>20.233499999999999</v>
      </c>
      <c r="DM164">
        <v>5.2491599999999998</v>
      </c>
      <c r="DN164">
        <v>12.033899999999999</v>
      </c>
      <c r="DO164">
        <v>4.9668000000000001</v>
      </c>
      <c r="DP164">
        <v>3.2909999999999999</v>
      </c>
      <c r="DQ164">
        <v>536.79999999999995</v>
      </c>
      <c r="DR164">
        <v>9999</v>
      </c>
      <c r="DS164">
        <v>9999</v>
      </c>
      <c r="DT164">
        <v>9999</v>
      </c>
      <c r="DU164">
        <v>1.8710500000000001</v>
      </c>
      <c r="DV164">
        <v>1.8760699999999999</v>
      </c>
      <c r="DW164">
        <v>1.87635</v>
      </c>
      <c r="DX164">
        <v>1.8827799999999999</v>
      </c>
      <c r="DY164">
        <v>1.8755900000000001</v>
      </c>
      <c r="DZ164">
        <v>1.8746799999999999</v>
      </c>
      <c r="EA164">
        <v>1.8707800000000001</v>
      </c>
      <c r="EB164">
        <v>1.8746400000000001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-0.80500000000000005</v>
      </c>
      <c r="EQ164">
        <v>8.7800000000000003E-2</v>
      </c>
      <c r="ER164">
        <v>-0.80499999999989302</v>
      </c>
      <c r="ES164">
        <v>0</v>
      </c>
      <c r="ET164">
        <v>0</v>
      </c>
      <c r="EU164">
        <v>0</v>
      </c>
      <c r="EV164">
        <v>8.7840000000001695E-2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3.3</v>
      </c>
      <c r="FE164">
        <v>3.3</v>
      </c>
      <c r="FF164">
        <v>1.24268</v>
      </c>
      <c r="FG164">
        <v>2.5976599999999999</v>
      </c>
      <c r="FH164">
        <v>2.19604</v>
      </c>
      <c r="FI164">
        <v>2.66357</v>
      </c>
      <c r="FJ164">
        <v>2.4462899999999999</v>
      </c>
      <c r="FK164">
        <v>2.3071299999999999</v>
      </c>
      <c r="FL164">
        <v>32.465400000000002</v>
      </c>
      <c r="FM164">
        <v>24.157499999999999</v>
      </c>
      <c r="FN164">
        <v>19</v>
      </c>
      <c r="FO164">
        <v>865.846</v>
      </c>
      <c r="FP164">
        <v>571.54399999999998</v>
      </c>
      <c r="FQ164">
        <v>18.3855</v>
      </c>
      <c r="FR164">
        <v>25.802</v>
      </c>
      <c r="FS164">
        <v>29.9998</v>
      </c>
      <c r="FT164">
        <v>25.809000000000001</v>
      </c>
      <c r="FU164">
        <v>25.808700000000002</v>
      </c>
      <c r="FV164">
        <v>24.9435</v>
      </c>
      <c r="FW164">
        <v>26.812100000000001</v>
      </c>
      <c r="FX164">
        <v>0</v>
      </c>
      <c r="FY164">
        <v>18.388100000000001</v>
      </c>
      <c r="FZ164">
        <v>410</v>
      </c>
      <c r="GA164">
        <v>14.601699999999999</v>
      </c>
      <c r="GB164">
        <v>99.834299999999999</v>
      </c>
      <c r="GC164">
        <v>99.682400000000001</v>
      </c>
    </row>
    <row r="165" spans="1:185" x14ac:dyDescent="0.2">
      <c r="A165">
        <v>150</v>
      </c>
      <c r="B165">
        <v>1769197296</v>
      </c>
      <c r="C165">
        <v>2735</v>
      </c>
      <c r="D165" t="s">
        <v>597</v>
      </c>
      <c r="E165" t="s">
        <v>598</v>
      </c>
      <c r="F165">
        <v>15</v>
      </c>
      <c r="G165">
        <v>1769197287.9333301</v>
      </c>
      <c r="H165">
        <f t="shared" si="26"/>
        <v>6.4448122708116032E-4</v>
      </c>
      <c r="I165">
        <v>0</v>
      </c>
      <c r="J165">
        <f t="shared" si="38"/>
        <v>-1.4056243524797111E-3</v>
      </c>
      <c r="K165">
        <f t="shared" si="27"/>
        <v>-5.2378929946630161E-2</v>
      </c>
      <c r="L165">
        <f t="shared" si="28"/>
        <v>69.796910248343664</v>
      </c>
      <c r="M165">
        <f t="shared" si="29"/>
        <v>1.5387572904581199</v>
      </c>
      <c r="N165">
        <f t="shared" si="30"/>
        <v>2.2046209280369053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26292.6594391281</v>
      </c>
      <c r="T165">
        <f t="shared" si="34"/>
        <v>99.999386666666695</v>
      </c>
      <c r="U165">
        <f t="shared" si="35"/>
        <v>84.299173801896231</v>
      </c>
      <c r="V165">
        <f t="shared" si="36"/>
        <v>0.84299690840000019</v>
      </c>
      <c r="W165">
        <f t="shared" si="37"/>
        <v>0.15869229698400006</v>
      </c>
      <c r="X165">
        <v>1</v>
      </c>
      <c r="Y165">
        <v>1769197287.9333301</v>
      </c>
      <c r="Z165">
        <v>409.72673333333302</v>
      </c>
      <c r="AA165">
        <v>409.99133333333299</v>
      </c>
      <c r="AB165">
        <v>15.3588</v>
      </c>
      <c r="AC165">
        <v>14.565580000000001</v>
      </c>
      <c r="AD165">
        <v>410.53166666666698</v>
      </c>
      <c r="AE165">
        <v>15.2709733333333</v>
      </c>
      <c r="AF165">
        <v>800.00853333333305</v>
      </c>
      <c r="AG165">
        <v>100.123</v>
      </c>
      <c r="AH165">
        <v>6.4338233333333397E-2</v>
      </c>
      <c r="AI165">
        <v>18.995933333333301</v>
      </c>
      <c r="AJ165">
        <v>999.9</v>
      </c>
      <c r="AK165">
        <v>999.9</v>
      </c>
      <c r="AL165">
        <v>0</v>
      </c>
      <c r="AM165">
        <v>0</v>
      </c>
      <c r="AN165">
        <v>5006.2333333333299</v>
      </c>
      <c r="AO165">
        <v>0</v>
      </c>
      <c r="AP165">
        <v>1.6937899999999999</v>
      </c>
      <c r="AQ165">
        <v>-0.26444699999999999</v>
      </c>
      <c r="AR165">
        <v>416.11799999999999</v>
      </c>
      <c r="AS165">
        <v>416.05133333333299</v>
      </c>
      <c r="AT165">
        <v>0.79322619999999999</v>
      </c>
      <c r="AU165">
        <v>409.99133333333299</v>
      </c>
      <c r="AV165">
        <v>14.565580000000001</v>
      </c>
      <c r="AW165">
        <v>1.5377686666666699</v>
      </c>
      <c r="AX165">
        <v>1.4583486666666701</v>
      </c>
      <c r="AY165">
        <v>13.34896</v>
      </c>
      <c r="AZ165">
        <v>12.5383266666667</v>
      </c>
      <c r="BA165">
        <v>99.999386666666695</v>
      </c>
      <c r="BB165">
        <v>0.90010266666666705</v>
      </c>
      <c r="BC165">
        <v>0</v>
      </c>
      <c r="BD165">
        <v>9.9897319999999998E-2</v>
      </c>
      <c r="BE165">
        <v>0</v>
      </c>
      <c r="BF165">
        <v>24</v>
      </c>
      <c r="BG165">
        <v>1648.9206666666701</v>
      </c>
      <c r="BH165">
        <v>1769197084</v>
      </c>
      <c r="BI165" t="s">
        <v>568</v>
      </c>
      <c r="BJ165">
        <v>1769197082</v>
      </c>
      <c r="BK165">
        <v>1769197084</v>
      </c>
      <c r="BL165">
        <v>5</v>
      </c>
      <c r="BM165">
        <v>2.7E-2</v>
      </c>
      <c r="BN165">
        <v>-4.0000000000000001E-3</v>
      </c>
      <c r="BO165">
        <v>-0.80500000000000005</v>
      </c>
      <c r="BP165">
        <v>8.7999999999999995E-2</v>
      </c>
      <c r="BQ165">
        <v>410</v>
      </c>
      <c r="BR165">
        <v>15</v>
      </c>
      <c r="BS165">
        <v>0.28000000000000003</v>
      </c>
      <c r="BT165">
        <v>0.06</v>
      </c>
      <c r="BU165">
        <v>-0.26773835000000001</v>
      </c>
      <c r="BV165">
        <v>-4.4978120300751698E-2</v>
      </c>
      <c r="BW165">
        <v>2.8863876462240801E-2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0.79396314999999995</v>
      </c>
      <c r="CD165">
        <v>-9.6456090225575594E-3</v>
      </c>
      <c r="CE165">
        <v>1.92282628635558E-3</v>
      </c>
      <c r="CF165">
        <v>1</v>
      </c>
      <c r="CG165">
        <v>2</v>
      </c>
      <c r="CH165">
        <v>2</v>
      </c>
      <c r="CI165" t="s">
        <v>304</v>
      </c>
      <c r="CJ165">
        <v>3.5325500000000001</v>
      </c>
      <c r="CK165">
        <v>2.7023199999999998</v>
      </c>
      <c r="CL165">
        <v>9.7837400000000005E-2</v>
      </c>
      <c r="CM165">
        <v>9.6541500000000002E-2</v>
      </c>
      <c r="CN165">
        <v>8.6897000000000002E-2</v>
      </c>
      <c r="CO165">
        <v>8.2658400000000007E-2</v>
      </c>
      <c r="CP165">
        <v>31619.200000000001</v>
      </c>
      <c r="CQ165">
        <v>27804.400000000001</v>
      </c>
      <c r="CR165">
        <v>32439.7</v>
      </c>
      <c r="CS165">
        <v>30703.8</v>
      </c>
      <c r="CT165">
        <v>40116</v>
      </c>
      <c r="CU165">
        <v>39611.599999999999</v>
      </c>
      <c r="CV165">
        <v>47382.5</v>
      </c>
      <c r="CW165">
        <v>46830.2</v>
      </c>
      <c r="CX165">
        <v>2.61816</v>
      </c>
      <c r="CY165">
        <v>2.1196199999999998</v>
      </c>
      <c r="CZ165">
        <v>0</v>
      </c>
      <c r="DA165">
        <v>0</v>
      </c>
      <c r="DB165">
        <v>999.9</v>
      </c>
      <c r="DC165">
        <v>999.9</v>
      </c>
      <c r="DD165">
        <v>50.414999999999999</v>
      </c>
      <c r="DE165">
        <v>28.067</v>
      </c>
      <c r="DF165">
        <v>19.183900000000001</v>
      </c>
      <c r="DG165">
        <v>30.4298</v>
      </c>
      <c r="DH165">
        <v>16.306100000000001</v>
      </c>
      <c r="DI165">
        <v>2</v>
      </c>
      <c r="DJ165">
        <v>-9.3975600000000006E-2</v>
      </c>
      <c r="DK165">
        <v>1.9545399999999999</v>
      </c>
      <c r="DL165">
        <v>20.233699999999999</v>
      </c>
      <c r="DM165">
        <v>5.2497600000000002</v>
      </c>
      <c r="DN165">
        <v>12.033899999999999</v>
      </c>
      <c r="DO165">
        <v>4.9665600000000003</v>
      </c>
      <c r="DP165">
        <v>3.2909999999999999</v>
      </c>
      <c r="DQ165">
        <v>536.79999999999995</v>
      </c>
      <c r="DR165">
        <v>9999</v>
      </c>
      <c r="DS165">
        <v>9999</v>
      </c>
      <c r="DT165">
        <v>9999</v>
      </c>
      <c r="DU165">
        <v>1.8710899999999999</v>
      </c>
      <c r="DV165">
        <v>1.87608</v>
      </c>
      <c r="DW165">
        <v>1.87632</v>
      </c>
      <c r="DX165">
        <v>1.88279</v>
      </c>
      <c r="DY165">
        <v>1.8755900000000001</v>
      </c>
      <c r="DZ165">
        <v>1.87466</v>
      </c>
      <c r="EA165">
        <v>1.8707800000000001</v>
      </c>
      <c r="EB165">
        <v>1.87463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-0.80500000000000005</v>
      </c>
      <c r="EQ165">
        <v>8.7800000000000003E-2</v>
      </c>
      <c r="ER165">
        <v>-0.80499999999989302</v>
      </c>
      <c r="ES165">
        <v>0</v>
      </c>
      <c r="ET165">
        <v>0</v>
      </c>
      <c r="EU165">
        <v>0</v>
      </c>
      <c r="EV165">
        <v>8.7840000000001695E-2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3.6</v>
      </c>
      <c r="FE165">
        <v>3.5</v>
      </c>
      <c r="FF165">
        <v>1.24268</v>
      </c>
      <c r="FG165">
        <v>2.5988799999999999</v>
      </c>
      <c r="FH165">
        <v>2.19604</v>
      </c>
      <c r="FI165">
        <v>2.66357</v>
      </c>
      <c r="FJ165">
        <v>2.4462899999999999</v>
      </c>
      <c r="FK165">
        <v>2.3010299999999999</v>
      </c>
      <c r="FL165">
        <v>32.465400000000002</v>
      </c>
      <c r="FM165">
        <v>24.148800000000001</v>
      </c>
      <c r="FN165">
        <v>19</v>
      </c>
      <c r="FO165">
        <v>865.78399999999999</v>
      </c>
      <c r="FP165">
        <v>571.61099999999999</v>
      </c>
      <c r="FQ165">
        <v>18.393699999999999</v>
      </c>
      <c r="FR165">
        <v>25.791599999999999</v>
      </c>
      <c r="FS165">
        <v>29.9998</v>
      </c>
      <c r="FT165">
        <v>25.801600000000001</v>
      </c>
      <c r="FU165">
        <v>25.800899999999999</v>
      </c>
      <c r="FV165">
        <v>24.9436</v>
      </c>
      <c r="FW165">
        <v>26.812100000000001</v>
      </c>
      <c r="FX165">
        <v>0</v>
      </c>
      <c r="FY165">
        <v>18.396599999999999</v>
      </c>
      <c r="FZ165">
        <v>410</v>
      </c>
      <c r="GA165">
        <v>14.601699999999999</v>
      </c>
      <c r="GB165">
        <v>99.835700000000003</v>
      </c>
      <c r="GC165">
        <v>99.686499999999995</v>
      </c>
    </row>
    <row r="166" spans="1:185" x14ac:dyDescent="0.2">
      <c r="A166">
        <v>151</v>
      </c>
      <c r="B166">
        <v>1769197311</v>
      </c>
      <c r="C166">
        <v>2750</v>
      </c>
      <c r="D166" t="s">
        <v>599</v>
      </c>
      <c r="E166" t="s">
        <v>600</v>
      </c>
      <c r="F166">
        <v>15</v>
      </c>
      <c r="G166">
        <v>1769197302.9333301</v>
      </c>
      <c r="H166">
        <f t="shared" si="26"/>
        <v>6.4172204098435952E-4</v>
      </c>
      <c r="I166">
        <v>0</v>
      </c>
      <c r="J166">
        <f t="shared" si="38"/>
        <v>-9.6279466180459051E-4</v>
      </c>
      <c r="K166">
        <f t="shared" si="27"/>
        <v>-3.5877404979990937E-2</v>
      </c>
      <c r="L166">
        <f t="shared" si="28"/>
        <v>69.763216714926429</v>
      </c>
      <c r="M166">
        <f t="shared" si="29"/>
        <v>1.5381251755458509</v>
      </c>
      <c r="N166">
        <f t="shared" si="30"/>
        <v>2.2047796073267305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26227.715636215704</v>
      </c>
      <c r="T166">
        <f t="shared" si="34"/>
        <v>100.00126</v>
      </c>
      <c r="U166">
        <f t="shared" si="35"/>
        <v>84.30079243660127</v>
      </c>
      <c r="V166">
        <f t="shared" si="36"/>
        <v>0.84299730259999994</v>
      </c>
      <c r="W166">
        <f t="shared" si="37"/>
        <v>0.15869342539600001</v>
      </c>
      <c r="X166">
        <v>1</v>
      </c>
      <c r="Y166">
        <v>1769197302.9333301</v>
      </c>
      <c r="Z166">
        <v>409.70493333333297</v>
      </c>
      <c r="AA166">
        <v>409.98873333333302</v>
      </c>
      <c r="AB166">
        <v>15.3525066666667</v>
      </c>
      <c r="AC166">
        <v>14.562666666666701</v>
      </c>
      <c r="AD166">
        <v>410.50993333333298</v>
      </c>
      <c r="AE166">
        <v>15.26468</v>
      </c>
      <c r="AF166">
        <v>799.99746666666704</v>
      </c>
      <c r="AG166">
        <v>100.122666666667</v>
      </c>
      <c r="AH166">
        <v>6.4567180000000002E-2</v>
      </c>
      <c r="AI166">
        <v>18.9970866666667</v>
      </c>
      <c r="AJ166">
        <v>999.9</v>
      </c>
      <c r="AK166">
        <v>999.9</v>
      </c>
      <c r="AL166">
        <v>0</v>
      </c>
      <c r="AM166">
        <v>0</v>
      </c>
      <c r="AN166">
        <v>4995.5666666666702</v>
      </c>
      <c r="AO166">
        <v>0</v>
      </c>
      <c r="AP166">
        <v>1.6937899999999999</v>
      </c>
      <c r="AQ166">
        <v>-0.28388453333333302</v>
      </c>
      <c r="AR166">
        <v>416.09293333333301</v>
      </c>
      <c r="AS166">
        <v>416.047666666667</v>
      </c>
      <c r="AT166">
        <v>0.78984339999999997</v>
      </c>
      <c r="AU166">
        <v>409.98873333333302</v>
      </c>
      <c r="AV166">
        <v>14.562666666666701</v>
      </c>
      <c r="AW166">
        <v>1.5371360000000001</v>
      </c>
      <c r="AX166">
        <v>1.458054</v>
      </c>
      <c r="AY166">
        <v>13.3426333333333</v>
      </c>
      <c r="AZ166">
        <v>12.5352266666667</v>
      </c>
      <c r="BA166">
        <v>100.00126</v>
      </c>
      <c r="BB166">
        <v>0.90008739999999998</v>
      </c>
      <c r="BC166">
        <v>0</v>
      </c>
      <c r="BD166">
        <v>9.99125133333333E-2</v>
      </c>
      <c r="BE166">
        <v>0</v>
      </c>
      <c r="BF166">
        <v>24</v>
      </c>
      <c r="BG166">
        <v>1648.94333333333</v>
      </c>
      <c r="BH166">
        <v>1769197084</v>
      </c>
      <c r="BI166" t="s">
        <v>568</v>
      </c>
      <c r="BJ166">
        <v>1769197082</v>
      </c>
      <c r="BK166">
        <v>1769197084</v>
      </c>
      <c r="BL166">
        <v>5</v>
      </c>
      <c r="BM166">
        <v>2.7E-2</v>
      </c>
      <c r="BN166">
        <v>-4.0000000000000001E-3</v>
      </c>
      <c r="BO166">
        <v>-0.80500000000000005</v>
      </c>
      <c r="BP166">
        <v>8.7999999999999995E-2</v>
      </c>
      <c r="BQ166">
        <v>410</v>
      </c>
      <c r="BR166">
        <v>15</v>
      </c>
      <c r="BS166">
        <v>0.28000000000000003</v>
      </c>
      <c r="BT166">
        <v>0.06</v>
      </c>
      <c r="BU166">
        <v>-0.28108857142857102</v>
      </c>
      <c r="BV166">
        <v>-6.1794311688311399E-2</v>
      </c>
      <c r="BW166">
        <v>2.7963270766474799E-2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0.79080595238095197</v>
      </c>
      <c r="CD166">
        <v>-1.8718597402597299E-2</v>
      </c>
      <c r="CE166">
        <v>2.7456412639151099E-3</v>
      </c>
      <c r="CF166">
        <v>1</v>
      </c>
      <c r="CG166">
        <v>2</v>
      </c>
      <c r="CH166">
        <v>2</v>
      </c>
      <c r="CI166" t="s">
        <v>304</v>
      </c>
      <c r="CJ166">
        <v>3.5325600000000001</v>
      </c>
      <c r="CK166">
        <v>2.70235</v>
      </c>
      <c r="CL166">
        <v>9.7848199999999996E-2</v>
      </c>
      <c r="CM166">
        <v>9.6539799999999995E-2</v>
      </c>
      <c r="CN166">
        <v>8.68564E-2</v>
      </c>
      <c r="CO166">
        <v>8.2652000000000003E-2</v>
      </c>
      <c r="CP166">
        <v>31619.599999999999</v>
      </c>
      <c r="CQ166">
        <v>27805.5</v>
      </c>
      <c r="CR166">
        <v>32440.400000000001</v>
      </c>
      <c r="CS166">
        <v>30705</v>
      </c>
      <c r="CT166">
        <v>40118.6</v>
      </c>
      <c r="CU166">
        <v>39613.4</v>
      </c>
      <c r="CV166">
        <v>47383.4</v>
      </c>
      <c r="CW166">
        <v>46832</v>
      </c>
      <c r="CX166">
        <v>2.61842</v>
      </c>
      <c r="CY166">
        <v>2.1196999999999999</v>
      </c>
      <c r="CZ166">
        <v>0</v>
      </c>
      <c r="DA166">
        <v>0</v>
      </c>
      <c r="DB166">
        <v>999.9</v>
      </c>
      <c r="DC166">
        <v>999.9</v>
      </c>
      <c r="DD166">
        <v>50.366</v>
      </c>
      <c r="DE166">
        <v>28.067</v>
      </c>
      <c r="DF166">
        <v>19.163900000000002</v>
      </c>
      <c r="DG166">
        <v>30.279800000000002</v>
      </c>
      <c r="DH166">
        <v>16.3462</v>
      </c>
      <c r="DI166">
        <v>2</v>
      </c>
      <c r="DJ166">
        <v>-9.5262200000000005E-2</v>
      </c>
      <c r="DK166">
        <v>1.93296</v>
      </c>
      <c r="DL166">
        <v>20.234000000000002</v>
      </c>
      <c r="DM166">
        <v>5.2497600000000002</v>
      </c>
      <c r="DN166">
        <v>12.033899999999999</v>
      </c>
      <c r="DO166">
        <v>4.9668400000000004</v>
      </c>
      <c r="DP166">
        <v>3.2909999999999999</v>
      </c>
      <c r="DQ166">
        <v>536.79999999999995</v>
      </c>
      <c r="DR166">
        <v>9999</v>
      </c>
      <c r="DS166">
        <v>9999</v>
      </c>
      <c r="DT166">
        <v>9999</v>
      </c>
      <c r="DU166">
        <v>1.8710599999999999</v>
      </c>
      <c r="DV166">
        <v>1.8760699999999999</v>
      </c>
      <c r="DW166">
        <v>1.87629</v>
      </c>
      <c r="DX166">
        <v>1.8827799999999999</v>
      </c>
      <c r="DY166">
        <v>1.8755900000000001</v>
      </c>
      <c r="DZ166">
        <v>1.8746700000000001</v>
      </c>
      <c r="EA166">
        <v>1.87079</v>
      </c>
      <c r="EB166">
        <v>1.8746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-0.80500000000000005</v>
      </c>
      <c r="EQ166">
        <v>8.7800000000000003E-2</v>
      </c>
      <c r="ER166">
        <v>-0.80499999999989302</v>
      </c>
      <c r="ES166">
        <v>0</v>
      </c>
      <c r="ET166">
        <v>0</v>
      </c>
      <c r="EU166">
        <v>0</v>
      </c>
      <c r="EV166">
        <v>8.7840000000001695E-2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3.8</v>
      </c>
      <c r="FE166">
        <v>3.8</v>
      </c>
      <c r="FF166">
        <v>1.24268</v>
      </c>
      <c r="FG166">
        <v>2.5952099999999998</v>
      </c>
      <c r="FH166">
        <v>2.19604</v>
      </c>
      <c r="FI166">
        <v>2.66357</v>
      </c>
      <c r="FJ166">
        <v>2.4462899999999999</v>
      </c>
      <c r="FK166">
        <v>2.2997999999999998</v>
      </c>
      <c r="FL166">
        <v>32.465400000000002</v>
      </c>
      <c r="FM166">
        <v>24.148800000000001</v>
      </c>
      <c r="FN166">
        <v>19</v>
      </c>
      <c r="FO166">
        <v>865.89400000000001</v>
      </c>
      <c r="FP166">
        <v>571.58199999999999</v>
      </c>
      <c r="FQ166">
        <v>18.401199999999999</v>
      </c>
      <c r="FR166">
        <v>25.779399999999999</v>
      </c>
      <c r="FS166">
        <v>29.999700000000001</v>
      </c>
      <c r="FT166">
        <v>25.793299999999999</v>
      </c>
      <c r="FU166">
        <v>25.7927</v>
      </c>
      <c r="FV166">
        <v>24.946300000000001</v>
      </c>
      <c r="FW166">
        <v>26.812100000000001</v>
      </c>
      <c r="FX166">
        <v>0</v>
      </c>
      <c r="FY166">
        <v>18.403199999999998</v>
      </c>
      <c r="FZ166">
        <v>410</v>
      </c>
      <c r="GA166">
        <v>14.6076</v>
      </c>
      <c r="GB166">
        <v>99.837699999999998</v>
      </c>
      <c r="GC166">
        <v>99.690299999999993</v>
      </c>
    </row>
    <row r="167" spans="1:185" x14ac:dyDescent="0.2">
      <c r="A167">
        <v>152</v>
      </c>
      <c r="B167">
        <v>1769197326</v>
      </c>
      <c r="C167">
        <v>2765</v>
      </c>
      <c r="D167" t="s">
        <v>601</v>
      </c>
      <c r="E167" t="s">
        <v>602</v>
      </c>
      <c r="F167">
        <v>15</v>
      </c>
      <c r="G167">
        <v>1769197317.9333301</v>
      </c>
      <c r="H167">
        <f t="shared" si="26"/>
        <v>6.3879665139286246E-4</v>
      </c>
      <c r="I167">
        <v>0</v>
      </c>
      <c r="J167">
        <f t="shared" si="38"/>
        <v>-1.0870244489454746E-3</v>
      </c>
      <c r="K167">
        <f t="shared" si="27"/>
        <v>-4.0506681149301664E-2</v>
      </c>
      <c r="L167">
        <f t="shared" si="28"/>
        <v>69.726463798908227</v>
      </c>
      <c r="M167">
        <f t="shared" si="29"/>
        <v>1.5374389349762769</v>
      </c>
      <c r="N167">
        <f t="shared" si="30"/>
        <v>2.2049575601743765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26278.151702993186</v>
      </c>
      <c r="T167">
        <f t="shared" si="34"/>
        <v>99.998993333333303</v>
      </c>
      <c r="U167">
        <f t="shared" si="35"/>
        <v>84.298879582736049</v>
      </c>
      <c r="V167">
        <f t="shared" si="36"/>
        <v>0.84299728199999957</v>
      </c>
      <c r="W167">
        <f t="shared" si="37"/>
        <v>0.15869307507999994</v>
      </c>
      <c r="X167">
        <v>1</v>
      </c>
      <c r="Y167">
        <v>1769197317.9333301</v>
      </c>
      <c r="Z167">
        <v>409.72986666666702</v>
      </c>
      <c r="AA167">
        <v>410.00639999999999</v>
      </c>
      <c r="AB167">
        <v>15.3454266666667</v>
      </c>
      <c r="AC167">
        <v>14.559186666666699</v>
      </c>
      <c r="AD167">
        <v>410.53486666666703</v>
      </c>
      <c r="AE167">
        <v>15.2576</v>
      </c>
      <c r="AF167">
        <v>800.00260000000003</v>
      </c>
      <c r="AG167">
        <v>100.12406666666701</v>
      </c>
      <c r="AH167">
        <v>6.467154E-2</v>
      </c>
      <c r="AI167">
        <v>18.998380000000001</v>
      </c>
      <c r="AJ167">
        <v>999.9</v>
      </c>
      <c r="AK167">
        <v>999.9</v>
      </c>
      <c r="AL167">
        <v>0</v>
      </c>
      <c r="AM167">
        <v>0</v>
      </c>
      <c r="AN167">
        <v>5003.8333333333303</v>
      </c>
      <c r="AO167">
        <v>0</v>
      </c>
      <c r="AP167">
        <v>1.6937899999999999</v>
      </c>
      <c r="AQ167">
        <v>-0.27652179999999998</v>
      </c>
      <c r="AR167">
        <v>416.11540000000002</v>
      </c>
      <c r="AS167">
        <v>416.06413333333302</v>
      </c>
      <c r="AT167">
        <v>0.78626273333333396</v>
      </c>
      <c r="AU167">
        <v>410.00639999999999</v>
      </c>
      <c r="AV167">
        <v>14.559186666666699</v>
      </c>
      <c r="AW167">
        <v>1.5364473333333299</v>
      </c>
      <c r="AX167">
        <v>1.4577246666666701</v>
      </c>
      <c r="AY167">
        <v>13.3357733333333</v>
      </c>
      <c r="AZ167">
        <v>12.531786666666701</v>
      </c>
      <c r="BA167">
        <v>99.998993333333303</v>
      </c>
      <c r="BB167">
        <v>0.90009253333333294</v>
      </c>
      <c r="BC167">
        <v>0</v>
      </c>
      <c r="BD167">
        <v>9.9907533333333298E-2</v>
      </c>
      <c r="BE167">
        <v>0</v>
      </c>
      <c r="BF167">
        <v>24</v>
      </c>
      <c r="BG167">
        <v>1648.9059999999999</v>
      </c>
      <c r="BH167">
        <v>1769197084</v>
      </c>
      <c r="BI167" t="s">
        <v>568</v>
      </c>
      <c r="BJ167">
        <v>1769197082</v>
      </c>
      <c r="BK167">
        <v>1769197084</v>
      </c>
      <c r="BL167">
        <v>5</v>
      </c>
      <c r="BM167">
        <v>2.7E-2</v>
      </c>
      <c r="BN167">
        <v>-4.0000000000000001E-3</v>
      </c>
      <c r="BO167">
        <v>-0.80500000000000005</v>
      </c>
      <c r="BP167">
        <v>8.7999999999999995E-2</v>
      </c>
      <c r="BQ167">
        <v>410</v>
      </c>
      <c r="BR167">
        <v>15</v>
      </c>
      <c r="BS167">
        <v>0.28000000000000003</v>
      </c>
      <c r="BT167">
        <v>0.06</v>
      </c>
      <c r="BU167">
        <v>-0.27967370000000003</v>
      </c>
      <c r="BV167">
        <v>-1.0051218045112199E-2</v>
      </c>
      <c r="BW167">
        <v>2.6399452596786901E-2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0.78659104999999996</v>
      </c>
      <c r="CD167">
        <v>-2.8251879699235901E-3</v>
      </c>
      <c r="CE167">
        <v>2.2736201854091699E-3</v>
      </c>
      <c r="CF167">
        <v>1</v>
      </c>
      <c r="CG167">
        <v>2</v>
      </c>
      <c r="CH167">
        <v>2</v>
      </c>
      <c r="CI167" t="s">
        <v>304</v>
      </c>
      <c r="CJ167">
        <v>3.5325700000000002</v>
      </c>
      <c r="CK167">
        <v>2.7023000000000001</v>
      </c>
      <c r="CL167">
        <v>9.7846600000000006E-2</v>
      </c>
      <c r="CM167">
        <v>9.6539600000000003E-2</v>
      </c>
      <c r="CN167">
        <v>8.6854799999999996E-2</v>
      </c>
      <c r="CO167">
        <v>8.2635100000000003E-2</v>
      </c>
      <c r="CP167">
        <v>31620.5</v>
      </c>
      <c r="CQ167">
        <v>27807.3</v>
      </c>
      <c r="CR167">
        <v>32441.200000000001</v>
      </c>
      <c r="CS167">
        <v>30706.9</v>
      </c>
      <c r="CT167">
        <v>40119.599999999999</v>
      </c>
      <c r="CU167">
        <v>39616.6</v>
      </c>
      <c r="CV167">
        <v>47384.6</v>
      </c>
      <c r="CW167">
        <v>46834.9</v>
      </c>
      <c r="CX167">
        <v>2.6186400000000001</v>
      </c>
      <c r="CY167">
        <v>2.1199400000000002</v>
      </c>
      <c r="CZ167">
        <v>0</v>
      </c>
      <c r="DA167">
        <v>0</v>
      </c>
      <c r="DB167">
        <v>999.9</v>
      </c>
      <c r="DC167">
        <v>999.9</v>
      </c>
      <c r="DD167">
        <v>50.341999999999999</v>
      </c>
      <c r="DE167">
        <v>28.087</v>
      </c>
      <c r="DF167">
        <v>19.1767</v>
      </c>
      <c r="DG167">
        <v>30.189800000000002</v>
      </c>
      <c r="DH167">
        <v>16.382200000000001</v>
      </c>
      <c r="DI167">
        <v>2</v>
      </c>
      <c r="DJ167">
        <v>-9.6538600000000002E-2</v>
      </c>
      <c r="DK167">
        <v>1.9173800000000001</v>
      </c>
      <c r="DL167">
        <v>20.234200000000001</v>
      </c>
      <c r="DM167">
        <v>5.2502399999999998</v>
      </c>
      <c r="DN167">
        <v>12.033899999999999</v>
      </c>
      <c r="DO167">
        <v>4.9668400000000004</v>
      </c>
      <c r="DP167">
        <v>3.2909999999999999</v>
      </c>
      <c r="DQ167">
        <v>536.79999999999995</v>
      </c>
      <c r="DR167">
        <v>9999</v>
      </c>
      <c r="DS167">
        <v>9999</v>
      </c>
      <c r="DT167">
        <v>9999</v>
      </c>
      <c r="DU167">
        <v>1.8711599999999999</v>
      </c>
      <c r="DV167">
        <v>1.87609</v>
      </c>
      <c r="DW167">
        <v>1.87636</v>
      </c>
      <c r="DX167">
        <v>1.88279</v>
      </c>
      <c r="DY167">
        <v>1.8755999999999999</v>
      </c>
      <c r="DZ167">
        <v>1.8746799999999999</v>
      </c>
      <c r="EA167">
        <v>1.87083</v>
      </c>
      <c r="EB167">
        <v>1.87466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-0.80500000000000005</v>
      </c>
      <c r="EQ167">
        <v>8.7900000000000006E-2</v>
      </c>
      <c r="ER167">
        <v>-0.80499999999989302</v>
      </c>
      <c r="ES167">
        <v>0</v>
      </c>
      <c r="ET167">
        <v>0</v>
      </c>
      <c r="EU167">
        <v>0</v>
      </c>
      <c r="EV167">
        <v>8.7840000000001695E-2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4.0999999999999996</v>
      </c>
      <c r="FE167">
        <v>4</v>
      </c>
      <c r="FF167">
        <v>1.24268</v>
      </c>
      <c r="FG167">
        <v>2.6037599999999999</v>
      </c>
      <c r="FH167">
        <v>2.19604</v>
      </c>
      <c r="FI167">
        <v>2.66357</v>
      </c>
      <c r="FJ167">
        <v>2.4462899999999999</v>
      </c>
      <c r="FK167">
        <v>2.3120099999999999</v>
      </c>
      <c r="FL167">
        <v>32.465400000000002</v>
      </c>
      <c r="FM167">
        <v>24.148800000000001</v>
      </c>
      <c r="FN167">
        <v>19</v>
      </c>
      <c r="FO167">
        <v>865.947</v>
      </c>
      <c r="FP167">
        <v>571.65700000000004</v>
      </c>
      <c r="FQ167">
        <v>18.404800000000002</v>
      </c>
      <c r="FR167">
        <v>25.765899999999998</v>
      </c>
      <c r="FS167">
        <v>29.999700000000001</v>
      </c>
      <c r="FT167">
        <v>25.783799999999999</v>
      </c>
      <c r="FU167">
        <v>25.782800000000002</v>
      </c>
      <c r="FV167">
        <v>24.946000000000002</v>
      </c>
      <c r="FW167">
        <v>26.812100000000001</v>
      </c>
      <c r="FX167">
        <v>0</v>
      </c>
      <c r="FY167">
        <v>18.406700000000001</v>
      </c>
      <c r="FZ167">
        <v>410</v>
      </c>
      <c r="GA167">
        <v>14.604699999999999</v>
      </c>
      <c r="GB167">
        <v>99.840199999999996</v>
      </c>
      <c r="GC167">
        <v>99.6965</v>
      </c>
    </row>
    <row r="168" spans="1:185" x14ac:dyDescent="0.2">
      <c r="A168">
        <v>153</v>
      </c>
      <c r="B168">
        <v>1769197451</v>
      </c>
      <c r="C168">
        <v>2890</v>
      </c>
      <c r="D168" t="s">
        <v>603</v>
      </c>
      <c r="E168" t="s">
        <v>604</v>
      </c>
      <c r="F168">
        <v>15</v>
      </c>
      <c r="G168">
        <v>1769197442.5</v>
      </c>
      <c r="H168">
        <f t="shared" si="26"/>
        <v>-6.5330992708177989E-5</v>
      </c>
      <c r="I168">
        <v>0</v>
      </c>
      <c r="J168">
        <f t="shared" si="38"/>
        <v>-3.126764557053513E-2</v>
      </c>
      <c r="K168">
        <f t="shared" si="27"/>
        <v>-1.165151851592412</v>
      </c>
      <c r="L168">
        <f t="shared" si="28"/>
        <v>73.314940009405262</v>
      </c>
      <c r="M168">
        <f t="shared" si="29"/>
        <v>1.6119357408111559</v>
      </c>
      <c r="N168">
        <f t="shared" si="30"/>
        <v>2.198645652038135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26296.796615154184</v>
      </c>
      <c r="T168">
        <f t="shared" si="34"/>
        <v>299.99975000000001</v>
      </c>
      <c r="U168">
        <f t="shared" si="35"/>
        <v>252.90025724960998</v>
      </c>
      <c r="V168">
        <f t="shared" si="36"/>
        <v>0.84300155999999993</v>
      </c>
      <c r="W168">
        <f t="shared" si="37"/>
        <v>0.15870390000000001</v>
      </c>
      <c r="X168">
        <v>1</v>
      </c>
      <c r="Y168">
        <v>1769197442.5</v>
      </c>
      <c r="Z168">
        <v>411.71112499999998</v>
      </c>
      <c r="AA168">
        <v>410.22106250000002</v>
      </c>
      <c r="AB168">
        <v>16.087737499999999</v>
      </c>
      <c r="AC168">
        <v>16.168087499999999</v>
      </c>
      <c r="AD168">
        <v>412.51612499999999</v>
      </c>
      <c r="AE168">
        <v>15.99988125</v>
      </c>
      <c r="AF168">
        <v>799.99956250000002</v>
      </c>
      <c r="AG168">
        <v>100.132125</v>
      </c>
      <c r="AH168">
        <v>6.4421643749999993E-2</v>
      </c>
      <c r="AI168">
        <v>18.952449999999999</v>
      </c>
      <c r="AJ168">
        <v>999.9</v>
      </c>
      <c r="AK168">
        <v>999.9</v>
      </c>
      <c r="AL168">
        <v>0</v>
      </c>
      <c r="AM168">
        <v>0</v>
      </c>
      <c r="AN168">
        <v>5005.875</v>
      </c>
      <c r="AO168">
        <v>0</v>
      </c>
      <c r="AP168">
        <v>1.6302743749999999</v>
      </c>
      <c r="AQ168">
        <v>1.4901554374999999</v>
      </c>
      <c r="AR168">
        <v>418.44299999999998</v>
      </c>
      <c r="AS168">
        <v>416.96256249999999</v>
      </c>
      <c r="AT168">
        <v>-8.0356049375000002E-2</v>
      </c>
      <c r="AU168">
        <v>410.22106250000002</v>
      </c>
      <c r="AV168">
        <v>16.168087499999999</v>
      </c>
      <c r="AW168">
        <v>1.610900625</v>
      </c>
      <c r="AX168">
        <v>1.6189475</v>
      </c>
      <c r="AY168">
        <v>14.0632625</v>
      </c>
      <c r="AZ168">
        <v>14.138781249999999</v>
      </c>
      <c r="BA168">
        <v>299.99975000000001</v>
      </c>
      <c r="BB168">
        <v>0.89994799999999997</v>
      </c>
      <c r="BC168">
        <v>0</v>
      </c>
      <c r="BD168">
        <v>0.100052</v>
      </c>
      <c r="BE168">
        <v>0</v>
      </c>
      <c r="BF168">
        <v>24</v>
      </c>
      <c r="BG168">
        <v>4946.5518750000001</v>
      </c>
      <c r="BH168">
        <v>1769197084</v>
      </c>
      <c r="BI168" t="s">
        <v>568</v>
      </c>
      <c r="BJ168">
        <v>1769197082</v>
      </c>
      <c r="BK168">
        <v>1769197084</v>
      </c>
      <c r="BL168">
        <v>5</v>
      </c>
      <c r="BM168">
        <v>2.7E-2</v>
      </c>
      <c r="BN168">
        <v>-4.0000000000000001E-3</v>
      </c>
      <c r="BO168">
        <v>-0.80500000000000005</v>
      </c>
      <c r="BP168">
        <v>8.7999999999999995E-2</v>
      </c>
      <c r="BQ168">
        <v>410</v>
      </c>
      <c r="BR168">
        <v>15</v>
      </c>
      <c r="BS168">
        <v>0.28000000000000003</v>
      </c>
      <c r="BT168">
        <v>0.06</v>
      </c>
      <c r="BU168">
        <v>2.03590815</v>
      </c>
      <c r="BV168">
        <v>-10.1847966766917</v>
      </c>
      <c r="BW168">
        <v>1.00807747511455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-0.31998133950000002</v>
      </c>
      <c r="CD168">
        <v>4.73609918210526</v>
      </c>
      <c r="CE168">
        <v>0.45690845744774999</v>
      </c>
      <c r="CF168">
        <v>0</v>
      </c>
      <c r="CG168">
        <v>0</v>
      </c>
      <c r="CH168">
        <v>2</v>
      </c>
      <c r="CI168" t="s">
        <v>290</v>
      </c>
      <c r="CJ168">
        <v>3.5324800000000001</v>
      </c>
      <c r="CK168">
        <v>2.7020900000000001</v>
      </c>
      <c r="CL168">
        <v>9.8098599999999994E-2</v>
      </c>
      <c r="CM168">
        <v>9.6626500000000004E-2</v>
      </c>
      <c r="CN168">
        <v>9.0404700000000005E-2</v>
      </c>
      <c r="CO168">
        <v>8.7513499999999994E-2</v>
      </c>
      <c r="CP168">
        <v>31619.3</v>
      </c>
      <c r="CQ168">
        <v>27814.799999999999</v>
      </c>
      <c r="CR168">
        <v>32448.400000000001</v>
      </c>
      <c r="CS168">
        <v>30717.5</v>
      </c>
      <c r="CT168">
        <v>39966.400000000001</v>
      </c>
      <c r="CU168">
        <v>39413.199999999997</v>
      </c>
      <c r="CV168">
        <v>47394.1</v>
      </c>
      <c r="CW168">
        <v>46850.6</v>
      </c>
      <c r="CX168">
        <v>2.6200399999999999</v>
      </c>
      <c r="CY168">
        <v>2.1246399999999999</v>
      </c>
      <c r="CZ168">
        <v>0</v>
      </c>
      <c r="DA168">
        <v>0</v>
      </c>
      <c r="DB168">
        <v>999.9</v>
      </c>
      <c r="DC168">
        <v>999.9</v>
      </c>
      <c r="DD168">
        <v>50.366</v>
      </c>
      <c r="DE168">
        <v>28.117000000000001</v>
      </c>
      <c r="DF168">
        <v>19.2193</v>
      </c>
      <c r="DG168">
        <v>30.059799999999999</v>
      </c>
      <c r="DH168">
        <v>16.4864</v>
      </c>
      <c r="DI168">
        <v>2</v>
      </c>
      <c r="DJ168">
        <v>-0.108098</v>
      </c>
      <c r="DK168">
        <v>1.9539599999999999</v>
      </c>
      <c r="DL168">
        <v>20.2271</v>
      </c>
      <c r="DM168">
        <v>5.2495200000000004</v>
      </c>
      <c r="DN168">
        <v>12.033899999999999</v>
      </c>
      <c r="DO168">
        <v>4.9666800000000002</v>
      </c>
      <c r="DP168">
        <v>3.2909999999999999</v>
      </c>
      <c r="DQ168">
        <v>536.79999999999995</v>
      </c>
      <c r="DR168">
        <v>9999</v>
      </c>
      <c r="DS168">
        <v>9999</v>
      </c>
      <c r="DT168">
        <v>9999</v>
      </c>
      <c r="DU168">
        <v>1.87114</v>
      </c>
      <c r="DV168">
        <v>1.87609</v>
      </c>
      <c r="DW168">
        <v>1.8763399999999999</v>
      </c>
      <c r="DX168">
        <v>1.88279</v>
      </c>
      <c r="DY168">
        <v>1.87561</v>
      </c>
      <c r="DZ168">
        <v>1.8746799999999999</v>
      </c>
      <c r="EA168">
        <v>1.8708100000000001</v>
      </c>
      <c r="EB168">
        <v>1.8746499999999999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-0.80500000000000005</v>
      </c>
      <c r="EQ168">
        <v>8.7800000000000003E-2</v>
      </c>
      <c r="ER168">
        <v>-0.80499999999989302</v>
      </c>
      <c r="ES168">
        <v>0</v>
      </c>
      <c r="ET168">
        <v>0</v>
      </c>
      <c r="EU168">
        <v>0</v>
      </c>
      <c r="EV168">
        <v>8.7840000000001695E-2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6.2</v>
      </c>
      <c r="FE168">
        <v>6.1</v>
      </c>
      <c r="FF168">
        <v>1.24268</v>
      </c>
      <c r="FG168">
        <v>2.6025399999999999</v>
      </c>
      <c r="FH168">
        <v>2.19604</v>
      </c>
      <c r="FI168">
        <v>2.66235</v>
      </c>
      <c r="FJ168">
        <v>2.4462899999999999</v>
      </c>
      <c r="FK168">
        <v>2.2595200000000002</v>
      </c>
      <c r="FL168">
        <v>32.465400000000002</v>
      </c>
      <c r="FM168">
        <v>24.14</v>
      </c>
      <c r="FN168">
        <v>19</v>
      </c>
      <c r="FO168">
        <v>865.69200000000001</v>
      </c>
      <c r="FP168">
        <v>574.15300000000002</v>
      </c>
      <c r="FQ168">
        <v>18.056100000000001</v>
      </c>
      <c r="FR168">
        <v>25.6326</v>
      </c>
      <c r="FS168">
        <v>29.999700000000001</v>
      </c>
      <c r="FT168">
        <v>25.686299999999999</v>
      </c>
      <c r="FU168">
        <v>25.683399999999999</v>
      </c>
      <c r="FV168">
        <v>24.956800000000001</v>
      </c>
      <c r="FW168">
        <v>22.179400000000001</v>
      </c>
      <c r="FX168">
        <v>1.4116299999999999</v>
      </c>
      <c r="FY168">
        <v>18.0747</v>
      </c>
      <c r="FZ168">
        <v>410</v>
      </c>
      <c r="GA168">
        <v>15.405799999999999</v>
      </c>
      <c r="GB168">
        <v>99.861099999999993</v>
      </c>
      <c r="GC168">
        <v>99.730400000000003</v>
      </c>
    </row>
    <row r="169" spans="1:185" x14ac:dyDescent="0.2">
      <c r="A169">
        <v>154</v>
      </c>
      <c r="B169">
        <v>1769197466</v>
      </c>
      <c r="C169">
        <v>2905</v>
      </c>
      <c r="D169" t="s">
        <v>605</v>
      </c>
      <c r="E169" t="s">
        <v>606</v>
      </c>
      <c r="F169">
        <v>15</v>
      </c>
      <c r="G169">
        <v>1769197457.9333301</v>
      </c>
      <c r="H169">
        <f t="shared" si="26"/>
        <v>5.1908607945421468E-4</v>
      </c>
      <c r="I169">
        <v>0</v>
      </c>
      <c r="J169">
        <f t="shared" si="38"/>
        <v>-1.5307923081686754E-2</v>
      </c>
      <c r="K169">
        <f t="shared" si="27"/>
        <v>-0.57043165857902767</v>
      </c>
      <c r="L169">
        <f t="shared" si="28"/>
        <v>73.58200758644216</v>
      </c>
      <c r="M169">
        <f t="shared" si="29"/>
        <v>1.6156809210056278</v>
      </c>
      <c r="N169">
        <f t="shared" si="30"/>
        <v>2.195755421741612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26175.173817406845</v>
      </c>
      <c r="T169">
        <f t="shared" si="34"/>
        <v>300.00073333333302</v>
      </c>
      <c r="U169">
        <f t="shared" si="35"/>
        <v>252.90100940095599</v>
      </c>
      <c r="V169">
        <f t="shared" si="36"/>
        <v>0.84300130399999995</v>
      </c>
      <c r="W169">
        <f t="shared" si="37"/>
        <v>0.15870326000000004</v>
      </c>
      <c r="X169">
        <v>1</v>
      </c>
      <c r="Y169">
        <v>1769197457.9333301</v>
      </c>
      <c r="Z169">
        <v>410.539066666667</v>
      </c>
      <c r="AA169">
        <v>410.0924</v>
      </c>
      <c r="AB169">
        <v>16.125360000000001</v>
      </c>
      <c r="AC169">
        <v>15.4869533333333</v>
      </c>
      <c r="AD169">
        <v>411.344066666667</v>
      </c>
      <c r="AE169">
        <v>16.037513333333301</v>
      </c>
      <c r="AF169">
        <v>799.98479999999995</v>
      </c>
      <c r="AG169">
        <v>100.130666666667</v>
      </c>
      <c r="AH169">
        <v>6.4362840000000004E-2</v>
      </c>
      <c r="AI169">
        <v>18.931380000000001</v>
      </c>
      <c r="AJ169">
        <v>999.9</v>
      </c>
      <c r="AK169">
        <v>999.9</v>
      </c>
      <c r="AL169">
        <v>0</v>
      </c>
      <c r="AM169">
        <v>0</v>
      </c>
      <c r="AN169">
        <v>4985.6000000000004</v>
      </c>
      <c r="AO169">
        <v>0</v>
      </c>
      <c r="AP169">
        <v>1.6470453333333299</v>
      </c>
      <c r="AQ169">
        <v>0.44689126666666701</v>
      </c>
      <c r="AR169">
        <v>417.26786666666698</v>
      </c>
      <c r="AS169">
        <v>416.54333333333301</v>
      </c>
      <c r="AT169">
        <v>0.63839793333333295</v>
      </c>
      <c r="AU169">
        <v>410.0924</v>
      </c>
      <c r="AV169">
        <v>15.4869533333333</v>
      </c>
      <c r="AW169">
        <v>1.6146400000000001</v>
      </c>
      <c r="AX169">
        <v>1.55071733333333</v>
      </c>
      <c r="AY169">
        <v>14.099213333333299</v>
      </c>
      <c r="AZ169">
        <v>13.4770133333333</v>
      </c>
      <c r="BA169">
        <v>300.00073333333302</v>
      </c>
      <c r="BB169">
        <v>0.89995653333333303</v>
      </c>
      <c r="BC169">
        <v>0</v>
      </c>
      <c r="BD169">
        <v>0.100043466666667</v>
      </c>
      <c r="BE169">
        <v>0</v>
      </c>
      <c r="BF169">
        <v>24.255546666666699</v>
      </c>
      <c r="BG169">
        <v>4946.5793333333304</v>
      </c>
      <c r="BH169">
        <v>1769197084</v>
      </c>
      <c r="BI169" t="s">
        <v>568</v>
      </c>
      <c r="BJ169">
        <v>1769197082</v>
      </c>
      <c r="BK169">
        <v>1769197084</v>
      </c>
      <c r="BL169">
        <v>5</v>
      </c>
      <c r="BM169">
        <v>2.7E-2</v>
      </c>
      <c r="BN169">
        <v>-4.0000000000000001E-3</v>
      </c>
      <c r="BO169">
        <v>-0.80500000000000005</v>
      </c>
      <c r="BP169">
        <v>8.7999999999999995E-2</v>
      </c>
      <c r="BQ169">
        <v>410</v>
      </c>
      <c r="BR169">
        <v>15</v>
      </c>
      <c r="BS169">
        <v>0.28000000000000003</v>
      </c>
      <c r="BT169">
        <v>0.06</v>
      </c>
      <c r="BU169">
        <v>0.55346664999999995</v>
      </c>
      <c r="BV169">
        <v>-2.2399419699248102</v>
      </c>
      <c r="BW169">
        <v>0.223002755436401</v>
      </c>
      <c r="BX169">
        <v>0</v>
      </c>
      <c r="BY169">
        <v>0</v>
      </c>
      <c r="BZ169">
        <v>0</v>
      </c>
      <c r="CA169">
        <v>0</v>
      </c>
      <c r="CB169">
        <v>-1</v>
      </c>
      <c r="CC169">
        <v>0.55384979999999995</v>
      </c>
      <c r="CD169">
        <v>1.8466051127819501</v>
      </c>
      <c r="CE169">
        <v>0.18105039018809099</v>
      </c>
      <c r="CF169">
        <v>0</v>
      </c>
      <c r="CG169">
        <v>0</v>
      </c>
      <c r="CH169">
        <v>2</v>
      </c>
      <c r="CI169" t="s">
        <v>290</v>
      </c>
      <c r="CJ169">
        <v>3.5325299999999999</v>
      </c>
      <c r="CK169">
        <v>2.7023700000000002</v>
      </c>
      <c r="CL169">
        <v>9.7979399999999994E-2</v>
      </c>
      <c r="CM169">
        <v>9.6584699999999996E-2</v>
      </c>
      <c r="CN169">
        <v>8.9913900000000005E-2</v>
      </c>
      <c r="CO169">
        <v>8.55268E-2</v>
      </c>
      <c r="CP169">
        <v>31624</v>
      </c>
      <c r="CQ169">
        <v>27816.6</v>
      </c>
      <c r="CR169">
        <v>32448.9</v>
      </c>
      <c r="CS169">
        <v>30718</v>
      </c>
      <c r="CT169">
        <v>39989.1</v>
      </c>
      <c r="CU169">
        <v>39502.400000000001</v>
      </c>
      <c r="CV169">
        <v>47394.8</v>
      </c>
      <c r="CW169">
        <v>46851.6</v>
      </c>
      <c r="CX169">
        <v>2.62086</v>
      </c>
      <c r="CY169">
        <v>2.1234999999999999</v>
      </c>
      <c r="CZ169">
        <v>0</v>
      </c>
      <c r="DA169">
        <v>0</v>
      </c>
      <c r="DB169">
        <v>999.9</v>
      </c>
      <c r="DC169">
        <v>999.9</v>
      </c>
      <c r="DD169">
        <v>50.341999999999999</v>
      </c>
      <c r="DE169">
        <v>28.117000000000001</v>
      </c>
      <c r="DF169">
        <v>19.207599999999999</v>
      </c>
      <c r="DG169">
        <v>30.5398</v>
      </c>
      <c r="DH169">
        <v>16.3902</v>
      </c>
      <c r="DI169">
        <v>2</v>
      </c>
      <c r="DJ169">
        <v>-0.10939</v>
      </c>
      <c r="DK169">
        <v>1.80298</v>
      </c>
      <c r="DL169">
        <v>20.228200000000001</v>
      </c>
      <c r="DM169">
        <v>5.2464000000000004</v>
      </c>
      <c r="DN169">
        <v>12.033899999999999</v>
      </c>
      <c r="DO169">
        <v>4.9661200000000001</v>
      </c>
      <c r="DP169">
        <v>3.2905600000000002</v>
      </c>
      <c r="DQ169">
        <v>536.79999999999995</v>
      </c>
      <c r="DR169">
        <v>9999</v>
      </c>
      <c r="DS169">
        <v>9999</v>
      </c>
      <c r="DT169">
        <v>9999</v>
      </c>
      <c r="DU169">
        <v>1.8711800000000001</v>
      </c>
      <c r="DV169">
        <v>1.8761000000000001</v>
      </c>
      <c r="DW169">
        <v>1.87636</v>
      </c>
      <c r="DX169">
        <v>1.8828199999999999</v>
      </c>
      <c r="DY169">
        <v>1.87561</v>
      </c>
      <c r="DZ169">
        <v>1.87469</v>
      </c>
      <c r="EA169">
        <v>1.87087</v>
      </c>
      <c r="EB169">
        <v>1.87466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-0.80500000000000005</v>
      </c>
      <c r="EQ169">
        <v>8.7900000000000006E-2</v>
      </c>
      <c r="ER169">
        <v>-0.80499999999989302</v>
      </c>
      <c r="ES169">
        <v>0</v>
      </c>
      <c r="ET169">
        <v>0</v>
      </c>
      <c r="EU169">
        <v>0</v>
      </c>
      <c r="EV169">
        <v>8.7840000000001695E-2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6.4</v>
      </c>
      <c r="FE169">
        <v>6.4</v>
      </c>
      <c r="FF169">
        <v>1.24268</v>
      </c>
      <c r="FG169">
        <v>2.5976599999999999</v>
      </c>
      <c r="FH169">
        <v>2.19604</v>
      </c>
      <c r="FI169">
        <v>2.66235</v>
      </c>
      <c r="FJ169">
        <v>2.4462899999999999</v>
      </c>
      <c r="FK169">
        <v>2.3022499999999999</v>
      </c>
      <c r="FL169">
        <v>32.465400000000002</v>
      </c>
      <c r="FM169">
        <v>24.157499999999999</v>
      </c>
      <c r="FN169">
        <v>19</v>
      </c>
      <c r="FO169">
        <v>866.24800000000005</v>
      </c>
      <c r="FP169">
        <v>573.16200000000003</v>
      </c>
      <c r="FQ169">
        <v>18.185099999999998</v>
      </c>
      <c r="FR169">
        <v>25.619199999999999</v>
      </c>
      <c r="FS169">
        <v>29.999700000000001</v>
      </c>
      <c r="FT169">
        <v>25.673300000000001</v>
      </c>
      <c r="FU169">
        <v>25.672599999999999</v>
      </c>
      <c r="FV169">
        <v>24.952500000000001</v>
      </c>
      <c r="FW169">
        <v>24.4069</v>
      </c>
      <c r="FX169">
        <v>1.4116299999999999</v>
      </c>
      <c r="FY169">
        <v>18.216200000000001</v>
      </c>
      <c r="FZ169">
        <v>410</v>
      </c>
      <c r="GA169">
        <v>15.0136</v>
      </c>
      <c r="GB169">
        <v>99.862499999999997</v>
      </c>
      <c r="GC169">
        <v>99.732299999999995</v>
      </c>
    </row>
    <row r="170" spans="1:185" x14ac:dyDescent="0.2">
      <c r="A170">
        <v>155</v>
      </c>
      <c r="B170">
        <v>1769197481</v>
      </c>
      <c r="C170">
        <v>2920</v>
      </c>
      <c r="D170" t="s">
        <v>607</v>
      </c>
      <c r="E170" t="s">
        <v>608</v>
      </c>
      <c r="F170">
        <v>15</v>
      </c>
      <c r="G170">
        <v>1769197472.9333301</v>
      </c>
      <c r="H170">
        <f t="shared" si="26"/>
        <v>7.261062933562074E-4</v>
      </c>
      <c r="I170">
        <v>0</v>
      </c>
      <c r="J170">
        <f t="shared" si="38"/>
        <v>-8.6842796023746897E-3</v>
      </c>
      <c r="K170">
        <f t="shared" si="27"/>
        <v>-0.32360941394283277</v>
      </c>
      <c r="L170">
        <f t="shared" si="28"/>
        <v>72.905551033959</v>
      </c>
      <c r="M170">
        <f t="shared" si="29"/>
        <v>1.6008522438087918</v>
      </c>
      <c r="N170">
        <f t="shared" si="30"/>
        <v>2.1957892384122077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26270.310478207273</v>
      </c>
      <c r="T170">
        <f t="shared" si="34"/>
        <v>299.99953333333298</v>
      </c>
      <c r="U170">
        <f t="shared" si="35"/>
        <v>252.90001579936308</v>
      </c>
      <c r="V170">
        <f t="shared" si="36"/>
        <v>0.8430013639999997</v>
      </c>
      <c r="W170">
        <f t="shared" si="37"/>
        <v>0.15870315015999995</v>
      </c>
      <c r="X170">
        <v>1</v>
      </c>
      <c r="Y170">
        <v>1769197472.9333301</v>
      </c>
      <c r="Z170">
        <v>410.05373333333301</v>
      </c>
      <c r="AA170">
        <v>410.02140000000003</v>
      </c>
      <c r="AB170">
        <v>15.976713333333301</v>
      </c>
      <c r="AC170">
        <v>15.083586666666699</v>
      </c>
      <c r="AD170">
        <v>410.85873333333302</v>
      </c>
      <c r="AE170">
        <v>15.888859999999999</v>
      </c>
      <c r="AF170">
        <v>800.00466666666705</v>
      </c>
      <c r="AG170">
        <v>100.134533333333</v>
      </c>
      <c r="AH170">
        <v>6.4563339999999997E-2</v>
      </c>
      <c r="AI170">
        <v>18.931626666666698</v>
      </c>
      <c r="AJ170">
        <v>999.9</v>
      </c>
      <c r="AK170">
        <v>999.9</v>
      </c>
      <c r="AL170">
        <v>0</v>
      </c>
      <c r="AM170">
        <v>0</v>
      </c>
      <c r="AN170">
        <v>5001.1000000000004</v>
      </c>
      <c r="AO170">
        <v>0</v>
      </c>
      <c r="AP170">
        <v>1.6457660000000001</v>
      </c>
      <c r="AQ170">
        <v>3.2462516666666698E-2</v>
      </c>
      <c r="AR170">
        <v>416.71159999999998</v>
      </c>
      <c r="AS170">
        <v>416.30066666666698</v>
      </c>
      <c r="AT170">
        <v>0.89311399999999996</v>
      </c>
      <c r="AU170">
        <v>410.02140000000003</v>
      </c>
      <c r="AV170">
        <v>15.083586666666699</v>
      </c>
      <c r="AW170">
        <v>1.5998193333333299</v>
      </c>
      <c r="AX170">
        <v>1.5103886666666699</v>
      </c>
      <c r="AY170">
        <v>13.957000000000001</v>
      </c>
      <c r="AZ170">
        <v>13.0734333333333</v>
      </c>
      <c r="BA170">
        <v>299.99953333333298</v>
      </c>
      <c r="BB170">
        <v>0.89995840000000005</v>
      </c>
      <c r="BC170">
        <v>0</v>
      </c>
      <c r="BD170">
        <v>0.10004173333333299</v>
      </c>
      <c r="BE170">
        <v>0</v>
      </c>
      <c r="BF170">
        <v>24.642240000000001</v>
      </c>
      <c r="BG170">
        <v>4946.5640000000003</v>
      </c>
      <c r="BH170">
        <v>1769197084</v>
      </c>
      <c r="BI170" t="s">
        <v>568</v>
      </c>
      <c r="BJ170">
        <v>1769197082</v>
      </c>
      <c r="BK170">
        <v>1769197084</v>
      </c>
      <c r="BL170">
        <v>5</v>
      </c>
      <c r="BM170">
        <v>2.7E-2</v>
      </c>
      <c r="BN170">
        <v>-4.0000000000000001E-3</v>
      </c>
      <c r="BO170">
        <v>-0.80500000000000005</v>
      </c>
      <c r="BP170">
        <v>8.7999999999999995E-2</v>
      </c>
      <c r="BQ170">
        <v>410</v>
      </c>
      <c r="BR170">
        <v>15</v>
      </c>
      <c r="BS170">
        <v>0.28000000000000003</v>
      </c>
      <c r="BT170">
        <v>0.06</v>
      </c>
      <c r="BU170">
        <v>0.1229156175</v>
      </c>
      <c r="BV170">
        <v>-1.5743598473684199</v>
      </c>
      <c r="BW170">
        <v>0.15308876728582299</v>
      </c>
      <c r="BX170">
        <v>0</v>
      </c>
      <c r="BY170">
        <v>0</v>
      </c>
      <c r="BZ170">
        <v>0</v>
      </c>
      <c r="CA170">
        <v>0</v>
      </c>
      <c r="CB170">
        <v>-1</v>
      </c>
      <c r="CC170">
        <v>0.84649160000000001</v>
      </c>
      <c r="CD170">
        <v>0.80631130827067699</v>
      </c>
      <c r="CE170">
        <v>7.8242386717430903E-2</v>
      </c>
      <c r="CF170">
        <v>0</v>
      </c>
      <c r="CG170">
        <v>0</v>
      </c>
      <c r="CH170">
        <v>2</v>
      </c>
      <c r="CI170" t="s">
        <v>290</v>
      </c>
      <c r="CJ170">
        <v>3.5325799999999998</v>
      </c>
      <c r="CK170">
        <v>2.7022200000000001</v>
      </c>
      <c r="CL170">
        <v>9.7925100000000001E-2</v>
      </c>
      <c r="CM170">
        <v>9.6592999999999998E-2</v>
      </c>
      <c r="CN170">
        <v>8.9201900000000001E-2</v>
      </c>
      <c r="CO170">
        <v>8.4198499999999996E-2</v>
      </c>
      <c r="CP170">
        <v>31626.799999999999</v>
      </c>
      <c r="CQ170">
        <v>27817.1</v>
      </c>
      <c r="CR170">
        <v>32449.8</v>
      </c>
      <c r="CS170">
        <v>30718.7</v>
      </c>
      <c r="CT170">
        <v>40022.6</v>
      </c>
      <c r="CU170">
        <v>39562.1</v>
      </c>
      <c r="CV170">
        <v>47396.2</v>
      </c>
      <c r="CW170">
        <v>46852.4</v>
      </c>
      <c r="CX170">
        <v>2.6213600000000001</v>
      </c>
      <c r="CY170">
        <v>2.1233599999999999</v>
      </c>
      <c r="CZ170">
        <v>0</v>
      </c>
      <c r="DA170">
        <v>0</v>
      </c>
      <c r="DB170">
        <v>999.9</v>
      </c>
      <c r="DC170">
        <v>999.9</v>
      </c>
      <c r="DD170">
        <v>50.317</v>
      </c>
      <c r="DE170">
        <v>28.117000000000001</v>
      </c>
      <c r="DF170">
        <v>19.198499999999999</v>
      </c>
      <c r="DG170">
        <v>30.239799999999999</v>
      </c>
      <c r="DH170">
        <v>16.410299999999999</v>
      </c>
      <c r="DI170">
        <v>2</v>
      </c>
      <c r="DJ170">
        <v>-0.110707</v>
      </c>
      <c r="DK170">
        <v>1.6821699999999999</v>
      </c>
      <c r="DL170">
        <v>20.230399999999999</v>
      </c>
      <c r="DM170">
        <v>5.2495200000000004</v>
      </c>
      <c r="DN170">
        <v>12.033899999999999</v>
      </c>
      <c r="DO170">
        <v>4.96652</v>
      </c>
      <c r="DP170">
        <v>3.2909999999999999</v>
      </c>
      <c r="DQ170">
        <v>536.79999999999995</v>
      </c>
      <c r="DR170">
        <v>9999</v>
      </c>
      <c r="DS170">
        <v>9999</v>
      </c>
      <c r="DT170">
        <v>9999</v>
      </c>
      <c r="DU170">
        <v>1.8711800000000001</v>
      </c>
      <c r="DV170">
        <v>1.87608</v>
      </c>
      <c r="DW170">
        <v>1.87635</v>
      </c>
      <c r="DX170">
        <v>1.88283</v>
      </c>
      <c r="DY170">
        <v>1.87561</v>
      </c>
      <c r="DZ170">
        <v>1.87469</v>
      </c>
      <c r="EA170">
        <v>1.8708100000000001</v>
      </c>
      <c r="EB170">
        <v>1.8746400000000001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-0.80500000000000005</v>
      </c>
      <c r="EQ170">
        <v>8.7800000000000003E-2</v>
      </c>
      <c r="ER170">
        <v>-0.80499999999989302</v>
      </c>
      <c r="ES170">
        <v>0</v>
      </c>
      <c r="ET170">
        <v>0</v>
      </c>
      <c r="EU170">
        <v>0</v>
      </c>
      <c r="EV170">
        <v>8.7840000000001695E-2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6.7</v>
      </c>
      <c r="FE170">
        <v>6.6</v>
      </c>
      <c r="FF170">
        <v>1.24268</v>
      </c>
      <c r="FG170">
        <v>2.5988799999999999</v>
      </c>
      <c r="FH170">
        <v>2.19604</v>
      </c>
      <c r="FI170">
        <v>2.66235</v>
      </c>
      <c r="FJ170">
        <v>2.4462899999999999</v>
      </c>
      <c r="FK170">
        <v>2.2863799999999999</v>
      </c>
      <c r="FL170">
        <v>32.465400000000002</v>
      </c>
      <c r="FM170">
        <v>24.148800000000001</v>
      </c>
      <c r="FN170">
        <v>19</v>
      </c>
      <c r="FO170">
        <v>866.53399999999999</v>
      </c>
      <c r="FP170">
        <v>572.93600000000004</v>
      </c>
      <c r="FQ170">
        <v>18.335100000000001</v>
      </c>
      <c r="FR170">
        <v>25.607199999999999</v>
      </c>
      <c r="FS170">
        <v>29.999700000000001</v>
      </c>
      <c r="FT170">
        <v>25.662099999999999</v>
      </c>
      <c r="FU170">
        <v>25.661799999999999</v>
      </c>
      <c r="FV170">
        <v>24.9481</v>
      </c>
      <c r="FW170">
        <v>25.879200000000001</v>
      </c>
      <c r="FX170">
        <v>1.04108</v>
      </c>
      <c r="FY170">
        <v>18.3611</v>
      </c>
      <c r="FZ170">
        <v>410</v>
      </c>
      <c r="GA170">
        <v>14.760400000000001</v>
      </c>
      <c r="GB170">
        <v>99.865399999999994</v>
      </c>
      <c r="GC170">
        <v>99.734300000000005</v>
      </c>
    </row>
    <row r="171" spans="1:185" x14ac:dyDescent="0.2">
      <c r="A171">
        <v>156</v>
      </c>
      <c r="B171">
        <v>1769197496</v>
      </c>
      <c r="C171">
        <v>2935</v>
      </c>
      <c r="D171" t="s">
        <v>609</v>
      </c>
      <c r="E171" t="s">
        <v>610</v>
      </c>
      <c r="F171">
        <v>15</v>
      </c>
      <c r="G171">
        <v>1769197487.9333301</v>
      </c>
      <c r="H171">
        <f t="shared" si="26"/>
        <v>8.0084849867441898E-4</v>
      </c>
      <c r="I171">
        <v>0</v>
      </c>
      <c r="J171">
        <f t="shared" si="38"/>
        <v>-5.3933463710739192E-3</v>
      </c>
      <c r="K171">
        <f t="shared" si="27"/>
        <v>-0.20097667719688317</v>
      </c>
      <c r="L171">
        <f t="shared" si="28"/>
        <v>72.055655788955093</v>
      </c>
      <c r="M171">
        <f t="shared" si="29"/>
        <v>1.5834901565415027</v>
      </c>
      <c r="N171">
        <f t="shared" si="30"/>
        <v>2.1975931510212203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26333.157550288484</v>
      </c>
      <c r="T171">
        <f t="shared" si="34"/>
        <v>300.00060000000002</v>
      </c>
      <c r="U171">
        <f t="shared" si="35"/>
        <v>252.90095580089999</v>
      </c>
      <c r="V171">
        <f t="shared" si="36"/>
        <v>0.84300149999999996</v>
      </c>
      <c r="W171">
        <f t="shared" si="37"/>
        <v>0.15870375000000003</v>
      </c>
      <c r="X171">
        <v>1</v>
      </c>
      <c r="Y171">
        <v>1769197487.9333301</v>
      </c>
      <c r="Z171">
        <v>409.85286666666701</v>
      </c>
      <c r="AA171">
        <v>410.01193333333299</v>
      </c>
      <c r="AB171">
        <v>15.8035333333333</v>
      </c>
      <c r="AC171">
        <v>14.818293333333299</v>
      </c>
      <c r="AD171">
        <v>410.65786666666702</v>
      </c>
      <c r="AE171">
        <v>15.7156933333333</v>
      </c>
      <c r="AF171">
        <v>800.00026666666702</v>
      </c>
      <c r="AG171">
        <v>100.134066666667</v>
      </c>
      <c r="AH171">
        <v>6.4422060000000003E-2</v>
      </c>
      <c r="AI171">
        <v>18.944780000000002</v>
      </c>
      <c r="AJ171">
        <v>999.9</v>
      </c>
      <c r="AK171">
        <v>999.9</v>
      </c>
      <c r="AL171">
        <v>0</v>
      </c>
      <c r="AM171">
        <v>0</v>
      </c>
      <c r="AN171">
        <v>5011.6666666666697</v>
      </c>
      <c r="AO171">
        <v>0</v>
      </c>
      <c r="AP171">
        <v>1.63733</v>
      </c>
      <c r="AQ171">
        <v>-0.15888684</v>
      </c>
      <c r="AR171">
        <v>416.43406666666698</v>
      </c>
      <c r="AS171">
        <v>416.17873333333301</v>
      </c>
      <c r="AT171">
        <v>0.98524153333333297</v>
      </c>
      <c r="AU171">
        <v>410.01193333333299</v>
      </c>
      <c r="AV171">
        <v>14.818293333333299</v>
      </c>
      <c r="AW171">
        <v>1.58247466666667</v>
      </c>
      <c r="AX171">
        <v>1.48381733333333</v>
      </c>
      <c r="AY171">
        <v>13.78914</v>
      </c>
      <c r="AZ171">
        <v>12.802326666666699</v>
      </c>
      <c r="BA171">
        <v>300.00060000000002</v>
      </c>
      <c r="BB171">
        <v>0.89995000000000003</v>
      </c>
      <c r="BC171">
        <v>0</v>
      </c>
      <c r="BD171">
        <v>0.10005</v>
      </c>
      <c r="BE171">
        <v>0</v>
      </c>
      <c r="BF171">
        <v>24.666699999999999</v>
      </c>
      <c r="BG171">
        <v>4946.5713333333297</v>
      </c>
      <c r="BH171">
        <v>1769197084</v>
      </c>
      <c r="BI171" t="s">
        <v>568</v>
      </c>
      <c r="BJ171">
        <v>1769197082</v>
      </c>
      <c r="BK171">
        <v>1769197084</v>
      </c>
      <c r="BL171">
        <v>5</v>
      </c>
      <c r="BM171">
        <v>2.7E-2</v>
      </c>
      <c r="BN171">
        <v>-4.0000000000000001E-3</v>
      </c>
      <c r="BO171">
        <v>-0.80500000000000005</v>
      </c>
      <c r="BP171">
        <v>8.7999999999999995E-2</v>
      </c>
      <c r="BQ171">
        <v>410</v>
      </c>
      <c r="BR171">
        <v>15</v>
      </c>
      <c r="BS171">
        <v>0.28000000000000003</v>
      </c>
      <c r="BT171">
        <v>0.06</v>
      </c>
      <c r="BU171">
        <v>-0.123206790476191</v>
      </c>
      <c r="BV171">
        <v>-0.488849306493507</v>
      </c>
      <c r="BW171">
        <v>5.19467980247365E-2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0.96935252380952397</v>
      </c>
      <c r="CD171">
        <v>0.24290509090909401</v>
      </c>
      <c r="CE171">
        <v>2.62530727373806E-2</v>
      </c>
      <c r="CF171">
        <v>0</v>
      </c>
      <c r="CG171">
        <v>1</v>
      </c>
      <c r="CH171">
        <v>2</v>
      </c>
      <c r="CI171" t="s">
        <v>297</v>
      </c>
      <c r="CJ171">
        <v>3.5325000000000002</v>
      </c>
      <c r="CK171">
        <v>2.70248</v>
      </c>
      <c r="CL171">
        <v>9.7897999999999999E-2</v>
      </c>
      <c r="CM171">
        <v>9.6588300000000002E-2</v>
      </c>
      <c r="CN171">
        <v>8.8504399999999997E-2</v>
      </c>
      <c r="CO171">
        <v>8.3411600000000002E-2</v>
      </c>
      <c r="CP171">
        <v>31628.7</v>
      </c>
      <c r="CQ171">
        <v>27818.1</v>
      </c>
      <c r="CR171">
        <v>32450.7</v>
      </c>
      <c r="CS171">
        <v>30719.7</v>
      </c>
      <c r="CT171">
        <v>40055.4</v>
      </c>
      <c r="CU171">
        <v>39598.400000000001</v>
      </c>
      <c r="CV171">
        <v>47397.7</v>
      </c>
      <c r="CW171">
        <v>46854</v>
      </c>
      <c r="CX171">
        <v>2.6212200000000001</v>
      </c>
      <c r="CY171">
        <v>2.1229800000000001</v>
      </c>
      <c r="CZ171">
        <v>0</v>
      </c>
      <c r="DA171">
        <v>0</v>
      </c>
      <c r="DB171">
        <v>999.9</v>
      </c>
      <c r="DC171">
        <v>999.9</v>
      </c>
      <c r="DD171">
        <v>50.292999999999999</v>
      </c>
      <c r="DE171">
        <v>28.126999999999999</v>
      </c>
      <c r="DF171">
        <v>19.200600000000001</v>
      </c>
      <c r="DG171">
        <v>30.209800000000001</v>
      </c>
      <c r="DH171">
        <v>16.5625</v>
      </c>
      <c r="DI171">
        <v>2</v>
      </c>
      <c r="DJ171">
        <v>-0.111752</v>
      </c>
      <c r="DK171">
        <v>1.61443</v>
      </c>
      <c r="DL171">
        <v>20.231400000000001</v>
      </c>
      <c r="DM171">
        <v>5.2493999999999996</v>
      </c>
      <c r="DN171">
        <v>12.033899999999999</v>
      </c>
      <c r="DO171">
        <v>4.9668400000000004</v>
      </c>
      <c r="DP171">
        <v>3.2909999999999999</v>
      </c>
      <c r="DQ171">
        <v>536.79999999999995</v>
      </c>
      <c r="DR171">
        <v>9999</v>
      </c>
      <c r="DS171">
        <v>9999</v>
      </c>
      <c r="DT171">
        <v>9999</v>
      </c>
      <c r="DU171">
        <v>1.87117</v>
      </c>
      <c r="DV171">
        <v>1.87608</v>
      </c>
      <c r="DW171">
        <v>1.8763399999999999</v>
      </c>
      <c r="DX171">
        <v>1.8828</v>
      </c>
      <c r="DY171">
        <v>1.87561</v>
      </c>
      <c r="DZ171">
        <v>1.8746799999999999</v>
      </c>
      <c r="EA171">
        <v>1.8708</v>
      </c>
      <c r="EB171">
        <v>1.87466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-0.80500000000000005</v>
      </c>
      <c r="EQ171">
        <v>8.7800000000000003E-2</v>
      </c>
      <c r="ER171">
        <v>-0.80499999999989302</v>
      </c>
      <c r="ES171">
        <v>0</v>
      </c>
      <c r="ET171">
        <v>0</v>
      </c>
      <c r="EU171">
        <v>0</v>
      </c>
      <c r="EV171">
        <v>8.7840000000001695E-2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6.9</v>
      </c>
      <c r="FE171">
        <v>6.9</v>
      </c>
      <c r="FF171">
        <v>1.24268</v>
      </c>
      <c r="FG171">
        <v>2.5952099999999998</v>
      </c>
      <c r="FH171">
        <v>2.19604</v>
      </c>
      <c r="FI171">
        <v>2.66235</v>
      </c>
      <c r="FJ171">
        <v>2.4462899999999999</v>
      </c>
      <c r="FK171">
        <v>2.2692899999999998</v>
      </c>
      <c r="FL171">
        <v>32.465400000000002</v>
      </c>
      <c r="FM171">
        <v>24.14</v>
      </c>
      <c r="FN171">
        <v>19</v>
      </c>
      <c r="FO171">
        <v>866.23699999999997</v>
      </c>
      <c r="FP171">
        <v>572.54100000000005</v>
      </c>
      <c r="FQ171">
        <v>18.464200000000002</v>
      </c>
      <c r="FR171">
        <v>25.595500000000001</v>
      </c>
      <c r="FS171">
        <v>29.9998</v>
      </c>
      <c r="FT171">
        <v>25.651700000000002</v>
      </c>
      <c r="FU171">
        <v>25.6524</v>
      </c>
      <c r="FV171">
        <v>24.9481</v>
      </c>
      <c r="FW171">
        <v>26.458400000000001</v>
      </c>
      <c r="FX171">
        <v>1.04108</v>
      </c>
      <c r="FY171">
        <v>18.482199999999999</v>
      </c>
      <c r="FZ171">
        <v>410</v>
      </c>
      <c r="GA171">
        <v>14.6258</v>
      </c>
      <c r="GB171">
        <v>99.868499999999997</v>
      </c>
      <c r="GC171">
        <v>99.737499999999997</v>
      </c>
    </row>
    <row r="172" spans="1:185" x14ac:dyDescent="0.2">
      <c r="A172">
        <v>157</v>
      </c>
      <c r="B172">
        <v>1769197511</v>
      </c>
      <c r="C172">
        <v>2950</v>
      </c>
      <c r="D172" t="s">
        <v>611</v>
      </c>
      <c r="E172" t="s">
        <v>612</v>
      </c>
      <c r="F172">
        <v>15</v>
      </c>
      <c r="G172">
        <v>1769197502.9333301</v>
      </c>
      <c r="H172">
        <f t="shared" si="26"/>
        <v>8.031230508756174E-4</v>
      </c>
      <c r="I172">
        <v>0</v>
      </c>
      <c r="J172">
        <f t="shared" si="38"/>
        <v>-3.2348248766400287E-3</v>
      </c>
      <c r="K172">
        <f t="shared" si="27"/>
        <v>-0.1205419252336056</v>
      </c>
      <c r="L172">
        <f t="shared" si="28"/>
        <v>71.300973986961452</v>
      </c>
      <c r="M172">
        <f t="shared" si="29"/>
        <v>1.5690998106690996</v>
      </c>
      <c r="N172">
        <f t="shared" si="30"/>
        <v>2.2006709346719937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26244.852250565429</v>
      </c>
      <c r="T172">
        <f t="shared" si="34"/>
        <v>299.99846666666701</v>
      </c>
      <c r="U172">
        <f t="shared" si="35"/>
        <v>252.89915139773069</v>
      </c>
      <c r="V172">
        <f t="shared" si="36"/>
        <v>0.84300147999999908</v>
      </c>
      <c r="W172">
        <f t="shared" si="37"/>
        <v>0.15870369999999981</v>
      </c>
      <c r="X172">
        <v>1</v>
      </c>
      <c r="Y172">
        <v>1769197502.9333301</v>
      </c>
      <c r="Z172">
        <v>409.743533333333</v>
      </c>
      <c r="AA172">
        <v>410.00420000000003</v>
      </c>
      <c r="AB172">
        <v>15.65972</v>
      </c>
      <c r="AC172">
        <v>14.671533333333301</v>
      </c>
      <c r="AD172">
        <v>410.54853333333301</v>
      </c>
      <c r="AE172">
        <v>15.5718666666667</v>
      </c>
      <c r="AF172">
        <v>799.99699999999996</v>
      </c>
      <c r="AG172">
        <v>100.13533333333299</v>
      </c>
      <c r="AH172">
        <v>6.4402719999999997E-2</v>
      </c>
      <c r="AI172">
        <v>18.967199999999998</v>
      </c>
      <c r="AJ172">
        <v>999.9</v>
      </c>
      <c r="AK172">
        <v>999.9</v>
      </c>
      <c r="AL172">
        <v>0</v>
      </c>
      <c r="AM172">
        <v>0</v>
      </c>
      <c r="AN172">
        <v>4997.3999999999996</v>
      </c>
      <c r="AO172">
        <v>0</v>
      </c>
      <c r="AP172">
        <v>1.63733</v>
      </c>
      <c r="AQ172">
        <v>-0.26072380000000001</v>
      </c>
      <c r="AR172">
        <v>416.26206666666701</v>
      </c>
      <c r="AS172">
        <v>416.10906666666699</v>
      </c>
      <c r="AT172">
        <v>0.98817826666666697</v>
      </c>
      <c r="AU172">
        <v>410.00420000000003</v>
      </c>
      <c r="AV172">
        <v>14.671533333333301</v>
      </c>
      <c r="AW172">
        <v>1.5680893333333299</v>
      </c>
      <c r="AX172">
        <v>1.4691380000000001</v>
      </c>
      <c r="AY172">
        <v>13.648720000000001</v>
      </c>
      <c r="AZ172">
        <v>12.650653333333301</v>
      </c>
      <c r="BA172">
        <v>299.99846666666701</v>
      </c>
      <c r="BB172">
        <v>0.89995066666666601</v>
      </c>
      <c r="BC172">
        <v>0</v>
      </c>
      <c r="BD172">
        <v>0.100049333333333</v>
      </c>
      <c r="BE172">
        <v>0</v>
      </c>
      <c r="BF172">
        <v>24.673359999999999</v>
      </c>
      <c r="BG172">
        <v>4946.5413333333299</v>
      </c>
      <c r="BH172">
        <v>1769197084</v>
      </c>
      <c r="BI172" t="s">
        <v>568</v>
      </c>
      <c r="BJ172">
        <v>1769197082</v>
      </c>
      <c r="BK172">
        <v>1769197084</v>
      </c>
      <c r="BL172">
        <v>5</v>
      </c>
      <c r="BM172">
        <v>2.7E-2</v>
      </c>
      <c r="BN172">
        <v>-4.0000000000000001E-3</v>
      </c>
      <c r="BO172">
        <v>-0.80500000000000005</v>
      </c>
      <c r="BP172">
        <v>8.7999999999999995E-2</v>
      </c>
      <c r="BQ172">
        <v>410</v>
      </c>
      <c r="BR172">
        <v>15</v>
      </c>
      <c r="BS172">
        <v>0.28000000000000003</v>
      </c>
      <c r="BT172">
        <v>0.06</v>
      </c>
      <c r="BU172">
        <v>-0.23923795</v>
      </c>
      <c r="BV172">
        <v>-0.38588828571428602</v>
      </c>
      <c r="BW172">
        <v>4.1371229561707502E-2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0.99047929999999995</v>
      </c>
      <c r="CD172">
        <v>-1.3412390977444399E-2</v>
      </c>
      <c r="CE172">
        <v>8.1732314790418301E-3</v>
      </c>
      <c r="CF172">
        <v>1</v>
      </c>
      <c r="CG172">
        <v>2</v>
      </c>
      <c r="CH172">
        <v>2</v>
      </c>
      <c r="CI172" t="s">
        <v>304</v>
      </c>
      <c r="CJ172">
        <v>3.5324900000000001</v>
      </c>
      <c r="CK172">
        <v>2.7020599999999999</v>
      </c>
      <c r="CL172">
        <v>9.7896399999999995E-2</v>
      </c>
      <c r="CM172">
        <v>9.6589700000000001E-2</v>
      </c>
      <c r="CN172">
        <v>8.7982099999999994E-2</v>
      </c>
      <c r="CO172">
        <v>8.2984000000000002E-2</v>
      </c>
      <c r="CP172">
        <v>31629.3</v>
      </c>
      <c r="CQ172">
        <v>27818.3</v>
      </c>
      <c r="CR172">
        <v>32451.3</v>
      </c>
      <c r="CS172">
        <v>30720</v>
      </c>
      <c r="CT172">
        <v>40079.4</v>
      </c>
      <c r="CU172">
        <v>39617.699999999997</v>
      </c>
      <c r="CV172">
        <v>47398.1</v>
      </c>
      <c r="CW172">
        <v>46854.3</v>
      </c>
      <c r="CX172">
        <v>2.6215799999999998</v>
      </c>
      <c r="CY172">
        <v>2.1228600000000002</v>
      </c>
      <c r="CZ172">
        <v>0</v>
      </c>
      <c r="DA172">
        <v>0</v>
      </c>
      <c r="DB172">
        <v>999.9</v>
      </c>
      <c r="DC172">
        <v>999.9</v>
      </c>
      <c r="DD172">
        <v>50.268999999999998</v>
      </c>
      <c r="DE172">
        <v>28.126999999999999</v>
      </c>
      <c r="DF172">
        <v>19.191400000000002</v>
      </c>
      <c r="DG172">
        <v>30.239799999999999</v>
      </c>
      <c r="DH172">
        <v>16.514399999999998</v>
      </c>
      <c r="DI172">
        <v>2</v>
      </c>
      <c r="DJ172">
        <v>-0.11256099999999999</v>
      </c>
      <c r="DK172">
        <v>1.62364</v>
      </c>
      <c r="DL172">
        <v>20.231300000000001</v>
      </c>
      <c r="DM172">
        <v>5.25</v>
      </c>
      <c r="DN172">
        <v>12.033899999999999</v>
      </c>
      <c r="DO172">
        <v>4.96692</v>
      </c>
      <c r="DP172">
        <v>3.2909999999999999</v>
      </c>
      <c r="DQ172">
        <v>536.79999999999995</v>
      </c>
      <c r="DR172">
        <v>9999</v>
      </c>
      <c r="DS172">
        <v>9999</v>
      </c>
      <c r="DT172">
        <v>9999</v>
      </c>
      <c r="DU172">
        <v>1.8711800000000001</v>
      </c>
      <c r="DV172">
        <v>1.87608</v>
      </c>
      <c r="DW172">
        <v>1.8763399999999999</v>
      </c>
      <c r="DX172">
        <v>1.8828</v>
      </c>
      <c r="DY172">
        <v>1.8755999999999999</v>
      </c>
      <c r="DZ172">
        <v>1.87469</v>
      </c>
      <c r="EA172">
        <v>1.87079</v>
      </c>
      <c r="EB172">
        <v>1.87462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-0.80500000000000005</v>
      </c>
      <c r="EQ172">
        <v>8.7800000000000003E-2</v>
      </c>
      <c r="ER172">
        <v>-0.80499999999989302</v>
      </c>
      <c r="ES172">
        <v>0</v>
      </c>
      <c r="ET172">
        <v>0</v>
      </c>
      <c r="EU172">
        <v>0</v>
      </c>
      <c r="EV172">
        <v>8.7840000000001695E-2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7.2</v>
      </c>
      <c r="FE172">
        <v>7.1</v>
      </c>
      <c r="FF172">
        <v>1.24268</v>
      </c>
      <c r="FG172">
        <v>2.5988799999999999</v>
      </c>
      <c r="FH172">
        <v>2.19604</v>
      </c>
      <c r="FI172">
        <v>2.66113</v>
      </c>
      <c r="FJ172">
        <v>2.4462899999999999</v>
      </c>
      <c r="FK172">
        <v>2.2766099999999998</v>
      </c>
      <c r="FL172">
        <v>32.465400000000002</v>
      </c>
      <c r="FM172">
        <v>24.148800000000001</v>
      </c>
      <c r="FN172">
        <v>19</v>
      </c>
      <c r="FO172">
        <v>866.41399999999999</v>
      </c>
      <c r="FP172">
        <v>572.35400000000004</v>
      </c>
      <c r="FQ172">
        <v>18.553100000000001</v>
      </c>
      <c r="FR172">
        <v>25.584700000000002</v>
      </c>
      <c r="FS172">
        <v>29.9999</v>
      </c>
      <c r="FT172">
        <v>25.6418</v>
      </c>
      <c r="FU172">
        <v>25.643699999999999</v>
      </c>
      <c r="FV172">
        <v>24.948</v>
      </c>
      <c r="FW172">
        <v>26.752199999999998</v>
      </c>
      <c r="FX172">
        <v>0.66554999999999997</v>
      </c>
      <c r="FY172">
        <v>18.558499999999999</v>
      </c>
      <c r="FZ172">
        <v>410</v>
      </c>
      <c r="GA172">
        <v>14.5556</v>
      </c>
      <c r="GB172">
        <v>99.869600000000005</v>
      </c>
      <c r="GC172">
        <v>99.738299999999995</v>
      </c>
    </row>
    <row r="173" spans="1:185" x14ac:dyDescent="0.2">
      <c r="A173">
        <v>158</v>
      </c>
      <c r="B173">
        <v>1769197526</v>
      </c>
      <c r="C173">
        <v>2965</v>
      </c>
      <c r="D173" t="s">
        <v>613</v>
      </c>
      <c r="E173" t="s">
        <v>614</v>
      </c>
      <c r="F173">
        <v>15</v>
      </c>
      <c r="G173">
        <v>1769197517.9333301</v>
      </c>
      <c r="H173">
        <f t="shared" si="26"/>
        <v>7.7537897851147949E-4</v>
      </c>
      <c r="I173">
        <v>0</v>
      </c>
      <c r="J173">
        <f t="shared" si="38"/>
        <v>-2.1647637645197419E-3</v>
      </c>
      <c r="K173">
        <f t="shared" si="27"/>
        <v>-8.0667362779217072E-2</v>
      </c>
      <c r="L173">
        <f t="shared" si="28"/>
        <v>70.741138752744206</v>
      </c>
      <c r="M173">
        <f t="shared" si="29"/>
        <v>1.5593617941513087</v>
      </c>
      <c r="N173">
        <f t="shared" si="30"/>
        <v>2.2043210240106825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26235.419425259206</v>
      </c>
      <c r="T173">
        <f t="shared" si="34"/>
        <v>300.00106666666699</v>
      </c>
      <c r="U173">
        <f t="shared" si="35"/>
        <v>252.90137080167725</v>
      </c>
      <c r="V173">
        <f t="shared" si="36"/>
        <v>0.84300157200000059</v>
      </c>
      <c r="W173">
        <f t="shared" si="37"/>
        <v>0.15870405992000011</v>
      </c>
      <c r="X173">
        <v>1</v>
      </c>
      <c r="Y173">
        <v>1769197517.9333301</v>
      </c>
      <c r="Z173">
        <v>409.71019999999999</v>
      </c>
      <c r="AA173">
        <v>410.006466666667</v>
      </c>
      <c r="AB173">
        <v>15.5627666666667</v>
      </c>
      <c r="AC173">
        <v>14.6086266666667</v>
      </c>
      <c r="AD173">
        <v>410.51519999999999</v>
      </c>
      <c r="AE173">
        <v>15.4749466666667</v>
      </c>
      <c r="AF173">
        <v>799.99993333333305</v>
      </c>
      <c r="AG173">
        <v>100.133933333333</v>
      </c>
      <c r="AH173">
        <v>6.4304393333333307E-2</v>
      </c>
      <c r="AI173">
        <v>18.993753333333299</v>
      </c>
      <c r="AJ173">
        <v>999.9</v>
      </c>
      <c r="AK173">
        <v>999.9</v>
      </c>
      <c r="AL173">
        <v>0</v>
      </c>
      <c r="AM173">
        <v>0</v>
      </c>
      <c r="AN173">
        <v>4996.3</v>
      </c>
      <c r="AO173">
        <v>0</v>
      </c>
      <c r="AP173">
        <v>1.63733</v>
      </c>
      <c r="AQ173">
        <v>-0.29619946666666702</v>
      </c>
      <c r="AR173">
        <v>416.18713333333301</v>
      </c>
      <c r="AS173">
        <v>416.08479999999997</v>
      </c>
      <c r="AT173">
        <v>0.95414906666666699</v>
      </c>
      <c r="AU173">
        <v>410.006466666667</v>
      </c>
      <c r="AV173">
        <v>14.6086266666667</v>
      </c>
      <c r="AW173">
        <v>1.55836466666667</v>
      </c>
      <c r="AX173">
        <v>1.4628206666666701</v>
      </c>
      <c r="AY173">
        <v>13.5531333333333</v>
      </c>
      <c r="AZ173">
        <v>12.584986666666699</v>
      </c>
      <c r="BA173">
        <v>300.00106666666699</v>
      </c>
      <c r="BB173">
        <v>0.89994566666666698</v>
      </c>
      <c r="BC173">
        <v>0</v>
      </c>
      <c r="BD173">
        <v>0.100054266666667</v>
      </c>
      <c r="BE173">
        <v>0</v>
      </c>
      <c r="BF173">
        <v>24.891106666666701</v>
      </c>
      <c r="BG173">
        <v>4946.5720000000001</v>
      </c>
      <c r="BH173">
        <v>1769197084</v>
      </c>
      <c r="BI173" t="s">
        <v>568</v>
      </c>
      <c r="BJ173">
        <v>1769197082</v>
      </c>
      <c r="BK173">
        <v>1769197084</v>
      </c>
      <c r="BL173">
        <v>5</v>
      </c>
      <c r="BM173">
        <v>2.7E-2</v>
      </c>
      <c r="BN173">
        <v>-4.0000000000000001E-3</v>
      </c>
      <c r="BO173">
        <v>-0.80500000000000005</v>
      </c>
      <c r="BP173">
        <v>8.7999999999999995E-2</v>
      </c>
      <c r="BQ173">
        <v>410</v>
      </c>
      <c r="BR173">
        <v>15</v>
      </c>
      <c r="BS173">
        <v>0.28000000000000003</v>
      </c>
      <c r="BT173">
        <v>0.06</v>
      </c>
      <c r="BU173">
        <v>-0.28991257142857102</v>
      </c>
      <c r="BV173">
        <v>-9.8284207792207798E-2</v>
      </c>
      <c r="BW173">
        <v>1.7022862046227601E-2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0.96547852380952404</v>
      </c>
      <c r="CD173">
        <v>-0.145571454545455</v>
      </c>
      <c r="CE173">
        <v>1.78172219325093E-2</v>
      </c>
      <c r="CF173">
        <v>0</v>
      </c>
      <c r="CG173">
        <v>1</v>
      </c>
      <c r="CH173">
        <v>2</v>
      </c>
      <c r="CI173" t="s">
        <v>297</v>
      </c>
      <c r="CJ173">
        <v>3.5325199999999999</v>
      </c>
      <c r="CK173">
        <v>2.70214</v>
      </c>
      <c r="CL173">
        <v>9.7891000000000006E-2</v>
      </c>
      <c r="CM173">
        <v>9.6592600000000001E-2</v>
      </c>
      <c r="CN173">
        <v>8.7687399999999999E-2</v>
      </c>
      <c r="CO173">
        <v>8.2778699999999997E-2</v>
      </c>
      <c r="CP173">
        <v>31629.3</v>
      </c>
      <c r="CQ173">
        <v>27818.799999999999</v>
      </c>
      <c r="CR173">
        <v>32451.1</v>
      </c>
      <c r="CS173">
        <v>30720.5</v>
      </c>
      <c r="CT173">
        <v>40092.300000000003</v>
      </c>
      <c r="CU173">
        <v>39627.599999999999</v>
      </c>
      <c r="CV173">
        <v>47397.599999999999</v>
      </c>
      <c r="CW173">
        <v>46855.1</v>
      </c>
      <c r="CX173">
        <v>2.6218599999999999</v>
      </c>
      <c r="CY173">
        <v>2.1227800000000001</v>
      </c>
      <c r="CZ173">
        <v>0</v>
      </c>
      <c r="DA173">
        <v>0</v>
      </c>
      <c r="DB173">
        <v>999.9</v>
      </c>
      <c r="DC173">
        <v>999.9</v>
      </c>
      <c r="DD173">
        <v>50.244</v>
      </c>
      <c r="DE173">
        <v>28.126999999999999</v>
      </c>
      <c r="DF173">
        <v>19.182600000000001</v>
      </c>
      <c r="DG173">
        <v>30.509799999999998</v>
      </c>
      <c r="DH173">
        <v>16.430299999999999</v>
      </c>
      <c r="DI173">
        <v>2</v>
      </c>
      <c r="DJ173">
        <v>-0.11283899999999999</v>
      </c>
      <c r="DK173">
        <v>1.69946</v>
      </c>
      <c r="DL173">
        <v>20.230499999999999</v>
      </c>
      <c r="DM173">
        <v>5.2505899999999999</v>
      </c>
      <c r="DN173">
        <v>12.033899999999999</v>
      </c>
      <c r="DO173">
        <v>4.9668799999999997</v>
      </c>
      <c r="DP173">
        <v>3.2909999999999999</v>
      </c>
      <c r="DQ173">
        <v>536.79999999999995</v>
      </c>
      <c r="DR173">
        <v>9999</v>
      </c>
      <c r="DS173">
        <v>9999</v>
      </c>
      <c r="DT173">
        <v>9999</v>
      </c>
      <c r="DU173">
        <v>1.8711599999999999</v>
      </c>
      <c r="DV173">
        <v>1.87608</v>
      </c>
      <c r="DW173">
        <v>1.8763300000000001</v>
      </c>
      <c r="DX173">
        <v>1.88279</v>
      </c>
      <c r="DY173">
        <v>1.87561</v>
      </c>
      <c r="DZ173">
        <v>1.87469</v>
      </c>
      <c r="EA173">
        <v>1.8708400000000001</v>
      </c>
      <c r="EB173">
        <v>1.8746499999999999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-0.80500000000000005</v>
      </c>
      <c r="EQ173">
        <v>8.7900000000000006E-2</v>
      </c>
      <c r="ER173">
        <v>-0.80499999999989302</v>
      </c>
      <c r="ES173">
        <v>0</v>
      </c>
      <c r="ET173">
        <v>0</v>
      </c>
      <c r="EU173">
        <v>0</v>
      </c>
      <c r="EV173">
        <v>8.7840000000001695E-2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7.4</v>
      </c>
      <c r="FE173">
        <v>7.4</v>
      </c>
      <c r="FF173">
        <v>1.24268</v>
      </c>
      <c r="FG173">
        <v>2.5964399999999999</v>
      </c>
      <c r="FH173">
        <v>2.19604</v>
      </c>
      <c r="FI173">
        <v>2.66235</v>
      </c>
      <c r="FJ173">
        <v>2.4462899999999999</v>
      </c>
      <c r="FK173">
        <v>2.32056</v>
      </c>
      <c r="FL173">
        <v>32.487499999999997</v>
      </c>
      <c r="FM173">
        <v>24.148800000000001</v>
      </c>
      <c r="FN173">
        <v>19</v>
      </c>
      <c r="FO173">
        <v>866.53</v>
      </c>
      <c r="FP173">
        <v>572.20399999999995</v>
      </c>
      <c r="FQ173">
        <v>18.5839</v>
      </c>
      <c r="FR173">
        <v>25.5748</v>
      </c>
      <c r="FS173">
        <v>29.9999</v>
      </c>
      <c r="FT173">
        <v>25.6328</v>
      </c>
      <c r="FU173">
        <v>25.6356</v>
      </c>
      <c r="FV173">
        <v>24.9468</v>
      </c>
      <c r="FW173">
        <v>27.0318</v>
      </c>
      <c r="FX173">
        <v>0.66554999999999997</v>
      </c>
      <c r="FY173">
        <v>18.5779</v>
      </c>
      <c r="FZ173">
        <v>410</v>
      </c>
      <c r="GA173">
        <v>14.517799999999999</v>
      </c>
      <c r="GB173">
        <v>99.868700000000004</v>
      </c>
      <c r="GC173">
        <v>99.740099999999998</v>
      </c>
    </row>
    <row r="174" spans="1:185" x14ac:dyDescent="0.2">
      <c r="A174">
        <v>159</v>
      </c>
      <c r="B174">
        <v>1769197541</v>
      </c>
      <c r="C174">
        <v>2980</v>
      </c>
      <c r="D174" t="s">
        <v>615</v>
      </c>
      <c r="E174" t="s">
        <v>616</v>
      </c>
      <c r="F174">
        <v>15</v>
      </c>
      <c r="G174">
        <v>1769197532.9333301</v>
      </c>
      <c r="H174">
        <f t="shared" si="26"/>
        <v>7.5804846462905267E-4</v>
      </c>
      <c r="I174">
        <v>0</v>
      </c>
      <c r="J174">
        <f t="shared" si="38"/>
        <v>-2.2488949222054556E-3</v>
      </c>
      <c r="K174">
        <f t="shared" si="27"/>
        <v>-8.3802410921329076E-2</v>
      </c>
      <c r="L174">
        <f t="shared" si="28"/>
        <v>70.383337058542523</v>
      </c>
      <c r="M174">
        <f t="shared" si="29"/>
        <v>1.5532751919139927</v>
      </c>
      <c r="N174">
        <f t="shared" si="30"/>
        <v>2.2068791518396322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26242.344472578054</v>
      </c>
      <c r="T174">
        <f t="shared" si="34"/>
        <v>299.99919999999997</v>
      </c>
      <c r="U174">
        <f t="shared" si="35"/>
        <v>252.89976779882068</v>
      </c>
      <c r="V174">
        <f t="shared" si="36"/>
        <v>0.8430014739999997</v>
      </c>
      <c r="W174">
        <f t="shared" si="37"/>
        <v>0.15870381491999996</v>
      </c>
      <c r="X174">
        <v>1</v>
      </c>
      <c r="Y174">
        <v>1769197532.9333301</v>
      </c>
      <c r="Z174">
        <v>409.70593333333301</v>
      </c>
      <c r="AA174">
        <v>409.98939999999999</v>
      </c>
      <c r="AB174">
        <v>15.501846666666699</v>
      </c>
      <c r="AC174">
        <v>14.56898</v>
      </c>
      <c r="AD174">
        <v>410.51093333333301</v>
      </c>
      <c r="AE174">
        <v>15.414</v>
      </c>
      <c r="AF174">
        <v>800.00426666666704</v>
      </c>
      <c r="AG174">
        <v>100.135066666667</v>
      </c>
      <c r="AH174">
        <v>6.4298306666666694E-2</v>
      </c>
      <c r="AI174">
        <v>19.012339999999998</v>
      </c>
      <c r="AJ174">
        <v>999.9</v>
      </c>
      <c r="AK174">
        <v>999.9</v>
      </c>
      <c r="AL174">
        <v>0</v>
      </c>
      <c r="AM174">
        <v>0</v>
      </c>
      <c r="AN174">
        <v>4997.6666666666697</v>
      </c>
      <c r="AO174">
        <v>0</v>
      </c>
      <c r="AP174">
        <v>1.63733</v>
      </c>
      <c r="AQ174">
        <v>-0.28342693333333302</v>
      </c>
      <c r="AR174">
        <v>416.15733333333299</v>
      </c>
      <c r="AS174">
        <v>416.05093333333298</v>
      </c>
      <c r="AT174">
        <v>0.93286093333333298</v>
      </c>
      <c r="AU174">
        <v>409.98939999999999</v>
      </c>
      <c r="AV174">
        <v>14.56898</v>
      </c>
      <c r="AW174">
        <v>1.55227733333333</v>
      </c>
      <c r="AX174">
        <v>1.4588666666666701</v>
      </c>
      <c r="AY174">
        <v>13.4930466666667</v>
      </c>
      <c r="AZ174">
        <v>12.54372</v>
      </c>
      <c r="BA174">
        <v>299.99919999999997</v>
      </c>
      <c r="BB174">
        <v>0.89994893333333303</v>
      </c>
      <c r="BC174">
        <v>0</v>
      </c>
      <c r="BD174">
        <v>0.100051</v>
      </c>
      <c r="BE174">
        <v>0</v>
      </c>
      <c r="BF174">
        <v>25</v>
      </c>
      <c r="BG174">
        <v>4946.5493333333297</v>
      </c>
      <c r="BH174">
        <v>1769197084</v>
      </c>
      <c r="BI174" t="s">
        <v>568</v>
      </c>
      <c r="BJ174">
        <v>1769197082</v>
      </c>
      <c r="BK174">
        <v>1769197084</v>
      </c>
      <c r="BL174">
        <v>5</v>
      </c>
      <c r="BM174">
        <v>2.7E-2</v>
      </c>
      <c r="BN174">
        <v>-4.0000000000000001E-3</v>
      </c>
      <c r="BO174">
        <v>-0.80500000000000005</v>
      </c>
      <c r="BP174">
        <v>8.7999999999999995E-2</v>
      </c>
      <c r="BQ174">
        <v>410</v>
      </c>
      <c r="BR174">
        <v>15</v>
      </c>
      <c r="BS174">
        <v>0.28000000000000003</v>
      </c>
      <c r="BT174">
        <v>0.06</v>
      </c>
      <c r="BU174">
        <v>-0.289151142857143</v>
      </c>
      <c r="BV174">
        <v>-3.2057844155844298E-2</v>
      </c>
      <c r="BW174">
        <v>3.3201763256799299E-2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0.93894023809523797</v>
      </c>
      <c r="CD174">
        <v>-0.119334311688311</v>
      </c>
      <c r="CE174">
        <v>1.22167807033127E-2</v>
      </c>
      <c r="CF174">
        <v>0</v>
      </c>
      <c r="CG174">
        <v>1</v>
      </c>
      <c r="CH174">
        <v>2</v>
      </c>
      <c r="CI174" t="s">
        <v>297</v>
      </c>
      <c r="CJ174">
        <v>3.5325600000000001</v>
      </c>
      <c r="CK174">
        <v>2.7019799999999998</v>
      </c>
      <c r="CL174">
        <v>9.7891800000000001E-2</v>
      </c>
      <c r="CM174">
        <v>9.6598199999999995E-2</v>
      </c>
      <c r="CN174">
        <v>8.7424299999999996E-2</v>
      </c>
      <c r="CO174">
        <v>8.2661399999999996E-2</v>
      </c>
      <c r="CP174">
        <v>31629.1</v>
      </c>
      <c r="CQ174">
        <v>27818.5</v>
      </c>
      <c r="CR174">
        <v>32450.799999999999</v>
      </c>
      <c r="CS174">
        <v>30720.3</v>
      </c>
      <c r="CT174">
        <v>40104.199999999997</v>
      </c>
      <c r="CU174">
        <v>39632.6</v>
      </c>
      <c r="CV174">
        <v>47397.599999999999</v>
      </c>
      <c r="CW174">
        <v>46854.9</v>
      </c>
      <c r="CX174">
        <v>2.6216200000000001</v>
      </c>
      <c r="CY174">
        <v>2.1228400000000001</v>
      </c>
      <c r="CZ174">
        <v>0</v>
      </c>
      <c r="DA174">
        <v>0</v>
      </c>
      <c r="DB174">
        <v>999.9</v>
      </c>
      <c r="DC174">
        <v>999.9</v>
      </c>
      <c r="DD174">
        <v>50.207999999999998</v>
      </c>
      <c r="DE174">
        <v>28.137</v>
      </c>
      <c r="DF174">
        <v>19.1813</v>
      </c>
      <c r="DG174">
        <v>30.2698</v>
      </c>
      <c r="DH174">
        <v>16.430299999999999</v>
      </c>
      <c r="DI174">
        <v>2</v>
      </c>
      <c r="DJ174">
        <v>-0.110959</v>
      </c>
      <c r="DK174">
        <v>2.2982999999999998</v>
      </c>
      <c r="DL174">
        <v>20.221399999999999</v>
      </c>
      <c r="DM174">
        <v>5.2503500000000001</v>
      </c>
      <c r="DN174">
        <v>12.033899999999999</v>
      </c>
      <c r="DO174">
        <v>4.96692</v>
      </c>
      <c r="DP174">
        <v>3.2909999999999999</v>
      </c>
      <c r="DQ174">
        <v>536.79999999999995</v>
      </c>
      <c r="DR174">
        <v>9999</v>
      </c>
      <c r="DS174">
        <v>9999</v>
      </c>
      <c r="DT174">
        <v>9999</v>
      </c>
      <c r="DU174">
        <v>1.8711</v>
      </c>
      <c r="DV174">
        <v>1.87608</v>
      </c>
      <c r="DW174">
        <v>1.87629</v>
      </c>
      <c r="DX174">
        <v>1.8827799999999999</v>
      </c>
      <c r="DY174">
        <v>1.8755900000000001</v>
      </c>
      <c r="DZ174">
        <v>1.8746799999999999</v>
      </c>
      <c r="EA174">
        <v>1.87077</v>
      </c>
      <c r="EB174">
        <v>1.8746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-0.80500000000000005</v>
      </c>
      <c r="EQ174">
        <v>8.7800000000000003E-2</v>
      </c>
      <c r="ER174">
        <v>-0.80499999999989302</v>
      </c>
      <c r="ES174">
        <v>0</v>
      </c>
      <c r="ET174">
        <v>0</v>
      </c>
      <c r="EU174">
        <v>0</v>
      </c>
      <c r="EV174">
        <v>8.7840000000001695E-2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7.7</v>
      </c>
      <c r="FE174">
        <v>7.6</v>
      </c>
      <c r="FF174">
        <v>1.24268</v>
      </c>
      <c r="FG174">
        <v>2.5927699999999998</v>
      </c>
      <c r="FH174">
        <v>2.19604</v>
      </c>
      <c r="FI174">
        <v>2.66235</v>
      </c>
      <c r="FJ174">
        <v>2.4462899999999999</v>
      </c>
      <c r="FK174">
        <v>2.2888199999999999</v>
      </c>
      <c r="FL174">
        <v>32.465400000000002</v>
      </c>
      <c r="FM174">
        <v>24.148800000000001</v>
      </c>
      <c r="FN174">
        <v>19</v>
      </c>
      <c r="FO174">
        <v>866.18200000000002</v>
      </c>
      <c r="FP174">
        <v>572.16800000000001</v>
      </c>
      <c r="FQ174">
        <v>18.238600000000002</v>
      </c>
      <c r="FR174">
        <v>25.565000000000001</v>
      </c>
      <c r="FS174">
        <v>29.9999</v>
      </c>
      <c r="FT174">
        <v>25.625</v>
      </c>
      <c r="FU174">
        <v>25.6282</v>
      </c>
      <c r="FV174">
        <v>24.947900000000001</v>
      </c>
      <c r="FW174">
        <v>27.0318</v>
      </c>
      <c r="FX174">
        <v>0.29145300000000002</v>
      </c>
      <c r="FY174">
        <v>18.253900000000002</v>
      </c>
      <c r="FZ174">
        <v>410</v>
      </c>
      <c r="GA174">
        <v>14.516</v>
      </c>
      <c r="GB174">
        <v>99.868399999999994</v>
      </c>
      <c r="GC174">
        <v>99.739599999999996</v>
      </c>
    </row>
    <row r="175" spans="1:185" x14ac:dyDescent="0.2">
      <c r="A175">
        <v>160</v>
      </c>
      <c r="B175">
        <v>1769197556</v>
      </c>
      <c r="C175">
        <v>2995</v>
      </c>
      <c r="D175" t="s">
        <v>617</v>
      </c>
      <c r="E175" t="s">
        <v>618</v>
      </c>
      <c r="F175">
        <v>15</v>
      </c>
      <c r="G175">
        <v>1769197547.9333301</v>
      </c>
      <c r="H175">
        <f t="shared" si="26"/>
        <v>7.2729364395971189E-4</v>
      </c>
      <c r="I175">
        <v>0</v>
      </c>
      <c r="J175">
        <f t="shared" si="38"/>
        <v>-1.0558281131974809E-3</v>
      </c>
      <c r="K175">
        <f t="shared" si="27"/>
        <v>-3.9344186573952944E-2</v>
      </c>
      <c r="L175">
        <f t="shared" si="28"/>
        <v>70.173199859152433</v>
      </c>
      <c r="M175">
        <f t="shared" si="29"/>
        <v>1.5474624418367313</v>
      </c>
      <c r="N175">
        <f t="shared" si="30"/>
        <v>2.2052043300614876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26244.959499381563</v>
      </c>
      <c r="T175">
        <f t="shared" si="34"/>
        <v>299.99973333333298</v>
      </c>
      <c r="U175">
        <f t="shared" si="35"/>
        <v>252.90019939962272</v>
      </c>
      <c r="V175">
        <f t="shared" si="36"/>
        <v>0.84300141400000028</v>
      </c>
      <c r="W175">
        <f t="shared" si="37"/>
        <v>0.15870340508000008</v>
      </c>
      <c r="X175">
        <v>1</v>
      </c>
      <c r="Y175">
        <v>1769197547.9333301</v>
      </c>
      <c r="Z175">
        <v>409.68119999999999</v>
      </c>
      <c r="AA175">
        <v>410.00446666666699</v>
      </c>
      <c r="AB175">
        <v>15.4437933333333</v>
      </c>
      <c r="AC175">
        <v>14.548719999999999</v>
      </c>
      <c r="AD175">
        <v>410.4862</v>
      </c>
      <c r="AE175">
        <v>15.35594</v>
      </c>
      <c r="AF175">
        <v>800.00313333333304</v>
      </c>
      <c r="AG175">
        <v>100.135466666667</v>
      </c>
      <c r="AH175">
        <v>6.4167479999999999E-2</v>
      </c>
      <c r="AI175">
        <v>19.000173333333301</v>
      </c>
      <c r="AJ175">
        <v>999.9</v>
      </c>
      <c r="AK175">
        <v>999.9</v>
      </c>
      <c r="AL175">
        <v>0</v>
      </c>
      <c r="AM175">
        <v>0</v>
      </c>
      <c r="AN175">
        <v>4997.8999999999996</v>
      </c>
      <c r="AO175">
        <v>0</v>
      </c>
      <c r="AP175">
        <v>1.63733</v>
      </c>
      <c r="AQ175">
        <v>-0.32340086666666701</v>
      </c>
      <c r="AR175">
        <v>416.10753333333298</v>
      </c>
      <c r="AS175">
        <v>416.05759999999998</v>
      </c>
      <c r="AT175">
        <v>0.89506540000000001</v>
      </c>
      <c r="AU175">
        <v>410.00446666666699</v>
      </c>
      <c r="AV175">
        <v>14.548719999999999</v>
      </c>
      <c r="AW175">
        <v>1.5464693333333299</v>
      </c>
      <c r="AX175">
        <v>1.4568413333333301</v>
      </c>
      <c r="AY175">
        <v>13.435499999999999</v>
      </c>
      <c r="AZ175">
        <v>12.5225666666667</v>
      </c>
      <c r="BA175">
        <v>299.99973333333298</v>
      </c>
      <c r="BB175">
        <v>0.89995480000000005</v>
      </c>
      <c r="BC175">
        <v>0</v>
      </c>
      <c r="BD175">
        <v>0.10004526666666699</v>
      </c>
      <c r="BE175">
        <v>0</v>
      </c>
      <c r="BF175">
        <v>25</v>
      </c>
      <c r="BG175">
        <v>4946.5619999999999</v>
      </c>
      <c r="BH175">
        <v>1769197084</v>
      </c>
      <c r="BI175" t="s">
        <v>568</v>
      </c>
      <c r="BJ175">
        <v>1769197082</v>
      </c>
      <c r="BK175">
        <v>1769197084</v>
      </c>
      <c r="BL175">
        <v>5</v>
      </c>
      <c r="BM175">
        <v>2.7E-2</v>
      </c>
      <c r="BN175">
        <v>-4.0000000000000001E-3</v>
      </c>
      <c r="BO175">
        <v>-0.80500000000000005</v>
      </c>
      <c r="BP175">
        <v>8.7999999999999995E-2</v>
      </c>
      <c r="BQ175">
        <v>410</v>
      </c>
      <c r="BR175">
        <v>15</v>
      </c>
      <c r="BS175">
        <v>0.28000000000000003</v>
      </c>
      <c r="BT175">
        <v>0.06</v>
      </c>
      <c r="BU175">
        <v>-0.32295534999999997</v>
      </c>
      <c r="BV175">
        <v>-7.7039142857142695E-2</v>
      </c>
      <c r="BW175">
        <v>1.9846415185808701E-2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0.90213489999999996</v>
      </c>
      <c r="CD175">
        <v>-0.162148691729324</v>
      </c>
      <c r="CE175">
        <v>1.5698120721602302E-2</v>
      </c>
      <c r="CF175">
        <v>0</v>
      </c>
      <c r="CG175">
        <v>1</v>
      </c>
      <c r="CH175">
        <v>2</v>
      </c>
      <c r="CI175" t="s">
        <v>297</v>
      </c>
      <c r="CJ175">
        <v>3.5325000000000002</v>
      </c>
      <c r="CK175">
        <v>2.70201</v>
      </c>
      <c r="CL175">
        <v>9.7892599999999996E-2</v>
      </c>
      <c r="CM175">
        <v>9.6594299999999994E-2</v>
      </c>
      <c r="CN175">
        <v>8.7239899999999995E-2</v>
      </c>
      <c r="CO175">
        <v>8.2622500000000001E-2</v>
      </c>
      <c r="CP175">
        <v>31630</v>
      </c>
      <c r="CQ175">
        <v>27819.3</v>
      </c>
      <c r="CR175">
        <v>32451.8</v>
      </c>
      <c r="CS175">
        <v>30721.1</v>
      </c>
      <c r="CT175">
        <v>40113.599999999999</v>
      </c>
      <c r="CU175">
        <v>39635.4</v>
      </c>
      <c r="CV175">
        <v>47398.9</v>
      </c>
      <c r="CW175">
        <v>46856.1</v>
      </c>
      <c r="CX175">
        <v>2.6217199999999998</v>
      </c>
      <c r="CY175">
        <v>2.1227999999999998</v>
      </c>
      <c r="CZ175">
        <v>0</v>
      </c>
      <c r="DA175">
        <v>0</v>
      </c>
      <c r="DB175">
        <v>999.9</v>
      </c>
      <c r="DC175">
        <v>999.9</v>
      </c>
      <c r="DD175">
        <v>50.146999999999998</v>
      </c>
      <c r="DE175">
        <v>28.126999999999999</v>
      </c>
      <c r="DF175">
        <v>19.1448</v>
      </c>
      <c r="DG175">
        <v>29.969799999999999</v>
      </c>
      <c r="DH175">
        <v>16.4864</v>
      </c>
      <c r="DI175">
        <v>2</v>
      </c>
      <c r="DJ175">
        <v>-0.112856</v>
      </c>
      <c r="DK175">
        <v>2.0137100000000001</v>
      </c>
      <c r="DL175">
        <v>20.226099999999999</v>
      </c>
      <c r="DM175">
        <v>5.25</v>
      </c>
      <c r="DN175">
        <v>12.033899999999999</v>
      </c>
      <c r="DO175">
        <v>4.9668799999999997</v>
      </c>
      <c r="DP175">
        <v>3.2909999999999999</v>
      </c>
      <c r="DQ175">
        <v>536.79999999999995</v>
      </c>
      <c r="DR175">
        <v>9999</v>
      </c>
      <c r="DS175">
        <v>9999</v>
      </c>
      <c r="DT175">
        <v>9999</v>
      </c>
      <c r="DU175">
        <v>1.8710899999999999</v>
      </c>
      <c r="DV175">
        <v>1.8760699999999999</v>
      </c>
      <c r="DW175">
        <v>1.8762700000000001</v>
      </c>
      <c r="DX175">
        <v>1.8827799999999999</v>
      </c>
      <c r="DY175">
        <v>1.87554</v>
      </c>
      <c r="DZ175">
        <v>1.8746499999999999</v>
      </c>
      <c r="EA175">
        <v>1.87079</v>
      </c>
      <c r="EB175">
        <v>1.8745799999999999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-0.80500000000000005</v>
      </c>
      <c r="EQ175">
        <v>8.7800000000000003E-2</v>
      </c>
      <c r="ER175">
        <v>-0.80499999999989302</v>
      </c>
      <c r="ES175">
        <v>0</v>
      </c>
      <c r="ET175">
        <v>0</v>
      </c>
      <c r="EU175">
        <v>0</v>
      </c>
      <c r="EV175">
        <v>8.7840000000001695E-2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7.9</v>
      </c>
      <c r="FE175">
        <v>7.9</v>
      </c>
      <c r="FF175">
        <v>1.24268</v>
      </c>
      <c r="FG175">
        <v>2.5915499999999998</v>
      </c>
      <c r="FH175">
        <v>2.19604</v>
      </c>
      <c r="FI175">
        <v>2.66357</v>
      </c>
      <c r="FJ175">
        <v>2.4462899999999999</v>
      </c>
      <c r="FK175">
        <v>2.3083499999999999</v>
      </c>
      <c r="FL175">
        <v>32.465400000000002</v>
      </c>
      <c r="FM175">
        <v>24.148800000000001</v>
      </c>
      <c r="FN175">
        <v>19</v>
      </c>
      <c r="FO175">
        <v>866.15</v>
      </c>
      <c r="FP175">
        <v>572.05700000000002</v>
      </c>
      <c r="FQ175">
        <v>18.235199999999999</v>
      </c>
      <c r="FR175">
        <v>25.557700000000001</v>
      </c>
      <c r="FS175">
        <v>29.999600000000001</v>
      </c>
      <c r="FT175">
        <v>25.6172</v>
      </c>
      <c r="FU175">
        <v>25.620899999999999</v>
      </c>
      <c r="FV175">
        <v>24.947299999999998</v>
      </c>
      <c r="FW175">
        <v>27.0318</v>
      </c>
      <c r="FX175">
        <v>0</v>
      </c>
      <c r="FY175">
        <v>18.255700000000001</v>
      </c>
      <c r="FZ175">
        <v>410</v>
      </c>
      <c r="GA175">
        <v>14.53</v>
      </c>
      <c r="GB175">
        <v>99.871300000000005</v>
      </c>
      <c r="GC175">
        <v>99.742199999999997</v>
      </c>
    </row>
    <row r="176" spans="1:185" x14ac:dyDescent="0.2">
      <c r="A176">
        <v>161</v>
      </c>
      <c r="B176">
        <v>1769197571</v>
      </c>
      <c r="C176">
        <v>3010</v>
      </c>
      <c r="D176" t="s">
        <v>619</v>
      </c>
      <c r="E176" t="s">
        <v>620</v>
      </c>
      <c r="F176">
        <v>15</v>
      </c>
      <c r="G176">
        <v>1769197562.9333301</v>
      </c>
      <c r="H176">
        <f t="shared" si="26"/>
        <v>7.4861974608451628E-4</v>
      </c>
      <c r="I176">
        <v>0</v>
      </c>
      <c r="J176">
        <f t="shared" si="38"/>
        <v>-1.4687403035536118E-3</v>
      </c>
      <c r="K176">
        <f t="shared" si="27"/>
        <v>-5.4730871255830336E-2</v>
      </c>
      <c r="L176">
        <f t="shared" si="28"/>
        <v>70.031772090527809</v>
      </c>
      <c r="M176">
        <f t="shared" si="29"/>
        <v>1.5434675524721793</v>
      </c>
      <c r="N176">
        <f t="shared" si="30"/>
        <v>2.2039533006204506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26316.032043430543</v>
      </c>
      <c r="T176">
        <f t="shared" si="34"/>
        <v>299.999866666667</v>
      </c>
      <c r="U176">
        <f t="shared" si="35"/>
        <v>252.90029139982079</v>
      </c>
      <c r="V176">
        <f t="shared" si="36"/>
        <v>0.84300134599999987</v>
      </c>
      <c r="W176">
        <f t="shared" si="37"/>
        <v>0.15870336500000004</v>
      </c>
      <c r="X176">
        <v>1</v>
      </c>
      <c r="Y176">
        <v>1769197562.9333301</v>
      </c>
      <c r="Z176">
        <v>409.66219999999998</v>
      </c>
      <c r="AA176">
        <v>409.97713333333297</v>
      </c>
      <c r="AB176">
        <v>15.4039</v>
      </c>
      <c r="AC176">
        <v>14.4825533333333</v>
      </c>
      <c r="AD176">
        <v>410.46719999999999</v>
      </c>
      <c r="AE176">
        <v>15.3160666666667</v>
      </c>
      <c r="AF176">
        <v>800.011666666667</v>
      </c>
      <c r="AG176">
        <v>100.1356</v>
      </c>
      <c r="AH176">
        <v>6.4190473333333303E-2</v>
      </c>
      <c r="AI176">
        <v>18.99108</v>
      </c>
      <c r="AJ176">
        <v>999.9</v>
      </c>
      <c r="AK176">
        <v>999.9</v>
      </c>
      <c r="AL176">
        <v>0</v>
      </c>
      <c r="AM176">
        <v>0</v>
      </c>
      <c r="AN176">
        <v>5009.4666666666699</v>
      </c>
      <c r="AO176">
        <v>0</v>
      </c>
      <c r="AP176">
        <v>1.63733</v>
      </c>
      <c r="AQ176">
        <v>-0.3149556</v>
      </c>
      <c r="AR176">
        <v>416.07133333333297</v>
      </c>
      <c r="AS176">
        <v>416.00200000000001</v>
      </c>
      <c r="AT176">
        <v>0.92134453333333299</v>
      </c>
      <c r="AU176">
        <v>409.97713333333297</v>
      </c>
      <c r="AV176">
        <v>14.4825533333333</v>
      </c>
      <c r="AW176">
        <v>1.54247666666667</v>
      </c>
      <c r="AX176">
        <v>1.4502173333333299</v>
      </c>
      <c r="AY176">
        <v>13.39584</v>
      </c>
      <c r="AZ176">
        <v>12.45312</v>
      </c>
      <c r="BA176">
        <v>299.999866666667</v>
      </c>
      <c r="BB176">
        <v>0.89995513333333299</v>
      </c>
      <c r="BC176">
        <v>0</v>
      </c>
      <c r="BD176">
        <v>0.100044866666667</v>
      </c>
      <c r="BE176">
        <v>0</v>
      </c>
      <c r="BF176">
        <v>25</v>
      </c>
      <c r="BG176">
        <v>4946.5653333333303</v>
      </c>
      <c r="BH176">
        <v>1769197084</v>
      </c>
      <c r="BI176" t="s">
        <v>568</v>
      </c>
      <c r="BJ176">
        <v>1769197082</v>
      </c>
      <c r="BK176">
        <v>1769197084</v>
      </c>
      <c r="BL176">
        <v>5</v>
      </c>
      <c r="BM176">
        <v>2.7E-2</v>
      </c>
      <c r="BN176">
        <v>-4.0000000000000001E-3</v>
      </c>
      <c r="BO176">
        <v>-0.80500000000000005</v>
      </c>
      <c r="BP176">
        <v>8.7999999999999995E-2</v>
      </c>
      <c r="BQ176">
        <v>410</v>
      </c>
      <c r="BR176">
        <v>15</v>
      </c>
      <c r="BS176">
        <v>0.28000000000000003</v>
      </c>
      <c r="BT176">
        <v>0.06</v>
      </c>
      <c r="BU176">
        <v>-0.31998261904761899</v>
      </c>
      <c r="BV176">
        <v>1.2297038961039E-2</v>
      </c>
      <c r="BW176">
        <v>2.0085395481901799E-2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0.91070342857142905</v>
      </c>
      <c r="CD176">
        <v>0.209705454545453</v>
      </c>
      <c r="CE176">
        <v>2.4723455800536601E-2</v>
      </c>
      <c r="CF176">
        <v>0</v>
      </c>
      <c r="CG176">
        <v>1</v>
      </c>
      <c r="CH176">
        <v>2</v>
      </c>
      <c r="CI176" t="s">
        <v>297</v>
      </c>
      <c r="CJ176">
        <v>3.5325299999999999</v>
      </c>
      <c r="CK176">
        <v>2.7021000000000002</v>
      </c>
      <c r="CL176">
        <v>9.7888199999999995E-2</v>
      </c>
      <c r="CM176">
        <v>9.6597699999999995E-2</v>
      </c>
      <c r="CN176">
        <v>8.7050799999999998E-2</v>
      </c>
      <c r="CO176">
        <v>8.2238000000000006E-2</v>
      </c>
      <c r="CP176">
        <v>31630.400000000001</v>
      </c>
      <c r="CQ176">
        <v>27820.7</v>
      </c>
      <c r="CR176">
        <v>32452</v>
      </c>
      <c r="CS176">
        <v>30722.7</v>
      </c>
      <c r="CT176">
        <v>40122.400000000001</v>
      </c>
      <c r="CU176">
        <v>39654.400000000001</v>
      </c>
      <c r="CV176">
        <v>47399.199999999997</v>
      </c>
      <c r="CW176">
        <v>46858.5</v>
      </c>
      <c r="CX176">
        <v>2.6219999999999999</v>
      </c>
      <c r="CY176">
        <v>2.1230799999999999</v>
      </c>
      <c r="CZ176">
        <v>0</v>
      </c>
      <c r="DA176">
        <v>0</v>
      </c>
      <c r="DB176">
        <v>999.9</v>
      </c>
      <c r="DC176">
        <v>999.9</v>
      </c>
      <c r="DD176">
        <v>50.012</v>
      </c>
      <c r="DE176">
        <v>28.137</v>
      </c>
      <c r="DF176">
        <v>19.104600000000001</v>
      </c>
      <c r="DG176">
        <v>30.029800000000002</v>
      </c>
      <c r="DH176">
        <v>16.4984</v>
      </c>
      <c r="DI176">
        <v>2</v>
      </c>
      <c r="DJ176">
        <v>-0.113533</v>
      </c>
      <c r="DK176">
        <v>1.9902</v>
      </c>
      <c r="DL176">
        <v>20.226500000000001</v>
      </c>
      <c r="DM176">
        <v>5.2501199999999999</v>
      </c>
      <c r="DN176">
        <v>12.033899999999999</v>
      </c>
      <c r="DO176">
        <v>4.9668799999999997</v>
      </c>
      <c r="DP176">
        <v>3.2909999999999999</v>
      </c>
      <c r="DQ176">
        <v>536.79999999999995</v>
      </c>
      <c r="DR176">
        <v>9999</v>
      </c>
      <c r="DS176">
        <v>9999</v>
      </c>
      <c r="DT176">
        <v>9999</v>
      </c>
      <c r="DU176">
        <v>1.87114</v>
      </c>
      <c r="DV176">
        <v>1.87608</v>
      </c>
      <c r="DW176">
        <v>1.8763300000000001</v>
      </c>
      <c r="DX176">
        <v>1.8827799999999999</v>
      </c>
      <c r="DY176">
        <v>1.87558</v>
      </c>
      <c r="DZ176">
        <v>1.8746799999999999</v>
      </c>
      <c r="EA176">
        <v>1.8708199999999999</v>
      </c>
      <c r="EB176">
        <v>1.8746100000000001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-0.80500000000000005</v>
      </c>
      <c r="EQ176">
        <v>8.7900000000000006E-2</v>
      </c>
      <c r="ER176">
        <v>-0.80499999999989302</v>
      </c>
      <c r="ES176">
        <v>0</v>
      </c>
      <c r="ET176">
        <v>0</v>
      </c>
      <c r="EU176">
        <v>0</v>
      </c>
      <c r="EV176">
        <v>8.7840000000001695E-2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8.1999999999999993</v>
      </c>
      <c r="FE176">
        <v>8.1</v>
      </c>
      <c r="FF176">
        <v>1.24268</v>
      </c>
      <c r="FG176">
        <v>2.5952099999999998</v>
      </c>
      <c r="FH176">
        <v>2.19604</v>
      </c>
      <c r="FI176">
        <v>2.66357</v>
      </c>
      <c r="FJ176">
        <v>2.4462899999999999</v>
      </c>
      <c r="FK176">
        <v>2.2949199999999998</v>
      </c>
      <c r="FL176">
        <v>32.465400000000002</v>
      </c>
      <c r="FM176">
        <v>24.14</v>
      </c>
      <c r="FN176">
        <v>19</v>
      </c>
      <c r="FO176">
        <v>866.30700000000002</v>
      </c>
      <c r="FP176">
        <v>572.19799999999998</v>
      </c>
      <c r="FQ176">
        <v>18.2683</v>
      </c>
      <c r="FR176">
        <v>25.550799999999999</v>
      </c>
      <c r="FS176">
        <v>29.9999</v>
      </c>
      <c r="FT176">
        <v>25.610800000000001</v>
      </c>
      <c r="FU176">
        <v>25.6144</v>
      </c>
      <c r="FV176">
        <v>24.950299999999999</v>
      </c>
      <c r="FW176">
        <v>27.0318</v>
      </c>
      <c r="FX176">
        <v>0</v>
      </c>
      <c r="FY176">
        <v>18.273399999999999</v>
      </c>
      <c r="FZ176">
        <v>410</v>
      </c>
      <c r="GA176">
        <v>14.5305</v>
      </c>
      <c r="GB176">
        <v>99.872</v>
      </c>
      <c r="GC176">
        <v>99.747200000000007</v>
      </c>
    </row>
    <row r="177" spans="1:185" x14ac:dyDescent="0.2">
      <c r="A177">
        <v>162</v>
      </c>
      <c r="B177">
        <v>1769197586</v>
      </c>
      <c r="C177">
        <v>3025</v>
      </c>
      <c r="D177" t="s">
        <v>621</v>
      </c>
      <c r="E177" t="s">
        <v>622</v>
      </c>
      <c r="F177">
        <v>15</v>
      </c>
      <c r="G177">
        <v>1769197577.9333301</v>
      </c>
      <c r="H177">
        <f t="shared" si="26"/>
        <v>7.291910871180862E-4</v>
      </c>
      <c r="I177">
        <v>0</v>
      </c>
      <c r="J177">
        <f t="shared" si="38"/>
        <v>-1.0018739771879264E-3</v>
      </c>
      <c r="K177">
        <f t="shared" si="27"/>
        <v>-3.7333649473204895E-2</v>
      </c>
      <c r="L177">
        <f t="shared" si="28"/>
        <v>69.857797015532526</v>
      </c>
      <c r="M177">
        <f t="shared" si="29"/>
        <v>1.5391842477101896</v>
      </c>
      <c r="N177">
        <f t="shared" si="30"/>
        <v>2.2033106016325705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26242.662690019566</v>
      </c>
      <c r="T177">
        <f t="shared" si="34"/>
        <v>299.99993333333299</v>
      </c>
      <c r="U177">
        <f t="shared" si="35"/>
        <v>252.90035539990831</v>
      </c>
      <c r="V177">
        <f t="shared" si="36"/>
        <v>0.84300137200000025</v>
      </c>
      <c r="W177">
        <f t="shared" si="37"/>
        <v>0.15870330008000008</v>
      </c>
      <c r="X177">
        <v>1</v>
      </c>
      <c r="Y177">
        <v>1769197577.9333301</v>
      </c>
      <c r="Z177">
        <v>409.662933333333</v>
      </c>
      <c r="AA177">
        <v>409.98966666666701</v>
      </c>
      <c r="AB177">
        <v>15.3607533333333</v>
      </c>
      <c r="AC177">
        <v>14.4632733333333</v>
      </c>
      <c r="AD177">
        <v>410.46793333333301</v>
      </c>
      <c r="AE177">
        <v>15.272906666666699</v>
      </c>
      <c r="AF177">
        <v>800.00686666666695</v>
      </c>
      <c r="AG177">
        <v>100.1382</v>
      </c>
      <c r="AH177">
        <v>6.41933533333333E-2</v>
      </c>
      <c r="AI177">
        <v>18.986406666666699</v>
      </c>
      <c r="AJ177">
        <v>999.9</v>
      </c>
      <c r="AK177">
        <v>999.9</v>
      </c>
      <c r="AL177">
        <v>0</v>
      </c>
      <c r="AM177">
        <v>0</v>
      </c>
      <c r="AN177">
        <v>4997.2</v>
      </c>
      <c r="AO177">
        <v>0</v>
      </c>
      <c r="AP177">
        <v>1.63733</v>
      </c>
      <c r="AQ177">
        <v>-0.326601266666667</v>
      </c>
      <c r="AR177">
        <v>416.05393333333302</v>
      </c>
      <c r="AS177">
        <v>416.00639999999999</v>
      </c>
      <c r="AT177">
        <v>0.89746179999999998</v>
      </c>
      <c r="AU177">
        <v>409.98966666666701</v>
      </c>
      <c r="AV177">
        <v>14.4632733333333</v>
      </c>
      <c r="AW177">
        <v>1.53819666666667</v>
      </c>
      <c r="AX177">
        <v>1.44832733333333</v>
      </c>
      <c r="AY177">
        <v>13.35322</v>
      </c>
      <c r="AZ177">
        <v>12.43328</v>
      </c>
      <c r="BA177">
        <v>299.99993333333299</v>
      </c>
      <c r="BB177">
        <v>0.89995619999999998</v>
      </c>
      <c r="BC177">
        <v>0</v>
      </c>
      <c r="BD177">
        <v>0.10004386666666699</v>
      </c>
      <c r="BE177">
        <v>0</v>
      </c>
      <c r="BF177">
        <v>25</v>
      </c>
      <c r="BG177">
        <v>4946.5666666666702</v>
      </c>
      <c r="BH177">
        <v>1769197084</v>
      </c>
      <c r="BI177" t="s">
        <v>568</v>
      </c>
      <c r="BJ177">
        <v>1769197082</v>
      </c>
      <c r="BK177">
        <v>1769197084</v>
      </c>
      <c r="BL177">
        <v>5</v>
      </c>
      <c r="BM177">
        <v>2.7E-2</v>
      </c>
      <c r="BN177">
        <v>-4.0000000000000001E-3</v>
      </c>
      <c r="BO177">
        <v>-0.80500000000000005</v>
      </c>
      <c r="BP177">
        <v>8.7999999999999995E-2</v>
      </c>
      <c r="BQ177">
        <v>410</v>
      </c>
      <c r="BR177">
        <v>15</v>
      </c>
      <c r="BS177">
        <v>0.28000000000000003</v>
      </c>
      <c r="BT177">
        <v>0.06</v>
      </c>
      <c r="BU177">
        <v>-0.32954719999999998</v>
      </c>
      <c r="BV177">
        <v>0.15237599999999901</v>
      </c>
      <c r="BW177">
        <v>2.87170491687429E-2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0.90606065000000002</v>
      </c>
      <c r="CD177">
        <v>-0.24130145864661601</v>
      </c>
      <c r="CE177">
        <v>2.3925730006156502E-2</v>
      </c>
      <c r="CF177">
        <v>0</v>
      </c>
      <c r="CG177">
        <v>1</v>
      </c>
      <c r="CH177">
        <v>2</v>
      </c>
      <c r="CI177" t="s">
        <v>297</v>
      </c>
      <c r="CJ177">
        <v>3.5325099999999998</v>
      </c>
      <c r="CK177">
        <v>2.7020599999999999</v>
      </c>
      <c r="CL177">
        <v>9.7890900000000003E-2</v>
      </c>
      <c r="CM177">
        <v>9.6596500000000002E-2</v>
      </c>
      <c r="CN177">
        <v>8.6936899999999998E-2</v>
      </c>
      <c r="CO177">
        <v>8.2343299999999994E-2</v>
      </c>
      <c r="CP177">
        <v>31630.2</v>
      </c>
      <c r="CQ177">
        <v>27820.2</v>
      </c>
      <c r="CR177">
        <v>32451.8</v>
      </c>
      <c r="CS177">
        <v>30722.1</v>
      </c>
      <c r="CT177">
        <v>40127.300000000003</v>
      </c>
      <c r="CU177">
        <v>39649.1</v>
      </c>
      <c r="CV177">
        <v>47398.9</v>
      </c>
      <c r="CW177">
        <v>46857.599999999999</v>
      </c>
      <c r="CX177">
        <v>2.62182</v>
      </c>
      <c r="CY177">
        <v>2.1233399999999998</v>
      </c>
      <c r="CZ177">
        <v>0</v>
      </c>
      <c r="DA177">
        <v>0</v>
      </c>
      <c r="DB177">
        <v>999.9</v>
      </c>
      <c r="DC177">
        <v>999.9</v>
      </c>
      <c r="DD177">
        <v>49.951000000000001</v>
      </c>
      <c r="DE177">
        <v>28.137</v>
      </c>
      <c r="DF177">
        <v>19.081199999999999</v>
      </c>
      <c r="DG177">
        <v>30.299800000000001</v>
      </c>
      <c r="DH177">
        <v>16.402200000000001</v>
      </c>
      <c r="DI177">
        <v>2</v>
      </c>
      <c r="DJ177">
        <v>-0.113951</v>
      </c>
      <c r="DK177">
        <v>1.96475</v>
      </c>
      <c r="DL177">
        <v>20.226700000000001</v>
      </c>
      <c r="DM177">
        <v>5.25</v>
      </c>
      <c r="DN177">
        <v>12.033899999999999</v>
      </c>
      <c r="DO177">
        <v>4.9669600000000003</v>
      </c>
      <c r="DP177">
        <v>3.2909999999999999</v>
      </c>
      <c r="DQ177">
        <v>536.79999999999995</v>
      </c>
      <c r="DR177">
        <v>9999</v>
      </c>
      <c r="DS177">
        <v>9999</v>
      </c>
      <c r="DT177">
        <v>9999</v>
      </c>
      <c r="DU177">
        <v>1.87117</v>
      </c>
      <c r="DV177">
        <v>1.87608</v>
      </c>
      <c r="DW177">
        <v>1.8763399999999999</v>
      </c>
      <c r="DX177">
        <v>1.8828</v>
      </c>
      <c r="DY177">
        <v>1.87561</v>
      </c>
      <c r="DZ177">
        <v>1.8746700000000001</v>
      </c>
      <c r="EA177">
        <v>1.8708400000000001</v>
      </c>
      <c r="EB177">
        <v>1.87463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-0.80500000000000005</v>
      </c>
      <c r="EQ177">
        <v>8.7900000000000006E-2</v>
      </c>
      <c r="ER177">
        <v>-0.80499999999989302</v>
      </c>
      <c r="ES177">
        <v>0</v>
      </c>
      <c r="ET177">
        <v>0</v>
      </c>
      <c r="EU177">
        <v>0</v>
      </c>
      <c r="EV177">
        <v>8.7840000000001695E-2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8.4</v>
      </c>
      <c r="FE177">
        <v>8.4</v>
      </c>
      <c r="FF177">
        <v>1.24268</v>
      </c>
      <c r="FG177">
        <v>2.5988799999999999</v>
      </c>
      <c r="FH177">
        <v>2.19604</v>
      </c>
      <c r="FI177">
        <v>2.66357</v>
      </c>
      <c r="FJ177">
        <v>2.4462899999999999</v>
      </c>
      <c r="FK177">
        <v>2.2729499999999998</v>
      </c>
      <c r="FL177">
        <v>32.465400000000002</v>
      </c>
      <c r="FM177">
        <v>24.14</v>
      </c>
      <c r="FN177">
        <v>19</v>
      </c>
      <c r="FO177">
        <v>866.03599999999994</v>
      </c>
      <c r="FP177">
        <v>572.32600000000002</v>
      </c>
      <c r="FQ177">
        <v>18.293600000000001</v>
      </c>
      <c r="FR177">
        <v>25.5456</v>
      </c>
      <c r="FS177">
        <v>30</v>
      </c>
      <c r="FT177">
        <v>25.604299999999999</v>
      </c>
      <c r="FU177">
        <v>25.608000000000001</v>
      </c>
      <c r="FV177">
        <v>24.9529</v>
      </c>
      <c r="FW177">
        <v>26.490100000000002</v>
      </c>
      <c r="FX177">
        <v>0</v>
      </c>
      <c r="FY177">
        <v>18.3004</v>
      </c>
      <c r="FZ177">
        <v>410</v>
      </c>
      <c r="GA177">
        <v>14.5525</v>
      </c>
      <c r="GB177">
        <v>99.871399999999994</v>
      </c>
      <c r="GC177">
        <v>99.745400000000004</v>
      </c>
    </row>
    <row r="178" spans="1:185" x14ac:dyDescent="0.2">
      <c r="A178">
        <v>163</v>
      </c>
      <c r="B178">
        <v>1769197601</v>
      </c>
      <c r="C178">
        <v>3040</v>
      </c>
      <c r="D178" t="s">
        <v>623</v>
      </c>
      <c r="E178" t="s">
        <v>624</v>
      </c>
      <c r="F178">
        <v>15</v>
      </c>
      <c r="G178">
        <v>1769197592.9333301</v>
      </c>
      <c r="H178">
        <f t="shared" si="26"/>
        <v>7.004853561368155E-4</v>
      </c>
      <c r="I178">
        <v>0</v>
      </c>
      <c r="J178">
        <f t="shared" si="38"/>
        <v>-2.8677533523564774E-4</v>
      </c>
      <c r="K178">
        <f t="shared" si="27"/>
        <v>-1.068634387859767E-2</v>
      </c>
      <c r="L178">
        <f t="shared" si="28"/>
        <v>69.829399353696388</v>
      </c>
      <c r="M178">
        <f t="shared" si="29"/>
        <v>1.5387896633954674</v>
      </c>
      <c r="N178">
        <f t="shared" si="30"/>
        <v>2.2036415573349943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26271.976301624833</v>
      </c>
      <c r="T178">
        <f t="shared" si="34"/>
        <v>299.99926666666698</v>
      </c>
      <c r="U178">
        <f t="shared" si="35"/>
        <v>252.89974419911451</v>
      </c>
      <c r="V178">
        <f t="shared" si="36"/>
        <v>0.84300120800000033</v>
      </c>
      <c r="W178">
        <f t="shared" si="37"/>
        <v>0.15870289008000005</v>
      </c>
      <c r="X178">
        <v>1</v>
      </c>
      <c r="Y178">
        <v>1769197592.9333301</v>
      </c>
      <c r="Z178">
        <v>409.649</v>
      </c>
      <c r="AA178">
        <v>409.99433333333297</v>
      </c>
      <c r="AB178">
        <v>15.356593333333301</v>
      </c>
      <c r="AC178">
        <v>14.4944333333333</v>
      </c>
      <c r="AD178">
        <v>410.45400000000001</v>
      </c>
      <c r="AE178">
        <v>15.268746666666701</v>
      </c>
      <c r="AF178">
        <v>800.00033333333295</v>
      </c>
      <c r="AG178">
        <v>100.139666666667</v>
      </c>
      <c r="AH178">
        <v>6.4176073333333306E-2</v>
      </c>
      <c r="AI178">
        <v>18.988813333333301</v>
      </c>
      <c r="AJ178">
        <v>999.9</v>
      </c>
      <c r="AK178">
        <v>999.9</v>
      </c>
      <c r="AL178">
        <v>0</v>
      </c>
      <c r="AM178">
        <v>0</v>
      </c>
      <c r="AN178">
        <v>5002</v>
      </c>
      <c r="AO178">
        <v>0</v>
      </c>
      <c r="AP178">
        <v>1.63733</v>
      </c>
      <c r="AQ178">
        <v>-0.3454854</v>
      </c>
      <c r="AR178">
        <v>416.03786666666701</v>
      </c>
      <c r="AS178">
        <v>416.02446666666702</v>
      </c>
      <c r="AT178">
        <v>0.86215666666666702</v>
      </c>
      <c r="AU178">
        <v>409.99433333333297</v>
      </c>
      <c r="AV178">
        <v>14.4944333333333</v>
      </c>
      <c r="AW178">
        <v>1.5378039999999999</v>
      </c>
      <c r="AX178">
        <v>1.4514686666666701</v>
      </c>
      <c r="AY178">
        <v>13.349313333333299</v>
      </c>
      <c r="AZ178">
        <v>12.4662733333333</v>
      </c>
      <c r="BA178">
        <v>299.99926666666698</v>
      </c>
      <c r="BB178">
        <v>0.89996166666666699</v>
      </c>
      <c r="BC178">
        <v>0</v>
      </c>
      <c r="BD178">
        <v>0.1000384</v>
      </c>
      <c r="BE178">
        <v>0</v>
      </c>
      <c r="BF178">
        <v>25</v>
      </c>
      <c r="BG178">
        <v>4946.5673333333298</v>
      </c>
      <c r="BH178">
        <v>1769197084</v>
      </c>
      <c r="BI178" t="s">
        <v>568</v>
      </c>
      <c r="BJ178">
        <v>1769197082</v>
      </c>
      <c r="BK178">
        <v>1769197084</v>
      </c>
      <c r="BL178">
        <v>5</v>
      </c>
      <c r="BM178">
        <v>2.7E-2</v>
      </c>
      <c r="BN178">
        <v>-4.0000000000000001E-3</v>
      </c>
      <c r="BO178">
        <v>-0.80500000000000005</v>
      </c>
      <c r="BP178">
        <v>8.7999999999999995E-2</v>
      </c>
      <c r="BQ178">
        <v>410</v>
      </c>
      <c r="BR178">
        <v>15</v>
      </c>
      <c r="BS178">
        <v>0.28000000000000003</v>
      </c>
      <c r="BT178">
        <v>0.06</v>
      </c>
      <c r="BU178">
        <v>-0.33140928571428602</v>
      </c>
      <c r="BV178">
        <v>-0.182742779220779</v>
      </c>
      <c r="BW178">
        <v>2.99561256636353E-2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0.86555361904761896</v>
      </c>
      <c r="CD178">
        <v>-5.4938259740258497E-2</v>
      </c>
      <c r="CE178">
        <v>7.4976848266406501E-3</v>
      </c>
      <c r="CF178">
        <v>1</v>
      </c>
      <c r="CG178">
        <v>2</v>
      </c>
      <c r="CH178">
        <v>2</v>
      </c>
      <c r="CI178" t="s">
        <v>304</v>
      </c>
      <c r="CJ178">
        <v>3.5325199999999999</v>
      </c>
      <c r="CK178">
        <v>2.70207</v>
      </c>
      <c r="CL178">
        <v>9.7892599999999996E-2</v>
      </c>
      <c r="CM178">
        <v>9.6602599999999997E-2</v>
      </c>
      <c r="CN178">
        <v>8.6992899999999998E-2</v>
      </c>
      <c r="CO178">
        <v>8.2438800000000007E-2</v>
      </c>
      <c r="CP178">
        <v>31629.8</v>
      </c>
      <c r="CQ178">
        <v>27820.3</v>
      </c>
      <c r="CR178">
        <v>32451.5</v>
      </c>
      <c r="CS178">
        <v>30722.400000000001</v>
      </c>
      <c r="CT178">
        <v>40124.1</v>
      </c>
      <c r="CU178">
        <v>39645.199999999997</v>
      </c>
      <c r="CV178">
        <v>47398.2</v>
      </c>
      <c r="CW178">
        <v>46858.1</v>
      </c>
      <c r="CX178">
        <v>2.62208</v>
      </c>
      <c r="CY178">
        <v>2.1232799999999998</v>
      </c>
      <c r="CZ178">
        <v>0</v>
      </c>
      <c r="DA178">
        <v>0</v>
      </c>
      <c r="DB178">
        <v>999.9</v>
      </c>
      <c r="DC178">
        <v>999.9</v>
      </c>
      <c r="DD178">
        <v>49.89</v>
      </c>
      <c r="DE178">
        <v>28.126999999999999</v>
      </c>
      <c r="DF178">
        <v>19.046399999999998</v>
      </c>
      <c r="DG178">
        <v>30.209800000000001</v>
      </c>
      <c r="DH178">
        <v>16.546500000000002</v>
      </c>
      <c r="DI178">
        <v>2</v>
      </c>
      <c r="DJ178">
        <v>-0.114236</v>
      </c>
      <c r="DK178">
        <v>1.95523</v>
      </c>
      <c r="DL178">
        <v>20.226700000000001</v>
      </c>
      <c r="DM178">
        <v>5.2501199999999999</v>
      </c>
      <c r="DN178">
        <v>12.033899999999999</v>
      </c>
      <c r="DO178">
        <v>4.9669600000000003</v>
      </c>
      <c r="DP178">
        <v>3.2909999999999999</v>
      </c>
      <c r="DQ178">
        <v>536.79999999999995</v>
      </c>
      <c r="DR178">
        <v>9999</v>
      </c>
      <c r="DS178">
        <v>9999</v>
      </c>
      <c r="DT178">
        <v>9999</v>
      </c>
      <c r="DU178">
        <v>1.8711500000000001</v>
      </c>
      <c r="DV178">
        <v>1.8760699999999999</v>
      </c>
      <c r="DW178">
        <v>1.87632</v>
      </c>
      <c r="DX178">
        <v>1.8827799999999999</v>
      </c>
      <c r="DY178">
        <v>1.8755900000000001</v>
      </c>
      <c r="DZ178">
        <v>1.8746799999999999</v>
      </c>
      <c r="EA178">
        <v>1.8708100000000001</v>
      </c>
      <c r="EB178">
        <v>1.8746499999999999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-0.80500000000000005</v>
      </c>
      <c r="EQ178">
        <v>8.7800000000000003E-2</v>
      </c>
      <c r="ER178">
        <v>-0.80499999999989302</v>
      </c>
      <c r="ES178">
        <v>0</v>
      </c>
      <c r="ET178">
        <v>0</v>
      </c>
      <c r="EU178">
        <v>0</v>
      </c>
      <c r="EV178">
        <v>8.7840000000001695E-2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8.6999999999999993</v>
      </c>
      <c r="FE178">
        <v>8.6</v>
      </c>
      <c r="FF178">
        <v>1.24268</v>
      </c>
      <c r="FG178">
        <v>2.6037599999999999</v>
      </c>
      <c r="FH178">
        <v>2.19604</v>
      </c>
      <c r="FI178">
        <v>2.66357</v>
      </c>
      <c r="FJ178">
        <v>2.4462899999999999</v>
      </c>
      <c r="FK178">
        <v>2.2338900000000002</v>
      </c>
      <c r="FL178">
        <v>32.465400000000002</v>
      </c>
      <c r="FM178">
        <v>24.14</v>
      </c>
      <c r="FN178">
        <v>19</v>
      </c>
      <c r="FO178">
        <v>866.18799999999999</v>
      </c>
      <c r="FP178">
        <v>572.22900000000004</v>
      </c>
      <c r="FQ178">
        <v>18.322500000000002</v>
      </c>
      <c r="FR178">
        <v>25.540900000000001</v>
      </c>
      <c r="FS178">
        <v>29.9999</v>
      </c>
      <c r="FT178">
        <v>25.598700000000001</v>
      </c>
      <c r="FU178">
        <v>25.603300000000001</v>
      </c>
      <c r="FV178">
        <v>24.952200000000001</v>
      </c>
      <c r="FW178">
        <v>26.490100000000002</v>
      </c>
      <c r="FX178">
        <v>0</v>
      </c>
      <c r="FY178">
        <v>18.325500000000002</v>
      </c>
      <c r="FZ178">
        <v>410</v>
      </c>
      <c r="GA178">
        <v>14.5585</v>
      </c>
      <c r="GB178">
        <v>99.87</v>
      </c>
      <c r="GC178">
        <v>99.746200000000002</v>
      </c>
    </row>
    <row r="179" spans="1:185" x14ac:dyDescent="0.2">
      <c r="A179">
        <v>164</v>
      </c>
      <c r="B179">
        <v>1769197616</v>
      </c>
      <c r="C179">
        <v>3055</v>
      </c>
      <c r="D179" t="s">
        <v>625</v>
      </c>
      <c r="E179" t="s">
        <v>626</v>
      </c>
      <c r="F179">
        <v>15</v>
      </c>
      <c r="G179">
        <v>1769197607.9333301</v>
      </c>
      <c r="H179">
        <f t="shared" si="26"/>
        <v>6.9464015940260185E-4</v>
      </c>
      <c r="I179">
        <v>0</v>
      </c>
      <c r="J179">
        <f t="shared" si="38"/>
        <v>-4.2443069955103591E-4</v>
      </c>
      <c r="K179">
        <f t="shared" si="27"/>
        <v>-1.5815908311323762E-2</v>
      </c>
      <c r="L179">
        <f t="shared" si="28"/>
        <v>69.815782117387712</v>
      </c>
      <c r="M179">
        <f t="shared" si="29"/>
        <v>1.5388211891843158</v>
      </c>
      <c r="N179">
        <f t="shared" si="30"/>
        <v>2.2041165228185138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26231.722359582323</v>
      </c>
      <c r="T179">
        <f t="shared" si="34"/>
        <v>300.00020000000001</v>
      </c>
      <c r="U179">
        <f t="shared" si="35"/>
        <v>252.90049860021998</v>
      </c>
      <c r="V179">
        <f t="shared" si="36"/>
        <v>0.84300109999999995</v>
      </c>
      <c r="W179">
        <f t="shared" si="37"/>
        <v>0.15870275000000003</v>
      </c>
      <c r="X179">
        <v>1</v>
      </c>
      <c r="Y179">
        <v>1769197607.9333301</v>
      </c>
      <c r="Z179">
        <v>409.657266666667</v>
      </c>
      <c r="AA179">
        <v>409.9932</v>
      </c>
      <c r="AB179">
        <v>15.3569333333333</v>
      </c>
      <c r="AC179">
        <v>14.5019733333333</v>
      </c>
      <c r="AD179">
        <v>410.46213333333299</v>
      </c>
      <c r="AE179">
        <v>15.269106666666699</v>
      </c>
      <c r="AF179">
        <v>800.00540000000001</v>
      </c>
      <c r="AG179">
        <v>100.13939999999999</v>
      </c>
      <c r="AH179">
        <v>6.4277113333333302E-2</v>
      </c>
      <c r="AI179">
        <v>18.992266666666701</v>
      </c>
      <c r="AJ179">
        <v>999.9</v>
      </c>
      <c r="AK179">
        <v>999.9</v>
      </c>
      <c r="AL179">
        <v>0</v>
      </c>
      <c r="AM179">
        <v>0</v>
      </c>
      <c r="AN179">
        <v>4995.4333333333298</v>
      </c>
      <c r="AO179">
        <v>0</v>
      </c>
      <c r="AP179">
        <v>1.63733</v>
      </c>
      <c r="AQ179">
        <v>-0.33593953333333298</v>
      </c>
      <c r="AR179">
        <v>416.0462</v>
      </c>
      <c r="AS179">
        <v>416.02620000000002</v>
      </c>
      <c r="AT179">
        <v>0.85497520000000005</v>
      </c>
      <c r="AU179">
        <v>409.9932</v>
      </c>
      <c r="AV179">
        <v>14.5019733333333</v>
      </c>
      <c r="AW179">
        <v>1.5378333333333301</v>
      </c>
      <c r="AX179">
        <v>1.452218</v>
      </c>
      <c r="AY179">
        <v>13.349600000000001</v>
      </c>
      <c r="AZ179">
        <v>12.474133333333301</v>
      </c>
      <c r="BA179">
        <v>300.00020000000001</v>
      </c>
      <c r="BB179">
        <v>0.899963333333333</v>
      </c>
      <c r="BC179">
        <v>0</v>
      </c>
      <c r="BD179">
        <v>0.100036666666667</v>
      </c>
      <c r="BE179">
        <v>0</v>
      </c>
      <c r="BF179">
        <v>25</v>
      </c>
      <c r="BG179">
        <v>4946.5853333333298</v>
      </c>
      <c r="BH179">
        <v>1769197084</v>
      </c>
      <c r="BI179" t="s">
        <v>568</v>
      </c>
      <c r="BJ179">
        <v>1769197082</v>
      </c>
      <c r="BK179">
        <v>1769197084</v>
      </c>
      <c r="BL179">
        <v>5</v>
      </c>
      <c r="BM179">
        <v>2.7E-2</v>
      </c>
      <c r="BN179">
        <v>-4.0000000000000001E-3</v>
      </c>
      <c r="BO179">
        <v>-0.80500000000000005</v>
      </c>
      <c r="BP179">
        <v>8.7999999999999995E-2</v>
      </c>
      <c r="BQ179">
        <v>410</v>
      </c>
      <c r="BR179">
        <v>15</v>
      </c>
      <c r="BS179">
        <v>0.28000000000000003</v>
      </c>
      <c r="BT179">
        <v>0.06</v>
      </c>
      <c r="BU179">
        <v>-0.33598630000000002</v>
      </c>
      <c r="BV179">
        <v>8.1936721804510698E-2</v>
      </c>
      <c r="BW179">
        <v>2.22121882895405E-2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0.85685020000000001</v>
      </c>
      <c r="CD179">
        <v>-8.3508631578949097E-2</v>
      </c>
      <c r="CE179">
        <v>1.1259495586392901E-2</v>
      </c>
      <c r="CF179">
        <v>1</v>
      </c>
      <c r="CG179">
        <v>2</v>
      </c>
      <c r="CH179">
        <v>2</v>
      </c>
      <c r="CI179" t="s">
        <v>304</v>
      </c>
      <c r="CJ179">
        <v>3.5325199999999999</v>
      </c>
      <c r="CK179">
        <v>2.7019799999999998</v>
      </c>
      <c r="CL179">
        <v>9.7897899999999996E-2</v>
      </c>
      <c r="CM179">
        <v>9.6592999999999998E-2</v>
      </c>
      <c r="CN179">
        <v>8.6966100000000005E-2</v>
      </c>
      <c r="CO179">
        <v>8.2640099999999994E-2</v>
      </c>
      <c r="CP179">
        <v>31631.1</v>
      </c>
      <c r="CQ179">
        <v>27820.799999999999</v>
      </c>
      <c r="CR179">
        <v>32453</v>
      </c>
      <c r="CS179">
        <v>30722.6</v>
      </c>
      <c r="CT179">
        <v>40127.199999999997</v>
      </c>
      <c r="CU179">
        <v>39636.800000000003</v>
      </c>
      <c r="CV179">
        <v>47400.4</v>
      </c>
      <c r="CW179">
        <v>46858.7</v>
      </c>
      <c r="CX179">
        <v>2.6219999999999999</v>
      </c>
      <c r="CY179">
        <v>2.1233599999999999</v>
      </c>
      <c r="CZ179">
        <v>0</v>
      </c>
      <c r="DA179">
        <v>0</v>
      </c>
      <c r="DB179">
        <v>999.9</v>
      </c>
      <c r="DC179">
        <v>999.9</v>
      </c>
      <c r="DD179">
        <v>49.853000000000002</v>
      </c>
      <c r="DE179">
        <v>28.157</v>
      </c>
      <c r="DF179">
        <v>19.065200000000001</v>
      </c>
      <c r="DG179">
        <v>30.149799999999999</v>
      </c>
      <c r="DH179">
        <v>16.5184</v>
      </c>
      <c r="DI179">
        <v>2</v>
      </c>
      <c r="DJ179">
        <v>-0.114437</v>
      </c>
      <c r="DK179">
        <v>1.95234</v>
      </c>
      <c r="DL179">
        <v>20.226600000000001</v>
      </c>
      <c r="DM179">
        <v>5.2495200000000004</v>
      </c>
      <c r="DN179">
        <v>12.033899999999999</v>
      </c>
      <c r="DO179">
        <v>4.9668000000000001</v>
      </c>
      <c r="DP179">
        <v>3.2909999999999999</v>
      </c>
      <c r="DQ179">
        <v>536.9</v>
      </c>
      <c r="DR179">
        <v>9999</v>
      </c>
      <c r="DS179">
        <v>9999</v>
      </c>
      <c r="DT179">
        <v>9999</v>
      </c>
      <c r="DU179">
        <v>1.8711199999999999</v>
      </c>
      <c r="DV179">
        <v>1.87608</v>
      </c>
      <c r="DW179">
        <v>1.87632</v>
      </c>
      <c r="DX179">
        <v>1.8827799999999999</v>
      </c>
      <c r="DY179">
        <v>1.87557</v>
      </c>
      <c r="DZ179">
        <v>1.8746700000000001</v>
      </c>
      <c r="EA179">
        <v>1.8707800000000001</v>
      </c>
      <c r="EB179">
        <v>1.87462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-0.80500000000000005</v>
      </c>
      <c r="EQ179">
        <v>8.7800000000000003E-2</v>
      </c>
      <c r="ER179">
        <v>-0.80499999999989302</v>
      </c>
      <c r="ES179">
        <v>0</v>
      </c>
      <c r="ET179">
        <v>0</v>
      </c>
      <c r="EU179">
        <v>0</v>
      </c>
      <c r="EV179">
        <v>8.7840000000001695E-2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8.9</v>
      </c>
      <c r="FE179">
        <v>8.9</v>
      </c>
      <c r="FF179">
        <v>1.24268</v>
      </c>
      <c r="FG179">
        <v>2.6013199999999999</v>
      </c>
      <c r="FH179">
        <v>2.19604</v>
      </c>
      <c r="FI179">
        <v>2.66357</v>
      </c>
      <c r="FJ179">
        <v>2.4462899999999999</v>
      </c>
      <c r="FK179">
        <v>2.2802699999999998</v>
      </c>
      <c r="FL179">
        <v>32.487499999999997</v>
      </c>
      <c r="FM179">
        <v>24.148800000000001</v>
      </c>
      <c r="FN179">
        <v>19</v>
      </c>
      <c r="FO179">
        <v>866.024</v>
      </c>
      <c r="FP179">
        <v>572.22799999999995</v>
      </c>
      <c r="FQ179">
        <v>18.340800000000002</v>
      </c>
      <c r="FR179">
        <v>25.537400000000002</v>
      </c>
      <c r="FS179">
        <v>30</v>
      </c>
      <c r="FT179">
        <v>25.5931</v>
      </c>
      <c r="FU179">
        <v>25.5977</v>
      </c>
      <c r="FV179">
        <v>24.955400000000001</v>
      </c>
      <c r="FW179">
        <v>26.201000000000001</v>
      </c>
      <c r="FX179">
        <v>0</v>
      </c>
      <c r="FY179">
        <v>18.343</v>
      </c>
      <c r="FZ179">
        <v>410</v>
      </c>
      <c r="GA179">
        <v>14.565799999999999</v>
      </c>
      <c r="GB179">
        <v>99.874700000000004</v>
      </c>
      <c r="GC179">
        <v>99.747299999999996</v>
      </c>
    </row>
    <row r="180" spans="1:185" x14ac:dyDescent="0.2">
      <c r="A180">
        <v>165</v>
      </c>
      <c r="B180">
        <v>1769197631</v>
      </c>
      <c r="C180">
        <v>3070</v>
      </c>
      <c r="D180" t="s">
        <v>627</v>
      </c>
      <c r="E180" t="s">
        <v>628</v>
      </c>
      <c r="F180">
        <v>15</v>
      </c>
      <c r="G180">
        <v>1769197622.9333301</v>
      </c>
      <c r="H180">
        <f t="shared" si="26"/>
        <v>6.6179691111138304E-4</v>
      </c>
      <c r="I180">
        <v>0</v>
      </c>
      <c r="J180">
        <f t="shared" si="38"/>
        <v>-5.5053275792262663E-4</v>
      </c>
      <c r="K180">
        <f t="shared" si="27"/>
        <v>-2.0514952454888255E-2</v>
      </c>
      <c r="L180">
        <f t="shared" si="28"/>
        <v>69.844421376193125</v>
      </c>
      <c r="M180">
        <f t="shared" si="29"/>
        <v>1.5400955907111216</v>
      </c>
      <c r="N180">
        <f t="shared" si="30"/>
        <v>2.2050373678606667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26256.401505044232</v>
      </c>
      <c r="T180">
        <f t="shared" si="34"/>
        <v>299.99993333333299</v>
      </c>
      <c r="U180">
        <f t="shared" si="35"/>
        <v>252.90032719991453</v>
      </c>
      <c r="V180">
        <f t="shared" si="36"/>
        <v>0.84300127800000002</v>
      </c>
      <c r="W180">
        <f t="shared" si="37"/>
        <v>0.15870319499999999</v>
      </c>
      <c r="X180">
        <v>1</v>
      </c>
      <c r="Y180">
        <v>1769197622.9333301</v>
      </c>
      <c r="Z180">
        <v>409.68433333333297</v>
      </c>
      <c r="AA180">
        <v>409.99759999999998</v>
      </c>
      <c r="AB180">
        <v>15.369426666666699</v>
      </c>
      <c r="AC180">
        <v>14.5548933333333</v>
      </c>
      <c r="AD180">
        <v>410.48933333333298</v>
      </c>
      <c r="AE180">
        <v>15.28158</v>
      </c>
      <c r="AF180">
        <v>799.99853333333294</v>
      </c>
      <c r="AG180">
        <v>100.14086666666699</v>
      </c>
      <c r="AH180">
        <v>6.4275926666666705E-2</v>
      </c>
      <c r="AI180">
        <v>18.99896</v>
      </c>
      <c r="AJ180">
        <v>999.9</v>
      </c>
      <c r="AK180">
        <v>999.9</v>
      </c>
      <c r="AL180">
        <v>0</v>
      </c>
      <c r="AM180">
        <v>0</v>
      </c>
      <c r="AN180">
        <v>4999.5333333333301</v>
      </c>
      <c r="AO180">
        <v>0</v>
      </c>
      <c r="AP180">
        <v>1.63733</v>
      </c>
      <c r="AQ180">
        <v>-0.31326093333333299</v>
      </c>
      <c r="AR180">
        <v>416.07933333333301</v>
      </c>
      <c r="AS180">
        <v>416.05326666666701</v>
      </c>
      <c r="AT180">
        <v>0.81453786666666705</v>
      </c>
      <c r="AU180">
        <v>409.99759999999998</v>
      </c>
      <c r="AV180">
        <v>14.5548933333333</v>
      </c>
      <c r="AW180">
        <v>1.53910666666667</v>
      </c>
      <c r="AX180">
        <v>1.45753666666667</v>
      </c>
      <c r="AY180">
        <v>13.3622866666667</v>
      </c>
      <c r="AZ180">
        <v>12.529859999999999</v>
      </c>
      <c r="BA180">
        <v>299.99993333333299</v>
      </c>
      <c r="BB180">
        <v>0.89995740000000002</v>
      </c>
      <c r="BC180">
        <v>0</v>
      </c>
      <c r="BD180">
        <v>0.1000426</v>
      </c>
      <c r="BE180">
        <v>0</v>
      </c>
      <c r="BF180">
        <v>25</v>
      </c>
      <c r="BG180">
        <v>4946.5720000000001</v>
      </c>
      <c r="BH180">
        <v>1769197084</v>
      </c>
      <c r="BI180" t="s">
        <v>568</v>
      </c>
      <c r="BJ180">
        <v>1769197082</v>
      </c>
      <c r="BK180">
        <v>1769197084</v>
      </c>
      <c r="BL180">
        <v>5</v>
      </c>
      <c r="BM180">
        <v>2.7E-2</v>
      </c>
      <c r="BN180">
        <v>-4.0000000000000001E-3</v>
      </c>
      <c r="BO180">
        <v>-0.80500000000000005</v>
      </c>
      <c r="BP180">
        <v>8.7999999999999995E-2</v>
      </c>
      <c r="BQ180">
        <v>410</v>
      </c>
      <c r="BR180">
        <v>15</v>
      </c>
      <c r="BS180">
        <v>0.28000000000000003</v>
      </c>
      <c r="BT180">
        <v>0.06</v>
      </c>
      <c r="BU180">
        <v>-0.31374980952380899</v>
      </c>
      <c r="BV180">
        <v>-5.5644545454546099E-2</v>
      </c>
      <c r="BW180">
        <v>2.34865244436019E-2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0.82251880952380896</v>
      </c>
      <c r="CD180">
        <v>-8.9228103896102598E-2</v>
      </c>
      <c r="CE180">
        <v>1.6391025467263499E-2</v>
      </c>
      <c r="CF180">
        <v>1</v>
      </c>
      <c r="CG180">
        <v>2</v>
      </c>
      <c r="CH180">
        <v>2</v>
      </c>
      <c r="CI180" t="s">
        <v>304</v>
      </c>
      <c r="CJ180">
        <v>3.5325199999999999</v>
      </c>
      <c r="CK180">
        <v>2.7021099999999998</v>
      </c>
      <c r="CL180">
        <v>9.7904500000000005E-2</v>
      </c>
      <c r="CM180">
        <v>9.6612199999999995E-2</v>
      </c>
      <c r="CN180">
        <v>8.7067599999999995E-2</v>
      </c>
      <c r="CO180">
        <v>8.2683800000000002E-2</v>
      </c>
      <c r="CP180">
        <v>31630.400000000001</v>
      </c>
      <c r="CQ180">
        <v>27820.400000000001</v>
      </c>
      <c r="CR180">
        <v>32452.5</v>
      </c>
      <c r="CS180">
        <v>30722.799999999999</v>
      </c>
      <c r="CT180">
        <v>40122.1</v>
      </c>
      <c r="CU180">
        <v>39635</v>
      </c>
      <c r="CV180">
        <v>47399.7</v>
      </c>
      <c r="CW180">
        <v>46858.8</v>
      </c>
      <c r="CX180">
        <v>2.62202</v>
      </c>
      <c r="CY180">
        <v>2.1233</v>
      </c>
      <c r="CZ180">
        <v>0</v>
      </c>
      <c r="DA180">
        <v>0</v>
      </c>
      <c r="DB180">
        <v>999.9</v>
      </c>
      <c r="DC180">
        <v>999.9</v>
      </c>
      <c r="DD180">
        <v>49.805</v>
      </c>
      <c r="DE180">
        <v>28.157</v>
      </c>
      <c r="DF180">
        <v>19.044799999999999</v>
      </c>
      <c r="DG180">
        <v>30.479800000000001</v>
      </c>
      <c r="DH180">
        <v>16.458300000000001</v>
      </c>
      <c r="DI180">
        <v>2</v>
      </c>
      <c r="DJ180">
        <v>-0.11450200000000001</v>
      </c>
      <c r="DK180">
        <v>2.0903499999999999</v>
      </c>
      <c r="DL180">
        <v>20.224699999999999</v>
      </c>
      <c r="DM180">
        <v>5.25</v>
      </c>
      <c r="DN180">
        <v>12.033899999999999</v>
      </c>
      <c r="DO180">
        <v>4.9668799999999997</v>
      </c>
      <c r="DP180">
        <v>3.2909999999999999</v>
      </c>
      <c r="DQ180">
        <v>536.9</v>
      </c>
      <c r="DR180">
        <v>9999</v>
      </c>
      <c r="DS180">
        <v>9999</v>
      </c>
      <c r="DT180">
        <v>9999</v>
      </c>
      <c r="DU180">
        <v>1.8710599999999999</v>
      </c>
      <c r="DV180">
        <v>1.8760699999999999</v>
      </c>
      <c r="DW180">
        <v>1.87626</v>
      </c>
      <c r="DX180">
        <v>1.8827799999999999</v>
      </c>
      <c r="DY180">
        <v>1.87554</v>
      </c>
      <c r="DZ180">
        <v>1.8746400000000001</v>
      </c>
      <c r="EA180">
        <v>1.87076</v>
      </c>
      <c r="EB180">
        <v>1.87459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-0.80500000000000005</v>
      </c>
      <c r="EQ180">
        <v>8.7900000000000006E-2</v>
      </c>
      <c r="ER180">
        <v>-0.80499999999989302</v>
      </c>
      <c r="ES180">
        <v>0</v>
      </c>
      <c r="ET180">
        <v>0</v>
      </c>
      <c r="EU180">
        <v>0</v>
      </c>
      <c r="EV180">
        <v>8.7840000000001695E-2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9.1999999999999993</v>
      </c>
      <c r="FE180">
        <v>9.1</v>
      </c>
      <c r="FF180">
        <v>1.2439</v>
      </c>
      <c r="FG180">
        <v>2.5964399999999999</v>
      </c>
      <c r="FH180">
        <v>2.19604</v>
      </c>
      <c r="FI180">
        <v>2.66357</v>
      </c>
      <c r="FJ180">
        <v>2.4462899999999999</v>
      </c>
      <c r="FK180">
        <v>2.2997999999999998</v>
      </c>
      <c r="FL180">
        <v>32.487499999999997</v>
      </c>
      <c r="FM180">
        <v>24.148800000000001</v>
      </c>
      <c r="FN180">
        <v>19</v>
      </c>
      <c r="FO180">
        <v>865.96699999999998</v>
      </c>
      <c r="FP180">
        <v>572.12900000000002</v>
      </c>
      <c r="FQ180">
        <v>18.340299999999999</v>
      </c>
      <c r="FR180">
        <v>25.533200000000001</v>
      </c>
      <c r="FS180">
        <v>30.0001</v>
      </c>
      <c r="FT180">
        <v>25.5884</v>
      </c>
      <c r="FU180">
        <v>25.5929</v>
      </c>
      <c r="FV180">
        <v>24.953299999999999</v>
      </c>
      <c r="FW180">
        <v>26.201000000000001</v>
      </c>
      <c r="FX180">
        <v>0</v>
      </c>
      <c r="FY180">
        <v>18.3018</v>
      </c>
      <c r="FZ180">
        <v>410</v>
      </c>
      <c r="GA180">
        <v>14.5617</v>
      </c>
      <c r="GB180">
        <v>99.873199999999997</v>
      </c>
      <c r="GC180">
        <v>99.747799999999998</v>
      </c>
    </row>
    <row r="181" spans="1:185" x14ac:dyDescent="0.2">
      <c r="A181">
        <v>166</v>
      </c>
      <c r="B181">
        <v>1769197646</v>
      </c>
      <c r="C181">
        <v>3085</v>
      </c>
      <c r="D181" t="s">
        <v>629</v>
      </c>
      <c r="E181" t="s">
        <v>630</v>
      </c>
      <c r="F181">
        <v>15</v>
      </c>
      <c r="G181">
        <v>1769197637.9333301</v>
      </c>
      <c r="H181">
        <f t="shared" si="26"/>
        <v>6.7592362823422705E-4</v>
      </c>
      <c r="I181">
        <v>0</v>
      </c>
      <c r="J181">
        <f t="shared" si="38"/>
        <v>-7.7458240148390505E-4</v>
      </c>
      <c r="K181">
        <f t="shared" si="27"/>
        <v>-2.8863897579494761E-2</v>
      </c>
      <c r="L181">
        <f t="shared" si="28"/>
        <v>69.905596160427109</v>
      </c>
      <c r="M181">
        <f t="shared" si="29"/>
        <v>1.5416965566970342</v>
      </c>
      <c r="N181">
        <f t="shared" si="30"/>
        <v>2.2053979100027674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26243.26894198942</v>
      </c>
      <c r="T181">
        <f t="shared" si="34"/>
        <v>299.99973333333298</v>
      </c>
      <c r="U181">
        <f t="shared" si="35"/>
        <v>252.9001711996479</v>
      </c>
      <c r="V181">
        <f t="shared" si="36"/>
        <v>0.84300132000000061</v>
      </c>
      <c r="W181">
        <f t="shared" si="37"/>
        <v>0.15870304016000014</v>
      </c>
      <c r="X181">
        <v>1</v>
      </c>
      <c r="Y181">
        <v>1769197637.9333301</v>
      </c>
      <c r="Z181">
        <v>409.68966666666699</v>
      </c>
      <c r="AA181">
        <v>409.99973333333298</v>
      </c>
      <c r="AB181">
        <v>15.3849933333333</v>
      </c>
      <c r="AC181">
        <v>14.553093333333299</v>
      </c>
      <c r="AD181">
        <v>410.494666666667</v>
      </c>
      <c r="AE181">
        <v>15.2971466666667</v>
      </c>
      <c r="AF181">
        <v>800.00546666666696</v>
      </c>
      <c r="AG181">
        <v>100.1434</v>
      </c>
      <c r="AH181">
        <v>6.4414413333333295E-2</v>
      </c>
      <c r="AI181">
        <v>19.001580000000001</v>
      </c>
      <c r="AJ181">
        <v>999.9</v>
      </c>
      <c r="AK181">
        <v>999.9</v>
      </c>
      <c r="AL181">
        <v>0</v>
      </c>
      <c r="AM181">
        <v>0</v>
      </c>
      <c r="AN181">
        <v>4997.3</v>
      </c>
      <c r="AO181">
        <v>0</v>
      </c>
      <c r="AP181">
        <v>1.63733</v>
      </c>
      <c r="AQ181">
        <v>-0.31004039999999999</v>
      </c>
      <c r="AR181">
        <v>416.09126666666702</v>
      </c>
      <c r="AS181">
        <v>416.05453333333298</v>
      </c>
      <c r="AT181">
        <v>0.83189740000000001</v>
      </c>
      <c r="AU181">
        <v>409.99973333333298</v>
      </c>
      <c r="AV181">
        <v>14.553093333333299</v>
      </c>
      <c r="AW181">
        <v>1.54070666666667</v>
      </c>
      <c r="AX181">
        <v>1.4573959999999999</v>
      </c>
      <c r="AY181">
        <v>13.378206666666699</v>
      </c>
      <c r="AZ181">
        <v>12.528359999999999</v>
      </c>
      <c r="BA181">
        <v>299.99973333333298</v>
      </c>
      <c r="BB181">
        <v>0.89995986666666705</v>
      </c>
      <c r="BC181">
        <v>0</v>
      </c>
      <c r="BD181">
        <v>0.100040266666667</v>
      </c>
      <c r="BE181">
        <v>0</v>
      </c>
      <c r="BF181">
        <v>25</v>
      </c>
      <c r="BG181">
        <v>4946.5733333333301</v>
      </c>
      <c r="BH181">
        <v>1769197084</v>
      </c>
      <c r="BI181" t="s">
        <v>568</v>
      </c>
      <c r="BJ181">
        <v>1769197082</v>
      </c>
      <c r="BK181">
        <v>1769197084</v>
      </c>
      <c r="BL181">
        <v>5</v>
      </c>
      <c r="BM181">
        <v>2.7E-2</v>
      </c>
      <c r="BN181">
        <v>-4.0000000000000001E-3</v>
      </c>
      <c r="BO181">
        <v>-0.80500000000000005</v>
      </c>
      <c r="BP181">
        <v>8.7999999999999995E-2</v>
      </c>
      <c r="BQ181">
        <v>410</v>
      </c>
      <c r="BR181">
        <v>15</v>
      </c>
      <c r="BS181">
        <v>0.28000000000000003</v>
      </c>
      <c r="BT181">
        <v>0.06</v>
      </c>
      <c r="BU181">
        <v>-0.31567385714285701</v>
      </c>
      <c r="BV181">
        <v>8.8553688311688E-2</v>
      </c>
      <c r="BW181">
        <v>1.6038074719051498E-2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0.82745623809523805</v>
      </c>
      <c r="CD181">
        <v>6.7961766233767096E-2</v>
      </c>
      <c r="CE181">
        <v>6.8823202407103604E-3</v>
      </c>
      <c r="CF181">
        <v>1</v>
      </c>
      <c r="CG181">
        <v>2</v>
      </c>
      <c r="CH181">
        <v>2</v>
      </c>
      <c r="CI181" t="s">
        <v>304</v>
      </c>
      <c r="CJ181">
        <v>3.5324599999999999</v>
      </c>
      <c r="CK181">
        <v>2.7024300000000001</v>
      </c>
      <c r="CL181">
        <v>9.7909999999999997E-2</v>
      </c>
      <c r="CM181">
        <v>9.6617499999999995E-2</v>
      </c>
      <c r="CN181">
        <v>8.7118500000000001E-2</v>
      </c>
      <c r="CO181">
        <v>8.2664500000000002E-2</v>
      </c>
      <c r="CP181">
        <v>31630.5</v>
      </c>
      <c r="CQ181">
        <v>27820.5</v>
      </c>
      <c r="CR181">
        <v>32452.799999999999</v>
      </c>
      <c r="CS181">
        <v>30723.1</v>
      </c>
      <c r="CT181">
        <v>40120</v>
      </c>
      <c r="CU181">
        <v>39636</v>
      </c>
      <c r="CV181">
        <v>47400</v>
      </c>
      <c r="CW181">
        <v>46859.1</v>
      </c>
      <c r="CX181">
        <v>2.6222799999999999</v>
      </c>
      <c r="CY181">
        <v>2.1234600000000001</v>
      </c>
      <c r="CZ181">
        <v>0</v>
      </c>
      <c r="DA181">
        <v>0</v>
      </c>
      <c r="DB181">
        <v>999.9</v>
      </c>
      <c r="DC181">
        <v>999.9</v>
      </c>
      <c r="DD181">
        <v>49.78</v>
      </c>
      <c r="DE181">
        <v>28.157</v>
      </c>
      <c r="DF181">
        <v>19.0379</v>
      </c>
      <c r="DG181">
        <v>30.3598</v>
      </c>
      <c r="DH181">
        <v>16.494399999999999</v>
      </c>
      <c r="DI181">
        <v>2</v>
      </c>
      <c r="DJ181">
        <v>-0.114589</v>
      </c>
      <c r="DK181">
        <v>2.0321699999999998</v>
      </c>
      <c r="DL181">
        <v>20.2255</v>
      </c>
      <c r="DM181">
        <v>5.2495200000000004</v>
      </c>
      <c r="DN181">
        <v>12.033899999999999</v>
      </c>
      <c r="DO181">
        <v>4.9666800000000002</v>
      </c>
      <c r="DP181">
        <v>3.2909999999999999</v>
      </c>
      <c r="DQ181">
        <v>536.9</v>
      </c>
      <c r="DR181">
        <v>9999</v>
      </c>
      <c r="DS181">
        <v>9999</v>
      </c>
      <c r="DT181">
        <v>9999</v>
      </c>
      <c r="DU181">
        <v>1.8711199999999999</v>
      </c>
      <c r="DV181">
        <v>1.8760699999999999</v>
      </c>
      <c r="DW181">
        <v>1.8762799999999999</v>
      </c>
      <c r="DX181">
        <v>1.88279</v>
      </c>
      <c r="DY181">
        <v>1.8755900000000001</v>
      </c>
      <c r="DZ181">
        <v>1.8746700000000001</v>
      </c>
      <c r="EA181">
        <v>1.87077</v>
      </c>
      <c r="EB181">
        <v>1.8746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-0.80500000000000005</v>
      </c>
      <c r="EQ181">
        <v>8.7900000000000006E-2</v>
      </c>
      <c r="ER181">
        <v>-0.80499999999989302</v>
      </c>
      <c r="ES181">
        <v>0</v>
      </c>
      <c r="ET181">
        <v>0</v>
      </c>
      <c r="EU181">
        <v>0</v>
      </c>
      <c r="EV181">
        <v>8.7840000000001695E-2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9.4</v>
      </c>
      <c r="FE181">
        <v>9.4</v>
      </c>
      <c r="FF181">
        <v>1.24268</v>
      </c>
      <c r="FG181">
        <v>2.5939899999999998</v>
      </c>
      <c r="FH181">
        <v>2.19604</v>
      </c>
      <c r="FI181">
        <v>2.66357</v>
      </c>
      <c r="FJ181">
        <v>2.4462899999999999</v>
      </c>
      <c r="FK181">
        <v>2.2778299999999998</v>
      </c>
      <c r="FL181">
        <v>32.487499999999997</v>
      </c>
      <c r="FM181">
        <v>24.148800000000001</v>
      </c>
      <c r="FN181">
        <v>19</v>
      </c>
      <c r="FO181">
        <v>866.13300000000004</v>
      </c>
      <c r="FP181">
        <v>572.20399999999995</v>
      </c>
      <c r="FQ181">
        <v>18.293299999999999</v>
      </c>
      <c r="FR181">
        <v>25.529699999999998</v>
      </c>
      <c r="FS181">
        <v>30</v>
      </c>
      <c r="FT181">
        <v>25.5837</v>
      </c>
      <c r="FU181">
        <v>25.5886</v>
      </c>
      <c r="FV181">
        <v>24.9526</v>
      </c>
      <c r="FW181">
        <v>26.201000000000001</v>
      </c>
      <c r="FX181">
        <v>0</v>
      </c>
      <c r="FY181">
        <v>18.296700000000001</v>
      </c>
      <c r="FZ181">
        <v>410</v>
      </c>
      <c r="GA181">
        <v>14.5617</v>
      </c>
      <c r="GB181">
        <v>99.873900000000006</v>
      </c>
      <c r="GC181">
        <v>99.748500000000007</v>
      </c>
    </row>
    <row r="182" spans="1:185" x14ac:dyDescent="0.2">
      <c r="A182">
        <v>167</v>
      </c>
      <c r="B182">
        <v>1769197661</v>
      </c>
      <c r="C182">
        <v>3100</v>
      </c>
      <c r="D182" t="s">
        <v>631</v>
      </c>
      <c r="E182" t="s">
        <v>632</v>
      </c>
      <c r="F182">
        <v>15</v>
      </c>
      <c r="G182">
        <v>1769197652.9333301</v>
      </c>
      <c r="H182">
        <f t="shared" si="26"/>
        <v>6.8435669240455048E-4</v>
      </c>
      <c r="I182">
        <v>0</v>
      </c>
      <c r="J182">
        <f t="shared" si="38"/>
        <v>-6.1117484719964879E-4</v>
      </c>
      <c r="K182">
        <f t="shared" si="27"/>
        <v>-2.2774708228509345E-2</v>
      </c>
      <c r="L182">
        <f t="shared" si="28"/>
        <v>69.926645413754471</v>
      </c>
      <c r="M182">
        <f t="shared" si="29"/>
        <v>1.5422262168310201</v>
      </c>
      <c r="N182">
        <f t="shared" si="30"/>
        <v>2.2054914942733208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26265.629292021102</v>
      </c>
      <c r="T182">
        <f t="shared" si="34"/>
        <v>300.00006666666701</v>
      </c>
      <c r="U182">
        <f t="shared" si="35"/>
        <v>252.90038200007265</v>
      </c>
      <c r="V182">
        <f t="shared" si="36"/>
        <v>0.8430010859999999</v>
      </c>
      <c r="W182">
        <f t="shared" si="37"/>
        <v>0.15870271499999999</v>
      </c>
      <c r="X182">
        <v>1</v>
      </c>
      <c r="Y182">
        <v>1769197652.9333301</v>
      </c>
      <c r="Z182">
        <v>409.69406666666703</v>
      </c>
      <c r="AA182">
        <v>410.01606666666697</v>
      </c>
      <c r="AB182">
        <v>15.3901533333333</v>
      </c>
      <c r="AC182">
        <v>14.547879999999999</v>
      </c>
      <c r="AD182">
        <v>410.49906666666698</v>
      </c>
      <c r="AE182">
        <v>15.302346666666701</v>
      </c>
      <c r="AF182">
        <v>800.00673333333305</v>
      </c>
      <c r="AG182">
        <v>100.14400000000001</v>
      </c>
      <c r="AH182">
        <v>6.4632326666666698E-2</v>
      </c>
      <c r="AI182">
        <v>19.00226</v>
      </c>
      <c r="AJ182">
        <v>999.9</v>
      </c>
      <c r="AK182">
        <v>999.9</v>
      </c>
      <c r="AL182">
        <v>0</v>
      </c>
      <c r="AM182">
        <v>0</v>
      </c>
      <c r="AN182">
        <v>5000.9666666666699</v>
      </c>
      <c r="AO182">
        <v>0</v>
      </c>
      <c r="AP182">
        <v>1.63733</v>
      </c>
      <c r="AQ182">
        <v>-0.322184266666667</v>
      </c>
      <c r="AR182">
        <v>416.09780000000001</v>
      </c>
      <c r="AS182">
        <v>416.06913333333301</v>
      </c>
      <c r="AT182">
        <v>0.84228020000000003</v>
      </c>
      <c r="AU182">
        <v>410.01606666666697</v>
      </c>
      <c r="AV182">
        <v>14.547879999999999</v>
      </c>
      <c r="AW182">
        <v>1.54123266666667</v>
      </c>
      <c r="AX182">
        <v>1.45688533333333</v>
      </c>
      <c r="AY182">
        <v>13.3834866666667</v>
      </c>
      <c r="AZ182">
        <v>12.523006666666699</v>
      </c>
      <c r="BA182">
        <v>300.00006666666701</v>
      </c>
      <c r="BB182">
        <v>0.89996379999999998</v>
      </c>
      <c r="BC182">
        <v>0</v>
      </c>
      <c r="BD182">
        <v>0.10003620000000001</v>
      </c>
      <c r="BE182">
        <v>0</v>
      </c>
      <c r="BF182">
        <v>25</v>
      </c>
      <c r="BG182">
        <v>4946.5839999999998</v>
      </c>
      <c r="BH182">
        <v>1769197084</v>
      </c>
      <c r="BI182" t="s">
        <v>568</v>
      </c>
      <c r="BJ182">
        <v>1769197082</v>
      </c>
      <c r="BK182">
        <v>1769197084</v>
      </c>
      <c r="BL182">
        <v>5</v>
      </c>
      <c r="BM182">
        <v>2.7E-2</v>
      </c>
      <c r="BN182">
        <v>-4.0000000000000001E-3</v>
      </c>
      <c r="BO182">
        <v>-0.80500000000000005</v>
      </c>
      <c r="BP182">
        <v>8.7999999999999995E-2</v>
      </c>
      <c r="BQ182">
        <v>410</v>
      </c>
      <c r="BR182">
        <v>15</v>
      </c>
      <c r="BS182">
        <v>0.28000000000000003</v>
      </c>
      <c r="BT182">
        <v>0.06</v>
      </c>
      <c r="BU182">
        <v>-0.317921952380952</v>
      </c>
      <c r="BV182">
        <v>-0.10325080519480601</v>
      </c>
      <c r="BW182">
        <v>2.1626124742511899E-2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0.84069304761904795</v>
      </c>
      <c r="CD182">
        <v>2.3889506493507299E-2</v>
      </c>
      <c r="CE182">
        <v>2.9756133177514998E-3</v>
      </c>
      <c r="CF182">
        <v>1</v>
      </c>
      <c r="CG182">
        <v>2</v>
      </c>
      <c r="CH182">
        <v>2</v>
      </c>
      <c r="CI182" t="s">
        <v>304</v>
      </c>
      <c r="CJ182">
        <v>3.5325600000000001</v>
      </c>
      <c r="CK182">
        <v>2.7022400000000002</v>
      </c>
      <c r="CL182">
        <v>9.7905199999999998E-2</v>
      </c>
      <c r="CM182">
        <v>9.6611600000000006E-2</v>
      </c>
      <c r="CN182">
        <v>8.7113599999999999E-2</v>
      </c>
      <c r="CO182">
        <v>8.2641599999999996E-2</v>
      </c>
      <c r="CP182">
        <v>31629.9</v>
      </c>
      <c r="CQ182">
        <v>27821</v>
      </c>
      <c r="CR182">
        <v>32452</v>
      </c>
      <c r="CS182">
        <v>30723.4</v>
      </c>
      <c r="CT182">
        <v>40119.1</v>
      </c>
      <c r="CU182">
        <v>39637.300000000003</v>
      </c>
      <c r="CV182">
        <v>47398.8</v>
      </c>
      <c r="CW182">
        <v>46859.4</v>
      </c>
      <c r="CX182">
        <v>2.62242</v>
      </c>
      <c r="CY182">
        <v>2.1236199999999998</v>
      </c>
      <c r="CZ182">
        <v>0</v>
      </c>
      <c r="DA182">
        <v>0</v>
      </c>
      <c r="DB182">
        <v>999.9</v>
      </c>
      <c r="DC182">
        <v>999.9</v>
      </c>
      <c r="DD182">
        <v>49.756</v>
      </c>
      <c r="DE182">
        <v>28.157</v>
      </c>
      <c r="DF182">
        <v>19.0274</v>
      </c>
      <c r="DG182">
        <v>29.9998</v>
      </c>
      <c r="DH182">
        <v>16.406199999999998</v>
      </c>
      <c r="DI182">
        <v>2</v>
      </c>
      <c r="DJ182">
        <v>-0.114819</v>
      </c>
      <c r="DK182">
        <v>2.0406399999999998</v>
      </c>
      <c r="DL182">
        <v>20.2255</v>
      </c>
      <c r="DM182">
        <v>5.25</v>
      </c>
      <c r="DN182">
        <v>12.033899999999999</v>
      </c>
      <c r="DO182">
        <v>4.9668799999999997</v>
      </c>
      <c r="DP182">
        <v>3.2909999999999999</v>
      </c>
      <c r="DQ182">
        <v>536.9</v>
      </c>
      <c r="DR182">
        <v>9999</v>
      </c>
      <c r="DS182">
        <v>9999</v>
      </c>
      <c r="DT182">
        <v>9999</v>
      </c>
      <c r="DU182">
        <v>1.87113</v>
      </c>
      <c r="DV182">
        <v>1.87609</v>
      </c>
      <c r="DW182">
        <v>1.8763300000000001</v>
      </c>
      <c r="DX182">
        <v>1.88279</v>
      </c>
      <c r="DY182">
        <v>1.8755999999999999</v>
      </c>
      <c r="DZ182">
        <v>1.8746799999999999</v>
      </c>
      <c r="EA182">
        <v>1.87077</v>
      </c>
      <c r="EB182">
        <v>1.8746499999999999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-0.80500000000000005</v>
      </c>
      <c r="EQ182">
        <v>8.7800000000000003E-2</v>
      </c>
      <c r="ER182">
        <v>-0.80499999999989302</v>
      </c>
      <c r="ES182">
        <v>0</v>
      </c>
      <c r="ET182">
        <v>0</v>
      </c>
      <c r="EU182">
        <v>0</v>
      </c>
      <c r="EV182">
        <v>8.7840000000001695E-2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9.6999999999999993</v>
      </c>
      <c r="FE182">
        <v>9.6</v>
      </c>
      <c r="FF182">
        <v>1.24268</v>
      </c>
      <c r="FG182">
        <v>2.5988799999999999</v>
      </c>
      <c r="FH182">
        <v>2.19604</v>
      </c>
      <c r="FI182">
        <v>2.66357</v>
      </c>
      <c r="FJ182">
        <v>2.4462899999999999</v>
      </c>
      <c r="FK182">
        <v>2.3144499999999999</v>
      </c>
      <c r="FL182">
        <v>32.487499999999997</v>
      </c>
      <c r="FM182">
        <v>24.148800000000001</v>
      </c>
      <c r="FN182">
        <v>19</v>
      </c>
      <c r="FO182">
        <v>866.19399999999996</v>
      </c>
      <c r="FP182">
        <v>572.27800000000002</v>
      </c>
      <c r="FQ182">
        <v>18.2928</v>
      </c>
      <c r="FR182">
        <v>25.526800000000001</v>
      </c>
      <c r="FS182">
        <v>30.0001</v>
      </c>
      <c r="FT182">
        <v>25.5794</v>
      </c>
      <c r="FU182">
        <v>25.584299999999999</v>
      </c>
      <c r="FV182">
        <v>24.951899999999998</v>
      </c>
      <c r="FW182">
        <v>26.201000000000001</v>
      </c>
      <c r="FX182">
        <v>0</v>
      </c>
      <c r="FY182">
        <v>18.290199999999999</v>
      </c>
      <c r="FZ182">
        <v>410</v>
      </c>
      <c r="GA182">
        <v>14.5617</v>
      </c>
      <c r="GB182">
        <v>99.871399999999994</v>
      </c>
      <c r="GC182">
        <v>99.749300000000005</v>
      </c>
    </row>
    <row r="183" spans="1:185" x14ac:dyDescent="0.2">
      <c r="A183">
        <v>168</v>
      </c>
      <c r="B183">
        <v>1769197676</v>
      </c>
      <c r="C183">
        <v>3115</v>
      </c>
      <c r="D183" t="s">
        <v>633</v>
      </c>
      <c r="E183" t="s">
        <v>634</v>
      </c>
      <c r="F183">
        <v>15</v>
      </c>
      <c r="G183">
        <v>1769197667.9333301</v>
      </c>
      <c r="H183">
        <f t="shared" si="26"/>
        <v>6.854120511760154E-4</v>
      </c>
      <c r="I183">
        <v>0</v>
      </c>
      <c r="J183">
        <f t="shared" si="38"/>
        <v>-5.1057804123631029E-4</v>
      </c>
      <c r="K183">
        <f t="shared" si="27"/>
        <v>-1.9026087166905684E-2</v>
      </c>
      <c r="L183">
        <f t="shared" si="28"/>
        <v>69.911930218475405</v>
      </c>
      <c r="M183">
        <f t="shared" si="29"/>
        <v>1.5417772377682508</v>
      </c>
      <c r="N183">
        <f t="shared" si="30"/>
        <v>2.2053135036469214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26321.124430637181</v>
      </c>
      <c r="T183">
        <f t="shared" si="34"/>
        <v>299.99886666666703</v>
      </c>
      <c r="U183">
        <f t="shared" si="35"/>
        <v>252.89938719870599</v>
      </c>
      <c r="V183">
        <f t="shared" si="36"/>
        <v>0.84300114199999987</v>
      </c>
      <c r="W183">
        <f t="shared" si="37"/>
        <v>0.15870285500000003</v>
      </c>
      <c r="X183">
        <v>1</v>
      </c>
      <c r="Y183">
        <v>1769197667.9333301</v>
      </c>
      <c r="Z183">
        <v>409.66460000000001</v>
      </c>
      <c r="AA183">
        <v>409.99180000000001</v>
      </c>
      <c r="AB183">
        <v>15.38598</v>
      </c>
      <c r="AC183">
        <v>14.5424066666667</v>
      </c>
      <c r="AD183">
        <v>410.46960000000001</v>
      </c>
      <c r="AE183">
        <v>15.2981333333333</v>
      </c>
      <c r="AF183">
        <v>800.00906666666697</v>
      </c>
      <c r="AG183">
        <v>100.1422</v>
      </c>
      <c r="AH183">
        <v>6.44321266666667E-2</v>
      </c>
      <c r="AI183">
        <v>19.000966666666699</v>
      </c>
      <c r="AJ183">
        <v>999.9</v>
      </c>
      <c r="AK183">
        <v>999.9</v>
      </c>
      <c r="AL183">
        <v>0</v>
      </c>
      <c r="AM183">
        <v>0</v>
      </c>
      <c r="AN183">
        <v>5010.1666666666697</v>
      </c>
      <c r="AO183">
        <v>0</v>
      </c>
      <c r="AP183">
        <v>1.63733</v>
      </c>
      <c r="AQ183">
        <v>-0.32722366666666702</v>
      </c>
      <c r="AR183">
        <v>416.06619999999998</v>
      </c>
      <c r="AS183">
        <v>416.04199999999997</v>
      </c>
      <c r="AT183">
        <v>0.84356393333333302</v>
      </c>
      <c r="AU183">
        <v>409.99180000000001</v>
      </c>
      <c r="AV183">
        <v>14.5424066666667</v>
      </c>
      <c r="AW183">
        <v>1.540786</v>
      </c>
      <c r="AX183">
        <v>1.45631</v>
      </c>
      <c r="AY183">
        <v>13.379006666666699</v>
      </c>
      <c r="AZ183">
        <v>12.516999999999999</v>
      </c>
      <c r="BA183">
        <v>299.99886666666703</v>
      </c>
      <c r="BB183">
        <v>0.89996193333333296</v>
      </c>
      <c r="BC183">
        <v>0</v>
      </c>
      <c r="BD183">
        <v>0.10003806666666699</v>
      </c>
      <c r="BE183">
        <v>0</v>
      </c>
      <c r="BF183">
        <v>25</v>
      </c>
      <c r="BG183">
        <v>4946.5640000000003</v>
      </c>
      <c r="BH183">
        <v>1769197084</v>
      </c>
      <c r="BI183" t="s">
        <v>568</v>
      </c>
      <c r="BJ183">
        <v>1769197082</v>
      </c>
      <c r="BK183">
        <v>1769197084</v>
      </c>
      <c r="BL183">
        <v>5</v>
      </c>
      <c r="BM183">
        <v>2.7E-2</v>
      </c>
      <c r="BN183">
        <v>-4.0000000000000001E-3</v>
      </c>
      <c r="BO183">
        <v>-0.80500000000000005</v>
      </c>
      <c r="BP183">
        <v>8.7999999999999995E-2</v>
      </c>
      <c r="BQ183">
        <v>410</v>
      </c>
      <c r="BR183">
        <v>15</v>
      </c>
      <c r="BS183">
        <v>0.28000000000000003</v>
      </c>
      <c r="BT183">
        <v>0.06</v>
      </c>
      <c r="BU183">
        <v>-0.3309936</v>
      </c>
      <c r="BV183">
        <v>0.115257744360902</v>
      </c>
      <c r="BW183">
        <v>1.8488810406297101E-2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0.84329765000000001</v>
      </c>
      <c r="CD183">
        <v>-6.5486165413533599E-3</v>
      </c>
      <c r="CE183">
        <v>2.1565454846814601E-3</v>
      </c>
      <c r="CF183">
        <v>1</v>
      </c>
      <c r="CG183">
        <v>2</v>
      </c>
      <c r="CH183">
        <v>2</v>
      </c>
      <c r="CI183" t="s">
        <v>304</v>
      </c>
      <c r="CJ183">
        <v>3.5325099999999998</v>
      </c>
      <c r="CK183">
        <v>2.7020599999999999</v>
      </c>
      <c r="CL183">
        <v>9.7906199999999999E-2</v>
      </c>
      <c r="CM183">
        <v>9.6608100000000002E-2</v>
      </c>
      <c r="CN183">
        <v>8.7079799999999999E-2</v>
      </c>
      <c r="CO183">
        <v>8.2619100000000001E-2</v>
      </c>
      <c r="CP183">
        <v>31630.400000000001</v>
      </c>
      <c r="CQ183">
        <v>27821.1</v>
      </c>
      <c r="CR183">
        <v>32452.5</v>
      </c>
      <c r="CS183">
        <v>30723.4</v>
      </c>
      <c r="CT183">
        <v>40121.599999999999</v>
      </c>
      <c r="CU183">
        <v>39638.5</v>
      </c>
      <c r="CV183">
        <v>47399.9</v>
      </c>
      <c r="CW183">
        <v>46859.6</v>
      </c>
      <c r="CX183">
        <v>2.6225200000000002</v>
      </c>
      <c r="CY183">
        <v>2.1237599999999999</v>
      </c>
      <c r="CZ183">
        <v>0</v>
      </c>
      <c r="DA183">
        <v>0</v>
      </c>
      <c r="DB183">
        <v>999.9</v>
      </c>
      <c r="DC183">
        <v>999.9</v>
      </c>
      <c r="DD183">
        <v>49.707000000000001</v>
      </c>
      <c r="DE183">
        <v>28.167999999999999</v>
      </c>
      <c r="DF183">
        <v>19.022200000000002</v>
      </c>
      <c r="DG183">
        <v>30.389800000000001</v>
      </c>
      <c r="DH183">
        <v>16.410299999999999</v>
      </c>
      <c r="DI183">
        <v>2</v>
      </c>
      <c r="DJ183">
        <v>-0.11498</v>
      </c>
      <c r="DK183">
        <v>2.04393</v>
      </c>
      <c r="DL183">
        <v>20.2255</v>
      </c>
      <c r="DM183">
        <v>5.2502399999999998</v>
      </c>
      <c r="DN183">
        <v>12.033899999999999</v>
      </c>
      <c r="DO183">
        <v>4.9668400000000004</v>
      </c>
      <c r="DP183">
        <v>3.2909999999999999</v>
      </c>
      <c r="DQ183">
        <v>536.9</v>
      </c>
      <c r="DR183">
        <v>9999</v>
      </c>
      <c r="DS183">
        <v>9999</v>
      </c>
      <c r="DT183">
        <v>9999</v>
      </c>
      <c r="DU183">
        <v>1.8711199999999999</v>
      </c>
      <c r="DV183">
        <v>1.87609</v>
      </c>
      <c r="DW183">
        <v>1.8763300000000001</v>
      </c>
      <c r="DX183">
        <v>1.88279</v>
      </c>
      <c r="DY183">
        <v>1.8755999999999999</v>
      </c>
      <c r="DZ183">
        <v>1.87466</v>
      </c>
      <c r="EA183">
        <v>1.87076</v>
      </c>
      <c r="EB183">
        <v>1.8746499999999999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-0.80500000000000005</v>
      </c>
      <c r="EQ183">
        <v>8.7800000000000003E-2</v>
      </c>
      <c r="ER183">
        <v>-0.80499999999989302</v>
      </c>
      <c r="ES183">
        <v>0</v>
      </c>
      <c r="ET183">
        <v>0</v>
      </c>
      <c r="EU183">
        <v>0</v>
      </c>
      <c r="EV183">
        <v>8.7840000000001695E-2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9.9</v>
      </c>
      <c r="FE183">
        <v>9.9</v>
      </c>
      <c r="FF183">
        <v>1.24268</v>
      </c>
      <c r="FG183">
        <v>2.5964399999999999</v>
      </c>
      <c r="FH183">
        <v>2.19604</v>
      </c>
      <c r="FI183">
        <v>2.66357</v>
      </c>
      <c r="FJ183">
        <v>2.4462899999999999</v>
      </c>
      <c r="FK183">
        <v>2.3107899999999999</v>
      </c>
      <c r="FL183">
        <v>32.487499999999997</v>
      </c>
      <c r="FM183">
        <v>24.148800000000001</v>
      </c>
      <c r="FN183">
        <v>19</v>
      </c>
      <c r="FO183">
        <v>866.245</v>
      </c>
      <c r="FP183">
        <v>572.34799999999996</v>
      </c>
      <c r="FQ183">
        <v>18.2882</v>
      </c>
      <c r="FR183">
        <v>25.5246</v>
      </c>
      <c r="FS183">
        <v>30</v>
      </c>
      <c r="FT183">
        <v>25.576699999999999</v>
      </c>
      <c r="FU183">
        <v>25.5809</v>
      </c>
      <c r="FV183">
        <v>24.9526</v>
      </c>
      <c r="FW183">
        <v>26.201000000000001</v>
      </c>
      <c r="FX183">
        <v>0</v>
      </c>
      <c r="FY183">
        <v>18.287099999999999</v>
      </c>
      <c r="FZ183">
        <v>410</v>
      </c>
      <c r="GA183">
        <v>14.5617</v>
      </c>
      <c r="GB183">
        <v>99.873400000000004</v>
      </c>
      <c r="GC183">
        <v>99.749499999999998</v>
      </c>
    </row>
    <row r="184" spans="1:185" x14ac:dyDescent="0.2">
      <c r="A184">
        <v>169</v>
      </c>
      <c r="B184">
        <v>1769197691</v>
      </c>
      <c r="C184">
        <v>3130</v>
      </c>
      <c r="D184" t="s">
        <v>635</v>
      </c>
      <c r="E184" t="s">
        <v>636</v>
      </c>
      <c r="F184">
        <v>15</v>
      </c>
      <c r="G184">
        <v>1769197682.9333301</v>
      </c>
      <c r="H184">
        <f t="shared" si="26"/>
        <v>6.9117789532668558E-4</v>
      </c>
      <c r="I184">
        <v>0</v>
      </c>
      <c r="J184">
        <f t="shared" si="38"/>
        <v>-6.0854294824036329E-4</v>
      </c>
      <c r="K184">
        <f t="shared" si="27"/>
        <v>-2.2676633624884396E-2</v>
      </c>
      <c r="L184">
        <f t="shared" si="28"/>
        <v>69.925085523019646</v>
      </c>
      <c r="M184">
        <f t="shared" si="29"/>
        <v>1.542102637660641</v>
      </c>
      <c r="N184">
        <f t="shared" si="30"/>
        <v>2.2053639636278657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26254.066620709244</v>
      </c>
      <c r="T184">
        <f t="shared" si="34"/>
        <v>300.00006666666701</v>
      </c>
      <c r="U184">
        <f t="shared" si="35"/>
        <v>252.90032080005906</v>
      </c>
      <c r="V184">
        <f t="shared" si="36"/>
        <v>0.8430008819999999</v>
      </c>
      <c r="W184">
        <f t="shared" si="37"/>
        <v>0.15870220499999999</v>
      </c>
      <c r="X184">
        <v>1</v>
      </c>
      <c r="Y184">
        <v>1769197682.9333301</v>
      </c>
      <c r="Z184">
        <v>409.67393333333303</v>
      </c>
      <c r="AA184">
        <v>409.99953333333298</v>
      </c>
      <c r="AB184">
        <v>15.3893666666667</v>
      </c>
      <c r="AC184">
        <v>14.538693333333301</v>
      </c>
      <c r="AD184">
        <v>410.47993333333301</v>
      </c>
      <c r="AE184">
        <v>15.2953666666667</v>
      </c>
      <c r="AF184">
        <v>800.00286666666705</v>
      </c>
      <c r="AG184">
        <v>100.14126666666699</v>
      </c>
      <c r="AH184">
        <v>6.4457913333333297E-2</v>
      </c>
      <c r="AI184">
        <v>19.001333333333299</v>
      </c>
      <c r="AJ184">
        <v>999.9</v>
      </c>
      <c r="AK184">
        <v>999.9</v>
      </c>
      <c r="AL184">
        <v>0</v>
      </c>
      <c r="AM184">
        <v>0</v>
      </c>
      <c r="AN184">
        <v>4999.1666666666697</v>
      </c>
      <c r="AO184">
        <v>0</v>
      </c>
      <c r="AP184">
        <v>1.63733</v>
      </c>
      <c r="AQ184">
        <v>-0.32470086666666698</v>
      </c>
      <c r="AR184">
        <v>416.07546666666701</v>
      </c>
      <c r="AS184">
        <v>416.04840000000002</v>
      </c>
      <c r="AT184">
        <v>0.84452293333333395</v>
      </c>
      <c r="AU184">
        <v>409.99953333333298</v>
      </c>
      <c r="AV184">
        <v>14.538693333333301</v>
      </c>
      <c r="AW184">
        <v>1.5404926666666701</v>
      </c>
      <c r="AX184">
        <v>1.45592066666667</v>
      </c>
      <c r="AY184">
        <v>13.376106666666701</v>
      </c>
      <c r="AZ184">
        <v>12.5129533333333</v>
      </c>
      <c r="BA184">
        <v>300.00006666666701</v>
      </c>
      <c r="BB184">
        <v>0.89997059999999995</v>
      </c>
      <c r="BC184">
        <v>0</v>
      </c>
      <c r="BD184">
        <v>0.1000294</v>
      </c>
      <c r="BE184">
        <v>0</v>
      </c>
      <c r="BF184">
        <v>25</v>
      </c>
      <c r="BG184">
        <v>4946.5926666666701</v>
      </c>
      <c r="BH184">
        <v>1769197713</v>
      </c>
      <c r="BI184" t="s">
        <v>637</v>
      </c>
      <c r="BJ184">
        <v>1769197710</v>
      </c>
      <c r="BK184">
        <v>1769197713</v>
      </c>
      <c r="BL184">
        <v>6</v>
      </c>
      <c r="BM184">
        <v>-1E-3</v>
      </c>
      <c r="BN184">
        <v>6.0000000000000001E-3</v>
      </c>
      <c r="BO184">
        <v>-0.80600000000000005</v>
      </c>
      <c r="BP184">
        <v>9.4E-2</v>
      </c>
      <c r="BQ184">
        <v>410</v>
      </c>
      <c r="BR184">
        <v>15</v>
      </c>
      <c r="BS184">
        <v>0.27</v>
      </c>
      <c r="BT184">
        <v>0.09</v>
      </c>
      <c r="BU184">
        <v>-0.32279309523809502</v>
      </c>
      <c r="BV184">
        <v>-7.4022857142857796E-3</v>
      </c>
      <c r="BW184">
        <v>1.6260538159268399E-2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0.84358038095238097</v>
      </c>
      <c r="CD184">
        <v>1.99636363636367E-2</v>
      </c>
      <c r="CE184">
        <v>2.1338713639140602E-3</v>
      </c>
      <c r="CF184">
        <v>1</v>
      </c>
      <c r="CG184">
        <v>2</v>
      </c>
      <c r="CH184">
        <v>2</v>
      </c>
      <c r="CI184" t="s">
        <v>304</v>
      </c>
      <c r="CJ184">
        <v>3.5325199999999999</v>
      </c>
      <c r="CK184">
        <v>2.7025700000000001</v>
      </c>
      <c r="CL184">
        <v>9.79077E-2</v>
      </c>
      <c r="CM184">
        <v>9.6613000000000004E-2</v>
      </c>
      <c r="CN184">
        <v>8.7083800000000003E-2</v>
      </c>
      <c r="CO184">
        <v>8.2602400000000006E-2</v>
      </c>
      <c r="CP184">
        <v>31630</v>
      </c>
      <c r="CQ184">
        <v>27820.799999999999</v>
      </c>
      <c r="CR184">
        <v>32452.2</v>
      </c>
      <c r="CS184">
        <v>30723.3</v>
      </c>
      <c r="CT184">
        <v>40120.9</v>
      </c>
      <c r="CU184">
        <v>39639.1</v>
      </c>
      <c r="CV184">
        <v>47399.3</v>
      </c>
      <c r="CW184">
        <v>46859.5</v>
      </c>
      <c r="CX184">
        <v>2.6221999999999999</v>
      </c>
      <c r="CY184">
        <v>2.1233</v>
      </c>
      <c r="CZ184">
        <v>0</v>
      </c>
      <c r="DA184">
        <v>0</v>
      </c>
      <c r="DB184">
        <v>999.9</v>
      </c>
      <c r="DC184">
        <v>999.9</v>
      </c>
      <c r="DD184">
        <v>49.683</v>
      </c>
      <c r="DE184">
        <v>28.167999999999999</v>
      </c>
      <c r="DF184">
        <v>19.011099999999999</v>
      </c>
      <c r="DG184">
        <v>30.299800000000001</v>
      </c>
      <c r="DH184">
        <v>16.3902</v>
      </c>
      <c r="DI184">
        <v>2</v>
      </c>
      <c r="DJ184">
        <v>-0.11472599999999999</v>
      </c>
      <c r="DK184">
        <v>2.06012</v>
      </c>
      <c r="DL184">
        <v>20.225300000000001</v>
      </c>
      <c r="DM184">
        <v>5.2501199999999999</v>
      </c>
      <c r="DN184">
        <v>12.033899999999999</v>
      </c>
      <c r="DO184">
        <v>4.96692</v>
      </c>
      <c r="DP184">
        <v>3.2909999999999999</v>
      </c>
      <c r="DQ184">
        <v>536.9</v>
      </c>
      <c r="DR184">
        <v>9999</v>
      </c>
      <c r="DS184">
        <v>9999</v>
      </c>
      <c r="DT184">
        <v>9999</v>
      </c>
      <c r="DU184">
        <v>1.8711199999999999</v>
      </c>
      <c r="DV184">
        <v>1.87609</v>
      </c>
      <c r="DW184">
        <v>1.87632</v>
      </c>
      <c r="DX184">
        <v>1.88279</v>
      </c>
      <c r="DY184">
        <v>1.8755900000000001</v>
      </c>
      <c r="DZ184">
        <v>1.87466</v>
      </c>
      <c r="EA184">
        <v>1.8708100000000001</v>
      </c>
      <c r="EB184">
        <v>1.87463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-0.80600000000000005</v>
      </c>
      <c r="EQ184">
        <v>9.4E-2</v>
      </c>
      <c r="ER184">
        <v>-0.80499999999989302</v>
      </c>
      <c r="ES184">
        <v>0</v>
      </c>
      <c r="ET184">
        <v>0</v>
      </c>
      <c r="EU184">
        <v>0</v>
      </c>
      <c r="EV184">
        <v>8.7840000000001695E-2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10.199999999999999</v>
      </c>
      <c r="FE184">
        <v>10.1</v>
      </c>
      <c r="FF184">
        <v>1.24268</v>
      </c>
      <c r="FG184">
        <v>2.5964399999999999</v>
      </c>
      <c r="FH184">
        <v>2.19604</v>
      </c>
      <c r="FI184">
        <v>2.66357</v>
      </c>
      <c r="FJ184">
        <v>2.4462899999999999</v>
      </c>
      <c r="FK184">
        <v>2.2912599999999999</v>
      </c>
      <c r="FL184">
        <v>32.487499999999997</v>
      </c>
      <c r="FM184">
        <v>24.148800000000001</v>
      </c>
      <c r="FN184">
        <v>19</v>
      </c>
      <c r="FO184">
        <v>865.899</v>
      </c>
      <c r="FP184">
        <v>571.97400000000005</v>
      </c>
      <c r="FQ184">
        <v>18.2865</v>
      </c>
      <c r="FR184">
        <v>25.5246</v>
      </c>
      <c r="FS184">
        <v>30.0002</v>
      </c>
      <c r="FT184">
        <v>25.573699999999999</v>
      </c>
      <c r="FU184">
        <v>25.578800000000001</v>
      </c>
      <c r="FV184">
        <v>24.952999999999999</v>
      </c>
      <c r="FW184">
        <v>26.201000000000001</v>
      </c>
      <c r="FX184">
        <v>0</v>
      </c>
      <c r="FY184">
        <v>18.283899999999999</v>
      </c>
      <c r="FZ184">
        <v>410</v>
      </c>
      <c r="GA184">
        <v>14.5617</v>
      </c>
      <c r="GB184">
        <v>99.872299999999996</v>
      </c>
      <c r="GC184">
        <v>99.749200000000002</v>
      </c>
    </row>
    <row r="185" spans="1:185" x14ac:dyDescent="0.2">
      <c r="A185">
        <v>170</v>
      </c>
      <c r="B185">
        <v>1769197715</v>
      </c>
      <c r="C185">
        <v>3154</v>
      </c>
      <c r="D185" t="s">
        <v>638</v>
      </c>
      <c r="E185" t="s">
        <v>639</v>
      </c>
      <c r="F185">
        <v>15</v>
      </c>
      <c r="G185">
        <v>1769197714</v>
      </c>
      <c r="H185">
        <f t="shared" si="26"/>
        <v>-7.3063384069083571E-7</v>
      </c>
      <c r="I185">
        <v>0</v>
      </c>
      <c r="J185">
        <f t="shared" si="38"/>
        <v>-2.9252909486600674E-4</v>
      </c>
      <c r="K185">
        <f t="shared" si="27"/>
        <v>-1.0900750929867559E-2</v>
      </c>
      <c r="L185">
        <f t="shared" si="28"/>
        <v>66.008960768609796</v>
      </c>
      <c r="M185">
        <f t="shared" si="29"/>
        <v>1.4560073510123999</v>
      </c>
      <c r="N185">
        <f t="shared" si="30"/>
        <v>2.2057722679748597</v>
      </c>
      <c r="O185">
        <v>481</v>
      </c>
      <c r="P185">
        <v>60</v>
      </c>
      <c r="Q185">
        <f t="shared" si="31"/>
        <v>1</v>
      </c>
      <c r="R185">
        <f t="shared" si="32"/>
        <v>0</v>
      </c>
      <c r="S185">
        <f t="shared" si="33"/>
        <v>26228.690931499874</v>
      </c>
      <c r="T185">
        <f t="shared" si="34"/>
        <v>300.005</v>
      </c>
      <c r="U185">
        <f t="shared" si="35"/>
        <v>252.90483601034998</v>
      </c>
      <c r="V185">
        <f t="shared" si="36"/>
        <v>0.84300206999999994</v>
      </c>
      <c r="W185">
        <f t="shared" si="37"/>
        <v>0.15870322619999999</v>
      </c>
      <c r="X185">
        <v>1</v>
      </c>
      <c r="Y185">
        <v>1769197714</v>
      </c>
      <c r="Z185">
        <v>409.97699999999998</v>
      </c>
      <c r="AA185">
        <v>409.96300000000002</v>
      </c>
      <c r="AB185">
        <v>14.5284</v>
      </c>
      <c r="AC185">
        <v>14.529299999999999</v>
      </c>
      <c r="AD185">
        <v>410.78300000000002</v>
      </c>
      <c r="AE185">
        <v>14.434100000000001</v>
      </c>
      <c r="AF185">
        <v>800.02099999999996</v>
      </c>
      <c r="AG185">
        <v>100.142</v>
      </c>
      <c r="AH185">
        <v>7.6010999999999995E-2</v>
      </c>
      <c r="AI185">
        <v>19.004300000000001</v>
      </c>
      <c r="AJ185">
        <v>999.9</v>
      </c>
      <c r="AK185">
        <v>999.9</v>
      </c>
      <c r="AL185">
        <v>0</v>
      </c>
      <c r="AM185">
        <v>0</v>
      </c>
      <c r="AN185">
        <v>4995</v>
      </c>
      <c r="AO185">
        <v>0</v>
      </c>
      <c r="AP185">
        <v>1.63733</v>
      </c>
      <c r="AQ185">
        <v>1.38245E-2</v>
      </c>
      <c r="AR185">
        <v>416.02100000000002</v>
      </c>
      <c r="AS185">
        <v>416.00799999999998</v>
      </c>
      <c r="AT185">
        <v>-8.7833400000000004E-4</v>
      </c>
      <c r="AU185">
        <v>409.96300000000002</v>
      </c>
      <c r="AV185">
        <v>14.529299999999999</v>
      </c>
      <c r="AW185">
        <v>1.4549099999999999</v>
      </c>
      <c r="AX185">
        <v>1.4550000000000001</v>
      </c>
      <c r="AY185">
        <v>12.5024</v>
      </c>
      <c r="AZ185">
        <v>12.503299999999999</v>
      </c>
      <c r="BA185">
        <v>300.005</v>
      </c>
      <c r="BB185">
        <v>0.89995999999999998</v>
      </c>
      <c r="BC185">
        <v>0</v>
      </c>
      <c r="BD185">
        <v>0.100041</v>
      </c>
      <c r="BE185">
        <v>0</v>
      </c>
      <c r="BF185">
        <v>25</v>
      </c>
      <c r="BG185">
        <v>4946.67</v>
      </c>
      <c r="BH185">
        <v>1769197713</v>
      </c>
      <c r="BI185" t="s">
        <v>637</v>
      </c>
      <c r="BJ185">
        <v>1769197710</v>
      </c>
      <c r="BK185">
        <v>1769197713</v>
      </c>
      <c r="BL185">
        <v>6</v>
      </c>
      <c r="BM185">
        <v>-1E-3</v>
      </c>
      <c r="BN185">
        <v>6.0000000000000001E-3</v>
      </c>
      <c r="BO185">
        <v>-0.80600000000000005</v>
      </c>
      <c r="BP185">
        <v>9.4E-2</v>
      </c>
      <c r="BQ185">
        <v>410</v>
      </c>
      <c r="BR185">
        <v>15</v>
      </c>
      <c r="BS185">
        <v>0.27</v>
      </c>
      <c r="BT185">
        <v>0.09</v>
      </c>
      <c r="BU185">
        <v>-2.4895106857142899E-2</v>
      </c>
      <c r="BV185">
        <v>0.44173893350649301</v>
      </c>
      <c r="BW185">
        <v>6.4875724542863902E-2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7.9367689333333297E-2</v>
      </c>
      <c r="CD185">
        <v>-1.24003670571428</v>
      </c>
      <c r="CE185">
        <v>0.18869289005553699</v>
      </c>
      <c r="CF185">
        <v>0</v>
      </c>
      <c r="CG185">
        <v>1</v>
      </c>
      <c r="CH185">
        <v>2</v>
      </c>
      <c r="CI185" t="s">
        <v>297</v>
      </c>
      <c r="CJ185">
        <v>3.5339800000000001</v>
      </c>
      <c r="CK185">
        <v>2.7125499999999998</v>
      </c>
      <c r="CL185">
        <v>9.7948900000000005E-2</v>
      </c>
      <c r="CM185">
        <v>9.6603999999999995E-2</v>
      </c>
      <c r="CN185">
        <v>8.3545099999999997E-2</v>
      </c>
      <c r="CO185">
        <v>8.2573400000000005E-2</v>
      </c>
      <c r="CP185">
        <v>31629.1</v>
      </c>
      <c r="CQ185">
        <v>27821.5</v>
      </c>
      <c r="CR185">
        <v>32452.799999999999</v>
      </c>
      <c r="CS185">
        <v>30723.7</v>
      </c>
      <c r="CT185">
        <v>40281.699999999997</v>
      </c>
      <c r="CU185">
        <v>39640.9</v>
      </c>
      <c r="CV185">
        <v>47399.9</v>
      </c>
      <c r="CW185">
        <v>46860</v>
      </c>
      <c r="CX185">
        <v>1.6872199999999999</v>
      </c>
      <c r="CY185">
        <v>1.60558</v>
      </c>
      <c r="CZ185">
        <v>0</v>
      </c>
      <c r="DA185">
        <v>0</v>
      </c>
      <c r="DB185">
        <v>999.9</v>
      </c>
      <c r="DC185">
        <v>999.9</v>
      </c>
      <c r="DD185">
        <v>49.634</v>
      </c>
      <c r="DE185">
        <v>28.167999999999999</v>
      </c>
      <c r="DF185">
        <v>18.993500000000001</v>
      </c>
      <c r="DG185">
        <v>30.4498</v>
      </c>
      <c r="DH185">
        <v>16.758800000000001</v>
      </c>
      <c r="DI185">
        <v>2</v>
      </c>
      <c r="DJ185">
        <v>-0.11457100000000001</v>
      </c>
      <c r="DK185">
        <v>2.1149399999999998</v>
      </c>
      <c r="DL185">
        <v>20.2226</v>
      </c>
      <c r="DM185">
        <v>5.2431700000000001</v>
      </c>
      <c r="DN185">
        <v>12.033899999999999</v>
      </c>
      <c r="DO185">
        <v>4.9654800000000003</v>
      </c>
      <c r="DP185">
        <v>3.28992</v>
      </c>
      <c r="DQ185">
        <v>536.9</v>
      </c>
      <c r="DR185">
        <v>9999</v>
      </c>
      <c r="DS185">
        <v>9999</v>
      </c>
      <c r="DT185">
        <v>9999</v>
      </c>
      <c r="DU185">
        <v>1.8710500000000001</v>
      </c>
      <c r="DV185">
        <v>1.8760699999999999</v>
      </c>
      <c r="DW185">
        <v>1.87632</v>
      </c>
      <c r="DX185">
        <v>1.8827799999999999</v>
      </c>
      <c r="DY185">
        <v>1.87558</v>
      </c>
      <c r="DZ185">
        <v>1.87462</v>
      </c>
      <c r="EA185">
        <v>1.87077</v>
      </c>
      <c r="EB185">
        <v>1.8745799999999999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-0.80600000000000005</v>
      </c>
      <c r="EQ185">
        <v>9.4299999999999995E-2</v>
      </c>
      <c r="ER185">
        <v>-0.80572727272732403</v>
      </c>
      <c r="ES185">
        <v>0</v>
      </c>
      <c r="ET185">
        <v>0</v>
      </c>
      <c r="EU185">
        <v>0</v>
      </c>
      <c r="EV185">
        <v>9.43299999999994E-2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0.1</v>
      </c>
      <c r="FE185">
        <v>0</v>
      </c>
      <c r="FF185">
        <v>1.24268</v>
      </c>
      <c r="FG185">
        <v>2.5939899999999998</v>
      </c>
      <c r="FH185">
        <v>2.19604</v>
      </c>
      <c r="FI185">
        <v>2.66357</v>
      </c>
      <c r="FJ185">
        <v>2.4462899999999999</v>
      </c>
      <c r="FK185">
        <v>2.33643</v>
      </c>
      <c r="FL185">
        <v>32.487499999999997</v>
      </c>
      <c r="FM185">
        <v>24.148800000000001</v>
      </c>
      <c r="FN185">
        <v>19</v>
      </c>
      <c r="FO185">
        <v>300.81200000000001</v>
      </c>
      <c r="FP185">
        <v>279.64100000000002</v>
      </c>
      <c r="FQ185">
        <v>18.2668</v>
      </c>
      <c r="FR185">
        <v>25.5246</v>
      </c>
      <c r="FS185">
        <v>30</v>
      </c>
      <c r="FT185">
        <v>25.583300000000001</v>
      </c>
      <c r="FU185">
        <v>25.586500000000001</v>
      </c>
      <c r="FV185">
        <v>24.9529</v>
      </c>
      <c r="FW185">
        <v>24.4754</v>
      </c>
      <c r="FX185">
        <v>0</v>
      </c>
      <c r="FY185">
        <v>18.262699999999999</v>
      </c>
      <c r="FZ185">
        <v>410</v>
      </c>
      <c r="GA185">
        <v>15.0784</v>
      </c>
      <c r="GB185">
        <v>99.873800000000003</v>
      </c>
      <c r="GC185">
        <v>99.750500000000002</v>
      </c>
    </row>
    <row r="186" spans="1:185" x14ac:dyDescent="0.2">
      <c r="A186">
        <v>171</v>
      </c>
      <c r="B186">
        <v>1769197730</v>
      </c>
      <c r="C186">
        <v>3169</v>
      </c>
      <c r="D186" t="s">
        <v>640</v>
      </c>
      <c r="E186" t="s">
        <v>641</v>
      </c>
      <c r="F186">
        <v>15</v>
      </c>
      <c r="G186">
        <v>1769197721.9333301</v>
      </c>
      <c r="H186">
        <f t="shared" si="26"/>
        <v>4.9909983341995178E-4</v>
      </c>
      <c r="I186">
        <v>0</v>
      </c>
      <c r="J186">
        <f t="shared" si="38"/>
        <v>-5.0488238903528025E-5</v>
      </c>
      <c r="K186">
        <f t="shared" si="27"/>
        <v>-1.8813845420302599E-3</v>
      </c>
      <c r="L186">
        <f t="shared" si="28"/>
        <v>69.265161624669318</v>
      </c>
      <c r="M186">
        <f t="shared" si="29"/>
        <v>1.5278082099743244</v>
      </c>
      <c r="N186">
        <f t="shared" si="30"/>
        <v>2.2057383165481332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26323.645291437781</v>
      </c>
      <c r="T186">
        <f t="shared" si="34"/>
        <v>300.000333333333</v>
      </c>
      <c r="U186">
        <f t="shared" si="35"/>
        <v>252.90062480038154</v>
      </c>
      <c r="V186">
        <f t="shared" si="36"/>
        <v>0.84300114599999942</v>
      </c>
      <c r="W186">
        <f t="shared" si="37"/>
        <v>0.15870273507999988</v>
      </c>
      <c r="X186">
        <v>1</v>
      </c>
      <c r="Y186">
        <v>1769197721.9333301</v>
      </c>
      <c r="Z186">
        <v>409.70906666666701</v>
      </c>
      <c r="AA186">
        <v>409.9622</v>
      </c>
      <c r="AB186">
        <v>15.246553333333299</v>
      </c>
      <c r="AC186">
        <v>14.632486666666701</v>
      </c>
      <c r="AD186">
        <v>410.51486666666699</v>
      </c>
      <c r="AE186">
        <v>15.152226666666699</v>
      </c>
      <c r="AF186">
        <v>800.38586666666697</v>
      </c>
      <c r="AG186">
        <v>100.140533333333</v>
      </c>
      <c r="AH186">
        <v>6.6259413333333295E-2</v>
      </c>
      <c r="AI186">
        <v>19.004053333333299</v>
      </c>
      <c r="AJ186">
        <v>999.9</v>
      </c>
      <c r="AK186">
        <v>999.9</v>
      </c>
      <c r="AL186">
        <v>0</v>
      </c>
      <c r="AM186">
        <v>0</v>
      </c>
      <c r="AN186">
        <v>5010.7</v>
      </c>
      <c r="AO186">
        <v>0</v>
      </c>
      <c r="AP186">
        <v>1.63733</v>
      </c>
      <c r="AQ186">
        <v>-0.25302947333333298</v>
      </c>
      <c r="AR186">
        <v>416.05253333333297</v>
      </c>
      <c r="AS186">
        <v>416.05013333333301</v>
      </c>
      <c r="AT186">
        <v>0.61406731106666701</v>
      </c>
      <c r="AU186">
        <v>409.9622</v>
      </c>
      <c r="AV186">
        <v>14.632486666666701</v>
      </c>
      <c r="AW186">
        <v>1.526796</v>
      </c>
      <c r="AX186">
        <v>1.46530466666667</v>
      </c>
      <c r="AY186">
        <v>13.2368533333333</v>
      </c>
      <c r="AZ186">
        <v>12.61078</v>
      </c>
      <c r="BA186">
        <v>300.000333333333</v>
      </c>
      <c r="BB186">
        <v>0.89996373333333302</v>
      </c>
      <c r="BC186">
        <v>0</v>
      </c>
      <c r="BD186">
        <v>0.10003633333333301</v>
      </c>
      <c r="BE186">
        <v>0</v>
      </c>
      <c r="BF186">
        <v>25</v>
      </c>
      <c r="BG186">
        <v>4946.5886666666702</v>
      </c>
      <c r="BH186">
        <v>1769197713</v>
      </c>
      <c r="BI186" t="s">
        <v>637</v>
      </c>
      <c r="BJ186">
        <v>1769197710</v>
      </c>
      <c r="BK186">
        <v>1769197713</v>
      </c>
      <c r="BL186">
        <v>6</v>
      </c>
      <c r="BM186">
        <v>-1E-3</v>
      </c>
      <c r="BN186">
        <v>6.0000000000000001E-3</v>
      </c>
      <c r="BO186">
        <v>-0.80600000000000005</v>
      </c>
      <c r="BP186">
        <v>9.4E-2</v>
      </c>
      <c r="BQ186">
        <v>410</v>
      </c>
      <c r="BR186">
        <v>15</v>
      </c>
      <c r="BS186">
        <v>0.27</v>
      </c>
      <c r="BT186">
        <v>0.09</v>
      </c>
      <c r="BU186">
        <v>-0.189291456</v>
      </c>
      <c r="BV186">
        <v>-1.52874134165414</v>
      </c>
      <c r="BW186">
        <v>0.15638146318184201</v>
      </c>
      <c r="BX186">
        <v>0</v>
      </c>
      <c r="BY186">
        <v>0</v>
      </c>
      <c r="BZ186">
        <v>0</v>
      </c>
      <c r="CA186">
        <v>0</v>
      </c>
      <c r="CB186">
        <v>-1</v>
      </c>
      <c r="CC186">
        <v>0.46135304729999999</v>
      </c>
      <c r="CD186">
        <v>3.1918777801804499</v>
      </c>
      <c r="CE186">
        <v>0.332995171236037</v>
      </c>
      <c r="CF186">
        <v>0</v>
      </c>
      <c r="CG186">
        <v>0</v>
      </c>
      <c r="CH186">
        <v>2</v>
      </c>
      <c r="CI186" t="s">
        <v>290</v>
      </c>
      <c r="CJ186">
        <v>3.53254</v>
      </c>
      <c r="CK186">
        <v>2.7022400000000002</v>
      </c>
      <c r="CL186">
        <v>9.7902500000000003E-2</v>
      </c>
      <c r="CM186">
        <v>9.6613500000000005E-2</v>
      </c>
      <c r="CN186">
        <v>8.7280099999999999E-2</v>
      </c>
      <c r="CO186">
        <v>8.3124100000000006E-2</v>
      </c>
      <c r="CP186">
        <v>31630.6</v>
      </c>
      <c r="CQ186">
        <v>27821</v>
      </c>
      <c r="CR186">
        <v>32452.6</v>
      </c>
      <c r="CS186">
        <v>30723.5</v>
      </c>
      <c r="CT186">
        <v>40112.6</v>
      </c>
      <c r="CU186">
        <v>39616.1</v>
      </c>
      <c r="CV186">
        <v>47400</v>
      </c>
      <c r="CW186">
        <v>46859.7</v>
      </c>
      <c r="CX186">
        <v>2.6194199999999999</v>
      </c>
      <c r="CY186">
        <v>2.12262</v>
      </c>
      <c r="CZ186">
        <v>0</v>
      </c>
      <c r="DA186">
        <v>0</v>
      </c>
      <c r="DB186">
        <v>999.9</v>
      </c>
      <c r="DC186">
        <v>999.9</v>
      </c>
      <c r="DD186">
        <v>49.609000000000002</v>
      </c>
      <c r="DE186">
        <v>28.167999999999999</v>
      </c>
      <c r="DF186">
        <v>18.9847</v>
      </c>
      <c r="DG186">
        <v>30.419799999999999</v>
      </c>
      <c r="DH186">
        <v>16.398199999999999</v>
      </c>
      <c r="DI186">
        <v>2</v>
      </c>
      <c r="DJ186">
        <v>-0.114287</v>
      </c>
      <c r="DK186">
        <v>2.1320800000000002</v>
      </c>
      <c r="DL186">
        <v>20.224599999999999</v>
      </c>
      <c r="DM186">
        <v>5.25</v>
      </c>
      <c r="DN186">
        <v>12.033899999999999</v>
      </c>
      <c r="DO186">
        <v>4.9668799999999997</v>
      </c>
      <c r="DP186">
        <v>3.2909999999999999</v>
      </c>
      <c r="DQ186">
        <v>536.9</v>
      </c>
      <c r="DR186">
        <v>9999</v>
      </c>
      <c r="DS186">
        <v>9999</v>
      </c>
      <c r="DT186">
        <v>9999</v>
      </c>
      <c r="DU186">
        <v>1.8710500000000001</v>
      </c>
      <c r="DV186">
        <v>1.87608</v>
      </c>
      <c r="DW186">
        <v>1.87629</v>
      </c>
      <c r="DX186">
        <v>1.8827799999999999</v>
      </c>
      <c r="DY186">
        <v>1.8755900000000001</v>
      </c>
      <c r="DZ186">
        <v>1.87466</v>
      </c>
      <c r="EA186">
        <v>1.87079</v>
      </c>
      <c r="EB186">
        <v>1.8745799999999999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-0.80600000000000005</v>
      </c>
      <c r="EQ186">
        <v>9.4299999999999995E-2</v>
      </c>
      <c r="ER186">
        <v>-0.80572727272732403</v>
      </c>
      <c r="ES186">
        <v>0</v>
      </c>
      <c r="ET186">
        <v>0</v>
      </c>
      <c r="EU186">
        <v>0</v>
      </c>
      <c r="EV186">
        <v>9.43299999999994E-2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0.3</v>
      </c>
      <c r="FE186">
        <v>0.3</v>
      </c>
      <c r="FF186">
        <v>1.2439</v>
      </c>
      <c r="FG186">
        <v>2.5939899999999998</v>
      </c>
      <c r="FH186">
        <v>2.19604</v>
      </c>
      <c r="FI186">
        <v>2.66357</v>
      </c>
      <c r="FJ186">
        <v>2.4462899999999999</v>
      </c>
      <c r="FK186">
        <v>2.2863799999999999</v>
      </c>
      <c r="FL186">
        <v>32.487499999999997</v>
      </c>
      <c r="FM186">
        <v>24.148800000000001</v>
      </c>
      <c r="FN186">
        <v>19</v>
      </c>
      <c r="FO186">
        <v>863.30100000000004</v>
      </c>
      <c r="FP186">
        <v>571.42700000000002</v>
      </c>
      <c r="FQ186">
        <v>18.253499999999999</v>
      </c>
      <c r="FR186">
        <v>25.526800000000001</v>
      </c>
      <c r="FS186">
        <v>30.000299999999999</v>
      </c>
      <c r="FT186">
        <v>25.572900000000001</v>
      </c>
      <c r="FU186">
        <v>25.5762</v>
      </c>
      <c r="FV186">
        <v>24.956700000000001</v>
      </c>
      <c r="FW186">
        <v>25.572199999999999</v>
      </c>
      <c r="FX186">
        <v>0</v>
      </c>
      <c r="FY186">
        <v>18.250499999999999</v>
      </c>
      <c r="FZ186">
        <v>410</v>
      </c>
      <c r="GA186">
        <v>14.6099</v>
      </c>
      <c r="GB186">
        <v>99.873699999999999</v>
      </c>
      <c r="GC186">
        <v>99.749799999999993</v>
      </c>
    </row>
    <row r="187" spans="1:185" x14ac:dyDescent="0.2">
      <c r="A187">
        <v>172</v>
      </c>
      <c r="B187">
        <v>1769197745</v>
      </c>
      <c r="C187">
        <v>3184</v>
      </c>
      <c r="D187" t="s">
        <v>642</v>
      </c>
      <c r="E187" t="s">
        <v>643</v>
      </c>
      <c r="F187">
        <v>15</v>
      </c>
      <c r="G187">
        <v>1769197736.9333301</v>
      </c>
      <c r="H187">
        <f t="shared" si="26"/>
        <v>6.4280287084618395E-4</v>
      </c>
      <c r="I187">
        <v>0</v>
      </c>
      <c r="J187">
        <f t="shared" si="38"/>
        <v>2.5695021590858917E-4</v>
      </c>
      <c r="K187">
        <f t="shared" si="27"/>
        <v>9.57494606229921E-3</v>
      </c>
      <c r="L187">
        <f t="shared" si="28"/>
        <v>70.183106280580887</v>
      </c>
      <c r="M187">
        <f t="shared" si="29"/>
        <v>1.548125864384885</v>
      </c>
      <c r="N187">
        <f t="shared" si="30"/>
        <v>2.2058383369292951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26228.308944825902</v>
      </c>
      <c r="T187">
        <f t="shared" si="34"/>
        <v>299.99973333333298</v>
      </c>
      <c r="U187">
        <f t="shared" si="35"/>
        <v>252.90013459968031</v>
      </c>
      <c r="V187">
        <f t="shared" si="36"/>
        <v>0.84300119800000028</v>
      </c>
      <c r="W187">
        <f t="shared" si="37"/>
        <v>0.15870286508000009</v>
      </c>
      <c r="X187">
        <v>1</v>
      </c>
      <c r="Y187">
        <v>1769197736.9333301</v>
      </c>
      <c r="Z187">
        <v>409.66333333333301</v>
      </c>
      <c r="AA187">
        <v>410.00446666666699</v>
      </c>
      <c r="AB187">
        <v>15.4497</v>
      </c>
      <c r="AC187">
        <v>14.6586133333333</v>
      </c>
      <c r="AD187">
        <v>410.46899999999999</v>
      </c>
      <c r="AE187">
        <v>15.3553866666667</v>
      </c>
      <c r="AF187">
        <v>800.003066666667</v>
      </c>
      <c r="AG187">
        <v>100.139933333333</v>
      </c>
      <c r="AH187">
        <v>6.4333699999999994E-2</v>
      </c>
      <c r="AI187">
        <v>19.00478</v>
      </c>
      <c r="AJ187">
        <v>999.9</v>
      </c>
      <c r="AK187">
        <v>999.9</v>
      </c>
      <c r="AL187">
        <v>0</v>
      </c>
      <c r="AM187">
        <v>0</v>
      </c>
      <c r="AN187">
        <v>4995.0333333333301</v>
      </c>
      <c r="AO187">
        <v>0</v>
      </c>
      <c r="AP187">
        <v>1.63733</v>
      </c>
      <c r="AQ187">
        <v>-0.34103593333333299</v>
      </c>
      <c r="AR187">
        <v>416.09173333333302</v>
      </c>
      <c r="AS187">
        <v>416.10399999999998</v>
      </c>
      <c r="AT187">
        <v>0.79110253333333302</v>
      </c>
      <c r="AU187">
        <v>410.00446666666699</v>
      </c>
      <c r="AV187">
        <v>14.6586133333333</v>
      </c>
      <c r="AW187">
        <v>1.547134</v>
      </c>
      <c r="AX187">
        <v>1.4679120000000001</v>
      </c>
      <c r="AY187">
        <v>13.4421066666667</v>
      </c>
      <c r="AZ187">
        <v>12.637973333333299</v>
      </c>
      <c r="BA187">
        <v>299.99973333333298</v>
      </c>
      <c r="BB187">
        <v>0.89996200000000004</v>
      </c>
      <c r="BC187">
        <v>0</v>
      </c>
      <c r="BD187">
        <v>0.10003806666666699</v>
      </c>
      <c r="BE187">
        <v>0</v>
      </c>
      <c r="BF187">
        <v>25</v>
      </c>
      <c r="BG187">
        <v>4946.576</v>
      </c>
      <c r="BH187">
        <v>1769197713</v>
      </c>
      <c r="BI187" t="s">
        <v>637</v>
      </c>
      <c r="BJ187">
        <v>1769197710</v>
      </c>
      <c r="BK187">
        <v>1769197713</v>
      </c>
      <c r="BL187">
        <v>6</v>
      </c>
      <c r="BM187">
        <v>-1E-3</v>
      </c>
      <c r="BN187">
        <v>6.0000000000000001E-3</v>
      </c>
      <c r="BO187">
        <v>-0.80600000000000005</v>
      </c>
      <c r="BP187">
        <v>9.4E-2</v>
      </c>
      <c r="BQ187">
        <v>410</v>
      </c>
      <c r="BR187">
        <v>15</v>
      </c>
      <c r="BS187">
        <v>0.27</v>
      </c>
      <c r="BT187">
        <v>0.09</v>
      </c>
      <c r="BU187">
        <v>-0.344632142857143</v>
      </c>
      <c r="BV187">
        <v>0.12390919480519499</v>
      </c>
      <c r="BW187">
        <v>1.92651823846266E-2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0.78333971428571403</v>
      </c>
      <c r="CD187">
        <v>0.146817662337661</v>
      </c>
      <c r="CE187">
        <v>1.50045186500057E-2</v>
      </c>
      <c r="CF187">
        <v>0</v>
      </c>
      <c r="CG187">
        <v>1</v>
      </c>
      <c r="CH187">
        <v>2</v>
      </c>
      <c r="CI187" t="s">
        <v>297</v>
      </c>
      <c r="CJ187">
        <v>3.5325500000000001</v>
      </c>
      <c r="CK187">
        <v>2.7017099999999998</v>
      </c>
      <c r="CL187">
        <v>9.79101E-2</v>
      </c>
      <c r="CM187">
        <v>9.6606899999999996E-2</v>
      </c>
      <c r="CN187">
        <v>8.7392600000000001E-2</v>
      </c>
      <c r="CO187">
        <v>8.3110100000000006E-2</v>
      </c>
      <c r="CP187">
        <v>31629.9</v>
      </c>
      <c r="CQ187">
        <v>27821.5</v>
      </c>
      <c r="CR187">
        <v>32452.2</v>
      </c>
      <c r="CS187">
        <v>30723.9</v>
      </c>
      <c r="CT187">
        <v>40107</v>
      </c>
      <c r="CU187">
        <v>39617.199999999997</v>
      </c>
      <c r="CV187">
        <v>47399.4</v>
      </c>
      <c r="CW187">
        <v>46860.2</v>
      </c>
      <c r="CX187">
        <v>2.62134</v>
      </c>
      <c r="CY187">
        <v>2.1231800000000001</v>
      </c>
      <c r="CZ187">
        <v>0</v>
      </c>
      <c r="DA187">
        <v>0</v>
      </c>
      <c r="DB187">
        <v>999.9</v>
      </c>
      <c r="DC187">
        <v>999.9</v>
      </c>
      <c r="DD187">
        <v>49.585000000000001</v>
      </c>
      <c r="DE187">
        <v>28.178000000000001</v>
      </c>
      <c r="DF187">
        <v>18.985600000000002</v>
      </c>
      <c r="DG187">
        <v>30.629799999999999</v>
      </c>
      <c r="DH187">
        <v>16.398199999999999</v>
      </c>
      <c r="DI187">
        <v>2</v>
      </c>
      <c r="DJ187">
        <v>-0.11386</v>
      </c>
      <c r="DK187">
        <v>2.1578400000000002</v>
      </c>
      <c r="DL187">
        <v>20.223800000000001</v>
      </c>
      <c r="DM187">
        <v>5.2473599999999996</v>
      </c>
      <c r="DN187">
        <v>12.033899999999999</v>
      </c>
      <c r="DO187">
        <v>4.9663599999999999</v>
      </c>
      <c r="DP187">
        <v>3.2907199999999999</v>
      </c>
      <c r="DQ187">
        <v>536.9</v>
      </c>
      <c r="DR187">
        <v>9999</v>
      </c>
      <c r="DS187">
        <v>9999</v>
      </c>
      <c r="DT187">
        <v>9999</v>
      </c>
      <c r="DU187">
        <v>1.87107</v>
      </c>
      <c r="DV187">
        <v>1.8761000000000001</v>
      </c>
      <c r="DW187">
        <v>1.8763300000000001</v>
      </c>
      <c r="DX187">
        <v>1.8827799999999999</v>
      </c>
      <c r="DY187">
        <v>1.8755999999999999</v>
      </c>
      <c r="DZ187">
        <v>1.8746700000000001</v>
      </c>
      <c r="EA187">
        <v>1.8707800000000001</v>
      </c>
      <c r="EB187">
        <v>1.87459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-0.80500000000000005</v>
      </c>
      <c r="EQ187">
        <v>9.4399999999999998E-2</v>
      </c>
      <c r="ER187">
        <v>-0.80572727272732403</v>
      </c>
      <c r="ES187">
        <v>0</v>
      </c>
      <c r="ET187">
        <v>0</v>
      </c>
      <c r="EU187">
        <v>0</v>
      </c>
      <c r="EV187">
        <v>9.43299999999994E-2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0.6</v>
      </c>
      <c r="FE187">
        <v>0.5</v>
      </c>
      <c r="FF187">
        <v>1.2439</v>
      </c>
      <c r="FG187">
        <v>2.5952099999999998</v>
      </c>
      <c r="FH187">
        <v>2.19604</v>
      </c>
      <c r="FI187">
        <v>2.66357</v>
      </c>
      <c r="FJ187">
        <v>2.4462899999999999</v>
      </c>
      <c r="FK187">
        <v>2.32422</v>
      </c>
      <c r="FL187">
        <v>32.487499999999997</v>
      </c>
      <c r="FM187">
        <v>24.148800000000001</v>
      </c>
      <c r="FN187">
        <v>19</v>
      </c>
      <c r="FO187">
        <v>865.05100000000004</v>
      </c>
      <c r="FP187">
        <v>571.84799999999996</v>
      </c>
      <c r="FQ187">
        <v>18.241800000000001</v>
      </c>
      <c r="FR187">
        <v>25.530999999999999</v>
      </c>
      <c r="FS187">
        <v>30.0001</v>
      </c>
      <c r="FT187">
        <v>25.570799999999998</v>
      </c>
      <c r="FU187">
        <v>25.575700000000001</v>
      </c>
      <c r="FV187">
        <v>24.957699999999999</v>
      </c>
      <c r="FW187">
        <v>25.854700000000001</v>
      </c>
      <c r="FX187">
        <v>0</v>
      </c>
      <c r="FY187">
        <v>18.236599999999999</v>
      </c>
      <c r="FZ187">
        <v>410</v>
      </c>
      <c r="GA187">
        <v>14.5754</v>
      </c>
      <c r="GB187">
        <v>99.872399999999999</v>
      </c>
      <c r="GC187">
        <v>99.750900000000001</v>
      </c>
    </row>
    <row r="188" spans="1:185" x14ac:dyDescent="0.2">
      <c r="A188">
        <v>173</v>
      </c>
      <c r="B188">
        <v>1769197760</v>
      </c>
      <c r="C188">
        <v>3199</v>
      </c>
      <c r="D188" t="s">
        <v>644</v>
      </c>
      <c r="E188" t="s">
        <v>645</v>
      </c>
      <c r="F188">
        <v>15</v>
      </c>
      <c r="G188">
        <v>1769197751.9333301</v>
      </c>
      <c r="H188">
        <f t="shared" si="26"/>
        <v>6.871882904669357E-4</v>
      </c>
      <c r="I188">
        <v>0</v>
      </c>
      <c r="J188">
        <f t="shared" si="38"/>
        <v>-5.6042642745905279E-4</v>
      </c>
      <c r="K188">
        <f t="shared" si="27"/>
        <v>-2.0883628355138108E-2</v>
      </c>
      <c r="L188">
        <f t="shared" si="28"/>
        <v>70.214259882248015</v>
      </c>
      <c r="M188">
        <f t="shared" si="29"/>
        <v>1.5487357467716047</v>
      </c>
      <c r="N188">
        <f t="shared" si="30"/>
        <v>2.205728222969086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26284.864881483973</v>
      </c>
      <c r="T188">
        <f t="shared" si="34"/>
        <v>299.999866666667</v>
      </c>
      <c r="U188">
        <f t="shared" si="35"/>
        <v>252.90028599982321</v>
      </c>
      <c r="V188">
        <f t="shared" si="36"/>
        <v>0.84300132799999994</v>
      </c>
      <c r="W188">
        <f t="shared" si="37"/>
        <v>0.15870293024000001</v>
      </c>
      <c r="X188">
        <v>1</v>
      </c>
      <c r="Y188">
        <v>1769197751.9333301</v>
      </c>
      <c r="Z188">
        <v>409.67573333333303</v>
      </c>
      <c r="AA188">
        <v>410.00153333333299</v>
      </c>
      <c r="AB188">
        <v>15.4557933333333</v>
      </c>
      <c r="AC188">
        <v>14.6100866666667</v>
      </c>
      <c r="AD188">
        <v>410.4812</v>
      </c>
      <c r="AE188">
        <v>15.361459999999999</v>
      </c>
      <c r="AF188">
        <v>800.00226666666697</v>
      </c>
      <c r="AG188">
        <v>100.14</v>
      </c>
      <c r="AH188">
        <v>6.4222026666666696E-2</v>
      </c>
      <c r="AI188">
        <v>19.003979999999999</v>
      </c>
      <c r="AJ188">
        <v>999.9</v>
      </c>
      <c r="AK188">
        <v>999.9</v>
      </c>
      <c r="AL188">
        <v>0</v>
      </c>
      <c r="AM188">
        <v>0</v>
      </c>
      <c r="AN188">
        <v>5004.3333333333303</v>
      </c>
      <c r="AO188">
        <v>0</v>
      </c>
      <c r="AP188">
        <v>1.63733</v>
      </c>
      <c r="AQ188">
        <v>-0.326025333333333</v>
      </c>
      <c r="AR188">
        <v>416.10686666666697</v>
      </c>
      <c r="AS188">
        <v>416.08046666666701</v>
      </c>
      <c r="AT188">
        <v>0.84570800000000002</v>
      </c>
      <c r="AU188">
        <v>410.00153333333299</v>
      </c>
      <c r="AV188">
        <v>14.6100866666667</v>
      </c>
      <c r="AW188">
        <v>1.5477433333333299</v>
      </c>
      <c r="AX188">
        <v>1.4630540000000001</v>
      </c>
      <c r="AY188">
        <v>13.44814</v>
      </c>
      <c r="AZ188">
        <v>12.587400000000001</v>
      </c>
      <c r="BA188">
        <v>299.999866666667</v>
      </c>
      <c r="BB188">
        <v>0.89996153333333295</v>
      </c>
      <c r="BC188">
        <v>0</v>
      </c>
      <c r="BD188">
        <v>0.100038666666667</v>
      </c>
      <c r="BE188">
        <v>0</v>
      </c>
      <c r="BF188">
        <v>25</v>
      </c>
      <c r="BG188">
        <v>4946.5780000000004</v>
      </c>
      <c r="BH188">
        <v>1769197713</v>
      </c>
      <c r="BI188" t="s">
        <v>637</v>
      </c>
      <c r="BJ188">
        <v>1769197710</v>
      </c>
      <c r="BK188">
        <v>1769197713</v>
      </c>
      <c r="BL188">
        <v>6</v>
      </c>
      <c r="BM188">
        <v>-1E-3</v>
      </c>
      <c r="BN188">
        <v>6.0000000000000001E-3</v>
      </c>
      <c r="BO188">
        <v>-0.80600000000000005</v>
      </c>
      <c r="BP188">
        <v>9.4E-2</v>
      </c>
      <c r="BQ188">
        <v>410</v>
      </c>
      <c r="BR188">
        <v>15</v>
      </c>
      <c r="BS188">
        <v>0.27</v>
      </c>
      <c r="BT188">
        <v>0.09</v>
      </c>
      <c r="BU188">
        <v>-0.32434839999999998</v>
      </c>
      <c r="BV188">
        <v>5.6714165413534003E-2</v>
      </c>
      <c r="BW188">
        <v>3.3862251467378798E-2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0.83451955</v>
      </c>
      <c r="CD188">
        <v>0.25124377443609103</v>
      </c>
      <c r="CE188">
        <v>2.6581827865056602E-2</v>
      </c>
      <c r="CF188">
        <v>0</v>
      </c>
      <c r="CG188">
        <v>1</v>
      </c>
      <c r="CH188">
        <v>2</v>
      </c>
      <c r="CI188" t="s">
        <v>297</v>
      </c>
      <c r="CJ188">
        <v>3.5324900000000001</v>
      </c>
      <c r="CK188">
        <v>2.7021700000000002</v>
      </c>
      <c r="CL188">
        <v>9.7908499999999996E-2</v>
      </c>
      <c r="CM188">
        <v>9.6606700000000004E-2</v>
      </c>
      <c r="CN188">
        <v>8.73144E-2</v>
      </c>
      <c r="CO188">
        <v>8.2819900000000002E-2</v>
      </c>
      <c r="CP188">
        <v>31630.5</v>
      </c>
      <c r="CQ188">
        <v>27821.1</v>
      </c>
      <c r="CR188">
        <v>32452.7</v>
      </c>
      <c r="CS188">
        <v>30723.4</v>
      </c>
      <c r="CT188">
        <v>40111.300000000003</v>
      </c>
      <c r="CU188">
        <v>39629.599999999999</v>
      </c>
      <c r="CV188">
        <v>47400.2</v>
      </c>
      <c r="CW188">
        <v>46859.6</v>
      </c>
      <c r="CX188">
        <v>2.6219000000000001</v>
      </c>
      <c r="CY188">
        <v>2.1232799999999998</v>
      </c>
      <c r="CZ188">
        <v>0</v>
      </c>
      <c r="DA188">
        <v>0</v>
      </c>
      <c r="DB188">
        <v>999.9</v>
      </c>
      <c r="DC188">
        <v>999.9</v>
      </c>
      <c r="DD188">
        <v>49.536000000000001</v>
      </c>
      <c r="DE188">
        <v>28.178000000000001</v>
      </c>
      <c r="DF188">
        <v>18.967300000000002</v>
      </c>
      <c r="DG188">
        <v>30.509799999999998</v>
      </c>
      <c r="DH188">
        <v>16.506399999999999</v>
      </c>
      <c r="DI188">
        <v>2</v>
      </c>
      <c r="DJ188">
        <v>-0.113638</v>
      </c>
      <c r="DK188">
        <v>2.1720799999999998</v>
      </c>
      <c r="DL188">
        <v>20.2239</v>
      </c>
      <c r="DM188">
        <v>5.2488000000000001</v>
      </c>
      <c r="DN188">
        <v>12.033899999999999</v>
      </c>
      <c r="DO188">
        <v>4.96652</v>
      </c>
      <c r="DP188">
        <v>3.2909999999999999</v>
      </c>
      <c r="DQ188">
        <v>536.9</v>
      </c>
      <c r="DR188">
        <v>9999</v>
      </c>
      <c r="DS188">
        <v>9999</v>
      </c>
      <c r="DT188">
        <v>9999</v>
      </c>
      <c r="DU188">
        <v>1.87107</v>
      </c>
      <c r="DV188">
        <v>1.87609</v>
      </c>
      <c r="DW188">
        <v>1.87632</v>
      </c>
      <c r="DX188">
        <v>1.8827799999999999</v>
      </c>
      <c r="DY188">
        <v>1.8755900000000001</v>
      </c>
      <c r="DZ188">
        <v>1.8746700000000001</v>
      </c>
      <c r="EA188">
        <v>1.8708100000000001</v>
      </c>
      <c r="EB188">
        <v>1.87462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-0.80600000000000005</v>
      </c>
      <c r="EQ188">
        <v>9.4399999999999998E-2</v>
      </c>
      <c r="ER188">
        <v>-0.80572727272732403</v>
      </c>
      <c r="ES188">
        <v>0</v>
      </c>
      <c r="ET188">
        <v>0</v>
      </c>
      <c r="EU188">
        <v>0</v>
      </c>
      <c r="EV188">
        <v>9.43299999999994E-2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0.8</v>
      </c>
      <c r="FE188">
        <v>0.8</v>
      </c>
      <c r="FF188">
        <v>1.2439</v>
      </c>
      <c r="FG188">
        <v>2.5988799999999999</v>
      </c>
      <c r="FH188">
        <v>2.19604</v>
      </c>
      <c r="FI188">
        <v>2.66357</v>
      </c>
      <c r="FJ188">
        <v>2.4462899999999999</v>
      </c>
      <c r="FK188">
        <v>2.2595200000000002</v>
      </c>
      <c r="FL188">
        <v>32.487499999999997</v>
      </c>
      <c r="FM188">
        <v>24.14</v>
      </c>
      <c r="FN188">
        <v>19</v>
      </c>
      <c r="FO188">
        <v>865.572</v>
      </c>
      <c r="FP188">
        <v>571.92399999999998</v>
      </c>
      <c r="FQ188">
        <v>18.224799999999998</v>
      </c>
      <c r="FR188">
        <v>25.533200000000001</v>
      </c>
      <c r="FS188">
        <v>30.0002</v>
      </c>
      <c r="FT188">
        <v>25.570799999999998</v>
      </c>
      <c r="FU188">
        <v>25.575700000000001</v>
      </c>
      <c r="FV188">
        <v>24.957100000000001</v>
      </c>
      <c r="FW188">
        <v>25.854700000000001</v>
      </c>
      <c r="FX188">
        <v>0</v>
      </c>
      <c r="FY188">
        <v>18.223600000000001</v>
      </c>
      <c r="FZ188">
        <v>410</v>
      </c>
      <c r="GA188">
        <v>14.579599999999999</v>
      </c>
      <c r="GB188">
        <v>99.874099999999999</v>
      </c>
      <c r="GC188">
        <v>99.749600000000001</v>
      </c>
    </row>
    <row r="189" spans="1:185" x14ac:dyDescent="0.2">
      <c r="A189">
        <v>174</v>
      </c>
      <c r="B189">
        <v>1769197775</v>
      </c>
      <c r="C189">
        <v>3214</v>
      </c>
      <c r="D189" t="s">
        <v>646</v>
      </c>
      <c r="E189" t="s">
        <v>647</v>
      </c>
      <c r="F189">
        <v>15</v>
      </c>
      <c r="G189">
        <v>1769197766.9333301</v>
      </c>
      <c r="H189">
        <f t="shared" si="26"/>
        <v>6.9394467245793238E-4</v>
      </c>
      <c r="I189">
        <v>0</v>
      </c>
      <c r="J189">
        <f t="shared" si="38"/>
        <v>-9.941996247364727E-4</v>
      </c>
      <c r="K189">
        <f t="shared" si="27"/>
        <v>-3.7047673800735009E-2</v>
      </c>
      <c r="L189">
        <f t="shared" si="28"/>
        <v>70.144948521768953</v>
      </c>
      <c r="M189">
        <f t="shared" si="29"/>
        <v>1.5469784464891163</v>
      </c>
      <c r="N189">
        <f t="shared" si="30"/>
        <v>2.2054024973858573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26272.700958752277</v>
      </c>
      <c r="T189">
        <f t="shared" si="34"/>
        <v>300.00046666666702</v>
      </c>
      <c r="U189">
        <f t="shared" si="35"/>
        <v>252.90068860045952</v>
      </c>
      <c r="V189">
        <f t="shared" si="36"/>
        <v>0.84300098400000001</v>
      </c>
      <c r="W189">
        <f t="shared" si="37"/>
        <v>0.15870246000000002</v>
      </c>
      <c r="X189">
        <v>1</v>
      </c>
      <c r="Y189">
        <v>1769197766.9333301</v>
      </c>
      <c r="Z189">
        <v>409.69066666666703</v>
      </c>
      <c r="AA189">
        <v>409.99973333333298</v>
      </c>
      <c r="AB189">
        <v>15.43848</v>
      </c>
      <c r="AC189">
        <v>14.5844466666667</v>
      </c>
      <c r="AD189">
        <v>410.49619999999999</v>
      </c>
      <c r="AE189">
        <v>15.344146666666701</v>
      </c>
      <c r="AF189">
        <v>800.00533333333306</v>
      </c>
      <c r="AG189">
        <v>100.13833333333299</v>
      </c>
      <c r="AH189">
        <v>6.4435753333333304E-2</v>
      </c>
      <c r="AI189">
        <v>19.001613333333299</v>
      </c>
      <c r="AJ189">
        <v>999.9</v>
      </c>
      <c r="AK189">
        <v>999.9</v>
      </c>
      <c r="AL189">
        <v>0</v>
      </c>
      <c r="AM189">
        <v>0</v>
      </c>
      <c r="AN189">
        <v>5002.3666666666704</v>
      </c>
      <c r="AO189">
        <v>0</v>
      </c>
      <c r="AP189">
        <v>1.63733</v>
      </c>
      <c r="AQ189">
        <v>-0.30911660000000002</v>
      </c>
      <c r="AR189">
        <v>416.1148</v>
      </c>
      <c r="AS189">
        <v>416.06773333333302</v>
      </c>
      <c r="AT189">
        <v>0.85404226666666705</v>
      </c>
      <c r="AU189">
        <v>409.99973333333298</v>
      </c>
      <c r="AV189">
        <v>14.5844466666667</v>
      </c>
      <c r="AW189">
        <v>1.545984</v>
      </c>
      <c r="AX189">
        <v>1.46046066666667</v>
      </c>
      <c r="AY189">
        <v>13.4306866666667</v>
      </c>
      <c r="AZ189">
        <v>12.5603866666667</v>
      </c>
      <c r="BA189">
        <v>300.00046666666702</v>
      </c>
      <c r="BB189">
        <v>0.89996719999999997</v>
      </c>
      <c r="BC189">
        <v>0</v>
      </c>
      <c r="BD189">
        <v>0.10003280000000001</v>
      </c>
      <c r="BE189">
        <v>0</v>
      </c>
      <c r="BF189">
        <v>25</v>
      </c>
      <c r="BG189">
        <v>4946.59</v>
      </c>
      <c r="BH189">
        <v>1769197713</v>
      </c>
      <c r="BI189" t="s">
        <v>637</v>
      </c>
      <c r="BJ189">
        <v>1769197710</v>
      </c>
      <c r="BK189">
        <v>1769197713</v>
      </c>
      <c r="BL189">
        <v>6</v>
      </c>
      <c r="BM189">
        <v>-1E-3</v>
      </c>
      <c r="BN189">
        <v>6.0000000000000001E-3</v>
      </c>
      <c r="BO189">
        <v>-0.80600000000000005</v>
      </c>
      <c r="BP189">
        <v>9.4E-2</v>
      </c>
      <c r="BQ189">
        <v>410</v>
      </c>
      <c r="BR189">
        <v>15</v>
      </c>
      <c r="BS189">
        <v>0.27</v>
      </c>
      <c r="BT189">
        <v>0.09</v>
      </c>
      <c r="BU189">
        <v>-0.30701404761904799</v>
      </c>
      <c r="BV189">
        <v>2.19124675324671E-2</v>
      </c>
      <c r="BW189">
        <v>1.9472811740808501E-2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0.85530980952380997</v>
      </c>
      <c r="CD189">
        <v>-2.39032987012976E-2</v>
      </c>
      <c r="CE189">
        <v>2.6916575636416399E-3</v>
      </c>
      <c r="CF189">
        <v>1</v>
      </c>
      <c r="CG189">
        <v>2</v>
      </c>
      <c r="CH189">
        <v>2</v>
      </c>
      <c r="CI189" t="s">
        <v>304</v>
      </c>
      <c r="CJ189">
        <v>3.5325099999999998</v>
      </c>
      <c r="CK189">
        <v>2.7023299999999999</v>
      </c>
      <c r="CL189">
        <v>9.7908599999999998E-2</v>
      </c>
      <c r="CM189">
        <v>9.6603599999999998E-2</v>
      </c>
      <c r="CN189">
        <v>8.7273199999999995E-2</v>
      </c>
      <c r="CO189">
        <v>8.2799800000000007E-2</v>
      </c>
      <c r="CP189">
        <v>31629.9</v>
      </c>
      <c r="CQ189">
        <v>27820.400000000001</v>
      </c>
      <c r="CR189">
        <v>32452.2</v>
      </c>
      <c r="CS189">
        <v>30722.5</v>
      </c>
      <c r="CT189">
        <v>40112.300000000003</v>
      </c>
      <c r="CU189">
        <v>39629.5</v>
      </c>
      <c r="CV189">
        <v>47399.199999999997</v>
      </c>
      <c r="CW189">
        <v>46858.400000000001</v>
      </c>
      <c r="CX189">
        <v>2.6221800000000002</v>
      </c>
      <c r="CY189">
        <v>2.1232000000000002</v>
      </c>
      <c r="CZ189">
        <v>0</v>
      </c>
      <c r="DA189">
        <v>0</v>
      </c>
      <c r="DB189">
        <v>999.9</v>
      </c>
      <c r="DC189">
        <v>999.9</v>
      </c>
      <c r="DD189">
        <v>49.536000000000001</v>
      </c>
      <c r="DE189">
        <v>28.198</v>
      </c>
      <c r="DF189">
        <v>18.989799999999999</v>
      </c>
      <c r="DG189">
        <v>30.149799999999999</v>
      </c>
      <c r="DH189">
        <v>16.5184</v>
      </c>
      <c r="DI189">
        <v>2</v>
      </c>
      <c r="DJ189">
        <v>-0.113388</v>
      </c>
      <c r="DK189">
        <v>2.1753100000000001</v>
      </c>
      <c r="DL189">
        <v>20.223800000000001</v>
      </c>
      <c r="DM189">
        <v>5.2495200000000004</v>
      </c>
      <c r="DN189">
        <v>12.033899999999999</v>
      </c>
      <c r="DO189">
        <v>4.9667199999999996</v>
      </c>
      <c r="DP189">
        <v>3.2909999999999999</v>
      </c>
      <c r="DQ189">
        <v>536.9</v>
      </c>
      <c r="DR189">
        <v>9999</v>
      </c>
      <c r="DS189">
        <v>9999</v>
      </c>
      <c r="DT189">
        <v>9999</v>
      </c>
      <c r="DU189">
        <v>1.87103</v>
      </c>
      <c r="DV189">
        <v>1.8760699999999999</v>
      </c>
      <c r="DW189">
        <v>1.87626</v>
      </c>
      <c r="DX189">
        <v>1.8827799999999999</v>
      </c>
      <c r="DY189">
        <v>1.8755599999999999</v>
      </c>
      <c r="DZ189">
        <v>1.8746</v>
      </c>
      <c r="EA189">
        <v>1.8707499999999999</v>
      </c>
      <c r="EB189">
        <v>1.8745499999999999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-0.80600000000000005</v>
      </c>
      <c r="EQ189">
        <v>9.4299999999999995E-2</v>
      </c>
      <c r="ER189">
        <v>-0.80572727272732403</v>
      </c>
      <c r="ES189">
        <v>0</v>
      </c>
      <c r="ET189">
        <v>0</v>
      </c>
      <c r="EU189">
        <v>0</v>
      </c>
      <c r="EV189">
        <v>9.43299999999994E-2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1.1000000000000001</v>
      </c>
      <c r="FE189">
        <v>1</v>
      </c>
      <c r="FF189">
        <v>1.2439</v>
      </c>
      <c r="FG189">
        <v>2.6025399999999999</v>
      </c>
      <c r="FH189">
        <v>2.19604</v>
      </c>
      <c r="FI189">
        <v>2.66357</v>
      </c>
      <c r="FJ189">
        <v>2.4462899999999999</v>
      </c>
      <c r="FK189">
        <v>2.2607400000000002</v>
      </c>
      <c r="FL189">
        <v>32.487499999999997</v>
      </c>
      <c r="FM189">
        <v>24.14</v>
      </c>
      <c r="FN189">
        <v>19</v>
      </c>
      <c r="FO189">
        <v>865.83299999999997</v>
      </c>
      <c r="FP189">
        <v>571.86300000000006</v>
      </c>
      <c r="FQ189">
        <v>18.2194</v>
      </c>
      <c r="FR189">
        <v>25.537099999999999</v>
      </c>
      <c r="FS189">
        <v>30.0002</v>
      </c>
      <c r="FT189">
        <v>25.570799999999998</v>
      </c>
      <c r="FU189">
        <v>25.575700000000001</v>
      </c>
      <c r="FV189">
        <v>24.9587</v>
      </c>
      <c r="FW189">
        <v>25.854700000000001</v>
      </c>
      <c r="FX189">
        <v>0</v>
      </c>
      <c r="FY189">
        <v>18.218599999999999</v>
      </c>
      <c r="FZ189">
        <v>410</v>
      </c>
      <c r="GA189">
        <v>14.5832</v>
      </c>
      <c r="GB189">
        <v>99.872100000000003</v>
      </c>
      <c r="GC189">
        <v>99.746899999999997</v>
      </c>
    </row>
    <row r="190" spans="1:185" x14ac:dyDescent="0.2">
      <c r="A190">
        <v>175</v>
      </c>
      <c r="B190">
        <v>1769197790</v>
      </c>
      <c r="C190">
        <v>3229</v>
      </c>
      <c r="D190" t="s">
        <v>648</v>
      </c>
      <c r="E190" t="s">
        <v>649</v>
      </c>
      <c r="F190">
        <v>15</v>
      </c>
      <c r="G190">
        <v>1769197781.9333301</v>
      </c>
      <c r="H190">
        <f t="shared" si="26"/>
        <v>6.9003064373987554E-4</v>
      </c>
      <c r="I190">
        <v>0</v>
      </c>
      <c r="J190">
        <f t="shared" si="38"/>
        <v>-6.1014306115187605E-4</v>
      </c>
      <c r="K190">
        <f t="shared" si="27"/>
        <v>-2.2736259941084004E-2</v>
      </c>
      <c r="L190">
        <f t="shared" si="28"/>
        <v>70.113274990452652</v>
      </c>
      <c r="M190">
        <f t="shared" si="29"/>
        <v>1.5461416192603152</v>
      </c>
      <c r="N190">
        <f t="shared" si="30"/>
        <v>2.2052052474668371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26219.640826310871</v>
      </c>
      <c r="T190">
        <f t="shared" si="34"/>
        <v>299.99926666666698</v>
      </c>
      <c r="U190">
        <f t="shared" si="35"/>
        <v>252.89968119926843</v>
      </c>
      <c r="V190">
        <f t="shared" si="36"/>
        <v>0.84300099800000006</v>
      </c>
      <c r="W190">
        <f t="shared" si="37"/>
        <v>0.15870249500000003</v>
      </c>
      <c r="X190">
        <v>1</v>
      </c>
      <c r="Y190">
        <v>1769197781.9333301</v>
      </c>
      <c r="Z190">
        <v>409.66840000000002</v>
      </c>
      <c r="AA190">
        <v>409.993333333333</v>
      </c>
      <c r="AB190">
        <v>15.42998</v>
      </c>
      <c r="AC190">
        <v>14.5807533333333</v>
      </c>
      <c r="AD190">
        <v>410.47426666666701</v>
      </c>
      <c r="AE190">
        <v>15.335660000000001</v>
      </c>
      <c r="AF190">
        <v>800.00253333333296</v>
      </c>
      <c r="AG190">
        <v>100.139266666667</v>
      </c>
      <c r="AH190">
        <v>6.4467833333333294E-2</v>
      </c>
      <c r="AI190">
        <v>19.00018</v>
      </c>
      <c r="AJ190">
        <v>999.9</v>
      </c>
      <c r="AK190">
        <v>999.9</v>
      </c>
      <c r="AL190">
        <v>0</v>
      </c>
      <c r="AM190">
        <v>0</v>
      </c>
      <c r="AN190">
        <v>4993.5666666666702</v>
      </c>
      <c r="AO190">
        <v>0</v>
      </c>
      <c r="AP190">
        <v>1.63733</v>
      </c>
      <c r="AQ190">
        <v>-0.32483526666666701</v>
      </c>
      <c r="AR190">
        <v>416.088666666667</v>
      </c>
      <c r="AS190">
        <v>416.0598</v>
      </c>
      <c r="AT190">
        <v>0.84922973333333296</v>
      </c>
      <c r="AU190">
        <v>409.993333333333</v>
      </c>
      <c r="AV190">
        <v>14.5807533333333</v>
      </c>
      <c r="AW190">
        <v>1.5451440000000001</v>
      </c>
      <c r="AX190">
        <v>1.4601026666666701</v>
      </c>
      <c r="AY190">
        <v>13.4223466666667</v>
      </c>
      <c r="AZ190">
        <v>12.556653333333299</v>
      </c>
      <c r="BA190">
        <v>299.99926666666698</v>
      </c>
      <c r="BB190">
        <v>0.89996673333333299</v>
      </c>
      <c r="BC190">
        <v>0</v>
      </c>
      <c r="BD190">
        <v>0.100033266666667</v>
      </c>
      <c r="BE190">
        <v>0</v>
      </c>
      <c r="BF190">
        <v>25</v>
      </c>
      <c r="BG190">
        <v>4946.5706666666701</v>
      </c>
      <c r="BH190">
        <v>1769197713</v>
      </c>
      <c r="BI190" t="s">
        <v>637</v>
      </c>
      <c r="BJ190">
        <v>1769197710</v>
      </c>
      <c r="BK190">
        <v>1769197713</v>
      </c>
      <c r="BL190">
        <v>6</v>
      </c>
      <c r="BM190">
        <v>-1E-3</v>
      </c>
      <c r="BN190">
        <v>6.0000000000000001E-3</v>
      </c>
      <c r="BO190">
        <v>-0.80600000000000005</v>
      </c>
      <c r="BP190">
        <v>9.4E-2</v>
      </c>
      <c r="BQ190">
        <v>410</v>
      </c>
      <c r="BR190">
        <v>15</v>
      </c>
      <c r="BS190">
        <v>0.27</v>
      </c>
      <c r="BT190">
        <v>0.09</v>
      </c>
      <c r="BU190">
        <v>-0.31791845000000002</v>
      </c>
      <c r="BV190">
        <v>-0.20368840601503699</v>
      </c>
      <c r="BW190">
        <v>2.55503625306472E-2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0.85011294999999998</v>
      </c>
      <c r="CD190">
        <v>-7.8443458646616105E-3</v>
      </c>
      <c r="CE190">
        <v>2.1434501737852599E-3</v>
      </c>
      <c r="CF190">
        <v>1</v>
      </c>
      <c r="CG190">
        <v>2</v>
      </c>
      <c r="CH190">
        <v>2</v>
      </c>
      <c r="CI190" t="s">
        <v>304</v>
      </c>
      <c r="CJ190">
        <v>3.5325000000000002</v>
      </c>
      <c r="CK190">
        <v>2.7022699999999999</v>
      </c>
      <c r="CL190">
        <v>9.7901000000000002E-2</v>
      </c>
      <c r="CM190">
        <v>9.6605200000000002E-2</v>
      </c>
      <c r="CN190">
        <v>8.7252800000000005E-2</v>
      </c>
      <c r="CO190">
        <v>8.2774E-2</v>
      </c>
      <c r="CP190">
        <v>31629.7</v>
      </c>
      <c r="CQ190">
        <v>27819.9</v>
      </c>
      <c r="CR190">
        <v>32451.7</v>
      </c>
      <c r="CS190">
        <v>30722</v>
      </c>
      <c r="CT190">
        <v>40112.800000000003</v>
      </c>
      <c r="CU190">
        <v>39629.9</v>
      </c>
      <c r="CV190">
        <v>47398.7</v>
      </c>
      <c r="CW190">
        <v>46857.599999999999</v>
      </c>
      <c r="CX190">
        <v>2.6221199999999998</v>
      </c>
      <c r="CY190">
        <v>2.12324</v>
      </c>
      <c r="CZ190">
        <v>0</v>
      </c>
      <c r="DA190">
        <v>0</v>
      </c>
      <c r="DB190">
        <v>999.9</v>
      </c>
      <c r="DC190">
        <v>999.9</v>
      </c>
      <c r="DD190">
        <v>49.487000000000002</v>
      </c>
      <c r="DE190">
        <v>28.178000000000001</v>
      </c>
      <c r="DF190">
        <v>18.9483</v>
      </c>
      <c r="DG190">
        <v>30.509799999999998</v>
      </c>
      <c r="DH190">
        <v>16.4663</v>
      </c>
      <c r="DI190">
        <v>2</v>
      </c>
      <c r="DJ190">
        <v>-0.113451</v>
      </c>
      <c r="DK190">
        <v>2.0470299999999999</v>
      </c>
      <c r="DL190">
        <v>20.2255</v>
      </c>
      <c r="DM190">
        <v>5.25047</v>
      </c>
      <c r="DN190">
        <v>12.033899999999999</v>
      </c>
      <c r="DO190">
        <v>4.9667599999999998</v>
      </c>
      <c r="DP190">
        <v>3.2909999999999999</v>
      </c>
      <c r="DQ190">
        <v>536.9</v>
      </c>
      <c r="DR190">
        <v>9999</v>
      </c>
      <c r="DS190">
        <v>9999</v>
      </c>
      <c r="DT190">
        <v>9999</v>
      </c>
      <c r="DU190">
        <v>1.87104</v>
      </c>
      <c r="DV190">
        <v>1.8760699999999999</v>
      </c>
      <c r="DW190">
        <v>1.87632</v>
      </c>
      <c r="DX190">
        <v>1.8827799999999999</v>
      </c>
      <c r="DY190">
        <v>1.87557</v>
      </c>
      <c r="DZ190">
        <v>1.8746400000000001</v>
      </c>
      <c r="EA190">
        <v>1.8708100000000001</v>
      </c>
      <c r="EB190">
        <v>1.87459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-0.80600000000000005</v>
      </c>
      <c r="EQ190">
        <v>9.4299999999999995E-2</v>
      </c>
      <c r="ER190">
        <v>-0.80572727272732403</v>
      </c>
      <c r="ES190">
        <v>0</v>
      </c>
      <c r="ET190">
        <v>0</v>
      </c>
      <c r="EU190">
        <v>0</v>
      </c>
      <c r="EV190">
        <v>9.43299999999994E-2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1.3</v>
      </c>
      <c r="FE190">
        <v>1.3</v>
      </c>
      <c r="FF190">
        <v>1.2439</v>
      </c>
      <c r="FG190">
        <v>2.6013199999999999</v>
      </c>
      <c r="FH190">
        <v>2.19604</v>
      </c>
      <c r="FI190">
        <v>2.66357</v>
      </c>
      <c r="FJ190">
        <v>2.4462899999999999</v>
      </c>
      <c r="FK190">
        <v>2.2936999999999999</v>
      </c>
      <c r="FL190">
        <v>32.487499999999997</v>
      </c>
      <c r="FM190">
        <v>24.148800000000001</v>
      </c>
      <c r="FN190">
        <v>19</v>
      </c>
      <c r="FO190">
        <v>865.78399999999999</v>
      </c>
      <c r="FP190">
        <v>571.89400000000001</v>
      </c>
      <c r="FQ190">
        <v>18.2531</v>
      </c>
      <c r="FR190">
        <v>25.5397</v>
      </c>
      <c r="FS190">
        <v>30</v>
      </c>
      <c r="FT190">
        <v>25.571300000000001</v>
      </c>
      <c r="FU190">
        <v>25.575700000000001</v>
      </c>
      <c r="FV190">
        <v>24.957699999999999</v>
      </c>
      <c r="FW190">
        <v>25.854700000000001</v>
      </c>
      <c r="FX190">
        <v>0</v>
      </c>
      <c r="FY190">
        <v>18.260200000000001</v>
      </c>
      <c r="FZ190">
        <v>410</v>
      </c>
      <c r="GA190">
        <v>14.5832</v>
      </c>
      <c r="GB190">
        <v>99.870900000000006</v>
      </c>
      <c r="GC190">
        <v>99.745199999999997</v>
      </c>
    </row>
    <row r="191" spans="1:185" x14ac:dyDescent="0.2">
      <c r="A191">
        <v>176</v>
      </c>
      <c r="B191">
        <v>1769197805</v>
      </c>
      <c r="C191">
        <v>3244</v>
      </c>
      <c r="D191" t="s">
        <v>650</v>
      </c>
      <c r="E191" t="s">
        <v>651</v>
      </c>
      <c r="F191">
        <v>15</v>
      </c>
      <c r="G191">
        <v>1769197796.9333301</v>
      </c>
      <c r="H191">
        <f t="shared" si="26"/>
        <v>6.9265644147399662E-4</v>
      </c>
      <c r="I191">
        <v>0</v>
      </c>
      <c r="J191">
        <f t="shared" si="38"/>
        <v>-8.682376166161878E-4</v>
      </c>
      <c r="K191">
        <f t="shared" si="27"/>
        <v>-3.2353848464236008E-2</v>
      </c>
      <c r="L191">
        <f t="shared" si="28"/>
        <v>70.09161808191493</v>
      </c>
      <c r="M191">
        <f t="shared" si="29"/>
        <v>1.5459322015304335</v>
      </c>
      <c r="N191">
        <f t="shared" si="30"/>
        <v>2.2055878346590996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26320.868345204519</v>
      </c>
      <c r="T191">
        <f t="shared" si="34"/>
        <v>300.00060000000002</v>
      </c>
      <c r="U191">
        <f t="shared" si="35"/>
        <v>252.9007734005352</v>
      </c>
      <c r="V191">
        <f t="shared" si="36"/>
        <v>0.84300089199999995</v>
      </c>
      <c r="W191">
        <f t="shared" si="37"/>
        <v>0.15870222999999997</v>
      </c>
      <c r="X191">
        <v>1</v>
      </c>
      <c r="Y191">
        <v>1769197796.9333301</v>
      </c>
      <c r="Z191">
        <v>409.68073333333302</v>
      </c>
      <c r="AA191">
        <v>409.995</v>
      </c>
      <c r="AB191">
        <v>15.4278866666667</v>
      </c>
      <c r="AC191">
        <v>14.575426666666701</v>
      </c>
      <c r="AD191">
        <v>410.48633333333299</v>
      </c>
      <c r="AE191">
        <v>15.3335666666667</v>
      </c>
      <c r="AF191">
        <v>800.00260000000003</v>
      </c>
      <c r="AG191">
        <v>100.1396</v>
      </c>
      <c r="AH191">
        <v>6.4156673333333303E-2</v>
      </c>
      <c r="AI191">
        <v>19.002960000000002</v>
      </c>
      <c r="AJ191">
        <v>999.9</v>
      </c>
      <c r="AK191">
        <v>999.9</v>
      </c>
      <c r="AL191">
        <v>0</v>
      </c>
      <c r="AM191">
        <v>0</v>
      </c>
      <c r="AN191">
        <v>5010.2666666666701</v>
      </c>
      <c r="AO191">
        <v>0</v>
      </c>
      <c r="AP191">
        <v>1.63733</v>
      </c>
      <c r="AQ191">
        <v>-0.31433319999999998</v>
      </c>
      <c r="AR191">
        <v>416.10026666666698</v>
      </c>
      <c r="AS191">
        <v>416.05913333333302</v>
      </c>
      <c r="AT191">
        <v>0.85246466666666698</v>
      </c>
      <c r="AU191">
        <v>409.995</v>
      </c>
      <c r="AV191">
        <v>14.575426666666701</v>
      </c>
      <c r="AW191">
        <v>1.544942</v>
      </c>
      <c r="AX191">
        <v>1.459576</v>
      </c>
      <c r="AY191">
        <v>13.420353333333299</v>
      </c>
      <c r="AZ191">
        <v>12.5511533333333</v>
      </c>
      <c r="BA191">
        <v>300.00060000000002</v>
      </c>
      <c r="BB191">
        <v>0.89997026666666702</v>
      </c>
      <c r="BC191">
        <v>0</v>
      </c>
      <c r="BD191">
        <v>0.100029733333333</v>
      </c>
      <c r="BE191">
        <v>0</v>
      </c>
      <c r="BF191">
        <v>25</v>
      </c>
      <c r="BG191">
        <v>4946.6000000000004</v>
      </c>
      <c r="BH191">
        <v>1769197713</v>
      </c>
      <c r="BI191" t="s">
        <v>637</v>
      </c>
      <c r="BJ191">
        <v>1769197710</v>
      </c>
      <c r="BK191">
        <v>1769197713</v>
      </c>
      <c r="BL191">
        <v>6</v>
      </c>
      <c r="BM191">
        <v>-1E-3</v>
      </c>
      <c r="BN191">
        <v>6.0000000000000001E-3</v>
      </c>
      <c r="BO191">
        <v>-0.80600000000000005</v>
      </c>
      <c r="BP191">
        <v>9.4E-2</v>
      </c>
      <c r="BQ191">
        <v>410</v>
      </c>
      <c r="BR191">
        <v>15</v>
      </c>
      <c r="BS191">
        <v>0.27</v>
      </c>
      <c r="BT191">
        <v>0.09</v>
      </c>
      <c r="BU191">
        <v>-0.32158414285714298</v>
      </c>
      <c r="BV191">
        <v>7.39839740259743E-2</v>
      </c>
      <c r="BW191">
        <v>1.8366810823785801E-2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0.85193395238095204</v>
      </c>
      <c r="CD191">
        <v>7.5307012987025504E-3</v>
      </c>
      <c r="CE191">
        <v>1.1936796441971099E-3</v>
      </c>
      <c r="CF191">
        <v>1</v>
      </c>
      <c r="CG191">
        <v>2</v>
      </c>
      <c r="CH191">
        <v>2</v>
      </c>
      <c r="CI191" t="s">
        <v>304</v>
      </c>
      <c r="CJ191">
        <v>3.5325700000000002</v>
      </c>
      <c r="CK191">
        <v>2.7021299999999999</v>
      </c>
      <c r="CL191">
        <v>9.7908300000000004E-2</v>
      </c>
      <c r="CM191">
        <v>9.6609500000000001E-2</v>
      </c>
      <c r="CN191">
        <v>8.7253300000000006E-2</v>
      </c>
      <c r="CO191">
        <v>8.2758999999999999E-2</v>
      </c>
      <c r="CP191">
        <v>31629.3</v>
      </c>
      <c r="CQ191">
        <v>27819.7</v>
      </c>
      <c r="CR191">
        <v>32451.599999999999</v>
      </c>
      <c r="CS191">
        <v>30722</v>
      </c>
      <c r="CT191">
        <v>40112.800000000003</v>
      </c>
      <c r="CU191">
        <v>39630.6</v>
      </c>
      <c r="CV191">
        <v>47398.7</v>
      </c>
      <c r="CW191">
        <v>46857.599999999999</v>
      </c>
      <c r="CX191">
        <v>2.6220400000000001</v>
      </c>
      <c r="CY191">
        <v>2.1229800000000001</v>
      </c>
      <c r="CZ191">
        <v>0</v>
      </c>
      <c r="DA191">
        <v>0</v>
      </c>
      <c r="DB191">
        <v>999.9</v>
      </c>
      <c r="DC191">
        <v>999.9</v>
      </c>
      <c r="DD191">
        <v>49.463000000000001</v>
      </c>
      <c r="DE191">
        <v>28.198</v>
      </c>
      <c r="DF191">
        <v>18.961300000000001</v>
      </c>
      <c r="DG191">
        <v>30.209800000000001</v>
      </c>
      <c r="DH191">
        <v>16.4343</v>
      </c>
      <c r="DI191">
        <v>2</v>
      </c>
      <c r="DJ191">
        <v>-0.112941</v>
      </c>
      <c r="DK191">
        <v>2.1543299999999999</v>
      </c>
      <c r="DL191">
        <v>20.2239</v>
      </c>
      <c r="DM191">
        <v>5.2496400000000003</v>
      </c>
      <c r="DN191">
        <v>12.033899999999999</v>
      </c>
      <c r="DO191">
        <v>4.9668000000000001</v>
      </c>
      <c r="DP191">
        <v>3.2909999999999999</v>
      </c>
      <c r="DQ191">
        <v>536.9</v>
      </c>
      <c r="DR191">
        <v>9999</v>
      </c>
      <c r="DS191">
        <v>9999</v>
      </c>
      <c r="DT191">
        <v>9999</v>
      </c>
      <c r="DU191">
        <v>1.8710599999999999</v>
      </c>
      <c r="DV191">
        <v>1.87608</v>
      </c>
      <c r="DW191">
        <v>1.87632</v>
      </c>
      <c r="DX191">
        <v>1.8827799999999999</v>
      </c>
      <c r="DY191">
        <v>1.8755900000000001</v>
      </c>
      <c r="DZ191">
        <v>1.8746499999999999</v>
      </c>
      <c r="EA191">
        <v>1.8708</v>
      </c>
      <c r="EB191">
        <v>1.8746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-0.80600000000000005</v>
      </c>
      <c r="EQ191">
        <v>9.4299999999999995E-2</v>
      </c>
      <c r="ER191">
        <v>-0.80572727272732403</v>
      </c>
      <c r="ES191">
        <v>0</v>
      </c>
      <c r="ET191">
        <v>0</v>
      </c>
      <c r="EU191">
        <v>0</v>
      </c>
      <c r="EV191">
        <v>9.43299999999994E-2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1.6</v>
      </c>
      <c r="FE191">
        <v>1.5</v>
      </c>
      <c r="FF191">
        <v>1.2439</v>
      </c>
      <c r="FG191">
        <v>2.6000999999999999</v>
      </c>
      <c r="FH191">
        <v>2.19604</v>
      </c>
      <c r="FI191">
        <v>2.66235</v>
      </c>
      <c r="FJ191">
        <v>2.4462899999999999</v>
      </c>
      <c r="FK191">
        <v>2.3022499999999999</v>
      </c>
      <c r="FL191">
        <v>32.487499999999997</v>
      </c>
      <c r="FM191">
        <v>24.148800000000001</v>
      </c>
      <c r="FN191">
        <v>19</v>
      </c>
      <c r="FO191">
        <v>865.73699999999997</v>
      </c>
      <c r="FP191">
        <v>571.71900000000005</v>
      </c>
      <c r="FQ191">
        <v>18.261900000000001</v>
      </c>
      <c r="FR191">
        <v>25.543900000000001</v>
      </c>
      <c r="FS191">
        <v>30.000299999999999</v>
      </c>
      <c r="FT191">
        <v>25.572900000000001</v>
      </c>
      <c r="FU191">
        <v>25.5779</v>
      </c>
      <c r="FV191">
        <v>24.958100000000002</v>
      </c>
      <c r="FW191">
        <v>25.854700000000001</v>
      </c>
      <c r="FX191">
        <v>0</v>
      </c>
      <c r="FY191">
        <v>18.253799999999998</v>
      </c>
      <c r="FZ191">
        <v>410</v>
      </c>
      <c r="GA191">
        <v>14.5832</v>
      </c>
      <c r="GB191">
        <v>99.870800000000003</v>
      </c>
      <c r="GC191">
        <v>99.745199999999997</v>
      </c>
    </row>
    <row r="192" spans="1:185" x14ac:dyDescent="0.2">
      <c r="A192">
        <v>177</v>
      </c>
      <c r="B192">
        <v>1769197820</v>
      </c>
      <c r="C192">
        <v>3259</v>
      </c>
      <c r="D192" t="s">
        <v>652</v>
      </c>
      <c r="E192" t="s">
        <v>653</v>
      </c>
      <c r="F192">
        <v>15</v>
      </c>
      <c r="G192">
        <v>1769197811.9333301</v>
      </c>
      <c r="H192">
        <f t="shared" si="26"/>
        <v>6.9743855048724854E-4</v>
      </c>
      <c r="I192">
        <v>0</v>
      </c>
      <c r="J192">
        <f t="shared" si="38"/>
        <v>-1.0154343144898018E-3</v>
      </c>
      <c r="K192">
        <f t="shared" si="27"/>
        <v>-3.7838959413470645E-2</v>
      </c>
      <c r="L192">
        <f t="shared" si="28"/>
        <v>70.085294931945612</v>
      </c>
      <c r="M192">
        <f t="shared" si="29"/>
        <v>1.5460634896996077</v>
      </c>
      <c r="N192">
        <f t="shared" si="30"/>
        <v>2.2059741507842263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26209.094382099545</v>
      </c>
      <c r="T192">
        <f t="shared" si="34"/>
        <v>300.00046666666702</v>
      </c>
      <c r="U192">
        <f t="shared" si="35"/>
        <v>252.90065980041464</v>
      </c>
      <c r="V192">
        <f t="shared" si="36"/>
        <v>0.84300088799999984</v>
      </c>
      <c r="W192">
        <f t="shared" si="37"/>
        <v>0.15870221999999998</v>
      </c>
      <c r="X192">
        <v>1</v>
      </c>
      <c r="Y192">
        <v>1769197811.9333301</v>
      </c>
      <c r="Z192">
        <v>409.68833333333299</v>
      </c>
      <c r="AA192">
        <v>409.9982</v>
      </c>
      <c r="AB192">
        <v>15.4290533333333</v>
      </c>
      <c r="AC192">
        <v>14.5707066666667</v>
      </c>
      <c r="AD192">
        <v>410.49413333333302</v>
      </c>
      <c r="AE192">
        <v>15.334720000000001</v>
      </c>
      <c r="AF192">
        <v>800.00046666666697</v>
      </c>
      <c r="AG192">
        <v>100.140333333333</v>
      </c>
      <c r="AH192">
        <v>6.4355593333333294E-2</v>
      </c>
      <c r="AI192">
        <v>19.005766666666698</v>
      </c>
      <c r="AJ192">
        <v>999.9</v>
      </c>
      <c r="AK192">
        <v>999.9</v>
      </c>
      <c r="AL192">
        <v>0</v>
      </c>
      <c r="AM192">
        <v>0</v>
      </c>
      <c r="AN192">
        <v>4991.8666666666704</v>
      </c>
      <c r="AO192">
        <v>0</v>
      </c>
      <c r="AP192">
        <v>1.63733</v>
      </c>
      <c r="AQ192">
        <v>-0.309869333333333</v>
      </c>
      <c r="AR192">
        <v>416.10866666666698</v>
      </c>
      <c r="AS192">
        <v>416.06066666666698</v>
      </c>
      <c r="AT192">
        <v>0.85833206666666595</v>
      </c>
      <c r="AU192">
        <v>409.9982</v>
      </c>
      <c r="AV192">
        <v>14.5707066666667</v>
      </c>
      <c r="AW192">
        <v>1.545072</v>
      </c>
      <c r="AX192">
        <v>1.45911866666667</v>
      </c>
      <c r="AY192">
        <v>13.4216466666667</v>
      </c>
      <c r="AZ192">
        <v>12.5463666666667</v>
      </c>
      <c r="BA192">
        <v>300.00046666666702</v>
      </c>
      <c r="BB192">
        <v>0.89997039999999995</v>
      </c>
      <c r="BC192">
        <v>0</v>
      </c>
      <c r="BD192">
        <v>0.1000296</v>
      </c>
      <c r="BE192">
        <v>0</v>
      </c>
      <c r="BF192">
        <v>25</v>
      </c>
      <c r="BG192">
        <v>4946.6000000000004</v>
      </c>
      <c r="BH192">
        <v>1769197713</v>
      </c>
      <c r="BI192" t="s">
        <v>637</v>
      </c>
      <c r="BJ192">
        <v>1769197710</v>
      </c>
      <c r="BK192">
        <v>1769197713</v>
      </c>
      <c r="BL192">
        <v>6</v>
      </c>
      <c r="BM192">
        <v>-1E-3</v>
      </c>
      <c r="BN192">
        <v>6.0000000000000001E-3</v>
      </c>
      <c r="BO192">
        <v>-0.80600000000000005</v>
      </c>
      <c r="BP192">
        <v>9.4E-2</v>
      </c>
      <c r="BQ192">
        <v>410</v>
      </c>
      <c r="BR192">
        <v>15</v>
      </c>
      <c r="BS192">
        <v>0.27</v>
      </c>
      <c r="BT192">
        <v>0.09</v>
      </c>
      <c r="BU192">
        <v>-0.31296689999999999</v>
      </c>
      <c r="BV192">
        <v>3.8900661654135797E-2</v>
      </c>
      <c r="BW192">
        <v>1.2109152100374301E-2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0.85700129999999997</v>
      </c>
      <c r="CD192">
        <v>2.6608511278196099E-2</v>
      </c>
      <c r="CE192">
        <v>2.7767009039505802E-3</v>
      </c>
      <c r="CF192">
        <v>1</v>
      </c>
      <c r="CG192">
        <v>2</v>
      </c>
      <c r="CH192">
        <v>2</v>
      </c>
      <c r="CI192" t="s">
        <v>304</v>
      </c>
      <c r="CJ192">
        <v>3.5325099999999998</v>
      </c>
      <c r="CK192">
        <v>2.7021899999999999</v>
      </c>
      <c r="CL192">
        <v>9.7911499999999999E-2</v>
      </c>
      <c r="CM192">
        <v>9.6615099999999995E-2</v>
      </c>
      <c r="CN192">
        <v>8.7241799999999994E-2</v>
      </c>
      <c r="CO192">
        <v>8.2734600000000005E-2</v>
      </c>
      <c r="CP192">
        <v>31628.6</v>
      </c>
      <c r="CQ192">
        <v>27818.9</v>
      </c>
      <c r="CR192">
        <v>32450.9</v>
      </c>
      <c r="CS192">
        <v>30721.3</v>
      </c>
      <c r="CT192">
        <v>40112.5</v>
      </c>
      <c r="CU192">
        <v>39631.199999999997</v>
      </c>
      <c r="CV192">
        <v>47397.7</v>
      </c>
      <c r="CW192">
        <v>46857</v>
      </c>
      <c r="CX192">
        <v>2.6221399999999999</v>
      </c>
      <c r="CY192">
        <v>2.1230000000000002</v>
      </c>
      <c r="CZ192">
        <v>0</v>
      </c>
      <c r="DA192">
        <v>0</v>
      </c>
      <c r="DB192">
        <v>999.9</v>
      </c>
      <c r="DC192">
        <v>999.9</v>
      </c>
      <c r="DD192">
        <v>49.438000000000002</v>
      </c>
      <c r="DE192">
        <v>28.198</v>
      </c>
      <c r="DF192">
        <v>18.951599999999999</v>
      </c>
      <c r="DG192">
        <v>30.3598</v>
      </c>
      <c r="DH192">
        <v>16.446300000000001</v>
      </c>
      <c r="DI192">
        <v>2</v>
      </c>
      <c r="DJ192">
        <v>-0.11236400000000001</v>
      </c>
      <c r="DK192">
        <v>2.1908699999999999</v>
      </c>
      <c r="DL192">
        <v>20.223600000000001</v>
      </c>
      <c r="DM192">
        <v>5.25</v>
      </c>
      <c r="DN192">
        <v>12.033899999999999</v>
      </c>
      <c r="DO192">
        <v>4.96692</v>
      </c>
      <c r="DP192">
        <v>3.2909999999999999</v>
      </c>
      <c r="DQ192">
        <v>536.9</v>
      </c>
      <c r="DR192">
        <v>9999</v>
      </c>
      <c r="DS192">
        <v>9999</v>
      </c>
      <c r="DT192">
        <v>9999</v>
      </c>
      <c r="DU192">
        <v>1.8710800000000001</v>
      </c>
      <c r="DV192">
        <v>1.8760699999999999</v>
      </c>
      <c r="DW192">
        <v>1.87635</v>
      </c>
      <c r="DX192">
        <v>1.88279</v>
      </c>
      <c r="DY192">
        <v>1.87561</v>
      </c>
      <c r="DZ192">
        <v>1.8746799999999999</v>
      </c>
      <c r="EA192">
        <v>1.8708</v>
      </c>
      <c r="EB192">
        <v>1.8746100000000001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-0.80500000000000005</v>
      </c>
      <c r="EQ192">
        <v>9.4299999999999995E-2</v>
      </c>
      <c r="ER192">
        <v>-0.80572727272732403</v>
      </c>
      <c r="ES192">
        <v>0</v>
      </c>
      <c r="ET192">
        <v>0</v>
      </c>
      <c r="EU192">
        <v>0</v>
      </c>
      <c r="EV192">
        <v>9.43299999999994E-2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1.8</v>
      </c>
      <c r="FE192">
        <v>1.8</v>
      </c>
      <c r="FF192">
        <v>1.2439</v>
      </c>
      <c r="FG192">
        <v>2.6000999999999999</v>
      </c>
      <c r="FH192">
        <v>2.19604</v>
      </c>
      <c r="FI192">
        <v>2.66357</v>
      </c>
      <c r="FJ192">
        <v>2.4462899999999999</v>
      </c>
      <c r="FK192">
        <v>2.3095699999999999</v>
      </c>
      <c r="FL192">
        <v>32.509700000000002</v>
      </c>
      <c r="FM192">
        <v>24.148800000000001</v>
      </c>
      <c r="FN192">
        <v>19</v>
      </c>
      <c r="FO192">
        <v>865.86400000000003</v>
      </c>
      <c r="FP192">
        <v>571.75800000000004</v>
      </c>
      <c r="FQ192">
        <v>18.242799999999999</v>
      </c>
      <c r="FR192">
        <v>25.547899999999998</v>
      </c>
      <c r="FS192">
        <v>30.000299999999999</v>
      </c>
      <c r="FT192">
        <v>25.575099999999999</v>
      </c>
      <c r="FU192">
        <v>25.58</v>
      </c>
      <c r="FV192">
        <v>24.9575</v>
      </c>
      <c r="FW192">
        <v>25.854700000000001</v>
      </c>
      <c r="FX192">
        <v>0</v>
      </c>
      <c r="FY192">
        <v>18.236999999999998</v>
      </c>
      <c r="FZ192">
        <v>410</v>
      </c>
      <c r="GA192">
        <v>14.5832</v>
      </c>
      <c r="GB192">
        <v>99.868700000000004</v>
      </c>
      <c r="GC192">
        <v>99.743600000000001</v>
      </c>
    </row>
    <row r="193" spans="1:185" x14ac:dyDescent="0.2">
      <c r="A193">
        <v>178</v>
      </c>
      <c r="B193">
        <v>1769197835</v>
      </c>
      <c r="C193">
        <v>3274</v>
      </c>
      <c r="D193" t="s">
        <v>654</v>
      </c>
      <c r="E193" t="s">
        <v>655</v>
      </c>
      <c r="F193">
        <v>15</v>
      </c>
      <c r="G193">
        <v>1769197826.9333301</v>
      </c>
      <c r="H193">
        <f t="shared" si="26"/>
        <v>6.9767441039166891E-4</v>
      </c>
      <c r="I193">
        <v>0</v>
      </c>
      <c r="J193">
        <f t="shared" si="38"/>
        <v>-5.8408164400412961E-4</v>
      </c>
      <c r="K193">
        <f t="shared" si="27"/>
        <v>-2.1765112037532428E-2</v>
      </c>
      <c r="L193">
        <f t="shared" si="28"/>
        <v>70.056949720204287</v>
      </c>
      <c r="M193">
        <f t="shared" si="29"/>
        <v>1.5455500702895308</v>
      </c>
      <c r="N193">
        <f t="shared" si="30"/>
        <v>2.2061338332059828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26299.275877218948</v>
      </c>
      <c r="T193">
        <f t="shared" si="34"/>
        <v>299.99773333333297</v>
      </c>
      <c r="U193">
        <f t="shared" si="35"/>
        <v>252.89832139824512</v>
      </c>
      <c r="V193">
        <f t="shared" si="36"/>
        <v>0.8430007739999994</v>
      </c>
      <c r="W193">
        <f t="shared" si="37"/>
        <v>0.1587018050799999</v>
      </c>
      <c r="X193">
        <v>1</v>
      </c>
      <c r="Y193">
        <v>1769197826.9333301</v>
      </c>
      <c r="Z193">
        <v>409.67680000000001</v>
      </c>
      <c r="AA193">
        <v>410.00686666666701</v>
      </c>
      <c r="AB193">
        <v>15.4241666666667</v>
      </c>
      <c r="AC193">
        <v>14.565533333333301</v>
      </c>
      <c r="AD193">
        <v>410.48233333333297</v>
      </c>
      <c r="AE193">
        <v>15.329833333333299</v>
      </c>
      <c r="AF193">
        <v>800.00779999999997</v>
      </c>
      <c r="AG193">
        <v>100.138866666667</v>
      </c>
      <c r="AH193">
        <v>6.4282306666666705E-2</v>
      </c>
      <c r="AI193">
        <v>19.0069266666667</v>
      </c>
      <c r="AJ193">
        <v>999.9</v>
      </c>
      <c r="AK193">
        <v>999.9</v>
      </c>
      <c r="AL193">
        <v>0</v>
      </c>
      <c r="AM193">
        <v>0</v>
      </c>
      <c r="AN193">
        <v>5006.8</v>
      </c>
      <c r="AO193">
        <v>0</v>
      </c>
      <c r="AP193">
        <v>1.63733</v>
      </c>
      <c r="AQ193">
        <v>-0.33012313333333299</v>
      </c>
      <c r="AR193">
        <v>416.09466666666702</v>
      </c>
      <c r="AS193">
        <v>416.067133333333</v>
      </c>
      <c r="AT193">
        <v>0.85863406666666697</v>
      </c>
      <c r="AU193">
        <v>410.00686666666701</v>
      </c>
      <c r="AV193">
        <v>14.565533333333301</v>
      </c>
      <c r="AW193">
        <v>1.54456066666667</v>
      </c>
      <c r="AX193">
        <v>1.45857666666667</v>
      </c>
      <c r="AY193">
        <v>13.416539999999999</v>
      </c>
      <c r="AZ193">
        <v>12.540706666666701</v>
      </c>
      <c r="BA193">
        <v>299.99773333333297</v>
      </c>
      <c r="BB193">
        <v>0.89997613333333304</v>
      </c>
      <c r="BC193">
        <v>0</v>
      </c>
      <c r="BD193">
        <v>0.100023933333333</v>
      </c>
      <c r="BE193">
        <v>0</v>
      </c>
      <c r="BF193">
        <v>25</v>
      </c>
      <c r="BG193">
        <v>4946.5640000000003</v>
      </c>
      <c r="BH193">
        <v>1769197713</v>
      </c>
      <c r="BI193" t="s">
        <v>637</v>
      </c>
      <c r="BJ193">
        <v>1769197710</v>
      </c>
      <c r="BK193">
        <v>1769197713</v>
      </c>
      <c r="BL193">
        <v>6</v>
      </c>
      <c r="BM193">
        <v>-1E-3</v>
      </c>
      <c r="BN193">
        <v>6.0000000000000001E-3</v>
      </c>
      <c r="BO193">
        <v>-0.80600000000000005</v>
      </c>
      <c r="BP193">
        <v>9.4E-2</v>
      </c>
      <c r="BQ193">
        <v>410</v>
      </c>
      <c r="BR193">
        <v>15</v>
      </c>
      <c r="BS193">
        <v>0.27</v>
      </c>
      <c r="BT193">
        <v>0.09</v>
      </c>
      <c r="BU193">
        <v>-0.32400390476190499</v>
      </c>
      <c r="BV193">
        <v>-8.54911948051955E-2</v>
      </c>
      <c r="BW193">
        <v>1.55752322642768E-2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0.85895685714285697</v>
      </c>
      <c r="CD193">
        <v>-8.85966233766141E-3</v>
      </c>
      <c r="CE193">
        <v>1.3902677811850901E-3</v>
      </c>
      <c r="CF193">
        <v>1</v>
      </c>
      <c r="CG193">
        <v>2</v>
      </c>
      <c r="CH193">
        <v>2</v>
      </c>
      <c r="CI193" t="s">
        <v>304</v>
      </c>
      <c r="CJ193">
        <v>3.53254</v>
      </c>
      <c r="CK193">
        <v>2.7021299999999999</v>
      </c>
      <c r="CL193">
        <v>9.79072E-2</v>
      </c>
      <c r="CM193">
        <v>9.6604499999999996E-2</v>
      </c>
      <c r="CN193">
        <v>8.7214899999999998E-2</v>
      </c>
      <c r="CO193">
        <v>8.2718600000000003E-2</v>
      </c>
      <c r="CP193">
        <v>31628.3</v>
      </c>
      <c r="CQ193">
        <v>27820</v>
      </c>
      <c r="CR193">
        <v>32450.5</v>
      </c>
      <c r="CS193">
        <v>30722.2</v>
      </c>
      <c r="CT193">
        <v>40113.1</v>
      </c>
      <c r="CU193">
        <v>39632.699999999997</v>
      </c>
      <c r="CV193">
        <v>47397</v>
      </c>
      <c r="CW193">
        <v>46858</v>
      </c>
      <c r="CX193">
        <v>2.6219000000000001</v>
      </c>
      <c r="CY193">
        <v>2.1229</v>
      </c>
      <c r="CZ193">
        <v>0</v>
      </c>
      <c r="DA193">
        <v>0</v>
      </c>
      <c r="DB193">
        <v>999.9</v>
      </c>
      <c r="DC193">
        <v>999.9</v>
      </c>
      <c r="DD193">
        <v>49.42</v>
      </c>
      <c r="DE193">
        <v>28.198</v>
      </c>
      <c r="DF193">
        <v>18.9451</v>
      </c>
      <c r="DG193">
        <v>30.149799999999999</v>
      </c>
      <c r="DH193">
        <v>16.406199999999998</v>
      </c>
      <c r="DI193">
        <v>2</v>
      </c>
      <c r="DJ193">
        <v>-0.112024</v>
      </c>
      <c r="DK193">
        <v>2.22234</v>
      </c>
      <c r="DL193">
        <v>20.222999999999999</v>
      </c>
      <c r="DM193">
        <v>5.25047</v>
      </c>
      <c r="DN193">
        <v>12.033899999999999</v>
      </c>
      <c r="DO193">
        <v>4.9668400000000004</v>
      </c>
      <c r="DP193">
        <v>3.2909999999999999</v>
      </c>
      <c r="DQ193">
        <v>536.9</v>
      </c>
      <c r="DR193">
        <v>9999</v>
      </c>
      <c r="DS193">
        <v>9999</v>
      </c>
      <c r="DT193">
        <v>9999</v>
      </c>
      <c r="DU193">
        <v>1.8711100000000001</v>
      </c>
      <c r="DV193">
        <v>1.87609</v>
      </c>
      <c r="DW193">
        <v>1.8763399999999999</v>
      </c>
      <c r="DX193">
        <v>1.8827799999999999</v>
      </c>
      <c r="DY193">
        <v>1.8755999999999999</v>
      </c>
      <c r="DZ193">
        <v>1.8746700000000001</v>
      </c>
      <c r="EA193">
        <v>1.8708</v>
      </c>
      <c r="EB193">
        <v>1.87462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-0.80600000000000005</v>
      </c>
      <c r="EQ193">
        <v>9.4299999999999995E-2</v>
      </c>
      <c r="ER193">
        <v>-0.80572727272732403</v>
      </c>
      <c r="ES193">
        <v>0</v>
      </c>
      <c r="ET193">
        <v>0</v>
      </c>
      <c r="EU193">
        <v>0</v>
      </c>
      <c r="EV193">
        <v>9.43299999999994E-2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2.1</v>
      </c>
      <c r="FE193">
        <v>2</v>
      </c>
      <c r="FF193">
        <v>1.2439</v>
      </c>
      <c r="FG193">
        <v>2.5976599999999999</v>
      </c>
      <c r="FH193">
        <v>2.19604</v>
      </c>
      <c r="FI193">
        <v>2.66357</v>
      </c>
      <c r="FJ193">
        <v>2.4462899999999999</v>
      </c>
      <c r="FK193">
        <v>2.2997999999999998</v>
      </c>
      <c r="FL193">
        <v>32.509700000000002</v>
      </c>
      <c r="FM193">
        <v>24.148800000000001</v>
      </c>
      <c r="FN193">
        <v>19</v>
      </c>
      <c r="FO193">
        <v>865.654</v>
      </c>
      <c r="FP193">
        <v>571.68200000000002</v>
      </c>
      <c r="FQ193">
        <v>18.2212</v>
      </c>
      <c r="FR193">
        <v>25.552199999999999</v>
      </c>
      <c r="FS193">
        <v>30.0001</v>
      </c>
      <c r="FT193">
        <v>25.576000000000001</v>
      </c>
      <c r="FU193">
        <v>25.58</v>
      </c>
      <c r="FV193">
        <v>24.957699999999999</v>
      </c>
      <c r="FW193">
        <v>25.854700000000001</v>
      </c>
      <c r="FX193">
        <v>0</v>
      </c>
      <c r="FY193">
        <v>18.215699999999998</v>
      </c>
      <c r="FZ193">
        <v>410</v>
      </c>
      <c r="GA193">
        <v>14.5832</v>
      </c>
      <c r="GB193">
        <v>99.8673</v>
      </c>
      <c r="GC193">
        <v>99.745999999999995</v>
      </c>
    </row>
    <row r="194" spans="1:185" x14ac:dyDescent="0.2">
      <c r="A194">
        <v>179</v>
      </c>
      <c r="B194">
        <v>1769197850</v>
      </c>
      <c r="C194">
        <v>3289</v>
      </c>
      <c r="D194" t="s">
        <v>656</v>
      </c>
      <c r="E194" t="s">
        <v>657</v>
      </c>
      <c r="F194">
        <v>15</v>
      </c>
      <c r="G194">
        <v>1769197841.9333301</v>
      </c>
      <c r="H194">
        <f t="shared" si="26"/>
        <v>6.9650179635061705E-4</v>
      </c>
      <c r="I194">
        <v>0</v>
      </c>
      <c r="J194">
        <f t="shared" si="38"/>
        <v>-7.8880003629067715E-4</v>
      </c>
      <c r="K194">
        <f t="shared" si="27"/>
        <v>-2.939370093430782E-2</v>
      </c>
      <c r="L194">
        <f t="shared" si="28"/>
        <v>70.038514790585936</v>
      </c>
      <c r="M194">
        <f t="shared" si="29"/>
        <v>1.5449820420805289</v>
      </c>
      <c r="N194">
        <f t="shared" si="30"/>
        <v>2.2059034899583478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26212.121196279801</v>
      </c>
      <c r="T194">
        <f t="shared" si="34"/>
        <v>299.99953333333298</v>
      </c>
      <c r="U194">
        <f t="shared" si="35"/>
        <v>252.89972599981394</v>
      </c>
      <c r="V194">
        <f t="shared" si="36"/>
        <v>0.84300039799999993</v>
      </c>
      <c r="W194">
        <f t="shared" si="37"/>
        <v>0.15870099500000004</v>
      </c>
      <c r="X194">
        <v>1</v>
      </c>
      <c r="Y194">
        <v>1769197841.9333301</v>
      </c>
      <c r="Z194">
        <v>409.677866666667</v>
      </c>
      <c r="AA194">
        <v>409.99779999999998</v>
      </c>
      <c r="AB194">
        <v>15.41864</v>
      </c>
      <c r="AC194">
        <v>14.561439999999999</v>
      </c>
      <c r="AD194">
        <v>410.48353333333301</v>
      </c>
      <c r="AE194">
        <v>15.32432</v>
      </c>
      <c r="AF194">
        <v>800.00313333333304</v>
      </c>
      <c r="AG194">
        <v>100.1378</v>
      </c>
      <c r="AH194">
        <v>6.4425493333333306E-2</v>
      </c>
      <c r="AI194">
        <v>19.0052533333333</v>
      </c>
      <c r="AJ194">
        <v>999.9</v>
      </c>
      <c r="AK194">
        <v>999.9</v>
      </c>
      <c r="AL194">
        <v>0</v>
      </c>
      <c r="AM194">
        <v>0</v>
      </c>
      <c r="AN194">
        <v>4992.4666666666699</v>
      </c>
      <c r="AO194">
        <v>0</v>
      </c>
      <c r="AP194">
        <v>1.63733</v>
      </c>
      <c r="AQ194">
        <v>-0.31996859999999999</v>
      </c>
      <c r="AR194">
        <v>416.09333333333302</v>
      </c>
      <c r="AS194">
        <v>416.05613333333298</v>
      </c>
      <c r="AT194">
        <v>0.85720066666666705</v>
      </c>
      <c r="AU194">
        <v>409.99779999999998</v>
      </c>
      <c r="AV194">
        <v>14.561439999999999</v>
      </c>
      <c r="AW194">
        <v>1.54398866666667</v>
      </c>
      <c r="AX194">
        <v>1.4581506666666699</v>
      </c>
      <c r="AY194">
        <v>13.4108866666667</v>
      </c>
      <c r="AZ194">
        <v>12.5362666666667</v>
      </c>
      <c r="BA194">
        <v>299.99953333333298</v>
      </c>
      <c r="BB194">
        <v>0.89998673333333301</v>
      </c>
      <c r="BC194">
        <v>0</v>
      </c>
      <c r="BD194">
        <v>0.100013266666667</v>
      </c>
      <c r="BE194">
        <v>0</v>
      </c>
      <c r="BF194">
        <v>25</v>
      </c>
      <c r="BG194">
        <v>4946.6086666666697</v>
      </c>
      <c r="BH194">
        <v>1769197713</v>
      </c>
      <c r="BI194" t="s">
        <v>637</v>
      </c>
      <c r="BJ194">
        <v>1769197710</v>
      </c>
      <c r="BK194">
        <v>1769197713</v>
      </c>
      <c r="BL194">
        <v>6</v>
      </c>
      <c r="BM194">
        <v>-1E-3</v>
      </c>
      <c r="BN194">
        <v>6.0000000000000001E-3</v>
      </c>
      <c r="BO194">
        <v>-0.80600000000000005</v>
      </c>
      <c r="BP194">
        <v>9.4E-2</v>
      </c>
      <c r="BQ194">
        <v>410</v>
      </c>
      <c r="BR194">
        <v>15</v>
      </c>
      <c r="BS194">
        <v>0.27</v>
      </c>
      <c r="BT194">
        <v>0.09</v>
      </c>
      <c r="BU194">
        <v>-0.32092284999999998</v>
      </c>
      <c r="BV194">
        <v>-1.3560451127819699E-3</v>
      </c>
      <c r="BW194">
        <v>1.8469672699522901E-2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0.85714964999999999</v>
      </c>
      <c r="CD194">
        <v>4.4467218045115102E-3</v>
      </c>
      <c r="CE194">
        <v>1.35130722913037E-3</v>
      </c>
      <c r="CF194">
        <v>1</v>
      </c>
      <c r="CG194">
        <v>2</v>
      </c>
      <c r="CH194">
        <v>2</v>
      </c>
      <c r="CI194" t="s">
        <v>304</v>
      </c>
      <c r="CJ194">
        <v>3.5325000000000002</v>
      </c>
      <c r="CK194">
        <v>2.7022699999999999</v>
      </c>
      <c r="CL194">
        <v>9.7902500000000003E-2</v>
      </c>
      <c r="CM194">
        <v>9.6603300000000003E-2</v>
      </c>
      <c r="CN194">
        <v>8.7197700000000003E-2</v>
      </c>
      <c r="CO194">
        <v>8.2692600000000005E-2</v>
      </c>
      <c r="CP194">
        <v>31628.9</v>
      </c>
      <c r="CQ194">
        <v>27820.2</v>
      </c>
      <c r="CR194">
        <v>32451</v>
      </c>
      <c r="CS194">
        <v>30722.400000000001</v>
      </c>
      <c r="CT194">
        <v>40114.6</v>
      </c>
      <c r="CU194">
        <v>39634.1</v>
      </c>
      <c r="CV194">
        <v>47397.8</v>
      </c>
      <c r="CW194">
        <v>46858.3</v>
      </c>
      <c r="CX194">
        <v>2.6221199999999998</v>
      </c>
      <c r="CY194">
        <v>2.12262</v>
      </c>
      <c r="CZ194">
        <v>0</v>
      </c>
      <c r="DA194">
        <v>0</v>
      </c>
      <c r="DB194">
        <v>999.9</v>
      </c>
      <c r="DC194">
        <v>999.9</v>
      </c>
      <c r="DD194">
        <v>49.383000000000003</v>
      </c>
      <c r="DE194">
        <v>28.207999999999998</v>
      </c>
      <c r="DF194">
        <v>18.941700000000001</v>
      </c>
      <c r="DG194">
        <v>30.599799999999998</v>
      </c>
      <c r="DH194">
        <v>16.414300000000001</v>
      </c>
      <c r="DI194">
        <v>2</v>
      </c>
      <c r="DJ194">
        <v>-0.111787</v>
      </c>
      <c r="DK194">
        <v>2.2342499999999998</v>
      </c>
      <c r="DL194">
        <v>20.222899999999999</v>
      </c>
      <c r="DM194">
        <v>5.2501199999999999</v>
      </c>
      <c r="DN194">
        <v>12.033899999999999</v>
      </c>
      <c r="DO194">
        <v>4.96692</v>
      </c>
      <c r="DP194">
        <v>3.2909999999999999</v>
      </c>
      <c r="DQ194">
        <v>536.9</v>
      </c>
      <c r="DR194">
        <v>9999</v>
      </c>
      <c r="DS194">
        <v>9999</v>
      </c>
      <c r="DT194">
        <v>9999</v>
      </c>
      <c r="DU194">
        <v>1.8710899999999999</v>
      </c>
      <c r="DV194">
        <v>1.87608</v>
      </c>
      <c r="DW194">
        <v>1.87632</v>
      </c>
      <c r="DX194">
        <v>1.8827799999999999</v>
      </c>
      <c r="DY194">
        <v>1.87557</v>
      </c>
      <c r="DZ194">
        <v>1.87462</v>
      </c>
      <c r="EA194">
        <v>1.87076</v>
      </c>
      <c r="EB194">
        <v>1.8745700000000001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-0.80600000000000005</v>
      </c>
      <c r="EQ194">
        <v>9.4399999999999998E-2</v>
      </c>
      <c r="ER194">
        <v>-0.80572727272732403</v>
      </c>
      <c r="ES194">
        <v>0</v>
      </c>
      <c r="ET194">
        <v>0</v>
      </c>
      <c r="EU194">
        <v>0</v>
      </c>
      <c r="EV194">
        <v>9.43299999999994E-2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2.2999999999999998</v>
      </c>
      <c r="FE194">
        <v>2.2999999999999998</v>
      </c>
      <c r="FF194">
        <v>1.24268</v>
      </c>
      <c r="FG194">
        <v>2.5976599999999999</v>
      </c>
      <c r="FH194">
        <v>2.19604</v>
      </c>
      <c r="FI194">
        <v>2.66357</v>
      </c>
      <c r="FJ194">
        <v>2.4462899999999999</v>
      </c>
      <c r="FK194">
        <v>2.2924799999999999</v>
      </c>
      <c r="FL194">
        <v>32.509700000000002</v>
      </c>
      <c r="FM194">
        <v>24.148800000000001</v>
      </c>
      <c r="FN194">
        <v>19</v>
      </c>
      <c r="FO194">
        <v>865.88</v>
      </c>
      <c r="FP194">
        <v>571.49199999999996</v>
      </c>
      <c r="FQ194">
        <v>18.202999999999999</v>
      </c>
      <c r="FR194">
        <v>25.556000000000001</v>
      </c>
      <c r="FS194">
        <v>30.0002</v>
      </c>
      <c r="FT194">
        <v>25.577200000000001</v>
      </c>
      <c r="FU194">
        <v>25.5822</v>
      </c>
      <c r="FV194">
        <v>24.958500000000001</v>
      </c>
      <c r="FW194">
        <v>25.854700000000001</v>
      </c>
      <c r="FX194">
        <v>0</v>
      </c>
      <c r="FY194">
        <v>18.199400000000001</v>
      </c>
      <c r="FZ194">
        <v>410</v>
      </c>
      <c r="GA194">
        <v>14.5832</v>
      </c>
      <c r="GB194">
        <v>99.868899999999996</v>
      </c>
      <c r="GC194">
        <v>99.746600000000001</v>
      </c>
    </row>
    <row r="195" spans="1:185" x14ac:dyDescent="0.2">
      <c r="A195">
        <v>180</v>
      </c>
      <c r="B195">
        <v>1769197865</v>
      </c>
      <c r="C195">
        <v>3304</v>
      </c>
      <c r="D195" t="s">
        <v>658</v>
      </c>
      <c r="E195" t="s">
        <v>659</v>
      </c>
      <c r="F195">
        <v>15</v>
      </c>
      <c r="G195">
        <v>1769197856.9333301</v>
      </c>
      <c r="H195">
        <f t="shared" si="26"/>
        <v>6.9770805195025476E-4</v>
      </c>
      <c r="I195">
        <v>0</v>
      </c>
      <c r="J195">
        <f t="shared" si="38"/>
        <v>-6.1285818444783968E-4</v>
      </c>
      <c r="K195">
        <f t="shared" si="27"/>
        <v>-2.2837435801238148E-2</v>
      </c>
      <c r="L195">
        <f t="shared" si="28"/>
        <v>70.027090268582981</v>
      </c>
      <c r="M195">
        <f t="shared" si="29"/>
        <v>1.5446130768812842</v>
      </c>
      <c r="N195">
        <f t="shared" si="30"/>
        <v>2.2057364813489344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26344.908867259237</v>
      </c>
      <c r="T195">
        <f t="shared" si="34"/>
        <v>300.000133333333</v>
      </c>
      <c r="U195">
        <f t="shared" si="35"/>
        <v>252.90021440004503</v>
      </c>
      <c r="V195">
        <f t="shared" si="36"/>
        <v>0.8430003399999999</v>
      </c>
      <c r="W195">
        <f t="shared" si="37"/>
        <v>0.15870084999999998</v>
      </c>
      <c r="X195">
        <v>1</v>
      </c>
      <c r="Y195">
        <v>1769197856.9333301</v>
      </c>
      <c r="Z195">
        <v>409.666333333333</v>
      </c>
      <c r="AA195">
        <v>409.99506666666701</v>
      </c>
      <c r="AB195">
        <v>15.415013333333301</v>
      </c>
      <c r="AC195">
        <v>14.556333333333299</v>
      </c>
      <c r="AD195">
        <v>410.47206666666699</v>
      </c>
      <c r="AE195">
        <v>15.320679999999999</v>
      </c>
      <c r="AF195">
        <v>800.01033333333305</v>
      </c>
      <c r="AG195">
        <v>100.137533333333</v>
      </c>
      <c r="AH195">
        <v>6.4331139999999995E-2</v>
      </c>
      <c r="AI195">
        <v>19.00404</v>
      </c>
      <c r="AJ195">
        <v>999.9</v>
      </c>
      <c r="AK195">
        <v>999.9</v>
      </c>
      <c r="AL195">
        <v>0</v>
      </c>
      <c r="AM195">
        <v>0</v>
      </c>
      <c r="AN195">
        <v>5014.3333333333303</v>
      </c>
      <c r="AO195">
        <v>0</v>
      </c>
      <c r="AP195">
        <v>1.63733</v>
      </c>
      <c r="AQ195">
        <v>-0.32872926666666702</v>
      </c>
      <c r="AR195">
        <v>416.08006666666699</v>
      </c>
      <c r="AS195">
        <v>416.05133333333299</v>
      </c>
      <c r="AT195">
        <v>0.85868746666666695</v>
      </c>
      <c r="AU195">
        <v>409.99506666666701</v>
      </c>
      <c r="AV195">
        <v>14.556333333333299</v>
      </c>
      <c r="AW195">
        <v>1.5436226666666699</v>
      </c>
      <c r="AX195">
        <v>1.45763666666667</v>
      </c>
      <c r="AY195">
        <v>13.40724</v>
      </c>
      <c r="AZ195">
        <v>12.5308666666667</v>
      </c>
      <c r="BA195">
        <v>300.000133333333</v>
      </c>
      <c r="BB195">
        <v>0.89998866666666699</v>
      </c>
      <c r="BC195">
        <v>0</v>
      </c>
      <c r="BD195">
        <v>0.10001133333333299</v>
      </c>
      <c r="BE195">
        <v>0</v>
      </c>
      <c r="BF195">
        <v>25</v>
      </c>
      <c r="BG195">
        <v>4946.6226666666698</v>
      </c>
      <c r="BH195">
        <v>1769197713</v>
      </c>
      <c r="BI195" t="s">
        <v>637</v>
      </c>
      <c r="BJ195">
        <v>1769197710</v>
      </c>
      <c r="BK195">
        <v>1769197713</v>
      </c>
      <c r="BL195">
        <v>6</v>
      </c>
      <c r="BM195">
        <v>-1E-3</v>
      </c>
      <c r="BN195">
        <v>6.0000000000000001E-3</v>
      </c>
      <c r="BO195">
        <v>-0.80600000000000005</v>
      </c>
      <c r="BP195">
        <v>9.4E-2</v>
      </c>
      <c r="BQ195">
        <v>410</v>
      </c>
      <c r="BR195">
        <v>15</v>
      </c>
      <c r="BS195">
        <v>0.27</v>
      </c>
      <c r="BT195">
        <v>0.09</v>
      </c>
      <c r="BU195">
        <v>-0.32569523809523798</v>
      </c>
      <c r="BV195">
        <v>-1.43351688311686E-2</v>
      </c>
      <c r="BW195">
        <v>1.36733294475561E-2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0.85834309523809504</v>
      </c>
      <c r="CD195">
        <v>4.2758181818196104E-3</v>
      </c>
      <c r="CE195">
        <v>8.3089732932661105E-4</v>
      </c>
      <c r="CF195">
        <v>1</v>
      </c>
      <c r="CG195">
        <v>2</v>
      </c>
      <c r="CH195">
        <v>2</v>
      </c>
      <c r="CI195" t="s">
        <v>304</v>
      </c>
      <c r="CJ195">
        <v>3.5325600000000001</v>
      </c>
      <c r="CK195">
        <v>2.7021999999999999</v>
      </c>
      <c r="CL195">
        <v>9.7904699999999997E-2</v>
      </c>
      <c r="CM195">
        <v>9.6609500000000001E-2</v>
      </c>
      <c r="CN195">
        <v>8.7175600000000006E-2</v>
      </c>
      <c r="CO195">
        <v>8.2675499999999999E-2</v>
      </c>
      <c r="CP195">
        <v>31628.2</v>
      </c>
      <c r="CQ195">
        <v>27820</v>
      </c>
      <c r="CR195">
        <v>32450.400000000001</v>
      </c>
      <c r="CS195">
        <v>30722.3</v>
      </c>
      <c r="CT195">
        <v>40114.9</v>
      </c>
      <c r="CU195">
        <v>39634.800000000003</v>
      </c>
      <c r="CV195">
        <v>47397</v>
      </c>
      <c r="CW195">
        <v>46858.2</v>
      </c>
      <c r="CX195">
        <v>2.62174</v>
      </c>
      <c r="CY195">
        <v>2.1226400000000001</v>
      </c>
      <c r="CZ195">
        <v>0</v>
      </c>
      <c r="DA195">
        <v>0</v>
      </c>
      <c r="DB195">
        <v>999.9</v>
      </c>
      <c r="DC195">
        <v>999.9</v>
      </c>
      <c r="DD195">
        <v>49.335000000000001</v>
      </c>
      <c r="DE195">
        <v>28.207999999999998</v>
      </c>
      <c r="DF195">
        <v>18.923500000000001</v>
      </c>
      <c r="DG195">
        <v>30.239799999999999</v>
      </c>
      <c r="DH195">
        <v>16.446300000000001</v>
      </c>
      <c r="DI195">
        <v>2</v>
      </c>
      <c r="DJ195">
        <v>-0.111429</v>
      </c>
      <c r="DK195">
        <v>2.2395499999999999</v>
      </c>
      <c r="DL195">
        <v>20.222899999999999</v>
      </c>
      <c r="DM195">
        <v>5.2492799999999997</v>
      </c>
      <c r="DN195">
        <v>12.033899999999999</v>
      </c>
      <c r="DO195">
        <v>4.9668400000000004</v>
      </c>
      <c r="DP195">
        <v>3.2909999999999999</v>
      </c>
      <c r="DQ195">
        <v>536.9</v>
      </c>
      <c r="DR195">
        <v>9999</v>
      </c>
      <c r="DS195">
        <v>9999</v>
      </c>
      <c r="DT195">
        <v>9999</v>
      </c>
      <c r="DU195">
        <v>1.8710800000000001</v>
      </c>
      <c r="DV195">
        <v>1.87608</v>
      </c>
      <c r="DW195">
        <v>1.87632</v>
      </c>
      <c r="DX195">
        <v>1.88279</v>
      </c>
      <c r="DY195">
        <v>1.8755900000000001</v>
      </c>
      <c r="DZ195">
        <v>1.87463</v>
      </c>
      <c r="EA195">
        <v>1.87076</v>
      </c>
      <c r="EB195">
        <v>1.8745799999999999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-0.80600000000000005</v>
      </c>
      <c r="EQ195">
        <v>9.4299999999999995E-2</v>
      </c>
      <c r="ER195">
        <v>-0.80572727272732403</v>
      </c>
      <c r="ES195">
        <v>0</v>
      </c>
      <c r="ET195">
        <v>0</v>
      </c>
      <c r="EU195">
        <v>0</v>
      </c>
      <c r="EV195">
        <v>9.43299999999994E-2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2.6</v>
      </c>
      <c r="FE195">
        <v>2.5</v>
      </c>
      <c r="FF195">
        <v>1.24268</v>
      </c>
      <c r="FG195">
        <v>2.5952099999999998</v>
      </c>
      <c r="FH195">
        <v>2.19604</v>
      </c>
      <c r="FI195">
        <v>2.66357</v>
      </c>
      <c r="FJ195">
        <v>2.4462899999999999</v>
      </c>
      <c r="FK195">
        <v>2.2814899999999998</v>
      </c>
      <c r="FL195">
        <v>32.509700000000002</v>
      </c>
      <c r="FM195">
        <v>24.14</v>
      </c>
      <c r="FN195">
        <v>19</v>
      </c>
      <c r="FO195">
        <v>865.56100000000004</v>
      </c>
      <c r="FP195">
        <v>571.50699999999995</v>
      </c>
      <c r="FQ195">
        <v>18.189599999999999</v>
      </c>
      <c r="FR195">
        <v>25.559100000000001</v>
      </c>
      <c r="FS195">
        <v>30.0001</v>
      </c>
      <c r="FT195">
        <v>25.5794</v>
      </c>
      <c r="FU195">
        <v>25.5822</v>
      </c>
      <c r="FV195">
        <v>24.9573</v>
      </c>
      <c r="FW195">
        <v>25.854700000000001</v>
      </c>
      <c r="FX195">
        <v>0</v>
      </c>
      <c r="FY195">
        <v>18.187000000000001</v>
      </c>
      <c r="FZ195">
        <v>410</v>
      </c>
      <c r="GA195">
        <v>14.5832</v>
      </c>
      <c r="GB195">
        <v>99.867199999999997</v>
      </c>
      <c r="GC195">
        <v>99.746399999999994</v>
      </c>
    </row>
    <row r="196" spans="1:185" x14ac:dyDescent="0.2">
      <c r="A196">
        <v>181</v>
      </c>
      <c r="B196">
        <v>1769197880</v>
      </c>
      <c r="C196">
        <v>3319</v>
      </c>
      <c r="D196" t="s">
        <v>660</v>
      </c>
      <c r="E196" t="s">
        <v>661</v>
      </c>
      <c r="F196">
        <v>15</v>
      </c>
      <c r="G196">
        <v>1769197871.9333301</v>
      </c>
      <c r="H196">
        <f t="shared" si="26"/>
        <v>6.9723414996203284E-4</v>
      </c>
      <c r="I196">
        <v>0</v>
      </c>
      <c r="J196">
        <f t="shared" si="38"/>
        <v>-1.0704606293801676E-3</v>
      </c>
      <c r="K196">
        <f t="shared" si="27"/>
        <v>-3.988944999282E-2</v>
      </c>
      <c r="L196">
        <f t="shared" si="28"/>
        <v>70.020479062872113</v>
      </c>
      <c r="M196">
        <f t="shared" si="29"/>
        <v>1.5440734380922974</v>
      </c>
      <c r="N196">
        <f t="shared" si="30"/>
        <v>2.2051740558727939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26185.003752129676</v>
      </c>
      <c r="T196">
        <f t="shared" si="34"/>
        <v>300.00053333333301</v>
      </c>
      <c r="U196">
        <f t="shared" si="35"/>
        <v>252.90059480025784</v>
      </c>
      <c r="V196">
        <f t="shared" si="36"/>
        <v>0.84300048399999994</v>
      </c>
      <c r="W196">
        <f t="shared" si="37"/>
        <v>0.15870120999999995</v>
      </c>
      <c r="X196">
        <v>1</v>
      </c>
      <c r="Y196">
        <v>1769197871.9333301</v>
      </c>
      <c r="Z196">
        <v>409.68926666666698</v>
      </c>
      <c r="AA196">
        <v>409.996466666667</v>
      </c>
      <c r="AB196">
        <v>15.409126666666699</v>
      </c>
      <c r="AC196">
        <v>14.5510133333333</v>
      </c>
      <c r="AD196">
        <v>410.495133333333</v>
      </c>
      <c r="AE196">
        <v>15.314780000000001</v>
      </c>
      <c r="AF196">
        <v>799.99966666666705</v>
      </c>
      <c r="AG196">
        <v>100.140666666667</v>
      </c>
      <c r="AH196">
        <v>6.4456666666666704E-2</v>
      </c>
      <c r="AI196">
        <v>18.999953333333298</v>
      </c>
      <c r="AJ196">
        <v>999.9</v>
      </c>
      <c r="AK196">
        <v>999.9</v>
      </c>
      <c r="AL196">
        <v>0</v>
      </c>
      <c r="AM196">
        <v>0</v>
      </c>
      <c r="AN196">
        <v>4987.8</v>
      </c>
      <c r="AO196">
        <v>0</v>
      </c>
      <c r="AP196">
        <v>1.63733</v>
      </c>
      <c r="AQ196">
        <v>-0.307092266666667</v>
      </c>
      <c r="AR196">
        <v>416.10106666666701</v>
      </c>
      <c r="AS196">
        <v>416.05040000000002</v>
      </c>
      <c r="AT196">
        <v>0.85812246666666703</v>
      </c>
      <c r="AU196">
        <v>409.996466666667</v>
      </c>
      <c r="AV196">
        <v>14.5510133333333</v>
      </c>
      <c r="AW196">
        <v>1.54308</v>
      </c>
      <c r="AX196">
        <v>1.4571480000000001</v>
      </c>
      <c r="AY196">
        <v>13.40184</v>
      </c>
      <c r="AZ196">
        <v>12.5257533333333</v>
      </c>
      <c r="BA196">
        <v>300.00053333333301</v>
      </c>
      <c r="BB196">
        <v>0.89998386666666697</v>
      </c>
      <c r="BC196">
        <v>0</v>
      </c>
      <c r="BD196">
        <v>0.10001613333333299</v>
      </c>
      <c r="BE196">
        <v>0</v>
      </c>
      <c r="BF196">
        <v>25</v>
      </c>
      <c r="BG196">
        <v>4946.6220000000003</v>
      </c>
      <c r="BH196">
        <v>1769197713</v>
      </c>
      <c r="BI196" t="s">
        <v>637</v>
      </c>
      <c r="BJ196">
        <v>1769197710</v>
      </c>
      <c r="BK196">
        <v>1769197713</v>
      </c>
      <c r="BL196">
        <v>6</v>
      </c>
      <c r="BM196">
        <v>-1E-3</v>
      </c>
      <c r="BN196">
        <v>6.0000000000000001E-3</v>
      </c>
      <c r="BO196">
        <v>-0.80600000000000005</v>
      </c>
      <c r="BP196">
        <v>9.4E-2</v>
      </c>
      <c r="BQ196">
        <v>410</v>
      </c>
      <c r="BR196">
        <v>15</v>
      </c>
      <c r="BS196">
        <v>0.27</v>
      </c>
      <c r="BT196">
        <v>0.09</v>
      </c>
      <c r="BU196">
        <v>-0.31041564999999999</v>
      </c>
      <c r="BV196">
        <v>-2.4055804511277701E-2</v>
      </c>
      <c r="BW196">
        <v>1.98647565710607E-2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0.85822589999999999</v>
      </c>
      <c r="CD196">
        <v>7.4893533834578798E-3</v>
      </c>
      <c r="CE196">
        <v>1.5628979141325799E-3</v>
      </c>
      <c r="CF196">
        <v>1</v>
      </c>
      <c r="CG196">
        <v>2</v>
      </c>
      <c r="CH196">
        <v>2</v>
      </c>
      <c r="CI196" t="s">
        <v>304</v>
      </c>
      <c r="CJ196">
        <v>3.5324900000000001</v>
      </c>
      <c r="CK196">
        <v>2.70234</v>
      </c>
      <c r="CL196">
        <v>9.7907499999999995E-2</v>
      </c>
      <c r="CM196">
        <v>9.6612199999999995E-2</v>
      </c>
      <c r="CN196">
        <v>8.7163900000000002E-2</v>
      </c>
      <c r="CO196">
        <v>8.2651799999999997E-2</v>
      </c>
      <c r="CP196">
        <v>31628.9</v>
      </c>
      <c r="CQ196">
        <v>27819.200000000001</v>
      </c>
      <c r="CR196">
        <v>32451.200000000001</v>
      </c>
      <c r="CS196">
        <v>30721.599999999999</v>
      </c>
      <c r="CT196">
        <v>40116.800000000003</v>
      </c>
      <c r="CU196">
        <v>39634.9</v>
      </c>
      <c r="CV196">
        <v>47398.5</v>
      </c>
      <c r="CW196">
        <v>46857.1</v>
      </c>
      <c r="CX196">
        <v>2.6218400000000002</v>
      </c>
      <c r="CY196">
        <v>2.1225399999999999</v>
      </c>
      <c r="CZ196">
        <v>0</v>
      </c>
      <c r="DA196">
        <v>0</v>
      </c>
      <c r="DB196">
        <v>999.9</v>
      </c>
      <c r="DC196">
        <v>999.9</v>
      </c>
      <c r="DD196">
        <v>49.31</v>
      </c>
      <c r="DE196">
        <v>28.207999999999998</v>
      </c>
      <c r="DF196">
        <v>18.914400000000001</v>
      </c>
      <c r="DG196">
        <v>30.479800000000001</v>
      </c>
      <c r="DH196">
        <v>16.470400000000001</v>
      </c>
      <c r="DI196">
        <v>2</v>
      </c>
      <c r="DJ196">
        <v>-0.11142100000000001</v>
      </c>
      <c r="DK196">
        <v>2.1468799999999999</v>
      </c>
      <c r="DL196">
        <v>20.224799999999998</v>
      </c>
      <c r="DM196">
        <v>5.2496400000000003</v>
      </c>
      <c r="DN196">
        <v>12.033899999999999</v>
      </c>
      <c r="DO196">
        <v>4.9667599999999998</v>
      </c>
      <c r="DP196">
        <v>3.2909999999999999</v>
      </c>
      <c r="DQ196">
        <v>536.9</v>
      </c>
      <c r="DR196">
        <v>9999</v>
      </c>
      <c r="DS196">
        <v>9999</v>
      </c>
      <c r="DT196">
        <v>9999</v>
      </c>
      <c r="DU196">
        <v>1.8710800000000001</v>
      </c>
      <c r="DV196">
        <v>1.87608</v>
      </c>
      <c r="DW196">
        <v>1.8763300000000001</v>
      </c>
      <c r="DX196">
        <v>1.8827799999999999</v>
      </c>
      <c r="DY196">
        <v>1.8755900000000001</v>
      </c>
      <c r="DZ196">
        <v>1.8746499999999999</v>
      </c>
      <c r="EA196">
        <v>1.8707800000000001</v>
      </c>
      <c r="EB196">
        <v>1.8745799999999999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-0.80600000000000005</v>
      </c>
      <c r="EQ196">
        <v>9.4299999999999995E-2</v>
      </c>
      <c r="ER196">
        <v>-0.80572727272732403</v>
      </c>
      <c r="ES196">
        <v>0</v>
      </c>
      <c r="ET196">
        <v>0</v>
      </c>
      <c r="EU196">
        <v>0</v>
      </c>
      <c r="EV196">
        <v>9.43299999999994E-2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2.8</v>
      </c>
      <c r="FE196">
        <v>2.8</v>
      </c>
      <c r="FF196">
        <v>1.2439</v>
      </c>
      <c r="FG196">
        <v>2.6025399999999999</v>
      </c>
      <c r="FH196">
        <v>2.19604</v>
      </c>
      <c r="FI196">
        <v>2.66235</v>
      </c>
      <c r="FJ196">
        <v>2.4462899999999999</v>
      </c>
      <c r="FK196">
        <v>2.2668499999999998</v>
      </c>
      <c r="FL196">
        <v>32.509700000000002</v>
      </c>
      <c r="FM196">
        <v>24.148800000000001</v>
      </c>
      <c r="FN196">
        <v>19</v>
      </c>
      <c r="FO196">
        <v>865.654</v>
      </c>
      <c r="FP196">
        <v>571.43499999999995</v>
      </c>
      <c r="FQ196">
        <v>18.186599999999999</v>
      </c>
      <c r="FR196">
        <v>25.562899999999999</v>
      </c>
      <c r="FS196">
        <v>30.0001</v>
      </c>
      <c r="FT196">
        <v>25.5794</v>
      </c>
      <c r="FU196">
        <v>25.582599999999999</v>
      </c>
      <c r="FV196">
        <v>24.9589</v>
      </c>
      <c r="FW196">
        <v>25.854700000000001</v>
      </c>
      <c r="FX196">
        <v>0</v>
      </c>
      <c r="FY196">
        <v>18.2225</v>
      </c>
      <c r="FZ196">
        <v>410</v>
      </c>
      <c r="GA196">
        <v>14.5832</v>
      </c>
      <c r="GB196">
        <v>99.870099999999994</v>
      </c>
      <c r="GC196">
        <v>99.744</v>
      </c>
    </row>
    <row r="197" spans="1:185" x14ac:dyDescent="0.2">
      <c r="A197">
        <v>182</v>
      </c>
      <c r="B197">
        <v>1769197895</v>
      </c>
      <c r="C197">
        <v>3334</v>
      </c>
      <c r="D197" t="s">
        <v>662</v>
      </c>
      <c r="E197" t="s">
        <v>663</v>
      </c>
      <c r="F197">
        <v>15</v>
      </c>
      <c r="G197">
        <v>1769197886.9333301</v>
      </c>
      <c r="H197">
        <f t="shared" si="26"/>
        <v>7.0033195202091913E-4</v>
      </c>
      <c r="I197">
        <v>0</v>
      </c>
      <c r="J197">
        <f t="shared" si="38"/>
        <v>-8.7963557819543817E-4</v>
      </c>
      <c r="K197">
        <f t="shared" si="27"/>
        <v>-3.2778580029280913E-2</v>
      </c>
      <c r="L197">
        <f t="shared" si="28"/>
        <v>70.019162461990589</v>
      </c>
      <c r="M197">
        <f t="shared" si="29"/>
        <v>1.5439108006675175</v>
      </c>
      <c r="N197">
        <f t="shared" si="30"/>
        <v>2.2049832451303866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26313.680973076673</v>
      </c>
      <c r="T197">
        <f t="shared" si="34"/>
        <v>299.99993333333299</v>
      </c>
      <c r="U197">
        <f t="shared" si="35"/>
        <v>252.90011899996077</v>
      </c>
      <c r="V197">
        <f t="shared" si="36"/>
        <v>0.843000584</v>
      </c>
      <c r="W197">
        <f t="shared" si="37"/>
        <v>0.15870146000000004</v>
      </c>
      <c r="X197">
        <v>1</v>
      </c>
      <c r="Y197">
        <v>1769197886.9333301</v>
      </c>
      <c r="Z197">
        <v>409.68560000000002</v>
      </c>
      <c r="AA197">
        <v>410.003266666667</v>
      </c>
      <c r="AB197">
        <v>15.407586666666701</v>
      </c>
      <c r="AC197">
        <v>14.545673333333299</v>
      </c>
      <c r="AD197">
        <v>410.49119999999999</v>
      </c>
      <c r="AE197">
        <v>15.31326</v>
      </c>
      <c r="AF197">
        <v>800.01260000000002</v>
      </c>
      <c r="AG197">
        <v>100.14</v>
      </c>
      <c r="AH197">
        <v>6.458324E-2</v>
      </c>
      <c r="AI197">
        <v>18.998566666666701</v>
      </c>
      <c r="AJ197">
        <v>999.9</v>
      </c>
      <c r="AK197">
        <v>999.9</v>
      </c>
      <c r="AL197">
        <v>0</v>
      </c>
      <c r="AM197">
        <v>0</v>
      </c>
      <c r="AN197">
        <v>5009</v>
      </c>
      <c r="AO197">
        <v>0</v>
      </c>
      <c r="AP197">
        <v>1.63733</v>
      </c>
      <c r="AQ197">
        <v>-0.31772260000000002</v>
      </c>
      <c r="AR197">
        <v>416.09666666666698</v>
      </c>
      <c r="AS197">
        <v>416.05500000000001</v>
      </c>
      <c r="AT197">
        <v>0.86190766666666696</v>
      </c>
      <c r="AU197">
        <v>410.003266666667</v>
      </c>
      <c r="AV197">
        <v>14.545673333333299</v>
      </c>
      <c r="AW197">
        <v>1.5429153333333301</v>
      </c>
      <c r="AX197">
        <v>1.4566033333333299</v>
      </c>
      <c r="AY197">
        <v>13.400180000000001</v>
      </c>
      <c r="AZ197">
        <v>12.5200666666667</v>
      </c>
      <c r="BA197">
        <v>299.99993333333299</v>
      </c>
      <c r="BB197">
        <v>0.89998053333333305</v>
      </c>
      <c r="BC197">
        <v>0</v>
      </c>
      <c r="BD197">
        <v>0.100019466666667</v>
      </c>
      <c r="BE197">
        <v>0</v>
      </c>
      <c r="BF197">
        <v>25</v>
      </c>
      <c r="BG197">
        <v>4946.6073333333297</v>
      </c>
      <c r="BH197">
        <v>1769197713</v>
      </c>
      <c r="BI197" t="s">
        <v>637</v>
      </c>
      <c r="BJ197">
        <v>1769197710</v>
      </c>
      <c r="BK197">
        <v>1769197713</v>
      </c>
      <c r="BL197">
        <v>6</v>
      </c>
      <c r="BM197">
        <v>-1E-3</v>
      </c>
      <c r="BN197">
        <v>6.0000000000000001E-3</v>
      </c>
      <c r="BO197">
        <v>-0.80600000000000005</v>
      </c>
      <c r="BP197">
        <v>9.4E-2</v>
      </c>
      <c r="BQ197">
        <v>410</v>
      </c>
      <c r="BR197">
        <v>15</v>
      </c>
      <c r="BS197">
        <v>0.27</v>
      </c>
      <c r="BT197">
        <v>0.09</v>
      </c>
      <c r="BU197">
        <v>-0.31585257142857098</v>
      </c>
      <c r="BV197">
        <v>-9.7098701298700008E-3</v>
      </c>
      <c r="BW197">
        <v>1.28121352094743E-2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0.861377476190476</v>
      </c>
      <c r="CD197">
        <v>1.1614753246753901E-2</v>
      </c>
      <c r="CE197">
        <v>1.46834534730659E-3</v>
      </c>
      <c r="CF197">
        <v>1</v>
      </c>
      <c r="CG197">
        <v>2</v>
      </c>
      <c r="CH197">
        <v>2</v>
      </c>
      <c r="CI197" t="s">
        <v>304</v>
      </c>
      <c r="CJ197">
        <v>3.5324900000000001</v>
      </c>
      <c r="CK197">
        <v>2.7022699999999999</v>
      </c>
      <c r="CL197">
        <v>9.7903699999999996E-2</v>
      </c>
      <c r="CM197">
        <v>9.6602599999999997E-2</v>
      </c>
      <c r="CN197">
        <v>8.7149299999999999E-2</v>
      </c>
      <c r="CO197">
        <v>8.2631700000000002E-2</v>
      </c>
      <c r="CP197">
        <v>31628.5</v>
      </c>
      <c r="CQ197">
        <v>27819.1</v>
      </c>
      <c r="CR197">
        <v>32450.7</v>
      </c>
      <c r="CS197">
        <v>30721.200000000001</v>
      </c>
      <c r="CT197">
        <v>40116.699999999997</v>
      </c>
      <c r="CU197">
        <v>39635.199999999997</v>
      </c>
      <c r="CV197">
        <v>47397.599999999999</v>
      </c>
      <c r="CW197">
        <v>46856.4</v>
      </c>
      <c r="CX197">
        <v>2.6217600000000001</v>
      </c>
      <c r="CY197">
        <v>2.1227399999999998</v>
      </c>
      <c r="CZ197">
        <v>0</v>
      </c>
      <c r="DA197">
        <v>0</v>
      </c>
      <c r="DB197">
        <v>999.9</v>
      </c>
      <c r="DC197">
        <v>999.9</v>
      </c>
      <c r="DD197">
        <v>49.286000000000001</v>
      </c>
      <c r="DE197">
        <v>28.207999999999998</v>
      </c>
      <c r="DF197">
        <v>18.905200000000001</v>
      </c>
      <c r="DG197">
        <v>30.1798</v>
      </c>
      <c r="DH197">
        <v>16.490400000000001</v>
      </c>
      <c r="DI197">
        <v>2</v>
      </c>
      <c r="DJ197">
        <v>-0.111441</v>
      </c>
      <c r="DK197">
        <v>2.1683400000000002</v>
      </c>
      <c r="DL197">
        <v>20.2242</v>
      </c>
      <c r="DM197">
        <v>5.2501199999999999</v>
      </c>
      <c r="DN197">
        <v>12.033899999999999</v>
      </c>
      <c r="DO197">
        <v>4.9669999999999996</v>
      </c>
      <c r="DP197">
        <v>3.2909999999999999</v>
      </c>
      <c r="DQ197">
        <v>536.9</v>
      </c>
      <c r="DR197">
        <v>9999</v>
      </c>
      <c r="DS197">
        <v>9999</v>
      </c>
      <c r="DT197">
        <v>9999</v>
      </c>
      <c r="DU197">
        <v>1.8710500000000001</v>
      </c>
      <c r="DV197">
        <v>1.8760699999999999</v>
      </c>
      <c r="DW197">
        <v>1.87629</v>
      </c>
      <c r="DX197">
        <v>1.8827799999999999</v>
      </c>
      <c r="DY197">
        <v>1.87557</v>
      </c>
      <c r="DZ197">
        <v>1.87463</v>
      </c>
      <c r="EA197">
        <v>1.8707400000000001</v>
      </c>
      <c r="EB197">
        <v>1.8745700000000001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-0.80500000000000005</v>
      </c>
      <c r="EQ197">
        <v>9.4299999999999995E-2</v>
      </c>
      <c r="ER197">
        <v>-0.80572727272732403</v>
      </c>
      <c r="ES197">
        <v>0</v>
      </c>
      <c r="ET197">
        <v>0</v>
      </c>
      <c r="EU197">
        <v>0</v>
      </c>
      <c r="EV197">
        <v>9.43299999999994E-2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3.1</v>
      </c>
      <c r="FE197">
        <v>3</v>
      </c>
      <c r="FF197">
        <v>1.2439</v>
      </c>
      <c r="FG197">
        <v>2.6061999999999999</v>
      </c>
      <c r="FH197">
        <v>2.19604</v>
      </c>
      <c r="FI197">
        <v>2.66357</v>
      </c>
      <c r="FJ197">
        <v>2.4462899999999999</v>
      </c>
      <c r="FK197">
        <v>2.2973599999999998</v>
      </c>
      <c r="FL197">
        <v>32.509700000000002</v>
      </c>
      <c r="FM197">
        <v>24.148800000000001</v>
      </c>
      <c r="FN197">
        <v>19</v>
      </c>
      <c r="FO197">
        <v>865.60799999999995</v>
      </c>
      <c r="FP197">
        <v>571.60699999999997</v>
      </c>
      <c r="FQ197">
        <v>18.229500000000002</v>
      </c>
      <c r="FR197">
        <v>25.5654</v>
      </c>
      <c r="FS197">
        <v>30.0001</v>
      </c>
      <c r="FT197">
        <v>25.581199999999999</v>
      </c>
      <c r="FU197">
        <v>25.584299999999999</v>
      </c>
      <c r="FV197">
        <v>24.96</v>
      </c>
      <c r="FW197">
        <v>25.854700000000001</v>
      </c>
      <c r="FX197">
        <v>0</v>
      </c>
      <c r="FY197">
        <v>18.2258</v>
      </c>
      <c r="FZ197">
        <v>410</v>
      </c>
      <c r="GA197">
        <v>14.5832</v>
      </c>
      <c r="GB197">
        <v>99.868300000000005</v>
      </c>
      <c r="GC197">
        <v>99.742599999999996</v>
      </c>
    </row>
    <row r="198" spans="1:185" x14ac:dyDescent="0.2">
      <c r="A198">
        <v>183</v>
      </c>
      <c r="B198">
        <v>1769197910</v>
      </c>
      <c r="C198">
        <v>3349</v>
      </c>
      <c r="D198" t="s">
        <v>664</v>
      </c>
      <c r="E198" t="s">
        <v>665</v>
      </c>
      <c r="F198">
        <v>15</v>
      </c>
      <c r="G198">
        <v>1769197901.9333301</v>
      </c>
      <c r="H198">
        <f t="shared" si="26"/>
        <v>6.9928251751084133E-4</v>
      </c>
      <c r="I198">
        <v>0</v>
      </c>
      <c r="J198">
        <f t="shared" si="38"/>
        <v>-7.4050921471940229E-4</v>
      </c>
      <c r="K198">
        <f t="shared" si="27"/>
        <v>-2.7594200551659509E-2</v>
      </c>
      <c r="L198">
        <f t="shared" si="28"/>
        <v>69.972774921762877</v>
      </c>
      <c r="M198">
        <f t="shared" si="29"/>
        <v>1.543282120056837</v>
      </c>
      <c r="N198">
        <f t="shared" si="30"/>
        <v>2.2055465454705678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26222.674414944704</v>
      </c>
      <c r="T198">
        <f t="shared" si="34"/>
        <v>299.99953333333298</v>
      </c>
      <c r="U198">
        <f t="shared" si="35"/>
        <v>252.89980519969075</v>
      </c>
      <c r="V198">
        <f t="shared" si="36"/>
        <v>0.8430006619999999</v>
      </c>
      <c r="W198">
        <f t="shared" si="37"/>
        <v>0.15870165500000002</v>
      </c>
      <c r="X198">
        <v>1</v>
      </c>
      <c r="Y198">
        <v>1769197901.9333301</v>
      </c>
      <c r="Z198">
        <v>409.66906666666699</v>
      </c>
      <c r="AA198">
        <v>409.99266666666699</v>
      </c>
      <c r="AB198">
        <v>15.40142</v>
      </c>
      <c r="AC198">
        <v>14.54078</v>
      </c>
      <c r="AD198">
        <v>410.47460000000001</v>
      </c>
      <c r="AE198">
        <v>15.3071</v>
      </c>
      <c r="AF198">
        <v>800.00066666666601</v>
      </c>
      <c r="AG198">
        <v>100.139333333333</v>
      </c>
      <c r="AH198">
        <v>6.4551766666666704E-2</v>
      </c>
      <c r="AI198">
        <v>19.002659999999999</v>
      </c>
      <c r="AJ198">
        <v>999.9</v>
      </c>
      <c r="AK198">
        <v>999.9</v>
      </c>
      <c r="AL198">
        <v>0</v>
      </c>
      <c r="AM198">
        <v>0</v>
      </c>
      <c r="AN198">
        <v>4994.1000000000004</v>
      </c>
      <c r="AO198">
        <v>0</v>
      </c>
      <c r="AP198">
        <v>1.63733</v>
      </c>
      <c r="AQ198">
        <v>-0.32372840000000003</v>
      </c>
      <c r="AR198">
        <v>416.07713333333299</v>
      </c>
      <c r="AS198">
        <v>416.04226666666699</v>
      </c>
      <c r="AT198">
        <v>0.86063286666666605</v>
      </c>
      <c r="AU198">
        <v>409.99266666666699</v>
      </c>
      <c r="AV198">
        <v>14.54078</v>
      </c>
      <c r="AW198">
        <v>1.54228733333333</v>
      </c>
      <c r="AX198">
        <v>1.45610333333333</v>
      </c>
      <c r="AY198">
        <v>13.393966666666699</v>
      </c>
      <c r="AZ198">
        <v>12.514860000000001</v>
      </c>
      <c r="BA198">
        <v>299.99953333333298</v>
      </c>
      <c r="BB198">
        <v>0.89997793333333298</v>
      </c>
      <c r="BC198">
        <v>0</v>
      </c>
      <c r="BD198">
        <v>0.10002206666666701</v>
      </c>
      <c r="BE198">
        <v>0</v>
      </c>
      <c r="BF198">
        <v>25</v>
      </c>
      <c r="BG198">
        <v>4946.59533333333</v>
      </c>
      <c r="BH198">
        <v>1769197713</v>
      </c>
      <c r="BI198" t="s">
        <v>637</v>
      </c>
      <c r="BJ198">
        <v>1769197710</v>
      </c>
      <c r="BK198">
        <v>1769197713</v>
      </c>
      <c r="BL198">
        <v>6</v>
      </c>
      <c r="BM198">
        <v>-1E-3</v>
      </c>
      <c r="BN198">
        <v>6.0000000000000001E-3</v>
      </c>
      <c r="BO198">
        <v>-0.80600000000000005</v>
      </c>
      <c r="BP198">
        <v>9.4E-2</v>
      </c>
      <c r="BQ198">
        <v>410</v>
      </c>
      <c r="BR198">
        <v>15</v>
      </c>
      <c r="BS198">
        <v>0.27</v>
      </c>
      <c r="BT198">
        <v>0.09</v>
      </c>
      <c r="BU198">
        <v>-0.32107845000000002</v>
      </c>
      <c r="BV198">
        <v>-8.0362511278195395E-2</v>
      </c>
      <c r="BW198">
        <v>2.9325718517156599E-2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0.86113770000000001</v>
      </c>
      <c r="CD198">
        <v>-5.9785263157914204E-3</v>
      </c>
      <c r="CE198">
        <v>1.2712290548913599E-3</v>
      </c>
      <c r="CF198">
        <v>1</v>
      </c>
      <c r="CG198">
        <v>2</v>
      </c>
      <c r="CH198">
        <v>2</v>
      </c>
      <c r="CI198" t="s">
        <v>304</v>
      </c>
      <c r="CJ198">
        <v>3.5325299999999999</v>
      </c>
      <c r="CK198">
        <v>2.7023600000000001</v>
      </c>
      <c r="CL198">
        <v>9.7906199999999999E-2</v>
      </c>
      <c r="CM198">
        <v>9.6602999999999994E-2</v>
      </c>
      <c r="CN198">
        <v>8.7131100000000003E-2</v>
      </c>
      <c r="CO198">
        <v>8.2609600000000005E-2</v>
      </c>
      <c r="CP198">
        <v>31628.6</v>
      </c>
      <c r="CQ198">
        <v>27819.1</v>
      </c>
      <c r="CR198">
        <v>32450.9</v>
      </c>
      <c r="CS198">
        <v>30721.200000000001</v>
      </c>
      <c r="CT198">
        <v>40117.800000000003</v>
      </c>
      <c r="CU198">
        <v>39636.400000000001</v>
      </c>
      <c r="CV198">
        <v>47398</v>
      </c>
      <c r="CW198">
        <v>46856.7</v>
      </c>
      <c r="CX198">
        <v>2.6217199999999998</v>
      </c>
      <c r="CY198">
        <v>2.1227200000000002</v>
      </c>
      <c r="CZ198">
        <v>0</v>
      </c>
      <c r="DA198">
        <v>0</v>
      </c>
      <c r="DB198">
        <v>999.9</v>
      </c>
      <c r="DC198">
        <v>999.9</v>
      </c>
      <c r="DD198">
        <v>49.261000000000003</v>
      </c>
      <c r="DE198">
        <v>28.207999999999998</v>
      </c>
      <c r="DF198">
        <v>18.895600000000002</v>
      </c>
      <c r="DG198">
        <v>30.3598</v>
      </c>
      <c r="DH198">
        <v>16.470400000000001</v>
      </c>
      <c r="DI198">
        <v>2</v>
      </c>
      <c r="DJ198">
        <v>-0.11108700000000001</v>
      </c>
      <c r="DK198">
        <v>2.2067600000000001</v>
      </c>
      <c r="DL198">
        <v>20.222899999999999</v>
      </c>
      <c r="DM198">
        <v>5.2465200000000003</v>
      </c>
      <c r="DN198">
        <v>12.033899999999999</v>
      </c>
      <c r="DO198">
        <v>4.9663199999999996</v>
      </c>
      <c r="DP198">
        <v>3.2906399999999998</v>
      </c>
      <c r="DQ198">
        <v>536.9</v>
      </c>
      <c r="DR198">
        <v>9999</v>
      </c>
      <c r="DS198">
        <v>9999</v>
      </c>
      <c r="DT198">
        <v>9999</v>
      </c>
      <c r="DU198">
        <v>1.8710800000000001</v>
      </c>
      <c r="DV198">
        <v>1.87608</v>
      </c>
      <c r="DW198">
        <v>1.87632</v>
      </c>
      <c r="DX198">
        <v>1.8827799999999999</v>
      </c>
      <c r="DY198">
        <v>1.87558</v>
      </c>
      <c r="DZ198">
        <v>1.87466</v>
      </c>
      <c r="EA198">
        <v>1.8707800000000001</v>
      </c>
      <c r="EB198">
        <v>1.8745799999999999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-0.80600000000000005</v>
      </c>
      <c r="EQ198">
        <v>9.4299999999999995E-2</v>
      </c>
      <c r="ER198">
        <v>-0.80572727272732403</v>
      </c>
      <c r="ES198">
        <v>0</v>
      </c>
      <c r="ET198">
        <v>0</v>
      </c>
      <c r="EU198">
        <v>0</v>
      </c>
      <c r="EV198">
        <v>9.43299999999994E-2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3.3</v>
      </c>
      <c r="FE198">
        <v>3.3</v>
      </c>
      <c r="FF198">
        <v>1.2439</v>
      </c>
      <c r="FG198">
        <v>2.6000999999999999</v>
      </c>
      <c r="FH198">
        <v>2.19604</v>
      </c>
      <c r="FI198">
        <v>2.66357</v>
      </c>
      <c r="FJ198">
        <v>2.4462899999999999</v>
      </c>
      <c r="FK198">
        <v>2.2790499999999998</v>
      </c>
      <c r="FL198">
        <v>32.509700000000002</v>
      </c>
      <c r="FM198">
        <v>24.148800000000001</v>
      </c>
      <c r="FN198">
        <v>19</v>
      </c>
      <c r="FO198">
        <v>865.58399999999995</v>
      </c>
      <c r="FP198">
        <v>571.61599999999999</v>
      </c>
      <c r="FQ198">
        <v>18.2242</v>
      </c>
      <c r="FR198">
        <v>25.568999999999999</v>
      </c>
      <c r="FS198">
        <v>30.000299999999999</v>
      </c>
      <c r="FT198">
        <v>25.582000000000001</v>
      </c>
      <c r="FU198">
        <v>25.586500000000001</v>
      </c>
      <c r="FV198">
        <v>24.959499999999998</v>
      </c>
      <c r="FW198">
        <v>25.854700000000001</v>
      </c>
      <c r="FX198">
        <v>0</v>
      </c>
      <c r="FY198">
        <v>18.2195</v>
      </c>
      <c r="FZ198">
        <v>410</v>
      </c>
      <c r="GA198">
        <v>14.5832</v>
      </c>
      <c r="GB198">
        <v>99.869</v>
      </c>
      <c r="GC198">
        <v>99.743099999999998</v>
      </c>
    </row>
    <row r="199" spans="1:185" x14ac:dyDescent="0.2">
      <c r="A199">
        <v>184</v>
      </c>
      <c r="B199">
        <v>1769197925</v>
      </c>
      <c r="C199">
        <v>3364</v>
      </c>
      <c r="D199" t="s">
        <v>666</v>
      </c>
      <c r="E199" t="s">
        <v>667</v>
      </c>
      <c r="F199">
        <v>15</v>
      </c>
      <c r="G199">
        <v>1769197916.9333301</v>
      </c>
      <c r="H199">
        <f t="shared" si="26"/>
        <v>7.0053532629021703E-4</v>
      </c>
      <c r="I199">
        <v>0</v>
      </c>
      <c r="J199">
        <f t="shared" si="38"/>
        <v>-5.4384728485242363E-4</v>
      </c>
      <c r="K199">
        <f t="shared" si="27"/>
        <v>-2.0265826203634506E-2</v>
      </c>
      <c r="L199">
        <f t="shared" si="28"/>
        <v>69.955575185945833</v>
      </c>
      <c r="M199">
        <f t="shared" si="29"/>
        <v>1.542933581589832</v>
      </c>
      <c r="N199">
        <f t="shared" si="30"/>
        <v>2.2055905872957631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26271.556163658359</v>
      </c>
      <c r="T199">
        <f t="shared" si="34"/>
        <v>299.999666666667</v>
      </c>
      <c r="U199">
        <f t="shared" si="35"/>
        <v>252.8998671998356</v>
      </c>
      <c r="V199">
        <f t="shared" si="36"/>
        <v>0.84300049399999999</v>
      </c>
      <c r="W199">
        <f t="shared" si="37"/>
        <v>0.15870123500000002</v>
      </c>
      <c r="X199">
        <v>1</v>
      </c>
      <c r="Y199">
        <v>1769197916.9333301</v>
      </c>
      <c r="Z199">
        <v>409.66893333333297</v>
      </c>
      <c r="AA199">
        <v>410.00233333333301</v>
      </c>
      <c r="AB199">
        <v>15.398</v>
      </c>
      <c r="AC199">
        <v>14.535819999999999</v>
      </c>
      <c r="AD199">
        <v>410.47466666666702</v>
      </c>
      <c r="AE199">
        <v>15.3036666666667</v>
      </c>
      <c r="AF199">
        <v>800.00519999999995</v>
      </c>
      <c r="AG199">
        <v>100.13906666666701</v>
      </c>
      <c r="AH199">
        <v>6.4439086666666701E-2</v>
      </c>
      <c r="AI199">
        <v>19.002980000000001</v>
      </c>
      <c r="AJ199">
        <v>999.9</v>
      </c>
      <c r="AK199">
        <v>999.9</v>
      </c>
      <c r="AL199">
        <v>0</v>
      </c>
      <c r="AM199">
        <v>0</v>
      </c>
      <c r="AN199">
        <v>5002.1666666666697</v>
      </c>
      <c r="AO199">
        <v>0</v>
      </c>
      <c r="AP199">
        <v>1.63733</v>
      </c>
      <c r="AQ199">
        <v>-0.333308933333333</v>
      </c>
      <c r="AR199">
        <v>416.075533333333</v>
      </c>
      <c r="AS199">
        <v>416.049933333333</v>
      </c>
      <c r="AT199">
        <v>0.86216186666666705</v>
      </c>
      <c r="AU199">
        <v>410.00233333333301</v>
      </c>
      <c r="AV199">
        <v>14.535819999999999</v>
      </c>
      <c r="AW199">
        <v>1.54194066666667</v>
      </c>
      <c r="AX199">
        <v>1.4556053333333301</v>
      </c>
      <c r="AY199">
        <v>13.39052</v>
      </c>
      <c r="AZ199">
        <v>12.5096266666667</v>
      </c>
      <c r="BA199">
        <v>299.999666666667</v>
      </c>
      <c r="BB199">
        <v>0.89998353333333303</v>
      </c>
      <c r="BC199">
        <v>0</v>
      </c>
      <c r="BD199">
        <v>0.100016466666667</v>
      </c>
      <c r="BE199">
        <v>0</v>
      </c>
      <c r="BF199">
        <v>25</v>
      </c>
      <c r="BG199">
        <v>4946.6086666666697</v>
      </c>
      <c r="BH199">
        <v>1769197713</v>
      </c>
      <c r="BI199" t="s">
        <v>637</v>
      </c>
      <c r="BJ199">
        <v>1769197710</v>
      </c>
      <c r="BK199">
        <v>1769197713</v>
      </c>
      <c r="BL199">
        <v>6</v>
      </c>
      <c r="BM199">
        <v>-1E-3</v>
      </c>
      <c r="BN199">
        <v>6.0000000000000001E-3</v>
      </c>
      <c r="BO199">
        <v>-0.80600000000000005</v>
      </c>
      <c r="BP199">
        <v>9.4E-2</v>
      </c>
      <c r="BQ199">
        <v>410</v>
      </c>
      <c r="BR199">
        <v>15</v>
      </c>
      <c r="BS199">
        <v>0.27</v>
      </c>
      <c r="BT199">
        <v>0.09</v>
      </c>
      <c r="BU199">
        <v>-0.33203128571428597</v>
      </c>
      <c r="BV199">
        <v>1.4974207792207799E-2</v>
      </c>
      <c r="BW199">
        <v>3.2244639918010798E-2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0.86188328571428596</v>
      </c>
      <c r="CD199">
        <v>5.6329090909089498E-3</v>
      </c>
      <c r="CE199">
        <v>1.0731904878115699E-3</v>
      </c>
      <c r="CF199">
        <v>1</v>
      </c>
      <c r="CG199">
        <v>2</v>
      </c>
      <c r="CH199">
        <v>2</v>
      </c>
      <c r="CI199" t="s">
        <v>304</v>
      </c>
      <c r="CJ199">
        <v>3.5325299999999999</v>
      </c>
      <c r="CK199">
        <v>2.7023600000000001</v>
      </c>
      <c r="CL199">
        <v>9.7895499999999996E-2</v>
      </c>
      <c r="CM199">
        <v>9.6605399999999994E-2</v>
      </c>
      <c r="CN199">
        <v>8.7107599999999993E-2</v>
      </c>
      <c r="CO199">
        <v>8.2589599999999999E-2</v>
      </c>
      <c r="CP199">
        <v>31628.6</v>
      </c>
      <c r="CQ199">
        <v>27819.5</v>
      </c>
      <c r="CR199">
        <v>32450.5</v>
      </c>
      <c r="CS199">
        <v>30721.8</v>
      </c>
      <c r="CT199">
        <v>40118.300000000003</v>
      </c>
      <c r="CU199">
        <v>39638</v>
      </c>
      <c r="CV199">
        <v>47397.4</v>
      </c>
      <c r="CW199">
        <v>46857.5</v>
      </c>
      <c r="CX199">
        <v>2.62148</v>
      </c>
      <c r="CY199">
        <v>2.1224599999999998</v>
      </c>
      <c r="CZ199">
        <v>0</v>
      </c>
      <c r="DA199">
        <v>0</v>
      </c>
      <c r="DB199">
        <v>999.9</v>
      </c>
      <c r="DC199">
        <v>999.9</v>
      </c>
      <c r="DD199">
        <v>49.237000000000002</v>
      </c>
      <c r="DE199">
        <v>28.228000000000002</v>
      </c>
      <c r="DF199">
        <v>18.9086</v>
      </c>
      <c r="DG199">
        <v>30.059799999999999</v>
      </c>
      <c r="DH199">
        <v>16.490400000000001</v>
      </c>
      <c r="DI199">
        <v>2</v>
      </c>
      <c r="DJ199">
        <v>-0.110748</v>
      </c>
      <c r="DK199">
        <v>2.22078</v>
      </c>
      <c r="DL199">
        <v>20.223600000000001</v>
      </c>
      <c r="DM199">
        <v>5.2495200000000004</v>
      </c>
      <c r="DN199">
        <v>12.033899999999999</v>
      </c>
      <c r="DO199">
        <v>4.9669999999999996</v>
      </c>
      <c r="DP199">
        <v>3.2909999999999999</v>
      </c>
      <c r="DQ199">
        <v>536.9</v>
      </c>
      <c r="DR199">
        <v>9999</v>
      </c>
      <c r="DS199">
        <v>9999</v>
      </c>
      <c r="DT199">
        <v>9999</v>
      </c>
      <c r="DU199">
        <v>1.8711199999999999</v>
      </c>
      <c r="DV199">
        <v>1.87608</v>
      </c>
      <c r="DW199">
        <v>1.87635</v>
      </c>
      <c r="DX199">
        <v>1.8827799999999999</v>
      </c>
      <c r="DY199">
        <v>1.8755999999999999</v>
      </c>
      <c r="DZ199">
        <v>1.8746799999999999</v>
      </c>
      <c r="EA199">
        <v>1.87083</v>
      </c>
      <c r="EB199">
        <v>1.8746100000000001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-0.80600000000000005</v>
      </c>
      <c r="EQ199">
        <v>9.4399999999999998E-2</v>
      </c>
      <c r="ER199">
        <v>-0.80572727272732403</v>
      </c>
      <c r="ES199">
        <v>0</v>
      </c>
      <c r="ET199">
        <v>0</v>
      </c>
      <c r="EU199">
        <v>0</v>
      </c>
      <c r="EV199">
        <v>9.43299999999994E-2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3.6</v>
      </c>
      <c r="FE199">
        <v>3.5</v>
      </c>
      <c r="FF199">
        <v>1.2439</v>
      </c>
      <c r="FG199">
        <v>2.5964399999999999</v>
      </c>
      <c r="FH199">
        <v>2.19604</v>
      </c>
      <c r="FI199">
        <v>2.66235</v>
      </c>
      <c r="FJ199">
        <v>2.4462899999999999</v>
      </c>
      <c r="FK199">
        <v>2.2888199999999999</v>
      </c>
      <c r="FL199">
        <v>32.509700000000002</v>
      </c>
      <c r="FM199">
        <v>24.148800000000001</v>
      </c>
      <c r="FN199">
        <v>19</v>
      </c>
      <c r="FO199">
        <v>865.38800000000003</v>
      </c>
      <c r="FP199">
        <v>571.43100000000004</v>
      </c>
      <c r="FQ199">
        <v>18.2133</v>
      </c>
      <c r="FR199">
        <v>25.571899999999999</v>
      </c>
      <c r="FS199">
        <v>30.0002</v>
      </c>
      <c r="FT199">
        <v>25.5837</v>
      </c>
      <c r="FU199">
        <v>25.587700000000002</v>
      </c>
      <c r="FV199">
        <v>24.959399999999999</v>
      </c>
      <c r="FW199">
        <v>25.854700000000001</v>
      </c>
      <c r="FX199">
        <v>0</v>
      </c>
      <c r="FY199">
        <v>18.210799999999999</v>
      </c>
      <c r="FZ199">
        <v>410</v>
      </c>
      <c r="GA199">
        <v>14.5832</v>
      </c>
      <c r="GB199">
        <v>99.867699999999999</v>
      </c>
      <c r="GC199">
        <v>99.744799999999998</v>
      </c>
    </row>
    <row r="200" spans="1:185" x14ac:dyDescent="0.2">
      <c r="A200">
        <v>185</v>
      </c>
      <c r="B200">
        <v>1769197940</v>
      </c>
      <c r="C200">
        <v>3379</v>
      </c>
      <c r="D200" t="s">
        <v>668</v>
      </c>
      <c r="E200" t="s">
        <v>669</v>
      </c>
      <c r="F200">
        <v>15</v>
      </c>
      <c r="G200">
        <v>1769197931.9333301</v>
      </c>
      <c r="H200">
        <f t="shared" si="26"/>
        <v>6.9933197183395205E-4</v>
      </c>
      <c r="I200">
        <v>0</v>
      </c>
      <c r="J200">
        <f t="shared" si="38"/>
        <v>-6.0793862777167561E-4</v>
      </c>
      <c r="K200">
        <f t="shared" si="27"/>
        <v>-2.2654114336968768E-2</v>
      </c>
      <c r="L200">
        <f t="shared" si="28"/>
        <v>69.922815023568504</v>
      </c>
      <c r="M200">
        <f t="shared" si="29"/>
        <v>1.5422828842912575</v>
      </c>
      <c r="N200">
        <f t="shared" si="30"/>
        <v>2.2056933545530288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26241.692867485563</v>
      </c>
      <c r="T200">
        <f t="shared" si="34"/>
        <v>300.00080000000003</v>
      </c>
      <c r="U200">
        <f t="shared" si="35"/>
        <v>252.90089100057764</v>
      </c>
      <c r="V200">
        <f t="shared" si="36"/>
        <v>0.84300072200000009</v>
      </c>
      <c r="W200">
        <f t="shared" si="37"/>
        <v>0.15870180500000003</v>
      </c>
      <c r="X200">
        <v>1</v>
      </c>
      <c r="Y200">
        <v>1769197931.9333301</v>
      </c>
      <c r="Z200">
        <v>409.66986666666702</v>
      </c>
      <c r="AA200">
        <v>409.999666666667</v>
      </c>
      <c r="AB200">
        <v>15.39142</v>
      </c>
      <c r="AC200">
        <v>14.530713333333299</v>
      </c>
      <c r="AD200">
        <v>410.47553333333298</v>
      </c>
      <c r="AE200">
        <v>15.297093333333301</v>
      </c>
      <c r="AF200">
        <v>800.00340000000006</v>
      </c>
      <c r="AG200">
        <v>100.139666666667</v>
      </c>
      <c r="AH200">
        <v>6.4400553333333305E-2</v>
      </c>
      <c r="AI200">
        <v>19.003726666666701</v>
      </c>
      <c r="AJ200">
        <v>999.9</v>
      </c>
      <c r="AK200">
        <v>999.9</v>
      </c>
      <c r="AL200">
        <v>0</v>
      </c>
      <c r="AM200">
        <v>0</v>
      </c>
      <c r="AN200">
        <v>4997.2333333333299</v>
      </c>
      <c r="AO200">
        <v>0</v>
      </c>
      <c r="AP200">
        <v>1.63733</v>
      </c>
      <c r="AQ200">
        <v>-0.32989506666666701</v>
      </c>
      <c r="AR200">
        <v>416.07380000000001</v>
      </c>
      <c r="AS200">
        <v>416.04506666666703</v>
      </c>
      <c r="AT200">
        <v>0.86072313333333295</v>
      </c>
      <c r="AU200">
        <v>409.999666666667</v>
      </c>
      <c r="AV200">
        <v>14.530713333333299</v>
      </c>
      <c r="AW200">
        <v>1.54129266666667</v>
      </c>
      <c r="AX200">
        <v>1.45509933333333</v>
      </c>
      <c r="AY200">
        <v>13.38406</v>
      </c>
      <c r="AZ200">
        <v>12.504339999999999</v>
      </c>
      <c r="BA200">
        <v>300.00080000000003</v>
      </c>
      <c r="BB200">
        <v>0.89997593333333303</v>
      </c>
      <c r="BC200">
        <v>0</v>
      </c>
      <c r="BD200">
        <v>0.10002406666666699</v>
      </c>
      <c r="BE200">
        <v>0</v>
      </c>
      <c r="BF200">
        <v>25</v>
      </c>
      <c r="BG200">
        <v>4946.6139999999996</v>
      </c>
      <c r="BH200">
        <v>1769197713</v>
      </c>
      <c r="BI200" t="s">
        <v>637</v>
      </c>
      <c r="BJ200">
        <v>1769197710</v>
      </c>
      <c r="BK200">
        <v>1769197713</v>
      </c>
      <c r="BL200">
        <v>6</v>
      </c>
      <c r="BM200">
        <v>-1E-3</v>
      </c>
      <c r="BN200">
        <v>6.0000000000000001E-3</v>
      </c>
      <c r="BO200">
        <v>-0.80600000000000005</v>
      </c>
      <c r="BP200">
        <v>9.4E-2</v>
      </c>
      <c r="BQ200">
        <v>410</v>
      </c>
      <c r="BR200">
        <v>15</v>
      </c>
      <c r="BS200">
        <v>0.27</v>
      </c>
      <c r="BT200">
        <v>0.09</v>
      </c>
      <c r="BU200">
        <v>-0.32849279999999997</v>
      </c>
      <c r="BV200">
        <v>2.1398887218044799E-2</v>
      </c>
      <c r="BW200">
        <v>2.13400540407001E-2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0.86127535</v>
      </c>
      <c r="CD200">
        <v>-1.1340947368420701E-2</v>
      </c>
      <c r="CE200">
        <v>1.7881056253756301E-3</v>
      </c>
      <c r="CF200">
        <v>1</v>
      </c>
      <c r="CG200">
        <v>2</v>
      </c>
      <c r="CH200">
        <v>2</v>
      </c>
      <c r="CI200" t="s">
        <v>304</v>
      </c>
      <c r="CJ200">
        <v>3.5325500000000001</v>
      </c>
      <c r="CK200">
        <v>2.7019299999999999</v>
      </c>
      <c r="CL200">
        <v>9.7902900000000001E-2</v>
      </c>
      <c r="CM200">
        <v>9.6604700000000002E-2</v>
      </c>
      <c r="CN200">
        <v>8.7073800000000007E-2</v>
      </c>
      <c r="CO200">
        <v>8.2567799999999997E-2</v>
      </c>
      <c r="CP200">
        <v>31628</v>
      </c>
      <c r="CQ200">
        <v>27818.9</v>
      </c>
      <c r="CR200">
        <v>32450.2</v>
      </c>
      <c r="CS200">
        <v>30721.1</v>
      </c>
      <c r="CT200">
        <v>40119.599999999999</v>
      </c>
      <c r="CU200">
        <v>39638.1</v>
      </c>
      <c r="CV200">
        <v>47397</v>
      </c>
      <c r="CW200">
        <v>46856.5</v>
      </c>
      <c r="CX200">
        <v>2.6214200000000001</v>
      </c>
      <c r="CY200">
        <v>2.1223999999999998</v>
      </c>
      <c r="CZ200">
        <v>0</v>
      </c>
      <c r="DA200">
        <v>0</v>
      </c>
      <c r="DB200">
        <v>999.9</v>
      </c>
      <c r="DC200">
        <v>999.9</v>
      </c>
      <c r="DD200">
        <v>49.213000000000001</v>
      </c>
      <c r="DE200">
        <v>28.228000000000002</v>
      </c>
      <c r="DF200">
        <v>18.898800000000001</v>
      </c>
      <c r="DG200">
        <v>30.329799999999999</v>
      </c>
      <c r="DH200">
        <v>16.418299999999999</v>
      </c>
      <c r="DI200">
        <v>2</v>
      </c>
      <c r="DJ200">
        <v>-0.11033900000000001</v>
      </c>
      <c r="DK200">
        <v>2.2379699999999998</v>
      </c>
      <c r="DL200">
        <v>20.2227</v>
      </c>
      <c r="DM200">
        <v>5.2478400000000001</v>
      </c>
      <c r="DN200">
        <v>12.033899999999999</v>
      </c>
      <c r="DO200">
        <v>4.96652</v>
      </c>
      <c r="DP200">
        <v>3.2906200000000001</v>
      </c>
      <c r="DQ200">
        <v>536.9</v>
      </c>
      <c r="DR200">
        <v>9999</v>
      </c>
      <c r="DS200">
        <v>9999</v>
      </c>
      <c r="DT200">
        <v>9999</v>
      </c>
      <c r="DU200">
        <v>1.8711500000000001</v>
      </c>
      <c r="DV200">
        <v>1.8761099999999999</v>
      </c>
      <c r="DW200">
        <v>1.87635</v>
      </c>
      <c r="DX200">
        <v>1.88279</v>
      </c>
      <c r="DY200">
        <v>1.87561</v>
      </c>
      <c r="DZ200">
        <v>1.8746799999999999</v>
      </c>
      <c r="EA200">
        <v>1.8708199999999999</v>
      </c>
      <c r="EB200">
        <v>1.8746400000000001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-0.80600000000000005</v>
      </c>
      <c r="EQ200">
        <v>9.4299999999999995E-2</v>
      </c>
      <c r="ER200">
        <v>-0.80572727272732403</v>
      </c>
      <c r="ES200">
        <v>0</v>
      </c>
      <c r="ET200">
        <v>0</v>
      </c>
      <c r="EU200">
        <v>0</v>
      </c>
      <c r="EV200">
        <v>9.43299999999994E-2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3.8</v>
      </c>
      <c r="FE200">
        <v>3.8</v>
      </c>
      <c r="FF200">
        <v>1.2439</v>
      </c>
      <c r="FG200">
        <v>2.5952099999999998</v>
      </c>
      <c r="FH200">
        <v>2.19604</v>
      </c>
      <c r="FI200">
        <v>2.66357</v>
      </c>
      <c r="FJ200">
        <v>2.4462899999999999</v>
      </c>
      <c r="FK200">
        <v>2.3095699999999999</v>
      </c>
      <c r="FL200">
        <v>32.509700000000002</v>
      </c>
      <c r="FM200">
        <v>24.148800000000001</v>
      </c>
      <c r="FN200">
        <v>19</v>
      </c>
      <c r="FO200">
        <v>865.36599999999999</v>
      </c>
      <c r="FP200">
        <v>571.41399999999999</v>
      </c>
      <c r="FQ200">
        <v>18.203199999999999</v>
      </c>
      <c r="FR200">
        <v>25.575800000000001</v>
      </c>
      <c r="FS200">
        <v>30.0002</v>
      </c>
      <c r="FT200">
        <v>25.585799999999999</v>
      </c>
      <c r="FU200">
        <v>25.590299999999999</v>
      </c>
      <c r="FV200">
        <v>24.959399999999999</v>
      </c>
      <c r="FW200">
        <v>25.854700000000001</v>
      </c>
      <c r="FX200">
        <v>0</v>
      </c>
      <c r="FY200">
        <v>18.1995</v>
      </c>
      <c r="FZ200">
        <v>410</v>
      </c>
      <c r="GA200">
        <v>14.5832</v>
      </c>
      <c r="GB200">
        <v>99.866900000000001</v>
      </c>
      <c r="GC200">
        <v>99.742599999999996</v>
      </c>
    </row>
    <row r="201" spans="1:185" x14ac:dyDescent="0.2">
      <c r="A201">
        <v>186</v>
      </c>
      <c r="B201">
        <v>1769198072</v>
      </c>
      <c r="C201">
        <v>3511</v>
      </c>
      <c r="D201" t="s">
        <v>670</v>
      </c>
      <c r="E201" t="s">
        <v>671</v>
      </c>
      <c r="F201">
        <v>15</v>
      </c>
      <c r="G201">
        <v>1769198064</v>
      </c>
      <c r="H201">
        <f t="shared" si="26"/>
        <v>-1.0106960964445593E-3</v>
      </c>
      <c r="I201">
        <v>0</v>
      </c>
      <c r="J201">
        <f t="shared" si="38"/>
        <v>-0.16729321809062869</v>
      </c>
      <c r="K201">
        <f t="shared" si="27"/>
        <v>-6.2339840195973286</v>
      </c>
      <c r="L201">
        <f t="shared" si="28"/>
        <v>67.435459208009192</v>
      </c>
      <c r="M201">
        <f t="shared" si="29"/>
        <v>1.4903803941998079</v>
      </c>
      <c r="N201">
        <f t="shared" si="30"/>
        <v>2.2100841481669606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26272.396553403276</v>
      </c>
      <c r="T201">
        <f t="shared" si="34"/>
        <v>500.00053333333301</v>
      </c>
      <c r="U201">
        <f t="shared" si="35"/>
        <v>421.5003584999024</v>
      </c>
      <c r="V201">
        <f t="shared" si="36"/>
        <v>0.84299981779999966</v>
      </c>
      <c r="W201">
        <f t="shared" si="37"/>
        <v>0.15869966142799996</v>
      </c>
      <c r="X201">
        <v>1</v>
      </c>
      <c r="Y201">
        <v>1769198064</v>
      </c>
      <c r="Z201">
        <v>418.14980000000003</v>
      </c>
      <c r="AA201">
        <v>409.82926666666702</v>
      </c>
      <c r="AB201">
        <v>14.8728</v>
      </c>
      <c r="AC201">
        <v>16.117346666666698</v>
      </c>
      <c r="AD201">
        <v>418.9554</v>
      </c>
      <c r="AE201">
        <v>14.77848</v>
      </c>
      <c r="AF201">
        <v>800.02160000000003</v>
      </c>
      <c r="AG201">
        <v>100.1442</v>
      </c>
      <c r="AH201">
        <v>6.4260693333333299E-2</v>
      </c>
      <c r="AI201">
        <v>19.035599999999999</v>
      </c>
      <c r="AJ201">
        <v>999.9</v>
      </c>
      <c r="AK201">
        <v>999.9</v>
      </c>
      <c r="AL201">
        <v>0</v>
      </c>
      <c r="AM201">
        <v>0</v>
      </c>
      <c r="AN201">
        <v>5002.5666666666702</v>
      </c>
      <c r="AO201">
        <v>0</v>
      </c>
      <c r="AP201">
        <v>1.582454</v>
      </c>
      <c r="AQ201">
        <v>8.3204166666666701</v>
      </c>
      <c r="AR201">
        <v>424.46146666666698</v>
      </c>
      <c r="AS201">
        <v>416.542933333333</v>
      </c>
      <c r="AT201">
        <v>-1.2445402000000001</v>
      </c>
      <c r="AU201">
        <v>409.82926666666702</v>
      </c>
      <c r="AV201">
        <v>16.117346666666698</v>
      </c>
      <c r="AW201">
        <v>1.4894286666666701</v>
      </c>
      <c r="AX201">
        <v>1.61406266666667</v>
      </c>
      <c r="AY201">
        <v>12.853253333333299</v>
      </c>
      <c r="AZ201">
        <v>14.092233333333301</v>
      </c>
      <c r="BA201">
        <v>500.00053333333301</v>
      </c>
      <c r="BB201">
        <v>0.90000433333333296</v>
      </c>
      <c r="BC201">
        <v>0</v>
      </c>
      <c r="BD201">
        <v>9.9995606666666695E-2</v>
      </c>
      <c r="BE201">
        <v>0</v>
      </c>
      <c r="BF201">
        <v>25</v>
      </c>
      <c r="BG201">
        <v>8244.4079999999994</v>
      </c>
      <c r="BH201">
        <v>1769197713</v>
      </c>
      <c r="BI201" t="s">
        <v>637</v>
      </c>
      <c r="BJ201">
        <v>1769197710</v>
      </c>
      <c r="BK201">
        <v>1769197713</v>
      </c>
      <c r="BL201">
        <v>6</v>
      </c>
      <c r="BM201">
        <v>-1E-3</v>
      </c>
      <c r="BN201">
        <v>6.0000000000000001E-3</v>
      </c>
      <c r="BO201">
        <v>-0.80600000000000005</v>
      </c>
      <c r="BP201">
        <v>9.4E-2</v>
      </c>
      <c r="BQ201">
        <v>410</v>
      </c>
      <c r="BR201">
        <v>15</v>
      </c>
      <c r="BS201">
        <v>0.27</v>
      </c>
      <c r="BT201">
        <v>0.09</v>
      </c>
      <c r="BU201">
        <v>10.6293475</v>
      </c>
      <c r="BV201">
        <v>-49.651408872180397</v>
      </c>
      <c r="BW201">
        <v>4.8525137682132096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-1.48732515</v>
      </c>
      <c r="CD201">
        <v>4.98933821052632</v>
      </c>
      <c r="CE201">
        <v>0.50317886668492695</v>
      </c>
      <c r="CF201">
        <v>0</v>
      </c>
      <c r="CG201">
        <v>0</v>
      </c>
      <c r="CH201">
        <v>2</v>
      </c>
      <c r="CI201" t="s">
        <v>290</v>
      </c>
      <c r="CJ201">
        <v>3.5325500000000001</v>
      </c>
      <c r="CK201">
        <v>2.7021500000000001</v>
      </c>
      <c r="CL201">
        <v>9.8676899999999998E-2</v>
      </c>
      <c r="CM201">
        <v>9.6629199999999998E-2</v>
      </c>
      <c r="CN201">
        <v>8.8010400000000003E-2</v>
      </c>
      <c r="CO201">
        <v>8.97699E-2</v>
      </c>
      <c r="CP201">
        <v>31599.5</v>
      </c>
      <c r="CQ201">
        <v>27818.3</v>
      </c>
      <c r="CR201">
        <v>32448.9</v>
      </c>
      <c r="CS201">
        <v>30721.200000000001</v>
      </c>
      <c r="CT201">
        <v>40075.5</v>
      </c>
      <c r="CU201">
        <v>39317.599999999999</v>
      </c>
      <c r="CV201">
        <v>47394.9</v>
      </c>
      <c r="CW201">
        <v>46856.5</v>
      </c>
      <c r="CX201">
        <v>2.6197599999999999</v>
      </c>
      <c r="CY201">
        <v>2.1252</v>
      </c>
      <c r="CZ201">
        <v>0</v>
      </c>
      <c r="DA201">
        <v>0</v>
      </c>
      <c r="DB201">
        <v>999.9</v>
      </c>
      <c r="DC201">
        <v>999.9</v>
      </c>
      <c r="DD201">
        <v>49.249000000000002</v>
      </c>
      <c r="DE201">
        <v>28.248000000000001</v>
      </c>
      <c r="DF201">
        <v>18.9331</v>
      </c>
      <c r="DG201">
        <v>29.939800000000002</v>
      </c>
      <c r="DH201">
        <v>16.4543</v>
      </c>
      <c r="DI201">
        <v>2</v>
      </c>
      <c r="DJ201">
        <v>-0.105654</v>
      </c>
      <c r="DK201">
        <v>3.0657299999999998</v>
      </c>
      <c r="DL201">
        <v>20.1921</v>
      </c>
      <c r="DM201">
        <v>5.2474800000000004</v>
      </c>
      <c r="DN201">
        <v>12.033899999999999</v>
      </c>
      <c r="DO201">
        <v>4.9661999999999997</v>
      </c>
      <c r="DP201">
        <v>3.2907600000000001</v>
      </c>
      <c r="DQ201">
        <v>537</v>
      </c>
      <c r="DR201">
        <v>9999</v>
      </c>
      <c r="DS201">
        <v>9999</v>
      </c>
      <c r="DT201">
        <v>9999</v>
      </c>
      <c r="DU201">
        <v>1.8711599999999999</v>
      </c>
      <c r="DV201">
        <v>1.8761399999999999</v>
      </c>
      <c r="DW201">
        <v>1.87636</v>
      </c>
      <c r="DX201">
        <v>1.8828</v>
      </c>
      <c r="DY201">
        <v>1.87561</v>
      </c>
      <c r="DZ201">
        <v>1.87469</v>
      </c>
      <c r="EA201">
        <v>1.87086</v>
      </c>
      <c r="EB201">
        <v>1.87466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-0.80600000000000005</v>
      </c>
      <c r="EQ201">
        <v>9.4399999999999998E-2</v>
      </c>
      <c r="ER201">
        <v>-0.80572727272732403</v>
      </c>
      <c r="ES201">
        <v>0</v>
      </c>
      <c r="ET201">
        <v>0</v>
      </c>
      <c r="EU201">
        <v>0</v>
      </c>
      <c r="EV201">
        <v>9.43299999999994E-2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6</v>
      </c>
      <c r="FE201">
        <v>6</v>
      </c>
      <c r="FF201">
        <v>1.24512</v>
      </c>
      <c r="FG201">
        <v>2.5964399999999999</v>
      </c>
      <c r="FH201">
        <v>2.19604</v>
      </c>
      <c r="FI201">
        <v>2.66113</v>
      </c>
      <c r="FJ201">
        <v>2.4462899999999999</v>
      </c>
      <c r="FK201">
        <v>2.2766099999999998</v>
      </c>
      <c r="FL201">
        <v>32.553899999999999</v>
      </c>
      <c r="FM201">
        <v>24.1313</v>
      </c>
      <c r="FN201">
        <v>19</v>
      </c>
      <c r="FO201">
        <v>864.03</v>
      </c>
      <c r="FP201">
        <v>573.65099999999995</v>
      </c>
      <c r="FQ201">
        <v>17.446200000000001</v>
      </c>
      <c r="FR201">
        <v>25.595600000000001</v>
      </c>
      <c r="FS201">
        <v>29.9998</v>
      </c>
      <c r="FT201">
        <v>25.598700000000001</v>
      </c>
      <c r="FU201">
        <v>25.599399999999999</v>
      </c>
      <c r="FV201">
        <v>24.996400000000001</v>
      </c>
      <c r="FW201">
        <v>17.5137</v>
      </c>
      <c r="FX201">
        <v>1.3929100000000001</v>
      </c>
      <c r="FY201">
        <v>17.465499999999999</v>
      </c>
      <c r="FZ201">
        <v>410</v>
      </c>
      <c r="GA201">
        <v>15.933</v>
      </c>
      <c r="GB201">
        <v>99.8626</v>
      </c>
      <c r="GC201">
        <v>99.742699999999999</v>
      </c>
    </row>
    <row r="202" spans="1:185" x14ac:dyDescent="0.2">
      <c r="A202">
        <v>187</v>
      </c>
      <c r="B202">
        <v>1769198087</v>
      </c>
      <c r="C202">
        <v>3526</v>
      </c>
      <c r="D202" t="s">
        <v>672</v>
      </c>
      <c r="E202" t="s">
        <v>673</v>
      </c>
      <c r="F202">
        <v>15</v>
      </c>
      <c r="G202">
        <v>1769198078.9333301</v>
      </c>
      <c r="H202">
        <f t="shared" si="26"/>
        <v>-1.0531219512224887E-4</v>
      </c>
      <c r="I202">
        <v>0</v>
      </c>
      <c r="J202">
        <f t="shared" si="38"/>
        <v>-4.7562388573532399E-2</v>
      </c>
      <c r="K202">
        <f t="shared" si="27"/>
        <v>-1.7723561880473435</v>
      </c>
      <c r="L202">
        <f t="shared" si="28"/>
        <v>72.380783699156723</v>
      </c>
      <c r="M202">
        <f t="shared" si="29"/>
        <v>1.5914575545576946</v>
      </c>
      <c r="N202">
        <f t="shared" si="30"/>
        <v>2.198729377084979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26186.261807769595</v>
      </c>
      <c r="T202">
        <f t="shared" si="34"/>
        <v>499.99680000000001</v>
      </c>
      <c r="U202">
        <f t="shared" si="35"/>
        <v>421.49716320089072</v>
      </c>
      <c r="V202">
        <f t="shared" si="36"/>
        <v>0.8429997215999997</v>
      </c>
      <c r="W202">
        <f t="shared" si="37"/>
        <v>0.15869940793599993</v>
      </c>
      <c r="X202">
        <v>1</v>
      </c>
      <c r="Y202">
        <v>1769198078.9333301</v>
      </c>
      <c r="Z202">
        <v>412.40526666666699</v>
      </c>
      <c r="AA202">
        <v>410.13546666666701</v>
      </c>
      <c r="AB202">
        <v>15.881593333333299</v>
      </c>
      <c r="AC202">
        <v>16.011146666666701</v>
      </c>
      <c r="AD202">
        <v>413.21086666666702</v>
      </c>
      <c r="AE202">
        <v>15.787266666666699</v>
      </c>
      <c r="AF202">
        <v>799.97686666666698</v>
      </c>
      <c r="AG202">
        <v>100.143333333333</v>
      </c>
      <c r="AH202">
        <v>6.4342380000000005E-2</v>
      </c>
      <c r="AI202">
        <v>18.953060000000001</v>
      </c>
      <c r="AJ202">
        <v>999.9</v>
      </c>
      <c r="AK202">
        <v>999.9</v>
      </c>
      <c r="AL202">
        <v>0</v>
      </c>
      <c r="AM202">
        <v>0</v>
      </c>
      <c r="AN202">
        <v>4987.2</v>
      </c>
      <c r="AO202">
        <v>0</v>
      </c>
      <c r="AP202">
        <v>1.6240826666666699</v>
      </c>
      <c r="AQ202">
        <v>2.2697486666666702</v>
      </c>
      <c r="AR202">
        <v>419.06026666666702</v>
      </c>
      <c r="AS202">
        <v>416.80900000000003</v>
      </c>
      <c r="AT202">
        <v>-0.129549526666667</v>
      </c>
      <c r="AU202">
        <v>410.13546666666701</v>
      </c>
      <c r="AV202">
        <v>16.011146666666701</v>
      </c>
      <c r="AW202">
        <v>1.590436</v>
      </c>
      <c r="AX202">
        <v>1.60341133333333</v>
      </c>
      <c r="AY202">
        <v>13.8658533333333</v>
      </c>
      <c r="AZ202">
        <v>13.990693333333301</v>
      </c>
      <c r="BA202">
        <v>499.99680000000001</v>
      </c>
      <c r="BB202">
        <v>0.90000773333333295</v>
      </c>
      <c r="BC202">
        <v>0</v>
      </c>
      <c r="BD202">
        <v>9.9992213333333302E-2</v>
      </c>
      <c r="BE202">
        <v>0</v>
      </c>
      <c r="BF202">
        <v>25</v>
      </c>
      <c r="BG202">
        <v>8244.3566666666702</v>
      </c>
      <c r="BH202">
        <v>1769197713</v>
      </c>
      <c r="BI202" t="s">
        <v>637</v>
      </c>
      <c r="BJ202">
        <v>1769197710</v>
      </c>
      <c r="BK202">
        <v>1769197713</v>
      </c>
      <c r="BL202">
        <v>6</v>
      </c>
      <c r="BM202">
        <v>-1E-3</v>
      </c>
      <c r="BN202">
        <v>6.0000000000000001E-3</v>
      </c>
      <c r="BO202">
        <v>-0.80600000000000005</v>
      </c>
      <c r="BP202">
        <v>9.4E-2</v>
      </c>
      <c r="BQ202">
        <v>410</v>
      </c>
      <c r="BR202">
        <v>15</v>
      </c>
      <c r="BS202">
        <v>0.27</v>
      </c>
      <c r="BT202">
        <v>0.09</v>
      </c>
      <c r="BU202">
        <v>3.1380442857142898</v>
      </c>
      <c r="BV202">
        <v>-15.8548683116883</v>
      </c>
      <c r="BW202">
        <v>1.64310100099251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-0.36114823333333301</v>
      </c>
      <c r="CD202">
        <v>4.6429259142857102</v>
      </c>
      <c r="CE202">
        <v>0.4691310148142</v>
      </c>
      <c r="CF202">
        <v>0</v>
      </c>
      <c r="CG202">
        <v>0</v>
      </c>
      <c r="CH202">
        <v>2</v>
      </c>
      <c r="CI202" t="s">
        <v>290</v>
      </c>
      <c r="CJ202">
        <v>3.5325299999999999</v>
      </c>
      <c r="CK202">
        <v>2.7019500000000001</v>
      </c>
      <c r="CL202">
        <v>9.8184900000000006E-2</v>
      </c>
      <c r="CM202">
        <v>9.66505E-2</v>
      </c>
      <c r="CN202">
        <v>8.9937799999999998E-2</v>
      </c>
      <c r="CO202">
        <v>8.7219699999999997E-2</v>
      </c>
      <c r="CP202">
        <v>31618</v>
      </c>
      <c r="CQ202">
        <v>27818.1</v>
      </c>
      <c r="CR202">
        <v>32450.1</v>
      </c>
      <c r="CS202">
        <v>30721.8</v>
      </c>
      <c r="CT202">
        <v>39989.599999999999</v>
      </c>
      <c r="CU202">
        <v>39432.1</v>
      </c>
      <c r="CV202">
        <v>47396.800000000003</v>
      </c>
      <c r="CW202">
        <v>46857.5</v>
      </c>
      <c r="CX202">
        <v>2.6205400000000001</v>
      </c>
      <c r="CY202">
        <v>2.1239599999999998</v>
      </c>
      <c r="CZ202">
        <v>0</v>
      </c>
      <c r="DA202">
        <v>0</v>
      </c>
      <c r="DB202">
        <v>999.9</v>
      </c>
      <c r="DC202">
        <v>999.9</v>
      </c>
      <c r="DD202">
        <v>49.249000000000002</v>
      </c>
      <c r="DE202">
        <v>28.248000000000001</v>
      </c>
      <c r="DF202">
        <v>18.932600000000001</v>
      </c>
      <c r="DG202">
        <v>30.209800000000001</v>
      </c>
      <c r="DH202">
        <v>16.3902</v>
      </c>
      <c r="DI202">
        <v>2</v>
      </c>
      <c r="DJ202">
        <v>-0.109226</v>
      </c>
      <c r="DK202">
        <v>2.2919299999999998</v>
      </c>
      <c r="DL202">
        <v>20.207599999999999</v>
      </c>
      <c r="DM202">
        <v>5.2462799999999996</v>
      </c>
      <c r="DN202">
        <v>12.033899999999999</v>
      </c>
      <c r="DO202">
        <v>4.96584</v>
      </c>
      <c r="DP202">
        <v>3.29068</v>
      </c>
      <c r="DQ202">
        <v>537</v>
      </c>
      <c r="DR202">
        <v>9999</v>
      </c>
      <c r="DS202">
        <v>9999</v>
      </c>
      <c r="DT202">
        <v>9999</v>
      </c>
      <c r="DU202">
        <v>1.8711599999999999</v>
      </c>
      <c r="DV202">
        <v>1.87618</v>
      </c>
      <c r="DW202">
        <v>1.8763700000000001</v>
      </c>
      <c r="DX202">
        <v>1.88279</v>
      </c>
      <c r="DY202">
        <v>1.87561</v>
      </c>
      <c r="DZ202">
        <v>1.87469</v>
      </c>
      <c r="EA202">
        <v>1.8708800000000001</v>
      </c>
      <c r="EB202">
        <v>1.8746799999999999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-0.80600000000000005</v>
      </c>
      <c r="EQ202">
        <v>9.4399999999999998E-2</v>
      </c>
      <c r="ER202">
        <v>-0.80572727272732403</v>
      </c>
      <c r="ES202">
        <v>0</v>
      </c>
      <c r="ET202">
        <v>0</v>
      </c>
      <c r="EU202">
        <v>0</v>
      </c>
      <c r="EV202">
        <v>9.43299999999994E-2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6.3</v>
      </c>
      <c r="FE202">
        <v>6.2</v>
      </c>
      <c r="FF202">
        <v>1.2439</v>
      </c>
      <c r="FG202">
        <v>2.5964399999999999</v>
      </c>
      <c r="FH202">
        <v>2.19604</v>
      </c>
      <c r="FI202">
        <v>2.66113</v>
      </c>
      <c r="FJ202">
        <v>2.4462899999999999</v>
      </c>
      <c r="FK202">
        <v>2.33643</v>
      </c>
      <c r="FL202">
        <v>32.553899999999999</v>
      </c>
      <c r="FM202">
        <v>24.148800000000001</v>
      </c>
      <c r="FN202">
        <v>19</v>
      </c>
      <c r="FO202">
        <v>864.755</v>
      </c>
      <c r="FP202">
        <v>572.70399999999995</v>
      </c>
      <c r="FQ202">
        <v>17.757400000000001</v>
      </c>
      <c r="FR202">
        <v>25.597799999999999</v>
      </c>
      <c r="FS202">
        <v>29.9998</v>
      </c>
      <c r="FT202">
        <v>25.598800000000001</v>
      </c>
      <c r="FU202">
        <v>25.599399999999999</v>
      </c>
      <c r="FV202">
        <v>24.976199999999999</v>
      </c>
      <c r="FW202">
        <v>21.494599999999998</v>
      </c>
      <c r="FX202">
        <v>1.3929100000000001</v>
      </c>
      <c r="FY202">
        <v>17.767199999999999</v>
      </c>
      <c r="FZ202">
        <v>410</v>
      </c>
      <c r="GA202">
        <v>15.255800000000001</v>
      </c>
      <c r="GB202">
        <v>99.866399999999999</v>
      </c>
      <c r="GC202">
        <v>99.744699999999995</v>
      </c>
    </row>
    <row r="203" spans="1:185" x14ac:dyDescent="0.2">
      <c r="A203">
        <v>188</v>
      </c>
      <c r="B203">
        <v>1769198102</v>
      </c>
      <c r="C203">
        <v>3541</v>
      </c>
      <c r="D203" t="s">
        <v>674</v>
      </c>
      <c r="E203" t="s">
        <v>675</v>
      </c>
      <c r="F203">
        <v>15</v>
      </c>
      <c r="G203">
        <v>1769198093.9333301</v>
      </c>
      <c r="H203">
        <f t="shared" si="26"/>
        <v>5.6195590546952612E-4</v>
      </c>
      <c r="I203">
        <v>0</v>
      </c>
      <c r="J203">
        <f t="shared" si="38"/>
        <v>-1.8300451570243546E-2</v>
      </c>
      <c r="K203">
        <f t="shared" si="27"/>
        <v>-0.68194469532237312</v>
      </c>
      <c r="L203">
        <f t="shared" si="28"/>
        <v>73.313388804040613</v>
      </c>
      <c r="M203">
        <f t="shared" si="29"/>
        <v>1.6087116065194202</v>
      </c>
      <c r="N203">
        <f t="shared" si="30"/>
        <v>2.1942944293836235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26318.571459954212</v>
      </c>
      <c r="T203">
        <f t="shared" si="34"/>
        <v>499.999866666667</v>
      </c>
      <c r="U203">
        <f t="shared" si="35"/>
        <v>421.49966400005991</v>
      </c>
      <c r="V203">
        <f t="shared" si="36"/>
        <v>0.84299955279999994</v>
      </c>
      <c r="W203">
        <f t="shared" si="37"/>
        <v>0.15869867412800001</v>
      </c>
      <c r="X203">
        <v>1</v>
      </c>
      <c r="Y203">
        <v>1769198093.9333301</v>
      </c>
      <c r="Z203">
        <v>410.70313333333303</v>
      </c>
      <c r="AA203">
        <v>410.13920000000002</v>
      </c>
      <c r="AB203">
        <v>16.053526666666698</v>
      </c>
      <c r="AC203">
        <v>15.362360000000001</v>
      </c>
      <c r="AD203">
        <v>411.50900000000001</v>
      </c>
      <c r="AE203">
        <v>15.9591733333333</v>
      </c>
      <c r="AF203">
        <v>800.00173333333305</v>
      </c>
      <c r="AG203">
        <v>100.145</v>
      </c>
      <c r="AH203">
        <v>6.4233766666666706E-2</v>
      </c>
      <c r="AI203">
        <v>18.920719999999999</v>
      </c>
      <c r="AJ203">
        <v>999.9</v>
      </c>
      <c r="AK203">
        <v>999.9</v>
      </c>
      <c r="AL203">
        <v>0</v>
      </c>
      <c r="AM203">
        <v>0</v>
      </c>
      <c r="AN203">
        <v>5008.4333333333298</v>
      </c>
      <c r="AO203">
        <v>0</v>
      </c>
      <c r="AP203">
        <v>1.63733</v>
      </c>
      <c r="AQ203">
        <v>0.56394840000000002</v>
      </c>
      <c r="AR203">
        <v>417.404</v>
      </c>
      <c r="AS203">
        <v>416.53833333333301</v>
      </c>
      <c r="AT203">
        <v>0.69115306666666698</v>
      </c>
      <c r="AU203">
        <v>410.13920000000002</v>
      </c>
      <c r="AV203">
        <v>15.362360000000001</v>
      </c>
      <c r="AW203">
        <v>1.6076793333333299</v>
      </c>
      <c r="AX203">
        <v>1.5384646666666699</v>
      </c>
      <c r="AY203">
        <v>14.032579999999999</v>
      </c>
      <c r="AZ203">
        <v>13.3550133333333</v>
      </c>
      <c r="BA203">
        <v>499.999866666667</v>
      </c>
      <c r="BB203">
        <v>0.90001799999999998</v>
      </c>
      <c r="BC203">
        <v>0</v>
      </c>
      <c r="BD203">
        <v>9.9982106666666695E-2</v>
      </c>
      <c r="BE203">
        <v>0</v>
      </c>
      <c r="BF203">
        <v>25</v>
      </c>
      <c r="BG203">
        <v>8244.4313333333303</v>
      </c>
      <c r="BH203">
        <v>1769197713</v>
      </c>
      <c r="BI203" t="s">
        <v>637</v>
      </c>
      <c r="BJ203">
        <v>1769197710</v>
      </c>
      <c r="BK203">
        <v>1769197713</v>
      </c>
      <c r="BL203">
        <v>6</v>
      </c>
      <c r="BM203">
        <v>-1E-3</v>
      </c>
      <c r="BN203">
        <v>6.0000000000000001E-3</v>
      </c>
      <c r="BO203">
        <v>-0.80600000000000005</v>
      </c>
      <c r="BP203">
        <v>9.4E-2</v>
      </c>
      <c r="BQ203">
        <v>410</v>
      </c>
      <c r="BR203">
        <v>15</v>
      </c>
      <c r="BS203">
        <v>0.27</v>
      </c>
      <c r="BT203">
        <v>0.09</v>
      </c>
      <c r="BU203">
        <v>0.75336130000000001</v>
      </c>
      <c r="BV203">
        <v>-4.1302434586466203</v>
      </c>
      <c r="BW203">
        <v>0.40641375164579502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0.58035864999999998</v>
      </c>
      <c r="CD203">
        <v>2.4903322556391001</v>
      </c>
      <c r="CE203">
        <v>0.24256048294523899</v>
      </c>
      <c r="CF203">
        <v>0</v>
      </c>
      <c r="CG203">
        <v>0</v>
      </c>
      <c r="CH203">
        <v>2</v>
      </c>
      <c r="CI203" t="s">
        <v>290</v>
      </c>
      <c r="CJ203">
        <v>3.5324900000000001</v>
      </c>
      <c r="CK203">
        <v>2.7021899999999999</v>
      </c>
      <c r="CL203">
        <v>9.8017000000000007E-2</v>
      </c>
      <c r="CM203">
        <v>9.6626000000000004E-2</v>
      </c>
      <c r="CN203">
        <v>8.9708300000000005E-2</v>
      </c>
      <c r="CO203">
        <v>8.4875999999999993E-2</v>
      </c>
      <c r="CP203">
        <v>31623.200000000001</v>
      </c>
      <c r="CQ203">
        <v>27818.799999999999</v>
      </c>
      <c r="CR203">
        <v>32449.4</v>
      </c>
      <c r="CS203">
        <v>30721.8</v>
      </c>
      <c r="CT203">
        <v>39999.300000000003</v>
      </c>
      <c r="CU203">
        <v>39536.5</v>
      </c>
      <c r="CV203">
        <v>47395.8</v>
      </c>
      <c r="CW203">
        <v>46857.7</v>
      </c>
      <c r="CX203">
        <v>2.6208999999999998</v>
      </c>
      <c r="CY203">
        <v>2.12304</v>
      </c>
      <c r="CZ203">
        <v>0</v>
      </c>
      <c r="DA203">
        <v>0</v>
      </c>
      <c r="DB203">
        <v>999.9</v>
      </c>
      <c r="DC203">
        <v>999.9</v>
      </c>
      <c r="DD203">
        <v>49.225000000000001</v>
      </c>
      <c r="DE203">
        <v>28.248000000000001</v>
      </c>
      <c r="DF203">
        <v>18.922799999999999</v>
      </c>
      <c r="DG203">
        <v>30.149799999999999</v>
      </c>
      <c r="DH203">
        <v>16.502400000000002</v>
      </c>
      <c r="DI203">
        <v>2</v>
      </c>
      <c r="DJ203">
        <v>-0.108843</v>
      </c>
      <c r="DK203">
        <v>2.1863000000000001</v>
      </c>
      <c r="DL203">
        <v>20.209399999999999</v>
      </c>
      <c r="DM203">
        <v>5.2478400000000001</v>
      </c>
      <c r="DN203">
        <v>12.033899999999999</v>
      </c>
      <c r="DO203">
        <v>4.9660799999999998</v>
      </c>
      <c r="DP203">
        <v>3.2909999999999999</v>
      </c>
      <c r="DQ203">
        <v>537</v>
      </c>
      <c r="DR203">
        <v>9999</v>
      </c>
      <c r="DS203">
        <v>9999</v>
      </c>
      <c r="DT203">
        <v>9999</v>
      </c>
      <c r="DU203">
        <v>1.87114</v>
      </c>
      <c r="DV203">
        <v>1.8761699999999999</v>
      </c>
      <c r="DW203">
        <v>1.87635</v>
      </c>
      <c r="DX203">
        <v>1.88279</v>
      </c>
      <c r="DY203">
        <v>1.87561</v>
      </c>
      <c r="DZ203">
        <v>1.87469</v>
      </c>
      <c r="EA203">
        <v>1.87086</v>
      </c>
      <c r="EB203">
        <v>1.87463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-0.80500000000000005</v>
      </c>
      <c r="EQ203">
        <v>9.4299999999999995E-2</v>
      </c>
      <c r="ER203">
        <v>-0.80572727272732403</v>
      </c>
      <c r="ES203">
        <v>0</v>
      </c>
      <c r="ET203">
        <v>0</v>
      </c>
      <c r="EU203">
        <v>0</v>
      </c>
      <c r="EV203">
        <v>9.43299999999994E-2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6.5</v>
      </c>
      <c r="FE203">
        <v>6.5</v>
      </c>
      <c r="FF203">
        <v>1.2439</v>
      </c>
      <c r="FG203">
        <v>2.5964399999999999</v>
      </c>
      <c r="FH203">
        <v>2.19604</v>
      </c>
      <c r="FI203">
        <v>2.66113</v>
      </c>
      <c r="FJ203">
        <v>2.4462899999999999</v>
      </c>
      <c r="FK203">
        <v>2.2924799999999999</v>
      </c>
      <c r="FL203">
        <v>32.531799999999997</v>
      </c>
      <c r="FM203">
        <v>24.14</v>
      </c>
      <c r="FN203">
        <v>19</v>
      </c>
      <c r="FO203">
        <v>865.12400000000002</v>
      </c>
      <c r="FP203">
        <v>572.02599999999995</v>
      </c>
      <c r="FQ203">
        <v>17.904800000000002</v>
      </c>
      <c r="FR203">
        <v>25.6021</v>
      </c>
      <c r="FS203">
        <v>30.0002</v>
      </c>
      <c r="FT203">
        <v>25.600899999999999</v>
      </c>
      <c r="FU203">
        <v>25.601500000000001</v>
      </c>
      <c r="FV203">
        <v>24.962700000000002</v>
      </c>
      <c r="FW203">
        <v>24.1982</v>
      </c>
      <c r="FX203">
        <v>1.3929100000000001</v>
      </c>
      <c r="FY203">
        <v>17.927199999999999</v>
      </c>
      <c r="FZ203">
        <v>410</v>
      </c>
      <c r="GA203">
        <v>14.8278</v>
      </c>
      <c r="GB203">
        <v>99.864400000000003</v>
      </c>
      <c r="GC203">
        <v>99.745000000000005</v>
      </c>
    </row>
    <row r="204" spans="1:185" x14ac:dyDescent="0.2">
      <c r="A204">
        <v>189</v>
      </c>
      <c r="B204">
        <v>1769198117</v>
      </c>
      <c r="C204">
        <v>3556</v>
      </c>
      <c r="D204" t="s">
        <v>676</v>
      </c>
      <c r="E204" t="s">
        <v>677</v>
      </c>
      <c r="F204">
        <v>15</v>
      </c>
      <c r="G204">
        <v>1769198108.9333301</v>
      </c>
      <c r="H204">
        <f t="shared" si="26"/>
        <v>8.3465367759882122E-4</v>
      </c>
      <c r="I204">
        <v>0</v>
      </c>
      <c r="J204">
        <f t="shared" si="38"/>
        <v>-9.6955960308846376E-3</v>
      </c>
      <c r="K204">
        <f t="shared" si="27"/>
        <v>-0.36129492520289996</v>
      </c>
      <c r="L204">
        <f t="shared" si="28"/>
        <v>72.776628006002781</v>
      </c>
      <c r="M204">
        <f t="shared" si="29"/>
        <v>1.596224998222566</v>
      </c>
      <c r="N204">
        <f t="shared" si="30"/>
        <v>2.1933209080405676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26260.100491366462</v>
      </c>
      <c r="T204">
        <f t="shared" si="34"/>
        <v>499.99959999999999</v>
      </c>
      <c r="U204">
        <f t="shared" si="35"/>
        <v>421.49940040021005</v>
      </c>
      <c r="V204">
        <f t="shared" si="36"/>
        <v>0.84299947520000029</v>
      </c>
      <c r="W204">
        <f t="shared" si="37"/>
        <v>0.15869863603200005</v>
      </c>
      <c r="X204">
        <v>1</v>
      </c>
      <c r="Y204">
        <v>1769198108.9333301</v>
      </c>
      <c r="Z204">
        <v>410.0564</v>
      </c>
      <c r="AA204">
        <v>410.0326</v>
      </c>
      <c r="AB204">
        <v>15.9289066666667</v>
      </c>
      <c r="AC204">
        <v>14.902200000000001</v>
      </c>
      <c r="AD204">
        <v>410.86193333333301</v>
      </c>
      <c r="AE204">
        <v>15.8345866666667</v>
      </c>
      <c r="AF204">
        <v>799.99339999999995</v>
      </c>
      <c r="AG204">
        <v>100.145</v>
      </c>
      <c r="AH204">
        <v>6.4325826666666697E-2</v>
      </c>
      <c r="AI204">
        <v>18.913613333333299</v>
      </c>
      <c r="AJ204">
        <v>999.9</v>
      </c>
      <c r="AK204">
        <v>999.9</v>
      </c>
      <c r="AL204">
        <v>0</v>
      </c>
      <c r="AM204">
        <v>0</v>
      </c>
      <c r="AN204">
        <v>4998.7</v>
      </c>
      <c r="AO204">
        <v>0</v>
      </c>
      <c r="AP204">
        <v>1.63733</v>
      </c>
      <c r="AQ204">
        <v>2.3630760000000001E-2</v>
      </c>
      <c r="AR204">
        <v>416.69366666666701</v>
      </c>
      <c r="AS204">
        <v>416.23546666666698</v>
      </c>
      <c r="AT204">
        <v>1.0266902</v>
      </c>
      <c r="AU204">
        <v>410.0326</v>
      </c>
      <c r="AV204">
        <v>14.902200000000001</v>
      </c>
      <c r="AW204">
        <v>1.5952013333333299</v>
      </c>
      <c r="AX204">
        <v>1.4923853333333299</v>
      </c>
      <c r="AY204">
        <v>13.912459999999999</v>
      </c>
      <c r="AZ204">
        <v>12.890033333333299</v>
      </c>
      <c r="BA204">
        <v>499.99959999999999</v>
      </c>
      <c r="BB204">
        <v>0.90001826666666696</v>
      </c>
      <c r="BC204">
        <v>0</v>
      </c>
      <c r="BD204">
        <v>9.9981760000000003E-2</v>
      </c>
      <c r="BE204">
        <v>0</v>
      </c>
      <c r="BF204">
        <v>25</v>
      </c>
      <c r="BG204">
        <v>8244.4259999999995</v>
      </c>
      <c r="BH204">
        <v>1769197713</v>
      </c>
      <c r="BI204" t="s">
        <v>637</v>
      </c>
      <c r="BJ204">
        <v>1769197710</v>
      </c>
      <c r="BK204">
        <v>1769197713</v>
      </c>
      <c r="BL204">
        <v>6</v>
      </c>
      <c r="BM204">
        <v>-1E-3</v>
      </c>
      <c r="BN204">
        <v>6.0000000000000001E-3</v>
      </c>
      <c r="BO204">
        <v>-0.80600000000000005</v>
      </c>
      <c r="BP204">
        <v>9.4E-2</v>
      </c>
      <c r="BQ204">
        <v>410</v>
      </c>
      <c r="BR204">
        <v>15</v>
      </c>
      <c r="BS204">
        <v>0.27</v>
      </c>
      <c r="BT204">
        <v>0.09</v>
      </c>
      <c r="BU204">
        <v>0.108551019047619</v>
      </c>
      <c r="BV204">
        <v>-1.66403629090909</v>
      </c>
      <c r="BW204">
        <v>0.170754718053684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0.97570428571428602</v>
      </c>
      <c r="CD204">
        <v>0.93597288311688398</v>
      </c>
      <c r="CE204">
        <v>9.6601005565673706E-2</v>
      </c>
      <c r="CF204">
        <v>0</v>
      </c>
      <c r="CG204">
        <v>0</v>
      </c>
      <c r="CH204">
        <v>2</v>
      </c>
      <c r="CI204" t="s">
        <v>290</v>
      </c>
      <c r="CJ204">
        <v>3.5325199999999999</v>
      </c>
      <c r="CK204">
        <v>2.7021199999999999</v>
      </c>
      <c r="CL204">
        <v>9.7942600000000005E-2</v>
      </c>
      <c r="CM204">
        <v>9.6620499999999998E-2</v>
      </c>
      <c r="CN204">
        <v>8.8983099999999996E-2</v>
      </c>
      <c r="CO204">
        <v>8.3452399999999996E-2</v>
      </c>
      <c r="CP204">
        <v>31624.9</v>
      </c>
      <c r="CQ204">
        <v>27818.3</v>
      </c>
      <c r="CR204">
        <v>32448.5</v>
      </c>
      <c r="CS204">
        <v>30721.1</v>
      </c>
      <c r="CT204">
        <v>40031.1</v>
      </c>
      <c r="CU204">
        <v>39598.9</v>
      </c>
      <c r="CV204">
        <v>47394.6</v>
      </c>
      <c r="CW204">
        <v>46856.6</v>
      </c>
      <c r="CX204">
        <v>2.6213799999999998</v>
      </c>
      <c r="CY204">
        <v>2.12216</v>
      </c>
      <c r="CZ204">
        <v>0</v>
      </c>
      <c r="DA204">
        <v>0</v>
      </c>
      <c r="DB204">
        <v>999.9</v>
      </c>
      <c r="DC204">
        <v>999.9</v>
      </c>
      <c r="DD204">
        <v>49.225000000000001</v>
      </c>
      <c r="DE204">
        <v>28.248000000000001</v>
      </c>
      <c r="DF204">
        <v>18.9253</v>
      </c>
      <c r="DG204">
        <v>30.149799999999999</v>
      </c>
      <c r="DH204">
        <v>16.4543</v>
      </c>
      <c r="DI204">
        <v>2</v>
      </c>
      <c r="DJ204">
        <v>-0.108935</v>
      </c>
      <c r="DK204">
        <v>1.9810399999999999</v>
      </c>
      <c r="DL204">
        <v>20.2117</v>
      </c>
      <c r="DM204">
        <v>5.2462799999999996</v>
      </c>
      <c r="DN204">
        <v>12.033899999999999</v>
      </c>
      <c r="DO204">
        <v>4.9659199999999997</v>
      </c>
      <c r="DP204">
        <v>3.2907600000000001</v>
      </c>
      <c r="DQ204">
        <v>537</v>
      </c>
      <c r="DR204">
        <v>9999</v>
      </c>
      <c r="DS204">
        <v>9999</v>
      </c>
      <c r="DT204">
        <v>9999</v>
      </c>
      <c r="DU204">
        <v>1.87114</v>
      </c>
      <c r="DV204">
        <v>1.8761099999999999</v>
      </c>
      <c r="DW204">
        <v>1.8763700000000001</v>
      </c>
      <c r="DX204">
        <v>1.88279</v>
      </c>
      <c r="DY204">
        <v>1.87561</v>
      </c>
      <c r="DZ204">
        <v>1.87469</v>
      </c>
      <c r="EA204">
        <v>1.8708400000000001</v>
      </c>
      <c r="EB204">
        <v>1.87466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-0.80600000000000005</v>
      </c>
      <c r="EQ204">
        <v>9.4299999999999995E-2</v>
      </c>
      <c r="ER204">
        <v>-0.80572727272732403</v>
      </c>
      <c r="ES204">
        <v>0</v>
      </c>
      <c r="ET204">
        <v>0</v>
      </c>
      <c r="EU204">
        <v>0</v>
      </c>
      <c r="EV204">
        <v>9.43299999999994E-2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6.8</v>
      </c>
      <c r="FE204">
        <v>6.7</v>
      </c>
      <c r="FF204">
        <v>1.2439</v>
      </c>
      <c r="FG204">
        <v>2.5976599999999999</v>
      </c>
      <c r="FH204">
        <v>2.19604</v>
      </c>
      <c r="FI204">
        <v>2.66113</v>
      </c>
      <c r="FJ204">
        <v>2.4462899999999999</v>
      </c>
      <c r="FK204">
        <v>2.2900399999999999</v>
      </c>
      <c r="FL204">
        <v>32.553899999999999</v>
      </c>
      <c r="FM204">
        <v>24.14</v>
      </c>
      <c r="FN204">
        <v>19</v>
      </c>
      <c r="FO204">
        <v>865.57799999999997</v>
      </c>
      <c r="FP204">
        <v>571.35900000000004</v>
      </c>
      <c r="FQ204">
        <v>18.082699999999999</v>
      </c>
      <c r="FR204">
        <v>25.606400000000001</v>
      </c>
      <c r="FS204">
        <v>30.0001</v>
      </c>
      <c r="FT204">
        <v>25.601400000000002</v>
      </c>
      <c r="FU204">
        <v>25.601900000000001</v>
      </c>
      <c r="FV204">
        <v>24.959599999999998</v>
      </c>
      <c r="FW204">
        <v>25.6934</v>
      </c>
      <c r="FX204">
        <v>1.0186500000000001</v>
      </c>
      <c r="FY204">
        <v>18.108799999999999</v>
      </c>
      <c r="FZ204">
        <v>410</v>
      </c>
      <c r="GA204">
        <v>14.563599999999999</v>
      </c>
      <c r="GB204">
        <v>99.861699999999999</v>
      </c>
      <c r="GC204">
        <v>99.742699999999999</v>
      </c>
    </row>
    <row r="205" spans="1:185" x14ac:dyDescent="0.2">
      <c r="A205">
        <v>190</v>
      </c>
      <c r="B205">
        <v>1769198132</v>
      </c>
      <c r="C205">
        <v>3571</v>
      </c>
      <c r="D205" t="s">
        <v>678</v>
      </c>
      <c r="E205" t="s">
        <v>679</v>
      </c>
      <c r="F205">
        <v>15</v>
      </c>
      <c r="G205">
        <v>1769198123.9333301</v>
      </c>
      <c r="H205">
        <f t="shared" si="26"/>
        <v>9.2313624745766728E-4</v>
      </c>
      <c r="I205">
        <v>0</v>
      </c>
      <c r="J205">
        <f t="shared" si="38"/>
        <v>-5.1537223158487832E-3</v>
      </c>
      <c r="K205">
        <f t="shared" si="27"/>
        <v>-0.19204737003169162</v>
      </c>
      <c r="L205">
        <f t="shared" si="28"/>
        <v>71.948669393110251</v>
      </c>
      <c r="M205">
        <f t="shared" si="29"/>
        <v>1.5792973953158134</v>
      </c>
      <c r="N205">
        <f t="shared" si="30"/>
        <v>2.1950334990726676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26280.268142452704</v>
      </c>
      <c r="T205">
        <f t="shared" si="34"/>
        <v>499.99873333333301</v>
      </c>
      <c r="U205">
        <f t="shared" si="35"/>
        <v>421.49854610097799</v>
      </c>
      <c r="V205">
        <f t="shared" si="36"/>
        <v>0.84299922780000025</v>
      </c>
      <c r="W205">
        <f t="shared" si="37"/>
        <v>0.15869831634800005</v>
      </c>
      <c r="X205">
        <v>1</v>
      </c>
      <c r="Y205">
        <v>1769198123.9333301</v>
      </c>
      <c r="Z205">
        <v>409.78519999999997</v>
      </c>
      <c r="AA205">
        <v>410.01799999999997</v>
      </c>
      <c r="AB205">
        <v>15.759966666666701</v>
      </c>
      <c r="AC205">
        <v>14.624233333333301</v>
      </c>
      <c r="AD205">
        <v>410.590933333333</v>
      </c>
      <c r="AE205">
        <v>15.665653333333299</v>
      </c>
      <c r="AF205">
        <v>800.00086666666698</v>
      </c>
      <c r="AG205">
        <v>100.14513333333301</v>
      </c>
      <c r="AH205">
        <v>6.4304206666666697E-2</v>
      </c>
      <c r="AI205">
        <v>18.926113333333301</v>
      </c>
      <c r="AJ205">
        <v>999.9</v>
      </c>
      <c r="AK205">
        <v>999.9</v>
      </c>
      <c r="AL205">
        <v>0</v>
      </c>
      <c r="AM205">
        <v>0</v>
      </c>
      <c r="AN205">
        <v>5002.2</v>
      </c>
      <c r="AO205">
        <v>0</v>
      </c>
      <c r="AP205">
        <v>1.63733</v>
      </c>
      <c r="AQ205">
        <v>-0.23296106666666699</v>
      </c>
      <c r="AR205">
        <v>416.34679999999997</v>
      </c>
      <c r="AS205">
        <v>416.10326666666703</v>
      </c>
      <c r="AT205">
        <v>1.1357440000000001</v>
      </c>
      <c r="AU205">
        <v>410.01799999999997</v>
      </c>
      <c r="AV205">
        <v>14.624233333333301</v>
      </c>
      <c r="AW205">
        <v>1.5782846666666701</v>
      </c>
      <c r="AX205">
        <v>1.46454533333333</v>
      </c>
      <c r="AY205">
        <v>13.7483533333333</v>
      </c>
      <c r="AZ205">
        <v>12.6028133333333</v>
      </c>
      <c r="BA205">
        <v>499.99873333333301</v>
      </c>
      <c r="BB205">
        <v>0.90002206666666695</v>
      </c>
      <c r="BC205">
        <v>0</v>
      </c>
      <c r="BD205">
        <v>9.9977806666666696E-2</v>
      </c>
      <c r="BE205">
        <v>0</v>
      </c>
      <c r="BF205">
        <v>25</v>
      </c>
      <c r="BG205">
        <v>8244.4240000000009</v>
      </c>
      <c r="BH205">
        <v>1769197713</v>
      </c>
      <c r="BI205" t="s">
        <v>637</v>
      </c>
      <c r="BJ205">
        <v>1769197710</v>
      </c>
      <c r="BK205">
        <v>1769197713</v>
      </c>
      <c r="BL205">
        <v>6</v>
      </c>
      <c r="BM205">
        <v>-1E-3</v>
      </c>
      <c r="BN205">
        <v>6.0000000000000001E-3</v>
      </c>
      <c r="BO205">
        <v>-0.80600000000000005</v>
      </c>
      <c r="BP205">
        <v>9.4E-2</v>
      </c>
      <c r="BQ205">
        <v>410</v>
      </c>
      <c r="BR205">
        <v>15</v>
      </c>
      <c r="BS205">
        <v>0.27</v>
      </c>
      <c r="BT205">
        <v>0.09</v>
      </c>
      <c r="BU205">
        <v>-0.19802554999999999</v>
      </c>
      <c r="BV205">
        <v>-0.65507187067669104</v>
      </c>
      <c r="BW205">
        <v>7.2776341797204297E-2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1.1225645</v>
      </c>
      <c r="CD205">
        <v>0.287929172932332</v>
      </c>
      <c r="CE205">
        <v>2.92574510979682E-2</v>
      </c>
      <c r="CF205">
        <v>0</v>
      </c>
      <c r="CG205">
        <v>0</v>
      </c>
      <c r="CH205">
        <v>2</v>
      </c>
      <c r="CI205" t="s">
        <v>290</v>
      </c>
      <c r="CJ205">
        <v>3.5325700000000002</v>
      </c>
      <c r="CK205">
        <v>2.7020900000000001</v>
      </c>
      <c r="CL205">
        <v>9.7911300000000007E-2</v>
      </c>
      <c r="CM205">
        <v>9.6608399999999997E-2</v>
      </c>
      <c r="CN205">
        <v>8.8301599999999994E-2</v>
      </c>
      <c r="CO205">
        <v>8.2524100000000003E-2</v>
      </c>
      <c r="CP205">
        <v>31625.5</v>
      </c>
      <c r="CQ205">
        <v>27818.5</v>
      </c>
      <c r="CR205">
        <v>32448</v>
      </c>
      <c r="CS205">
        <v>30720.9</v>
      </c>
      <c r="CT205">
        <v>40061.4</v>
      </c>
      <c r="CU205">
        <v>39640.1</v>
      </c>
      <c r="CV205">
        <v>47393.8</v>
      </c>
      <c r="CW205">
        <v>46856.6</v>
      </c>
      <c r="CX205">
        <v>2.62134</v>
      </c>
      <c r="CY205">
        <v>2.1216200000000001</v>
      </c>
      <c r="CZ205">
        <v>0</v>
      </c>
      <c r="DA205">
        <v>0</v>
      </c>
      <c r="DB205">
        <v>999.9</v>
      </c>
      <c r="DC205">
        <v>999.9</v>
      </c>
      <c r="DD205">
        <v>49.2</v>
      </c>
      <c r="DE205">
        <v>28.268000000000001</v>
      </c>
      <c r="DF205">
        <v>18.937000000000001</v>
      </c>
      <c r="DG205">
        <v>30.419799999999999</v>
      </c>
      <c r="DH205">
        <v>16.446300000000001</v>
      </c>
      <c r="DI205">
        <v>2</v>
      </c>
      <c r="DJ205">
        <v>-0.10906299999999999</v>
      </c>
      <c r="DK205">
        <v>1.87093</v>
      </c>
      <c r="DL205">
        <v>20.213200000000001</v>
      </c>
      <c r="DM205">
        <v>5.2480799999999999</v>
      </c>
      <c r="DN205">
        <v>12.033899999999999</v>
      </c>
      <c r="DO205">
        <v>4.9661999999999997</v>
      </c>
      <c r="DP205">
        <v>3.2909999999999999</v>
      </c>
      <c r="DQ205">
        <v>537</v>
      </c>
      <c r="DR205">
        <v>9999</v>
      </c>
      <c r="DS205">
        <v>9999</v>
      </c>
      <c r="DT205">
        <v>9999</v>
      </c>
      <c r="DU205">
        <v>1.87114</v>
      </c>
      <c r="DV205">
        <v>1.8761099999999999</v>
      </c>
      <c r="DW205">
        <v>1.87635</v>
      </c>
      <c r="DX205">
        <v>1.88279</v>
      </c>
      <c r="DY205">
        <v>1.8755900000000001</v>
      </c>
      <c r="DZ205">
        <v>1.8746799999999999</v>
      </c>
      <c r="EA205">
        <v>1.8708100000000001</v>
      </c>
      <c r="EB205">
        <v>1.87463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-0.80500000000000005</v>
      </c>
      <c r="EQ205">
        <v>9.4299999999999995E-2</v>
      </c>
      <c r="ER205">
        <v>-0.80572727272732403</v>
      </c>
      <c r="ES205">
        <v>0</v>
      </c>
      <c r="ET205">
        <v>0</v>
      </c>
      <c r="EU205">
        <v>0</v>
      </c>
      <c r="EV205">
        <v>9.43299999999994E-2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7</v>
      </c>
      <c r="FE205">
        <v>7</v>
      </c>
      <c r="FF205">
        <v>1.2439</v>
      </c>
      <c r="FG205">
        <v>2.5952099999999998</v>
      </c>
      <c r="FH205">
        <v>2.19604</v>
      </c>
      <c r="FI205">
        <v>2.66235</v>
      </c>
      <c r="FJ205">
        <v>2.4462899999999999</v>
      </c>
      <c r="FK205">
        <v>2.3107899999999999</v>
      </c>
      <c r="FL205">
        <v>32.553899999999999</v>
      </c>
      <c r="FM205">
        <v>24.148800000000001</v>
      </c>
      <c r="FN205">
        <v>19</v>
      </c>
      <c r="FO205">
        <v>865.57500000000005</v>
      </c>
      <c r="FP205">
        <v>570.99099999999999</v>
      </c>
      <c r="FQ205">
        <v>18.255099999999999</v>
      </c>
      <c r="FR205">
        <v>25.609000000000002</v>
      </c>
      <c r="FS205">
        <v>30</v>
      </c>
      <c r="FT205">
        <v>25.6035</v>
      </c>
      <c r="FU205">
        <v>25.605799999999999</v>
      </c>
      <c r="FV205">
        <v>24.958400000000001</v>
      </c>
      <c r="FW205">
        <v>26.563600000000001</v>
      </c>
      <c r="FX205">
        <v>1.0186500000000001</v>
      </c>
      <c r="FY205">
        <v>18.271899999999999</v>
      </c>
      <c r="FZ205">
        <v>410</v>
      </c>
      <c r="GA205">
        <v>14.4132</v>
      </c>
      <c r="GB205">
        <v>99.860200000000006</v>
      </c>
      <c r="GC205">
        <v>99.742500000000007</v>
      </c>
    </row>
    <row r="206" spans="1:185" x14ac:dyDescent="0.2">
      <c r="A206">
        <v>191</v>
      </c>
      <c r="B206">
        <v>1769198147</v>
      </c>
      <c r="C206">
        <v>3586</v>
      </c>
      <c r="D206" t="s">
        <v>680</v>
      </c>
      <c r="E206" t="s">
        <v>681</v>
      </c>
      <c r="F206">
        <v>15</v>
      </c>
      <c r="G206">
        <v>1769198138.9333301</v>
      </c>
      <c r="H206">
        <f t="shared" si="26"/>
        <v>9.2639277765452113E-4</v>
      </c>
      <c r="I206">
        <v>0</v>
      </c>
      <c r="J206">
        <f t="shared" si="38"/>
        <v>-2.8477431853230896E-3</v>
      </c>
      <c r="K206">
        <f t="shared" si="27"/>
        <v>-0.10611778356492622</v>
      </c>
      <c r="L206">
        <f t="shared" si="28"/>
        <v>71.148216395215485</v>
      </c>
      <c r="M206">
        <f t="shared" si="29"/>
        <v>1.5641900775033402</v>
      </c>
      <c r="N206">
        <f t="shared" si="30"/>
        <v>2.1984951369891648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26249.519688060456</v>
      </c>
      <c r="T206">
        <f t="shared" si="34"/>
        <v>500.00026666666702</v>
      </c>
      <c r="U206">
        <f t="shared" si="35"/>
        <v>421.4997476997458</v>
      </c>
      <c r="V206">
        <f t="shared" si="36"/>
        <v>0.84299904579999996</v>
      </c>
      <c r="W206">
        <f t="shared" si="37"/>
        <v>0.15869799126800002</v>
      </c>
      <c r="X206">
        <v>1</v>
      </c>
      <c r="Y206">
        <v>1769198138.9333301</v>
      </c>
      <c r="Z206">
        <v>409.660666666667</v>
      </c>
      <c r="AA206">
        <v>410.00240000000002</v>
      </c>
      <c r="AB206">
        <v>15.608926666666701</v>
      </c>
      <c r="AC206">
        <v>14.46902</v>
      </c>
      <c r="AD206">
        <v>410.46640000000002</v>
      </c>
      <c r="AE206">
        <v>15.5145866666667</v>
      </c>
      <c r="AF206">
        <v>800.00653333333298</v>
      </c>
      <c r="AG206">
        <v>100.146933333333</v>
      </c>
      <c r="AH206">
        <v>6.4318273333333301E-2</v>
      </c>
      <c r="AI206">
        <v>18.951353333333302</v>
      </c>
      <c r="AJ206">
        <v>999.9</v>
      </c>
      <c r="AK206">
        <v>999.9</v>
      </c>
      <c r="AL206">
        <v>0</v>
      </c>
      <c r="AM206">
        <v>0</v>
      </c>
      <c r="AN206">
        <v>4997.4333333333298</v>
      </c>
      <c r="AO206">
        <v>0</v>
      </c>
      <c r="AP206">
        <v>1.63733</v>
      </c>
      <c r="AQ206">
        <v>-0.34169933333333302</v>
      </c>
      <c r="AR206">
        <v>416.15640000000002</v>
      </c>
      <c r="AS206">
        <v>416.02186666666699</v>
      </c>
      <c r="AT206">
        <v>1.139896</v>
      </c>
      <c r="AU206">
        <v>410.00240000000002</v>
      </c>
      <c r="AV206">
        <v>14.46902</v>
      </c>
      <c r="AW206">
        <v>1.5631853333333301</v>
      </c>
      <c r="AX206">
        <v>1.449028</v>
      </c>
      <c r="AY206">
        <v>13.600566666666699</v>
      </c>
      <c r="AZ206">
        <v>12.4406266666667</v>
      </c>
      <c r="BA206">
        <v>500.00026666666702</v>
      </c>
      <c r="BB206">
        <v>0.9000262</v>
      </c>
      <c r="BC206">
        <v>0</v>
      </c>
      <c r="BD206">
        <v>9.9973606666666701E-2</v>
      </c>
      <c r="BE206">
        <v>0</v>
      </c>
      <c r="BF206">
        <v>25</v>
      </c>
      <c r="BG206">
        <v>8244.4586666666692</v>
      </c>
      <c r="BH206">
        <v>1769197713</v>
      </c>
      <c r="BI206" t="s">
        <v>637</v>
      </c>
      <c r="BJ206">
        <v>1769197710</v>
      </c>
      <c r="BK206">
        <v>1769197713</v>
      </c>
      <c r="BL206">
        <v>6</v>
      </c>
      <c r="BM206">
        <v>-1E-3</v>
      </c>
      <c r="BN206">
        <v>6.0000000000000001E-3</v>
      </c>
      <c r="BO206">
        <v>-0.80600000000000005</v>
      </c>
      <c r="BP206">
        <v>9.4E-2</v>
      </c>
      <c r="BQ206">
        <v>410</v>
      </c>
      <c r="BR206">
        <v>15</v>
      </c>
      <c r="BS206">
        <v>0.27</v>
      </c>
      <c r="BT206">
        <v>0.09</v>
      </c>
      <c r="BU206">
        <v>-0.31737419047618998</v>
      </c>
      <c r="BV206">
        <v>-0.43249020779220798</v>
      </c>
      <c r="BW206">
        <v>4.65261057713778E-2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1.14303714285714</v>
      </c>
      <c r="CD206">
        <v>-9.5998441558442005E-2</v>
      </c>
      <c r="CE206">
        <v>1.1939865255224801E-2</v>
      </c>
      <c r="CF206">
        <v>1</v>
      </c>
      <c r="CG206">
        <v>2</v>
      </c>
      <c r="CH206">
        <v>2</v>
      </c>
      <c r="CI206" t="s">
        <v>304</v>
      </c>
      <c r="CJ206">
        <v>3.5324900000000001</v>
      </c>
      <c r="CK206">
        <v>2.7021799999999998</v>
      </c>
      <c r="CL206">
        <v>9.7894499999999995E-2</v>
      </c>
      <c r="CM206">
        <v>9.6614500000000006E-2</v>
      </c>
      <c r="CN206">
        <v>8.7766899999999995E-2</v>
      </c>
      <c r="CO206">
        <v>8.2118999999999998E-2</v>
      </c>
      <c r="CP206">
        <v>31626.6</v>
      </c>
      <c r="CQ206">
        <v>27818.6</v>
      </c>
      <c r="CR206">
        <v>32448.5</v>
      </c>
      <c r="CS206">
        <v>30721.200000000001</v>
      </c>
      <c r="CT206">
        <v>40086.5</v>
      </c>
      <c r="CU206">
        <v>39658.5</v>
      </c>
      <c r="CV206">
        <v>47394.9</v>
      </c>
      <c r="CW206">
        <v>46857.1</v>
      </c>
      <c r="CX206">
        <v>2.6212599999999999</v>
      </c>
      <c r="CY206">
        <v>2.1212599999999999</v>
      </c>
      <c r="CZ206">
        <v>0</v>
      </c>
      <c r="DA206">
        <v>0</v>
      </c>
      <c r="DB206">
        <v>999.9</v>
      </c>
      <c r="DC206">
        <v>999.9</v>
      </c>
      <c r="DD206">
        <v>49.176000000000002</v>
      </c>
      <c r="DE206">
        <v>28.248000000000001</v>
      </c>
      <c r="DF206">
        <v>18.905899999999999</v>
      </c>
      <c r="DG206">
        <v>30.3598</v>
      </c>
      <c r="DH206">
        <v>16.5505</v>
      </c>
      <c r="DI206">
        <v>2</v>
      </c>
      <c r="DJ206">
        <v>-0.10875799999999999</v>
      </c>
      <c r="DK206">
        <v>1.84779</v>
      </c>
      <c r="DL206">
        <v>20.2136</v>
      </c>
      <c r="DM206">
        <v>5.2478400000000001</v>
      </c>
      <c r="DN206">
        <v>12.033899999999999</v>
      </c>
      <c r="DO206">
        <v>4.9663199999999996</v>
      </c>
      <c r="DP206">
        <v>3.2909999999999999</v>
      </c>
      <c r="DQ206">
        <v>537</v>
      </c>
      <c r="DR206">
        <v>9999</v>
      </c>
      <c r="DS206">
        <v>9999</v>
      </c>
      <c r="DT206">
        <v>9999</v>
      </c>
      <c r="DU206">
        <v>1.8711100000000001</v>
      </c>
      <c r="DV206">
        <v>1.87608</v>
      </c>
      <c r="DW206">
        <v>1.8763399999999999</v>
      </c>
      <c r="DX206">
        <v>1.88279</v>
      </c>
      <c r="DY206">
        <v>1.87561</v>
      </c>
      <c r="DZ206">
        <v>1.8746799999999999</v>
      </c>
      <c r="EA206">
        <v>1.8708100000000001</v>
      </c>
      <c r="EB206">
        <v>1.8746499999999999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-0.80600000000000005</v>
      </c>
      <c r="EQ206">
        <v>9.4299999999999995E-2</v>
      </c>
      <c r="ER206">
        <v>-0.80572727272732403</v>
      </c>
      <c r="ES206">
        <v>0</v>
      </c>
      <c r="ET206">
        <v>0</v>
      </c>
      <c r="EU206">
        <v>0</v>
      </c>
      <c r="EV206">
        <v>9.43299999999994E-2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7.3</v>
      </c>
      <c r="FE206">
        <v>7.2</v>
      </c>
      <c r="FF206">
        <v>1.24268</v>
      </c>
      <c r="FG206">
        <v>2.5964399999999999</v>
      </c>
      <c r="FH206">
        <v>2.19604</v>
      </c>
      <c r="FI206">
        <v>2.66113</v>
      </c>
      <c r="FJ206">
        <v>2.4462899999999999</v>
      </c>
      <c r="FK206">
        <v>2.3144499999999999</v>
      </c>
      <c r="FL206">
        <v>32.553899999999999</v>
      </c>
      <c r="FM206">
        <v>24.148800000000001</v>
      </c>
      <c r="FN206">
        <v>19</v>
      </c>
      <c r="FO206">
        <v>865.54200000000003</v>
      </c>
      <c r="FP206">
        <v>570.74</v>
      </c>
      <c r="FQ206">
        <v>18.379200000000001</v>
      </c>
      <c r="FR206">
        <v>25.6129</v>
      </c>
      <c r="FS206">
        <v>30.000299999999999</v>
      </c>
      <c r="FT206">
        <v>25.606100000000001</v>
      </c>
      <c r="FU206">
        <v>25.607900000000001</v>
      </c>
      <c r="FV206">
        <v>24.956800000000001</v>
      </c>
      <c r="FW206">
        <v>27.126899999999999</v>
      </c>
      <c r="FX206">
        <v>0.64706600000000003</v>
      </c>
      <c r="FY206">
        <v>18.386299999999999</v>
      </c>
      <c r="FZ206">
        <v>410</v>
      </c>
      <c r="GA206">
        <v>14.3348</v>
      </c>
      <c r="GB206">
        <v>99.862200000000001</v>
      </c>
      <c r="GC206">
        <v>99.743499999999997</v>
      </c>
    </row>
    <row r="207" spans="1:185" x14ac:dyDescent="0.2">
      <c r="A207">
        <v>192</v>
      </c>
      <c r="B207">
        <v>1769198162</v>
      </c>
      <c r="C207">
        <v>3601</v>
      </c>
      <c r="D207" t="s">
        <v>682</v>
      </c>
      <c r="E207" t="s">
        <v>683</v>
      </c>
      <c r="F207">
        <v>15</v>
      </c>
      <c r="G207">
        <v>1769198153.9333301</v>
      </c>
      <c r="H207">
        <f t="shared" si="26"/>
        <v>9.2321984179291464E-4</v>
      </c>
      <c r="I207">
        <v>0</v>
      </c>
      <c r="J207">
        <f t="shared" si="38"/>
        <v>-1.4319128160398668E-3</v>
      </c>
      <c r="K207">
        <f t="shared" si="27"/>
        <v>-5.335853846635507E-2</v>
      </c>
      <c r="L207">
        <f t="shared" si="28"/>
        <v>70.519600478916118</v>
      </c>
      <c r="M207">
        <f t="shared" si="29"/>
        <v>1.5534633145513641</v>
      </c>
      <c r="N207">
        <f t="shared" si="30"/>
        <v>2.2028816158931828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26207.554865684193</v>
      </c>
      <c r="T207">
        <f t="shared" si="34"/>
        <v>500.00086666666698</v>
      </c>
      <c r="U207">
        <f t="shared" si="35"/>
        <v>421.50030919926991</v>
      </c>
      <c r="V207">
        <f t="shared" si="36"/>
        <v>0.84299915720000018</v>
      </c>
      <c r="W207">
        <f t="shared" si="37"/>
        <v>0.15869823079200007</v>
      </c>
      <c r="X207">
        <v>1</v>
      </c>
      <c r="Y207">
        <v>1769198153.9333301</v>
      </c>
      <c r="Z207">
        <v>409.60879999999997</v>
      </c>
      <c r="AA207">
        <v>410.01479999999998</v>
      </c>
      <c r="AB207">
        <v>15.502226666666701</v>
      </c>
      <c r="AC207">
        <v>14.3660933333333</v>
      </c>
      <c r="AD207">
        <v>410.41460000000001</v>
      </c>
      <c r="AE207">
        <v>15.4078866666667</v>
      </c>
      <c r="AF207">
        <v>800.00106666666704</v>
      </c>
      <c r="AG207">
        <v>100.144533333333</v>
      </c>
      <c r="AH207">
        <v>6.4510693333333299E-2</v>
      </c>
      <c r="AI207">
        <v>18.9832866666667</v>
      </c>
      <c r="AJ207">
        <v>999.9</v>
      </c>
      <c r="AK207">
        <v>999.9</v>
      </c>
      <c r="AL207">
        <v>0</v>
      </c>
      <c r="AM207">
        <v>0</v>
      </c>
      <c r="AN207">
        <v>4991.1000000000004</v>
      </c>
      <c r="AO207">
        <v>0</v>
      </c>
      <c r="AP207">
        <v>1.63733</v>
      </c>
      <c r="AQ207">
        <v>-0.40601806666666701</v>
      </c>
      <c r="AR207">
        <v>416.05860000000001</v>
      </c>
      <c r="AS207">
        <v>415.99113333333298</v>
      </c>
      <c r="AT207">
        <v>1.13613733333333</v>
      </c>
      <c r="AU207">
        <v>410.01479999999998</v>
      </c>
      <c r="AV207">
        <v>14.3660933333333</v>
      </c>
      <c r="AW207">
        <v>1.5524640000000001</v>
      </c>
      <c r="AX207">
        <v>1.43868666666667</v>
      </c>
      <c r="AY207">
        <v>13.49488</v>
      </c>
      <c r="AZ207">
        <v>12.3316133333333</v>
      </c>
      <c r="BA207">
        <v>500.00086666666698</v>
      </c>
      <c r="BB207">
        <v>0.90002306666666698</v>
      </c>
      <c r="BC207">
        <v>0</v>
      </c>
      <c r="BD207">
        <v>9.9976759999999998E-2</v>
      </c>
      <c r="BE207">
        <v>0</v>
      </c>
      <c r="BF207">
        <v>25</v>
      </c>
      <c r="BG207">
        <v>8244.4606666666696</v>
      </c>
      <c r="BH207">
        <v>1769197713</v>
      </c>
      <c r="BI207" t="s">
        <v>637</v>
      </c>
      <c r="BJ207">
        <v>1769197710</v>
      </c>
      <c r="BK207">
        <v>1769197713</v>
      </c>
      <c r="BL207">
        <v>6</v>
      </c>
      <c r="BM207">
        <v>-1E-3</v>
      </c>
      <c r="BN207">
        <v>6.0000000000000001E-3</v>
      </c>
      <c r="BO207">
        <v>-0.80600000000000005</v>
      </c>
      <c r="BP207">
        <v>9.4E-2</v>
      </c>
      <c r="BQ207">
        <v>410</v>
      </c>
      <c r="BR207">
        <v>15</v>
      </c>
      <c r="BS207">
        <v>0.27</v>
      </c>
      <c r="BT207">
        <v>0.09</v>
      </c>
      <c r="BU207">
        <v>-0.3970322</v>
      </c>
      <c r="BV207">
        <v>-0.147396270676692</v>
      </c>
      <c r="BW207">
        <v>2.2235247564621401E-2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1.1345464999999999</v>
      </c>
      <c r="CD207">
        <v>-2.23718796992456E-2</v>
      </c>
      <c r="CE207">
        <v>1.14539736663745E-2</v>
      </c>
      <c r="CF207">
        <v>1</v>
      </c>
      <c r="CG207">
        <v>2</v>
      </c>
      <c r="CH207">
        <v>2</v>
      </c>
      <c r="CI207" t="s">
        <v>304</v>
      </c>
      <c r="CJ207">
        <v>3.5325000000000002</v>
      </c>
      <c r="CK207">
        <v>2.7025999999999999</v>
      </c>
      <c r="CL207">
        <v>9.7882999999999998E-2</v>
      </c>
      <c r="CM207">
        <v>9.6601500000000007E-2</v>
      </c>
      <c r="CN207">
        <v>8.7366299999999994E-2</v>
      </c>
      <c r="CO207">
        <v>8.1798700000000002E-2</v>
      </c>
      <c r="CP207">
        <v>31626.2</v>
      </c>
      <c r="CQ207">
        <v>27818.5</v>
      </c>
      <c r="CR207">
        <v>32447.7</v>
      </c>
      <c r="CS207">
        <v>30720.7</v>
      </c>
      <c r="CT207">
        <v>40103.699999999997</v>
      </c>
      <c r="CU207">
        <v>39672.199999999997</v>
      </c>
      <c r="CV207">
        <v>47393.7</v>
      </c>
      <c r="CW207">
        <v>46856.4</v>
      </c>
      <c r="CX207">
        <v>2.6212800000000001</v>
      </c>
      <c r="CY207">
        <v>2.1210200000000001</v>
      </c>
      <c r="CZ207">
        <v>0</v>
      </c>
      <c r="DA207">
        <v>0</v>
      </c>
      <c r="DB207">
        <v>999.9</v>
      </c>
      <c r="DC207">
        <v>999.9</v>
      </c>
      <c r="DD207">
        <v>49.152000000000001</v>
      </c>
      <c r="DE207">
        <v>28.268000000000001</v>
      </c>
      <c r="DF207">
        <v>18.9194</v>
      </c>
      <c r="DG207">
        <v>30.419799999999999</v>
      </c>
      <c r="DH207">
        <v>16.506399999999999</v>
      </c>
      <c r="DI207">
        <v>2</v>
      </c>
      <c r="DJ207">
        <v>-0.108358</v>
      </c>
      <c r="DK207">
        <v>1.90046</v>
      </c>
      <c r="DL207">
        <v>20.212800000000001</v>
      </c>
      <c r="DM207">
        <v>5.2477200000000002</v>
      </c>
      <c r="DN207">
        <v>12.033899999999999</v>
      </c>
      <c r="DO207">
        <v>4.9664799999999998</v>
      </c>
      <c r="DP207">
        <v>3.2909999999999999</v>
      </c>
      <c r="DQ207">
        <v>537</v>
      </c>
      <c r="DR207">
        <v>9999</v>
      </c>
      <c r="DS207">
        <v>9999</v>
      </c>
      <c r="DT207">
        <v>9999</v>
      </c>
      <c r="DU207">
        <v>1.8711100000000001</v>
      </c>
      <c r="DV207">
        <v>1.87612</v>
      </c>
      <c r="DW207">
        <v>1.87636</v>
      </c>
      <c r="DX207">
        <v>1.88279</v>
      </c>
      <c r="DY207">
        <v>1.87561</v>
      </c>
      <c r="DZ207">
        <v>1.8746799999999999</v>
      </c>
      <c r="EA207">
        <v>1.8708400000000001</v>
      </c>
      <c r="EB207">
        <v>1.8746499999999999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-0.80600000000000005</v>
      </c>
      <c r="EQ207">
        <v>9.4299999999999995E-2</v>
      </c>
      <c r="ER207">
        <v>-0.80572727272732403</v>
      </c>
      <c r="ES207">
        <v>0</v>
      </c>
      <c r="ET207">
        <v>0</v>
      </c>
      <c r="EU207">
        <v>0</v>
      </c>
      <c r="EV207">
        <v>9.43299999999994E-2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7.5</v>
      </c>
      <c r="FE207">
        <v>7.5</v>
      </c>
      <c r="FF207">
        <v>1.24268</v>
      </c>
      <c r="FG207">
        <v>2.6013199999999999</v>
      </c>
      <c r="FH207">
        <v>2.19604</v>
      </c>
      <c r="FI207">
        <v>2.66235</v>
      </c>
      <c r="FJ207">
        <v>2.4462899999999999</v>
      </c>
      <c r="FK207">
        <v>2.2436500000000001</v>
      </c>
      <c r="FL207">
        <v>32.576099999999997</v>
      </c>
      <c r="FM207">
        <v>24.14</v>
      </c>
      <c r="FN207">
        <v>19</v>
      </c>
      <c r="FO207">
        <v>865.58100000000002</v>
      </c>
      <c r="FP207">
        <v>570.56200000000001</v>
      </c>
      <c r="FQ207">
        <v>18.436800000000002</v>
      </c>
      <c r="FR207">
        <v>25.6129</v>
      </c>
      <c r="FS207">
        <v>30.0001</v>
      </c>
      <c r="FT207">
        <v>25.607299999999999</v>
      </c>
      <c r="FU207">
        <v>25.6084</v>
      </c>
      <c r="FV207">
        <v>24.9572</v>
      </c>
      <c r="FW207">
        <v>27.126899999999999</v>
      </c>
      <c r="FX207">
        <v>0.64706600000000003</v>
      </c>
      <c r="FY207">
        <v>18.4343</v>
      </c>
      <c r="FZ207">
        <v>410</v>
      </c>
      <c r="GA207">
        <v>14.3118</v>
      </c>
      <c r="GB207">
        <v>99.859700000000004</v>
      </c>
      <c r="GC207">
        <v>99.742000000000004</v>
      </c>
    </row>
    <row r="208" spans="1:185" x14ac:dyDescent="0.2">
      <c r="A208">
        <v>193</v>
      </c>
      <c r="B208">
        <v>1769198177</v>
      </c>
      <c r="C208">
        <v>3616</v>
      </c>
      <c r="D208" t="s">
        <v>684</v>
      </c>
      <c r="E208" t="s">
        <v>685</v>
      </c>
      <c r="F208">
        <v>15</v>
      </c>
      <c r="G208">
        <v>1769198168.9333301</v>
      </c>
      <c r="H208">
        <f t="shared" ref="H208:H271" si="39">AF208*Q208*(AB208-AC208)/(1000*X208*(1000-Q208*AB208))</f>
        <v>8.8232226777701405E-4</v>
      </c>
      <c r="I208">
        <v>0</v>
      </c>
      <c r="J208">
        <f t="shared" si="38"/>
        <v>-8.3993155202647068E-4</v>
      </c>
      <c r="K208">
        <f t="shared" ref="K208:K271" si="40">AF208*Q208*(AA208-Z208*(1000-Q208*AC208)/(1000-Q208*AB208))/(1000*X208)</f>
        <v>-3.1299056427093228E-2</v>
      </c>
      <c r="L208">
        <f t="shared" ref="L208:L271" si="41">(M208/N208*100)</f>
        <v>70.055900368252793</v>
      </c>
      <c r="M208">
        <f t="shared" ref="M208:M271" si="42">AB208*(AG208+AH208)/1000</f>
        <v>1.5460599930088386</v>
      </c>
      <c r="N208">
        <f t="shared" ref="N208:N271" si="43">0.61365*EXP(17.502*AI208/(240.97+AI208))</f>
        <v>2.2068947581601077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26283.330801461929</v>
      </c>
      <c r="T208">
        <f t="shared" ref="T208:T271" si="47">$B$11*AO208+$C$11*AP208+$D$11*BA208</f>
        <v>499.99833333333299</v>
      </c>
      <c r="U208">
        <f t="shared" ref="U208:U271" si="48">T208*V208</f>
        <v>421.49808390170324</v>
      </c>
      <c r="V208">
        <f t="shared" ref="V208:V271" si="49">($B$11*$D$9+$C$11*$D$9+$D$11*(BB208*$E$9+BC208*$F$9+BD208*$G$9+BE208*$H$9))/($B$11+$C$11+$D$11)</f>
        <v>0.84299897779999977</v>
      </c>
      <c r="W208">
        <f t="shared" ref="W208:W271" si="50">($B$11*$L$9+$C$11*$L$9+$D$11*(BB208*$M$9+BC208*$N$9+BD208*$O$9+BE208*$P$9))/($B$11+$C$11+$D$11)</f>
        <v>0.15869795118799998</v>
      </c>
      <c r="X208">
        <v>1</v>
      </c>
      <c r="Y208">
        <v>1769198168.9333301</v>
      </c>
      <c r="Z208">
        <v>409.5772</v>
      </c>
      <c r="AA208">
        <v>409.9898</v>
      </c>
      <c r="AB208">
        <v>15.4284466666667</v>
      </c>
      <c r="AC208">
        <v>14.342560000000001</v>
      </c>
      <c r="AD208">
        <v>410.38306666666699</v>
      </c>
      <c r="AE208">
        <v>15.3340933333333</v>
      </c>
      <c r="AF208">
        <v>800.00006666666695</v>
      </c>
      <c r="AG208">
        <v>100.14400000000001</v>
      </c>
      <c r="AH208">
        <v>6.44024666666667E-2</v>
      </c>
      <c r="AI208">
        <v>19.012453333333301</v>
      </c>
      <c r="AJ208">
        <v>999.9</v>
      </c>
      <c r="AK208">
        <v>999.9</v>
      </c>
      <c r="AL208">
        <v>0</v>
      </c>
      <c r="AM208">
        <v>0</v>
      </c>
      <c r="AN208">
        <v>5004.0333333333301</v>
      </c>
      <c r="AO208">
        <v>0</v>
      </c>
      <c r="AP208">
        <v>1.63733</v>
      </c>
      <c r="AQ208">
        <v>-0.41258133333333302</v>
      </c>
      <c r="AR208">
        <v>415.99526666666702</v>
      </c>
      <c r="AS208">
        <v>415.95566666666701</v>
      </c>
      <c r="AT208">
        <v>1.08588533333333</v>
      </c>
      <c r="AU208">
        <v>409.9898</v>
      </c>
      <c r="AV208">
        <v>14.342560000000001</v>
      </c>
      <c r="AW208">
        <v>1.5450666666666699</v>
      </c>
      <c r="AX208">
        <v>1.4363206666666699</v>
      </c>
      <c r="AY208">
        <v>13.4215533333333</v>
      </c>
      <c r="AZ208">
        <v>12.306613333333299</v>
      </c>
      <c r="BA208">
        <v>499.99833333333299</v>
      </c>
      <c r="BB208">
        <v>0.90002653333333305</v>
      </c>
      <c r="BC208">
        <v>0</v>
      </c>
      <c r="BD208">
        <v>9.9973206666666703E-2</v>
      </c>
      <c r="BE208">
        <v>0</v>
      </c>
      <c r="BF208">
        <v>25</v>
      </c>
      <c r="BG208">
        <v>8244.4306666666598</v>
      </c>
      <c r="BH208">
        <v>1769197713</v>
      </c>
      <c r="BI208" t="s">
        <v>637</v>
      </c>
      <c r="BJ208">
        <v>1769197710</v>
      </c>
      <c r="BK208">
        <v>1769197713</v>
      </c>
      <c r="BL208">
        <v>6</v>
      </c>
      <c r="BM208">
        <v>-1E-3</v>
      </c>
      <c r="BN208">
        <v>6.0000000000000001E-3</v>
      </c>
      <c r="BO208">
        <v>-0.80600000000000005</v>
      </c>
      <c r="BP208">
        <v>9.4E-2</v>
      </c>
      <c r="BQ208">
        <v>410</v>
      </c>
      <c r="BR208">
        <v>15</v>
      </c>
      <c r="BS208">
        <v>0.27</v>
      </c>
      <c r="BT208">
        <v>0.09</v>
      </c>
      <c r="BU208">
        <v>-0.40914909999999999</v>
      </c>
      <c r="BV208">
        <v>-4.0960691729324102E-2</v>
      </c>
      <c r="BW208">
        <v>1.00675591128138E-2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1.098366</v>
      </c>
      <c r="CD208">
        <v>-0.216115488721804</v>
      </c>
      <c r="CE208">
        <v>2.0861329391963501E-2</v>
      </c>
      <c r="CF208">
        <v>0</v>
      </c>
      <c r="CG208">
        <v>1</v>
      </c>
      <c r="CH208">
        <v>2</v>
      </c>
      <c r="CI208" t="s">
        <v>297</v>
      </c>
      <c r="CJ208">
        <v>3.5325899999999999</v>
      </c>
      <c r="CK208">
        <v>2.7020200000000001</v>
      </c>
      <c r="CL208">
        <v>9.78826E-2</v>
      </c>
      <c r="CM208">
        <v>9.6605899999999995E-2</v>
      </c>
      <c r="CN208">
        <v>8.7119299999999997E-2</v>
      </c>
      <c r="CO208">
        <v>8.1758700000000004E-2</v>
      </c>
      <c r="CP208">
        <v>31625.4</v>
      </c>
      <c r="CQ208">
        <v>27818.1</v>
      </c>
      <c r="CR208">
        <v>32446.9</v>
      </c>
      <c r="CS208">
        <v>30720.400000000001</v>
      </c>
      <c r="CT208">
        <v>40114.1</v>
      </c>
      <c r="CU208">
        <v>39673.699999999997</v>
      </c>
      <c r="CV208">
        <v>47392.9</v>
      </c>
      <c r="CW208">
        <v>46856.1</v>
      </c>
      <c r="CX208">
        <v>2.6211600000000002</v>
      </c>
      <c r="CY208">
        <v>2.121</v>
      </c>
      <c r="CZ208">
        <v>0</v>
      </c>
      <c r="DA208">
        <v>0</v>
      </c>
      <c r="DB208">
        <v>999.9</v>
      </c>
      <c r="DC208">
        <v>999.9</v>
      </c>
      <c r="DD208">
        <v>49.103000000000002</v>
      </c>
      <c r="DE208">
        <v>28.268000000000001</v>
      </c>
      <c r="DF208">
        <v>18.8993</v>
      </c>
      <c r="DG208">
        <v>30.329799999999999</v>
      </c>
      <c r="DH208">
        <v>16.430299999999999</v>
      </c>
      <c r="DI208">
        <v>2</v>
      </c>
      <c r="DJ208">
        <v>-0.103868</v>
      </c>
      <c r="DK208">
        <v>2.9205000000000001</v>
      </c>
      <c r="DL208">
        <v>20.194199999999999</v>
      </c>
      <c r="DM208">
        <v>5.2465200000000003</v>
      </c>
      <c r="DN208">
        <v>12.033899999999999</v>
      </c>
      <c r="DO208">
        <v>4.9664400000000004</v>
      </c>
      <c r="DP208">
        <v>3.2907999999999999</v>
      </c>
      <c r="DQ208">
        <v>537</v>
      </c>
      <c r="DR208">
        <v>9999</v>
      </c>
      <c r="DS208">
        <v>9999</v>
      </c>
      <c r="DT208">
        <v>9999</v>
      </c>
      <c r="DU208">
        <v>1.8711500000000001</v>
      </c>
      <c r="DV208">
        <v>1.8761399999999999</v>
      </c>
      <c r="DW208">
        <v>1.8763700000000001</v>
      </c>
      <c r="DX208">
        <v>1.88279</v>
      </c>
      <c r="DY208">
        <v>1.87561</v>
      </c>
      <c r="DZ208">
        <v>1.87469</v>
      </c>
      <c r="EA208">
        <v>1.87083</v>
      </c>
      <c r="EB208">
        <v>1.8746799999999999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-0.80600000000000005</v>
      </c>
      <c r="EQ208">
        <v>9.4299999999999995E-2</v>
      </c>
      <c r="ER208">
        <v>-0.80572727272732403</v>
      </c>
      <c r="ES208">
        <v>0</v>
      </c>
      <c r="ET208">
        <v>0</v>
      </c>
      <c r="EU208">
        <v>0</v>
      </c>
      <c r="EV208">
        <v>9.43299999999994E-2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7.8</v>
      </c>
      <c r="FE208">
        <v>7.7</v>
      </c>
      <c r="FF208">
        <v>1.2439</v>
      </c>
      <c r="FG208">
        <v>2.6025399999999999</v>
      </c>
      <c r="FH208">
        <v>2.19604</v>
      </c>
      <c r="FI208">
        <v>2.66235</v>
      </c>
      <c r="FJ208">
        <v>2.4462899999999999</v>
      </c>
      <c r="FK208">
        <v>2.2973599999999998</v>
      </c>
      <c r="FL208">
        <v>32.576099999999997</v>
      </c>
      <c r="FM208">
        <v>24.1313</v>
      </c>
      <c r="FN208">
        <v>19</v>
      </c>
      <c r="FO208">
        <v>865.47</v>
      </c>
      <c r="FP208">
        <v>570.56600000000003</v>
      </c>
      <c r="FQ208">
        <v>18.072500000000002</v>
      </c>
      <c r="FR208">
        <v>25.6129</v>
      </c>
      <c r="FS208">
        <v>30.0014</v>
      </c>
      <c r="FT208">
        <v>25.607299999999999</v>
      </c>
      <c r="FU208">
        <v>25.610099999999999</v>
      </c>
      <c r="FV208">
        <v>24.956900000000001</v>
      </c>
      <c r="FW208">
        <v>27.126899999999999</v>
      </c>
      <c r="FX208">
        <v>0.275953</v>
      </c>
      <c r="FY208">
        <v>18.054200000000002</v>
      </c>
      <c r="FZ208">
        <v>410</v>
      </c>
      <c r="GA208">
        <v>14.345599999999999</v>
      </c>
      <c r="GB208">
        <v>99.857600000000005</v>
      </c>
      <c r="GC208">
        <v>99.741200000000006</v>
      </c>
    </row>
    <row r="209" spans="1:185" x14ac:dyDescent="0.2">
      <c r="A209">
        <v>194</v>
      </c>
      <c r="B209">
        <v>1769198192</v>
      </c>
      <c r="C209">
        <v>3631</v>
      </c>
      <c r="D209" t="s">
        <v>686</v>
      </c>
      <c r="E209" t="s">
        <v>687</v>
      </c>
      <c r="F209">
        <v>15</v>
      </c>
      <c r="G209">
        <v>1769198183.9333301</v>
      </c>
      <c r="H209">
        <f t="shared" si="39"/>
        <v>8.5573461838187146E-4</v>
      </c>
      <c r="I209">
        <v>0</v>
      </c>
      <c r="J209">
        <f t="shared" ref="J209:J272" si="51">K209*(0.0002153/0.0080229)</f>
        <v>-7.5841753043485907E-4</v>
      </c>
      <c r="K209">
        <f t="shared" si="40"/>
        <v>-2.8261532767885882E-2</v>
      </c>
      <c r="L209">
        <f t="shared" si="41"/>
        <v>69.822001759155938</v>
      </c>
      <c r="M209">
        <f t="shared" si="42"/>
        <v>1.5404404959224425</v>
      </c>
      <c r="N209">
        <f t="shared" si="43"/>
        <v>2.2062393760007613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26265.12308738205</v>
      </c>
      <c r="T209">
        <f t="shared" si="47"/>
        <v>500.00053333333301</v>
      </c>
      <c r="U209">
        <f t="shared" si="48"/>
        <v>421.49998329950245</v>
      </c>
      <c r="V209">
        <f t="shared" si="49"/>
        <v>0.84299906740000019</v>
      </c>
      <c r="W209">
        <f t="shared" si="50"/>
        <v>0.15869762952400004</v>
      </c>
      <c r="X209">
        <v>1</v>
      </c>
      <c r="Y209">
        <v>1769198183.9333301</v>
      </c>
      <c r="Z209">
        <v>409.59553333333298</v>
      </c>
      <c r="AA209">
        <v>409.99833333333299</v>
      </c>
      <c r="AB209">
        <v>15.372386666666699</v>
      </c>
      <c r="AC209">
        <v>14.3191733333333</v>
      </c>
      <c r="AD209">
        <v>410.40140000000002</v>
      </c>
      <c r="AE209">
        <v>15.2780733333333</v>
      </c>
      <c r="AF209">
        <v>800.00879999999995</v>
      </c>
      <c r="AG209">
        <v>100.143933333333</v>
      </c>
      <c r="AH209">
        <v>6.4351126666666703E-2</v>
      </c>
      <c r="AI209">
        <v>19.0076933333333</v>
      </c>
      <c r="AJ209">
        <v>999.9</v>
      </c>
      <c r="AK209">
        <v>999.9</v>
      </c>
      <c r="AL209">
        <v>0</v>
      </c>
      <c r="AM209">
        <v>0</v>
      </c>
      <c r="AN209">
        <v>5000.9666666666699</v>
      </c>
      <c r="AO209">
        <v>0</v>
      </c>
      <c r="AP209">
        <v>1.63733</v>
      </c>
      <c r="AQ209">
        <v>-0.40276693333333302</v>
      </c>
      <c r="AR209">
        <v>415.99013333333301</v>
      </c>
      <c r="AS209">
        <v>415.95446666666697</v>
      </c>
      <c r="AT209">
        <v>1.05321933333333</v>
      </c>
      <c r="AU209">
        <v>409.99833333333299</v>
      </c>
      <c r="AV209">
        <v>14.3191733333333</v>
      </c>
      <c r="AW209">
        <v>1.53945333333333</v>
      </c>
      <c r="AX209">
        <v>1.43398</v>
      </c>
      <c r="AY209">
        <v>13.365740000000001</v>
      </c>
      <c r="AZ209">
        <v>12.281793333333299</v>
      </c>
      <c r="BA209">
        <v>500.00053333333301</v>
      </c>
      <c r="BB209">
        <v>0.90003166666666701</v>
      </c>
      <c r="BC209">
        <v>0</v>
      </c>
      <c r="BD209">
        <v>9.9968353333333301E-2</v>
      </c>
      <c r="BE209">
        <v>0</v>
      </c>
      <c r="BF209">
        <v>25</v>
      </c>
      <c r="BG209">
        <v>8244.4753333333301</v>
      </c>
      <c r="BH209">
        <v>1769197713</v>
      </c>
      <c r="BI209" t="s">
        <v>637</v>
      </c>
      <c r="BJ209">
        <v>1769197710</v>
      </c>
      <c r="BK209">
        <v>1769197713</v>
      </c>
      <c r="BL209">
        <v>6</v>
      </c>
      <c r="BM209">
        <v>-1E-3</v>
      </c>
      <c r="BN209">
        <v>6.0000000000000001E-3</v>
      </c>
      <c r="BO209">
        <v>-0.80600000000000005</v>
      </c>
      <c r="BP209">
        <v>9.4E-2</v>
      </c>
      <c r="BQ209">
        <v>410</v>
      </c>
      <c r="BR209">
        <v>15</v>
      </c>
      <c r="BS209">
        <v>0.27</v>
      </c>
      <c r="BT209">
        <v>0.09</v>
      </c>
      <c r="BU209">
        <v>-0.40647125000000001</v>
      </c>
      <c r="BV209">
        <v>5.2777398496240698E-2</v>
      </c>
      <c r="BW209">
        <v>1.50413097962744E-2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1.0573969999999999</v>
      </c>
      <c r="CD209">
        <v>-0.1032992481203</v>
      </c>
      <c r="CE209">
        <v>1.0106937271003501E-2</v>
      </c>
      <c r="CF209">
        <v>0</v>
      </c>
      <c r="CG209">
        <v>1</v>
      </c>
      <c r="CH209">
        <v>2</v>
      </c>
      <c r="CI209" t="s">
        <v>297</v>
      </c>
      <c r="CJ209">
        <v>3.5325600000000001</v>
      </c>
      <c r="CK209">
        <v>2.7023199999999998</v>
      </c>
      <c r="CL209">
        <v>9.7883899999999996E-2</v>
      </c>
      <c r="CM209">
        <v>9.6606800000000007E-2</v>
      </c>
      <c r="CN209">
        <v>8.6909899999999998E-2</v>
      </c>
      <c r="CO209">
        <v>8.1648999999999999E-2</v>
      </c>
      <c r="CP209">
        <v>31626.2</v>
      </c>
      <c r="CQ209">
        <v>27818.3</v>
      </c>
      <c r="CR209">
        <v>32447.8</v>
      </c>
      <c r="CS209">
        <v>30720.7</v>
      </c>
      <c r="CT209">
        <v>40124.400000000001</v>
      </c>
      <c r="CU209">
        <v>39678.699999999997</v>
      </c>
      <c r="CV209">
        <v>47393.8</v>
      </c>
      <c r="CW209">
        <v>46856.4</v>
      </c>
      <c r="CX209">
        <v>2.6211600000000002</v>
      </c>
      <c r="CY209">
        <v>2.1210399999999998</v>
      </c>
      <c r="CZ209">
        <v>0</v>
      </c>
      <c r="DA209">
        <v>0</v>
      </c>
      <c r="DB209">
        <v>999.9</v>
      </c>
      <c r="DC209">
        <v>999.9</v>
      </c>
      <c r="DD209">
        <v>49.054000000000002</v>
      </c>
      <c r="DE209">
        <v>28.268000000000001</v>
      </c>
      <c r="DF209">
        <v>18.881399999999999</v>
      </c>
      <c r="DG209">
        <v>30.419799999999999</v>
      </c>
      <c r="DH209">
        <v>16.4223</v>
      </c>
      <c r="DI209">
        <v>2</v>
      </c>
      <c r="DJ209">
        <v>-0.106697</v>
      </c>
      <c r="DK209">
        <v>2.4084099999999999</v>
      </c>
      <c r="DL209">
        <v>20.205100000000002</v>
      </c>
      <c r="DM209">
        <v>5.2485600000000003</v>
      </c>
      <c r="DN209">
        <v>12.033899999999999</v>
      </c>
      <c r="DO209">
        <v>4.9668400000000004</v>
      </c>
      <c r="DP209">
        <v>3.2909999999999999</v>
      </c>
      <c r="DQ209">
        <v>537</v>
      </c>
      <c r="DR209">
        <v>9999</v>
      </c>
      <c r="DS209">
        <v>9999</v>
      </c>
      <c r="DT209">
        <v>9999</v>
      </c>
      <c r="DU209">
        <v>1.8711599999999999</v>
      </c>
      <c r="DV209">
        <v>1.87615</v>
      </c>
      <c r="DW209">
        <v>1.8763700000000001</v>
      </c>
      <c r="DX209">
        <v>1.8828100000000001</v>
      </c>
      <c r="DY209">
        <v>1.87561</v>
      </c>
      <c r="DZ209">
        <v>1.87469</v>
      </c>
      <c r="EA209">
        <v>1.8708400000000001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-0.80600000000000005</v>
      </c>
      <c r="EQ209">
        <v>9.4299999999999995E-2</v>
      </c>
      <c r="ER209">
        <v>-0.80572727272732403</v>
      </c>
      <c r="ES209">
        <v>0</v>
      </c>
      <c r="ET209">
        <v>0</v>
      </c>
      <c r="EU209">
        <v>0</v>
      </c>
      <c r="EV209">
        <v>9.43299999999994E-2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8</v>
      </c>
      <c r="FE209">
        <v>8</v>
      </c>
      <c r="FF209">
        <v>1.2439</v>
      </c>
      <c r="FG209">
        <v>2.5976599999999999</v>
      </c>
      <c r="FH209">
        <v>2.19604</v>
      </c>
      <c r="FI209">
        <v>2.66235</v>
      </c>
      <c r="FJ209">
        <v>2.4462899999999999</v>
      </c>
      <c r="FK209">
        <v>2.2827099999999998</v>
      </c>
      <c r="FL209">
        <v>32.576099999999997</v>
      </c>
      <c r="FM209">
        <v>24.148800000000001</v>
      </c>
      <c r="FN209">
        <v>19</v>
      </c>
      <c r="FO209">
        <v>865.48400000000004</v>
      </c>
      <c r="FP209">
        <v>570.596</v>
      </c>
      <c r="FQ209">
        <v>17.9983</v>
      </c>
      <c r="FR209">
        <v>25.6129</v>
      </c>
      <c r="FS209">
        <v>29.999600000000001</v>
      </c>
      <c r="FT209">
        <v>25.6083</v>
      </c>
      <c r="FU209">
        <v>25.610099999999999</v>
      </c>
      <c r="FV209">
        <v>24.957999999999998</v>
      </c>
      <c r="FW209">
        <v>27.126899999999999</v>
      </c>
      <c r="FX209">
        <v>0.275953</v>
      </c>
      <c r="FY209">
        <v>18.017900000000001</v>
      </c>
      <c r="FZ209">
        <v>410</v>
      </c>
      <c r="GA209">
        <v>14.388</v>
      </c>
      <c r="GB209">
        <v>99.859899999999996</v>
      </c>
      <c r="GC209">
        <v>99.741900000000001</v>
      </c>
    </row>
    <row r="210" spans="1:185" x14ac:dyDescent="0.2">
      <c r="A210">
        <v>195</v>
      </c>
      <c r="B210">
        <v>1769198207</v>
      </c>
      <c r="C210">
        <v>3646</v>
      </c>
      <c r="D210" t="s">
        <v>688</v>
      </c>
      <c r="E210" t="s">
        <v>689</v>
      </c>
      <c r="F210">
        <v>15</v>
      </c>
      <c r="G210">
        <v>1769198198.9333301</v>
      </c>
      <c r="H210">
        <f t="shared" si="39"/>
        <v>8.2160214569336422E-4</v>
      </c>
      <c r="I210">
        <v>0</v>
      </c>
      <c r="J210">
        <f t="shared" si="51"/>
        <v>4.3757105495632827E-5</v>
      </c>
      <c r="K210">
        <f t="shared" si="40"/>
        <v>1.6305568122661988E-3</v>
      </c>
      <c r="L210">
        <f t="shared" si="41"/>
        <v>69.808491123639058</v>
      </c>
      <c r="M210">
        <f t="shared" si="42"/>
        <v>1.5381938800707149</v>
      </c>
      <c r="N210">
        <f t="shared" si="43"/>
        <v>2.2034481125603937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26289.675603309537</v>
      </c>
      <c r="T210">
        <f t="shared" si="47"/>
        <v>499.99866666666702</v>
      </c>
      <c r="U210">
        <f t="shared" si="48"/>
        <v>421.49838260131588</v>
      </c>
      <c r="V210">
        <f t="shared" si="49"/>
        <v>0.8429990131999997</v>
      </c>
      <c r="W210">
        <f t="shared" si="50"/>
        <v>0.15869761095199997</v>
      </c>
      <c r="X210">
        <v>1</v>
      </c>
      <c r="Y210">
        <v>1769198198.9333301</v>
      </c>
      <c r="Z210">
        <v>409.57106666666698</v>
      </c>
      <c r="AA210">
        <v>409.99373333333301</v>
      </c>
      <c r="AB210">
        <v>15.3498066666667</v>
      </c>
      <c r="AC210">
        <v>14.338573333333301</v>
      </c>
      <c r="AD210">
        <v>410.3768</v>
      </c>
      <c r="AE210">
        <v>15.255466666666701</v>
      </c>
      <c r="AF210">
        <v>800.00400000000002</v>
      </c>
      <c r="AG210">
        <v>100.144933333333</v>
      </c>
      <c r="AH210">
        <v>6.4399166666666702E-2</v>
      </c>
      <c r="AI210">
        <v>18.987406666666701</v>
      </c>
      <c r="AJ210">
        <v>999.9</v>
      </c>
      <c r="AK210">
        <v>999.9</v>
      </c>
      <c r="AL210">
        <v>0</v>
      </c>
      <c r="AM210">
        <v>0</v>
      </c>
      <c r="AN210">
        <v>5004.6666666666697</v>
      </c>
      <c r="AO210">
        <v>0</v>
      </c>
      <c r="AP210">
        <v>1.63733</v>
      </c>
      <c r="AQ210">
        <v>-0.42268273333333301</v>
      </c>
      <c r="AR210">
        <v>415.95586666666702</v>
      </c>
      <c r="AS210">
        <v>415.95800000000003</v>
      </c>
      <c r="AT210">
        <v>1.0112254000000001</v>
      </c>
      <c r="AU210">
        <v>409.99373333333301</v>
      </c>
      <c r="AV210">
        <v>14.338573333333301</v>
      </c>
      <c r="AW210">
        <v>1.5372060000000001</v>
      </c>
      <c r="AX210">
        <v>1.4359373333333301</v>
      </c>
      <c r="AY210">
        <v>13.3433333333333</v>
      </c>
      <c r="AZ210">
        <v>12.302519999999999</v>
      </c>
      <c r="BA210">
        <v>499.99866666666702</v>
      </c>
      <c r="BB210">
        <v>0.90003173333333297</v>
      </c>
      <c r="BC210">
        <v>0</v>
      </c>
      <c r="BD210">
        <v>9.9968226666666701E-2</v>
      </c>
      <c r="BE210">
        <v>0</v>
      </c>
      <c r="BF210">
        <v>25</v>
      </c>
      <c r="BG210">
        <v>8244.4459999999999</v>
      </c>
      <c r="BH210">
        <v>1769197713</v>
      </c>
      <c r="BI210" t="s">
        <v>637</v>
      </c>
      <c r="BJ210">
        <v>1769197710</v>
      </c>
      <c r="BK210">
        <v>1769197713</v>
      </c>
      <c r="BL210">
        <v>6</v>
      </c>
      <c r="BM210">
        <v>-1E-3</v>
      </c>
      <c r="BN210">
        <v>6.0000000000000001E-3</v>
      </c>
      <c r="BO210">
        <v>-0.80600000000000005</v>
      </c>
      <c r="BP210">
        <v>9.4E-2</v>
      </c>
      <c r="BQ210">
        <v>410</v>
      </c>
      <c r="BR210">
        <v>15</v>
      </c>
      <c r="BS210">
        <v>0.27</v>
      </c>
      <c r="BT210">
        <v>0.09</v>
      </c>
      <c r="BU210">
        <v>-0.416941333333333</v>
      </c>
      <c r="BV210">
        <v>-0.13642075324675401</v>
      </c>
      <c r="BW210">
        <v>2.4523527737632101E-2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1.0208081428571401</v>
      </c>
      <c r="CD210">
        <v>-0.22249511688311899</v>
      </c>
      <c r="CE210">
        <v>2.4221934499216901E-2</v>
      </c>
      <c r="CF210">
        <v>0</v>
      </c>
      <c r="CG210">
        <v>1</v>
      </c>
      <c r="CH210">
        <v>2</v>
      </c>
      <c r="CI210" t="s">
        <v>297</v>
      </c>
      <c r="CJ210">
        <v>3.5325799999999998</v>
      </c>
      <c r="CK210">
        <v>2.7021999999999999</v>
      </c>
      <c r="CL210">
        <v>9.7881800000000005E-2</v>
      </c>
      <c r="CM210">
        <v>9.6600099999999994E-2</v>
      </c>
      <c r="CN210">
        <v>8.6924600000000005E-2</v>
      </c>
      <c r="CO210">
        <v>8.1789000000000001E-2</v>
      </c>
      <c r="CP210">
        <v>31627.7</v>
      </c>
      <c r="CQ210">
        <v>27819.7</v>
      </c>
      <c r="CR210">
        <v>32449.200000000001</v>
      </c>
      <c r="CS210">
        <v>30721.9</v>
      </c>
      <c r="CT210">
        <v>40125.5</v>
      </c>
      <c r="CU210">
        <v>39674.1</v>
      </c>
      <c r="CV210">
        <v>47395.8</v>
      </c>
      <c r="CW210">
        <v>46858.2</v>
      </c>
      <c r="CX210">
        <v>2.62114</v>
      </c>
      <c r="CY210">
        <v>2.1210599999999999</v>
      </c>
      <c r="CZ210">
        <v>0</v>
      </c>
      <c r="DA210">
        <v>0</v>
      </c>
      <c r="DB210">
        <v>999.9</v>
      </c>
      <c r="DC210">
        <v>999.9</v>
      </c>
      <c r="DD210">
        <v>49.005000000000003</v>
      </c>
      <c r="DE210">
        <v>28.268000000000001</v>
      </c>
      <c r="DF210">
        <v>18.861799999999999</v>
      </c>
      <c r="DG210">
        <v>30.299800000000001</v>
      </c>
      <c r="DH210">
        <v>16.474399999999999</v>
      </c>
      <c r="DI210">
        <v>2</v>
      </c>
      <c r="DJ210">
        <v>-0.10784100000000001</v>
      </c>
      <c r="DK210">
        <v>2.2877999999999998</v>
      </c>
      <c r="DL210">
        <v>20.2072</v>
      </c>
      <c r="DM210">
        <v>5.2484400000000004</v>
      </c>
      <c r="DN210">
        <v>12.033899999999999</v>
      </c>
      <c r="DO210">
        <v>4.9666399999999999</v>
      </c>
      <c r="DP210">
        <v>3.29088</v>
      </c>
      <c r="DQ210">
        <v>537</v>
      </c>
      <c r="DR210">
        <v>9999</v>
      </c>
      <c r="DS210">
        <v>9999</v>
      </c>
      <c r="DT210">
        <v>9999</v>
      </c>
      <c r="DU210">
        <v>1.87117</v>
      </c>
      <c r="DV210">
        <v>1.8761099999999999</v>
      </c>
      <c r="DW210">
        <v>1.87636</v>
      </c>
      <c r="DX210">
        <v>1.8828199999999999</v>
      </c>
      <c r="DY210">
        <v>1.8756200000000001</v>
      </c>
      <c r="DZ210">
        <v>1.87469</v>
      </c>
      <c r="EA210">
        <v>1.87087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-0.80600000000000005</v>
      </c>
      <c r="EQ210">
        <v>9.4399999999999998E-2</v>
      </c>
      <c r="ER210">
        <v>-0.80572727272732403</v>
      </c>
      <c r="ES210">
        <v>0</v>
      </c>
      <c r="ET210">
        <v>0</v>
      </c>
      <c r="EU210">
        <v>0</v>
      </c>
      <c r="EV210">
        <v>9.43299999999994E-2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8.3000000000000007</v>
      </c>
      <c r="FE210">
        <v>8.1999999999999993</v>
      </c>
      <c r="FF210">
        <v>1.2439</v>
      </c>
      <c r="FG210">
        <v>2.5988799999999999</v>
      </c>
      <c r="FH210">
        <v>2.19604</v>
      </c>
      <c r="FI210">
        <v>2.66357</v>
      </c>
      <c r="FJ210">
        <v>2.4462899999999999</v>
      </c>
      <c r="FK210">
        <v>2.31934</v>
      </c>
      <c r="FL210">
        <v>32.576099999999997</v>
      </c>
      <c r="FM210">
        <v>24.148800000000001</v>
      </c>
      <c r="FN210">
        <v>19</v>
      </c>
      <c r="FO210">
        <v>865.48599999999999</v>
      </c>
      <c r="FP210">
        <v>570.63599999999997</v>
      </c>
      <c r="FQ210">
        <v>18.0472</v>
      </c>
      <c r="FR210">
        <v>25.614999999999998</v>
      </c>
      <c r="FS210">
        <v>29.9999</v>
      </c>
      <c r="FT210">
        <v>25.609500000000001</v>
      </c>
      <c r="FU210">
        <v>25.612300000000001</v>
      </c>
      <c r="FV210">
        <v>24.959199999999999</v>
      </c>
      <c r="FW210">
        <v>26.8291</v>
      </c>
      <c r="FX210">
        <v>0</v>
      </c>
      <c r="FY210">
        <v>18.053799999999999</v>
      </c>
      <c r="FZ210">
        <v>410</v>
      </c>
      <c r="GA210">
        <v>14.415800000000001</v>
      </c>
      <c r="GB210">
        <v>99.864199999999997</v>
      </c>
      <c r="GC210">
        <v>99.745800000000003</v>
      </c>
    </row>
    <row r="211" spans="1:185" x14ac:dyDescent="0.2">
      <c r="A211">
        <v>196</v>
      </c>
      <c r="B211">
        <v>1769198222</v>
      </c>
      <c r="C211">
        <v>3661</v>
      </c>
      <c r="D211" t="s">
        <v>690</v>
      </c>
      <c r="E211" t="s">
        <v>691</v>
      </c>
      <c r="F211">
        <v>15</v>
      </c>
      <c r="G211">
        <v>1769198213.9333301</v>
      </c>
      <c r="H211">
        <f t="shared" si="39"/>
        <v>8.1726099883850897E-4</v>
      </c>
      <c r="I211">
        <v>0</v>
      </c>
      <c r="J211">
        <f t="shared" si="51"/>
        <v>-9.8509556663146426E-4</v>
      </c>
      <c r="K211">
        <f t="shared" si="40"/>
        <v>-3.6708421837099742E-2</v>
      </c>
      <c r="L211">
        <f t="shared" si="41"/>
        <v>69.788448151607355</v>
      </c>
      <c r="M211">
        <f t="shared" si="42"/>
        <v>1.5372980473916023</v>
      </c>
      <c r="N211">
        <f t="shared" si="43"/>
        <v>2.2027972939762175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26240.94127272375</v>
      </c>
      <c r="T211">
        <f t="shared" si="47"/>
        <v>499.99959999999999</v>
      </c>
      <c r="U211">
        <f t="shared" si="48"/>
        <v>421.49924850033125</v>
      </c>
      <c r="V211">
        <f t="shared" si="49"/>
        <v>0.84299917139999969</v>
      </c>
      <c r="W211">
        <f t="shared" si="50"/>
        <v>0.15869775960399995</v>
      </c>
      <c r="X211">
        <v>1</v>
      </c>
      <c r="Y211">
        <v>1769198213.9333301</v>
      </c>
      <c r="Z211">
        <v>409.58326666666699</v>
      </c>
      <c r="AA211">
        <v>409.95580000000001</v>
      </c>
      <c r="AB211">
        <v>15.340726666666701</v>
      </c>
      <c r="AC211">
        <v>14.3348266666667</v>
      </c>
      <c r="AD211">
        <v>410.38913333333301</v>
      </c>
      <c r="AE211">
        <v>15.2464</v>
      </c>
      <c r="AF211">
        <v>800.00360000000001</v>
      </c>
      <c r="AG211">
        <v>100.14579999999999</v>
      </c>
      <c r="AH211">
        <v>6.444954E-2</v>
      </c>
      <c r="AI211">
        <v>18.982673333333299</v>
      </c>
      <c r="AJ211">
        <v>999.9</v>
      </c>
      <c r="AK211">
        <v>999.9</v>
      </c>
      <c r="AL211">
        <v>0</v>
      </c>
      <c r="AM211">
        <v>0</v>
      </c>
      <c r="AN211">
        <v>4996.5333333333301</v>
      </c>
      <c r="AO211">
        <v>0</v>
      </c>
      <c r="AP211">
        <v>1.63733</v>
      </c>
      <c r="AQ211">
        <v>-0.37241606666666699</v>
      </c>
      <c r="AR211">
        <v>415.96453333333301</v>
      </c>
      <c r="AS211">
        <v>415.9178</v>
      </c>
      <c r="AT211">
        <v>1.0059221333333299</v>
      </c>
      <c r="AU211">
        <v>409.95580000000001</v>
      </c>
      <c r="AV211">
        <v>14.3348266666667</v>
      </c>
      <c r="AW211">
        <v>1.536308</v>
      </c>
      <c r="AX211">
        <v>1.43557</v>
      </c>
      <c r="AY211">
        <v>13.334379999999999</v>
      </c>
      <c r="AZ211">
        <v>12.298640000000001</v>
      </c>
      <c r="BA211">
        <v>499.99959999999999</v>
      </c>
      <c r="BB211">
        <v>0.90003013333333304</v>
      </c>
      <c r="BC211">
        <v>0</v>
      </c>
      <c r="BD211">
        <v>9.9969953333333306E-2</v>
      </c>
      <c r="BE211">
        <v>0</v>
      </c>
      <c r="BF211">
        <v>25</v>
      </c>
      <c r="BG211">
        <v>8244.4573333333301</v>
      </c>
      <c r="BH211">
        <v>1769197713</v>
      </c>
      <c r="BI211" t="s">
        <v>637</v>
      </c>
      <c r="BJ211">
        <v>1769197710</v>
      </c>
      <c r="BK211">
        <v>1769197713</v>
      </c>
      <c r="BL211">
        <v>6</v>
      </c>
      <c r="BM211">
        <v>-1E-3</v>
      </c>
      <c r="BN211">
        <v>6.0000000000000001E-3</v>
      </c>
      <c r="BO211">
        <v>-0.80600000000000005</v>
      </c>
      <c r="BP211">
        <v>9.4E-2</v>
      </c>
      <c r="BQ211">
        <v>410</v>
      </c>
      <c r="BR211">
        <v>15</v>
      </c>
      <c r="BS211">
        <v>0.27</v>
      </c>
      <c r="BT211">
        <v>0.09</v>
      </c>
      <c r="BU211">
        <v>-0.38943624999999998</v>
      </c>
      <c r="BV211">
        <v>0.16381339849623999</v>
      </c>
      <c r="BW211">
        <v>4.4738812978078697E-2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1.0025996500000001</v>
      </c>
      <c r="CD211">
        <v>-9.2161218045112597E-2</v>
      </c>
      <c r="CE211">
        <v>2.7679394403192802E-2</v>
      </c>
      <c r="CF211">
        <v>1</v>
      </c>
      <c r="CG211">
        <v>2</v>
      </c>
      <c r="CH211">
        <v>2</v>
      </c>
      <c r="CI211" t="s">
        <v>304</v>
      </c>
      <c r="CJ211">
        <v>3.5325099999999998</v>
      </c>
      <c r="CK211">
        <v>2.7022599999999999</v>
      </c>
      <c r="CL211">
        <v>9.7882200000000003E-2</v>
      </c>
      <c r="CM211">
        <v>9.66085E-2</v>
      </c>
      <c r="CN211">
        <v>8.6867299999999995E-2</v>
      </c>
      <c r="CO211">
        <v>8.1936999999999996E-2</v>
      </c>
      <c r="CP211">
        <v>31627.8</v>
      </c>
      <c r="CQ211">
        <v>27819.3</v>
      </c>
      <c r="CR211">
        <v>32449.4</v>
      </c>
      <c r="CS211">
        <v>30721.8</v>
      </c>
      <c r="CT211">
        <v>40128.199999999997</v>
      </c>
      <c r="CU211">
        <v>39667.4</v>
      </c>
      <c r="CV211">
        <v>47396</v>
      </c>
      <c r="CW211">
        <v>46858.1</v>
      </c>
      <c r="CX211">
        <v>2.621</v>
      </c>
      <c r="CY211">
        <v>2.1214</v>
      </c>
      <c r="CZ211">
        <v>0</v>
      </c>
      <c r="DA211">
        <v>0</v>
      </c>
      <c r="DB211">
        <v>999.9</v>
      </c>
      <c r="DC211">
        <v>999.9</v>
      </c>
      <c r="DD211">
        <v>48.871000000000002</v>
      </c>
      <c r="DE211">
        <v>28.277999999999999</v>
      </c>
      <c r="DF211">
        <v>18.820499999999999</v>
      </c>
      <c r="DG211">
        <v>30.569800000000001</v>
      </c>
      <c r="DH211">
        <v>16.4864</v>
      </c>
      <c r="DI211">
        <v>2</v>
      </c>
      <c r="DJ211">
        <v>-0.107628</v>
      </c>
      <c r="DK211">
        <v>2.2614100000000001</v>
      </c>
      <c r="DL211">
        <v>20.207799999999999</v>
      </c>
      <c r="DM211">
        <v>5.2492799999999997</v>
      </c>
      <c r="DN211">
        <v>12.033899999999999</v>
      </c>
      <c r="DO211">
        <v>4.9668000000000001</v>
      </c>
      <c r="DP211">
        <v>3.2909999999999999</v>
      </c>
      <c r="DQ211">
        <v>537</v>
      </c>
      <c r="DR211">
        <v>9999</v>
      </c>
      <c r="DS211">
        <v>9999</v>
      </c>
      <c r="DT211">
        <v>9999</v>
      </c>
      <c r="DU211">
        <v>1.87117</v>
      </c>
      <c r="DV211">
        <v>1.87612</v>
      </c>
      <c r="DW211">
        <v>1.8763700000000001</v>
      </c>
      <c r="DX211">
        <v>1.88286</v>
      </c>
      <c r="DY211">
        <v>1.8756200000000001</v>
      </c>
      <c r="DZ211">
        <v>1.87469</v>
      </c>
      <c r="EA211">
        <v>1.87087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-0.80600000000000005</v>
      </c>
      <c r="EQ211">
        <v>9.4299999999999995E-2</v>
      </c>
      <c r="ER211">
        <v>-0.80572727272732403</v>
      </c>
      <c r="ES211">
        <v>0</v>
      </c>
      <c r="ET211">
        <v>0</v>
      </c>
      <c r="EU211">
        <v>0</v>
      </c>
      <c r="EV211">
        <v>9.43299999999994E-2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8.5</v>
      </c>
      <c r="FE211">
        <v>8.5</v>
      </c>
      <c r="FF211">
        <v>1.2439</v>
      </c>
      <c r="FG211">
        <v>2.5976599999999999</v>
      </c>
      <c r="FH211">
        <v>2.19604</v>
      </c>
      <c r="FI211">
        <v>2.66357</v>
      </c>
      <c r="FJ211">
        <v>2.4462899999999999</v>
      </c>
      <c r="FK211">
        <v>2.323</v>
      </c>
      <c r="FL211">
        <v>32.576099999999997</v>
      </c>
      <c r="FM211">
        <v>24.148800000000001</v>
      </c>
      <c r="FN211">
        <v>19</v>
      </c>
      <c r="FO211">
        <v>865.39</v>
      </c>
      <c r="FP211">
        <v>570.89800000000002</v>
      </c>
      <c r="FQ211">
        <v>18.083100000000002</v>
      </c>
      <c r="FR211">
        <v>25.614999999999998</v>
      </c>
      <c r="FS211">
        <v>30.0001</v>
      </c>
      <c r="FT211">
        <v>25.611599999999999</v>
      </c>
      <c r="FU211">
        <v>25.6127</v>
      </c>
      <c r="FV211">
        <v>24.9633</v>
      </c>
      <c r="FW211">
        <v>25.924800000000001</v>
      </c>
      <c r="FX211">
        <v>0</v>
      </c>
      <c r="FY211">
        <v>18.088200000000001</v>
      </c>
      <c r="FZ211">
        <v>410</v>
      </c>
      <c r="GA211">
        <v>14.4602</v>
      </c>
      <c r="GB211">
        <v>99.864599999999996</v>
      </c>
      <c r="GC211">
        <v>99.745599999999996</v>
      </c>
    </row>
    <row r="212" spans="1:185" x14ac:dyDescent="0.2">
      <c r="A212">
        <v>197</v>
      </c>
      <c r="B212">
        <v>1769198237</v>
      </c>
      <c r="C212">
        <v>3676</v>
      </c>
      <c r="D212" t="s">
        <v>692</v>
      </c>
      <c r="E212" t="s">
        <v>693</v>
      </c>
      <c r="F212">
        <v>15</v>
      </c>
      <c r="G212">
        <v>1769198228.9333301</v>
      </c>
      <c r="H212">
        <f t="shared" si="39"/>
        <v>7.7714319673423133E-4</v>
      </c>
      <c r="I212">
        <v>0</v>
      </c>
      <c r="J212">
        <f t="shared" si="51"/>
        <v>4.019580798251891E-4</v>
      </c>
      <c r="K212">
        <f t="shared" si="40"/>
        <v>1.497849270148402E-2</v>
      </c>
      <c r="L212">
        <f t="shared" si="41"/>
        <v>69.838216056671669</v>
      </c>
      <c r="M212">
        <f t="shared" si="42"/>
        <v>1.5384301786533858</v>
      </c>
      <c r="N212">
        <f t="shared" si="43"/>
        <v>2.2028486200234481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26263.844130432077</v>
      </c>
      <c r="T212">
        <f t="shared" si="47"/>
        <v>499.99939999999998</v>
      </c>
      <c r="U212">
        <f t="shared" si="48"/>
        <v>421.4990602005206</v>
      </c>
      <c r="V212">
        <f t="shared" si="49"/>
        <v>0.84299913199999965</v>
      </c>
      <c r="W212">
        <f t="shared" si="50"/>
        <v>0.15869782999999996</v>
      </c>
      <c r="X212">
        <v>1</v>
      </c>
      <c r="Y212">
        <v>1769198228.9333301</v>
      </c>
      <c r="Z212">
        <v>409.58293333333302</v>
      </c>
      <c r="AA212">
        <v>409.99953333333298</v>
      </c>
      <c r="AB212">
        <v>15.3521066666667</v>
      </c>
      <c r="AC212">
        <v>14.3956</v>
      </c>
      <c r="AD212">
        <v>410.3888</v>
      </c>
      <c r="AE212">
        <v>15.257773333333301</v>
      </c>
      <c r="AF212">
        <v>800.00739999999996</v>
      </c>
      <c r="AG212">
        <v>100.145266666667</v>
      </c>
      <c r="AH212">
        <v>6.4444746666666705E-2</v>
      </c>
      <c r="AI212">
        <v>18.983046666666699</v>
      </c>
      <c r="AJ212">
        <v>999.9</v>
      </c>
      <c r="AK212">
        <v>999.9</v>
      </c>
      <c r="AL212">
        <v>0</v>
      </c>
      <c r="AM212">
        <v>0</v>
      </c>
      <c r="AN212">
        <v>5000.3333333333303</v>
      </c>
      <c r="AO212">
        <v>0</v>
      </c>
      <c r="AP212">
        <v>1.63733</v>
      </c>
      <c r="AQ212">
        <v>-0.41645913333333301</v>
      </c>
      <c r="AR212">
        <v>415.96899999999999</v>
      </c>
      <c r="AS212">
        <v>415.987866666667</v>
      </c>
      <c r="AT212">
        <v>0.95650860000000004</v>
      </c>
      <c r="AU212">
        <v>409.99953333333298</v>
      </c>
      <c r="AV212">
        <v>14.3956</v>
      </c>
      <c r="AW212">
        <v>1.537442</v>
      </c>
      <c r="AX212">
        <v>1.44165066666667</v>
      </c>
      <c r="AY212">
        <v>13.345686666666699</v>
      </c>
      <c r="AZ212">
        <v>12.362966666666701</v>
      </c>
      <c r="BA212">
        <v>499.99939999999998</v>
      </c>
      <c r="BB212">
        <v>0.900028933333333</v>
      </c>
      <c r="BC212">
        <v>0</v>
      </c>
      <c r="BD212">
        <v>9.9971066666666705E-2</v>
      </c>
      <c r="BE212">
        <v>0</v>
      </c>
      <c r="BF212">
        <v>25</v>
      </c>
      <c r="BG212">
        <v>8244.4533333333293</v>
      </c>
      <c r="BH212">
        <v>1769197713</v>
      </c>
      <c r="BI212" t="s">
        <v>637</v>
      </c>
      <c r="BJ212">
        <v>1769197710</v>
      </c>
      <c r="BK212">
        <v>1769197713</v>
      </c>
      <c r="BL212">
        <v>6</v>
      </c>
      <c r="BM212">
        <v>-1E-3</v>
      </c>
      <c r="BN212">
        <v>6.0000000000000001E-3</v>
      </c>
      <c r="BO212">
        <v>-0.80600000000000005</v>
      </c>
      <c r="BP212">
        <v>9.4E-2</v>
      </c>
      <c r="BQ212">
        <v>410</v>
      </c>
      <c r="BR212">
        <v>15</v>
      </c>
      <c r="BS212">
        <v>0.27</v>
      </c>
      <c r="BT212">
        <v>0.09</v>
      </c>
      <c r="BU212">
        <v>-0.41121852380952401</v>
      </c>
      <c r="BV212">
        <v>-9.3205870129870402E-2</v>
      </c>
      <c r="BW212">
        <v>2.1474400909918499E-2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0.96101476190476198</v>
      </c>
      <c r="CD212">
        <v>-5.2009090909090103E-2</v>
      </c>
      <c r="CE212">
        <v>9.3869883141493998E-3</v>
      </c>
      <c r="CF212">
        <v>1</v>
      </c>
      <c r="CG212">
        <v>2</v>
      </c>
      <c r="CH212">
        <v>2</v>
      </c>
      <c r="CI212" t="s">
        <v>304</v>
      </c>
      <c r="CJ212">
        <v>3.5324800000000001</v>
      </c>
      <c r="CK212">
        <v>2.7022200000000001</v>
      </c>
      <c r="CL212">
        <v>9.7888900000000001E-2</v>
      </c>
      <c r="CM212">
        <v>9.6603400000000006E-2</v>
      </c>
      <c r="CN212">
        <v>8.6967000000000003E-2</v>
      </c>
      <c r="CO212">
        <v>8.2022600000000001E-2</v>
      </c>
      <c r="CP212">
        <v>31627.7</v>
      </c>
      <c r="CQ212">
        <v>27819.7</v>
      </c>
      <c r="CR212">
        <v>32449.5</v>
      </c>
      <c r="CS212">
        <v>30722.1</v>
      </c>
      <c r="CT212">
        <v>40124</v>
      </c>
      <c r="CU212">
        <v>39664.1</v>
      </c>
      <c r="CV212">
        <v>47396.4</v>
      </c>
      <c r="CW212">
        <v>46858.7</v>
      </c>
      <c r="CX212">
        <v>2.6209799999999999</v>
      </c>
      <c r="CY212">
        <v>2.1212599999999999</v>
      </c>
      <c r="CZ212">
        <v>0</v>
      </c>
      <c r="DA212">
        <v>0</v>
      </c>
      <c r="DB212">
        <v>999.9</v>
      </c>
      <c r="DC212">
        <v>999.9</v>
      </c>
      <c r="DD212">
        <v>48.828000000000003</v>
      </c>
      <c r="DE212">
        <v>28.277999999999999</v>
      </c>
      <c r="DF212">
        <v>18.8032</v>
      </c>
      <c r="DG212">
        <v>30.569800000000001</v>
      </c>
      <c r="DH212">
        <v>16.4663</v>
      </c>
      <c r="DI212">
        <v>2</v>
      </c>
      <c r="DJ212">
        <v>-0.107738</v>
      </c>
      <c r="DK212">
        <v>2.2208100000000002</v>
      </c>
      <c r="DL212">
        <v>20.208100000000002</v>
      </c>
      <c r="DM212">
        <v>5.2501199999999999</v>
      </c>
      <c r="DN212">
        <v>12.033899999999999</v>
      </c>
      <c r="DO212">
        <v>4.96692</v>
      </c>
      <c r="DP212">
        <v>3.2909999999999999</v>
      </c>
      <c r="DQ212">
        <v>537</v>
      </c>
      <c r="DR212">
        <v>9999</v>
      </c>
      <c r="DS212">
        <v>9999</v>
      </c>
      <c r="DT212">
        <v>9999</v>
      </c>
      <c r="DU212">
        <v>1.8711500000000001</v>
      </c>
      <c r="DV212">
        <v>1.87612</v>
      </c>
      <c r="DW212">
        <v>1.8763700000000001</v>
      </c>
      <c r="DX212">
        <v>1.8828100000000001</v>
      </c>
      <c r="DY212">
        <v>1.87561</v>
      </c>
      <c r="DZ212">
        <v>1.87469</v>
      </c>
      <c r="EA212">
        <v>1.87086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-0.80600000000000005</v>
      </c>
      <c r="EQ212">
        <v>9.4399999999999998E-2</v>
      </c>
      <c r="ER212">
        <v>-0.80572727272732403</v>
      </c>
      <c r="ES212">
        <v>0</v>
      </c>
      <c r="ET212">
        <v>0</v>
      </c>
      <c r="EU212">
        <v>0</v>
      </c>
      <c r="EV212">
        <v>9.43299999999994E-2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8.8000000000000007</v>
      </c>
      <c r="FE212">
        <v>8.6999999999999993</v>
      </c>
      <c r="FF212">
        <v>1.2439</v>
      </c>
      <c r="FG212">
        <v>2.5964399999999999</v>
      </c>
      <c r="FH212">
        <v>2.19604</v>
      </c>
      <c r="FI212">
        <v>2.66357</v>
      </c>
      <c r="FJ212">
        <v>2.4462899999999999</v>
      </c>
      <c r="FK212">
        <v>2.3071299999999999</v>
      </c>
      <c r="FL212">
        <v>32.576099999999997</v>
      </c>
      <c r="FM212">
        <v>24.148800000000001</v>
      </c>
      <c r="FN212">
        <v>19</v>
      </c>
      <c r="FO212">
        <v>865.37099999999998</v>
      </c>
      <c r="FP212">
        <v>570.81200000000001</v>
      </c>
      <c r="FQ212">
        <v>18.120799999999999</v>
      </c>
      <c r="FR212">
        <v>25.6172</v>
      </c>
      <c r="FS212">
        <v>30</v>
      </c>
      <c r="FT212">
        <v>25.611599999999999</v>
      </c>
      <c r="FU212">
        <v>25.6144</v>
      </c>
      <c r="FV212">
        <v>24.965299999999999</v>
      </c>
      <c r="FW212">
        <v>25.6538</v>
      </c>
      <c r="FX212">
        <v>0</v>
      </c>
      <c r="FY212">
        <v>18.1249</v>
      </c>
      <c r="FZ212">
        <v>410</v>
      </c>
      <c r="GA212">
        <v>14.4678</v>
      </c>
      <c r="GB212">
        <v>99.865200000000002</v>
      </c>
      <c r="GC212">
        <v>99.746700000000004</v>
      </c>
    </row>
    <row r="213" spans="1:185" x14ac:dyDescent="0.2">
      <c r="A213">
        <v>198</v>
      </c>
      <c r="B213">
        <v>1769198252</v>
      </c>
      <c r="C213">
        <v>3691</v>
      </c>
      <c r="D213" t="s">
        <v>694</v>
      </c>
      <c r="E213" t="s">
        <v>695</v>
      </c>
      <c r="F213">
        <v>15</v>
      </c>
      <c r="G213">
        <v>1769198243.9333301</v>
      </c>
      <c r="H213">
        <f t="shared" si="39"/>
        <v>7.5777545968586958E-4</v>
      </c>
      <c r="I213">
        <v>0</v>
      </c>
      <c r="J213">
        <f t="shared" si="51"/>
        <v>2.410517911604474E-4</v>
      </c>
      <c r="K213">
        <f t="shared" si="40"/>
        <v>8.9825100571349435E-3</v>
      </c>
      <c r="L213">
        <f t="shared" si="41"/>
        <v>69.93437673367994</v>
      </c>
      <c r="M213">
        <f t="shared" si="42"/>
        <v>1.5408702545622337</v>
      </c>
      <c r="N213">
        <f t="shared" si="43"/>
        <v>2.2033087682043511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26287.186098801605</v>
      </c>
      <c r="T213">
        <f t="shared" si="47"/>
        <v>500.00046666666702</v>
      </c>
      <c r="U213">
        <f t="shared" si="48"/>
        <v>421.49989749953772</v>
      </c>
      <c r="V213">
        <f t="shared" si="49"/>
        <v>0.84299900820000051</v>
      </c>
      <c r="W213">
        <f t="shared" si="50"/>
        <v>0.15869766341200006</v>
      </c>
      <c r="X213">
        <v>1</v>
      </c>
      <c r="Y213">
        <v>1769198243.9333301</v>
      </c>
      <c r="Z213">
        <v>409.59393333333298</v>
      </c>
      <c r="AA213">
        <v>409.99313333333299</v>
      </c>
      <c r="AB213">
        <v>15.37622</v>
      </c>
      <c r="AC213">
        <v>14.443573333333299</v>
      </c>
      <c r="AD213">
        <v>410.39973333333302</v>
      </c>
      <c r="AE213">
        <v>15.281886666666701</v>
      </c>
      <c r="AF213">
        <v>800.00686666666695</v>
      </c>
      <c r="AG213">
        <v>100.146666666667</v>
      </c>
      <c r="AH213">
        <v>6.4585160000000003E-2</v>
      </c>
      <c r="AI213">
        <v>18.9863933333333</v>
      </c>
      <c r="AJ213">
        <v>999.9</v>
      </c>
      <c r="AK213">
        <v>999.9</v>
      </c>
      <c r="AL213">
        <v>0</v>
      </c>
      <c r="AM213">
        <v>0</v>
      </c>
      <c r="AN213">
        <v>5004.1666666666697</v>
      </c>
      <c r="AO213">
        <v>0</v>
      </c>
      <c r="AP213">
        <v>1.63733</v>
      </c>
      <c r="AQ213">
        <v>-0.39912106666666702</v>
      </c>
      <c r="AR213">
        <v>415.99033333333301</v>
      </c>
      <c r="AS213">
        <v>416.00166666666701</v>
      </c>
      <c r="AT213">
        <v>0.932653133333333</v>
      </c>
      <c r="AU213">
        <v>409.99313333333299</v>
      </c>
      <c r="AV213">
        <v>14.443573333333299</v>
      </c>
      <c r="AW213">
        <v>1.53987733333333</v>
      </c>
      <c r="AX213">
        <v>1.4464746666666699</v>
      </c>
      <c r="AY213">
        <v>13.3699666666667</v>
      </c>
      <c r="AZ213">
        <v>12.4137866666667</v>
      </c>
      <c r="BA213">
        <v>500.00046666666702</v>
      </c>
      <c r="BB213">
        <v>0.90003093333333395</v>
      </c>
      <c r="BC213">
        <v>0</v>
      </c>
      <c r="BD213">
        <v>9.9968993333333298E-2</v>
      </c>
      <c r="BE213">
        <v>0</v>
      </c>
      <c r="BF213">
        <v>25</v>
      </c>
      <c r="BG213">
        <v>8244.4733333333297</v>
      </c>
      <c r="BH213">
        <v>1769197713</v>
      </c>
      <c r="BI213" t="s">
        <v>637</v>
      </c>
      <c r="BJ213">
        <v>1769197710</v>
      </c>
      <c r="BK213">
        <v>1769197713</v>
      </c>
      <c r="BL213">
        <v>6</v>
      </c>
      <c r="BM213">
        <v>-1E-3</v>
      </c>
      <c r="BN213">
        <v>6.0000000000000001E-3</v>
      </c>
      <c r="BO213">
        <v>-0.80600000000000005</v>
      </c>
      <c r="BP213">
        <v>9.4E-2</v>
      </c>
      <c r="BQ213">
        <v>410</v>
      </c>
      <c r="BR213">
        <v>15</v>
      </c>
      <c r="BS213">
        <v>0.27</v>
      </c>
      <c r="BT213">
        <v>0.09</v>
      </c>
      <c r="BU213">
        <v>-0.40274195000000002</v>
      </c>
      <c r="BV213">
        <v>-6.9592330827067499E-3</v>
      </c>
      <c r="BW213">
        <v>2.0377029460829199E-2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0.93964095000000003</v>
      </c>
      <c r="CD213">
        <v>-0.12708888721804601</v>
      </c>
      <c r="CE213">
        <v>1.6823679049111102E-2</v>
      </c>
      <c r="CF213">
        <v>0</v>
      </c>
      <c r="CG213">
        <v>1</v>
      </c>
      <c r="CH213">
        <v>2</v>
      </c>
      <c r="CI213" t="s">
        <v>297</v>
      </c>
      <c r="CJ213">
        <v>3.5324399999999998</v>
      </c>
      <c r="CK213">
        <v>2.7023000000000001</v>
      </c>
      <c r="CL213">
        <v>9.78884E-2</v>
      </c>
      <c r="CM213">
        <v>9.6606499999999998E-2</v>
      </c>
      <c r="CN213">
        <v>8.7101300000000006E-2</v>
      </c>
      <c r="CO213">
        <v>8.2263900000000001E-2</v>
      </c>
      <c r="CP213">
        <v>31627.4</v>
      </c>
      <c r="CQ213">
        <v>27819.7</v>
      </c>
      <c r="CR213">
        <v>32449.200000000001</v>
      </c>
      <c r="CS213">
        <v>30722.2</v>
      </c>
      <c r="CT213">
        <v>40117.5</v>
      </c>
      <c r="CU213">
        <v>39653.4</v>
      </c>
      <c r="CV213">
        <v>47395.9</v>
      </c>
      <c r="CW213">
        <v>46858.7</v>
      </c>
      <c r="CX213">
        <v>2.6210599999999999</v>
      </c>
      <c r="CY213">
        <v>2.1216200000000001</v>
      </c>
      <c r="CZ213">
        <v>0</v>
      </c>
      <c r="DA213">
        <v>0</v>
      </c>
      <c r="DB213">
        <v>999.9</v>
      </c>
      <c r="DC213">
        <v>999.9</v>
      </c>
      <c r="DD213">
        <v>48.767000000000003</v>
      </c>
      <c r="DE213">
        <v>28.268000000000001</v>
      </c>
      <c r="DF213">
        <v>18.7713</v>
      </c>
      <c r="DG213">
        <v>30.3598</v>
      </c>
      <c r="DH213">
        <v>16.5184</v>
      </c>
      <c r="DI213">
        <v>2</v>
      </c>
      <c r="DJ213">
        <v>-0.107839</v>
      </c>
      <c r="DK213">
        <v>2.1933699999999998</v>
      </c>
      <c r="DL213">
        <v>20.2089</v>
      </c>
      <c r="DM213">
        <v>5.2496400000000003</v>
      </c>
      <c r="DN213">
        <v>12.033899999999999</v>
      </c>
      <c r="DO213">
        <v>4.9668000000000001</v>
      </c>
      <c r="DP213">
        <v>3.2909999999999999</v>
      </c>
      <c r="DQ213">
        <v>537</v>
      </c>
      <c r="DR213">
        <v>9999</v>
      </c>
      <c r="DS213">
        <v>9999</v>
      </c>
      <c r="DT213">
        <v>9999</v>
      </c>
      <c r="DU213">
        <v>1.87113</v>
      </c>
      <c r="DV213">
        <v>1.8761099999999999</v>
      </c>
      <c r="DW213">
        <v>1.87635</v>
      </c>
      <c r="DX213">
        <v>1.8828100000000001</v>
      </c>
      <c r="DY213">
        <v>1.87561</v>
      </c>
      <c r="DZ213">
        <v>1.8746799999999999</v>
      </c>
      <c r="EA213">
        <v>1.8708</v>
      </c>
      <c r="EB213">
        <v>1.8746499999999999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-0.80600000000000005</v>
      </c>
      <c r="EQ213">
        <v>9.4299999999999995E-2</v>
      </c>
      <c r="ER213">
        <v>-0.80572727272732403</v>
      </c>
      <c r="ES213">
        <v>0</v>
      </c>
      <c r="ET213">
        <v>0</v>
      </c>
      <c r="EU213">
        <v>0</v>
      </c>
      <c r="EV213">
        <v>9.43299999999994E-2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9</v>
      </c>
      <c r="FE213">
        <v>9</v>
      </c>
      <c r="FF213">
        <v>1.2439</v>
      </c>
      <c r="FG213">
        <v>2.5988799999999999</v>
      </c>
      <c r="FH213">
        <v>2.19604</v>
      </c>
      <c r="FI213">
        <v>2.66357</v>
      </c>
      <c r="FJ213">
        <v>2.4462899999999999</v>
      </c>
      <c r="FK213">
        <v>2.3010299999999999</v>
      </c>
      <c r="FL213">
        <v>32.598199999999999</v>
      </c>
      <c r="FM213">
        <v>24.148800000000001</v>
      </c>
      <c r="FN213">
        <v>19</v>
      </c>
      <c r="FO213">
        <v>865.44600000000003</v>
      </c>
      <c r="FP213">
        <v>571.08600000000001</v>
      </c>
      <c r="FQ213">
        <v>18.153400000000001</v>
      </c>
      <c r="FR213">
        <v>25.6172</v>
      </c>
      <c r="FS213">
        <v>30</v>
      </c>
      <c r="FT213">
        <v>25.611599999999999</v>
      </c>
      <c r="FU213">
        <v>25.6144</v>
      </c>
      <c r="FV213">
        <v>24.965299999999999</v>
      </c>
      <c r="FW213">
        <v>25.6538</v>
      </c>
      <c r="FX213">
        <v>0</v>
      </c>
      <c r="FY213">
        <v>18.156099999999999</v>
      </c>
      <c r="FZ213">
        <v>410</v>
      </c>
      <c r="GA213">
        <v>14.4575</v>
      </c>
      <c r="GB213">
        <v>99.864199999999997</v>
      </c>
      <c r="GC213">
        <v>99.746799999999993</v>
      </c>
    </row>
    <row r="214" spans="1:185" x14ac:dyDescent="0.2">
      <c r="A214">
        <v>199</v>
      </c>
      <c r="B214">
        <v>1769198267</v>
      </c>
      <c r="C214">
        <v>3706</v>
      </c>
      <c r="D214" t="s">
        <v>696</v>
      </c>
      <c r="E214" t="s">
        <v>697</v>
      </c>
      <c r="F214">
        <v>15</v>
      </c>
      <c r="G214">
        <v>1769198258.9333301</v>
      </c>
      <c r="H214">
        <f t="shared" si="39"/>
        <v>7.7196951370224194E-4</v>
      </c>
      <c r="I214">
        <v>0</v>
      </c>
      <c r="J214">
        <f t="shared" si="51"/>
        <v>-1.6584222436854125E-4</v>
      </c>
      <c r="K214">
        <f t="shared" si="40"/>
        <v>-6.1799144537221067E-3</v>
      </c>
      <c r="L214">
        <f t="shared" si="41"/>
        <v>70.048199691058841</v>
      </c>
      <c r="M214">
        <f t="shared" si="42"/>
        <v>1.5436549105024653</v>
      </c>
      <c r="N214">
        <f t="shared" si="43"/>
        <v>2.2037039028991661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26273.866915842587</v>
      </c>
      <c r="T214">
        <f t="shared" si="47"/>
        <v>499.99973333333298</v>
      </c>
      <c r="U214">
        <f t="shared" si="48"/>
        <v>421.49931100024742</v>
      </c>
      <c r="V214">
        <f t="shared" si="49"/>
        <v>0.84299907160000032</v>
      </c>
      <c r="W214">
        <f t="shared" si="50"/>
        <v>0.15869791285600005</v>
      </c>
      <c r="X214">
        <v>1</v>
      </c>
      <c r="Y214">
        <v>1769198258.9333301</v>
      </c>
      <c r="Z214">
        <v>409.61206666666698</v>
      </c>
      <c r="AA214">
        <v>409.99959999999999</v>
      </c>
      <c r="AB214">
        <v>15.4038466666667</v>
      </c>
      <c r="AC214">
        <v>14.453753333333299</v>
      </c>
      <c r="AD214">
        <v>410.41753333333298</v>
      </c>
      <c r="AE214">
        <v>15.309506666666699</v>
      </c>
      <c r="AF214">
        <v>800.003733333333</v>
      </c>
      <c r="AG214">
        <v>100.1478</v>
      </c>
      <c r="AH214">
        <v>6.45004666666667E-2</v>
      </c>
      <c r="AI214">
        <v>18.989266666666701</v>
      </c>
      <c r="AJ214">
        <v>999.9</v>
      </c>
      <c r="AK214">
        <v>999.9</v>
      </c>
      <c r="AL214">
        <v>0</v>
      </c>
      <c r="AM214">
        <v>0</v>
      </c>
      <c r="AN214">
        <v>5001.9666666666699</v>
      </c>
      <c r="AO214">
        <v>0</v>
      </c>
      <c r="AP214">
        <v>1.63733</v>
      </c>
      <c r="AQ214">
        <v>-0.387593666666667</v>
      </c>
      <c r="AR214">
        <v>416.020266666667</v>
      </c>
      <c r="AS214">
        <v>416.01253333333301</v>
      </c>
      <c r="AT214">
        <v>0.95008613333333303</v>
      </c>
      <c r="AU214">
        <v>409.99959999999999</v>
      </c>
      <c r="AV214">
        <v>14.453753333333299</v>
      </c>
      <c r="AW214">
        <v>1.542662</v>
      </c>
      <c r="AX214">
        <v>1.4475119999999999</v>
      </c>
      <c r="AY214">
        <v>13.397679999999999</v>
      </c>
      <c r="AZ214">
        <v>12.424720000000001</v>
      </c>
      <c r="BA214">
        <v>499.99973333333298</v>
      </c>
      <c r="BB214">
        <v>0.900027466666667</v>
      </c>
      <c r="BC214">
        <v>0</v>
      </c>
      <c r="BD214">
        <v>9.9972413333333301E-2</v>
      </c>
      <c r="BE214">
        <v>0</v>
      </c>
      <c r="BF214">
        <v>25</v>
      </c>
      <c r="BG214">
        <v>8244.4560000000001</v>
      </c>
      <c r="BH214">
        <v>1769197713</v>
      </c>
      <c r="BI214" t="s">
        <v>637</v>
      </c>
      <c r="BJ214">
        <v>1769197710</v>
      </c>
      <c r="BK214">
        <v>1769197713</v>
      </c>
      <c r="BL214">
        <v>6</v>
      </c>
      <c r="BM214">
        <v>-1E-3</v>
      </c>
      <c r="BN214">
        <v>6.0000000000000001E-3</v>
      </c>
      <c r="BO214">
        <v>-0.80600000000000005</v>
      </c>
      <c r="BP214">
        <v>9.4E-2</v>
      </c>
      <c r="BQ214">
        <v>410</v>
      </c>
      <c r="BR214">
        <v>15</v>
      </c>
      <c r="BS214">
        <v>0.27</v>
      </c>
      <c r="BT214">
        <v>0.09</v>
      </c>
      <c r="BU214">
        <v>-0.39429438095238101</v>
      </c>
      <c r="BV214">
        <v>8.1471116883117298E-2</v>
      </c>
      <c r="BW214">
        <v>1.7557161739047301E-2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0.94484057142857103</v>
      </c>
      <c r="CD214">
        <v>0.10441137662338</v>
      </c>
      <c r="CE214">
        <v>1.0574219609036701E-2</v>
      </c>
      <c r="CF214">
        <v>0</v>
      </c>
      <c r="CG214">
        <v>1</v>
      </c>
      <c r="CH214">
        <v>2</v>
      </c>
      <c r="CI214" t="s">
        <v>297</v>
      </c>
      <c r="CJ214">
        <v>3.53254</v>
      </c>
      <c r="CK214">
        <v>2.70228</v>
      </c>
      <c r="CL214">
        <v>9.7893900000000006E-2</v>
      </c>
      <c r="CM214">
        <v>9.6607999999999999E-2</v>
      </c>
      <c r="CN214">
        <v>8.7191000000000005E-2</v>
      </c>
      <c r="CO214">
        <v>8.2244499999999998E-2</v>
      </c>
      <c r="CP214">
        <v>31628</v>
      </c>
      <c r="CQ214">
        <v>27819.599999999999</v>
      </c>
      <c r="CR214">
        <v>32450</v>
      </c>
      <c r="CS214">
        <v>30722.2</v>
      </c>
      <c r="CT214">
        <v>40114.6</v>
      </c>
      <c r="CU214">
        <v>39654.400000000001</v>
      </c>
      <c r="CV214">
        <v>47397.3</v>
      </c>
      <c r="CW214">
        <v>46858.8</v>
      </c>
      <c r="CX214">
        <v>2.6207799999999999</v>
      </c>
      <c r="CY214">
        <v>2.12148</v>
      </c>
      <c r="CZ214">
        <v>0</v>
      </c>
      <c r="DA214">
        <v>0</v>
      </c>
      <c r="DB214">
        <v>999.9</v>
      </c>
      <c r="DC214">
        <v>999.9</v>
      </c>
      <c r="DD214">
        <v>48.73</v>
      </c>
      <c r="DE214">
        <v>28.277999999999999</v>
      </c>
      <c r="DF214">
        <v>18.766300000000001</v>
      </c>
      <c r="DG214">
        <v>30.239799999999999</v>
      </c>
      <c r="DH214">
        <v>16.522400000000001</v>
      </c>
      <c r="DI214">
        <v>2</v>
      </c>
      <c r="DJ214">
        <v>-0.107959</v>
      </c>
      <c r="DK214">
        <v>2.1750600000000002</v>
      </c>
      <c r="DL214">
        <v>20.2088</v>
      </c>
      <c r="DM214">
        <v>5.2495200000000004</v>
      </c>
      <c r="DN214">
        <v>12.033899999999999</v>
      </c>
      <c r="DO214">
        <v>4.9668400000000004</v>
      </c>
      <c r="DP214">
        <v>3.2909999999999999</v>
      </c>
      <c r="DQ214">
        <v>537</v>
      </c>
      <c r="DR214">
        <v>9999</v>
      </c>
      <c r="DS214">
        <v>9999</v>
      </c>
      <c r="DT214">
        <v>9999</v>
      </c>
      <c r="DU214">
        <v>1.87117</v>
      </c>
      <c r="DV214">
        <v>1.8761300000000001</v>
      </c>
      <c r="DW214">
        <v>1.87636</v>
      </c>
      <c r="DX214">
        <v>1.88279</v>
      </c>
      <c r="DY214">
        <v>1.87561</v>
      </c>
      <c r="DZ214">
        <v>1.8746700000000001</v>
      </c>
      <c r="EA214">
        <v>1.8708499999999999</v>
      </c>
      <c r="EB214">
        <v>1.8746700000000001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-0.80600000000000005</v>
      </c>
      <c r="EQ214">
        <v>9.4299999999999995E-2</v>
      </c>
      <c r="ER214">
        <v>-0.80572727272732403</v>
      </c>
      <c r="ES214">
        <v>0</v>
      </c>
      <c r="ET214">
        <v>0</v>
      </c>
      <c r="EU214">
        <v>0</v>
      </c>
      <c r="EV214">
        <v>9.43299999999994E-2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9.3000000000000007</v>
      </c>
      <c r="FE214">
        <v>9.1999999999999993</v>
      </c>
      <c r="FF214">
        <v>1.2439</v>
      </c>
      <c r="FG214">
        <v>2.5976599999999999</v>
      </c>
      <c r="FH214">
        <v>2.19604</v>
      </c>
      <c r="FI214">
        <v>2.66357</v>
      </c>
      <c r="FJ214">
        <v>2.4462899999999999</v>
      </c>
      <c r="FK214">
        <v>2.2875999999999999</v>
      </c>
      <c r="FL214">
        <v>32.576099999999997</v>
      </c>
      <c r="FM214">
        <v>24.148800000000001</v>
      </c>
      <c r="FN214">
        <v>19</v>
      </c>
      <c r="FO214">
        <v>865.19899999999996</v>
      </c>
      <c r="FP214">
        <v>570.97900000000004</v>
      </c>
      <c r="FQ214">
        <v>18.175699999999999</v>
      </c>
      <c r="FR214">
        <v>25.6172</v>
      </c>
      <c r="FS214">
        <v>30.0001</v>
      </c>
      <c r="FT214">
        <v>25.6126</v>
      </c>
      <c r="FU214">
        <v>25.6144</v>
      </c>
      <c r="FV214">
        <v>24.966699999999999</v>
      </c>
      <c r="FW214">
        <v>25.6538</v>
      </c>
      <c r="FX214">
        <v>0</v>
      </c>
      <c r="FY214">
        <v>18.179200000000002</v>
      </c>
      <c r="FZ214">
        <v>410</v>
      </c>
      <c r="GA214">
        <v>14.4575</v>
      </c>
      <c r="GB214">
        <v>99.867000000000004</v>
      </c>
      <c r="GC214">
        <v>99.747</v>
      </c>
    </row>
    <row r="215" spans="1:185" x14ac:dyDescent="0.2">
      <c r="A215">
        <v>200</v>
      </c>
      <c r="B215">
        <v>1769198282</v>
      </c>
      <c r="C215">
        <v>3721</v>
      </c>
      <c r="D215" t="s">
        <v>698</v>
      </c>
      <c r="E215" t="s">
        <v>699</v>
      </c>
      <c r="F215">
        <v>15</v>
      </c>
      <c r="G215">
        <v>1769198273.9333301</v>
      </c>
      <c r="H215">
        <f t="shared" si="39"/>
        <v>7.853726384722731E-4</v>
      </c>
      <c r="I215">
        <v>0</v>
      </c>
      <c r="J215">
        <f t="shared" si="51"/>
        <v>-5.1810755161457635E-4</v>
      </c>
      <c r="K215">
        <f t="shared" si="40"/>
        <v>-1.930666547073193E-2</v>
      </c>
      <c r="L215">
        <f t="shared" si="41"/>
        <v>70.074489981991206</v>
      </c>
      <c r="M215">
        <f t="shared" si="42"/>
        <v>1.5448421649338564</v>
      </c>
      <c r="N215">
        <f t="shared" si="43"/>
        <v>2.2045714001355887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26254.715879099324</v>
      </c>
      <c r="T215">
        <f t="shared" si="47"/>
        <v>500</v>
      </c>
      <c r="U215">
        <f t="shared" si="48"/>
        <v>421.49953510000012</v>
      </c>
      <c r="V215">
        <f t="shared" si="49"/>
        <v>0.8429990702000002</v>
      </c>
      <c r="W215">
        <f t="shared" si="50"/>
        <v>0.15869781841200006</v>
      </c>
      <c r="X215">
        <v>1</v>
      </c>
      <c r="Y215">
        <v>1769198273.9333301</v>
      </c>
      <c r="Z215">
        <v>409.62366666666702</v>
      </c>
      <c r="AA215">
        <v>410.00166666666701</v>
      </c>
      <c r="AB215">
        <v>15.415893333333299</v>
      </c>
      <c r="AC215">
        <v>14.449313333333301</v>
      </c>
      <c r="AD215">
        <v>410.42939999999999</v>
      </c>
      <c r="AE215">
        <v>15.32156</v>
      </c>
      <c r="AF215">
        <v>800.00146666666706</v>
      </c>
      <c r="AG215">
        <v>100.1464</v>
      </c>
      <c r="AH215">
        <v>6.4605066666666697E-2</v>
      </c>
      <c r="AI215">
        <v>18.995573333333301</v>
      </c>
      <c r="AJ215">
        <v>999.9</v>
      </c>
      <c r="AK215">
        <v>999.9</v>
      </c>
      <c r="AL215">
        <v>0</v>
      </c>
      <c r="AM215">
        <v>0</v>
      </c>
      <c r="AN215">
        <v>4998.9666666666699</v>
      </c>
      <c r="AO215">
        <v>0</v>
      </c>
      <c r="AP215">
        <v>1.63733</v>
      </c>
      <c r="AQ215">
        <v>-0.37808019999999998</v>
      </c>
      <c r="AR215">
        <v>416.03726666666699</v>
      </c>
      <c r="AS215">
        <v>416.01280000000003</v>
      </c>
      <c r="AT215">
        <v>0.96658506666666699</v>
      </c>
      <c r="AU215">
        <v>410.00166666666701</v>
      </c>
      <c r="AV215">
        <v>14.449313333333301</v>
      </c>
      <c r="AW215">
        <v>1.543844</v>
      </c>
      <c r="AX215">
        <v>1.4470460000000001</v>
      </c>
      <c r="AY215">
        <v>13.40944</v>
      </c>
      <c r="AZ215">
        <v>12.4198133333333</v>
      </c>
      <c r="BA215">
        <v>500</v>
      </c>
      <c r="BB215">
        <v>0.90002886666666704</v>
      </c>
      <c r="BC215">
        <v>0</v>
      </c>
      <c r="BD215">
        <v>9.997106E-2</v>
      </c>
      <c r="BE215">
        <v>0</v>
      </c>
      <c r="BF215">
        <v>25</v>
      </c>
      <c r="BG215">
        <v>8244.4586666666692</v>
      </c>
      <c r="BH215">
        <v>1769197713</v>
      </c>
      <c r="BI215" t="s">
        <v>637</v>
      </c>
      <c r="BJ215">
        <v>1769197710</v>
      </c>
      <c r="BK215">
        <v>1769197713</v>
      </c>
      <c r="BL215">
        <v>6</v>
      </c>
      <c r="BM215">
        <v>-1E-3</v>
      </c>
      <c r="BN215">
        <v>6.0000000000000001E-3</v>
      </c>
      <c r="BO215">
        <v>-0.80600000000000005</v>
      </c>
      <c r="BP215">
        <v>9.4E-2</v>
      </c>
      <c r="BQ215">
        <v>410</v>
      </c>
      <c r="BR215">
        <v>15</v>
      </c>
      <c r="BS215">
        <v>0.27</v>
      </c>
      <c r="BT215">
        <v>0.09</v>
      </c>
      <c r="BU215">
        <v>-0.38147585000000001</v>
      </c>
      <c r="BV215">
        <v>4.5717744360908603E-3</v>
      </c>
      <c r="BW215">
        <v>2.0636664004327301E-2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0.96471094999999996</v>
      </c>
      <c r="CD215">
        <v>3.6229037593985602E-2</v>
      </c>
      <c r="CE215">
        <v>3.88145107498471E-3</v>
      </c>
      <c r="CF215">
        <v>1</v>
      </c>
      <c r="CG215">
        <v>2</v>
      </c>
      <c r="CH215">
        <v>2</v>
      </c>
      <c r="CI215" t="s">
        <v>304</v>
      </c>
      <c r="CJ215">
        <v>3.5325199999999999</v>
      </c>
      <c r="CK215">
        <v>2.7025199999999998</v>
      </c>
      <c r="CL215">
        <v>9.7899899999999998E-2</v>
      </c>
      <c r="CM215">
        <v>9.6604800000000005E-2</v>
      </c>
      <c r="CN215">
        <v>8.72E-2</v>
      </c>
      <c r="CO215">
        <v>8.2228899999999994E-2</v>
      </c>
      <c r="CP215">
        <v>31627.9</v>
      </c>
      <c r="CQ215">
        <v>27819.9</v>
      </c>
      <c r="CR215">
        <v>32450.1</v>
      </c>
      <c r="CS215">
        <v>30722.3</v>
      </c>
      <c r="CT215">
        <v>40114.199999999997</v>
      </c>
      <c r="CU215">
        <v>39655.300000000003</v>
      </c>
      <c r="CV215">
        <v>47397.3</v>
      </c>
      <c r="CW215">
        <v>46859.1</v>
      </c>
      <c r="CX215">
        <v>2.621</v>
      </c>
      <c r="CY215">
        <v>2.1214400000000002</v>
      </c>
      <c r="CZ215">
        <v>0</v>
      </c>
      <c r="DA215">
        <v>0</v>
      </c>
      <c r="DB215">
        <v>999.9</v>
      </c>
      <c r="DC215">
        <v>999.9</v>
      </c>
      <c r="DD215">
        <v>48.706000000000003</v>
      </c>
      <c r="DE215">
        <v>28.277999999999999</v>
      </c>
      <c r="DF215">
        <v>18.7578</v>
      </c>
      <c r="DG215">
        <v>30.2698</v>
      </c>
      <c r="DH215">
        <v>16.506399999999999</v>
      </c>
      <c r="DI215">
        <v>2</v>
      </c>
      <c r="DJ215">
        <v>-0.108266</v>
      </c>
      <c r="DK215">
        <v>2.18268</v>
      </c>
      <c r="DL215">
        <v>20.2087</v>
      </c>
      <c r="DM215">
        <v>5.2498800000000001</v>
      </c>
      <c r="DN215">
        <v>12.033899999999999</v>
      </c>
      <c r="DO215">
        <v>4.96652</v>
      </c>
      <c r="DP215">
        <v>3.2909999999999999</v>
      </c>
      <c r="DQ215">
        <v>537</v>
      </c>
      <c r="DR215">
        <v>9999</v>
      </c>
      <c r="DS215">
        <v>9999</v>
      </c>
      <c r="DT215">
        <v>9999</v>
      </c>
      <c r="DU215">
        <v>1.8711500000000001</v>
      </c>
      <c r="DV215">
        <v>1.8761300000000001</v>
      </c>
      <c r="DW215">
        <v>1.87636</v>
      </c>
      <c r="DX215">
        <v>1.88279</v>
      </c>
      <c r="DY215">
        <v>1.87561</v>
      </c>
      <c r="DZ215">
        <v>1.87469</v>
      </c>
      <c r="EA215">
        <v>1.87083</v>
      </c>
      <c r="EB215">
        <v>1.8746799999999999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-0.80600000000000005</v>
      </c>
      <c r="EQ215">
        <v>9.4399999999999998E-2</v>
      </c>
      <c r="ER215">
        <v>-0.80572727272732403</v>
      </c>
      <c r="ES215">
        <v>0</v>
      </c>
      <c r="ET215">
        <v>0</v>
      </c>
      <c r="EU215">
        <v>0</v>
      </c>
      <c r="EV215">
        <v>9.43299999999994E-2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9.5</v>
      </c>
      <c r="FE215">
        <v>9.5</v>
      </c>
      <c r="FF215">
        <v>1.2439</v>
      </c>
      <c r="FG215">
        <v>2.5927699999999998</v>
      </c>
      <c r="FH215">
        <v>2.19604</v>
      </c>
      <c r="FI215">
        <v>2.66357</v>
      </c>
      <c r="FJ215">
        <v>2.4462899999999999</v>
      </c>
      <c r="FK215">
        <v>2.3083499999999999</v>
      </c>
      <c r="FL215">
        <v>32.598199999999999</v>
      </c>
      <c r="FM215">
        <v>24.14</v>
      </c>
      <c r="FN215">
        <v>19</v>
      </c>
      <c r="FO215">
        <v>865.39700000000005</v>
      </c>
      <c r="FP215">
        <v>570.94899999999996</v>
      </c>
      <c r="FQ215">
        <v>18.191400000000002</v>
      </c>
      <c r="FR215">
        <v>25.6172</v>
      </c>
      <c r="FS215">
        <v>30.0001</v>
      </c>
      <c r="FT215">
        <v>25.611999999999998</v>
      </c>
      <c r="FU215">
        <v>25.6144</v>
      </c>
      <c r="FV215">
        <v>24.9665</v>
      </c>
      <c r="FW215">
        <v>25.6538</v>
      </c>
      <c r="FX215">
        <v>0</v>
      </c>
      <c r="FY215">
        <v>18.190899999999999</v>
      </c>
      <c r="FZ215">
        <v>410</v>
      </c>
      <c r="GA215">
        <v>14.4575</v>
      </c>
      <c r="GB215">
        <v>99.867099999999994</v>
      </c>
      <c r="GC215">
        <v>99.747500000000002</v>
      </c>
    </row>
    <row r="216" spans="1:185" x14ac:dyDescent="0.2">
      <c r="A216">
        <v>201</v>
      </c>
      <c r="B216">
        <v>1769198297</v>
      </c>
      <c r="C216">
        <v>3736</v>
      </c>
      <c r="D216" t="s">
        <v>700</v>
      </c>
      <c r="E216" t="s">
        <v>701</v>
      </c>
      <c r="F216">
        <v>15</v>
      </c>
      <c r="G216">
        <v>1769198288.9333301</v>
      </c>
      <c r="H216">
        <f t="shared" si="39"/>
        <v>7.8954670313184725E-4</v>
      </c>
      <c r="I216">
        <v>0</v>
      </c>
      <c r="J216">
        <f t="shared" si="51"/>
        <v>-8.835418877106185E-4</v>
      </c>
      <c r="K216">
        <f t="shared" si="40"/>
        <v>-3.2924144035826851E-2</v>
      </c>
      <c r="L216">
        <f t="shared" si="41"/>
        <v>70.044887963042896</v>
      </c>
      <c r="M216">
        <f t="shared" si="42"/>
        <v>1.5449728681253803</v>
      </c>
      <c r="N216">
        <f t="shared" si="43"/>
        <v>2.205689684221551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26229.150270829763</v>
      </c>
      <c r="T216">
        <f t="shared" si="47"/>
        <v>500.000333333333</v>
      </c>
      <c r="U216">
        <f t="shared" si="48"/>
        <v>421.49994419977526</v>
      </c>
      <c r="V216">
        <f t="shared" si="49"/>
        <v>0.84299932640000019</v>
      </c>
      <c r="W216">
        <f t="shared" si="50"/>
        <v>0.15869834198400004</v>
      </c>
      <c r="X216">
        <v>1</v>
      </c>
      <c r="Y216">
        <v>1769198288.9333301</v>
      </c>
      <c r="Z216">
        <v>409.64273333333301</v>
      </c>
      <c r="AA216">
        <v>410.00586666666698</v>
      </c>
      <c r="AB216">
        <v>15.417286666666699</v>
      </c>
      <c r="AC216">
        <v>14.4455733333333</v>
      </c>
      <c r="AD216">
        <v>410.44833333333298</v>
      </c>
      <c r="AE216">
        <v>15.3229666666667</v>
      </c>
      <c r="AF216">
        <v>800.00346666666701</v>
      </c>
      <c r="AG216">
        <v>100.145866666667</v>
      </c>
      <c r="AH216">
        <v>6.4559560000000002E-2</v>
      </c>
      <c r="AI216">
        <v>19.003699999999998</v>
      </c>
      <c r="AJ216">
        <v>999.9</v>
      </c>
      <c r="AK216">
        <v>999.9</v>
      </c>
      <c r="AL216">
        <v>0</v>
      </c>
      <c r="AM216">
        <v>0</v>
      </c>
      <c r="AN216">
        <v>4994.8999999999996</v>
      </c>
      <c r="AO216">
        <v>0</v>
      </c>
      <c r="AP216">
        <v>1.63733</v>
      </c>
      <c r="AQ216">
        <v>-0.36318146666666701</v>
      </c>
      <c r="AR216">
        <v>416.05713333333301</v>
      </c>
      <c r="AS216">
        <v>416.015533333333</v>
      </c>
      <c r="AT216">
        <v>0.971733133333333</v>
      </c>
      <c r="AU216">
        <v>410.00586666666698</v>
      </c>
      <c r="AV216">
        <v>14.4455733333333</v>
      </c>
      <c r="AW216">
        <v>1.54397933333333</v>
      </c>
      <c r="AX216">
        <v>1.4466639999999999</v>
      </c>
      <c r="AY216">
        <v>13.4107866666667</v>
      </c>
      <c r="AZ216">
        <v>12.415800000000001</v>
      </c>
      <c r="BA216">
        <v>500.000333333333</v>
      </c>
      <c r="BB216">
        <v>0.90002206666666695</v>
      </c>
      <c r="BC216">
        <v>0</v>
      </c>
      <c r="BD216">
        <v>9.9977919999999998E-2</v>
      </c>
      <c r="BE216">
        <v>0</v>
      </c>
      <c r="BF216">
        <v>25</v>
      </c>
      <c r="BG216">
        <v>8244.4519999999993</v>
      </c>
      <c r="BH216">
        <v>1769197713</v>
      </c>
      <c r="BI216" t="s">
        <v>637</v>
      </c>
      <c r="BJ216">
        <v>1769197710</v>
      </c>
      <c r="BK216">
        <v>1769197713</v>
      </c>
      <c r="BL216">
        <v>6</v>
      </c>
      <c r="BM216">
        <v>-1E-3</v>
      </c>
      <c r="BN216">
        <v>6.0000000000000001E-3</v>
      </c>
      <c r="BO216">
        <v>-0.80600000000000005</v>
      </c>
      <c r="BP216">
        <v>9.4E-2</v>
      </c>
      <c r="BQ216">
        <v>410</v>
      </c>
      <c r="BR216">
        <v>15</v>
      </c>
      <c r="BS216">
        <v>0.27</v>
      </c>
      <c r="BT216">
        <v>0.09</v>
      </c>
      <c r="BU216">
        <v>-0.36825409523809499</v>
      </c>
      <c r="BV216">
        <v>5.6137090909090297E-2</v>
      </c>
      <c r="BW216">
        <v>2.2120707247594601E-2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0.97067228571428599</v>
      </c>
      <c r="CD216">
        <v>1.58337662337685E-2</v>
      </c>
      <c r="CE216">
        <v>1.9801715688739798E-3</v>
      </c>
      <c r="CF216">
        <v>1</v>
      </c>
      <c r="CG216">
        <v>2</v>
      </c>
      <c r="CH216">
        <v>2</v>
      </c>
      <c r="CI216" t="s">
        <v>304</v>
      </c>
      <c r="CJ216">
        <v>3.53254</v>
      </c>
      <c r="CK216">
        <v>2.7022699999999999</v>
      </c>
      <c r="CL216">
        <v>9.7892400000000004E-2</v>
      </c>
      <c r="CM216">
        <v>9.6610299999999996E-2</v>
      </c>
      <c r="CN216">
        <v>8.7187299999999995E-2</v>
      </c>
      <c r="CO216">
        <v>8.2213499999999995E-2</v>
      </c>
      <c r="CP216">
        <v>31627.5</v>
      </c>
      <c r="CQ216">
        <v>27819.7</v>
      </c>
      <c r="CR216">
        <v>32449.5</v>
      </c>
      <c r="CS216">
        <v>30722.3</v>
      </c>
      <c r="CT216">
        <v>40114</v>
      </c>
      <c r="CU216">
        <v>39656</v>
      </c>
      <c r="CV216">
        <v>47396.4</v>
      </c>
      <c r="CW216">
        <v>46859.1</v>
      </c>
      <c r="CX216">
        <v>2.6209600000000002</v>
      </c>
      <c r="CY216">
        <v>2.1215000000000002</v>
      </c>
      <c r="CZ216">
        <v>0</v>
      </c>
      <c r="DA216">
        <v>0</v>
      </c>
      <c r="DB216">
        <v>999.9</v>
      </c>
      <c r="DC216">
        <v>999.9</v>
      </c>
      <c r="DD216">
        <v>48.656999999999996</v>
      </c>
      <c r="DE216">
        <v>28.297999999999998</v>
      </c>
      <c r="DF216">
        <v>18.759499999999999</v>
      </c>
      <c r="DG216">
        <v>30.389800000000001</v>
      </c>
      <c r="DH216">
        <v>16.482399999999998</v>
      </c>
      <c r="DI216">
        <v>2</v>
      </c>
      <c r="DJ216">
        <v>-0.107445</v>
      </c>
      <c r="DK216">
        <v>2.41425</v>
      </c>
      <c r="DL216">
        <v>20.204899999999999</v>
      </c>
      <c r="DM216">
        <v>5.2492799999999997</v>
      </c>
      <c r="DN216">
        <v>12.033899999999999</v>
      </c>
      <c r="DO216">
        <v>4.96652</v>
      </c>
      <c r="DP216">
        <v>3.2909999999999999</v>
      </c>
      <c r="DQ216">
        <v>537</v>
      </c>
      <c r="DR216">
        <v>9999</v>
      </c>
      <c r="DS216">
        <v>9999</v>
      </c>
      <c r="DT216">
        <v>9999</v>
      </c>
      <c r="DU216">
        <v>1.8711599999999999</v>
      </c>
      <c r="DV216">
        <v>1.8761099999999999</v>
      </c>
      <c r="DW216">
        <v>1.87636</v>
      </c>
      <c r="DX216">
        <v>1.8827799999999999</v>
      </c>
      <c r="DY216">
        <v>1.87561</v>
      </c>
      <c r="DZ216">
        <v>1.8746799999999999</v>
      </c>
      <c r="EA216">
        <v>1.8708199999999999</v>
      </c>
      <c r="EB216">
        <v>1.8746799999999999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-0.80500000000000005</v>
      </c>
      <c r="EQ216">
        <v>9.4399999999999998E-2</v>
      </c>
      <c r="ER216">
        <v>-0.80572727272732403</v>
      </c>
      <c r="ES216">
        <v>0</v>
      </c>
      <c r="ET216">
        <v>0</v>
      </c>
      <c r="EU216">
        <v>0</v>
      </c>
      <c r="EV216">
        <v>9.43299999999994E-2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9.8000000000000007</v>
      </c>
      <c r="FE216">
        <v>9.6999999999999993</v>
      </c>
      <c r="FF216">
        <v>1.2439</v>
      </c>
      <c r="FG216">
        <v>2.5976599999999999</v>
      </c>
      <c r="FH216">
        <v>2.19604</v>
      </c>
      <c r="FI216">
        <v>2.66357</v>
      </c>
      <c r="FJ216">
        <v>2.4462899999999999</v>
      </c>
      <c r="FK216">
        <v>2.3010299999999999</v>
      </c>
      <c r="FL216">
        <v>32.576099999999997</v>
      </c>
      <c r="FM216">
        <v>24.14</v>
      </c>
      <c r="FN216">
        <v>19</v>
      </c>
      <c r="FO216">
        <v>865.38800000000003</v>
      </c>
      <c r="FP216">
        <v>570.99400000000003</v>
      </c>
      <c r="FQ216">
        <v>18.1144</v>
      </c>
      <c r="FR216">
        <v>25.614999999999998</v>
      </c>
      <c r="FS216">
        <v>30.000299999999999</v>
      </c>
      <c r="FT216">
        <v>25.613800000000001</v>
      </c>
      <c r="FU216">
        <v>25.6144</v>
      </c>
      <c r="FV216">
        <v>24.963899999999999</v>
      </c>
      <c r="FW216">
        <v>25.6538</v>
      </c>
      <c r="FX216">
        <v>0</v>
      </c>
      <c r="FY216">
        <v>18.108599999999999</v>
      </c>
      <c r="FZ216">
        <v>410</v>
      </c>
      <c r="GA216">
        <v>14.4575</v>
      </c>
      <c r="GB216">
        <v>99.865200000000002</v>
      </c>
      <c r="GC216">
        <v>99.747600000000006</v>
      </c>
    </row>
    <row r="217" spans="1:185" x14ac:dyDescent="0.2">
      <c r="A217">
        <v>202</v>
      </c>
      <c r="B217">
        <v>1769198312</v>
      </c>
      <c r="C217">
        <v>3751</v>
      </c>
      <c r="D217" t="s">
        <v>702</v>
      </c>
      <c r="E217" t="s">
        <v>703</v>
      </c>
      <c r="F217">
        <v>15</v>
      </c>
      <c r="G217">
        <v>1769198303.9333301</v>
      </c>
      <c r="H217">
        <f t="shared" si="39"/>
        <v>7.8713605029036402E-4</v>
      </c>
      <c r="I217">
        <v>0</v>
      </c>
      <c r="J217">
        <f t="shared" si="51"/>
        <v>2.5921676998668524E-4</v>
      </c>
      <c r="K217">
        <f t="shared" si="40"/>
        <v>9.6594065207904183E-3</v>
      </c>
      <c r="L217">
        <f t="shared" si="41"/>
        <v>70.007944523245897</v>
      </c>
      <c r="M217">
        <f t="shared" si="42"/>
        <v>1.5443192553548497</v>
      </c>
      <c r="N217">
        <f t="shared" si="43"/>
        <v>2.2059200078957666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26286.194880652096</v>
      </c>
      <c r="T217">
        <f t="shared" si="47"/>
        <v>499.99933333333303</v>
      </c>
      <c r="U217">
        <f t="shared" si="48"/>
        <v>421.49917520035024</v>
      </c>
      <c r="V217">
        <f t="shared" si="49"/>
        <v>0.84299947440000023</v>
      </c>
      <c r="W217">
        <f t="shared" si="50"/>
        <v>0.15869858206400006</v>
      </c>
      <c r="X217">
        <v>1</v>
      </c>
      <c r="Y217">
        <v>1769198303.9333301</v>
      </c>
      <c r="Z217">
        <v>409.580266666667</v>
      </c>
      <c r="AA217">
        <v>409.99533333333301</v>
      </c>
      <c r="AB217">
        <v>15.4102466666667</v>
      </c>
      <c r="AC217">
        <v>14.4414933333333</v>
      </c>
      <c r="AD217">
        <v>410.40026666666699</v>
      </c>
      <c r="AE217">
        <v>15.3159266666667</v>
      </c>
      <c r="AF217">
        <v>800.00353333333305</v>
      </c>
      <c r="AG217">
        <v>100.1494</v>
      </c>
      <c r="AH217">
        <v>6.4392080000000004E-2</v>
      </c>
      <c r="AI217">
        <v>19.005373333333299</v>
      </c>
      <c r="AJ217">
        <v>999.9</v>
      </c>
      <c r="AK217">
        <v>999.9</v>
      </c>
      <c r="AL217">
        <v>0</v>
      </c>
      <c r="AM217">
        <v>0</v>
      </c>
      <c r="AN217">
        <v>5004.1666666666697</v>
      </c>
      <c r="AO217">
        <v>0</v>
      </c>
      <c r="AP217">
        <v>1.63733</v>
      </c>
      <c r="AQ217">
        <v>-0.400880866666667</v>
      </c>
      <c r="AR217">
        <v>416.0052</v>
      </c>
      <c r="AS217">
        <v>416.003066666667</v>
      </c>
      <c r="AT217">
        <v>0.96876333333333298</v>
      </c>
      <c r="AU217">
        <v>409.99533333333301</v>
      </c>
      <c r="AV217">
        <v>14.4414933333333</v>
      </c>
      <c r="AW217">
        <v>1.543328</v>
      </c>
      <c r="AX217">
        <v>1.44630666666667</v>
      </c>
      <c r="AY217">
        <v>13.404299999999999</v>
      </c>
      <c r="AZ217">
        <v>12.4120333333333</v>
      </c>
      <c r="BA217">
        <v>499.99933333333303</v>
      </c>
      <c r="BB217">
        <v>0.90001906666666698</v>
      </c>
      <c r="BC217">
        <v>0</v>
      </c>
      <c r="BD217">
        <v>9.9980986666666702E-2</v>
      </c>
      <c r="BE217">
        <v>0</v>
      </c>
      <c r="BF217">
        <v>25</v>
      </c>
      <c r="BG217">
        <v>8244.4293333333299</v>
      </c>
      <c r="BH217">
        <v>1769198330</v>
      </c>
      <c r="BI217" t="s">
        <v>704</v>
      </c>
      <c r="BJ217">
        <v>1769198330</v>
      </c>
      <c r="BK217">
        <v>1769197713</v>
      </c>
      <c r="BL217">
        <v>7</v>
      </c>
      <c r="BM217">
        <v>-1.4999999999999999E-2</v>
      </c>
      <c r="BN217">
        <v>6.0000000000000001E-3</v>
      </c>
      <c r="BO217">
        <v>-0.82</v>
      </c>
      <c r="BP217">
        <v>9.4E-2</v>
      </c>
      <c r="BQ217">
        <v>410</v>
      </c>
      <c r="BR217">
        <v>15</v>
      </c>
      <c r="BS217">
        <v>0.24</v>
      </c>
      <c r="BT217">
        <v>0.09</v>
      </c>
      <c r="BU217">
        <v>-0.3923507</v>
      </c>
      <c r="BV217">
        <v>-0.243802285714286</v>
      </c>
      <c r="BW217">
        <v>3.3152947354797901E-2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0.96949350000000001</v>
      </c>
      <c r="CD217">
        <v>-1.53238195488733E-2</v>
      </c>
      <c r="CE217">
        <v>1.74725268636223E-3</v>
      </c>
      <c r="CF217">
        <v>1</v>
      </c>
      <c r="CG217">
        <v>2</v>
      </c>
      <c r="CH217">
        <v>2</v>
      </c>
      <c r="CI217" t="s">
        <v>304</v>
      </c>
      <c r="CJ217">
        <v>3.5325199999999999</v>
      </c>
      <c r="CK217">
        <v>2.7021600000000001</v>
      </c>
      <c r="CL217">
        <v>9.78879E-2</v>
      </c>
      <c r="CM217">
        <v>9.66138E-2</v>
      </c>
      <c r="CN217">
        <v>8.7168300000000004E-2</v>
      </c>
      <c r="CO217">
        <v>8.2194799999999998E-2</v>
      </c>
      <c r="CP217">
        <v>31627.599999999999</v>
      </c>
      <c r="CQ217">
        <v>27819.7</v>
      </c>
      <c r="CR217">
        <v>32449.3</v>
      </c>
      <c r="CS217">
        <v>30722.400000000001</v>
      </c>
      <c r="CT217">
        <v>40114.800000000003</v>
      </c>
      <c r="CU217">
        <v>39657</v>
      </c>
      <c r="CV217">
        <v>47396.2</v>
      </c>
      <c r="CW217">
        <v>46859.3</v>
      </c>
      <c r="CX217">
        <v>2.6209799999999999</v>
      </c>
      <c r="CY217">
        <v>2.12134</v>
      </c>
      <c r="CZ217">
        <v>0</v>
      </c>
      <c r="DA217">
        <v>0</v>
      </c>
      <c r="DB217">
        <v>999.9</v>
      </c>
      <c r="DC217">
        <v>999.9</v>
      </c>
      <c r="DD217">
        <v>48.633000000000003</v>
      </c>
      <c r="DE217">
        <v>28.297999999999998</v>
      </c>
      <c r="DF217">
        <v>18.750599999999999</v>
      </c>
      <c r="DG217">
        <v>30.1798</v>
      </c>
      <c r="DH217">
        <v>16.490400000000001</v>
      </c>
      <c r="DI217">
        <v>2</v>
      </c>
      <c r="DJ217">
        <v>-0.107817</v>
      </c>
      <c r="DK217">
        <v>2.3307000000000002</v>
      </c>
      <c r="DL217">
        <v>20.206600000000002</v>
      </c>
      <c r="DM217">
        <v>5.2491599999999998</v>
      </c>
      <c r="DN217">
        <v>12.033899999999999</v>
      </c>
      <c r="DO217">
        <v>4.9663599999999999</v>
      </c>
      <c r="DP217">
        <v>3.2909999999999999</v>
      </c>
      <c r="DQ217">
        <v>537</v>
      </c>
      <c r="DR217">
        <v>9999</v>
      </c>
      <c r="DS217">
        <v>9999</v>
      </c>
      <c r="DT217">
        <v>9999</v>
      </c>
      <c r="DU217">
        <v>1.8711500000000001</v>
      </c>
      <c r="DV217">
        <v>1.8761099999999999</v>
      </c>
      <c r="DW217">
        <v>1.8763399999999999</v>
      </c>
      <c r="DX217">
        <v>1.8827799999999999</v>
      </c>
      <c r="DY217">
        <v>1.8755999999999999</v>
      </c>
      <c r="DZ217">
        <v>1.87466</v>
      </c>
      <c r="EA217">
        <v>1.87083</v>
      </c>
      <c r="EB217">
        <v>1.8746499999999999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-0.82</v>
      </c>
      <c r="EQ217">
        <v>9.4299999999999995E-2</v>
      </c>
      <c r="ER217">
        <v>-0.80572727272732403</v>
      </c>
      <c r="ES217">
        <v>0</v>
      </c>
      <c r="ET217">
        <v>0</v>
      </c>
      <c r="EU217">
        <v>0</v>
      </c>
      <c r="EV217">
        <v>9.43299999999994E-2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10</v>
      </c>
      <c r="FE217">
        <v>10</v>
      </c>
      <c r="FF217">
        <v>1.2439</v>
      </c>
      <c r="FG217">
        <v>2.6013199999999999</v>
      </c>
      <c r="FH217">
        <v>2.19604</v>
      </c>
      <c r="FI217">
        <v>2.66357</v>
      </c>
      <c r="FJ217">
        <v>2.4462899999999999</v>
      </c>
      <c r="FK217">
        <v>2.2497600000000002</v>
      </c>
      <c r="FL217">
        <v>32.598199999999999</v>
      </c>
      <c r="FM217">
        <v>24.14</v>
      </c>
      <c r="FN217">
        <v>19</v>
      </c>
      <c r="FO217">
        <v>865.40599999999995</v>
      </c>
      <c r="FP217">
        <v>570.87699999999995</v>
      </c>
      <c r="FQ217">
        <v>18.088999999999999</v>
      </c>
      <c r="FR217">
        <v>25.614999999999998</v>
      </c>
      <c r="FS217">
        <v>30</v>
      </c>
      <c r="FT217">
        <v>25.613800000000001</v>
      </c>
      <c r="FU217">
        <v>25.614899999999999</v>
      </c>
      <c r="FV217">
        <v>24.963799999999999</v>
      </c>
      <c r="FW217">
        <v>25.6538</v>
      </c>
      <c r="FX217">
        <v>0</v>
      </c>
      <c r="FY217">
        <v>18.090199999999999</v>
      </c>
      <c r="FZ217">
        <v>410</v>
      </c>
      <c r="GA217">
        <v>14.4575</v>
      </c>
      <c r="GB217">
        <v>99.864800000000002</v>
      </c>
      <c r="GC217">
        <v>99.747900000000001</v>
      </c>
    </row>
    <row r="218" spans="1:185" x14ac:dyDescent="0.2">
      <c r="A218">
        <v>203</v>
      </c>
      <c r="B218">
        <v>1769198332</v>
      </c>
      <c r="C218">
        <v>3771</v>
      </c>
      <c r="D218" t="s">
        <v>705</v>
      </c>
      <c r="E218" t="s">
        <v>706</v>
      </c>
      <c r="F218">
        <v>15</v>
      </c>
      <c r="G218">
        <v>1769198331</v>
      </c>
      <c r="H218">
        <f t="shared" si="39"/>
        <v>8.441767057677349E-6</v>
      </c>
      <c r="I218">
        <v>0</v>
      </c>
      <c r="J218">
        <f t="shared" si="51"/>
        <v>1.2180039425595925E-4</v>
      </c>
      <c r="K218">
        <f t="shared" si="40"/>
        <v>4.5387477151701602E-3</v>
      </c>
      <c r="L218">
        <f t="shared" si="41"/>
        <v>65.663875785030484</v>
      </c>
      <c r="M218">
        <f t="shared" si="42"/>
        <v>1.4477720511289198</v>
      </c>
      <c r="N218">
        <f t="shared" si="43"/>
        <v>2.2048227184588018</v>
      </c>
      <c r="O218">
        <v>511</v>
      </c>
      <c r="P218">
        <v>64</v>
      </c>
      <c r="Q218">
        <f t="shared" si="44"/>
        <v>1</v>
      </c>
      <c r="R218">
        <f t="shared" si="45"/>
        <v>0</v>
      </c>
      <c r="S218">
        <f t="shared" si="46"/>
        <v>26136.724720536418</v>
      </c>
      <c r="T218">
        <f t="shared" si="47"/>
        <v>499.99900000000002</v>
      </c>
      <c r="U218">
        <f t="shared" si="48"/>
        <v>421.49857950115506</v>
      </c>
      <c r="V218">
        <f t="shared" si="49"/>
        <v>0.84299884500000011</v>
      </c>
      <c r="W218">
        <f t="shared" si="50"/>
        <v>0.15869808689999998</v>
      </c>
      <c r="X218">
        <v>1</v>
      </c>
      <c r="Y218">
        <v>1769198331</v>
      </c>
      <c r="Z218">
        <v>409.995</v>
      </c>
      <c r="AA218">
        <v>410.005</v>
      </c>
      <c r="AB218">
        <v>14.4453</v>
      </c>
      <c r="AC218">
        <v>14.434900000000001</v>
      </c>
      <c r="AD218">
        <v>410.81599999999997</v>
      </c>
      <c r="AE218">
        <v>14.3453</v>
      </c>
      <c r="AF218">
        <v>799.98299999999995</v>
      </c>
      <c r="AG218">
        <v>100.148</v>
      </c>
      <c r="AH218">
        <v>7.6436400000000002E-2</v>
      </c>
      <c r="AI218">
        <v>18.997399999999999</v>
      </c>
      <c r="AJ218">
        <v>999.9</v>
      </c>
      <c r="AK218">
        <v>999.9</v>
      </c>
      <c r="AL218">
        <v>0</v>
      </c>
      <c r="AM218">
        <v>0</v>
      </c>
      <c r="AN218">
        <v>4979.5</v>
      </c>
      <c r="AO218">
        <v>0</v>
      </c>
      <c r="AP218">
        <v>1.63733</v>
      </c>
      <c r="AQ218">
        <v>-9.9182100000000002E-3</v>
      </c>
      <c r="AR218">
        <v>416.00200000000001</v>
      </c>
      <c r="AS218">
        <v>416.01</v>
      </c>
      <c r="AT218">
        <v>4.7102000000000003E-3</v>
      </c>
      <c r="AU218">
        <v>410.005</v>
      </c>
      <c r="AV218">
        <v>14.434900000000001</v>
      </c>
      <c r="AW218">
        <v>1.4460999999999999</v>
      </c>
      <c r="AX218">
        <v>1.44563</v>
      </c>
      <c r="AY218">
        <v>12.4099</v>
      </c>
      <c r="AZ218">
        <v>12.4049</v>
      </c>
      <c r="BA218">
        <v>499.99900000000002</v>
      </c>
      <c r="BB218">
        <v>0.90002400000000005</v>
      </c>
      <c r="BC218">
        <v>0</v>
      </c>
      <c r="BD218">
        <v>9.9975499999999995E-2</v>
      </c>
      <c r="BE218">
        <v>0</v>
      </c>
      <c r="BF218">
        <v>25</v>
      </c>
      <c r="BG218">
        <v>8244.43</v>
      </c>
      <c r="BH218">
        <v>1769198352</v>
      </c>
      <c r="BI218" t="s">
        <v>707</v>
      </c>
      <c r="BJ218">
        <v>1769198330</v>
      </c>
      <c r="BK218">
        <v>1769198352</v>
      </c>
      <c r="BL218">
        <v>8</v>
      </c>
      <c r="BM218">
        <v>-1.4999999999999999E-2</v>
      </c>
      <c r="BN218">
        <v>6.0000000000000001E-3</v>
      </c>
      <c r="BO218">
        <v>-0.82</v>
      </c>
      <c r="BP218">
        <v>0.1</v>
      </c>
      <c r="BQ218">
        <v>410</v>
      </c>
      <c r="BR218">
        <v>15</v>
      </c>
      <c r="BS218">
        <v>0.24</v>
      </c>
      <c r="BT218">
        <v>7.0000000000000007E-2</v>
      </c>
      <c r="BU218">
        <v>-9.4383245500000004E-2</v>
      </c>
      <c r="BV218">
        <v>1.39802974691729</v>
      </c>
      <c r="BW218">
        <v>0.16743852050651101</v>
      </c>
      <c r="BX218">
        <v>0</v>
      </c>
      <c r="BY218">
        <v>0</v>
      </c>
      <c r="BZ218">
        <v>0</v>
      </c>
      <c r="CA218">
        <v>0</v>
      </c>
      <c r="CB218">
        <v>-1</v>
      </c>
      <c r="CC218">
        <v>0.24931313799999999</v>
      </c>
      <c r="CD218">
        <v>-3.1834647302255599</v>
      </c>
      <c r="CE218">
        <v>0.36687389865356701</v>
      </c>
      <c r="CF218">
        <v>0</v>
      </c>
      <c r="CG218">
        <v>0</v>
      </c>
      <c r="CH218">
        <v>2</v>
      </c>
      <c r="CI218" t="s">
        <v>290</v>
      </c>
      <c r="CJ218">
        <v>3.53349</v>
      </c>
      <c r="CK218">
        <v>2.7135199999999999</v>
      </c>
      <c r="CL218">
        <v>9.7949300000000003E-2</v>
      </c>
      <c r="CM218">
        <v>9.6604499999999996E-2</v>
      </c>
      <c r="CN218">
        <v>8.2999100000000006E-2</v>
      </c>
      <c r="CO218">
        <v>8.21746E-2</v>
      </c>
      <c r="CP218">
        <v>31625.9</v>
      </c>
      <c r="CQ218">
        <v>27820.3</v>
      </c>
      <c r="CR218">
        <v>32449.9</v>
      </c>
      <c r="CS218">
        <v>30722.799999999999</v>
      </c>
      <c r="CT218">
        <v>40304.199999999997</v>
      </c>
      <c r="CU218">
        <v>39658.400000000001</v>
      </c>
      <c r="CV218">
        <v>47397</v>
      </c>
      <c r="CW218">
        <v>46859.9</v>
      </c>
      <c r="CX218">
        <v>1.6408400000000001</v>
      </c>
      <c r="CY218">
        <v>1.56748</v>
      </c>
      <c r="CZ218">
        <v>0</v>
      </c>
      <c r="DA218">
        <v>0</v>
      </c>
      <c r="DB218">
        <v>999.9</v>
      </c>
      <c r="DC218">
        <v>999.9</v>
      </c>
      <c r="DD218">
        <v>48.607999999999997</v>
      </c>
      <c r="DE218">
        <v>28.297999999999998</v>
      </c>
      <c r="DF218">
        <v>18.739999999999998</v>
      </c>
      <c r="DG218">
        <v>30.229800000000001</v>
      </c>
      <c r="DH218">
        <v>16.979199999999999</v>
      </c>
      <c r="DI218">
        <v>2</v>
      </c>
      <c r="DJ218">
        <v>-0.10831499999999999</v>
      </c>
      <c r="DK218">
        <v>2.2555399999999999</v>
      </c>
      <c r="DL218">
        <v>20.206199999999999</v>
      </c>
      <c r="DM218">
        <v>5.2442500000000001</v>
      </c>
      <c r="DN218">
        <v>12.033899999999999</v>
      </c>
      <c r="DO218">
        <v>4.9656000000000002</v>
      </c>
      <c r="DP218">
        <v>3.2900200000000002</v>
      </c>
      <c r="DQ218">
        <v>537.1</v>
      </c>
      <c r="DR218">
        <v>9999</v>
      </c>
      <c r="DS218">
        <v>9999</v>
      </c>
      <c r="DT218">
        <v>9999</v>
      </c>
      <c r="DU218">
        <v>1.87114</v>
      </c>
      <c r="DV218">
        <v>1.87612</v>
      </c>
      <c r="DW218">
        <v>1.87635</v>
      </c>
      <c r="DX218">
        <v>1.8827799999999999</v>
      </c>
      <c r="DY218">
        <v>1.8755999999999999</v>
      </c>
      <c r="DZ218">
        <v>1.8746700000000001</v>
      </c>
      <c r="EA218">
        <v>1.8708100000000001</v>
      </c>
      <c r="EB218">
        <v>1.8746400000000001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-0.82</v>
      </c>
      <c r="EQ218">
        <v>0.1</v>
      </c>
      <c r="ER218">
        <v>-0.82039999999994995</v>
      </c>
      <c r="ES218">
        <v>0</v>
      </c>
      <c r="ET218">
        <v>0</v>
      </c>
      <c r="EU218">
        <v>0</v>
      </c>
      <c r="EV218">
        <v>9.43299999999994E-2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0</v>
      </c>
      <c r="FE218">
        <v>10.3</v>
      </c>
      <c r="FF218">
        <v>1.2439</v>
      </c>
      <c r="FG218">
        <v>2.5976599999999999</v>
      </c>
      <c r="FH218">
        <v>2.19604</v>
      </c>
      <c r="FI218">
        <v>2.66357</v>
      </c>
      <c r="FJ218">
        <v>2.4462899999999999</v>
      </c>
      <c r="FK218">
        <v>2.33765</v>
      </c>
      <c r="FL218">
        <v>32.576099999999997</v>
      </c>
      <c r="FM218">
        <v>24.14</v>
      </c>
      <c r="FN218">
        <v>19</v>
      </c>
      <c r="FO218">
        <v>272.07100000000003</v>
      </c>
      <c r="FP218">
        <v>260.00900000000001</v>
      </c>
      <c r="FQ218">
        <v>18.0838</v>
      </c>
      <c r="FR218">
        <v>25.614999999999998</v>
      </c>
      <c r="FS218">
        <v>30</v>
      </c>
      <c r="FT218">
        <v>25.6294</v>
      </c>
      <c r="FU218">
        <v>25.6295</v>
      </c>
      <c r="FV218">
        <v>24.962900000000001</v>
      </c>
      <c r="FW218">
        <v>23.683499999999999</v>
      </c>
      <c r="FX218">
        <v>0</v>
      </c>
      <c r="FY218">
        <v>18.096800000000002</v>
      </c>
      <c r="FZ218">
        <v>410</v>
      </c>
      <c r="GA218">
        <v>15.1471</v>
      </c>
      <c r="GB218">
        <v>99.866600000000005</v>
      </c>
      <c r="GC218">
        <v>99.749300000000005</v>
      </c>
    </row>
    <row r="219" spans="1:185" x14ac:dyDescent="0.2">
      <c r="A219">
        <v>204</v>
      </c>
      <c r="B219">
        <v>1769198354</v>
      </c>
      <c r="C219">
        <v>3793</v>
      </c>
      <c r="D219" t="s">
        <v>708</v>
      </c>
      <c r="E219" t="s">
        <v>709</v>
      </c>
      <c r="F219">
        <v>15</v>
      </c>
      <c r="G219">
        <v>1769198353</v>
      </c>
      <c r="H219">
        <f t="shared" si="39"/>
        <v>-6.4958755309917459E-7</v>
      </c>
      <c r="I219">
        <v>0</v>
      </c>
      <c r="J219">
        <f t="shared" si="51"/>
        <v>2.4330041836033396E-4</v>
      </c>
      <c r="K219">
        <f t="shared" si="40"/>
        <v>9.0663024917005258E-3</v>
      </c>
      <c r="L219">
        <f t="shared" si="41"/>
        <v>67.035301299628287</v>
      </c>
      <c r="M219">
        <f t="shared" si="42"/>
        <v>1.47797265932394</v>
      </c>
      <c r="N219">
        <f t="shared" si="43"/>
        <v>2.2047676831015233</v>
      </c>
      <c r="O219">
        <v>483</v>
      </c>
      <c r="P219">
        <v>60</v>
      </c>
      <c r="Q219">
        <f t="shared" si="44"/>
        <v>1</v>
      </c>
      <c r="R219">
        <f t="shared" si="45"/>
        <v>0</v>
      </c>
      <c r="S219">
        <f t="shared" si="46"/>
        <v>26317.238169695531</v>
      </c>
      <c r="T219">
        <f t="shared" si="47"/>
        <v>500.00400000000002</v>
      </c>
      <c r="U219">
        <f t="shared" si="48"/>
        <v>421.50300749708401</v>
      </c>
      <c r="V219">
        <f t="shared" si="49"/>
        <v>0.84299927099999994</v>
      </c>
      <c r="W219">
        <f t="shared" si="50"/>
        <v>0.15869759285999999</v>
      </c>
      <c r="X219">
        <v>1</v>
      </c>
      <c r="Y219">
        <v>1769198353</v>
      </c>
      <c r="Z219">
        <v>409.77</v>
      </c>
      <c r="AA219">
        <v>409.78100000000001</v>
      </c>
      <c r="AB219">
        <v>14.745900000000001</v>
      </c>
      <c r="AC219">
        <v>14.746700000000001</v>
      </c>
      <c r="AD219">
        <v>410.59100000000001</v>
      </c>
      <c r="AE219">
        <v>14.6456</v>
      </c>
      <c r="AF219">
        <v>800.01099999999997</v>
      </c>
      <c r="AG219">
        <v>100.15300000000001</v>
      </c>
      <c r="AH219">
        <v>7.6396599999999995E-2</v>
      </c>
      <c r="AI219">
        <v>18.997</v>
      </c>
      <c r="AJ219">
        <v>999.9</v>
      </c>
      <c r="AK219">
        <v>999.9</v>
      </c>
      <c r="AL219">
        <v>0</v>
      </c>
      <c r="AM219">
        <v>0</v>
      </c>
      <c r="AN219">
        <v>5009</v>
      </c>
      <c r="AO219">
        <v>0</v>
      </c>
      <c r="AP219">
        <v>1.63733</v>
      </c>
      <c r="AQ219">
        <v>-1.0223400000000001E-2</v>
      </c>
      <c r="AR219">
        <v>415.90300000000002</v>
      </c>
      <c r="AS219">
        <v>415.91399999999999</v>
      </c>
      <c r="AT219">
        <v>-7.5912500000000003E-4</v>
      </c>
      <c r="AU219">
        <v>409.78100000000001</v>
      </c>
      <c r="AV219">
        <v>14.746700000000001</v>
      </c>
      <c r="AW219">
        <v>1.4768399999999999</v>
      </c>
      <c r="AX219">
        <v>1.47692</v>
      </c>
      <c r="AY219">
        <v>12.730499999999999</v>
      </c>
      <c r="AZ219">
        <v>12.731299999999999</v>
      </c>
      <c r="BA219">
        <v>500.00400000000002</v>
      </c>
      <c r="BB219">
        <v>0.90003299999999997</v>
      </c>
      <c r="BC219">
        <v>0</v>
      </c>
      <c r="BD219">
        <v>9.9967299999999995E-2</v>
      </c>
      <c r="BE219">
        <v>0</v>
      </c>
      <c r="BF219">
        <v>25</v>
      </c>
      <c r="BG219">
        <v>8244.5300000000007</v>
      </c>
      <c r="BH219">
        <v>1769198352</v>
      </c>
      <c r="BI219" t="s">
        <v>707</v>
      </c>
      <c r="BJ219">
        <v>1769198330</v>
      </c>
      <c r="BK219">
        <v>1769198352</v>
      </c>
      <c r="BL219">
        <v>8</v>
      </c>
      <c r="BM219">
        <v>-1.4999999999999999E-2</v>
      </c>
      <c r="BN219">
        <v>6.0000000000000001E-3</v>
      </c>
      <c r="BO219">
        <v>-0.82</v>
      </c>
      <c r="BP219">
        <v>0.1</v>
      </c>
      <c r="BQ219">
        <v>410</v>
      </c>
      <c r="BR219">
        <v>15</v>
      </c>
      <c r="BS219">
        <v>0.24</v>
      </c>
      <c r="BT219">
        <v>7.0000000000000007E-2</v>
      </c>
      <c r="BU219">
        <v>-2.2233640900000001E-2</v>
      </c>
      <c r="BV219">
        <v>0.34802647181954899</v>
      </c>
      <c r="BW219">
        <v>4.3261683552848498E-2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7.5269607249999995E-2</v>
      </c>
      <c r="CD219">
        <v>-1.1156188206766899</v>
      </c>
      <c r="CE219">
        <v>0.14180596874843601</v>
      </c>
      <c r="CF219">
        <v>0</v>
      </c>
      <c r="CG219">
        <v>1</v>
      </c>
      <c r="CH219">
        <v>2</v>
      </c>
      <c r="CI219" t="s">
        <v>297</v>
      </c>
      <c r="CJ219">
        <v>3.5337900000000002</v>
      </c>
      <c r="CK219">
        <v>2.71292</v>
      </c>
      <c r="CL219">
        <v>9.7914000000000001E-2</v>
      </c>
      <c r="CM219">
        <v>9.6571799999999999E-2</v>
      </c>
      <c r="CN219">
        <v>8.4456100000000006E-2</v>
      </c>
      <c r="CO219">
        <v>8.3484299999999997E-2</v>
      </c>
      <c r="CP219">
        <v>31627.9</v>
      </c>
      <c r="CQ219">
        <v>27821.599999999999</v>
      </c>
      <c r="CR219">
        <v>32450.6</v>
      </c>
      <c r="CS219">
        <v>30723.200000000001</v>
      </c>
      <c r="CT219">
        <v>40239.1</v>
      </c>
      <c r="CU219">
        <v>39600.9</v>
      </c>
      <c r="CV219">
        <v>47398</v>
      </c>
      <c r="CW219">
        <v>46860.7</v>
      </c>
      <c r="CX219">
        <v>1.6847000000000001</v>
      </c>
      <c r="CY219">
        <v>1.6004400000000001</v>
      </c>
      <c r="CZ219">
        <v>0</v>
      </c>
      <c r="DA219">
        <v>0</v>
      </c>
      <c r="DB219">
        <v>999.9</v>
      </c>
      <c r="DC219">
        <v>999.9</v>
      </c>
      <c r="DD219">
        <v>48.558999999999997</v>
      </c>
      <c r="DE219">
        <v>28.309000000000001</v>
      </c>
      <c r="DF219">
        <v>18.732299999999999</v>
      </c>
      <c r="DG219">
        <v>30.389800000000001</v>
      </c>
      <c r="DH219">
        <v>16.758800000000001</v>
      </c>
      <c r="DI219">
        <v>2</v>
      </c>
      <c r="DJ219">
        <v>-0.10828500000000001</v>
      </c>
      <c r="DK219">
        <v>2.2696200000000002</v>
      </c>
      <c r="DL219">
        <v>20.206</v>
      </c>
      <c r="DM219">
        <v>5.2425699999999997</v>
      </c>
      <c r="DN219">
        <v>12.033899999999999</v>
      </c>
      <c r="DO219">
        <v>4.9653600000000004</v>
      </c>
      <c r="DP219">
        <v>3.28992</v>
      </c>
      <c r="DQ219">
        <v>537.1</v>
      </c>
      <c r="DR219">
        <v>9999</v>
      </c>
      <c r="DS219">
        <v>9999</v>
      </c>
      <c r="DT219">
        <v>9999</v>
      </c>
      <c r="DU219">
        <v>1.87117</v>
      </c>
      <c r="DV219">
        <v>1.87615</v>
      </c>
      <c r="DW219">
        <v>1.87636</v>
      </c>
      <c r="DX219">
        <v>1.8828</v>
      </c>
      <c r="DY219">
        <v>1.87561</v>
      </c>
      <c r="DZ219">
        <v>1.8746799999999999</v>
      </c>
      <c r="EA219">
        <v>1.87083</v>
      </c>
      <c r="EB219">
        <v>1.87466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-0.82</v>
      </c>
      <c r="EQ219">
        <v>0.1003</v>
      </c>
      <c r="ER219">
        <v>-0.82039999999994995</v>
      </c>
      <c r="ES219">
        <v>0</v>
      </c>
      <c r="ET219">
        <v>0</v>
      </c>
      <c r="EU219">
        <v>0</v>
      </c>
      <c r="EV219">
        <v>0.10032000000000001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0.4</v>
      </c>
      <c r="FE219">
        <v>0</v>
      </c>
      <c r="FF219">
        <v>1.2439</v>
      </c>
      <c r="FG219">
        <v>2.6000999999999999</v>
      </c>
      <c r="FH219">
        <v>2.19604</v>
      </c>
      <c r="FI219">
        <v>2.66357</v>
      </c>
      <c r="FJ219">
        <v>2.4462899999999999</v>
      </c>
      <c r="FK219">
        <v>2.2802699999999998</v>
      </c>
      <c r="FL219">
        <v>32.598199999999999</v>
      </c>
      <c r="FM219">
        <v>24.14</v>
      </c>
      <c r="FN219">
        <v>19</v>
      </c>
      <c r="FO219">
        <v>299.04500000000002</v>
      </c>
      <c r="FP219">
        <v>277.41300000000001</v>
      </c>
      <c r="FQ219">
        <v>18.1035</v>
      </c>
      <c r="FR219">
        <v>25.614999999999998</v>
      </c>
      <c r="FS219">
        <v>30.0001</v>
      </c>
      <c r="FT219">
        <v>25.6311</v>
      </c>
      <c r="FU219">
        <v>25.6295</v>
      </c>
      <c r="FV219">
        <v>24.966899999999999</v>
      </c>
      <c r="FW219">
        <v>24.447900000000001</v>
      </c>
      <c r="FX219">
        <v>0</v>
      </c>
      <c r="FY219">
        <v>18.106100000000001</v>
      </c>
      <c r="FZ219">
        <v>410</v>
      </c>
      <c r="GA219">
        <v>14.866099999999999</v>
      </c>
      <c r="GB219">
        <v>99.868600000000001</v>
      </c>
      <c r="GC219">
        <v>99.750600000000006</v>
      </c>
    </row>
    <row r="220" spans="1:185" x14ac:dyDescent="0.2">
      <c r="A220">
        <v>205</v>
      </c>
      <c r="B220">
        <v>1769198369</v>
      </c>
      <c r="C220">
        <v>3808</v>
      </c>
      <c r="D220" t="s">
        <v>710</v>
      </c>
      <c r="E220" t="s">
        <v>711</v>
      </c>
      <c r="F220">
        <v>15</v>
      </c>
      <c r="G220">
        <v>1769198360.9333301</v>
      </c>
      <c r="H220">
        <f t="shared" si="39"/>
        <v>6.939043122650443E-4</v>
      </c>
      <c r="I220">
        <v>0</v>
      </c>
      <c r="J220">
        <f t="shared" si="51"/>
        <v>9.4610933051592018E-4</v>
      </c>
      <c r="K220">
        <f t="shared" si="40"/>
        <v>3.5255645832773692E-2</v>
      </c>
      <c r="L220">
        <f t="shared" si="41"/>
        <v>70.018724347277001</v>
      </c>
      <c r="M220">
        <f t="shared" si="42"/>
        <v>1.5437463530695739</v>
      </c>
      <c r="N220">
        <f t="shared" si="43"/>
        <v>2.2047621796320391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26338.391370780955</v>
      </c>
      <c r="T220">
        <f t="shared" si="47"/>
        <v>499.99779999999998</v>
      </c>
      <c r="U220">
        <f t="shared" si="48"/>
        <v>421.49803390049073</v>
      </c>
      <c r="V220">
        <f t="shared" si="49"/>
        <v>0.84299977700000028</v>
      </c>
      <c r="W220">
        <f t="shared" si="50"/>
        <v>0.15869950746000006</v>
      </c>
      <c r="X220">
        <v>1</v>
      </c>
      <c r="Y220">
        <v>1769198360.9333301</v>
      </c>
      <c r="Z220">
        <v>409.57806666666698</v>
      </c>
      <c r="AA220">
        <v>409.97719999999998</v>
      </c>
      <c r="AB220">
        <v>15.403593333333299</v>
      </c>
      <c r="AC220">
        <v>14.549993333333299</v>
      </c>
      <c r="AD220">
        <v>410.39853333333298</v>
      </c>
      <c r="AE220">
        <v>15.303280000000001</v>
      </c>
      <c r="AF220">
        <v>800.39326666666705</v>
      </c>
      <c r="AG220">
        <v>100.1534</v>
      </c>
      <c r="AH220">
        <v>6.6485039999999995E-2</v>
      </c>
      <c r="AI220">
        <v>18.996960000000001</v>
      </c>
      <c r="AJ220">
        <v>999.9</v>
      </c>
      <c r="AK220">
        <v>999.9</v>
      </c>
      <c r="AL220">
        <v>0</v>
      </c>
      <c r="AM220">
        <v>0</v>
      </c>
      <c r="AN220">
        <v>5012.4666666666699</v>
      </c>
      <c r="AO220">
        <v>0</v>
      </c>
      <c r="AP220">
        <v>1.63733</v>
      </c>
      <c r="AQ220">
        <v>-0.39917609333333298</v>
      </c>
      <c r="AR220">
        <v>415.98579999999998</v>
      </c>
      <c r="AS220">
        <v>416.030466666667</v>
      </c>
      <c r="AT220">
        <v>0.85360839166666702</v>
      </c>
      <c r="AU220">
        <v>409.97719999999998</v>
      </c>
      <c r="AV220">
        <v>14.549993333333299</v>
      </c>
      <c r="AW220">
        <v>1.54272066666667</v>
      </c>
      <c r="AX220">
        <v>1.457228</v>
      </c>
      <c r="AY220">
        <v>13.396459999999999</v>
      </c>
      <c r="AZ220">
        <v>12.526160000000001</v>
      </c>
      <c r="BA220">
        <v>499.99779999999998</v>
      </c>
      <c r="BB220">
        <v>0.90000646666666695</v>
      </c>
      <c r="BC220">
        <v>0</v>
      </c>
      <c r="BD220">
        <v>9.9993499999999999E-2</v>
      </c>
      <c r="BE220">
        <v>0</v>
      </c>
      <c r="BF220">
        <v>25</v>
      </c>
      <c r="BG220">
        <v>8244.3686666666708</v>
      </c>
      <c r="BH220">
        <v>1769198352</v>
      </c>
      <c r="BI220" t="s">
        <v>707</v>
      </c>
      <c r="BJ220">
        <v>1769198330</v>
      </c>
      <c r="BK220">
        <v>1769198352</v>
      </c>
      <c r="BL220">
        <v>8</v>
      </c>
      <c r="BM220">
        <v>-1.4999999999999999E-2</v>
      </c>
      <c r="BN220">
        <v>6.0000000000000001E-3</v>
      </c>
      <c r="BO220">
        <v>-0.82</v>
      </c>
      <c r="BP220">
        <v>0.1</v>
      </c>
      <c r="BQ220">
        <v>410</v>
      </c>
      <c r="BR220">
        <v>15</v>
      </c>
      <c r="BS220">
        <v>0.24</v>
      </c>
      <c r="BT220">
        <v>7.0000000000000007E-2</v>
      </c>
      <c r="BU220">
        <v>-0.28511851166666702</v>
      </c>
      <c r="BV220">
        <v>-1.96084564324675</v>
      </c>
      <c r="BW220">
        <v>0.22525767530749899</v>
      </c>
      <c r="BX220">
        <v>0</v>
      </c>
      <c r="BY220">
        <v>0</v>
      </c>
      <c r="BZ220">
        <v>0</v>
      </c>
      <c r="CA220">
        <v>0</v>
      </c>
      <c r="CB220">
        <v>-1</v>
      </c>
      <c r="CC220">
        <v>0.61030006976190498</v>
      </c>
      <c r="CD220">
        <v>4.4978008905194802</v>
      </c>
      <c r="CE220">
        <v>0.48959615407831097</v>
      </c>
      <c r="CF220">
        <v>0</v>
      </c>
      <c r="CG220">
        <v>0</v>
      </c>
      <c r="CH220">
        <v>2</v>
      </c>
      <c r="CI220" t="s">
        <v>290</v>
      </c>
      <c r="CJ220">
        <v>3.53254</v>
      </c>
      <c r="CK220">
        <v>2.7022599999999999</v>
      </c>
      <c r="CL220">
        <v>9.78908E-2</v>
      </c>
      <c r="CM220">
        <v>9.6617099999999997E-2</v>
      </c>
      <c r="CN220">
        <v>8.7565900000000002E-2</v>
      </c>
      <c r="CO220">
        <v>8.2188800000000006E-2</v>
      </c>
      <c r="CP220">
        <v>31628.6</v>
      </c>
      <c r="CQ220">
        <v>27820.3</v>
      </c>
      <c r="CR220">
        <v>32450.5</v>
      </c>
      <c r="CS220">
        <v>30723.3</v>
      </c>
      <c r="CT220">
        <v>40098.199999999997</v>
      </c>
      <c r="CU220">
        <v>39658.5</v>
      </c>
      <c r="CV220">
        <v>47398</v>
      </c>
      <c r="CW220">
        <v>46860.800000000003</v>
      </c>
      <c r="CX220">
        <v>2.6180400000000001</v>
      </c>
      <c r="CY220">
        <v>2.1204200000000002</v>
      </c>
      <c r="CZ220">
        <v>0</v>
      </c>
      <c r="DA220">
        <v>0</v>
      </c>
      <c r="DB220">
        <v>999.9</v>
      </c>
      <c r="DC220">
        <v>999.9</v>
      </c>
      <c r="DD220">
        <v>48.534999999999997</v>
      </c>
      <c r="DE220">
        <v>28.309000000000001</v>
      </c>
      <c r="DF220">
        <v>18.722799999999999</v>
      </c>
      <c r="DG220">
        <v>30.149799999999999</v>
      </c>
      <c r="DH220">
        <v>16.354199999999999</v>
      </c>
      <c r="DI220">
        <v>2</v>
      </c>
      <c r="DJ220">
        <v>-0.108197</v>
      </c>
      <c r="DK220">
        <v>2.2619500000000001</v>
      </c>
      <c r="DL220">
        <v>20.207899999999999</v>
      </c>
      <c r="DM220">
        <v>5.24796</v>
      </c>
      <c r="DN220">
        <v>12.033899999999999</v>
      </c>
      <c r="DO220">
        <v>4.9661999999999997</v>
      </c>
      <c r="DP220">
        <v>3.2910200000000001</v>
      </c>
      <c r="DQ220">
        <v>537.1</v>
      </c>
      <c r="DR220">
        <v>9999</v>
      </c>
      <c r="DS220">
        <v>9999</v>
      </c>
      <c r="DT220">
        <v>9999</v>
      </c>
      <c r="DU220">
        <v>1.8711199999999999</v>
      </c>
      <c r="DV220">
        <v>1.87609</v>
      </c>
      <c r="DW220">
        <v>1.8763300000000001</v>
      </c>
      <c r="DX220">
        <v>1.8827799999999999</v>
      </c>
      <c r="DY220">
        <v>1.8755900000000001</v>
      </c>
      <c r="DZ220">
        <v>1.8746700000000001</v>
      </c>
      <c r="EA220">
        <v>1.87076</v>
      </c>
      <c r="EB220">
        <v>1.87462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-0.82</v>
      </c>
      <c r="EQ220">
        <v>0.1003</v>
      </c>
      <c r="ER220">
        <v>-0.82039999999994995</v>
      </c>
      <c r="ES220">
        <v>0</v>
      </c>
      <c r="ET220">
        <v>0</v>
      </c>
      <c r="EU220">
        <v>0</v>
      </c>
      <c r="EV220">
        <v>0.10032000000000001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0.7</v>
      </c>
      <c r="FE220">
        <v>0.3</v>
      </c>
      <c r="FF220">
        <v>1.2439</v>
      </c>
      <c r="FG220">
        <v>2.5988799999999999</v>
      </c>
      <c r="FH220">
        <v>2.19604</v>
      </c>
      <c r="FI220">
        <v>2.66357</v>
      </c>
      <c r="FJ220">
        <v>2.4462899999999999</v>
      </c>
      <c r="FK220">
        <v>2.2619600000000002</v>
      </c>
      <c r="FL220">
        <v>32.598199999999999</v>
      </c>
      <c r="FM220">
        <v>24.14</v>
      </c>
      <c r="FN220">
        <v>19</v>
      </c>
      <c r="FO220">
        <v>862.70699999999999</v>
      </c>
      <c r="FP220">
        <v>570.17200000000003</v>
      </c>
      <c r="FQ220">
        <v>18.110199999999999</v>
      </c>
      <c r="FR220">
        <v>25.6145</v>
      </c>
      <c r="FS220">
        <v>30.0001</v>
      </c>
      <c r="FT220">
        <v>25.616</v>
      </c>
      <c r="FU220">
        <v>25.6144</v>
      </c>
      <c r="FV220">
        <v>24.9633</v>
      </c>
      <c r="FW220">
        <v>25.629200000000001</v>
      </c>
      <c r="FX220">
        <v>0</v>
      </c>
      <c r="FY220">
        <v>18.112400000000001</v>
      </c>
      <c r="FZ220">
        <v>410</v>
      </c>
      <c r="GA220">
        <v>14.409800000000001</v>
      </c>
      <c r="GB220">
        <v>99.868399999999994</v>
      </c>
      <c r="GC220">
        <v>99.750799999999998</v>
      </c>
    </row>
    <row r="221" spans="1:185" x14ac:dyDescent="0.2">
      <c r="A221">
        <v>206</v>
      </c>
      <c r="B221">
        <v>1769198384</v>
      </c>
      <c r="C221">
        <v>3823</v>
      </c>
      <c r="D221" t="s">
        <v>712</v>
      </c>
      <c r="E221" t="s">
        <v>713</v>
      </c>
      <c r="F221">
        <v>15</v>
      </c>
      <c r="G221">
        <v>1769198375.9333301</v>
      </c>
      <c r="H221">
        <f t="shared" si="39"/>
        <v>8.498094587132E-4</v>
      </c>
      <c r="I221">
        <v>0</v>
      </c>
      <c r="J221">
        <f t="shared" si="51"/>
        <v>-3.7933150468268871E-4</v>
      </c>
      <c r="K221">
        <f t="shared" si="40"/>
        <v>-1.4135340125028997E-2</v>
      </c>
      <c r="L221">
        <f t="shared" si="41"/>
        <v>70.347187104096093</v>
      </c>
      <c r="M221">
        <f t="shared" si="42"/>
        <v>1.5511482062556829</v>
      </c>
      <c r="N221">
        <f t="shared" si="43"/>
        <v>2.2049896664103641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26259.813585122123</v>
      </c>
      <c r="T221">
        <f t="shared" si="47"/>
        <v>499.99919999999997</v>
      </c>
      <c r="U221">
        <f t="shared" si="48"/>
        <v>421.49941409985865</v>
      </c>
      <c r="V221">
        <f t="shared" si="49"/>
        <v>0.84300017700000052</v>
      </c>
      <c r="W221">
        <f t="shared" si="50"/>
        <v>0.15870037754000013</v>
      </c>
      <c r="X221">
        <v>1</v>
      </c>
      <c r="Y221">
        <v>1769198375.9333301</v>
      </c>
      <c r="Z221">
        <v>409.57139999999998</v>
      </c>
      <c r="AA221">
        <v>409.98880000000003</v>
      </c>
      <c r="AB221">
        <v>15.477593333333299</v>
      </c>
      <c r="AC221">
        <v>14.43178</v>
      </c>
      <c r="AD221">
        <v>410.39179999999999</v>
      </c>
      <c r="AE221">
        <v>15.377280000000001</v>
      </c>
      <c r="AF221">
        <v>800.00553333333301</v>
      </c>
      <c r="AG221">
        <v>100.15453333333301</v>
      </c>
      <c r="AH221">
        <v>6.4420146666666706E-2</v>
      </c>
      <c r="AI221">
        <v>18.998613333333299</v>
      </c>
      <c r="AJ221">
        <v>999.9</v>
      </c>
      <c r="AK221">
        <v>999.9</v>
      </c>
      <c r="AL221">
        <v>0</v>
      </c>
      <c r="AM221">
        <v>0</v>
      </c>
      <c r="AN221">
        <v>4999.5</v>
      </c>
      <c r="AO221">
        <v>0</v>
      </c>
      <c r="AP221">
        <v>1.63733</v>
      </c>
      <c r="AQ221">
        <v>-0.41752319999999998</v>
      </c>
      <c r="AR221">
        <v>416.0102</v>
      </c>
      <c r="AS221">
        <v>415.99239999999998</v>
      </c>
      <c r="AT221">
        <v>1.0458273333333299</v>
      </c>
      <c r="AU221">
        <v>409.98880000000003</v>
      </c>
      <c r="AV221">
        <v>14.43178</v>
      </c>
      <c r="AW221">
        <v>1.5501499999999999</v>
      </c>
      <c r="AX221">
        <v>1.4454073333333299</v>
      </c>
      <c r="AY221">
        <v>13.472013333333299</v>
      </c>
      <c r="AZ221">
        <v>12.40258</v>
      </c>
      <c r="BA221">
        <v>499.99919999999997</v>
      </c>
      <c r="BB221">
        <v>0.89999506666666695</v>
      </c>
      <c r="BC221">
        <v>0</v>
      </c>
      <c r="BD221">
        <v>0.100004966666667</v>
      </c>
      <c r="BE221">
        <v>0</v>
      </c>
      <c r="BF221">
        <v>25</v>
      </c>
      <c r="BG221">
        <v>8244.3653333333295</v>
      </c>
      <c r="BH221">
        <v>1769198352</v>
      </c>
      <c r="BI221" t="s">
        <v>707</v>
      </c>
      <c r="BJ221">
        <v>1769198330</v>
      </c>
      <c r="BK221">
        <v>1769198352</v>
      </c>
      <c r="BL221">
        <v>8</v>
      </c>
      <c r="BM221">
        <v>-1.4999999999999999E-2</v>
      </c>
      <c r="BN221">
        <v>6.0000000000000001E-3</v>
      </c>
      <c r="BO221">
        <v>-0.82</v>
      </c>
      <c r="BP221">
        <v>0.1</v>
      </c>
      <c r="BQ221">
        <v>410</v>
      </c>
      <c r="BR221">
        <v>15</v>
      </c>
      <c r="BS221">
        <v>0.24</v>
      </c>
      <c r="BT221">
        <v>7.0000000000000007E-2</v>
      </c>
      <c r="BU221">
        <v>-0.42868645</v>
      </c>
      <c r="BV221">
        <v>0.22705827067669199</v>
      </c>
      <c r="BW221">
        <v>2.8568312782653101E-2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1.055749</v>
      </c>
      <c r="CD221">
        <v>-0.226263157894737</v>
      </c>
      <c r="CE221">
        <v>2.1932153770206901E-2</v>
      </c>
      <c r="CF221">
        <v>0</v>
      </c>
      <c r="CG221">
        <v>1</v>
      </c>
      <c r="CH221">
        <v>2</v>
      </c>
      <c r="CI221" t="s">
        <v>297</v>
      </c>
      <c r="CJ221">
        <v>3.5325199999999999</v>
      </c>
      <c r="CK221">
        <v>2.7019299999999999</v>
      </c>
      <c r="CL221">
        <v>9.7895999999999997E-2</v>
      </c>
      <c r="CM221">
        <v>9.6615400000000004E-2</v>
      </c>
      <c r="CN221">
        <v>8.7327500000000002E-2</v>
      </c>
      <c r="CO221">
        <v>8.2149100000000003E-2</v>
      </c>
      <c r="CP221">
        <v>31628.7</v>
      </c>
      <c r="CQ221">
        <v>27820.5</v>
      </c>
      <c r="CR221">
        <v>32450.799999999999</v>
      </c>
      <c r="CS221">
        <v>30723.4</v>
      </c>
      <c r="CT221">
        <v>40109.4</v>
      </c>
      <c r="CU221">
        <v>39660.400000000001</v>
      </c>
      <c r="CV221">
        <v>47398.400000000001</v>
      </c>
      <c r="CW221">
        <v>46860.9</v>
      </c>
      <c r="CX221">
        <v>2.62026</v>
      </c>
      <c r="CY221">
        <v>2.1212200000000001</v>
      </c>
      <c r="CZ221">
        <v>0</v>
      </c>
      <c r="DA221">
        <v>0</v>
      </c>
      <c r="DB221">
        <v>999.9</v>
      </c>
      <c r="DC221">
        <v>999.9</v>
      </c>
      <c r="DD221">
        <v>48.511000000000003</v>
      </c>
      <c r="DE221">
        <v>28.309000000000001</v>
      </c>
      <c r="DF221">
        <v>18.713699999999999</v>
      </c>
      <c r="DG221">
        <v>30.0898</v>
      </c>
      <c r="DH221">
        <v>16.382200000000001</v>
      </c>
      <c r="DI221">
        <v>2</v>
      </c>
      <c r="DJ221">
        <v>-0.108305</v>
      </c>
      <c r="DK221">
        <v>2.2755299999999998</v>
      </c>
      <c r="DL221">
        <v>20.207100000000001</v>
      </c>
      <c r="DM221">
        <v>5.2459199999999999</v>
      </c>
      <c r="DN221">
        <v>12.033899999999999</v>
      </c>
      <c r="DO221">
        <v>4.9658800000000003</v>
      </c>
      <c r="DP221">
        <v>3.2907000000000002</v>
      </c>
      <c r="DQ221">
        <v>537.1</v>
      </c>
      <c r="DR221">
        <v>9999</v>
      </c>
      <c r="DS221">
        <v>9999</v>
      </c>
      <c r="DT221">
        <v>9999</v>
      </c>
      <c r="DU221">
        <v>1.87107</v>
      </c>
      <c r="DV221">
        <v>1.87609</v>
      </c>
      <c r="DW221">
        <v>1.8763099999999999</v>
      </c>
      <c r="DX221">
        <v>1.8827799999999999</v>
      </c>
      <c r="DY221">
        <v>1.8755999999999999</v>
      </c>
      <c r="DZ221">
        <v>1.8746499999999999</v>
      </c>
      <c r="EA221">
        <v>1.87076</v>
      </c>
      <c r="EB221">
        <v>1.8746400000000001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-0.82</v>
      </c>
      <c r="EQ221">
        <v>0.1003</v>
      </c>
      <c r="ER221">
        <v>-0.82039999999994995</v>
      </c>
      <c r="ES221">
        <v>0</v>
      </c>
      <c r="ET221">
        <v>0</v>
      </c>
      <c r="EU221">
        <v>0</v>
      </c>
      <c r="EV221">
        <v>0.10032000000000001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0.9</v>
      </c>
      <c r="FE221">
        <v>0.5</v>
      </c>
      <c r="FF221">
        <v>1.2439</v>
      </c>
      <c r="FG221">
        <v>2.6037599999999999</v>
      </c>
      <c r="FH221">
        <v>2.19604</v>
      </c>
      <c r="FI221">
        <v>2.66357</v>
      </c>
      <c r="FJ221">
        <v>2.4462899999999999</v>
      </c>
      <c r="FK221">
        <v>2.2753899999999998</v>
      </c>
      <c r="FL221">
        <v>32.598199999999999</v>
      </c>
      <c r="FM221">
        <v>24.14</v>
      </c>
      <c r="FN221">
        <v>19</v>
      </c>
      <c r="FO221">
        <v>864.73599999999999</v>
      </c>
      <c r="FP221">
        <v>570.78099999999995</v>
      </c>
      <c r="FQ221">
        <v>18.1158</v>
      </c>
      <c r="FR221">
        <v>25.6129</v>
      </c>
      <c r="FS221">
        <v>30.0001</v>
      </c>
      <c r="FT221">
        <v>25.613800000000001</v>
      </c>
      <c r="FU221">
        <v>25.6144</v>
      </c>
      <c r="FV221">
        <v>24.963899999999999</v>
      </c>
      <c r="FW221">
        <v>25.629200000000001</v>
      </c>
      <c r="FX221">
        <v>0</v>
      </c>
      <c r="FY221">
        <v>18.106300000000001</v>
      </c>
      <c r="FZ221">
        <v>410</v>
      </c>
      <c r="GA221">
        <v>14.4155</v>
      </c>
      <c r="GB221">
        <v>99.869500000000002</v>
      </c>
      <c r="GC221">
        <v>99.751300000000001</v>
      </c>
    </row>
    <row r="222" spans="1:185" x14ac:dyDescent="0.2">
      <c r="A222">
        <v>207</v>
      </c>
      <c r="B222">
        <v>1769198399</v>
      </c>
      <c r="C222">
        <v>3838</v>
      </c>
      <c r="D222" t="s">
        <v>714</v>
      </c>
      <c r="E222" t="s">
        <v>715</v>
      </c>
      <c r="F222">
        <v>15</v>
      </c>
      <c r="G222">
        <v>1769198390.9333301</v>
      </c>
      <c r="H222">
        <f t="shared" si="39"/>
        <v>8.2553439014052248E-4</v>
      </c>
      <c r="I222">
        <v>0</v>
      </c>
      <c r="J222">
        <f t="shared" si="51"/>
        <v>6.1879463406476734E-5</v>
      </c>
      <c r="K222">
        <f t="shared" si="40"/>
        <v>2.3058650578904887E-3</v>
      </c>
      <c r="L222">
        <f t="shared" si="41"/>
        <v>70.169960686348134</v>
      </c>
      <c r="M222">
        <f t="shared" si="42"/>
        <v>1.5474463742114251</v>
      </c>
      <c r="N222">
        <f t="shared" si="43"/>
        <v>2.2052832281442156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26236.984054496159</v>
      </c>
      <c r="T222">
        <f t="shared" si="47"/>
        <v>500.00073333333302</v>
      </c>
      <c r="U222">
        <f t="shared" si="48"/>
        <v>421.50082520030327</v>
      </c>
      <c r="V222">
        <f t="shared" si="49"/>
        <v>0.84300041399999992</v>
      </c>
      <c r="W222">
        <f t="shared" si="50"/>
        <v>0.15870103499999999</v>
      </c>
      <c r="X222">
        <v>1</v>
      </c>
      <c r="Y222">
        <v>1769198390.9333301</v>
      </c>
      <c r="Z222">
        <v>409.5772</v>
      </c>
      <c r="AA222">
        <v>410.00273333333303</v>
      </c>
      <c r="AB222">
        <v>15.4406866666667</v>
      </c>
      <c r="AC222">
        <v>14.4247</v>
      </c>
      <c r="AD222">
        <v>410.397533333333</v>
      </c>
      <c r="AE222">
        <v>15.3403666666667</v>
      </c>
      <c r="AF222">
        <v>799.99826666666695</v>
      </c>
      <c r="AG222">
        <v>100.154666666667</v>
      </c>
      <c r="AH222">
        <v>6.4087046666666703E-2</v>
      </c>
      <c r="AI222">
        <v>19.0007466666667</v>
      </c>
      <c r="AJ222">
        <v>999.9</v>
      </c>
      <c r="AK222">
        <v>999.9</v>
      </c>
      <c r="AL222">
        <v>0</v>
      </c>
      <c r="AM222">
        <v>0</v>
      </c>
      <c r="AN222">
        <v>4995.7666666666701</v>
      </c>
      <c r="AO222">
        <v>0</v>
      </c>
      <c r="AP222">
        <v>1.63733</v>
      </c>
      <c r="AQ222">
        <v>-0.42550853333333299</v>
      </c>
      <c r="AR222">
        <v>416.00046666666702</v>
      </c>
      <c r="AS222">
        <v>416.003266666667</v>
      </c>
      <c r="AT222">
        <v>1.01598066666667</v>
      </c>
      <c r="AU222">
        <v>410.00273333333303</v>
      </c>
      <c r="AV222">
        <v>14.4247</v>
      </c>
      <c r="AW222">
        <v>1.54645533333333</v>
      </c>
      <c r="AX222">
        <v>1.44469933333333</v>
      </c>
      <c r="AY222">
        <v>13.4353533333333</v>
      </c>
      <c r="AZ222">
        <v>12.39512</v>
      </c>
      <c r="BA222">
        <v>500.00073333333302</v>
      </c>
      <c r="BB222">
        <v>0.89998619999999996</v>
      </c>
      <c r="BC222">
        <v>0</v>
      </c>
      <c r="BD222">
        <v>0.1000138</v>
      </c>
      <c r="BE222">
        <v>0</v>
      </c>
      <c r="BF222">
        <v>25</v>
      </c>
      <c r="BG222">
        <v>8244.3680000000004</v>
      </c>
      <c r="BH222">
        <v>1769198352</v>
      </c>
      <c r="BI222" t="s">
        <v>707</v>
      </c>
      <c r="BJ222">
        <v>1769198330</v>
      </c>
      <c r="BK222">
        <v>1769198352</v>
      </c>
      <c r="BL222">
        <v>8</v>
      </c>
      <c r="BM222">
        <v>-1.4999999999999999E-2</v>
      </c>
      <c r="BN222">
        <v>6.0000000000000001E-3</v>
      </c>
      <c r="BO222">
        <v>-0.82</v>
      </c>
      <c r="BP222">
        <v>0.1</v>
      </c>
      <c r="BQ222">
        <v>410</v>
      </c>
      <c r="BR222">
        <v>15</v>
      </c>
      <c r="BS222">
        <v>0.24</v>
      </c>
      <c r="BT222">
        <v>7.0000000000000007E-2</v>
      </c>
      <c r="BU222">
        <v>-0.41949166666666698</v>
      </c>
      <c r="BV222">
        <v>-9.3666623376622904E-2</v>
      </c>
      <c r="BW222">
        <v>1.9826184296178401E-2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1.02011952380952</v>
      </c>
      <c r="CD222">
        <v>-7.5219740259741694E-2</v>
      </c>
      <c r="CE222">
        <v>7.8346729206293392E-3</v>
      </c>
      <c r="CF222">
        <v>1</v>
      </c>
      <c r="CG222">
        <v>2</v>
      </c>
      <c r="CH222">
        <v>2</v>
      </c>
      <c r="CI222" t="s">
        <v>304</v>
      </c>
      <c r="CJ222">
        <v>3.5325299999999999</v>
      </c>
      <c r="CK222">
        <v>2.7021799999999998</v>
      </c>
      <c r="CL222">
        <v>9.7896200000000003E-2</v>
      </c>
      <c r="CM222">
        <v>9.6611600000000006E-2</v>
      </c>
      <c r="CN222">
        <v>8.72502E-2</v>
      </c>
      <c r="CO222">
        <v>8.2129499999999994E-2</v>
      </c>
      <c r="CP222">
        <v>31628.2</v>
      </c>
      <c r="CQ222">
        <v>27820.7</v>
      </c>
      <c r="CR222">
        <v>32450.3</v>
      </c>
      <c r="CS222">
        <v>30723.5</v>
      </c>
      <c r="CT222">
        <v>40112.199999999997</v>
      </c>
      <c r="CU222">
        <v>39661.5</v>
      </c>
      <c r="CV222">
        <v>47397.599999999999</v>
      </c>
      <c r="CW222">
        <v>46861.1</v>
      </c>
      <c r="CX222">
        <v>2.62086</v>
      </c>
      <c r="CY222">
        <v>2.12114</v>
      </c>
      <c r="CZ222">
        <v>0</v>
      </c>
      <c r="DA222">
        <v>0</v>
      </c>
      <c r="DB222">
        <v>999.9</v>
      </c>
      <c r="DC222">
        <v>999.9</v>
      </c>
      <c r="DD222">
        <v>48.485999999999997</v>
      </c>
      <c r="DE222">
        <v>28.309000000000001</v>
      </c>
      <c r="DF222">
        <v>18.704999999999998</v>
      </c>
      <c r="DG222">
        <v>30.389800000000001</v>
      </c>
      <c r="DH222">
        <v>16.4343</v>
      </c>
      <c r="DI222">
        <v>2</v>
      </c>
      <c r="DJ222">
        <v>-0.108305</v>
      </c>
      <c r="DK222">
        <v>2.28213</v>
      </c>
      <c r="DL222">
        <v>20.2072</v>
      </c>
      <c r="DM222">
        <v>5.24796</v>
      </c>
      <c r="DN222">
        <v>12.033899999999999</v>
      </c>
      <c r="DO222">
        <v>4.9661600000000004</v>
      </c>
      <c r="DP222">
        <v>3.2909999999999999</v>
      </c>
      <c r="DQ222">
        <v>537.1</v>
      </c>
      <c r="DR222">
        <v>9999</v>
      </c>
      <c r="DS222">
        <v>9999</v>
      </c>
      <c r="DT222">
        <v>9999</v>
      </c>
      <c r="DU222">
        <v>1.8711500000000001</v>
      </c>
      <c r="DV222">
        <v>1.8761300000000001</v>
      </c>
      <c r="DW222">
        <v>1.87635</v>
      </c>
      <c r="DX222">
        <v>1.8827799999999999</v>
      </c>
      <c r="DY222">
        <v>1.87561</v>
      </c>
      <c r="DZ222">
        <v>1.8746799999999999</v>
      </c>
      <c r="EA222">
        <v>1.87083</v>
      </c>
      <c r="EB222">
        <v>1.8746799999999999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-0.82099999999999995</v>
      </c>
      <c r="EQ222">
        <v>0.1003</v>
      </c>
      <c r="ER222">
        <v>-0.82039999999994995</v>
      </c>
      <c r="ES222">
        <v>0</v>
      </c>
      <c r="ET222">
        <v>0</v>
      </c>
      <c r="EU222">
        <v>0</v>
      </c>
      <c r="EV222">
        <v>0.10032000000000001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1.1000000000000001</v>
      </c>
      <c r="FE222">
        <v>0.8</v>
      </c>
      <c r="FF222">
        <v>1.2439</v>
      </c>
      <c r="FG222">
        <v>2.5976599999999999</v>
      </c>
      <c r="FH222">
        <v>2.19604</v>
      </c>
      <c r="FI222">
        <v>2.66357</v>
      </c>
      <c r="FJ222">
        <v>2.4462899999999999</v>
      </c>
      <c r="FK222">
        <v>2.2900399999999999</v>
      </c>
      <c r="FL222">
        <v>32.620399999999997</v>
      </c>
      <c r="FM222">
        <v>24.14</v>
      </c>
      <c r="FN222">
        <v>19</v>
      </c>
      <c r="FO222">
        <v>865.29399999999998</v>
      </c>
      <c r="FP222">
        <v>570.72</v>
      </c>
      <c r="FQ222">
        <v>18.103200000000001</v>
      </c>
      <c r="FR222">
        <v>25.6129</v>
      </c>
      <c r="FS222">
        <v>30.0001</v>
      </c>
      <c r="FT222">
        <v>25.613800000000001</v>
      </c>
      <c r="FU222">
        <v>25.6144</v>
      </c>
      <c r="FV222">
        <v>24.963999999999999</v>
      </c>
      <c r="FW222">
        <v>25.629200000000001</v>
      </c>
      <c r="FX222">
        <v>0</v>
      </c>
      <c r="FY222">
        <v>18.104900000000001</v>
      </c>
      <c r="FZ222">
        <v>410</v>
      </c>
      <c r="GA222">
        <v>14.418200000000001</v>
      </c>
      <c r="GB222">
        <v>99.867800000000003</v>
      </c>
      <c r="GC222">
        <v>99.751599999999996</v>
      </c>
    </row>
    <row r="223" spans="1:185" x14ac:dyDescent="0.2">
      <c r="A223">
        <v>208</v>
      </c>
      <c r="B223">
        <v>1769198414</v>
      </c>
      <c r="C223">
        <v>3853</v>
      </c>
      <c r="D223" t="s">
        <v>716</v>
      </c>
      <c r="E223" t="s">
        <v>717</v>
      </c>
      <c r="F223">
        <v>15</v>
      </c>
      <c r="G223">
        <v>1769198405.9333301</v>
      </c>
      <c r="H223">
        <f t="shared" si="39"/>
        <v>8.1674515791724104E-4</v>
      </c>
      <c r="I223">
        <v>0</v>
      </c>
      <c r="J223">
        <f t="shared" si="51"/>
        <v>-2.1632637986626095E-4</v>
      </c>
      <c r="K223">
        <f t="shared" si="40"/>
        <v>-8.0611468324617973E-3</v>
      </c>
      <c r="L223">
        <f t="shared" si="41"/>
        <v>70.100656318167765</v>
      </c>
      <c r="M223">
        <f t="shared" si="42"/>
        <v>1.5458929348202393</v>
      </c>
      <c r="N223">
        <f t="shared" si="43"/>
        <v>2.2052474484744518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26295.69807191244</v>
      </c>
      <c r="T223">
        <f t="shared" si="47"/>
        <v>499.99893333333301</v>
      </c>
      <c r="U223">
        <f t="shared" si="48"/>
        <v>421.49927979961802</v>
      </c>
      <c r="V223">
        <f t="shared" si="49"/>
        <v>0.84300035800000028</v>
      </c>
      <c r="W223">
        <f t="shared" si="50"/>
        <v>0.15870115484000008</v>
      </c>
      <c r="X223">
        <v>1</v>
      </c>
      <c r="Y223">
        <v>1769198405.9333301</v>
      </c>
      <c r="Z223">
        <v>409.57426666666697</v>
      </c>
      <c r="AA223">
        <v>409.98233333333297</v>
      </c>
      <c r="AB223">
        <v>15.4250266666667</v>
      </c>
      <c r="AC223">
        <v>14.4198533333333</v>
      </c>
      <c r="AD223">
        <v>410.39473333333302</v>
      </c>
      <c r="AE223">
        <v>15.324719999999999</v>
      </c>
      <c r="AF223">
        <v>800.00813333333303</v>
      </c>
      <c r="AG223">
        <v>100.1554</v>
      </c>
      <c r="AH223">
        <v>6.4390100000000006E-2</v>
      </c>
      <c r="AI223">
        <v>19.000486666666699</v>
      </c>
      <c r="AJ223">
        <v>999.9</v>
      </c>
      <c r="AK223">
        <v>999.9</v>
      </c>
      <c r="AL223">
        <v>0</v>
      </c>
      <c r="AM223">
        <v>0</v>
      </c>
      <c r="AN223">
        <v>5005.3999999999996</v>
      </c>
      <c r="AO223">
        <v>0</v>
      </c>
      <c r="AP223">
        <v>1.63733</v>
      </c>
      <c r="AQ223">
        <v>-0.40809319999999999</v>
      </c>
      <c r="AR223">
        <v>415.99093333333298</v>
      </c>
      <c r="AS223">
        <v>415.98059999999998</v>
      </c>
      <c r="AT223">
        <v>1.0051762</v>
      </c>
      <c r="AU223">
        <v>409.98233333333297</v>
      </c>
      <c r="AV223">
        <v>14.4198533333333</v>
      </c>
      <c r="AW223">
        <v>1.544902</v>
      </c>
      <c r="AX223">
        <v>1.444226</v>
      </c>
      <c r="AY223">
        <v>13.41994</v>
      </c>
      <c r="AZ223">
        <v>12.3901466666667</v>
      </c>
      <c r="BA223">
        <v>499.99893333333301</v>
      </c>
      <c r="BB223">
        <v>0.89998420000000001</v>
      </c>
      <c r="BC223">
        <v>0</v>
      </c>
      <c r="BD223">
        <v>0.100015666666667</v>
      </c>
      <c r="BE223">
        <v>0</v>
      </c>
      <c r="BF223">
        <v>25</v>
      </c>
      <c r="BG223">
        <v>8244.3346666666694</v>
      </c>
      <c r="BH223">
        <v>1769198352</v>
      </c>
      <c r="BI223" t="s">
        <v>707</v>
      </c>
      <c r="BJ223">
        <v>1769198330</v>
      </c>
      <c r="BK223">
        <v>1769198352</v>
      </c>
      <c r="BL223">
        <v>8</v>
      </c>
      <c r="BM223">
        <v>-1.4999999999999999E-2</v>
      </c>
      <c r="BN223">
        <v>6.0000000000000001E-3</v>
      </c>
      <c r="BO223">
        <v>-0.82</v>
      </c>
      <c r="BP223">
        <v>0.1</v>
      </c>
      <c r="BQ223">
        <v>410</v>
      </c>
      <c r="BR223">
        <v>15</v>
      </c>
      <c r="BS223">
        <v>0.24</v>
      </c>
      <c r="BT223">
        <v>7.0000000000000007E-2</v>
      </c>
      <c r="BU223">
        <v>-0.41157525</v>
      </c>
      <c r="BV223">
        <v>0.12885342857142801</v>
      </c>
      <c r="BW223">
        <v>2.4299622496810499E-2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1.00681065</v>
      </c>
      <c r="CD223">
        <v>-5.2239022556390999E-2</v>
      </c>
      <c r="CE223">
        <v>5.4883483879487899E-3</v>
      </c>
      <c r="CF223">
        <v>1</v>
      </c>
      <c r="CG223">
        <v>2</v>
      </c>
      <c r="CH223">
        <v>2</v>
      </c>
      <c r="CI223" t="s">
        <v>304</v>
      </c>
      <c r="CJ223">
        <v>3.5325299999999999</v>
      </c>
      <c r="CK223">
        <v>2.7022400000000002</v>
      </c>
      <c r="CL223">
        <v>9.7895999999999997E-2</v>
      </c>
      <c r="CM223">
        <v>9.6617400000000006E-2</v>
      </c>
      <c r="CN223">
        <v>8.71696E-2</v>
      </c>
      <c r="CO223">
        <v>8.2107700000000006E-2</v>
      </c>
      <c r="CP223">
        <v>31628.5</v>
      </c>
      <c r="CQ223">
        <v>27821.3</v>
      </c>
      <c r="CR223">
        <v>32450.5</v>
      </c>
      <c r="CS223">
        <v>30724.3</v>
      </c>
      <c r="CT223">
        <v>40116.300000000003</v>
      </c>
      <c r="CU223">
        <v>39663.599999999999</v>
      </c>
      <c r="CV223">
        <v>47398.1</v>
      </c>
      <c r="CW223">
        <v>46862.6</v>
      </c>
      <c r="CX223">
        <v>2.6208399999999998</v>
      </c>
      <c r="CY223">
        <v>2.1214400000000002</v>
      </c>
      <c r="CZ223">
        <v>0</v>
      </c>
      <c r="DA223">
        <v>0</v>
      </c>
      <c r="DB223">
        <v>999.9</v>
      </c>
      <c r="DC223">
        <v>999.9</v>
      </c>
      <c r="DD223">
        <v>48.462000000000003</v>
      </c>
      <c r="DE223">
        <v>28.318999999999999</v>
      </c>
      <c r="DF223">
        <v>18.7057</v>
      </c>
      <c r="DG223">
        <v>30.389800000000001</v>
      </c>
      <c r="DH223">
        <v>16.426300000000001</v>
      </c>
      <c r="DI223">
        <v>2</v>
      </c>
      <c r="DJ223">
        <v>-0.108486</v>
      </c>
      <c r="DK223">
        <v>2.27644</v>
      </c>
      <c r="DL223">
        <v>20.207799999999999</v>
      </c>
      <c r="DM223">
        <v>5.2484400000000004</v>
      </c>
      <c r="DN223">
        <v>12.033899999999999</v>
      </c>
      <c r="DO223">
        <v>4.9667199999999996</v>
      </c>
      <c r="DP223">
        <v>3.2909999999999999</v>
      </c>
      <c r="DQ223">
        <v>537.1</v>
      </c>
      <c r="DR223">
        <v>9999</v>
      </c>
      <c r="DS223">
        <v>9999</v>
      </c>
      <c r="DT223">
        <v>9999</v>
      </c>
      <c r="DU223">
        <v>1.87113</v>
      </c>
      <c r="DV223">
        <v>1.8761300000000001</v>
      </c>
      <c r="DW223">
        <v>1.87636</v>
      </c>
      <c r="DX223">
        <v>1.8827799999999999</v>
      </c>
      <c r="DY223">
        <v>1.87561</v>
      </c>
      <c r="DZ223">
        <v>1.87469</v>
      </c>
      <c r="EA223">
        <v>1.8708</v>
      </c>
      <c r="EB223">
        <v>1.87466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-0.82</v>
      </c>
      <c r="EQ223">
        <v>0.1003</v>
      </c>
      <c r="ER223">
        <v>-0.82039999999994995</v>
      </c>
      <c r="ES223">
        <v>0</v>
      </c>
      <c r="ET223">
        <v>0</v>
      </c>
      <c r="EU223">
        <v>0</v>
      </c>
      <c r="EV223">
        <v>0.10032000000000001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1.4</v>
      </c>
      <c r="FE223">
        <v>1</v>
      </c>
      <c r="FF223">
        <v>1.2439</v>
      </c>
      <c r="FG223">
        <v>2.6025399999999999</v>
      </c>
      <c r="FH223">
        <v>2.19604</v>
      </c>
      <c r="FI223">
        <v>2.66235</v>
      </c>
      <c r="FJ223">
        <v>2.4462899999999999</v>
      </c>
      <c r="FK223">
        <v>2.2973599999999998</v>
      </c>
      <c r="FL223">
        <v>32.598199999999999</v>
      </c>
      <c r="FM223">
        <v>24.148800000000001</v>
      </c>
      <c r="FN223">
        <v>19</v>
      </c>
      <c r="FO223">
        <v>865.24099999999999</v>
      </c>
      <c r="FP223">
        <v>570.94899999999996</v>
      </c>
      <c r="FQ223">
        <v>18.103000000000002</v>
      </c>
      <c r="FR223">
        <v>25.611899999999999</v>
      </c>
      <c r="FS223">
        <v>30</v>
      </c>
      <c r="FT223">
        <v>25.611599999999999</v>
      </c>
      <c r="FU223">
        <v>25.6144</v>
      </c>
      <c r="FV223">
        <v>24.965</v>
      </c>
      <c r="FW223">
        <v>25.629200000000001</v>
      </c>
      <c r="FX223">
        <v>0</v>
      </c>
      <c r="FY223">
        <v>18.102799999999998</v>
      </c>
      <c r="FZ223">
        <v>410</v>
      </c>
      <c r="GA223">
        <v>14.420299999999999</v>
      </c>
      <c r="GB223">
        <v>99.868700000000004</v>
      </c>
      <c r="GC223">
        <v>99.754599999999996</v>
      </c>
    </row>
    <row r="224" spans="1:185" x14ac:dyDescent="0.2">
      <c r="A224">
        <v>209</v>
      </c>
      <c r="B224">
        <v>1769198429</v>
      </c>
      <c r="C224">
        <v>3868</v>
      </c>
      <c r="D224" t="s">
        <v>718</v>
      </c>
      <c r="E224" t="s">
        <v>719</v>
      </c>
      <c r="F224">
        <v>15</v>
      </c>
      <c r="G224">
        <v>1769198420.9333301</v>
      </c>
      <c r="H224">
        <f t="shared" si="39"/>
        <v>8.0940358057911743E-4</v>
      </c>
      <c r="I224">
        <v>0</v>
      </c>
      <c r="J224">
        <f t="shared" si="51"/>
        <v>2.4924243607358479E-4</v>
      </c>
      <c r="K224">
        <f t="shared" si="40"/>
        <v>9.2877247578948604E-3</v>
      </c>
      <c r="L224">
        <f t="shared" si="41"/>
        <v>70.043146238561476</v>
      </c>
      <c r="M224">
        <f t="shared" si="42"/>
        <v>1.5445546542885722</v>
      </c>
      <c r="N224">
        <f t="shared" si="43"/>
        <v>2.2051474515835423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26270.495813175283</v>
      </c>
      <c r="T224">
        <f t="shared" si="47"/>
        <v>500.00026666666702</v>
      </c>
      <c r="U224">
        <f t="shared" si="48"/>
        <v>421.50053280016448</v>
      </c>
      <c r="V224">
        <f t="shared" si="49"/>
        <v>0.84300061599999987</v>
      </c>
      <c r="W224">
        <f t="shared" si="50"/>
        <v>0.15870153999999995</v>
      </c>
      <c r="X224">
        <v>1</v>
      </c>
      <c r="Y224">
        <v>1769198420.9333301</v>
      </c>
      <c r="Z224">
        <v>409.57679999999999</v>
      </c>
      <c r="AA224">
        <v>410.00279999999998</v>
      </c>
      <c r="AB224">
        <v>15.4114133333333</v>
      </c>
      <c r="AC224">
        <v>14.4152533333333</v>
      </c>
      <c r="AD224">
        <v>410.39726666666701</v>
      </c>
      <c r="AE224">
        <v>15.311059999999999</v>
      </c>
      <c r="AF224">
        <v>800.00153333333299</v>
      </c>
      <c r="AG224">
        <v>100.15706666666701</v>
      </c>
      <c r="AH224">
        <v>6.44134066666667E-2</v>
      </c>
      <c r="AI224">
        <v>18.999759999999998</v>
      </c>
      <c r="AJ224">
        <v>999.9</v>
      </c>
      <c r="AK224">
        <v>999.9</v>
      </c>
      <c r="AL224">
        <v>0</v>
      </c>
      <c r="AM224">
        <v>0</v>
      </c>
      <c r="AN224">
        <v>5001.1666666666697</v>
      </c>
      <c r="AO224">
        <v>0</v>
      </c>
      <c r="AP224">
        <v>1.63733</v>
      </c>
      <c r="AQ224">
        <v>-0.426001133333333</v>
      </c>
      <c r="AR224">
        <v>415.987866666667</v>
      </c>
      <c r="AS224">
        <v>415.99953333333298</v>
      </c>
      <c r="AT224">
        <v>0.99615419999999999</v>
      </c>
      <c r="AU224">
        <v>410.00279999999998</v>
      </c>
      <c r="AV224">
        <v>14.4152533333333</v>
      </c>
      <c r="AW224">
        <v>1.5435620000000001</v>
      </c>
      <c r="AX224">
        <v>1.44378933333333</v>
      </c>
      <c r="AY224">
        <v>13.4066266666667</v>
      </c>
      <c r="AZ224">
        <v>12.3855133333333</v>
      </c>
      <c r="BA224">
        <v>500.00026666666702</v>
      </c>
      <c r="BB224">
        <v>0.89997946666666695</v>
      </c>
      <c r="BC224">
        <v>0</v>
      </c>
      <c r="BD224">
        <v>0.10002053333333299</v>
      </c>
      <c r="BE224">
        <v>0</v>
      </c>
      <c r="BF224">
        <v>25</v>
      </c>
      <c r="BG224">
        <v>8244.3413333333301</v>
      </c>
      <c r="BH224">
        <v>1769198352</v>
      </c>
      <c r="BI224" t="s">
        <v>707</v>
      </c>
      <c r="BJ224">
        <v>1769198330</v>
      </c>
      <c r="BK224">
        <v>1769198352</v>
      </c>
      <c r="BL224">
        <v>8</v>
      </c>
      <c r="BM224">
        <v>-1.4999999999999999E-2</v>
      </c>
      <c r="BN224">
        <v>6.0000000000000001E-3</v>
      </c>
      <c r="BO224">
        <v>-0.82</v>
      </c>
      <c r="BP224">
        <v>0.1</v>
      </c>
      <c r="BQ224">
        <v>410</v>
      </c>
      <c r="BR224">
        <v>15</v>
      </c>
      <c r="BS224">
        <v>0.24</v>
      </c>
      <c r="BT224">
        <v>7.0000000000000007E-2</v>
      </c>
      <c r="BU224">
        <v>-0.41606076190476199</v>
      </c>
      <c r="BV224">
        <v>-7.3637376623377701E-2</v>
      </c>
      <c r="BW224">
        <v>2.7285203052386801E-2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0.99695695238095206</v>
      </c>
      <c r="CD224">
        <v>-1.7098363636362902E-2</v>
      </c>
      <c r="CE224">
        <v>2.06368850261557E-3</v>
      </c>
      <c r="CF224">
        <v>1</v>
      </c>
      <c r="CG224">
        <v>2</v>
      </c>
      <c r="CH224">
        <v>2</v>
      </c>
      <c r="CI224" t="s">
        <v>304</v>
      </c>
      <c r="CJ224">
        <v>3.5325000000000002</v>
      </c>
      <c r="CK224">
        <v>2.7022300000000001</v>
      </c>
      <c r="CL224">
        <v>9.7906199999999999E-2</v>
      </c>
      <c r="CM224">
        <v>9.6617800000000004E-2</v>
      </c>
      <c r="CN224">
        <v>8.7135299999999999E-2</v>
      </c>
      <c r="CO224">
        <v>8.2095399999999999E-2</v>
      </c>
      <c r="CP224">
        <v>31628.1</v>
      </c>
      <c r="CQ224">
        <v>27821.4</v>
      </c>
      <c r="CR224">
        <v>32450.5</v>
      </c>
      <c r="CS224">
        <v>30724.5</v>
      </c>
      <c r="CT224">
        <v>40117.5</v>
      </c>
      <c r="CU224">
        <v>39664.300000000003</v>
      </c>
      <c r="CV224">
        <v>47397.7</v>
      </c>
      <c r="CW224">
        <v>46862.6</v>
      </c>
      <c r="CX224">
        <v>2.6208999999999998</v>
      </c>
      <c r="CY224">
        <v>2.1214200000000001</v>
      </c>
      <c r="CZ224">
        <v>0</v>
      </c>
      <c r="DA224">
        <v>0</v>
      </c>
      <c r="DB224">
        <v>999.9</v>
      </c>
      <c r="DC224">
        <v>999.9</v>
      </c>
      <c r="DD224">
        <v>48.436999999999998</v>
      </c>
      <c r="DE224">
        <v>28.318999999999999</v>
      </c>
      <c r="DF224">
        <v>18.696999999999999</v>
      </c>
      <c r="DG224">
        <v>30.1798</v>
      </c>
      <c r="DH224">
        <v>16.494399999999999</v>
      </c>
      <c r="DI224">
        <v>2</v>
      </c>
      <c r="DJ224">
        <v>-0.10863399999999999</v>
      </c>
      <c r="DK224">
        <v>2.2725399999999998</v>
      </c>
      <c r="DL224">
        <v>20.207899999999999</v>
      </c>
      <c r="DM224">
        <v>5.2484400000000004</v>
      </c>
      <c r="DN224">
        <v>12.033899999999999</v>
      </c>
      <c r="DO224">
        <v>4.9666399999999999</v>
      </c>
      <c r="DP224">
        <v>3.2909999999999999</v>
      </c>
      <c r="DQ224">
        <v>537.1</v>
      </c>
      <c r="DR224">
        <v>9999</v>
      </c>
      <c r="DS224">
        <v>9999</v>
      </c>
      <c r="DT224">
        <v>9999</v>
      </c>
      <c r="DU224">
        <v>1.8711500000000001</v>
      </c>
      <c r="DV224">
        <v>1.8761099999999999</v>
      </c>
      <c r="DW224">
        <v>1.87636</v>
      </c>
      <c r="DX224">
        <v>1.8827799999999999</v>
      </c>
      <c r="DY224">
        <v>1.87561</v>
      </c>
      <c r="DZ224">
        <v>1.8746700000000001</v>
      </c>
      <c r="EA224">
        <v>1.87083</v>
      </c>
      <c r="EB224">
        <v>1.8746499999999999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-0.82</v>
      </c>
      <c r="EQ224">
        <v>0.1003</v>
      </c>
      <c r="ER224">
        <v>-0.82039999999994995</v>
      </c>
      <c r="ES224">
        <v>0</v>
      </c>
      <c r="ET224">
        <v>0</v>
      </c>
      <c r="EU224">
        <v>0</v>
      </c>
      <c r="EV224">
        <v>0.10032000000000001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1.6</v>
      </c>
      <c r="FE224">
        <v>1.3</v>
      </c>
      <c r="FF224">
        <v>1.2439</v>
      </c>
      <c r="FG224">
        <v>2.5964399999999999</v>
      </c>
      <c r="FH224">
        <v>2.19604</v>
      </c>
      <c r="FI224">
        <v>2.66235</v>
      </c>
      <c r="FJ224">
        <v>2.4462899999999999</v>
      </c>
      <c r="FK224">
        <v>2.34131</v>
      </c>
      <c r="FL224">
        <v>32.598199999999999</v>
      </c>
      <c r="FM224">
        <v>24.148800000000001</v>
      </c>
      <c r="FN224">
        <v>19</v>
      </c>
      <c r="FO224">
        <v>865.29700000000003</v>
      </c>
      <c r="FP224">
        <v>570.93299999999999</v>
      </c>
      <c r="FQ224">
        <v>18.1035</v>
      </c>
      <c r="FR224">
        <v>25.610700000000001</v>
      </c>
      <c r="FS224">
        <v>30.0001</v>
      </c>
      <c r="FT224">
        <v>25.611599999999999</v>
      </c>
      <c r="FU224">
        <v>25.6144</v>
      </c>
      <c r="FV224">
        <v>24.9663</v>
      </c>
      <c r="FW224">
        <v>25.629200000000001</v>
      </c>
      <c r="FX224">
        <v>0</v>
      </c>
      <c r="FY224">
        <v>18.1035</v>
      </c>
      <c r="FZ224">
        <v>410</v>
      </c>
      <c r="GA224">
        <v>14.420299999999999</v>
      </c>
      <c r="GB224">
        <v>99.868099999999998</v>
      </c>
      <c r="GC224">
        <v>99.754900000000006</v>
      </c>
    </row>
    <row r="225" spans="1:185" x14ac:dyDescent="0.2">
      <c r="A225">
        <v>210</v>
      </c>
      <c r="B225">
        <v>1769198444</v>
      </c>
      <c r="C225">
        <v>3883</v>
      </c>
      <c r="D225" t="s">
        <v>720</v>
      </c>
      <c r="E225" t="s">
        <v>721</v>
      </c>
      <c r="F225">
        <v>15</v>
      </c>
      <c r="G225">
        <v>1769198435.9333301</v>
      </c>
      <c r="H225">
        <f t="shared" si="39"/>
        <v>8.0701696010628834E-4</v>
      </c>
      <c r="I225">
        <v>0</v>
      </c>
      <c r="J225">
        <f t="shared" si="51"/>
        <v>-1.988150662652659E-4</v>
      </c>
      <c r="K225">
        <f t="shared" si="40"/>
        <v>-7.4086084307459438E-3</v>
      </c>
      <c r="L225">
        <f t="shared" si="41"/>
        <v>70.005368994273425</v>
      </c>
      <c r="M225">
        <f t="shared" si="42"/>
        <v>1.5439219938775539</v>
      </c>
      <c r="N225">
        <f t="shared" si="43"/>
        <v>2.2054336918127664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26211.752495184432</v>
      </c>
      <c r="T225">
        <f t="shared" si="47"/>
        <v>499.998066666667</v>
      </c>
      <c r="U225">
        <f t="shared" si="48"/>
        <v>421.49888719800123</v>
      </c>
      <c r="V225">
        <f t="shared" si="49"/>
        <v>0.84300103400000004</v>
      </c>
      <c r="W225">
        <f t="shared" si="50"/>
        <v>0.15870258500000001</v>
      </c>
      <c r="X225">
        <v>1</v>
      </c>
      <c r="Y225">
        <v>1769198435.9333301</v>
      </c>
      <c r="Z225">
        <v>409.60326666666703</v>
      </c>
      <c r="AA225">
        <v>410.00720000000001</v>
      </c>
      <c r="AB225">
        <v>15.404780000000001</v>
      </c>
      <c r="AC225">
        <v>14.4115533333333</v>
      </c>
      <c r="AD225">
        <v>410.42373333333302</v>
      </c>
      <c r="AE225">
        <v>15.304460000000001</v>
      </c>
      <c r="AF225">
        <v>800.003733333333</v>
      </c>
      <c r="AG225">
        <v>100.1592</v>
      </c>
      <c r="AH225">
        <v>6.4366573333333302E-2</v>
      </c>
      <c r="AI225">
        <v>19.001840000000001</v>
      </c>
      <c r="AJ225">
        <v>999.9</v>
      </c>
      <c r="AK225">
        <v>999.9</v>
      </c>
      <c r="AL225">
        <v>0</v>
      </c>
      <c r="AM225">
        <v>0</v>
      </c>
      <c r="AN225">
        <v>4991.4333333333298</v>
      </c>
      <c r="AO225">
        <v>0</v>
      </c>
      <c r="AP225">
        <v>1.63733</v>
      </c>
      <c r="AQ225">
        <v>-0.40387980000000001</v>
      </c>
      <c r="AR225">
        <v>416.011866666667</v>
      </c>
      <c r="AS225">
        <v>416.00246666666698</v>
      </c>
      <c r="AT225">
        <v>0.99322480000000002</v>
      </c>
      <c r="AU225">
        <v>410.00720000000001</v>
      </c>
      <c r="AV225">
        <v>14.4115533333333</v>
      </c>
      <c r="AW225">
        <v>1.54293066666667</v>
      </c>
      <c r="AX225">
        <v>1.4434499999999999</v>
      </c>
      <c r="AY225">
        <v>13.40034</v>
      </c>
      <c r="AZ225">
        <v>12.3819266666667</v>
      </c>
      <c r="BA225">
        <v>499.998066666667</v>
      </c>
      <c r="BB225">
        <v>0.89996553333333296</v>
      </c>
      <c r="BC225">
        <v>0</v>
      </c>
      <c r="BD225">
        <v>0.100034466666667</v>
      </c>
      <c r="BE225">
        <v>0</v>
      </c>
      <c r="BF225">
        <v>25</v>
      </c>
      <c r="BG225">
        <v>8244.2766666666703</v>
      </c>
      <c r="BH225">
        <v>1769198352</v>
      </c>
      <c r="BI225" t="s">
        <v>707</v>
      </c>
      <c r="BJ225">
        <v>1769198330</v>
      </c>
      <c r="BK225">
        <v>1769198352</v>
      </c>
      <c r="BL225">
        <v>8</v>
      </c>
      <c r="BM225">
        <v>-1.4999999999999999E-2</v>
      </c>
      <c r="BN225">
        <v>6.0000000000000001E-3</v>
      </c>
      <c r="BO225">
        <v>-0.82</v>
      </c>
      <c r="BP225">
        <v>0.1</v>
      </c>
      <c r="BQ225">
        <v>410</v>
      </c>
      <c r="BR225">
        <v>15</v>
      </c>
      <c r="BS225">
        <v>0.24</v>
      </c>
      <c r="BT225">
        <v>7.0000000000000007E-2</v>
      </c>
      <c r="BU225">
        <v>-0.40312799999999999</v>
      </c>
      <c r="BV225">
        <v>-1.6892571428570601E-2</v>
      </c>
      <c r="BW225">
        <v>1.54918700097826E-2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0.99341500000000005</v>
      </c>
      <c r="CD225">
        <v>2.1245413533831402E-3</v>
      </c>
      <c r="CE225">
        <v>1.2045054171733801E-3</v>
      </c>
      <c r="CF225">
        <v>1</v>
      </c>
      <c r="CG225">
        <v>2</v>
      </c>
      <c r="CH225">
        <v>2</v>
      </c>
      <c r="CI225" t="s">
        <v>304</v>
      </c>
      <c r="CJ225">
        <v>3.5324900000000001</v>
      </c>
      <c r="CK225">
        <v>2.7022499999999998</v>
      </c>
      <c r="CL225">
        <v>9.7902799999999998E-2</v>
      </c>
      <c r="CM225">
        <v>9.6621499999999999E-2</v>
      </c>
      <c r="CN225">
        <v>8.71305E-2</v>
      </c>
      <c r="CO225">
        <v>8.2074900000000006E-2</v>
      </c>
      <c r="CP225">
        <v>31627.9</v>
      </c>
      <c r="CQ225">
        <v>27821.5</v>
      </c>
      <c r="CR225">
        <v>32450.2</v>
      </c>
      <c r="CS225">
        <v>30724.7</v>
      </c>
      <c r="CT225">
        <v>40117.300000000003</v>
      </c>
      <c r="CU225">
        <v>39665.5</v>
      </c>
      <c r="CV225">
        <v>47397.2</v>
      </c>
      <c r="CW225">
        <v>46863</v>
      </c>
      <c r="CX225">
        <v>2.6211199999999999</v>
      </c>
      <c r="CY225">
        <v>2.1215799999999998</v>
      </c>
      <c r="CZ225">
        <v>0</v>
      </c>
      <c r="DA225">
        <v>0</v>
      </c>
      <c r="DB225">
        <v>999.9</v>
      </c>
      <c r="DC225">
        <v>999.9</v>
      </c>
      <c r="DD225">
        <v>48.412999999999997</v>
      </c>
      <c r="DE225">
        <v>28.318999999999999</v>
      </c>
      <c r="DF225">
        <v>18.685700000000001</v>
      </c>
      <c r="DG225">
        <v>30.5398</v>
      </c>
      <c r="DH225">
        <v>16.474399999999999</v>
      </c>
      <c r="DI225">
        <v>2</v>
      </c>
      <c r="DJ225">
        <v>-0.108904</v>
      </c>
      <c r="DK225">
        <v>2.2887200000000001</v>
      </c>
      <c r="DL225">
        <v>20.207899999999999</v>
      </c>
      <c r="DM225">
        <v>5.2496400000000003</v>
      </c>
      <c r="DN225">
        <v>12.033899999999999</v>
      </c>
      <c r="DO225">
        <v>4.9669999999999996</v>
      </c>
      <c r="DP225">
        <v>3.2909999999999999</v>
      </c>
      <c r="DQ225">
        <v>537.1</v>
      </c>
      <c r="DR225">
        <v>9999</v>
      </c>
      <c r="DS225">
        <v>9999</v>
      </c>
      <c r="DT225">
        <v>9999</v>
      </c>
      <c r="DU225">
        <v>1.87113</v>
      </c>
      <c r="DV225">
        <v>1.8761000000000001</v>
      </c>
      <c r="DW225">
        <v>1.8763700000000001</v>
      </c>
      <c r="DX225">
        <v>1.8827799999999999</v>
      </c>
      <c r="DY225">
        <v>1.87561</v>
      </c>
      <c r="DZ225">
        <v>1.8746799999999999</v>
      </c>
      <c r="EA225">
        <v>1.87077</v>
      </c>
      <c r="EB225">
        <v>1.8746799999999999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-0.82099999999999995</v>
      </c>
      <c r="EQ225">
        <v>0.1004</v>
      </c>
      <c r="ER225">
        <v>-0.82039999999994995</v>
      </c>
      <c r="ES225">
        <v>0</v>
      </c>
      <c r="ET225">
        <v>0</v>
      </c>
      <c r="EU225">
        <v>0</v>
      </c>
      <c r="EV225">
        <v>0.10032000000000001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1.9</v>
      </c>
      <c r="FE225">
        <v>1.5</v>
      </c>
      <c r="FF225">
        <v>1.2439</v>
      </c>
      <c r="FG225">
        <v>2.5952099999999998</v>
      </c>
      <c r="FH225">
        <v>2.19604</v>
      </c>
      <c r="FI225">
        <v>2.66357</v>
      </c>
      <c r="FJ225">
        <v>2.4462899999999999</v>
      </c>
      <c r="FK225">
        <v>2.3010299999999999</v>
      </c>
      <c r="FL225">
        <v>32.598199999999999</v>
      </c>
      <c r="FM225">
        <v>24.14</v>
      </c>
      <c r="FN225">
        <v>19</v>
      </c>
      <c r="FO225">
        <v>865.50099999999998</v>
      </c>
      <c r="FP225">
        <v>571.03200000000004</v>
      </c>
      <c r="FQ225">
        <v>18.1005</v>
      </c>
      <c r="FR225">
        <v>25.609400000000001</v>
      </c>
      <c r="FS225">
        <v>30.0001</v>
      </c>
      <c r="FT225">
        <v>25.611599999999999</v>
      </c>
      <c r="FU225">
        <v>25.612300000000001</v>
      </c>
      <c r="FV225">
        <v>24.966200000000001</v>
      </c>
      <c r="FW225">
        <v>25.629200000000001</v>
      </c>
      <c r="FX225">
        <v>0</v>
      </c>
      <c r="FY225">
        <v>18.097799999999999</v>
      </c>
      <c r="FZ225">
        <v>410</v>
      </c>
      <c r="GA225">
        <v>14.420299999999999</v>
      </c>
      <c r="GB225">
        <v>99.867199999999997</v>
      </c>
      <c r="GC225">
        <v>99.755600000000001</v>
      </c>
    </row>
    <row r="226" spans="1:185" x14ac:dyDescent="0.2">
      <c r="A226">
        <v>211</v>
      </c>
      <c r="B226">
        <v>1769198459</v>
      </c>
      <c r="C226">
        <v>3898</v>
      </c>
      <c r="D226" t="s">
        <v>722</v>
      </c>
      <c r="E226" t="s">
        <v>723</v>
      </c>
      <c r="F226">
        <v>15</v>
      </c>
      <c r="G226">
        <v>1769198450.9333301</v>
      </c>
      <c r="H226">
        <f t="shared" si="39"/>
        <v>8.0851640927334287E-4</v>
      </c>
      <c r="I226">
        <v>0</v>
      </c>
      <c r="J226">
        <f t="shared" si="51"/>
        <v>-1.2896949692709698E-4</v>
      </c>
      <c r="K226">
        <f t="shared" si="40"/>
        <v>-4.8058958518179583E-3</v>
      </c>
      <c r="L226">
        <f t="shared" si="41"/>
        <v>69.996053417473831</v>
      </c>
      <c r="M226">
        <f t="shared" si="42"/>
        <v>1.5436478303098846</v>
      </c>
      <c r="N226">
        <f t="shared" si="43"/>
        <v>2.2053355224232227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26254.89966609429</v>
      </c>
      <c r="T226">
        <f t="shared" si="47"/>
        <v>500.00119999999998</v>
      </c>
      <c r="U226">
        <f t="shared" si="48"/>
        <v>421.50152760123837</v>
      </c>
      <c r="V226">
        <f t="shared" si="49"/>
        <v>0.84300103199999998</v>
      </c>
      <c r="W226">
        <f t="shared" si="50"/>
        <v>0.15870258000000001</v>
      </c>
      <c r="X226">
        <v>1</v>
      </c>
      <c r="Y226">
        <v>1769198450.9333301</v>
      </c>
      <c r="Z226">
        <v>409.58319999999998</v>
      </c>
      <c r="AA226">
        <v>409.99113333333298</v>
      </c>
      <c r="AB226">
        <v>15.401586666666701</v>
      </c>
      <c r="AC226">
        <v>14.406513333333301</v>
      </c>
      <c r="AD226">
        <v>410.40359999999998</v>
      </c>
      <c r="AE226">
        <v>15.30128</v>
      </c>
      <c r="AF226">
        <v>800.00533333333306</v>
      </c>
      <c r="AG226">
        <v>100.162133333333</v>
      </c>
      <c r="AH226">
        <v>6.4412393333333304E-2</v>
      </c>
      <c r="AI226">
        <v>19.0011266666667</v>
      </c>
      <c r="AJ226">
        <v>999.9</v>
      </c>
      <c r="AK226">
        <v>999.9</v>
      </c>
      <c r="AL226">
        <v>0</v>
      </c>
      <c r="AM226">
        <v>0</v>
      </c>
      <c r="AN226">
        <v>4998.3999999999996</v>
      </c>
      <c r="AO226">
        <v>0</v>
      </c>
      <c r="AP226">
        <v>1.63733</v>
      </c>
      <c r="AQ226">
        <v>-0.40794073333333303</v>
      </c>
      <c r="AR226">
        <v>415.99013333333301</v>
      </c>
      <c r="AS226">
        <v>415.98399999999998</v>
      </c>
      <c r="AT226">
        <v>0.99507326666666696</v>
      </c>
      <c r="AU226">
        <v>409.99113333333298</v>
      </c>
      <c r="AV226">
        <v>14.406513333333301</v>
      </c>
      <c r="AW226">
        <v>1.5426553333333299</v>
      </c>
      <c r="AX226">
        <v>1.44298666666667</v>
      </c>
      <c r="AY226">
        <v>13.3976133333333</v>
      </c>
      <c r="AZ226">
        <v>12.37706</v>
      </c>
      <c r="BA226">
        <v>500.00119999999998</v>
      </c>
      <c r="BB226">
        <v>0.89996560000000003</v>
      </c>
      <c r="BC226">
        <v>0</v>
      </c>
      <c r="BD226">
        <v>0.1000344</v>
      </c>
      <c r="BE226">
        <v>0</v>
      </c>
      <c r="BF226">
        <v>25</v>
      </c>
      <c r="BG226">
        <v>8244.3273333333309</v>
      </c>
      <c r="BH226">
        <v>1769198352</v>
      </c>
      <c r="BI226" t="s">
        <v>707</v>
      </c>
      <c r="BJ226">
        <v>1769198330</v>
      </c>
      <c r="BK226">
        <v>1769198352</v>
      </c>
      <c r="BL226">
        <v>8</v>
      </c>
      <c r="BM226">
        <v>-1.4999999999999999E-2</v>
      </c>
      <c r="BN226">
        <v>6.0000000000000001E-3</v>
      </c>
      <c r="BO226">
        <v>-0.82</v>
      </c>
      <c r="BP226">
        <v>0.1</v>
      </c>
      <c r="BQ226">
        <v>410</v>
      </c>
      <c r="BR226">
        <v>15</v>
      </c>
      <c r="BS226">
        <v>0.24</v>
      </c>
      <c r="BT226">
        <v>7.0000000000000007E-2</v>
      </c>
      <c r="BU226">
        <v>-0.40674990476190498</v>
      </c>
      <c r="BV226">
        <v>-4.6309090909091603E-3</v>
      </c>
      <c r="BW226">
        <v>1.7132332279180901E-2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0.99480071428571404</v>
      </c>
      <c r="CD226">
        <v>6.0238441558450803E-3</v>
      </c>
      <c r="CE226">
        <v>1.0466310644319801E-3</v>
      </c>
      <c r="CF226">
        <v>1</v>
      </c>
      <c r="CG226">
        <v>2</v>
      </c>
      <c r="CH226">
        <v>2</v>
      </c>
      <c r="CI226" t="s">
        <v>304</v>
      </c>
      <c r="CJ226">
        <v>3.5325299999999999</v>
      </c>
      <c r="CK226">
        <v>2.7024499999999998</v>
      </c>
      <c r="CL226">
        <v>9.7905000000000006E-2</v>
      </c>
      <c r="CM226">
        <v>9.6619200000000002E-2</v>
      </c>
      <c r="CN226">
        <v>8.7116100000000002E-2</v>
      </c>
      <c r="CO226">
        <v>8.20636E-2</v>
      </c>
      <c r="CP226">
        <v>31627.7</v>
      </c>
      <c r="CQ226">
        <v>27821.5</v>
      </c>
      <c r="CR226">
        <v>32450.1</v>
      </c>
      <c r="CS226">
        <v>30724.7</v>
      </c>
      <c r="CT226">
        <v>40117.9</v>
      </c>
      <c r="CU226">
        <v>39666.199999999997</v>
      </c>
      <c r="CV226">
        <v>47397.1</v>
      </c>
      <c r="CW226">
        <v>46863.199999999997</v>
      </c>
      <c r="CX226">
        <v>2.621</v>
      </c>
      <c r="CY226">
        <v>2.12154</v>
      </c>
      <c r="CZ226">
        <v>0</v>
      </c>
      <c r="DA226">
        <v>0</v>
      </c>
      <c r="DB226">
        <v>999.9</v>
      </c>
      <c r="DC226">
        <v>999.9</v>
      </c>
      <c r="DD226">
        <v>48.387999999999998</v>
      </c>
      <c r="DE226">
        <v>28.318999999999999</v>
      </c>
      <c r="DF226">
        <v>18.675699999999999</v>
      </c>
      <c r="DG226">
        <v>30.3598</v>
      </c>
      <c r="DH226">
        <v>16.446300000000001</v>
      </c>
      <c r="DI226">
        <v>2</v>
      </c>
      <c r="DJ226">
        <v>-0.10889799999999999</v>
      </c>
      <c r="DK226">
        <v>2.2932100000000002</v>
      </c>
      <c r="DL226">
        <v>20.2075</v>
      </c>
      <c r="DM226">
        <v>5.2490399999999999</v>
      </c>
      <c r="DN226">
        <v>12.033899999999999</v>
      </c>
      <c r="DO226">
        <v>4.9670399999999999</v>
      </c>
      <c r="DP226">
        <v>3.2909999999999999</v>
      </c>
      <c r="DQ226">
        <v>537.1</v>
      </c>
      <c r="DR226">
        <v>9999</v>
      </c>
      <c r="DS226">
        <v>9999</v>
      </c>
      <c r="DT226">
        <v>9999</v>
      </c>
      <c r="DU226">
        <v>1.87117</v>
      </c>
      <c r="DV226">
        <v>1.87615</v>
      </c>
      <c r="DW226">
        <v>1.8763700000000001</v>
      </c>
      <c r="DX226">
        <v>1.88279</v>
      </c>
      <c r="DY226">
        <v>1.87561</v>
      </c>
      <c r="DZ226">
        <v>1.87469</v>
      </c>
      <c r="EA226">
        <v>1.8708499999999999</v>
      </c>
      <c r="EB226">
        <v>1.8746700000000001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-0.82099999999999995</v>
      </c>
      <c r="EQ226">
        <v>0.1004</v>
      </c>
      <c r="ER226">
        <v>-0.82039999999994995</v>
      </c>
      <c r="ES226">
        <v>0</v>
      </c>
      <c r="ET226">
        <v>0</v>
      </c>
      <c r="EU226">
        <v>0</v>
      </c>
      <c r="EV226">
        <v>0.10032000000000001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2.1</v>
      </c>
      <c r="FE226">
        <v>1.8</v>
      </c>
      <c r="FF226">
        <v>1.2439</v>
      </c>
      <c r="FG226">
        <v>2.5927699999999998</v>
      </c>
      <c r="FH226">
        <v>2.19604</v>
      </c>
      <c r="FI226">
        <v>2.66357</v>
      </c>
      <c r="FJ226">
        <v>2.4462899999999999</v>
      </c>
      <c r="FK226">
        <v>2.3315399999999999</v>
      </c>
      <c r="FL226">
        <v>32.620399999999997</v>
      </c>
      <c r="FM226">
        <v>24.14</v>
      </c>
      <c r="FN226">
        <v>19</v>
      </c>
      <c r="FO226">
        <v>865.35599999999999</v>
      </c>
      <c r="FP226">
        <v>571.00099999999998</v>
      </c>
      <c r="FQ226">
        <v>18.096800000000002</v>
      </c>
      <c r="FR226">
        <v>25.608499999999999</v>
      </c>
      <c r="FS226">
        <v>30.0001</v>
      </c>
      <c r="FT226">
        <v>25.609500000000001</v>
      </c>
      <c r="FU226">
        <v>25.612300000000001</v>
      </c>
      <c r="FV226">
        <v>24.966799999999999</v>
      </c>
      <c r="FW226">
        <v>25.629200000000001</v>
      </c>
      <c r="FX226">
        <v>0</v>
      </c>
      <c r="FY226">
        <v>18.0945</v>
      </c>
      <c r="FZ226">
        <v>410</v>
      </c>
      <c r="GA226">
        <v>14.420299999999999</v>
      </c>
      <c r="GB226">
        <v>99.866900000000001</v>
      </c>
      <c r="GC226">
        <v>99.755799999999994</v>
      </c>
    </row>
    <row r="227" spans="1:185" x14ac:dyDescent="0.2">
      <c r="A227">
        <v>212</v>
      </c>
      <c r="B227">
        <v>1769198474</v>
      </c>
      <c r="C227">
        <v>3913</v>
      </c>
      <c r="D227" t="s">
        <v>724</v>
      </c>
      <c r="E227" t="s">
        <v>725</v>
      </c>
      <c r="F227">
        <v>15</v>
      </c>
      <c r="G227">
        <v>1769198465.9333301</v>
      </c>
      <c r="H227">
        <f t="shared" si="39"/>
        <v>8.0806624340671164E-4</v>
      </c>
      <c r="I227">
        <v>0</v>
      </c>
      <c r="J227">
        <f t="shared" si="51"/>
        <v>-2.3178268195166906E-4</v>
      </c>
      <c r="K227">
        <f t="shared" si="40"/>
        <v>-8.6371076592199059E-3</v>
      </c>
      <c r="L227">
        <f t="shared" si="41"/>
        <v>69.96850534003454</v>
      </c>
      <c r="M227">
        <f t="shared" si="42"/>
        <v>1.5432804002834069</v>
      </c>
      <c r="N227">
        <f t="shared" si="43"/>
        <v>2.2056786732592579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26301.029238734878</v>
      </c>
      <c r="T227">
        <f t="shared" si="47"/>
        <v>499.999666666667</v>
      </c>
      <c r="U227">
        <f t="shared" si="48"/>
        <v>421.5001579997076</v>
      </c>
      <c r="V227">
        <f t="shared" si="49"/>
        <v>0.84300087800000001</v>
      </c>
      <c r="W227">
        <f t="shared" si="50"/>
        <v>0.15870258476000004</v>
      </c>
      <c r="X227">
        <v>1</v>
      </c>
      <c r="Y227">
        <v>1769198465.9333301</v>
      </c>
      <c r="Z227">
        <v>409.601</v>
      </c>
      <c r="AA227">
        <v>410.00393333333301</v>
      </c>
      <c r="AB227">
        <v>15.3979</v>
      </c>
      <c r="AC227">
        <v>14.403373333333301</v>
      </c>
      <c r="AD227">
        <v>410.42140000000001</v>
      </c>
      <c r="AE227">
        <v>15.29758</v>
      </c>
      <c r="AF227">
        <v>800.00239999999997</v>
      </c>
      <c r="AG227">
        <v>100.162133333333</v>
      </c>
      <c r="AH227">
        <v>6.4546946666666702E-2</v>
      </c>
      <c r="AI227">
        <v>19.003620000000002</v>
      </c>
      <c r="AJ227">
        <v>999.9</v>
      </c>
      <c r="AK227">
        <v>999.9</v>
      </c>
      <c r="AL227">
        <v>0</v>
      </c>
      <c r="AM227">
        <v>0</v>
      </c>
      <c r="AN227">
        <v>5006.0333333333301</v>
      </c>
      <c r="AO227">
        <v>0</v>
      </c>
      <c r="AP227">
        <v>1.63733</v>
      </c>
      <c r="AQ227">
        <v>-0.40296626666666702</v>
      </c>
      <c r="AR227">
        <v>416.00673333333299</v>
      </c>
      <c r="AS227">
        <v>415.99566666666698</v>
      </c>
      <c r="AT227">
        <v>0.99451199999999995</v>
      </c>
      <c r="AU227">
        <v>410.00393333333301</v>
      </c>
      <c r="AV227">
        <v>14.403373333333301</v>
      </c>
      <c r="AW227">
        <v>1.542286</v>
      </c>
      <c r="AX227">
        <v>1.4426733333333299</v>
      </c>
      <c r="AY227">
        <v>13.393940000000001</v>
      </c>
      <c r="AZ227">
        <v>12.3737333333333</v>
      </c>
      <c r="BA227">
        <v>499.999666666667</v>
      </c>
      <c r="BB227">
        <v>0.89996493333333305</v>
      </c>
      <c r="BC227">
        <v>0</v>
      </c>
      <c r="BD227">
        <v>0.100034866666667</v>
      </c>
      <c r="BE227">
        <v>0</v>
      </c>
      <c r="BF227">
        <v>25</v>
      </c>
      <c r="BG227">
        <v>8244.2980000000007</v>
      </c>
      <c r="BH227">
        <v>1769198352</v>
      </c>
      <c r="BI227" t="s">
        <v>707</v>
      </c>
      <c r="BJ227">
        <v>1769198330</v>
      </c>
      <c r="BK227">
        <v>1769198352</v>
      </c>
      <c r="BL227">
        <v>8</v>
      </c>
      <c r="BM227">
        <v>-1.4999999999999999E-2</v>
      </c>
      <c r="BN227">
        <v>6.0000000000000001E-3</v>
      </c>
      <c r="BO227">
        <v>-0.82</v>
      </c>
      <c r="BP227">
        <v>0.1</v>
      </c>
      <c r="BQ227">
        <v>410</v>
      </c>
      <c r="BR227">
        <v>15</v>
      </c>
      <c r="BS227">
        <v>0.24</v>
      </c>
      <c r="BT227">
        <v>7.0000000000000007E-2</v>
      </c>
      <c r="BU227">
        <v>-0.40053860000000002</v>
      </c>
      <c r="BV227">
        <v>-7.44137142857145E-2</v>
      </c>
      <c r="BW227">
        <v>1.0570083312822101E-2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0.99486845000000002</v>
      </c>
      <c r="CD227">
        <v>-7.8170075187978597E-3</v>
      </c>
      <c r="CE227">
        <v>9.5369274271120299E-4</v>
      </c>
      <c r="CF227">
        <v>1</v>
      </c>
      <c r="CG227">
        <v>2</v>
      </c>
      <c r="CH227">
        <v>2</v>
      </c>
      <c r="CI227" t="s">
        <v>304</v>
      </c>
      <c r="CJ227">
        <v>3.5325500000000001</v>
      </c>
      <c r="CK227">
        <v>2.7022200000000001</v>
      </c>
      <c r="CL227">
        <v>9.7902600000000006E-2</v>
      </c>
      <c r="CM227">
        <v>9.6623500000000001E-2</v>
      </c>
      <c r="CN227">
        <v>8.7083599999999997E-2</v>
      </c>
      <c r="CO227">
        <v>8.2047099999999998E-2</v>
      </c>
      <c r="CP227">
        <v>31627.7</v>
      </c>
      <c r="CQ227">
        <v>27821.5</v>
      </c>
      <c r="CR227">
        <v>32450</v>
      </c>
      <c r="CS227">
        <v>30724.7</v>
      </c>
      <c r="CT227">
        <v>40119.4</v>
      </c>
      <c r="CU227">
        <v>39666.9</v>
      </c>
      <c r="CV227">
        <v>47397.2</v>
      </c>
      <c r="CW227">
        <v>46863.199999999997</v>
      </c>
      <c r="CX227">
        <v>2.6211799999999998</v>
      </c>
      <c r="CY227">
        <v>2.1215799999999998</v>
      </c>
      <c r="CZ227">
        <v>0</v>
      </c>
      <c r="DA227">
        <v>0</v>
      </c>
      <c r="DB227">
        <v>999.9</v>
      </c>
      <c r="DC227">
        <v>999.9</v>
      </c>
      <c r="DD227">
        <v>48.363999999999997</v>
      </c>
      <c r="DE227">
        <v>28.338999999999999</v>
      </c>
      <c r="DF227">
        <v>18.6892</v>
      </c>
      <c r="DG227">
        <v>30.419799999999999</v>
      </c>
      <c r="DH227">
        <v>16.398199999999999</v>
      </c>
      <c r="DI227">
        <v>2</v>
      </c>
      <c r="DJ227">
        <v>-0.10892300000000001</v>
      </c>
      <c r="DK227">
        <v>2.3274599999999999</v>
      </c>
      <c r="DL227">
        <v>20.206700000000001</v>
      </c>
      <c r="DM227">
        <v>5.2495200000000004</v>
      </c>
      <c r="DN227">
        <v>12.033899999999999</v>
      </c>
      <c r="DO227">
        <v>4.9669999999999996</v>
      </c>
      <c r="DP227">
        <v>3.2909999999999999</v>
      </c>
      <c r="DQ227">
        <v>537.1</v>
      </c>
      <c r="DR227">
        <v>9999</v>
      </c>
      <c r="DS227">
        <v>9999</v>
      </c>
      <c r="DT227">
        <v>9999</v>
      </c>
      <c r="DU227">
        <v>1.87114</v>
      </c>
      <c r="DV227">
        <v>1.87612</v>
      </c>
      <c r="DW227">
        <v>1.87636</v>
      </c>
      <c r="DX227">
        <v>1.88279</v>
      </c>
      <c r="DY227">
        <v>1.87561</v>
      </c>
      <c r="DZ227">
        <v>1.87469</v>
      </c>
      <c r="EA227">
        <v>1.87087</v>
      </c>
      <c r="EB227">
        <v>1.8746799999999999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-0.82099999999999995</v>
      </c>
      <c r="EQ227">
        <v>0.1003</v>
      </c>
      <c r="ER227">
        <v>-0.82039999999994995</v>
      </c>
      <c r="ES227">
        <v>0</v>
      </c>
      <c r="ET227">
        <v>0</v>
      </c>
      <c r="EU227">
        <v>0</v>
      </c>
      <c r="EV227">
        <v>0.10032000000000001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2.4</v>
      </c>
      <c r="FE227">
        <v>2</v>
      </c>
      <c r="FF227">
        <v>1.2439</v>
      </c>
      <c r="FG227">
        <v>2.6025399999999999</v>
      </c>
      <c r="FH227">
        <v>2.19604</v>
      </c>
      <c r="FI227">
        <v>2.66357</v>
      </c>
      <c r="FJ227">
        <v>2.4462899999999999</v>
      </c>
      <c r="FK227">
        <v>2.2583000000000002</v>
      </c>
      <c r="FL227">
        <v>32.598199999999999</v>
      </c>
      <c r="FM227">
        <v>24.1313</v>
      </c>
      <c r="FN227">
        <v>19</v>
      </c>
      <c r="FO227">
        <v>865.52300000000002</v>
      </c>
      <c r="FP227">
        <v>571.03200000000004</v>
      </c>
      <c r="FQ227">
        <v>18.0885</v>
      </c>
      <c r="FR227">
        <v>25.606400000000001</v>
      </c>
      <c r="FS227">
        <v>30.0001</v>
      </c>
      <c r="FT227">
        <v>25.609500000000001</v>
      </c>
      <c r="FU227">
        <v>25.612300000000001</v>
      </c>
      <c r="FV227">
        <v>24.965900000000001</v>
      </c>
      <c r="FW227">
        <v>25.629200000000001</v>
      </c>
      <c r="FX227">
        <v>0</v>
      </c>
      <c r="FY227">
        <v>18.083600000000001</v>
      </c>
      <c r="FZ227">
        <v>410</v>
      </c>
      <c r="GA227">
        <v>14.420299999999999</v>
      </c>
      <c r="GB227">
        <v>99.866900000000001</v>
      </c>
      <c r="GC227">
        <v>99.755799999999994</v>
      </c>
    </row>
    <row r="228" spans="1:185" x14ac:dyDescent="0.2">
      <c r="A228">
        <v>213</v>
      </c>
      <c r="B228">
        <v>1769198489</v>
      </c>
      <c r="C228">
        <v>3928</v>
      </c>
      <c r="D228" t="s">
        <v>726</v>
      </c>
      <c r="E228" t="s">
        <v>727</v>
      </c>
      <c r="F228">
        <v>15</v>
      </c>
      <c r="G228">
        <v>1769198480.9333301</v>
      </c>
      <c r="H228">
        <f t="shared" si="39"/>
        <v>8.0381183480182075E-4</v>
      </c>
      <c r="I228">
        <v>0</v>
      </c>
      <c r="J228">
        <f t="shared" si="51"/>
        <v>1.059561152973399E-4</v>
      </c>
      <c r="K228">
        <f t="shared" si="40"/>
        <v>3.94832938884825E-3</v>
      </c>
      <c r="L228">
        <f t="shared" si="41"/>
        <v>69.920543819209172</v>
      </c>
      <c r="M228">
        <f t="shared" si="42"/>
        <v>1.5423559760454699</v>
      </c>
      <c r="N228">
        <f t="shared" si="43"/>
        <v>2.2058695367608694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26223.037158408566</v>
      </c>
      <c r="T228">
        <f t="shared" si="47"/>
        <v>499.99959999999999</v>
      </c>
      <c r="U228">
        <f t="shared" si="48"/>
        <v>421.5001487996114</v>
      </c>
      <c r="V228">
        <f t="shared" si="49"/>
        <v>0.84300097200000046</v>
      </c>
      <c r="W228">
        <f t="shared" si="50"/>
        <v>0.15870255992000012</v>
      </c>
      <c r="X228">
        <v>1</v>
      </c>
      <c r="Y228">
        <v>1769198480.9333301</v>
      </c>
      <c r="Z228">
        <v>409.58086666666702</v>
      </c>
      <c r="AA228">
        <v>409.99733333333302</v>
      </c>
      <c r="AB228">
        <v>15.388666666666699</v>
      </c>
      <c r="AC228">
        <v>14.399366666666699</v>
      </c>
      <c r="AD228">
        <v>410.40153333333302</v>
      </c>
      <c r="AE228">
        <v>15.288346666666699</v>
      </c>
      <c r="AF228">
        <v>800.00226666666697</v>
      </c>
      <c r="AG228">
        <v>100.16240000000001</v>
      </c>
      <c r="AH228">
        <v>6.4345399999999997E-2</v>
      </c>
      <c r="AI228">
        <v>19.005006666666699</v>
      </c>
      <c r="AJ228">
        <v>999.9</v>
      </c>
      <c r="AK228">
        <v>999.9</v>
      </c>
      <c r="AL228">
        <v>0</v>
      </c>
      <c r="AM228">
        <v>0</v>
      </c>
      <c r="AN228">
        <v>4993.2</v>
      </c>
      <c r="AO228">
        <v>0</v>
      </c>
      <c r="AP228">
        <v>1.63733</v>
      </c>
      <c r="AQ228">
        <v>-0.41639619999999999</v>
      </c>
      <c r="AR228">
        <v>415.98233333333297</v>
      </c>
      <c r="AS228">
        <v>415.98733333333303</v>
      </c>
      <c r="AT228">
        <v>0.98930419999999997</v>
      </c>
      <c r="AU228">
        <v>409.99733333333302</v>
      </c>
      <c r="AV228">
        <v>14.399366666666699</v>
      </c>
      <c r="AW228">
        <v>1.541364</v>
      </c>
      <c r="AX228">
        <v>1.44227333333333</v>
      </c>
      <c r="AY228">
        <v>13.3847733333333</v>
      </c>
      <c r="AZ228">
        <v>12.369533333333299</v>
      </c>
      <c r="BA228">
        <v>499.99959999999999</v>
      </c>
      <c r="BB228">
        <v>0.899965666666667</v>
      </c>
      <c r="BC228">
        <v>0</v>
      </c>
      <c r="BD228">
        <v>0.100034266666667</v>
      </c>
      <c r="BE228">
        <v>0</v>
      </c>
      <c r="BF228">
        <v>25</v>
      </c>
      <c r="BG228">
        <v>8244.3040000000001</v>
      </c>
      <c r="BH228">
        <v>1769198352</v>
      </c>
      <c r="BI228" t="s">
        <v>707</v>
      </c>
      <c r="BJ228">
        <v>1769198330</v>
      </c>
      <c r="BK228">
        <v>1769198352</v>
      </c>
      <c r="BL228">
        <v>8</v>
      </c>
      <c r="BM228">
        <v>-1.4999999999999999E-2</v>
      </c>
      <c r="BN228">
        <v>6.0000000000000001E-3</v>
      </c>
      <c r="BO228">
        <v>-0.82</v>
      </c>
      <c r="BP228">
        <v>0.1</v>
      </c>
      <c r="BQ228">
        <v>410</v>
      </c>
      <c r="BR228">
        <v>15</v>
      </c>
      <c r="BS228">
        <v>0.24</v>
      </c>
      <c r="BT228">
        <v>7.0000000000000007E-2</v>
      </c>
      <c r="BU228">
        <v>-0.41457995238095202</v>
      </c>
      <c r="BV228">
        <v>-3.9684077922078197E-2</v>
      </c>
      <c r="BW228">
        <v>1.46161345501541E-2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0.99064200000000002</v>
      </c>
      <c r="CD228">
        <v>-2.1898129870130401E-2</v>
      </c>
      <c r="CE228">
        <v>2.42834631169523E-3</v>
      </c>
      <c r="CF228">
        <v>1</v>
      </c>
      <c r="CG228">
        <v>2</v>
      </c>
      <c r="CH228">
        <v>2</v>
      </c>
      <c r="CI228" t="s">
        <v>304</v>
      </c>
      <c r="CJ228">
        <v>3.5325700000000002</v>
      </c>
      <c r="CK228">
        <v>2.70235</v>
      </c>
      <c r="CL228">
        <v>9.7902199999999995E-2</v>
      </c>
      <c r="CM228">
        <v>9.6624600000000005E-2</v>
      </c>
      <c r="CN228">
        <v>8.7052199999999996E-2</v>
      </c>
      <c r="CO228">
        <v>8.2027600000000006E-2</v>
      </c>
      <c r="CP228">
        <v>31627.7</v>
      </c>
      <c r="CQ228">
        <v>27821.5</v>
      </c>
      <c r="CR228">
        <v>32449.9</v>
      </c>
      <c r="CS228">
        <v>30724.7</v>
      </c>
      <c r="CT228">
        <v>40120.699999999997</v>
      </c>
      <c r="CU228">
        <v>39667.599999999999</v>
      </c>
      <c r="CV228">
        <v>47397</v>
      </c>
      <c r="CW228">
        <v>46863</v>
      </c>
      <c r="CX228">
        <v>2.6212200000000001</v>
      </c>
      <c r="CY228">
        <v>2.1214599999999999</v>
      </c>
      <c r="CZ228">
        <v>0</v>
      </c>
      <c r="DA228">
        <v>0</v>
      </c>
      <c r="DB228">
        <v>999.9</v>
      </c>
      <c r="DC228">
        <v>999.9</v>
      </c>
      <c r="DD228">
        <v>48.34</v>
      </c>
      <c r="DE228">
        <v>28.338999999999999</v>
      </c>
      <c r="DF228">
        <v>18.6798</v>
      </c>
      <c r="DG228">
        <v>30.149799999999999</v>
      </c>
      <c r="DH228">
        <v>16.3902</v>
      </c>
      <c r="DI228">
        <v>2</v>
      </c>
      <c r="DJ228">
        <v>-0.108697</v>
      </c>
      <c r="DK228">
        <v>2.3513000000000002</v>
      </c>
      <c r="DL228">
        <v>20.206600000000002</v>
      </c>
      <c r="DM228">
        <v>5.2498800000000001</v>
      </c>
      <c r="DN228">
        <v>12.033899999999999</v>
      </c>
      <c r="DO228">
        <v>4.9671200000000004</v>
      </c>
      <c r="DP228">
        <v>3.2909999999999999</v>
      </c>
      <c r="DQ228">
        <v>537.1</v>
      </c>
      <c r="DR228">
        <v>9999</v>
      </c>
      <c r="DS228">
        <v>9999</v>
      </c>
      <c r="DT228">
        <v>9999</v>
      </c>
      <c r="DU228">
        <v>1.87117</v>
      </c>
      <c r="DV228">
        <v>1.8761699999999999</v>
      </c>
      <c r="DW228">
        <v>1.8763700000000001</v>
      </c>
      <c r="DX228">
        <v>1.8828100000000001</v>
      </c>
      <c r="DY228">
        <v>1.87561</v>
      </c>
      <c r="DZ228">
        <v>1.87469</v>
      </c>
      <c r="EA228">
        <v>1.8708800000000001</v>
      </c>
      <c r="EB228">
        <v>1.8746799999999999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-0.82</v>
      </c>
      <c r="EQ228">
        <v>0.1003</v>
      </c>
      <c r="ER228">
        <v>-0.82039999999994995</v>
      </c>
      <c r="ES228">
        <v>0</v>
      </c>
      <c r="ET228">
        <v>0</v>
      </c>
      <c r="EU228">
        <v>0</v>
      </c>
      <c r="EV228">
        <v>0.10032000000000001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2.6</v>
      </c>
      <c r="FE228">
        <v>2.2999999999999998</v>
      </c>
      <c r="FF228">
        <v>1.2439</v>
      </c>
      <c r="FG228">
        <v>2.6025399999999999</v>
      </c>
      <c r="FH228">
        <v>2.19604</v>
      </c>
      <c r="FI228">
        <v>2.66357</v>
      </c>
      <c r="FJ228">
        <v>2.4462899999999999</v>
      </c>
      <c r="FK228">
        <v>2.2814899999999998</v>
      </c>
      <c r="FL228">
        <v>32.620399999999997</v>
      </c>
      <c r="FM228">
        <v>24.14</v>
      </c>
      <c r="FN228">
        <v>19</v>
      </c>
      <c r="FO228">
        <v>865.56100000000004</v>
      </c>
      <c r="FP228">
        <v>570.94000000000005</v>
      </c>
      <c r="FQ228">
        <v>18.0748</v>
      </c>
      <c r="FR228">
        <v>25.606400000000001</v>
      </c>
      <c r="FS228">
        <v>30.0001</v>
      </c>
      <c r="FT228">
        <v>25.609500000000001</v>
      </c>
      <c r="FU228">
        <v>25.612300000000001</v>
      </c>
      <c r="FV228">
        <v>24.965299999999999</v>
      </c>
      <c r="FW228">
        <v>25.629200000000001</v>
      </c>
      <c r="FX228">
        <v>0</v>
      </c>
      <c r="FY228">
        <v>18.0685</v>
      </c>
      <c r="FZ228">
        <v>410</v>
      </c>
      <c r="GA228">
        <v>14.420299999999999</v>
      </c>
      <c r="GB228">
        <v>99.866600000000005</v>
      </c>
      <c r="GC228">
        <v>99.755700000000004</v>
      </c>
    </row>
    <row r="229" spans="1:185" x14ac:dyDescent="0.2">
      <c r="A229">
        <v>214</v>
      </c>
      <c r="B229">
        <v>1769198504</v>
      </c>
      <c r="C229">
        <v>3943</v>
      </c>
      <c r="D229" t="s">
        <v>728</v>
      </c>
      <c r="E229" t="s">
        <v>729</v>
      </c>
      <c r="F229">
        <v>15</v>
      </c>
      <c r="G229">
        <v>1769198495.9333301</v>
      </c>
      <c r="H229">
        <f t="shared" si="39"/>
        <v>8.0315381628235879E-4</v>
      </c>
      <c r="I229">
        <v>0</v>
      </c>
      <c r="J229">
        <f t="shared" si="51"/>
        <v>3.538378944270027E-4</v>
      </c>
      <c r="K229">
        <f t="shared" si="40"/>
        <v>1.318535087412169E-2</v>
      </c>
      <c r="L229">
        <f t="shared" si="41"/>
        <v>69.894496581707983</v>
      </c>
      <c r="M229">
        <f t="shared" si="42"/>
        <v>1.5418404164064206</v>
      </c>
      <c r="N229">
        <f t="shared" si="43"/>
        <v>2.2059539617743438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26314.901244601417</v>
      </c>
      <c r="T229">
        <f t="shared" si="47"/>
        <v>500.000333333333</v>
      </c>
      <c r="U229">
        <f t="shared" si="48"/>
        <v>421.50075300031438</v>
      </c>
      <c r="V229">
        <f t="shared" si="49"/>
        <v>0.84300094400000003</v>
      </c>
      <c r="W229">
        <f t="shared" si="50"/>
        <v>0.15870236000000001</v>
      </c>
      <c r="X229">
        <v>1</v>
      </c>
      <c r="Y229">
        <v>1769198495.9333301</v>
      </c>
      <c r="Z229">
        <v>409.57240000000002</v>
      </c>
      <c r="AA229">
        <v>410.00006666666701</v>
      </c>
      <c r="AB229">
        <v>15.383513333333299</v>
      </c>
      <c r="AC229">
        <v>14.395020000000001</v>
      </c>
      <c r="AD229">
        <v>410.39293333333302</v>
      </c>
      <c r="AE229">
        <v>15.283200000000001</v>
      </c>
      <c r="AF229">
        <v>800.00386666666702</v>
      </c>
      <c r="AG229">
        <v>100.162466666667</v>
      </c>
      <c r="AH229">
        <v>6.4339980000000005E-2</v>
      </c>
      <c r="AI229">
        <v>19.00562</v>
      </c>
      <c r="AJ229">
        <v>999.9</v>
      </c>
      <c r="AK229">
        <v>999.9</v>
      </c>
      <c r="AL229">
        <v>0</v>
      </c>
      <c r="AM229">
        <v>0</v>
      </c>
      <c r="AN229">
        <v>5008.3333333333303</v>
      </c>
      <c r="AO229">
        <v>0</v>
      </c>
      <c r="AP229">
        <v>1.63733</v>
      </c>
      <c r="AQ229">
        <v>-0.42753513333333298</v>
      </c>
      <c r="AR229">
        <v>415.97166666666698</v>
      </c>
      <c r="AS229">
        <v>415.98806666666701</v>
      </c>
      <c r="AT229">
        <v>0.98850206666666696</v>
      </c>
      <c r="AU229">
        <v>410.00006666666701</v>
      </c>
      <c r="AV229">
        <v>14.395020000000001</v>
      </c>
      <c r="AW229">
        <v>1.5408506666666699</v>
      </c>
      <c r="AX229">
        <v>1.4418393333333299</v>
      </c>
      <c r="AY229">
        <v>13.379666666666701</v>
      </c>
      <c r="AZ229">
        <v>12.3649533333333</v>
      </c>
      <c r="BA229">
        <v>500.000333333333</v>
      </c>
      <c r="BB229">
        <v>0.89996853333333304</v>
      </c>
      <c r="BC229">
        <v>0</v>
      </c>
      <c r="BD229">
        <v>0.100031466666667</v>
      </c>
      <c r="BE229">
        <v>0</v>
      </c>
      <c r="BF229">
        <v>25</v>
      </c>
      <c r="BG229">
        <v>8244.32</v>
      </c>
      <c r="BH229">
        <v>1769198352</v>
      </c>
      <c r="BI229" t="s">
        <v>707</v>
      </c>
      <c r="BJ229">
        <v>1769198330</v>
      </c>
      <c r="BK229">
        <v>1769198352</v>
      </c>
      <c r="BL229">
        <v>8</v>
      </c>
      <c r="BM229">
        <v>-1.4999999999999999E-2</v>
      </c>
      <c r="BN229">
        <v>6.0000000000000001E-3</v>
      </c>
      <c r="BO229">
        <v>-0.82</v>
      </c>
      <c r="BP229">
        <v>0.1</v>
      </c>
      <c r="BQ229">
        <v>410</v>
      </c>
      <c r="BR229">
        <v>15</v>
      </c>
      <c r="BS229">
        <v>0.24</v>
      </c>
      <c r="BT229">
        <v>7.0000000000000007E-2</v>
      </c>
      <c r="BU229">
        <v>-0.42742780000000002</v>
      </c>
      <c r="BV229">
        <v>5.1535669172932001E-2</v>
      </c>
      <c r="BW229">
        <v>1.63118385033693E-2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0.98851045000000004</v>
      </c>
      <c r="CD229">
        <v>-2.0420300751881901E-3</v>
      </c>
      <c r="CE229">
        <v>6.6938012182915204E-4</v>
      </c>
      <c r="CF229">
        <v>1</v>
      </c>
      <c r="CG229">
        <v>2</v>
      </c>
      <c r="CH229">
        <v>2</v>
      </c>
      <c r="CI229" t="s">
        <v>304</v>
      </c>
      <c r="CJ229">
        <v>3.5325899999999999</v>
      </c>
      <c r="CK229">
        <v>2.7020499999999998</v>
      </c>
      <c r="CL229">
        <v>9.7906199999999999E-2</v>
      </c>
      <c r="CM229">
        <v>9.66172E-2</v>
      </c>
      <c r="CN229">
        <v>8.7032200000000004E-2</v>
      </c>
      <c r="CO229">
        <v>8.2013299999999997E-2</v>
      </c>
      <c r="CP229">
        <v>31627.8</v>
      </c>
      <c r="CQ229">
        <v>27822.7</v>
      </c>
      <c r="CR229">
        <v>32450.2</v>
      </c>
      <c r="CS229">
        <v>30725.9</v>
      </c>
      <c r="CT229">
        <v>40122</v>
      </c>
      <c r="CU229">
        <v>39670</v>
      </c>
      <c r="CV229">
        <v>47397.5</v>
      </c>
      <c r="CW229">
        <v>46865.1</v>
      </c>
      <c r="CX229">
        <v>2.6210200000000001</v>
      </c>
      <c r="CY229">
        <v>2.1213799999999998</v>
      </c>
      <c r="CZ229">
        <v>0</v>
      </c>
      <c r="DA229">
        <v>0</v>
      </c>
      <c r="DB229">
        <v>999.9</v>
      </c>
      <c r="DC229">
        <v>999.9</v>
      </c>
      <c r="DD229">
        <v>48.314999999999998</v>
      </c>
      <c r="DE229">
        <v>28.338999999999999</v>
      </c>
      <c r="DF229">
        <v>18.670100000000001</v>
      </c>
      <c r="DG229">
        <v>30.209800000000001</v>
      </c>
      <c r="DH229">
        <v>16.382200000000001</v>
      </c>
      <c r="DI229">
        <v>2</v>
      </c>
      <c r="DJ229">
        <v>-0.10872999999999999</v>
      </c>
      <c r="DK229">
        <v>2.37914</v>
      </c>
      <c r="DL229">
        <v>20.2058</v>
      </c>
      <c r="DM229">
        <v>5.25047</v>
      </c>
      <c r="DN229">
        <v>12.033899999999999</v>
      </c>
      <c r="DO229">
        <v>4.9672000000000001</v>
      </c>
      <c r="DP229">
        <v>3.2909999999999999</v>
      </c>
      <c r="DQ229">
        <v>537.1</v>
      </c>
      <c r="DR229">
        <v>9999</v>
      </c>
      <c r="DS229">
        <v>9999</v>
      </c>
      <c r="DT229">
        <v>9999</v>
      </c>
      <c r="DU229">
        <v>1.8710800000000001</v>
      </c>
      <c r="DV229">
        <v>1.87608</v>
      </c>
      <c r="DW229">
        <v>1.8763399999999999</v>
      </c>
      <c r="DX229">
        <v>1.8827799999999999</v>
      </c>
      <c r="DY229">
        <v>1.87561</v>
      </c>
      <c r="DZ229">
        <v>1.8746799999999999</v>
      </c>
      <c r="EA229">
        <v>1.8708400000000001</v>
      </c>
      <c r="EB229">
        <v>1.8746400000000001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-0.82</v>
      </c>
      <c r="EQ229">
        <v>0.1003</v>
      </c>
      <c r="ER229">
        <v>-0.82039999999994995</v>
      </c>
      <c r="ES229">
        <v>0</v>
      </c>
      <c r="ET229">
        <v>0</v>
      </c>
      <c r="EU229">
        <v>0</v>
      </c>
      <c r="EV229">
        <v>0.10032000000000001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2.9</v>
      </c>
      <c r="FE229">
        <v>2.5</v>
      </c>
      <c r="FF229">
        <v>1.2439</v>
      </c>
      <c r="FG229">
        <v>2.6000999999999999</v>
      </c>
      <c r="FH229">
        <v>2.19604</v>
      </c>
      <c r="FI229">
        <v>2.66235</v>
      </c>
      <c r="FJ229">
        <v>2.4462899999999999</v>
      </c>
      <c r="FK229">
        <v>2.3132299999999999</v>
      </c>
      <c r="FL229">
        <v>32.620399999999997</v>
      </c>
      <c r="FM229">
        <v>24.14</v>
      </c>
      <c r="FN229">
        <v>19</v>
      </c>
      <c r="FO229">
        <v>865.37400000000002</v>
      </c>
      <c r="FP229">
        <v>570.88</v>
      </c>
      <c r="FQ229">
        <v>18.058700000000002</v>
      </c>
      <c r="FR229">
        <v>25.606400000000001</v>
      </c>
      <c r="FS229">
        <v>30.0001</v>
      </c>
      <c r="FT229">
        <v>25.609500000000001</v>
      </c>
      <c r="FU229">
        <v>25.612300000000001</v>
      </c>
      <c r="FV229">
        <v>24.967400000000001</v>
      </c>
      <c r="FW229">
        <v>25.629200000000001</v>
      </c>
      <c r="FX229">
        <v>0</v>
      </c>
      <c r="FY229">
        <v>18.0517</v>
      </c>
      <c r="FZ229">
        <v>410</v>
      </c>
      <c r="GA229">
        <v>14.420299999999999</v>
      </c>
      <c r="GB229">
        <v>99.867500000000007</v>
      </c>
      <c r="GC229">
        <v>99.759799999999998</v>
      </c>
    </row>
    <row r="230" spans="1:185" x14ac:dyDescent="0.2">
      <c r="A230">
        <v>215</v>
      </c>
      <c r="B230">
        <v>1769198519</v>
      </c>
      <c r="C230">
        <v>3958</v>
      </c>
      <c r="D230" t="s">
        <v>730</v>
      </c>
      <c r="E230" t="s">
        <v>731</v>
      </c>
      <c r="F230">
        <v>15</v>
      </c>
      <c r="G230">
        <v>1769198510.9333301</v>
      </c>
      <c r="H230">
        <f t="shared" si="39"/>
        <v>8.0047259526033916E-4</v>
      </c>
      <c r="I230">
        <v>0</v>
      </c>
      <c r="J230">
        <f t="shared" si="51"/>
        <v>-2.612882472403098E-4</v>
      </c>
      <c r="K230">
        <f t="shared" si="40"/>
        <v>-9.7365976720124557E-3</v>
      </c>
      <c r="L230">
        <f t="shared" si="41"/>
        <v>69.869142786758644</v>
      </c>
      <c r="M230">
        <f t="shared" si="42"/>
        <v>1.5411298127721749</v>
      </c>
      <c r="N230">
        <f t="shared" si="43"/>
        <v>2.2057373989483731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26270.766577718667</v>
      </c>
      <c r="T230">
        <f t="shared" si="47"/>
        <v>499.9984</v>
      </c>
      <c r="U230">
        <f t="shared" si="48"/>
        <v>421.49912519848323</v>
      </c>
      <c r="V230">
        <f t="shared" si="49"/>
        <v>0.84300094800000003</v>
      </c>
      <c r="W230">
        <f t="shared" si="50"/>
        <v>0.15870237000000001</v>
      </c>
      <c r="X230">
        <v>1</v>
      </c>
      <c r="Y230">
        <v>1769198510.9333301</v>
      </c>
      <c r="Z230">
        <v>409.59766666666701</v>
      </c>
      <c r="AA230">
        <v>409.99533333333301</v>
      </c>
      <c r="AB230">
        <v>15.37616</v>
      </c>
      <c r="AC230">
        <v>14.39096</v>
      </c>
      <c r="AD230">
        <v>410.41826666666702</v>
      </c>
      <c r="AE230">
        <v>15.275826666666701</v>
      </c>
      <c r="AF230">
        <v>800.00446666666699</v>
      </c>
      <c r="AG230">
        <v>100.16419999999999</v>
      </c>
      <c r="AH230">
        <v>6.4323426666666697E-2</v>
      </c>
      <c r="AI230">
        <v>19.004046666666699</v>
      </c>
      <c r="AJ230">
        <v>999.9</v>
      </c>
      <c r="AK230">
        <v>999.9</v>
      </c>
      <c r="AL230">
        <v>0</v>
      </c>
      <c r="AM230">
        <v>0</v>
      </c>
      <c r="AN230">
        <v>5000.9666666666699</v>
      </c>
      <c r="AO230">
        <v>0</v>
      </c>
      <c r="AP230">
        <v>1.63733</v>
      </c>
      <c r="AQ230">
        <v>-0.39762579999999997</v>
      </c>
      <c r="AR230">
        <v>415.99413333333302</v>
      </c>
      <c r="AS230">
        <v>415.98146666666702</v>
      </c>
      <c r="AT230">
        <v>0.985187066666667</v>
      </c>
      <c r="AU230">
        <v>409.99533333333301</v>
      </c>
      <c r="AV230">
        <v>14.39096</v>
      </c>
      <c r="AW230">
        <v>1.540138</v>
      </c>
      <c r="AX230">
        <v>1.4414566666666699</v>
      </c>
      <c r="AY230">
        <v>13.3725666666667</v>
      </c>
      <c r="AZ230">
        <v>12.3609066666667</v>
      </c>
      <c r="BA230">
        <v>499.9984</v>
      </c>
      <c r="BB230">
        <v>0.8999684</v>
      </c>
      <c r="BC230">
        <v>0</v>
      </c>
      <c r="BD230">
        <v>0.1000316</v>
      </c>
      <c r="BE230">
        <v>0</v>
      </c>
      <c r="BF230">
        <v>25</v>
      </c>
      <c r="BG230">
        <v>8244.2913333333308</v>
      </c>
      <c r="BH230">
        <v>1769198352</v>
      </c>
      <c r="BI230" t="s">
        <v>707</v>
      </c>
      <c r="BJ230">
        <v>1769198330</v>
      </c>
      <c r="BK230">
        <v>1769198352</v>
      </c>
      <c r="BL230">
        <v>8</v>
      </c>
      <c r="BM230">
        <v>-1.4999999999999999E-2</v>
      </c>
      <c r="BN230">
        <v>6.0000000000000001E-3</v>
      </c>
      <c r="BO230">
        <v>-0.82</v>
      </c>
      <c r="BP230">
        <v>0.1</v>
      </c>
      <c r="BQ230">
        <v>410</v>
      </c>
      <c r="BR230">
        <v>15</v>
      </c>
      <c r="BS230">
        <v>0.24</v>
      </c>
      <c r="BT230">
        <v>7.0000000000000007E-2</v>
      </c>
      <c r="BU230">
        <v>-0.39975895</v>
      </c>
      <c r="BV230">
        <v>7.5298240601503696E-2</v>
      </c>
      <c r="BW230">
        <v>1.49145206911754E-2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0.98591735000000003</v>
      </c>
      <c r="CD230">
        <v>-1.13692781954898E-2</v>
      </c>
      <c r="CE230">
        <v>1.6310867933681499E-3</v>
      </c>
      <c r="CF230">
        <v>1</v>
      </c>
      <c r="CG230">
        <v>2</v>
      </c>
      <c r="CH230">
        <v>2</v>
      </c>
      <c r="CI230" t="s">
        <v>304</v>
      </c>
      <c r="CJ230">
        <v>3.5325199999999999</v>
      </c>
      <c r="CK230">
        <v>2.7021899999999999</v>
      </c>
      <c r="CL230">
        <v>9.7904400000000003E-2</v>
      </c>
      <c r="CM230">
        <v>9.6622E-2</v>
      </c>
      <c r="CN230">
        <v>8.7008299999999997E-2</v>
      </c>
      <c r="CO230">
        <v>8.1989500000000007E-2</v>
      </c>
      <c r="CP230">
        <v>31628.400000000001</v>
      </c>
      <c r="CQ230">
        <v>27822.7</v>
      </c>
      <c r="CR230">
        <v>32450.799999999999</v>
      </c>
      <c r="CS230">
        <v>30726</v>
      </c>
      <c r="CT230">
        <v>40123.800000000003</v>
      </c>
      <c r="CU230">
        <v>39671</v>
      </c>
      <c r="CV230">
        <v>47398.3</v>
      </c>
      <c r="CW230">
        <v>46865.1</v>
      </c>
      <c r="CX230">
        <v>2.62094</v>
      </c>
      <c r="CY230">
        <v>2.1214200000000001</v>
      </c>
      <c r="CZ230">
        <v>0</v>
      </c>
      <c r="DA230">
        <v>0</v>
      </c>
      <c r="DB230">
        <v>999.9</v>
      </c>
      <c r="DC230">
        <v>999.9</v>
      </c>
      <c r="DD230">
        <v>48.296999999999997</v>
      </c>
      <c r="DE230">
        <v>28.338999999999999</v>
      </c>
      <c r="DF230">
        <v>18.662299999999998</v>
      </c>
      <c r="DG230">
        <v>30.4498</v>
      </c>
      <c r="DH230">
        <v>16.494399999999999</v>
      </c>
      <c r="DI230">
        <v>2</v>
      </c>
      <c r="DJ230">
        <v>-0.108443</v>
      </c>
      <c r="DK230">
        <v>2.3918200000000001</v>
      </c>
      <c r="DL230">
        <v>20.2058</v>
      </c>
      <c r="DM230">
        <v>5.2502399999999998</v>
      </c>
      <c r="DN230">
        <v>12.033899999999999</v>
      </c>
      <c r="DO230">
        <v>4.9671200000000004</v>
      </c>
      <c r="DP230">
        <v>3.2909999999999999</v>
      </c>
      <c r="DQ230">
        <v>537.1</v>
      </c>
      <c r="DR230">
        <v>9999</v>
      </c>
      <c r="DS230">
        <v>9999</v>
      </c>
      <c r="DT230">
        <v>9999</v>
      </c>
      <c r="DU230">
        <v>1.8711500000000001</v>
      </c>
      <c r="DV230">
        <v>1.87612</v>
      </c>
      <c r="DW230">
        <v>1.8763700000000001</v>
      </c>
      <c r="DX230">
        <v>1.88279</v>
      </c>
      <c r="DY230">
        <v>1.87561</v>
      </c>
      <c r="DZ230">
        <v>1.87469</v>
      </c>
      <c r="EA230">
        <v>1.87087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-0.82</v>
      </c>
      <c r="EQ230">
        <v>0.1003</v>
      </c>
      <c r="ER230">
        <v>-0.82039999999994995</v>
      </c>
      <c r="ES230">
        <v>0</v>
      </c>
      <c r="ET230">
        <v>0</v>
      </c>
      <c r="EU230">
        <v>0</v>
      </c>
      <c r="EV230">
        <v>0.10032000000000001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3.1</v>
      </c>
      <c r="FE230">
        <v>2.8</v>
      </c>
      <c r="FF230">
        <v>1.2439</v>
      </c>
      <c r="FG230">
        <v>2.6000999999999999</v>
      </c>
      <c r="FH230">
        <v>2.19604</v>
      </c>
      <c r="FI230">
        <v>2.66357</v>
      </c>
      <c r="FJ230">
        <v>2.4462899999999999</v>
      </c>
      <c r="FK230">
        <v>2.3278799999999999</v>
      </c>
      <c r="FL230">
        <v>32.620399999999997</v>
      </c>
      <c r="FM230">
        <v>24.14</v>
      </c>
      <c r="FN230">
        <v>19</v>
      </c>
      <c r="FO230">
        <v>865.3</v>
      </c>
      <c r="FP230">
        <v>570.91499999999996</v>
      </c>
      <c r="FQ230">
        <v>18.043299999999999</v>
      </c>
      <c r="FR230">
        <v>25.608499999999999</v>
      </c>
      <c r="FS230">
        <v>30</v>
      </c>
      <c r="FT230">
        <v>25.609500000000001</v>
      </c>
      <c r="FU230">
        <v>25.6127</v>
      </c>
      <c r="FV230">
        <v>24.966999999999999</v>
      </c>
      <c r="FW230">
        <v>25.629200000000001</v>
      </c>
      <c r="FX230">
        <v>0</v>
      </c>
      <c r="FY230">
        <v>18.0396</v>
      </c>
      <c r="FZ230">
        <v>410</v>
      </c>
      <c r="GA230">
        <v>14.420299999999999</v>
      </c>
      <c r="GB230">
        <v>99.869299999999996</v>
      </c>
      <c r="GC230">
        <v>99.76</v>
      </c>
    </row>
    <row r="231" spans="1:185" x14ac:dyDescent="0.2">
      <c r="A231">
        <v>216</v>
      </c>
      <c r="B231">
        <v>1769198681</v>
      </c>
      <c r="C231">
        <v>4120</v>
      </c>
      <c r="D231" t="s">
        <v>732</v>
      </c>
      <c r="E231" t="s">
        <v>733</v>
      </c>
      <c r="F231">
        <v>15</v>
      </c>
      <c r="G231">
        <v>1769198673</v>
      </c>
      <c r="H231">
        <f t="shared" si="39"/>
        <v>9.8919836961740282E-4</v>
      </c>
      <c r="I231">
        <v>0</v>
      </c>
      <c r="J231">
        <f t="shared" si="51"/>
        <v>-7.0395242452042173E-3</v>
      </c>
      <c r="K231">
        <f t="shared" si="40"/>
        <v>-0.26231954977635352</v>
      </c>
      <c r="L231">
        <f t="shared" si="41"/>
        <v>72.657570531731878</v>
      </c>
      <c r="M231">
        <f t="shared" si="42"/>
        <v>1.5946728029909298</v>
      </c>
      <c r="N231">
        <f t="shared" si="43"/>
        <v>2.1947785913024513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26218.10704891858</v>
      </c>
      <c r="T231">
        <f t="shared" si="47"/>
        <v>799.99766666666699</v>
      </c>
      <c r="U231">
        <f t="shared" si="48"/>
        <v>674.39790612037052</v>
      </c>
      <c r="V231">
        <f t="shared" si="49"/>
        <v>0.84299984140000028</v>
      </c>
      <c r="W231">
        <f t="shared" si="50"/>
        <v>0.15869956452400005</v>
      </c>
      <c r="X231">
        <v>1</v>
      </c>
      <c r="Y231">
        <v>1769198673</v>
      </c>
      <c r="Z231">
        <v>409.84039999999999</v>
      </c>
      <c r="AA231">
        <v>410.01926666666702</v>
      </c>
      <c r="AB231">
        <v>15.9103333333333</v>
      </c>
      <c r="AC231">
        <v>14.6935133333333</v>
      </c>
      <c r="AD231">
        <v>410.66079999999999</v>
      </c>
      <c r="AE231">
        <v>15.8100133333333</v>
      </c>
      <c r="AF231">
        <v>800.00319999999999</v>
      </c>
      <c r="AG231">
        <v>100.16459999999999</v>
      </c>
      <c r="AH231">
        <v>6.4148800000000006E-2</v>
      </c>
      <c r="AI231">
        <v>18.924253333333301</v>
      </c>
      <c r="AJ231">
        <v>999.9</v>
      </c>
      <c r="AK231">
        <v>999.9</v>
      </c>
      <c r="AL231">
        <v>0</v>
      </c>
      <c r="AM231">
        <v>0</v>
      </c>
      <c r="AN231">
        <v>4991.1000000000004</v>
      </c>
      <c r="AO231">
        <v>0</v>
      </c>
      <c r="AP231">
        <v>1.62604066666667</v>
      </c>
      <c r="AQ231">
        <v>-0.179062833333333</v>
      </c>
      <c r="AR231">
        <v>416.46660000000003</v>
      </c>
      <c r="AS231">
        <v>416.133733333333</v>
      </c>
      <c r="AT231">
        <v>1.2168099999999999</v>
      </c>
      <c r="AU231">
        <v>410.01926666666702</v>
      </c>
      <c r="AV231">
        <v>14.6935133333333</v>
      </c>
      <c r="AW231">
        <v>1.5936520000000001</v>
      </c>
      <c r="AX231">
        <v>1.4717706666666699</v>
      </c>
      <c r="AY231">
        <v>13.897486666666699</v>
      </c>
      <c r="AZ231">
        <v>12.677773333333301</v>
      </c>
      <c r="BA231">
        <v>799.99766666666699</v>
      </c>
      <c r="BB231">
        <v>0.90000586666666704</v>
      </c>
      <c r="BC231">
        <v>0</v>
      </c>
      <c r="BD231">
        <v>9.9994153333333294E-2</v>
      </c>
      <c r="BE231">
        <v>0</v>
      </c>
      <c r="BF231">
        <v>25</v>
      </c>
      <c r="BG231">
        <v>13191.006666666701</v>
      </c>
      <c r="BH231">
        <v>1769198352</v>
      </c>
      <c r="BI231" t="s">
        <v>707</v>
      </c>
      <c r="BJ231">
        <v>1769198330</v>
      </c>
      <c r="BK231">
        <v>1769198352</v>
      </c>
      <c r="BL231">
        <v>8</v>
      </c>
      <c r="BM231">
        <v>-1.4999999999999999E-2</v>
      </c>
      <c r="BN231">
        <v>6.0000000000000001E-3</v>
      </c>
      <c r="BO231">
        <v>-0.82</v>
      </c>
      <c r="BP231">
        <v>0.1</v>
      </c>
      <c r="BQ231">
        <v>410</v>
      </c>
      <c r="BR231">
        <v>15</v>
      </c>
      <c r="BS231">
        <v>0.24</v>
      </c>
      <c r="BT231">
        <v>7.0000000000000007E-2</v>
      </c>
      <c r="BU231">
        <v>-0.10532630285714301</v>
      </c>
      <c r="BV231">
        <v>-1.30769332519481</v>
      </c>
      <c r="BW231">
        <v>0.136804791093806</v>
      </c>
      <c r="BX231">
        <v>0</v>
      </c>
      <c r="BY231">
        <v>0</v>
      </c>
      <c r="BZ231">
        <v>0</v>
      </c>
      <c r="CA231">
        <v>0</v>
      </c>
      <c r="CB231">
        <v>-1</v>
      </c>
      <c r="CC231">
        <v>1.1863461904761901</v>
      </c>
      <c r="CD231">
        <v>0.57347454545454302</v>
      </c>
      <c r="CE231">
        <v>5.8518466151511697E-2</v>
      </c>
      <c r="CF231">
        <v>0</v>
      </c>
      <c r="CG231">
        <v>0</v>
      </c>
      <c r="CH231">
        <v>2</v>
      </c>
      <c r="CI231" t="s">
        <v>290</v>
      </c>
      <c r="CJ231">
        <v>3.5325199999999999</v>
      </c>
      <c r="CK231">
        <v>2.7020200000000001</v>
      </c>
      <c r="CL231">
        <v>9.7929299999999997E-2</v>
      </c>
      <c r="CM231">
        <v>9.6618599999999999E-2</v>
      </c>
      <c r="CN231">
        <v>8.8856299999999999E-2</v>
      </c>
      <c r="CO231">
        <v>8.2599199999999998E-2</v>
      </c>
      <c r="CP231">
        <v>31626.400000000001</v>
      </c>
      <c r="CQ231">
        <v>27821.4</v>
      </c>
      <c r="CR231">
        <v>32449.7</v>
      </c>
      <c r="CS231">
        <v>30724.6</v>
      </c>
      <c r="CT231">
        <v>40039.300000000003</v>
      </c>
      <c r="CU231">
        <v>39642.400000000001</v>
      </c>
      <c r="CV231">
        <v>47397.3</v>
      </c>
      <c r="CW231">
        <v>46863.199999999997</v>
      </c>
      <c r="CX231">
        <v>2.6210800000000001</v>
      </c>
      <c r="CY231">
        <v>2.1212399999999998</v>
      </c>
      <c r="CZ231">
        <v>0</v>
      </c>
      <c r="DA231">
        <v>0</v>
      </c>
      <c r="DB231">
        <v>999.9</v>
      </c>
      <c r="DC231">
        <v>999.9</v>
      </c>
      <c r="DD231">
        <v>48.363999999999997</v>
      </c>
      <c r="DE231">
        <v>28.369</v>
      </c>
      <c r="DF231">
        <v>18.72</v>
      </c>
      <c r="DG231">
        <v>30.209800000000001</v>
      </c>
      <c r="DH231">
        <v>16.470400000000001</v>
      </c>
      <c r="DI231">
        <v>2</v>
      </c>
      <c r="DJ231">
        <v>-0.107642</v>
      </c>
      <c r="DK231">
        <v>2.1113200000000001</v>
      </c>
      <c r="DL231">
        <v>20.198399999999999</v>
      </c>
      <c r="DM231">
        <v>5.2497600000000002</v>
      </c>
      <c r="DN231">
        <v>12.033899999999999</v>
      </c>
      <c r="DO231">
        <v>4.96692</v>
      </c>
      <c r="DP231">
        <v>3.2909999999999999</v>
      </c>
      <c r="DQ231">
        <v>537.1</v>
      </c>
      <c r="DR231">
        <v>9999</v>
      </c>
      <c r="DS231">
        <v>9999</v>
      </c>
      <c r="DT231">
        <v>9999</v>
      </c>
      <c r="DU231">
        <v>1.87114</v>
      </c>
      <c r="DV231">
        <v>1.87615</v>
      </c>
      <c r="DW231">
        <v>1.87635</v>
      </c>
      <c r="DX231">
        <v>1.88279</v>
      </c>
      <c r="DY231">
        <v>1.87561</v>
      </c>
      <c r="DZ231">
        <v>1.87469</v>
      </c>
      <c r="EA231">
        <v>1.87087</v>
      </c>
      <c r="EB231">
        <v>1.8746799999999999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-0.82</v>
      </c>
      <c r="EQ231">
        <v>0.1003</v>
      </c>
      <c r="ER231">
        <v>-0.82039999999994995</v>
      </c>
      <c r="ES231">
        <v>0</v>
      </c>
      <c r="ET231">
        <v>0</v>
      </c>
      <c r="EU231">
        <v>0</v>
      </c>
      <c r="EV231">
        <v>0.10032000000000001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5.8</v>
      </c>
      <c r="FE231">
        <v>5.5</v>
      </c>
      <c r="FF231">
        <v>1.2439</v>
      </c>
      <c r="FG231">
        <v>2.6013199999999999</v>
      </c>
      <c r="FH231">
        <v>2.19604</v>
      </c>
      <c r="FI231">
        <v>2.66235</v>
      </c>
      <c r="FJ231">
        <v>2.4462899999999999</v>
      </c>
      <c r="FK231">
        <v>2.2875999999999999</v>
      </c>
      <c r="FL231">
        <v>32.6648</v>
      </c>
      <c r="FM231">
        <v>24.1313</v>
      </c>
      <c r="FN231">
        <v>19</v>
      </c>
      <c r="FO231">
        <v>865.77499999999998</v>
      </c>
      <c r="FP231">
        <v>570.98599999999999</v>
      </c>
      <c r="FQ231">
        <v>17.999099999999999</v>
      </c>
      <c r="FR231">
        <v>25.640899999999998</v>
      </c>
      <c r="FS231">
        <v>30</v>
      </c>
      <c r="FT231">
        <v>25.6311</v>
      </c>
      <c r="FU231">
        <v>25.631599999999999</v>
      </c>
      <c r="FV231">
        <v>24.967500000000001</v>
      </c>
      <c r="FW231">
        <v>25.898399999999999</v>
      </c>
      <c r="FX231">
        <v>1.9684200000000001</v>
      </c>
      <c r="FY231">
        <v>18.027999999999999</v>
      </c>
      <c r="FZ231">
        <v>410</v>
      </c>
      <c r="GA231">
        <v>14.390599999999999</v>
      </c>
      <c r="GB231">
        <v>99.866699999999994</v>
      </c>
      <c r="GC231">
        <v>99.755799999999994</v>
      </c>
    </row>
    <row r="232" spans="1:185" x14ac:dyDescent="0.2">
      <c r="A232">
        <v>217</v>
      </c>
      <c r="B232">
        <v>1769198696</v>
      </c>
      <c r="C232">
        <v>4135</v>
      </c>
      <c r="D232" t="s">
        <v>734</v>
      </c>
      <c r="E232" t="s">
        <v>735</v>
      </c>
      <c r="F232">
        <v>15</v>
      </c>
      <c r="G232">
        <v>1769198687.9333301</v>
      </c>
      <c r="H232">
        <f t="shared" si="39"/>
        <v>1.037174695816E-3</v>
      </c>
      <c r="I232">
        <v>0</v>
      </c>
      <c r="J232">
        <f t="shared" si="51"/>
        <v>-3.9710606133913839E-3</v>
      </c>
      <c r="K232">
        <f t="shared" si="40"/>
        <v>-0.14797687968034245</v>
      </c>
      <c r="L232">
        <f t="shared" si="41"/>
        <v>71.726174097425528</v>
      </c>
      <c r="M232">
        <f t="shared" si="42"/>
        <v>1.5761602718544907</v>
      </c>
      <c r="N232">
        <f t="shared" si="43"/>
        <v>2.1974687646292068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26247.850662332297</v>
      </c>
      <c r="T232">
        <f t="shared" si="47"/>
        <v>799.99839999999995</v>
      </c>
      <c r="U232">
        <f t="shared" si="48"/>
        <v>674.39838928052359</v>
      </c>
      <c r="V232">
        <f t="shared" si="49"/>
        <v>0.84299967259999975</v>
      </c>
      <c r="W232">
        <f t="shared" si="50"/>
        <v>0.15869922047599996</v>
      </c>
      <c r="X232">
        <v>1</v>
      </c>
      <c r="Y232">
        <v>1769198687.9333301</v>
      </c>
      <c r="Z232">
        <v>409.65486666666698</v>
      </c>
      <c r="AA232">
        <v>410.00099999999998</v>
      </c>
      <c r="AB232">
        <v>15.725673333333299</v>
      </c>
      <c r="AC232">
        <v>14.449593333333301</v>
      </c>
      <c r="AD232">
        <v>410.47526666666698</v>
      </c>
      <c r="AE232">
        <v>15.62534</v>
      </c>
      <c r="AF232">
        <v>800.00033333333295</v>
      </c>
      <c r="AG232">
        <v>100.164266666667</v>
      </c>
      <c r="AH232">
        <v>6.4209306666666702E-2</v>
      </c>
      <c r="AI232">
        <v>18.9438733333333</v>
      </c>
      <c r="AJ232">
        <v>999.9</v>
      </c>
      <c r="AK232">
        <v>999.9</v>
      </c>
      <c r="AL232">
        <v>0</v>
      </c>
      <c r="AM232">
        <v>0</v>
      </c>
      <c r="AN232">
        <v>4996.3</v>
      </c>
      <c r="AO232">
        <v>0</v>
      </c>
      <c r="AP232">
        <v>1.63733</v>
      </c>
      <c r="AQ232">
        <v>-0.34614673333333301</v>
      </c>
      <c r="AR232">
        <v>416.19993333333298</v>
      </c>
      <c r="AS232">
        <v>416.01226666666702</v>
      </c>
      <c r="AT232">
        <v>1.276054</v>
      </c>
      <c r="AU232">
        <v>410.00099999999998</v>
      </c>
      <c r="AV232">
        <v>14.449593333333301</v>
      </c>
      <c r="AW232">
        <v>1.5751500000000001</v>
      </c>
      <c r="AX232">
        <v>1.4473353333333301</v>
      </c>
      <c r="AY232">
        <v>13.71776</v>
      </c>
      <c r="AZ232">
        <v>12.4227666666667</v>
      </c>
      <c r="BA232">
        <v>799.99839999999995</v>
      </c>
      <c r="BB232">
        <v>0.90001033333333302</v>
      </c>
      <c r="BC232">
        <v>0</v>
      </c>
      <c r="BD232">
        <v>9.9989646666666598E-2</v>
      </c>
      <c r="BE232">
        <v>0</v>
      </c>
      <c r="BF232">
        <v>25</v>
      </c>
      <c r="BG232">
        <v>13191.04</v>
      </c>
      <c r="BH232">
        <v>1769198352</v>
      </c>
      <c r="BI232" t="s">
        <v>707</v>
      </c>
      <c r="BJ232">
        <v>1769198330</v>
      </c>
      <c r="BK232">
        <v>1769198352</v>
      </c>
      <c r="BL232">
        <v>8</v>
      </c>
      <c r="BM232">
        <v>-1.4999999999999999E-2</v>
      </c>
      <c r="BN232">
        <v>6.0000000000000001E-3</v>
      </c>
      <c r="BO232">
        <v>-0.82</v>
      </c>
      <c r="BP232">
        <v>0.1</v>
      </c>
      <c r="BQ232">
        <v>410</v>
      </c>
      <c r="BR232">
        <v>15</v>
      </c>
      <c r="BS232">
        <v>0.24</v>
      </c>
      <c r="BT232">
        <v>7.0000000000000007E-2</v>
      </c>
      <c r="BU232">
        <v>-0.30592566666666698</v>
      </c>
      <c r="BV232">
        <v>-0.57012210389610396</v>
      </c>
      <c r="BW232">
        <v>5.9438324150679699E-2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1.26758333333333</v>
      </c>
      <c r="CD232">
        <v>0.121575584415584</v>
      </c>
      <c r="CE232">
        <v>1.6601488267574401E-2</v>
      </c>
      <c r="CF232">
        <v>0</v>
      </c>
      <c r="CG232">
        <v>0</v>
      </c>
      <c r="CH232">
        <v>2</v>
      </c>
      <c r="CI232" t="s">
        <v>290</v>
      </c>
      <c r="CJ232">
        <v>3.5325299999999999</v>
      </c>
      <c r="CK232">
        <v>2.7021799999999998</v>
      </c>
      <c r="CL232">
        <v>9.7906800000000002E-2</v>
      </c>
      <c r="CM232">
        <v>9.6621299999999993E-2</v>
      </c>
      <c r="CN232">
        <v>8.8137599999999997E-2</v>
      </c>
      <c r="CO232">
        <v>8.1932199999999997E-2</v>
      </c>
      <c r="CP232">
        <v>31627.200000000001</v>
      </c>
      <c r="CQ232">
        <v>27821.5</v>
      </c>
      <c r="CR232">
        <v>32449.7</v>
      </c>
      <c r="CS232">
        <v>30724.9</v>
      </c>
      <c r="CT232">
        <v>40071.599999999999</v>
      </c>
      <c r="CU232">
        <v>39672.300000000003</v>
      </c>
      <c r="CV232">
        <v>47397</v>
      </c>
      <c r="CW232">
        <v>46863.6</v>
      </c>
      <c r="CX232">
        <v>2.62094</v>
      </c>
      <c r="CY232">
        <v>2.1204800000000001</v>
      </c>
      <c r="CZ232">
        <v>0</v>
      </c>
      <c r="DA232">
        <v>0</v>
      </c>
      <c r="DB232">
        <v>999.9</v>
      </c>
      <c r="DC232">
        <v>999.9</v>
      </c>
      <c r="DD232">
        <v>48.34</v>
      </c>
      <c r="DE232">
        <v>28.369</v>
      </c>
      <c r="DF232">
        <v>18.710899999999999</v>
      </c>
      <c r="DG232">
        <v>30.3598</v>
      </c>
      <c r="DH232">
        <v>16.578499999999998</v>
      </c>
      <c r="DI232">
        <v>2</v>
      </c>
      <c r="DJ232">
        <v>-0.10724599999999999</v>
      </c>
      <c r="DK232">
        <v>2.0477300000000001</v>
      </c>
      <c r="DL232">
        <v>20.199000000000002</v>
      </c>
      <c r="DM232">
        <v>5.2503500000000001</v>
      </c>
      <c r="DN232">
        <v>12.033899999999999</v>
      </c>
      <c r="DO232">
        <v>4.9673600000000002</v>
      </c>
      <c r="DP232">
        <v>3.2909999999999999</v>
      </c>
      <c r="DQ232">
        <v>537.20000000000005</v>
      </c>
      <c r="DR232">
        <v>9999</v>
      </c>
      <c r="DS232">
        <v>9999</v>
      </c>
      <c r="DT232">
        <v>9999</v>
      </c>
      <c r="DU232">
        <v>1.8711100000000001</v>
      </c>
      <c r="DV232">
        <v>1.8761099999999999</v>
      </c>
      <c r="DW232">
        <v>1.8763000000000001</v>
      </c>
      <c r="DX232">
        <v>1.88279</v>
      </c>
      <c r="DY232">
        <v>1.87561</v>
      </c>
      <c r="DZ232">
        <v>1.8746799999999999</v>
      </c>
      <c r="EA232">
        <v>1.87086</v>
      </c>
      <c r="EB232">
        <v>1.8746700000000001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-0.82</v>
      </c>
      <c r="EQ232">
        <v>0.1003</v>
      </c>
      <c r="ER232">
        <v>-0.82039999999994995</v>
      </c>
      <c r="ES232">
        <v>0</v>
      </c>
      <c r="ET232">
        <v>0</v>
      </c>
      <c r="EU232">
        <v>0</v>
      </c>
      <c r="EV232">
        <v>0.10032000000000001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6.1</v>
      </c>
      <c r="FE232">
        <v>5.7</v>
      </c>
      <c r="FF232">
        <v>1.2439</v>
      </c>
      <c r="FG232">
        <v>2.5988799999999999</v>
      </c>
      <c r="FH232">
        <v>2.19604</v>
      </c>
      <c r="FI232">
        <v>2.66113</v>
      </c>
      <c r="FJ232">
        <v>2.4462899999999999</v>
      </c>
      <c r="FK232">
        <v>2.33643</v>
      </c>
      <c r="FL232">
        <v>32.6648</v>
      </c>
      <c r="FM232">
        <v>24.148800000000001</v>
      </c>
      <c r="FN232">
        <v>19</v>
      </c>
      <c r="FO232">
        <v>865.68</v>
      </c>
      <c r="FP232">
        <v>570.43100000000004</v>
      </c>
      <c r="FQ232">
        <v>18.1341</v>
      </c>
      <c r="FR232">
        <v>25.6435</v>
      </c>
      <c r="FS232">
        <v>30</v>
      </c>
      <c r="FT232">
        <v>25.633299999999998</v>
      </c>
      <c r="FU232">
        <v>25.633800000000001</v>
      </c>
      <c r="FV232">
        <v>24.966899999999999</v>
      </c>
      <c r="FW232">
        <v>26.488499999999998</v>
      </c>
      <c r="FX232">
        <v>1.5978300000000001</v>
      </c>
      <c r="FY232">
        <v>18.152100000000001</v>
      </c>
      <c r="FZ232">
        <v>410</v>
      </c>
      <c r="GA232">
        <v>14.267099999999999</v>
      </c>
      <c r="GB232">
        <v>99.866299999999995</v>
      </c>
      <c r="GC232">
        <v>99.756600000000006</v>
      </c>
    </row>
    <row r="233" spans="1:185" x14ac:dyDescent="0.2">
      <c r="A233">
        <v>218</v>
      </c>
      <c r="B233">
        <v>1769198711</v>
      </c>
      <c r="C233">
        <v>4150</v>
      </c>
      <c r="D233" t="s">
        <v>736</v>
      </c>
      <c r="E233" t="s">
        <v>737</v>
      </c>
      <c r="F233">
        <v>15</v>
      </c>
      <c r="G233">
        <v>1769198702.9333301</v>
      </c>
      <c r="H233">
        <f t="shared" si="39"/>
        <v>1.0296524305584522E-3</v>
      </c>
      <c r="I233">
        <v>0</v>
      </c>
      <c r="J233">
        <f t="shared" si="51"/>
        <v>-2.1403229492542881E-3</v>
      </c>
      <c r="K233">
        <f t="shared" si="40"/>
        <v>-7.9756604689141794E-2</v>
      </c>
      <c r="L233">
        <f t="shared" si="41"/>
        <v>70.966718397834811</v>
      </c>
      <c r="M233">
        <f t="shared" si="42"/>
        <v>1.5622151695027666</v>
      </c>
      <c r="N233">
        <f t="shared" si="43"/>
        <v>2.20133494231069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26299.479284923229</v>
      </c>
      <c r="T233">
        <f t="shared" si="47"/>
        <v>800.00006666666695</v>
      </c>
      <c r="U233">
        <f t="shared" si="48"/>
        <v>674.39980691997914</v>
      </c>
      <c r="V233">
        <f t="shared" si="49"/>
        <v>0.84299968839999961</v>
      </c>
      <c r="W233">
        <f t="shared" si="50"/>
        <v>0.15869911706399994</v>
      </c>
      <c r="X233">
        <v>1</v>
      </c>
      <c r="Y233">
        <v>1769198702.9333301</v>
      </c>
      <c r="Z233">
        <v>409.58600000000001</v>
      </c>
      <c r="AA233">
        <v>410.013466666667</v>
      </c>
      <c r="AB233">
        <v>15.586453333333299</v>
      </c>
      <c r="AC233">
        <v>14.3194533333333</v>
      </c>
      <c r="AD233">
        <v>410.40640000000002</v>
      </c>
      <c r="AE233">
        <v>15.486133333333299</v>
      </c>
      <c r="AF233">
        <v>800.00300000000004</v>
      </c>
      <c r="AG233">
        <v>100.164666666667</v>
      </c>
      <c r="AH233">
        <v>6.4367873333333298E-2</v>
      </c>
      <c r="AI233">
        <v>18.9720333333333</v>
      </c>
      <c r="AJ233">
        <v>999.9</v>
      </c>
      <c r="AK233">
        <v>999.9</v>
      </c>
      <c r="AL233">
        <v>0</v>
      </c>
      <c r="AM233">
        <v>0</v>
      </c>
      <c r="AN233">
        <v>5005.2</v>
      </c>
      <c r="AO233">
        <v>0</v>
      </c>
      <c r="AP233">
        <v>1.63733</v>
      </c>
      <c r="AQ233">
        <v>-0.42755326666666699</v>
      </c>
      <c r="AR233">
        <v>416.07106666666698</v>
      </c>
      <c r="AS233">
        <v>415.97006666666698</v>
      </c>
      <c r="AT233">
        <v>1.2670079999999999</v>
      </c>
      <c r="AU233">
        <v>410.013466666667</v>
      </c>
      <c r="AV233">
        <v>14.3194533333333</v>
      </c>
      <c r="AW233">
        <v>1.56121133333333</v>
      </c>
      <c r="AX233">
        <v>1.4343026666666701</v>
      </c>
      <c r="AY233">
        <v>13.581160000000001</v>
      </c>
      <c r="AZ233">
        <v>12.2851933333333</v>
      </c>
      <c r="BA233">
        <v>800.00006666666695</v>
      </c>
      <c r="BB233">
        <v>0.90001193333333296</v>
      </c>
      <c r="BC233">
        <v>0</v>
      </c>
      <c r="BD233">
        <v>9.998812E-2</v>
      </c>
      <c r="BE233">
        <v>0</v>
      </c>
      <c r="BF233">
        <v>25</v>
      </c>
      <c r="BG233">
        <v>13191.06</v>
      </c>
      <c r="BH233">
        <v>1769198352</v>
      </c>
      <c r="BI233" t="s">
        <v>707</v>
      </c>
      <c r="BJ233">
        <v>1769198330</v>
      </c>
      <c r="BK233">
        <v>1769198352</v>
      </c>
      <c r="BL233">
        <v>8</v>
      </c>
      <c r="BM233">
        <v>-1.4999999999999999E-2</v>
      </c>
      <c r="BN233">
        <v>6.0000000000000001E-3</v>
      </c>
      <c r="BO233">
        <v>-0.82</v>
      </c>
      <c r="BP233">
        <v>0.1</v>
      </c>
      <c r="BQ233">
        <v>410</v>
      </c>
      <c r="BR233">
        <v>15</v>
      </c>
      <c r="BS233">
        <v>0.24</v>
      </c>
      <c r="BT233">
        <v>7.0000000000000007E-2</v>
      </c>
      <c r="BU233">
        <v>-0.41345064999999998</v>
      </c>
      <c r="BV233">
        <v>-0.240080796992482</v>
      </c>
      <c r="BW233">
        <v>3.0779750936735999E-2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1.2701830000000001</v>
      </c>
      <c r="CD233">
        <v>-2.5046616541353098E-2</v>
      </c>
      <c r="CE233">
        <v>8.6669995384792906E-3</v>
      </c>
      <c r="CF233">
        <v>1</v>
      </c>
      <c r="CG233">
        <v>2</v>
      </c>
      <c r="CH233">
        <v>2</v>
      </c>
      <c r="CI233" t="s">
        <v>304</v>
      </c>
      <c r="CJ233">
        <v>3.5324900000000001</v>
      </c>
      <c r="CK233">
        <v>2.7021899999999999</v>
      </c>
      <c r="CL233">
        <v>9.7898100000000002E-2</v>
      </c>
      <c r="CM233">
        <v>9.6615900000000005E-2</v>
      </c>
      <c r="CN233">
        <v>8.7654399999999993E-2</v>
      </c>
      <c r="CO233">
        <v>8.1553700000000007E-2</v>
      </c>
      <c r="CP233">
        <v>31627.5</v>
      </c>
      <c r="CQ233">
        <v>27821.599999999999</v>
      </c>
      <c r="CR233">
        <v>32449.8</v>
      </c>
      <c r="CS233">
        <v>30724.7</v>
      </c>
      <c r="CT233">
        <v>40093.800000000003</v>
      </c>
      <c r="CU233">
        <v>39688.800000000003</v>
      </c>
      <c r="CV233">
        <v>47397.4</v>
      </c>
      <c r="CW233">
        <v>46863.3</v>
      </c>
      <c r="CX233">
        <v>2.6210200000000001</v>
      </c>
      <c r="CY233">
        <v>2.1202800000000002</v>
      </c>
      <c r="CZ233">
        <v>0</v>
      </c>
      <c r="DA233">
        <v>0</v>
      </c>
      <c r="DB233">
        <v>999.9</v>
      </c>
      <c r="DC233">
        <v>999.9</v>
      </c>
      <c r="DD233">
        <v>48.314999999999998</v>
      </c>
      <c r="DE233">
        <v>28.379000000000001</v>
      </c>
      <c r="DF233">
        <v>18.712499999999999</v>
      </c>
      <c r="DG233">
        <v>30.599799999999998</v>
      </c>
      <c r="DH233">
        <v>16.5304</v>
      </c>
      <c r="DI233">
        <v>2</v>
      </c>
      <c r="DJ233">
        <v>-0.10703500000000001</v>
      </c>
      <c r="DK233">
        <v>2.07918</v>
      </c>
      <c r="DL233">
        <v>20.198499999999999</v>
      </c>
      <c r="DM233">
        <v>5.25047</v>
      </c>
      <c r="DN233">
        <v>12.033899999999999</v>
      </c>
      <c r="DO233">
        <v>4.9672400000000003</v>
      </c>
      <c r="DP233">
        <v>3.2909999999999999</v>
      </c>
      <c r="DQ233">
        <v>537.20000000000005</v>
      </c>
      <c r="DR233">
        <v>9999</v>
      </c>
      <c r="DS233">
        <v>9999</v>
      </c>
      <c r="DT233">
        <v>9999</v>
      </c>
      <c r="DU233">
        <v>1.8711599999999999</v>
      </c>
      <c r="DV233">
        <v>1.8761699999999999</v>
      </c>
      <c r="DW233">
        <v>1.8763700000000001</v>
      </c>
      <c r="DX233">
        <v>1.8828100000000001</v>
      </c>
      <c r="DY233">
        <v>1.87561</v>
      </c>
      <c r="DZ233">
        <v>1.87469</v>
      </c>
      <c r="EA233">
        <v>1.8708800000000001</v>
      </c>
      <c r="EB233">
        <v>1.8746700000000001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-0.82</v>
      </c>
      <c r="EQ233">
        <v>0.1003</v>
      </c>
      <c r="ER233">
        <v>-0.82039999999994995</v>
      </c>
      <c r="ES233">
        <v>0</v>
      </c>
      <c r="ET233">
        <v>0</v>
      </c>
      <c r="EU233">
        <v>0</v>
      </c>
      <c r="EV233">
        <v>0.10032000000000001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6.3</v>
      </c>
      <c r="FE233">
        <v>6</v>
      </c>
      <c r="FF233">
        <v>1.2439</v>
      </c>
      <c r="FG233">
        <v>2.6013199999999999</v>
      </c>
      <c r="FH233">
        <v>2.19604</v>
      </c>
      <c r="FI233">
        <v>2.66235</v>
      </c>
      <c r="FJ233">
        <v>2.4462899999999999</v>
      </c>
      <c r="FK233">
        <v>2.2875999999999999</v>
      </c>
      <c r="FL233">
        <v>32.686900000000001</v>
      </c>
      <c r="FM233">
        <v>24.14</v>
      </c>
      <c r="FN233">
        <v>19</v>
      </c>
      <c r="FO233">
        <v>865.77499999999998</v>
      </c>
      <c r="FP233">
        <v>570.30100000000004</v>
      </c>
      <c r="FQ233">
        <v>18.215599999999998</v>
      </c>
      <c r="FR233">
        <v>25.645199999999999</v>
      </c>
      <c r="FS233">
        <v>30.0002</v>
      </c>
      <c r="FT233">
        <v>25.634599999999999</v>
      </c>
      <c r="FU233">
        <v>25.635899999999999</v>
      </c>
      <c r="FV233">
        <v>24.964600000000001</v>
      </c>
      <c r="FW233">
        <v>27.060500000000001</v>
      </c>
      <c r="FX233">
        <v>1.5978300000000001</v>
      </c>
      <c r="FY233">
        <v>18.218900000000001</v>
      </c>
      <c r="FZ233">
        <v>410</v>
      </c>
      <c r="GA233">
        <v>14.2006</v>
      </c>
      <c r="GB233">
        <v>99.866900000000001</v>
      </c>
      <c r="GC233">
        <v>99.756</v>
      </c>
    </row>
    <row r="234" spans="1:185" x14ac:dyDescent="0.2">
      <c r="A234">
        <v>219</v>
      </c>
      <c r="B234">
        <v>1769198726</v>
      </c>
      <c r="C234">
        <v>4165</v>
      </c>
      <c r="D234" t="s">
        <v>738</v>
      </c>
      <c r="E234" t="s">
        <v>739</v>
      </c>
      <c r="F234">
        <v>15</v>
      </c>
      <c r="G234">
        <v>1769198717.9333301</v>
      </c>
      <c r="H234">
        <f t="shared" si="39"/>
        <v>1.0068263703894001E-3</v>
      </c>
      <c r="I234">
        <v>0</v>
      </c>
      <c r="J234">
        <f t="shared" si="51"/>
        <v>-1.3171304466390028E-3</v>
      </c>
      <c r="K234">
        <f t="shared" si="40"/>
        <v>-4.9081309151602671E-2</v>
      </c>
      <c r="L234">
        <f t="shared" si="41"/>
        <v>70.42057095970992</v>
      </c>
      <c r="M234">
        <f t="shared" si="42"/>
        <v>1.5527915063542943</v>
      </c>
      <c r="N234">
        <f t="shared" si="43"/>
        <v>2.20502544241327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26255.65849517507</v>
      </c>
      <c r="T234">
        <f t="shared" si="47"/>
        <v>799.99853333333294</v>
      </c>
      <c r="U234">
        <f t="shared" si="48"/>
        <v>674.39839048068336</v>
      </c>
      <c r="V234">
        <f t="shared" si="49"/>
        <v>0.84299953359999957</v>
      </c>
      <c r="W234">
        <f t="shared" si="50"/>
        <v>0.15869880801599995</v>
      </c>
      <c r="X234">
        <v>1</v>
      </c>
      <c r="Y234">
        <v>1769198717.9333301</v>
      </c>
      <c r="Z234">
        <v>409.54153333333301</v>
      </c>
      <c r="AA234">
        <v>409.99560000000002</v>
      </c>
      <c r="AB234">
        <v>15.49226</v>
      </c>
      <c r="AC234">
        <v>14.2532333333333</v>
      </c>
      <c r="AD234">
        <v>410.36206666666698</v>
      </c>
      <c r="AE234">
        <v>15.39194</v>
      </c>
      <c r="AF234">
        <v>800.00566666666703</v>
      </c>
      <c r="AG234">
        <v>100.1658</v>
      </c>
      <c r="AH234">
        <v>6.43475933333333E-2</v>
      </c>
      <c r="AI234">
        <v>18.9988733333333</v>
      </c>
      <c r="AJ234">
        <v>999.9</v>
      </c>
      <c r="AK234">
        <v>999.9</v>
      </c>
      <c r="AL234">
        <v>0</v>
      </c>
      <c r="AM234">
        <v>0</v>
      </c>
      <c r="AN234">
        <v>4998.3333333333303</v>
      </c>
      <c r="AO234">
        <v>0</v>
      </c>
      <c r="AP234">
        <v>1.63733</v>
      </c>
      <c r="AQ234">
        <v>-0.45395913333333299</v>
      </c>
      <c r="AR234">
        <v>415.98633333333299</v>
      </c>
      <c r="AS234">
        <v>415.92386666666698</v>
      </c>
      <c r="AT234">
        <v>1.23902</v>
      </c>
      <c r="AU234">
        <v>409.99560000000002</v>
      </c>
      <c r="AV234">
        <v>14.2532333333333</v>
      </c>
      <c r="AW234">
        <v>1.5517926666666699</v>
      </c>
      <c r="AX234">
        <v>1.4276866666666701</v>
      </c>
      <c r="AY234">
        <v>13.488246666666701</v>
      </c>
      <c r="AZ234">
        <v>12.214926666666701</v>
      </c>
      <c r="BA234">
        <v>799.99853333333294</v>
      </c>
      <c r="BB234">
        <v>0.90001593333333296</v>
      </c>
      <c r="BC234">
        <v>0</v>
      </c>
      <c r="BD234">
        <v>9.9984080000000003E-2</v>
      </c>
      <c r="BE234">
        <v>0</v>
      </c>
      <c r="BF234">
        <v>25</v>
      </c>
      <c r="BG234">
        <v>13191.053333333301</v>
      </c>
      <c r="BH234">
        <v>1769198352</v>
      </c>
      <c r="BI234" t="s">
        <v>707</v>
      </c>
      <c r="BJ234">
        <v>1769198330</v>
      </c>
      <c r="BK234">
        <v>1769198352</v>
      </c>
      <c r="BL234">
        <v>8</v>
      </c>
      <c r="BM234">
        <v>-1.4999999999999999E-2</v>
      </c>
      <c r="BN234">
        <v>6.0000000000000001E-3</v>
      </c>
      <c r="BO234">
        <v>-0.82</v>
      </c>
      <c r="BP234">
        <v>0.1</v>
      </c>
      <c r="BQ234">
        <v>410</v>
      </c>
      <c r="BR234">
        <v>15</v>
      </c>
      <c r="BS234">
        <v>0.24</v>
      </c>
      <c r="BT234">
        <v>7.0000000000000007E-2</v>
      </c>
      <c r="BU234">
        <v>-0.44692530000000003</v>
      </c>
      <c r="BV234">
        <v>-0.209297684210527</v>
      </c>
      <c r="BW234">
        <v>3.0554419852289801E-2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1.2441374999999999</v>
      </c>
      <c r="CD234">
        <v>-0.109197744360903</v>
      </c>
      <c r="CE234">
        <v>1.23380743533989E-2</v>
      </c>
      <c r="CF234">
        <v>0</v>
      </c>
      <c r="CG234">
        <v>1</v>
      </c>
      <c r="CH234">
        <v>2</v>
      </c>
      <c r="CI234" t="s">
        <v>297</v>
      </c>
      <c r="CJ234">
        <v>3.5325099999999998</v>
      </c>
      <c r="CK234">
        <v>2.7023999999999999</v>
      </c>
      <c r="CL234">
        <v>9.7890199999999997E-2</v>
      </c>
      <c r="CM234">
        <v>9.6618300000000004E-2</v>
      </c>
      <c r="CN234">
        <v>8.7356500000000004E-2</v>
      </c>
      <c r="CO234">
        <v>8.1354200000000002E-2</v>
      </c>
      <c r="CP234">
        <v>31627.7</v>
      </c>
      <c r="CQ234">
        <v>27821.3</v>
      </c>
      <c r="CR234">
        <v>32449.7</v>
      </c>
      <c r="CS234">
        <v>30724.5</v>
      </c>
      <c r="CT234">
        <v>40107.199999999997</v>
      </c>
      <c r="CU234">
        <v>39697.5</v>
      </c>
      <c r="CV234">
        <v>47397.3</v>
      </c>
      <c r="CW234">
        <v>46863.1</v>
      </c>
      <c r="CX234">
        <v>2.6209600000000002</v>
      </c>
      <c r="CY234">
        <v>2.1200600000000001</v>
      </c>
      <c r="CZ234">
        <v>0</v>
      </c>
      <c r="DA234">
        <v>0</v>
      </c>
      <c r="DB234">
        <v>999.9</v>
      </c>
      <c r="DC234">
        <v>999.9</v>
      </c>
      <c r="DD234">
        <v>48.314999999999998</v>
      </c>
      <c r="DE234">
        <v>28.379000000000001</v>
      </c>
      <c r="DF234">
        <v>18.713200000000001</v>
      </c>
      <c r="DG234">
        <v>30.119800000000001</v>
      </c>
      <c r="DH234">
        <v>16.450299999999999</v>
      </c>
      <c r="DI234">
        <v>2</v>
      </c>
      <c r="DJ234">
        <v>-0.10526199999999999</v>
      </c>
      <c r="DK234">
        <v>3.1189300000000002</v>
      </c>
      <c r="DL234">
        <v>20.176500000000001</v>
      </c>
      <c r="DM234">
        <v>5.2510700000000003</v>
      </c>
      <c r="DN234">
        <v>12.033899999999999</v>
      </c>
      <c r="DO234">
        <v>4.9674800000000001</v>
      </c>
      <c r="DP234">
        <v>3.2909999999999999</v>
      </c>
      <c r="DQ234">
        <v>537.20000000000005</v>
      </c>
      <c r="DR234">
        <v>9999</v>
      </c>
      <c r="DS234">
        <v>9999</v>
      </c>
      <c r="DT234">
        <v>9999</v>
      </c>
      <c r="DU234">
        <v>1.87117</v>
      </c>
      <c r="DV234">
        <v>1.87618</v>
      </c>
      <c r="DW234">
        <v>1.8763700000000001</v>
      </c>
      <c r="DX234">
        <v>1.8828199999999999</v>
      </c>
      <c r="DY234">
        <v>1.8756200000000001</v>
      </c>
      <c r="DZ234">
        <v>1.87469</v>
      </c>
      <c r="EA234">
        <v>1.8708800000000001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-0.82</v>
      </c>
      <c r="EQ234">
        <v>0.1003</v>
      </c>
      <c r="ER234">
        <v>-0.82039999999994995</v>
      </c>
      <c r="ES234">
        <v>0</v>
      </c>
      <c r="ET234">
        <v>0</v>
      </c>
      <c r="EU234">
        <v>0</v>
      </c>
      <c r="EV234">
        <v>0.10032000000000001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6.6</v>
      </c>
      <c r="FE234">
        <v>6.2</v>
      </c>
      <c r="FF234">
        <v>1.2439</v>
      </c>
      <c r="FG234">
        <v>2.5964399999999999</v>
      </c>
      <c r="FH234">
        <v>2.19604</v>
      </c>
      <c r="FI234">
        <v>2.66235</v>
      </c>
      <c r="FJ234">
        <v>2.4462899999999999</v>
      </c>
      <c r="FK234">
        <v>2.2387700000000001</v>
      </c>
      <c r="FL234">
        <v>32.6648</v>
      </c>
      <c r="FM234">
        <v>24.122499999999999</v>
      </c>
      <c r="FN234">
        <v>19</v>
      </c>
      <c r="FO234">
        <v>865.73299999999995</v>
      </c>
      <c r="FP234">
        <v>570.14800000000002</v>
      </c>
      <c r="FQ234">
        <v>18.178999999999998</v>
      </c>
      <c r="FR234">
        <v>25.647400000000001</v>
      </c>
      <c r="FS234">
        <v>30.001200000000001</v>
      </c>
      <c r="FT234">
        <v>25.635400000000001</v>
      </c>
      <c r="FU234">
        <v>25.6372</v>
      </c>
      <c r="FV234">
        <v>24.964700000000001</v>
      </c>
      <c r="FW234">
        <v>27.060500000000001</v>
      </c>
      <c r="FX234">
        <v>1.5978300000000001</v>
      </c>
      <c r="FY234">
        <v>17.886399999999998</v>
      </c>
      <c r="FZ234">
        <v>410</v>
      </c>
      <c r="GA234">
        <v>14.1675</v>
      </c>
      <c r="GB234">
        <v>99.866699999999994</v>
      </c>
      <c r="GC234">
        <v>99.755499999999998</v>
      </c>
    </row>
    <row r="235" spans="1:185" x14ac:dyDescent="0.2">
      <c r="A235">
        <v>220</v>
      </c>
      <c r="B235">
        <v>1769198741</v>
      </c>
      <c r="C235">
        <v>4180</v>
      </c>
      <c r="D235" t="s">
        <v>740</v>
      </c>
      <c r="E235" t="s">
        <v>741</v>
      </c>
      <c r="F235">
        <v>15</v>
      </c>
      <c r="G235">
        <v>1769198732.9333301</v>
      </c>
      <c r="H235">
        <f t="shared" si="39"/>
        <v>9.8943217686701381E-4</v>
      </c>
      <c r="I235">
        <v>0</v>
      </c>
      <c r="J235">
        <f t="shared" si="51"/>
        <v>-7.2792126148545414E-4</v>
      </c>
      <c r="K235">
        <f t="shared" si="40"/>
        <v>-2.7125125354257547E-2</v>
      </c>
      <c r="L235">
        <f t="shared" si="41"/>
        <v>70.031738501815383</v>
      </c>
      <c r="M235">
        <f t="shared" si="42"/>
        <v>1.5452946920559714</v>
      </c>
      <c r="N235">
        <f t="shared" si="43"/>
        <v>2.206563374142017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26287.312446088148</v>
      </c>
      <c r="T235">
        <f t="shared" si="47"/>
        <v>799.99833333333299</v>
      </c>
      <c r="U235">
        <f t="shared" si="48"/>
        <v>674.39820268081712</v>
      </c>
      <c r="V235">
        <f t="shared" si="49"/>
        <v>0.84299950960000014</v>
      </c>
      <c r="W235">
        <f t="shared" si="50"/>
        <v>0.15869861809600005</v>
      </c>
      <c r="X235">
        <v>1</v>
      </c>
      <c r="Y235">
        <v>1769198732.9333301</v>
      </c>
      <c r="Z235">
        <v>409.537933333333</v>
      </c>
      <c r="AA235">
        <v>410.010533333333</v>
      </c>
      <c r="AB235">
        <v>15.4171866666667</v>
      </c>
      <c r="AC235">
        <v>14.199479999999999</v>
      </c>
      <c r="AD235">
        <v>410.35840000000002</v>
      </c>
      <c r="AE235">
        <v>15.316879999999999</v>
      </c>
      <c r="AF235">
        <v>800.01033333333305</v>
      </c>
      <c r="AG235">
        <v>100.16759999999999</v>
      </c>
      <c r="AH235">
        <v>6.4350580000000004E-2</v>
      </c>
      <c r="AI235">
        <v>19.0100466666667</v>
      </c>
      <c r="AJ235">
        <v>999.9</v>
      </c>
      <c r="AK235">
        <v>999.9</v>
      </c>
      <c r="AL235">
        <v>0</v>
      </c>
      <c r="AM235">
        <v>0</v>
      </c>
      <c r="AN235">
        <v>5003.6333333333296</v>
      </c>
      <c r="AO235">
        <v>0</v>
      </c>
      <c r="AP235">
        <v>1.63733</v>
      </c>
      <c r="AQ235">
        <v>-0.47248326666666701</v>
      </c>
      <c r="AR235">
        <v>415.95080000000002</v>
      </c>
      <c r="AS235">
        <v>415.916333333333</v>
      </c>
      <c r="AT235">
        <v>1.2177053333333301</v>
      </c>
      <c r="AU235">
        <v>410.010533333333</v>
      </c>
      <c r="AV235">
        <v>14.199479999999999</v>
      </c>
      <c r="AW235">
        <v>1.5443026666666699</v>
      </c>
      <c r="AX235">
        <v>1.4223286666666699</v>
      </c>
      <c r="AY235">
        <v>13.413966666666701</v>
      </c>
      <c r="AZ235">
        <v>12.1577533333333</v>
      </c>
      <c r="BA235">
        <v>799.99833333333299</v>
      </c>
      <c r="BB235">
        <v>0.90001866666666697</v>
      </c>
      <c r="BC235">
        <v>0</v>
      </c>
      <c r="BD235">
        <v>9.9981413333333297E-2</v>
      </c>
      <c r="BE235">
        <v>0</v>
      </c>
      <c r="BF235">
        <v>25</v>
      </c>
      <c r="BG235">
        <v>13191.06</v>
      </c>
      <c r="BH235">
        <v>1769198352</v>
      </c>
      <c r="BI235" t="s">
        <v>707</v>
      </c>
      <c r="BJ235">
        <v>1769198330</v>
      </c>
      <c r="BK235">
        <v>1769198352</v>
      </c>
      <c r="BL235">
        <v>8</v>
      </c>
      <c r="BM235">
        <v>-1.4999999999999999E-2</v>
      </c>
      <c r="BN235">
        <v>6.0000000000000001E-3</v>
      </c>
      <c r="BO235">
        <v>-0.82</v>
      </c>
      <c r="BP235">
        <v>0.1</v>
      </c>
      <c r="BQ235">
        <v>410</v>
      </c>
      <c r="BR235">
        <v>15</v>
      </c>
      <c r="BS235">
        <v>0.24</v>
      </c>
      <c r="BT235">
        <v>7.0000000000000007E-2</v>
      </c>
      <c r="BU235">
        <v>-0.476652523809524</v>
      </c>
      <c r="BV235">
        <v>0.10877322077922</v>
      </c>
      <c r="BW235">
        <v>1.64034405032807E-2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1.2215166666666699</v>
      </c>
      <c r="CD235">
        <v>-4.5130909090905398E-2</v>
      </c>
      <c r="CE235">
        <v>9.3889465575386893E-3</v>
      </c>
      <c r="CF235">
        <v>1</v>
      </c>
      <c r="CG235">
        <v>2</v>
      </c>
      <c r="CH235">
        <v>2</v>
      </c>
      <c r="CI235" t="s">
        <v>304</v>
      </c>
      <c r="CJ235">
        <v>3.5325700000000002</v>
      </c>
      <c r="CK235">
        <v>2.7019700000000002</v>
      </c>
      <c r="CL235">
        <v>9.7897899999999996E-2</v>
      </c>
      <c r="CM235">
        <v>9.6621100000000001E-2</v>
      </c>
      <c r="CN235">
        <v>8.6988999999999997E-2</v>
      </c>
      <c r="CO235">
        <v>8.1047599999999997E-2</v>
      </c>
      <c r="CP235">
        <v>31626.6</v>
      </c>
      <c r="CQ235">
        <v>27820.9</v>
      </c>
      <c r="CR235">
        <v>32448.9</v>
      </c>
      <c r="CS235">
        <v>30724.2</v>
      </c>
      <c r="CT235">
        <v>40122.9</v>
      </c>
      <c r="CU235">
        <v>39710.800000000003</v>
      </c>
      <c r="CV235">
        <v>47396.1</v>
      </c>
      <c r="CW235">
        <v>46862.7</v>
      </c>
      <c r="CX235">
        <v>2.6207199999999999</v>
      </c>
      <c r="CY235">
        <v>2.1197400000000002</v>
      </c>
      <c r="CZ235">
        <v>0</v>
      </c>
      <c r="DA235">
        <v>0</v>
      </c>
      <c r="DB235">
        <v>999.9</v>
      </c>
      <c r="DC235">
        <v>999.9</v>
      </c>
      <c r="DD235">
        <v>48.296999999999997</v>
      </c>
      <c r="DE235">
        <v>28.379000000000001</v>
      </c>
      <c r="DF235">
        <v>18.703900000000001</v>
      </c>
      <c r="DG235">
        <v>30.029800000000002</v>
      </c>
      <c r="DH235">
        <v>16.406199999999998</v>
      </c>
      <c r="DI235">
        <v>2</v>
      </c>
      <c r="DJ235">
        <v>-0.103892</v>
      </c>
      <c r="DK235">
        <v>2.6554500000000001</v>
      </c>
      <c r="DL235">
        <v>20.188600000000001</v>
      </c>
      <c r="DM235">
        <v>5.25047</v>
      </c>
      <c r="DN235">
        <v>12.033899999999999</v>
      </c>
      <c r="DO235">
        <v>4.9671599999999998</v>
      </c>
      <c r="DP235">
        <v>3.2909999999999999</v>
      </c>
      <c r="DQ235">
        <v>537.20000000000005</v>
      </c>
      <c r="DR235">
        <v>9999</v>
      </c>
      <c r="DS235">
        <v>9999</v>
      </c>
      <c r="DT235">
        <v>9999</v>
      </c>
      <c r="DU235">
        <v>1.8711599999999999</v>
      </c>
      <c r="DV235">
        <v>1.8762000000000001</v>
      </c>
      <c r="DW235">
        <v>1.87636</v>
      </c>
      <c r="DX235">
        <v>1.88286</v>
      </c>
      <c r="DY235">
        <v>1.87561</v>
      </c>
      <c r="DZ235">
        <v>1.87469</v>
      </c>
      <c r="EA235">
        <v>1.8708800000000001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-0.82</v>
      </c>
      <c r="EQ235">
        <v>0.1003</v>
      </c>
      <c r="ER235">
        <v>-0.82039999999994995</v>
      </c>
      <c r="ES235">
        <v>0</v>
      </c>
      <c r="ET235">
        <v>0</v>
      </c>
      <c r="EU235">
        <v>0</v>
      </c>
      <c r="EV235">
        <v>0.10032000000000001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6.8</v>
      </c>
      <c r="FE235">
        <v>6.5</v>
      </c>
      <c r="FF235">
        <v>1.2439</v>
      </c>
      <c r="FG235">
        <v>2.6013199999999999</v>
      </c>
      <c r="FH235">
        <v>2.19604</v>
      </c>
      <c r="FI235">
        <v>2.66113</v>
      </c>
      <c r="FJ235">
        <v>2.4462899999999999</v>
      </c>
      <c r="FK235">
        <v>2.2741699999999998</v>
      </c>
      <c r="FL235">
        <v>32.6648</v>
      </c>
      <c r="FM235">
        <v>24.1313</v>
      </c>
      <c r="FN235">
        <v>19</v>
      </c>
      <c r="FO235">
        <v>865.54399999999998</v>
      </c>
      <c r="FP235">
        <v>569.91399999999999</v>
      </c>
      <c r="FQ235">
        <v>17.8215</v>
      </c>
      <c r="FR235">
        <v>25.647400000000001</v>
      </c>
      <c r="FS235">
        <v>29.999700000000001</v>
      </c>
      <c r="FT235">
        <v>25.637599999999999</v>
      </c>
      <c r="FU235">
        <v>25.638100000000001</v>
      </c>
      <c r="FV235">
        <v>24.964300000000001</v>
      </c>
      <c r="FW235">
        <v>27.349</v>
      </c>
      <c r="FX235">
        <v>1.22584</v>
      </c>
      <c r="FY235">
        <v>17.851900000000001</v>
      </c>
      <c r="FZ235">
        <v>410</v>
      </c>
      <c r="GA235">
        <v>14.199299999999999</v>
      </c>
      <c r="GB235">
        <v>99.864099999999993</v>
      </c>
      <c r="GC235">
        <v>99.754499999999993</v>
      </c>
    </row>
    <row r="236" spans="1:185" x14ac:dyDescent="0.2">
      <c r="A236">
        <v>221</v>
      </c>
      <c r="B236">
        <v>1769198756</v>
      </c>
      <c r="C236">
        <v>4195</v>
      </c>
      <c r="D236" t="s">
        <v>742</v>
      </c>
      <c r="E236" t="s">
        <v>743</v>
      </c>
      <c r="F236">
        <v>15</v>
      </c>
      <c r="G236">
        <v>1769198747.9333301</v>
      </c>
      <c r="H236">
        <f t="shared" si="39"/>
        <v>9.6386492523413999E-4</v>
      </c>
      <c r="I236">
        <v>0</v>
      </c>
      <c r="J236">
        <f t="shared" si="51"/>
        <v>-5.7406666942316352E-4</v>
      </c>
      <c r="K236">
        <f t="shared" si="40"/>
        <v>-2.139191584818903E-2</v>
      </c>
      <c r="L236">
        <f t="shared" si="41"/>
        <v>69.782232684270923</v>
      </c>
      <c r="M236">
        <f t="shared" si="42"/>
        <v>1.5383357828300372</v>
      </c>
      <c r="N236">
        <f t="shared" si="43"/>
        <v>2.2044806015167553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26300.342958899368</v>
      </c>
      <c r="T236">
        <f t="shared" si="47"/>
        <v>799.99860000000001</v>
      </c>
      <c r="U236">
        <f t="shared" si="48"/>
        <v>674.39851868052722</v>
      </c>
      <c r="V236">
        <f t="shared" si="49"/>
        <v>0.84299962360000025</v>
      </c>
      <c r="W236">
        <f t="shared" si="50"/>
        <v>0.15869851333600005</v>
      </c>
      <c r="X236">
        <v>1</v>
      </c>
      <c r="Y236">
        <v>1769198747.9333301</v>
      </c>
      <c r="Z236">
        <v>409.527733333333</v>
      </c>
      <c r="AA236">
        <v>409.99439999999998</v>
      </c>
      <c r="AB236">
        <v>15.347580000000001</v>
      </c>
      <c r="AC236">
        <v>14.161253333333301</v>
      </c>
      <c r="AD236">
        <v>410.34813333333301</v>
      </c>
      <c r="AE236">
        <v>15.2472733333333</v>
      </c>
      <c r="AF236">
        <v>800.00893333333295</v>
      </c>
      <c r="AG236">
        <v>100.168866666667</v>
      </c>
      <c r="AH236">
        <v>6.4250399999999999E-2</v>
      </c>
      <c r="AI236">
        <v>18.994913333333301</v>
      </c>
      <c r="AJ236">
        <v>999.9</v>
      </c>
      <c r="AK236">
        <v>999.9</v>
      </c>
      <c r="AL236">
        <v>0</v>
      </c>
      <c r="AM236">
        <v>0</v>
      </c>
      <c r="AN236">
        <v>5005.5</v>
      </c>
      <c r="AO236">
        <v>0</v>
      </c>
      <c r="AP236">
        <v>1.63733</v>
      </c>
      <c r="AQ236">
        <v>-0.46671953333333299</v>
      </c>
      <c r="AR236">
        <v>415.91093333333299</v>
      </c>
      <c r="AS236">
        <v>415.88380000000001</v>
      </c>
      <c r="AT236">
        <v>1.1863360000000001</v>
      </c>
      <c r="AU236">
        <v>409.99439999999998</v>
      </c>
      <c r="AV236">
        <v>14.161253333333301</v>
      </c>
      <c r="AW236">
        <v>1.5373520000000001</v>
      </c>
      <c r="AX236">
        <v>1.4185173333333301</v>
      </c>
      <c r="AY236">
        <v>13.344799999999999</v>
      </c>
      <c r="AZ236">
        <v>12.117053333333301</v>
      </c>
      <c r="BA236">
        <v>799.99860000000001</v>
      </c>
      <c r="BB236">
        <v>0.90002066666666702</v>
      </c>
      <c r="BC236">
        <v>0</v>
      </c>
      <c r="BD236">
        <v>9.99796133333333E-2</v>
      </c>
      <c r="BE236">
        <v>0</v>
      </c>
      <c r="BF236">
        <v>25</v>
      </c>
      <c r="BG236">
        <v>13191.08</v>
      </c>
      <c r="BH236">
        <v>1769198352</v>
      </c>
      <c r="BI236" t="s">
        <v>707</v>
      </c>
      <c r="BJ236">
        <v>1769198330</v>
      </c>
      <c r="BK236">
        <v>1769198352</v>
      </c>
      <c r="BL236">
        <v>8</v>
      </c>
      <c r="BM236">
        <v>-1.4999999999999999E-2</v>
      </c>
      <c r="BN236">
        <v>6.0000000000000001E-3</v>
      </c>
      <c r="BO236">
        <v>-0.82</v>
      </c>
      <c r="BP236">
        <v>0.1</v>
      </c>
      <c r="BQ236">
        <v>410</v>
      </c>
      <c r="BR236">
        <v>15</v>
      </c>
      <c r="BS236">
        <v>0.24</v>
      </c>
      <c r="BT236">
        <v>7.0000000000000007E-2</v>
      </c>
      <c r="BU236">
        <v>-0.4638275</v>
      </c>
      <c r="BV236">
        <v>-4.1389624060149899E-2</v>
      </c>
      <c r="BW236">
        <v>1.6061946493186902E-2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1.193973</v>
      </c>
      <c r="CD236">
        <v>-0.16888962406015001</v>
      </c>
      <c r="CE236">
        <v>1.6530532689541501E-2</v>
      </c>
      <c r="CF236">
        <v>0</v>
      </c>
      <c r="CG236">
        <v>1</v>
      </c>
      <c r="CH236">
        <v>2</v>
      </c>
      <c r="CI236" t="s">
        <v>297</v>
      </c>
      <c r="CJ236">
        <v>3.5325299999999999</v>
      </c>
      <c r="CK236">
        <v>2.7020200000000001</v>
      </c>
      <c r="CL236">
        <v>9.7893099999999997E-2</v>
      </c>
      <c r="CM236">
        <v>9.66201E-2</v>
      </c>
      <c r="CN236">
        <v>8.6822899999999995E-2</v>
      </c>
      <c r="CO236">
        <v>8.1013500000000002E-2</v>
      </c>
      <c r="CP236">
        <v>31627.599999999999</v>
      </c>
      <c r="CQ236">
        <v>27821.3</v>
      </c>
      <c r="CR236">
        <v>32449.7</v>
      </c>
      <c r="CS236">
        <v>30724.6</v>
      </c>
      <c r="CT236">
        <v>40131.599999999999</v>
      </c>
      <c r="CU236">
        <v>39712.9</v>
      </c>
      <c r="CV236">
        <v>47397.599999999999</v>
      </c>
      <c r="CW236">
        <v>46863.5</v>
      </c>
      <c r="CX236">
        <v>2.6206399999999999</v>
      </c>
      <c r="CY236">
        <v>2.1198199999999998</v>
      </c>
      <c r="CZ236">
        <v>0</v>
      </c>
      <c r="DA236">
        <v>0</v>
      </c>
      <c r="DB236">
        <v>999.9</v>
      </c>
      <c r="DC236">
        <v>999.9</v>
      </c>
      <c r="DD236">
        <v>48.296999999999997</v>
      </c>
      <c r="DE236">
        <v>28.388999999999999</v>
      </c>
      <c r="DF236">
        <v>18.714300000000001</v>
      </c>
      <c r="DG236">
        <v>30.1798</v>
      </c>
      <c r="DH236">
        <v>16.494399999999999</v>
      </c>
      <c r="DI236">
        <v>2</v>
      </c>
      <c r="DJ236">
        <v>-0.10517899999999999</v>
      </c>
      <c r="DK236">
        <v>2.4940699999999998</v>
      </c>
      <c r="DL236">
        <v>20.1922</v>
      </c>
      <c r="DM236">
        <v>5.2515499999999999</v>
      </c>
      <c r="DN236">
        <v>12.033899999999999</v>
      </c>
      <c r="DO236">
        <v>4.9673999999999996</v>
      </c>
      <c r="DP236">
        <v>3.2909999999999999</v>
      </c>
      <c r="DQ236">
        <v>537.20000000000005</v>
      </c>
      <c r="DR236">
        <v>9999</v>
      </c>
      <c r="DS236">
        <v>9999</v>
      </c>
      <c r="DT236">
        <v>9999</v>
      </c>
      <c r="DU236">
        <v>1.87117</v>
      </c>
      <c r="DV236">
        <v>1.8762000000000001</v>
      </c>
      <c r="DW236">
        <v>1.8763700000000001</v>
      </c>
      <c r="DX236">
        <v>1.88283</v>
      </c>
      <c r="DY236">
        <v>1.8756299999999999</v>
      </c>
      <c r="DZ236">
        <v>1.87469</v>
      </c>
      <c r="EA236">
        <v>1.8708800000000001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-0.82</v>
      </c>
      <c r="EQ236">
        <v>0.1003</v>
      </c>
      <c r="ER236">
        <v>-0.82039999999994995</v>
      </c>
      <c r="ES236">
        <v>0</v>
      </c>
      <c r="ET236">
        <v>0</v>
      </c>
      <c r="EU236">
        <v>0</v>
      </c>
      <c r="EV236">
        <v>0.10032000000000001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7.1</v>
      </c>
      <c r="FE236">
        <v>6.7</v>
      </c>
      <c r="FF236">
        <v>1.2439</v>
      </c>
      <c r="FG236">
        <v>2.6025399999999999</v>
      </c>
      <c r="FH236">
        <v>2.19604</v>
      </c>
      <c r="FI236">
        <v>2.66235</v>
      </c>
      <c r="FJ236">
        <v>2.4462899999999999</v>
      </c>
      <c r="FK236">
        <v>2.3132299999999999</v>
      </c>
      <c r="FL236">
        <v>32.6648</v>
      </c>
      <c r="FM236">
        <v>24.14</v>
      </c>
      <c r="FN236">
        <v>19</v>
      </c>
      <c r="FO236">
        <v>865.49</v>
      </c>
      <c r="FP236">
        <v>569.99900000000002</v>
      </c>
      <c r="FQ236">
        <v>17.852799999999998</v>
      </c>
      <c r="FR236">
        <v>25.6495</v>
      </c>
      <c r="FS236">
        <v>29.9998</v>
      </c>
      <c r="FT236">
        <v>25.6389</v>
      </c>
      <c r="FU236">
        <v>25.6402</v>
      </c>
      <c r="FV236">
        <v>24.964200000000002</v>
      </c>
      <c r="FW236">
        <v>27.349</v>
      </c>
      <c r="FX236">
        <v>1.22584</v>
      </c>
      <c r="FY236">
        <v>17.861699999999999</v>
      </c>
      <c r="FZ236">
        <v>410</v>
      </c>
      <c r="GA236">
        <v>14.199299999999999</v>
      </c>
      <c r="GB236">
        <v>99.867000000000004</v>
      </c>
      <c r="GC236">
        <v>99.756100000000004</v>
      </c>
    </row>
    <row r="237" spans="1:185" x14ac:dyDescent="0.2">
      <c r="A237">
        <v>222</v>
      </c>
      <c r="B237">
        <v>1769198771</v>
      </c>
      <c r="C237">
        <v>4210</v>
      </c>
      <c r="D237" t="s">
        <v>744</v>
      </c>
      <c r="E237" t="s">
        <v>745</v>
      </c>
      <c r="F237">
        <v>15</v>
      </c>
      <c r="G237">
        <v>1769198762.9333301</v>
      </c>
      <c r="H237">
        <f t="shared" si="39"/>
        <v>9.4568311359205385E-4</v>
      </c>
      <c r="I237">
        <v>0</v>
      </c>
      <c r="J237">
        <f t="shared" si="51"/>
        <v>-1.3680955697004528E-4</v>
      </c>
      <c r="K237">
        <f t="shared" si="40"/>
        <v>-5.0980464218066714E-3</v>
      </c>
      <c r="L237">
        <f t="shared" si="41"/>
        <v>69.686629793851637</v>
      </c>
      <c r="M237">
        <f t="shared" si="42"/>
        <v>1.5354058750810942</v>
      </c>
      <c r="N237">
        <f t="shared" si="43"/>
        <v>2.2033005177939615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26209.357724970112</v>
      </c>
      <c r="T237">
        <f t="shared" si="47"/>
        <v>799.99959999999999</v>
      </c>
      <c r="U237">
        <f t="shared" si="48"/>
        <v>674.39933576016369</v>
      </c>
      <c r="V237">
        <f t="shared" si="49"/>
        <v>0.84299959120000023</v>
      </c>
      <c r="W237">
        <f t="shared" si="50"/>
        <v>0.15869866619200004</v>
      </c>
      <c r="X237">
        <v>1</v>
      </c>
      <c r="Y237">
        <v>1769198762.9333301</v>
      </c>
      <c r="Z237">
        <v>409.53006666666698</v>
      </c>
      <c r="AA237">
        <v>410.00779999999997</v>
      </c>
      <c r="AB237">
        <v>15.318153333333299</v>
      </c>
      <c r="AC237">
        <v>14.154159999999999</v>
      </c>
      <c r="AD237">
        <v>410.35046666666699</v>
      </c>
      <c r="AE237">
        <v>15.217833333333299</v>
      </c>
      <c r="AF237">
        <v>800.00199999999995</v>
      </c>
      <c r="AG237">
        <v>100.170266666667</v>
      </c>
      <c r="AH237">
        <v>6.4131153333333302E-2</v>
      </c>
      <c r="AI237">
        <v>18.986333333333299</v>
      </c>
      <c r="AJ237">
        <v>999.9</v>
      </c>
      <c r="AK237">
        <v>999.9</v>
      </c>
      <c r="AL237">
        <v>0</v>
      </c>
      <c r="AM237">
        <v>0</v>
      </c>
      <c r="AN237">
        <v>4990.3333333333303</v>
      </c>
      <c r="AO237">
        <v>0</v>
      </c>
      <c r="AP237">
        <v>1.63733</v>
      </c>
      <c r="AQ237">
        <v>-0.47770380000000001</v>
      </c>
      <c r="AR237">
        <v>415.900933333333</v>
      </c>
      <c r="AS237">
        <v>415.89440000000002</v>
      </c>
      <c r="AT237">
        <v>1.1640079999999999</v>
      </c>
      <c r="AU237">
        <v>410.00779999999997</v>
      </c>
      <c r="AV237">
        <v>14.154159999999999</v>
      </c>
      <c r="AW237">
        <v>1.53442266666667</v>
      </c>
      <c r="AX237">
        <v>1.417824</v>
      </c>
      <c r="AY237">
        <v>13.31556</v>
      </c>
      <c r="AZ237">
        <v>12.1096</v>
      </c>
      <c r="BA237">
        <v>799.99959999999999</v>
      </c>
      <c r="BB237">
        <v>0.90001826666666696</v>
      </c>
      <c r="BC237">
        <v>0</v>
      </c>
      <c r="BD237">
        <v>9.9981893333333294E-2</v>
      </c>
      <c r="BE237">
        <v>0</v>
      </c>
      <c r="BF237">
        <v>25</v>
      </c>
      <c r="BG237">
        <v>13191.086666666701</v>
      </c>
      <c r="BH237">
        <v>1769198352</v>
      </c>
      <c r="BI237" t="s">
        <v>707</v>
      </c>
      <c r="BJ237">
        <v>1769198330</v>
      </c>
      <c r="BK237">
        <v>1769198352</v>
      </c>
      <c r="BL237">
        <v>8</v>
      </c>
      <c r="BM237">
        <v>-1.4999999999999999E-2</v>
      </c>
      <c r="BN237">
        <v>6.0000000000000001E-3</v>
      </c>
      <c r="BO237">
        <v>-0.82</v>
      </c>
      <c r="BP237">
        <v>0.1</v>
      </c>
      <c r="BQ237">
        <v>410</v>
      </c>
      <c r="BR237">
        <v>15</v>
      </c>
      <c r="BS237">
        <v>0.24</v>
      </c>
      <c r="BT237">
        <v>7.0000000000000007E-2</v>
      </c>
      <c r="BU237">
        <v>-0.47294833333333303</v>
      </c>
      <c r="BV237">
        <v>-4.2958051948051898E-2</v>
      </c>
      <c r="BW237">
        <v>1.2283542731303001E-2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1.1675128571428599</v>
      </c>
      <c r="CD237">
        <v>-7.9228051948049993E-2</v>
      </c>
      <c r="CE237">
        <v>8.1816450452374505E-3</v>
      </c>
      <c r="CF237">
        <v>1</v>
      </c>
      <c r="CG237">
        <v>2</v>
      </c>
      <c r="CH237">
        <v>2</v>
      </c>
      <c r="CI237" t="s">
        <v>304</v>
      </c>
      <c r="CJ237">
        <v>3.5324900000000001</v>
      </c>
      <c r="CK237">
        <v>2.7019799999999998</v>
      </c>
      <c r="CL237">
        <v>9.7891900000000004E-2</v>
      </c>
      <c r="CM237">
        <v>9.66167E-2</v>
      </c>
      <c r="CN237">
        <v>8.6708199999999999E-2</v>
      </c>
      <c r="CO237">
        <v>8.0988199999999996E-2</v>
      </c>
      <c r="CP237">
        <v>31626.9</v>
      </c>
      <c r="CQ237">
        <v>27821.4</v>
      </c>
      <c r="CR237">
        <v>32449</v>
      </c>
      <c r="CS237">
        <v>30724.6</v>
      </c>
      <c r="CT237">
        <v>40136.1</v>
      </c>
      <c r="CU237">
        <v>39714.1</v>
      </c>
      <c r="CV237">
        <v>47396.7</v>
      </c>
      <c r="CW237">
        <v>46863.5</v>
      </c>
      <c r="CX237">
        <v>2.6206399999999999</v>
      </c>
      <c r="CY237">
        <v>2.1196799999999998</v>
      </c>
      <c r="CZ237">
        <v>0</v>
      </c>
      <c r="DA237">
        <v>0</v>
      </c>
      <c r="DB237">
        <v>999.9</v>
      </c>
      <c r="DC237">
        <v>999.9</v>
      </c>
      <c r="DD237">
        <v>48.271999999999998</v>
      </c>
      <c r="DE237">
        <v>28.388999999999999</v>
      </c>
      <c r="DF237">
        <v>18.706</v>
      </c>
      <c r="DG237">
        <v>30.509799999999998</v>
      </c>
      <c r="DH237">
        <v>16.534500000000001</v>
      </c>
      <c r="DI237">
        <v>2</v>
      </c>
      <c r="DJ237">
        <v>-0.10536</v>
      </c>
      <c r="DK237">
        <v>2.4489299999999998</v>
      </c>
      <c r="DL237">
        <v>20.192799999999998</v>
      </c>
      <c r="DM237">
        <v>5.2513100000000001</v>
      </c>
      <c r="DN237">
        <v>12.033899999999999</v>
      </c>
      <c r="DO237">
        <v>4.96732</v>
      </c>
      <c r="DP237">
        <v>3.2909999999999999</v>
      </c>
      <c r="DQ237">
        <v>537.20000000000005</v>
      </c>
      <c r="DR237">
        <v>9999</v>
      </c>
      <c r="DS237">
        <v>9999</v>
      </c>
      <c r="DT237">
        <v>9999</v>
      </c>
      <c r="DU237">
        <v>1.8711800000000001</v>
      </c>
      <c r="DV237">
        <v>1.8762000000000001</v>
      </c>
      <c r="DW237">
        <v>1.8763700000000001</v>
      </c>
      <c r="DX237">
        <v>1.8828499999999999</v>
      </c>
      <c r="DY237">
        <v>1.87561</v>
      </c>
      <c r="DZ237">
        <v>1.8747</v>
      </c>
      <c r="EA237">
        <v>1.87087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-0.82</v>
      </c>
      <c r="EQ237">
        <v>0.1004</v>
      </c>
      <c r="ER237">
        <v>-0.82039999999994995</v>
      </c>
      <c r="ES237">
        <v>0</v>
      </c>
      <c r="ET237">
        <v>0</v>
      </c>
      <c r="EU237">
        <v>0</v>
      </c>
      <c r="EV237">
        <v>0.10032000000000001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7.3</v>
      </c>
      <c r="FE237">
        <v>7</v>
      </c>
      <c r="FF237">
        <v>1.2439</v>
      </c>
      <c r="FG237">
        <v>2.5976599999999999</v>
      </c>
      <c r="FH237">
        <v>2.19604</v>
      </c>
      <c r="FI237">
        <v>2.66113</v>
      </c>
      <c r="FJ237">
        <v>2.4462899999999999</v>
      </c>
      <c r="FK237">
        <v>2.2875999999999999</v>
      </c>
      <c r="FL237">
        <v>32.686900000000001</v>
      </c>
      <c r="FM237">
        <v>24.14</v>
      </c>
      <c r="FN237">
        <v>19</v>
      </c>
      <c r="FO237">
        <v>865.50400000000002</v>
      </c>
      <c r="FP237">
        <v>569.91700000000003</v>
      </c>
      <c r="FQ237">
        <v>17.881699999999999</v>
      </c>
      <c r="FR237">
        <v>25.650400000000001</v>
      </c>
      <c r="FS237">
        <v>30.0001</v>
      </c>
      <c r="FT237">
        <v>25.639700000000001</v>
      </c>
      <c r="FU237">
        <v>25.642399999999999</v>
      </c>
      <c r="FV237">
        <v>24.963899999999999</v>
      </c>
      <c r="FW237">
        <v>27.349</v>
      </c>
      <c r="FX237">
        <v>0.85519599999999996</v>
      </c>
      <c r="FY237">
        <v>17.889199999999999</v>
      </c>
      <c r="FZ237">
        <v>410</v>
      </c>
      <c r="GA237">
        <v>14.205399999999999</v>
      </c>
      <c r="GB237">
        <v>99.864999999999995</v>
      </c>
      <c r="GC237">
        <v>99.756100000000004</v>
      </c>
    </row>
    <row r="238" spans="1:185" x14ac:dyDescent="0.2">
      <c r="A238">
        <v>223</v>
      </c>
      <c r="B238">
        <v>1769198786</v>
      </c>
      <c r="C238">
        <v>4225</v>
      </c>
      <c r="D238" t="s">
        <v>746</v>
      </c>
      <c r="E238" t="s">
        <v>747</v>
      </c>
      <c r="F238">
        <v>15</v>
      </c>
      <c r="G238">
        <v>1769198777.9333301</v>
      </c>
      <c r="H238">
        <f t="shared" si="39"/>
        <v>9.3625022625162856E-4</v>
      </c>
      <c r="I238">
        <v>0</v>
      </c>
      <c r="J238">
        <f t="shared" si="51"/>
        <v>-1.7461141725451996E-5</v>
      </c>
      <c r="K238">
        <f t="shared" si="40"/>
        <v>-6.5066880608048684E-4</v>
      </c>
      <c r="L238">
        <f t="shared" si="41"/>
        <v>69.607304641674972</v>
      </c>
      <c r="M238">
        <f t="shared" si="42"/>
        <v>1.5335904665489777</v>
      </c>
      <c r="N238">
        <f t="shared" si="43"/>
        <v>2.2032033483319124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26251.143521027767</v>
      </c>
      <c r="T238">
        <f t="shared" si="47"/>
        <v>799.99900000000002</v>
      </c>
      <c r="U238">
        <f t="shared" si="48"/>
        <v>674.3988914003321</v>
      </c>
      <c r="V238">
        <f t="shared" si="49"/>
        <v>0.84299966800000015</v>
      </c>
      <c r="W238">
        <f t="shared" si="50"/>
        <v>0.15869917000000003</v>
      </c>
      <c r="X238">
        <v>1</v>
      </c>
      <c r="Y238">
        <v>1769198777.9333301</v>
      </c>
      <c r="Z238">
        <v>409.534066666667</v>
      </c>
      <c r="AA238">
        <v>410.01253333333301</v>
      </c>
      <c r="AB238">
        <v>15.299906666666701</v>
      </c>
      <c r="AC238">
        <v>14.1475066666667</v>
      </c>
      <c r="AD238">
        <v>410.35466666666701</v>
      </c>
      <c r="AE238">
        <v>15.1996</v>
      </c>
      <c r="AF238">
        <v>800.00493333333304</v>
      </c>
      <c r="AG238">
        <v>100.171066666667</v>
      </c>
      <c r="AH238">
        <v>6.4215806666666694E-2</v>
      </c>
      <c r="AI238">
        <v>18.9856266666667</v>
      </c>
      <c r="AJ238">
        <v>999.9</v>
      </c>
      <c r="AK238">
        <v>999.9</v>
      </c>
      <c r="AL238">
        <v>0</v>
      </c>
      <c r="AM238">
        <v>0</v>
      </c>
      <c r="AN238">
        <v>4997.1666666666697</v>
      </c>
      <c r="AO238">
        <v>0</v>
      </c>
      <c r="AP238">
        <v>1.63733</v>
      </c>
      <c r="AQ238">
        <v>-0.47835693333333301</v>
      </c>
      <c r="AR238">
        <v>415.89733333333299</v>
      </c>
      <c r="AS238">
        <v>415.89633333333302</v>
      </c>
      <c r="AT238">
        <v>1.15239333333333</v>
      </c>
      <c r="AU238">
        <v>410.01253333333301</v>
      </c>
      <c r="AV238">
        <v>14.1475066666667</v>
      </c>
      <c r="AW238">
        <v>1.532608</v>
      </c>
      <c r="AX238">
        <v>1.41717266666667</v>
      </c>
      <c r="AY238">
        <v>13.297420000000001</v>
      </c>
      <c r="AZ238">
        <v>12.1026333333333</v>
      </c>
      <c r="BA238">
        <v>799.99900000000002</v>
      </c>
      <c r="BB238">
        <v>0.90001106666666697</v>
      </c>
      <c r="BC238">
        <v>0</v>
      </c>
      <c r="BD238">
        <v>9.9988933333333294E-2</v>
      </c>
      <c r="BE238">
        <v>0</v>
      </c>
      <c r="BF238">
        <v>25</v>
      </c>
      <c r="BG238">
        <v>13191.06</v>
      </c>
      <c r="BH238">
        <v>1769198352</v>
      </c>
      <c r="BI238" t="s">
        <v>707</v>
      </c>
      <c r="BJ238">
        <v>1769198330</v>
      </c>
      <c r="BK238">
        <v>1769198352</v>
      </c>
      <c r="BL238">
        <v>8</v>
      </c>
      <c r="BM238">
        <v>-1.4999999999999999E-2</v>
      </c>
      <c r="BN238">
        <v>6.0000000000000001E-3</v>
      </c>
      <c r="BO238">
        <v>-0.82</v>
      </c>
      <c r="BP238">
        <v>0.1</v>
      </c>
      <c r="BQ238">
        <v>410</v>
      </c>
      <c r="BR238">
        <v>15</v>
      </c>
      <c r="BS238">
        <v>0.24</v>
      </c>
      <c r="BT238">
        <v>7.0000000000000007E-2</v>
      </c>
      <c r="BU238">
        <v>-0.47713624999999998</v>
      </c>
      <c r="BV238">
        <v>1.2461999999999199E-2</v>
      </c>
      <c r="BW238">
        <v>1.3856531336792099E-2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1.153294</v>
      </c>
      <c r="CD238">
        <v>-3.1337142857141301E-2</v>
      </c>
      <c r="CE238">
        <v>3.3148052733154498E-3</v>
      </c>
      <c r="CF238">
        <v>1</v>
      </c>
      <c r="CG238">
        <v>2</v>
      </c>
      <c r="CH238">
        <v>2</v>
      </c>
      <c r="CI238" t="s">
        <v>304</v>
      </c>
      <c r="CJ238">
        <v>3.5325700000000002</v>
      </c>
      <c r="CK238">
        <v>2.70207</v>
      </c>
      <c r="CL238">
        <v>9.7894999999999996E-2</v>
      </c>
      <c r="CM238">
        <v>9.6621100000000001E-2</v>
      </c>
      <c r="CN238">
        <v>8.6646299999999996E-2</v>
      </c>
      <c r="CO238">
        <v>8.0980499999999997E-2</v>
      </c>
      <c r="CP238">
        <v>31626.400000000001</v>
      </c>
      <c r="CQ238">
        <v>27820.3</v>
      </c>
      <c r="CR238">
        <v>32448.5</v>
      </c>
      <c r="CS238">
        <v>30723.599999999999</v>
      </c>
      <c r="CT238">
        <v>40138.300000000003</v>
      </c>
      <c r="CU238">
        <v>39713</v>
      </c>
      <c r="CV238">
        <v>47395.9</v>
      </c>
      <c r="CW238">
        <v>46861.8</v>
      </c>
      <c r="CX238">
        <v>2.6205400000000001</v>
      </c>
      <c r="CY238">
        <v>2.1195200000000001</v>
      </c>
      <c r="CZ238">
        <v>0</v>
      </c>
      <c r="DA238">
        <v>0</v>
      </c>
      <c r="DB238">
        <v>999.9</v>
      </c>
      <c r="DC238">
        <v>999.9</v>
      </c>
      <c r="DD238">
        <v>48.247999999999998</v>
      </c>
      <c r="DE238">
        <v>28.388999999999999</v>
      </c>
      <c r="DF238">
        <v>18.6951</v>
      </c>
      <c r="DG238">
        <v>30.1798</v>
      </c>
      <c r="DH238">
        <v>16.458300000000001</v>
      </c>
      <c r="DI238">
        <v>2</v>
      </c>
      <c r="DJ238">
        <v>-0.105142</v>
      </c>
      <c r="DK238">
        <v>2.4243700000000001</v>
      </c>
      <c r="DL238">
        <v>20.193300000000001</v>
      </c>
      <c r="DM238">
        <v>5.2497600000000002</v>
      </c>
      <c r="DN238">
        <v>12.033899999999999</v>
      </c>
      <c r="DO238">
        <v>4.9671200000000004</v>
      </c>
      <c r="DP238">
        <v>3.2909999999999999</v>
      </c>
      <c r="DQ238">
        <v>537.20000000000005</v>
      </c>
      <c r="DR238">
        <v>9999</v>
      </c>
      <c r="DS238">
        <v>9999</v>
      </c>
      <c r="DT238">
        <v>9999</v>
      </c>
      <c r="DU238">
        <v>1.8710800000000001</v>
      </c>
      <c r="DV238">
        <v>1.87612</v>
      </c>
      <c r="DW238">
        <v>1.87635</v>
      </c>
      <c r="DX238">
        <v>1.8827799999999999</v>
      </c>
      <c r="DY238">
        <v>1.87561</v>
      </c>
      <c r="DZ238">
        <v>1.87469</v>
      </c>
      <c r="EA238">
        <v>1.87086</v>
      </c>
      <c r="EB238">
        <v>1.8746700000000001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-0.82099999999999995</v>
      </c>
      <c r="EQ238">
        <v>0.1003</v>
      </c>
      <c r="ER238">
        <v>-0.82039999999994995</v>
      </c>
      <c r="ES238">
        <v>0</v>
      </c>
      <c r="ET238">
        <v>0</v>
      </c>
      <c r="EU238">
        <v>0</v>
      </c>
      <c r="EV238">
        <v>0.10032000000000001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7.6</v>
      </c>
      <c r="FE238">
        <v>7.2</v>
      </c>
      <c r="FF238">
        <v>1.2439</v>
      </c>
      <c r="FG238">
        <v>2.6013199999999999</v>
      </c>
      <c r="FH238">
        <v>2.19604</v>
      </c>
      <c r="FI238">
        <v>2.66113</v>
      </c>
      <c r="FJ238">
        <v>2.4462899999999999</v>
      </c>
      <c r="FK238">
        <v>2.2790499999999998</v>
      </c>
      <c r="FL238">
        <v>32.6648</v>
      </c>
      <c r="FM238">
        <v>24.1313</v>
      </c>
      <c r="FN238">
        <v>19</v>
      </c>
      <c r="FO238">
        <v>865.44500000000005</v>
      </c>
      <c r="FP238">
        <v>569.79499999999996</v>
      </c>
      <c r="FQ238">
        <v>17.912600000000001</v>
      </c>
      <c r="FR238">
        <v>25.651700000000002</v>
      </c>
      <c r="FS238">
        <v>30.0002</v>
      </c>
      <c r="FT238">
        <v>25.6419</v>
      </c>
      <c r="FU238">
        <v>25.642399999999999</v>
      </c>
      <c r="FV238">
        <v>24.9617</v>
      </c>
      <c r="FW238">
        <v>27.0745</v>
      </c>
      <c r="FX238">
        <v>0.85519599999999996</v>
      </c>
      <c r="FY238">
        <v>17.9191</v>
      </c>
      <c r="FZ238">
        <v>410</v>
      </c>
      <c r="GA238">
        <v>14.225199999999999</v>
      </c>
      <c r="GB238">
        <v>99.863500000000002</v>
      </c>
      <c r="GC238">
        <v>99.752600000000001</v>
      </c>
    </row>
    <row r="239" spans="1:185" x14ac:dyDescent="0.2">
      <c r="A239">
        <v>224</v>
      </c>
      <c r="B239">
        <v>1769198801</v>
      </c>
      <c r="C239">
        <v>4240</v>
      </c>
      <c r="D239" t="s">
        <v>748</v>
      </c>
      <c r="E239" t="s">
        <v>749</v>
      </c>
      <c r="F239">
        <v>15</v>
      </c>
      <c r="G239">
        <v>1769198792.9333301</v>
      </c>
      <c r="H239">
        <f t="shared" si="39"/>
        <v>9.1343590845347313E-4</v>
      </c>
      <c r="I239">
        <v>0</v>
      </c>
      <c r="J239">
        <f t="shared" si="51"/>
        <v>-3.9896088647006137E-5</v>
      </c>
      <c r="K239">
        <f t="shared" si="40"/>
        <v>-1.4866805834002114E-3</v>
      </c>
      <c r="L239">
        <f t="shared" si="41"/>
        <v>69.561183760786221</v>
      </c>
      <c r="M239">
        <f t="shared" si="42"/>
        <v>1.5328147404128667</v>
      </c>
      <c r="N239">
        <f t="shared" si="43"/>
        <v>2.2035489586894603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26342.099309727553</v>
      </c>
      <c r="T239">
        <f t="shared" si="47"/>
        <v>799.99953333333303</v>
      </c>
      <c r="U239">
        <f t="shared" si="48"/>
        <v>674.39957684001661</v>
      </c>
      <c r="V239">
        <f t="shared" si="49"/>
        <v>0.84299996279999934</v>
      </c>
      <c r="W239">
        <f t="shared" si="50"/>
        <v>0.15870008888799989</v>
      </c>
      <c r="X239">
        <v>1</v>
      </c>
      <c r="Y239">
        <v>1769198792.9333301</v>
      </c>
      <c r="Z239">
        <v>409.52859999999998</v>
      </c>
      <c r="AA239">
        <v>409.99433333333297</v>
      </c>
      <c r="AB239">
        <v>15.292113333333299</v>
      </c>
      <c r="AC239">
        <v>14.1677933333333</v>
      </c>
      <c r="AD239">
        <v>410.34899999999999</v>
      </c>
      <c r="AE239">
        <v>15.191793333333299</v>
      </c>
      <c r="AF239">
        <v>800.01026666666701</v>
      </c>
      <c r="AG239">
        <v>100.17140000000001</v>
      </c>
      <c r="AH239">
        <v>6.4238266666666696E-2</v>
      </c>
      <c r="AI239">
        <v>18.988140000000001</v>
      </c>
      <c r="AJ239">
        <v>999.9</v>
      </c>
      <c r="AK239">
        <v>999.9</v>
      </c>
      <c r="AL239">
        <v>0</v>
      </c>
      <c r="AM239">
        <v>0</v>
      </c>
      <c r="AN239">
        <v>5012.1666666666697</v>
      </c>
      <c r="AO239">
        <v>0</v>
      </c>
      <c r="AP239">
        <v>1.63733</v>
      </c>
      <c r="AQ239">
        <v>-0.46571646666666699</v>
      </c>
      <c r="AR239">
        <v>415.88839999999999</v>
      </c>
      <c r="AS239">
        <v>415.88639999999998</v>
      </c>
      <c r="AT239">
        <v>1.1243193333333299</v>
      </c>
      <c r="AU239">
        <v>409.99433333333297</v>
      </c>
      <c r="AV239">
        <v>14.1677933333333</v>
      </c>
      <c r="AW239">
        <v>1.53183133333333</v>
      </c>
      <c r="AX239">
        <v>1.419206</v>
      </c>
      <c r="AY239">
        <v>13.289633333333301</v>
      </c>
      <c r="AZ239">
        <v>12.124413333333299</v>
      </c>
      <c r="BA239">
        <v>799.99953333333303</v>
      </c>
      <c r="BB239">
        <v>0.89999853333333302</v>
      </c>
      <c r="BC239">
        <v>0</v>
      </c>
      <c r="BD239">
        <v>0.100001373333333</v>
      </c>
      <c r="BE239">
        <v>0</v>
      </c>
      <c r="BF239">
        <v>25</v>
      </c>
      <c r="BG239">
        <v>13191.02</v>
      </c>
      <c r="BH239">
        <v>1769198352</v>
      </c>
      <c r="BI239" t="s">
        <v>707</v>
      </c>
      <c r="BJ239">
        <v>1769198330</v>
      </c>
      <c r="BK239">
        <v>1769198352</v>
      </c>
      <c r="BL239">
        <v>8</v>
      </c>
      <c r="BM239">
        <v>-1.4999999999999999E-2</v>
      </c>
      <c r="BN239">
        <v>6.0000000000000001E-3</v>
      </c>
      <c r="BO239">
        <v>-0.82</v>
      </c>
      <c r="BP239">
        <v>0.1</v>
      </c>
      <c r="BQ239">
        <v>410</v>
      </c>
      <c r="BR239">
        <v>15</v>
      </c>
      <c r="BS239">
        <v>0.24</v>
      </c>
      <c r="BT239">
        <v>7.0000000000000007E-2</v>
      </c>
      <c r="BU239">
        <v>-0.46532135000000002</v>
      </c>
      <c r="BV239">
        <v>8.8869924812019392E-3</v>
      </c>
      <c r="BW239">
        <v>8.71167209136685E-3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1.131302</v>
      </c>
      <c r="CD239">
        <v>-0.117166015037592</v>
      </c>
      <c r="CE239">
        <v>1.2938687568683299E-2</v>
      </c>
      <c r="CF239">
        <v>0</v>
      </c>
      <c r="CG239">
        <v>1</v>
      </c>
      <c r="CH239">
        <v>2</v>
      </c>
      <c r="CI239" t="s">
        <v>297</v>
      </c>
      <c r="CJ239">
        <v>3.5325799999999998</v>
      </c>
      <c r="CK239">
        <v>2.7020300000000002</v>
      </c>
      <c r="CL239">
        <v>9.7891099999999995E-2</v>
      </c>
      <c r="CM239">
        <v>9.6618800000000005E-2</v>
      </c>
      <c r="CN239">
        <v>8.6684700000000003E-2</v>
      </c>
      <c r="CO239">
        <v>8.1072900000000003E-2</v>
      </c>
      <c r="CP239">
        <v>31626.799999999999</v>
      </c>
      <c r="CQ239">
        <v>27820.1</v>
      </c>
      <c r="CR239">
        <v>32448.799999999999</v>
      </c>
      <c r="CS239">
        <v>30723.3</v>
      </c>
      <c r="CT239">
        <v>40136.800000000003</v>
      </c>
      <c r="CU239">
        <v>39708.5</v>
      </c>
      <c r="CV239">
        <v>47396.2</v>
      </c>
      <c r="CW239">
        <v>46861.4</v>
      </c>
      <c r="CX239">
        <v>2.6208200000000001</v>
      </c>
      <c r="CY239">
        <v>2.1194799999999998</v>
      </c>
      <c r="CZ239">
        <v>0</v>
      </c>
      <c r="DA239">
        <v>0</v>
      </c>
      <c r="DB239">
        <v>999.9</v>
      </c>
      <c r="DC239">
        <v>999.9</v>
      </c>
      <c r="DD239">
        <v>48.223999999999997</v>
      </c>
      <c r="DE239">
        <v>28.388999999999999</v>
      </c>
      <c r="DF239">
        <v>18.687200000000001</v>
      </c>
      <c r="DG239">
        <v>30.0898</v>
      </c>
      <c r="DH239">
        <v>16.446300000000001</v>
      </c>
      <c r="DI239">
        <v>2</v>
      </c>
      <c r="DJ239">
        <v>-0.105128</v>
      </c>
      <c r="DK239">
        <v>2.41255</v>
      </c>
      <c r="DL239">
        <v>20.1935</v>
      </c>
      <c r="DM239">
        <v>5.2503500000000001</v>
      </c>
      <c r="DN239">
        <v>12.033899999999999</v>
      </c>
      <c r="DO239">
        <v>4.9674800000000001</v>
      </c>
      <c r="DP239">
        <v>3.2909999999999999</v>
      </c>
      <c r="DQ239">
        <v>537.20000000000005</v>
      </c>
      <c r="DR239">
        <v>9999</v>
      </c>
      <c r="DS239">
        <v>9999</v>
      </c>
      <c r="DT239">
        <v>9999</v>
      </c>
      <c r="DU239">
        <v>1.8710899999999999</v>
      </c>
      <c r="DV239">
        <v>1.87615</v>
      </c>
      <c r="DW239">
        <v>1.87635</v>
      </c>
      <c r="DX239">
        <v>1.8828</v>
      </c>
      <c r="DY239">
        <v>1.87561</v>
      </c>
      <c r="DZ239">
        <v>1.87469</v>
      </c>
      <c r="EA239">
        <v>1.87086</v>
      </c>
      <c r="EB239">
        <v>1.8746799999999999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-0.82099999999999995</v>
      </c>
      <c r="EQ239">
        <v>0.1003</v>
      </c>
      <c r="ER239">
        <v>-0.82039999999994995</v>
      </c>
      <c r="ES239">
        <v>0</v>
      </c>
      <c r="ET239">
        <v>0</v>
      </c>
      <c r="EU239">
        <v>0</v>
      </c>
      <c r="EV239">
        <v>0.10032000000000001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7.8</v>
      </c>
      <c r="FE239">
        <v>7.5</v>
      </c>
      <c r="FF239">
        <v>1.2439</v>
      </c>
      <c r="FG239">
        <v>2.6037599999999999</v>
      </c>
      <c r="FH239">
        <v>2.19604</v>
      </c>
      <c r="FI239">
        <v>2.66113</v>
      </c>
      <c r="FJ239">
        <v>2.4462899999999999</v>
      </c>
      <c r="FK239">
        <v>2.3132299999999999</v>
      </c>
      <c r="FL239">
        <v>32.686900000000001</v>
      </c>
      <c r="FM239">
        <v>24.14</v>
      </c>
      <c r="FN239">
        <v>19</v>
      </c>
      <c r="FO239">
        <v>865.70600000000002</v>
      </c>
      <c r="FP239">
        <v>569.78800000000001</v>
      </c>
      <c r="FQ239">
        <v>17.9435</v>
      </c>
      <c r="FR239">
        <v>25.6538</v>
      </c>
      <c r="FS239">
        <v>30.0002</v>
      </c>
      <c r="FT239">
        <v>25.6419</v>
      </c>
      <c r="FU239">
        <v>25.644500000000001</v>
      </c>
      <c r="FV239">
        <v>24.9634</v>
      </c>
      <c r="FW239">
        <v>27.0745</v>
      </c>
      <c r="FX239">
        <v>0.85519599999999996</v>
      </c>
      <c r="FY239">
        <v>17.946100000000001</v>
      </c>
      <c r="FZ239">
        <v>410</v>
      </c>
      <c r="GA239">
        <v>14.223699999999999</v>
      </c>
      <c r="GB239">
        <v>99.864199999999997</v>
      </c>
      <c r="GC239">
        <v>99.751599999999996</v>
      </c>
    </row>
    <row r="240" spans="1:185" x14ac:dyDescent="0.2">
      <c r="A240">
        <v>225</v>
      </c>
      <c r="B240">
        <v>1769198816</v>
      </c>
      <c r="C240">
        <v>4255</v>
      </c>
      <c r="D240" t="s">
        <v>750</v>
      </c>
      <c r="E240" t="s">
        <v>751</v>
      </c>
      <c r="F240">
        <v>15</v>
      </c>
      <c r="G240">
        <v>1769198807.9333301</v>
      </c>
      <c r="H240">
        <f t="shared" si="39"/>
        <v>9.1411207440352546E-4</v>
      </c>
      <c r="I240">
        <v>0</v>
      </c>
      <c r="J240">
        <f t="shared" si="51"/>
        <v>9.3165795593076953E-5</v>
      </c>
      <c r="K240">
        <f t="shared" si="40"/>
        <v>3.4717132441416491E-3</v>
      </c>
      <c r="L240">
        <f t="shared" si="41"/>
        <v>69.537488690020183</v>
      </c>
      <c r="M240">
        <f t="shared" si="42"/>
        <v>1.5331828133951331</v>
      </c>
      <c r="N240">
        <f t="shared" si="43"/>
        <v>2.2048291393289428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26268.20217300786</v>
      </c>
      <c r="T240">
        <f t="shared" si="47"/>
        <v>799.99966666666705</v>
      </c>
      <c r="U240">
        <f t="shared" si="48"/>
        <v>674.40013019982894</v>
      </c>
      <c r="V240">
        <f t="shared" si="49"/>
        <v>0.84300051399999998</v>
      </c>
      <c r="W240">
        <f t="shared" si="50"/>
        <v>0.15870128499999997</v>
      </c>
      <c r="X240">
        <v>1</v>
      </c>
      <c r="Y240">
        <v>1769198807.9333301</v>
      </c>
      <c r="Z240">
        <v>409.51740000000001</v>
      </c>
      <c r="AA240">
        <v>409.98966666666701</v>
      </c>
      <c r="AB240">
        <v>15.295533333333299</v>
      </c>
      <c r="AC240">
        <v>14.17038</v>
      </c>
      <c r="AD240">
        <v>410.33780000000002</v>
      </c>
      <c r="AE240">
        <v>15.195220000000001</v>
      </c>
      <c r="AF240">
        <v>800.00673333333305</v>
      </c>
      <c r="AG240">
        <v>100.173</v>
      </c>
      <c r="AH240">
        <v>6.4290193333333301E-2</v>
      </c>
      <c r="AI240">
        <v>18.997446666666701</v>
      </c>
      <c r="AJ240">
        <v>999.9</v>
      </c>
      <c r="AK240">
        <v>999.9</v>
      </c>
      <c r="AL240">
        <v>0</v>
      </c>
      <c r="AM240">
        <v>0</v>
      </c>
      <c r="AN240">
        <v>5000.0666666666702</v>
      </c>
      <c r="AO240">
        <v>0</v>
      </c>
      <c r="AP240">
        <v>1.63733</v>
      </c>
      <c r="AQ240">
        <v>-0.472208666666667</v>
      </c>
      <c r="AR240">
        <v>415.878533333333</v>
      </c>
      <c r="AS240">
        <v>415.88279999999997</v>
      </c>
      <c r="AT240">
        <v>1.1251673333333301</v>
      </c>
      <c r="AU240">
        <v>409.98966666666701</v>
      </c>
      <c r="AV240">
        <v>14.17038</v>
      </c>
      <c r="AW240">
        <v>1.5321973333333301</v>
      </c>
      <c r="AX240">
        <v>1.41948733333333</v>
      </c>
      <c r="AY240">
        <v>13.293326666666699</v>
      </c>
      <c r="AZ240">
        <v>12.127420000000001</v>
      </c>
      <c r="BA240">
        <v>799.99966666666705</v>
      </c>
      <c r="BB240">
        <v>0.89998286666666705</v>
      </c>
      <c r="BC240">
        <v>0</v>
      </c>
      <c r="BD240">
        <v>0.10001713333333299</v>
      </c>
      <c r="BE240">
        <v>0</v>
      </c>
      <c r="BF240">
        <v>25</v>
      </c>
      <c r="BG240">
        <v>13190.94</v>
      </c>
      <c r="BH240">
        <v>1769198352</v>
      </c>
      <c r="BI240" t="s">
        <v>707</v>
      </c>
      <c r="BJ240">
        <v>1769198330</v>
      </c>
      <c r="BK240">
        <v>1769198352</v>
      </c>
      <c r="BL240">
        <v>8</v>
      </c>
      <c r="BM240">
        <v>-1.4999999999999999E-2</v>
      </c>
      <c r="BN240">
        <v>6.0000000000000001E-3</v>
      </c>
      <c r="BO240">
        <v>-0.82</v>
      </c>
      <c r="BP240">
        <v>0.1</v>
      </c>
      <c r="BQ240">
        <v>410</v>
      </c>
      <c r="BR240">
        <v>15</v>
      </c>
      <c r="BS240">
        <v>0.24</v>
      </c>
      <c r="BT240">
        <v>7.0000000000000007E-2</v>
      </c>
      <c r="BU240">
        <v>-0.4710724</v>
      </c>
      <c r="BV240">
        <v>-1.6637142857143201E-2</v>
      </c>
      <c r="BW240">
        <v>1.71065018381901E-2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1.1247725</v>
      </c>
      <c r="CD240">
        <v>-4.37769924812033E-2</v>
      </c>
      <c r="CE240">
        <v>1.1693239873961399E-2</v>
      </c>
      <c r="CF240">
        <v>1</v>
      </c>
      <c r="CG240">
        <v>2</v>
      </c>
      <c r="CH240">
        <v>2</v>
      </c>
      <c r="CI240" t="s">
        <v>304</v>
      </c>
      <c r="CJ240">
        <v>3.5325299999999999</v>
      </c>
      <c r="CK240">
        <v>2.7020300000000002</v>
      </c>
      <c r="CL240">
        <v>9.7892400000000004E-2</v>
      </c>
      <c r="CM240">
        <v>9.6624699999999994E-2</v>
      </c>
      <c r="CN240">
        <v>8.6648900000000001E-2</v>
      </c>
      <c r="CO240">
        <v>8.1244899999999995E-2</v>
      </c>
      <c r="CP240">
        <v>31627.200000000001</v>
      </c>
      <c r="CQ240">
        <v>27820</v>
      </c>
      <c r="CR240">
        <v>32449.3</v>
      </c>
      <c r="CS240">
        <v>30723.3</v>
      </c>
      <c r="CT240">
        <v>40139</v>
      </c>
      <c r="CU240">
        <v>39701.1</v>
      </c>
      <c r="CV240">
        <v>47397</v>
      </c>
      <c r="CW240">
        <v>46861.599999999999</v>
      </c>
      <c r="CX240">
        <v>2.6206399999999999</v>
      </c>
      <c r="CY240">
        <v>2.11964</v>
      </c>
      <c r="CZ240">
        <v>0</v>
      </c>
      <c r="DA240">
        <v>0</v>
      </c>
      <c r="DB240">
        <v>999.9</v>
      </c>
      <c r="DC240">
        <v>999.9</v>
      </c>
      <c r="DD240">
        <v>48.198999999999998</v>
      </c>
      <c r="DE240">
        <v>28.408999999999999</v>
      </c>
      <c r="DF240">
        <v>18.6996</v>
      </c>
      <c r="DG240">
        <v>30.029800000000002</v>
      </c>
      <c r="DH240">
        <v>16.514399999999998</v>
      </c>
      <c r="DI240">
        <v>2</v>
      </c>
      <c r="DJ240">
        <v>-0.104642</v>
      </c>
      <c r="DK240">
        <v>2.5804800000000001</v>
      </c>
      <c r="DL240">
        <v>20.1905</v>
      </c>
      <c r="DM240">
        <v>5.2511900000000002</v>
      </c>
      <c r="DN240">
        <v>12.033899999999999</v>
      </c>
      <c r="DO240">
        <v>4.9674399999999999</v>
      </c>
      <c r="DP240">
        <v>3.2909999999999999</v>
      </c>
      <c r="DQ240">
        <v>537.20000000000005</v>
      </c>
      <c r="DR240">
        <v>9999</v>
      </c>
      <c r="DS240">
        <v>9999</v>
      </c>
      <c r="DT240">
        <v>9999</v>
      </c>
      <c r="DU240">
        <v>1.8711599999999999</v>
      </c>
      <c r="DV240">
        <v>1.87616</v>
      </c>
      <c r="DW240">
        <v>1.87635</v>
      </c>
      <c r="DX240">
        <v>1.8828</v>
      </c>
      <c r="DY240">
        <v>1.87561</v>
      </c>
      <c r="DZ240">
        <v>1.87469</v>
      </c>
      <c r="EA240">
        <v>1.87086</v>
      </c>
      <c r="EB240">
        <v>1.8746700000000001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-0.82</v>
      </c>
      <c r="EQ240">
        <v>0.1003</v>
      </c>
      <c r="ER240">
        <v>-0.82039999999994995</v>
      </c>
      <c r="ES240">
        <v>0</v>
      </c>
      <c r="ET240">
        <v>0</v>
      </c>
      <c r="EU240">
        <v>0</v>
      </c>
      <c r="EV240">
        <v>0.10032000000000001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8.1</v>
      </c>
      <c r="FE240">
        <v>7.7</v>
      </c>
      <c r="FF240">
        <v>1.2439</v>
      </c>
      <c r="FG240">
        <v>2.5976599999999999</v>
      </c>
      <c r="FH240">
        <v>2.19604</v>
      </c>
      <c r="FI240">
        <v>2.66113</v>
      </c>
      <c r="FJ240">
        <v>2.4462899999999999</v>
      </c>
      <c r="FK240">
        <v>2.3071299999999999</v>
      </c>
      <c r="FL240">
        <v>32.686900000000001</v>
      </c>
      <c r="FM240">
        <v>24.14</v>
      </c>
      <c r="FN240">
        <v>19</v>
      </c>
      <c r="FO240">
        <v>865.57299999999998</v>
      </c>
      <c r="FP240">
        <v>569.93200000000002</v>
      </c>
      <c r="FQ240">
        <v>17.948599999999999</v>
      </c>
      <c r="FR240">
        <v>25.654299999999999</v>
      </c>
      <c r="FS240">
        <v>30.0002</v>
      </c>
      <c r="FT240">
        <v>25.643999999999998</v>
      </c>
      <c r="FU240">
        <v>25.646599999999999</v>
      </c>
      <c r="FV240">
        <v>24.963699999999999</v>
      </c>
      <c r="FW240">
        <v>26.798100000000002</v>
      </c>
      <c r="FX240">
        <v>0.48385600000000001</v>
      </c>
      <c r="FY240">
        <v>17.905200000000001</v>
      </c>
      <c r="FZ240">
        <v>410</v>
      </c>
      <c r="GA240">
        <v>14.239599999999999</v>
      </c>
      <c r="GB240">
        <v>99.865700000000004</v>
      </c>
      <c r="GC240">
        <v>99.751999999999995</v>
      </c>
    </row>
    <row r="241" spans="1:185" x14ac:dyDescent="0.2">
      <c r="A241">
        <v>226</v>
      </c>
      <c r="B241">
        <v>1769198831</v>
      </c>
      <c r="C241">
        <v>4270</v>
      </c>
      <c r="D241" t="s">
        <v>752</v>
      </c>
      <c r="E241" t="s">
        <v>753</v>
      </c>
      <c r="F241">
        <v>15</v>
      </c>
      <c r="G241">
        <v>1769198822.9333301</v>
      </c>
      <c r="H241">
        <f t="shared" si="39"/>
        <v>8.8213304585255516E-4</v>
      </c>
      <c r="I241">
        <v>0</v>
      </c>
      <c r="J241">
        <f t="shared" si="51"/>
        <v>3.3846007497992966E-4</v>
      </c>
      <c r="K241">
        <f t="shared" si="40"/>
        <v>1.2612314610109046E-2</v>
      </c>
      <c r="L241">
        <f t="shared" si="41"/>
        <v>69.542152919033796</v>
      </c>
      <c r="M241">
        <f t="shared" si="42"/>
        <v>1.5336594940798065</v>
      </c>
      <c r="N241">
        <f t="shared" si="43"/>
        <v>2.2053667160195749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26221.755184664162</v>
      </c>
      <c r="T241">
        <f t="shared" si="47"/>
        <v>799.99846666666701</v>
      </c>
      <c r="U241">
        <f t="shared" si="48"/>
        <v>674.39921299903119</v>
      </c>
      <c r="V241">
        <f t="shared" si="49"/>
        <v>0.84300063199999997</v>
      </c>
      <c r="W241">
        <f t="shared" si="50"/>
        <v>0.15870158000000001</v>
      </c>
      <c r="X241">
        <v>1</v>
      </c>
      <c r="Y241">
        <v>1769198822.9333301</v>
      </c>
      <c r="Z241">
        <v>409.52440000000001</v>
      </c>
      <c r="AA241">
        <v>409.991733333333</v>
      </c>
      <c r="AB241">
        <v>15.3002533333333</v>
      </c>
      <c r="AC241">
        <v>14.214460000000001</v>
      </c>
      <c r="AD241">
        <v>410.34466666666702</v>
      </c>
      <c r="AE241">
        <v>15.199906666666701</v>
      </c>
      <c r="AF241">
        <v>800.00139999999999</v>
      </c>
      <c r="AG241">
        <v>100.173266666667</v>
      </c>
      <c r="AH241">
        <v>6.4256246666666697E-2</v>
      </c>
      <c r="AI241">
        <v>19.001353333333299</v>
      </c>
      <c r="AJ241">
        <v>999.9</v>
      </c>
      <c r="AK241">
        <v>999.9</v>
      </c>
      <c r="AL241">
        <v>0</v>
      </c>
      <c r="AM241">
        <v>0</v>
      </c>
      <c r="AN241">
        <v>4992.4666666666699</v>
      </c>
      <c r="AO241">
        <v>0</v>
      </c>
      <c r="AP241">
        <v>1.63733</v>
      </c>
      <c r="AQ241">
        <v>-0.467515133333333</v>
      </c>
      <c r="AR241">
        <v>415.88746666666702</v>
      </c>
      <c r="AS241">
        <v>415.90373333333298</v>
      </c>
      <c r="AT241">
        <v>1.0857806666666701</v>
      </c>
      <c r="AU241">
        <v>409.991733333333</v>
      </c>
      <c r="AV241">
        <v>14.214460000000001</v>
      </c>
      <c r="AW241">
        <v>1.5326753333333301</v>
      </c>
      <c r="AX241">
        <v>1.4239093333333299</v>
      </c>
      <c r="AY241">
        <v>13.298066666666699</v>
      </c>
      <c r="AZ241">
        <v>12.174666666666701</v>
      </c>
      <c r="BA241">
        <v>799.99846666666701</v>
      </c>
      <c r="BB241">
        <v>0.89997893333333301</v>
      </c>
      <c r="BC241">
        <v>0</v>
      </c>
      <c r="BD241">
        <v>0.10002106666666701</v>
      </c>
      <c r="BE241">
        <v>0</v>
      </c>
      <c r="BF241">
        <v>25</v>
      </c>
      <c r="BG241">
        <v>13190.9066666667</v>
      </c>
      <c r="BH241">
        <v>1769198352</v>
      </c>
      <c r="BI241" t="s">
        <v>707</v>
      </c>
      <c r="BJ241">
        <v>1769198330</v>
      </c>
      <c r="BK241">
        <v>1769198352</v>
      </c>
      <c r="BL241">
        <v>8</v>
      </c>
      <c r="BM241">
        <v>-1.4999999999999999E-2</v>
      </c>
      <c r="BN241">
        <v>6.0000000000000001E-3</v>
      </c>
      <c r="BO241">
        <v>-0.82</v>
      </c>
      <c r="BP241">
        <v>0.1</v>
      </c>
      <c r="BQ241">
        <v>410</v>
      </c>
      <c r="BR241">
        <v>15</v>
      </c>
      <c r="BS241">
        <v>0.24</v>
      </c>
      <c r="BT241">
        <v>7.0000000000000007E-2</v>
      </c>
      <c r="BU241">
        <v>-0.46723142857142902</v>
      </c>
      <c r="BV241">
        <v>-8.4469090909082903E-3</v>
      </c>
      <c r="BW241">
        <v>1.96720987370715E-2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1.09381142857143</v>
      </c>
      <c r="CD241">
        <v>-0.102162077922077</v>
      </c>
      <c r="CE241">
        <v>1.6569411084087101E-2</v>
      </c>
      <c r="CF241">
        <v>0</v>
      </c>
      <c r="CG241">
        <v>1</v>
      </c>
      <c r="CH241">
        <v>2</v>
      </c>
      <c r="CI241" t="s">
        <v>297</v>
      </c>
      <c r="CJ241">
        <v>3.5325000000000002</v>
      </c>
      <c r="CK241">
        <v>2.7021600000000001</v>
      </c>
      <c r="CL241">
        <v>9.7896499999999997E-2</v>
      </c>
      <c r="CM241">
        <v>9.66249E-2</v>
      </c>
      <c r="CN241">
        <v>8.6713499999999999E-2</v>
      </c>
      <c r="CO241">
        <v>8.1256800000000004E-2</v>
      </c>
      <c r="CP241">
        <v>31626.7</v>
      </c>
      <c r="CQ241">
        <v>27819.8</v>
      </c>
      <c r="CR241">
        <v>32448.9</v>
      </c>
      <c r="CS241">
        <v>30723.200000000001</v>
      </c>
      <c r="CT241">
        <v>40135.599999999999</v>
      </c>
      <c r="CU241">
        <v>39700.300000000003</v>
      </c>
      <c r="CV241">
        <v>47396.3</v>
      </c>
      <c r="CW241">
        <v>46861.3</v>
      </c>
      <c r="CX241">
        <v>2.6206800000000001</v>
      </c>
      <c r="CY241">
        <v>2.1195599999999999</v>
      </c>
      <c r="CZ241">
        <v>0</v>
      </c>
      <c r="DA241">
        <v>0</v>
      </c>
      <c r="DB241">
        <v>999.9</v>
      </c>
      <c r="DC241">
        <v>999.9</v>
      </c>
      <c r="DD241">
        <v>48.174999999999997</v>
      </c>
      <c r="DE241">
        <v>28.419</v>
      </c>
      <c r="DF241">
        <v>18.7014</v>
      </c>
      <c r="DG241">
        <v>30.569800000000001</v>
      </c>
      <c r="DH241">
        <v>16.4543</v>
      </c>
      <c r="DI241">
        <v>2</v>
      </c>
      <c r="DJ241">
        <v>-0.104557</v>
      </c>
      <c r="DK241">
        <v>2.5268999999999999</v>
      </c>
      <c r="DL241">
        <v>20.191600000000001</v>
      </c>
      <c r="DM241">
        <v>5.2507099999999998</v>
      </c>
      <c r="DN241">
        <v>12.033899999999999</v>
      </c>
      <c r="DO241">
        <v>4.9673999999999996</v>
      </c>
      <c r="DP241">
        <v>3.2909999999999999</v>
      </c>
      <c r="DQ241">
        <v>537.20000000000005</v>
      </c>
      <c r="DR241">
        <v>9999</v>
      </c>
      <c r="DS241">
        <v>9999</v>
      </c>
      <c r="DT241">
        <v>9999</v>
      </c>
      <c r="DU241">
        <v>1.8711800000000001</v>
      </c>
      <c r="DV241">
        <v>1.8761399999999999</v>
      </c>
      <c r="DW241">
        <v>1.8763700000000001</v>
      </c>
      <c r="DX241">
        <v>1.8828</v>
      </c>
      <c r="DY241">
        <v>1.8756200000000001</v>
      </c>
      <c r="DZ241">
        <v>1.87469</v>
      </c>
      <c r="EA241">
        <v>1.87086</v>
      </c>
      <c r="EB241">
        <v>1.8746799999999999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-0.82099999999999995</v>
      </c>
      <c r="EQ241">
        <v>0.1003</v>
      </c>
      <c r="ER241">
        <v>-0.82039999999994995</v>
      </c>
      <c r="ES241">
        <v>0</v>
      </c>
      <c r="ET241">
        <v>0</v>
      </c>
      <c r="EU241">
        <v>0</v>
      </c>
      <c r="EV241">
        <v>0.10032000000000001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8.3000000000000007</v>
      </c>
      <c r="FE241">
        <v>8</v>
      </c>
      <c r="FF241">
        <v>1.2439</v>
      </c>
      <c r="FG241">
        <v>2.5988799999999999</v>
      </c>
      <c r="FH241">
        <v>2.19604</v>
      </c>
      <c r="FI241">
        <v>2.66113</v>
      </c>
      <c r="FJ241">
        <v>2.4462899999999999</v>
      </c>
      <c r="FK241">
        <v>2.3132299999999999</v>
      </c>
      <c r="FL241">
        <v>32.686900000000001</v>
      </c>
      <c r="FM241">
        <v>24.1313</v>
      </c>
      <c r="FN241">
        <v>19</v>
      </c>
      <c r="FO241">
        <v>865.64499999999998</v>
      </c>
      <c r="FP241">
        <v>569.89</v>
      </c>
      <c r="FQ241">
        <v>17.897500000000001</v>
      </c>
      <c r="FR241">
        <v>25.655999999999999</v>
      </c>
      <c r="FS241">
        <v>30.0001</v>
      </c>
      <c r="FT241">
        <v>25.6462</v>
      </c>
      <c r="FU241">
        <v>25.648399999999999</v>
      </c>
      <c r="FV241">
        <v>24.963899999999999</v>
      </c>
      <c r="FW241">
        <v>26.798100000000002</v>
      </c>
      <c r="FX241">
        <v>0.48385600000000001</v>
      </c>
      <c r="FY241">
        <v>17.900300000000001</v>
      </c>
      <c r="FZ241">
        <v>410</v>
      </c>
      <c r="GA241">
        <v>14.235099999999999</v>
      </c>
      <c r="GB241">
        <v>99.864500000000007</v>
      </c>
      <c r="GC241">
        <v>99.751499999999993</v>
      </c>
    </row>
    <row r="242" spans="1:185" x14ac:dyDescent="0.2">
      <c r="A242">
        <v>227</v>
      </c>
      <c r="B242">
        <v>1769198846</v>
      </c>
      <c r="C242">
        <v>4285</v>
      </c>
      <c r="D242" t="s">
        <v>754</v>
      </c>
      <c r="E242" t="s">
        <v>755</v>
      </c>
      <c r="F242">
        <v>15</v>
      </c>
      <c r="G242">
        <v>1769198837.9333301</v>
      </c>
      <c r="H242">
        <f t="shared" si="39"/>
        <v>8.9680781736273935E-4</v>
      </c>
      <c r="I242">
        <v>0</v>
      </c>
      <c r="J242">
        <f t="shared" si="51"/>
        <v>7.9481107421290782E-5</v>
      </c>
      <c r="K242">
        <f t="shared" si="40"/>
        <v>2.9617695157002962E-3</v>
      </c>
      <c r="L242">
        <f t="shared" si="41"/>
        <v>69.609014921511189</v>
      </c>
      <c r="M242">
        <f t="shared" si="42"/>
        <v>1.5349022362036169</v>
      </c>
      <c r="N242">
        <f t="shared" si="43"/>
        <v>2.2050336984862113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26261.631916825409</v>
      </c>
      <c r="T242">
        <f t="shared" si="47"/>
        <v>799.99973333333298</v>
      </c>
      <c r="U242">
        <f t="shared" si="48"/>
        <v>674.40023599984602</v>
      </c>
      <c r="V242">
        <f t="shared" si="49"/>
        <v>0.84300057599999989</v>
      </c>
      <c r="W242">
        <f t="shared" si="50"/>
        <v>0.15870144</v>
      </c>
      <c r="X242">
        <v>1</v>
      </c>
      <c r="Y242">
        <v>1769198837.9333301</v>
      </c>
      <c r="Z242">
        <v>409.54360000000003</v>
      </c>
      <c r="AA242">
        <v>410.00639999999999</v>
      </c>
      <c r="AB242">
        <v>15.312526666666701</v>
      </c>
      <c r="AC242">
        <v>14.208693333333301</v>
      </c>
      <c r="AD242">
        <v>410.36386666666698</v>
      </c>
      <c r="AE242">
        <v>15.212213333333301</v>
      </c>
      <c r="AF242">
        <v>800.00793333333297</v>
      </c>
      <c r="AG242">
        <v>100.173933333333</v>
      </c>
      <c r="AH242">
        <v>6.4405486666666706E-2</v>
      </c>
      <c r="AI242">
        <v>18.998933333333301</v>
      </c>
      <c r="AJ242">
        <v>999.9</v>
      </c>
      <c r="AK242">
        <v>999.9</v>
      </c>
      <c r="AL242">
        <v>0</v>
      </c>
      <c r="AM242">
        <v>0</v>
      </c>
      <c r="AN242">
        <v>4998.9666666666699</v>
      </c>
      <c r="AO242">
        <v>0</v>
      </c>
      <c r="AP242">
        <v>1.63733</v>
      </c>
      <c r="AQ242">
        <v>-0.46275440000000001</v>
      </c>
      <c r="AR242">
        <v>415.91226666666699</v>
      </c>
      <c r="AS242">
        <v>415.91593333333299</v>
      </c>
      <c r="AT242">
        <v>1.10384066666667</v>
      </c>
      <c r="AU242">
        <v>410.00639999999999</v>
      </c>
      <c r="AV242">
        <v>14.208693333333301</v>
      </c>
      <c r="AW242">
        <v>1.5339160000000001</v>
      </c>
      <c r="AX242">
        <v>1.4233406666666699</v>
      </c>
      <c r="AY242">
        <v>13.3104933333333</v>
      </c>
      <c r="AZ242">
        <v>12.168606666666699</v>
      </c>
      <c r="BA242">
        <v>799.99973333333298</v>
      </c>
      <c r="BB242">
        <v>0.89998080000000003</v>
      </c>
      <c r="BC242">
        <v>0</v>
      </c>
      <c r="BD242">
        <v>0.1000192</v>
      </c>
      <c r="BE242">
        <v>0</v>
      </c>
      <c r="BF242">
        <v>25</v>
      </c>
      <c r="BG242">
        <v>13190.946666666699</v>
      </c>
      <c r="BH242">
        <v>1769198352</v>
      </c>
      <c r="BI242" t="s">
        <v>707</v>
      </c>
      <c r="BJ242">
        <v>1769198330</v>
      </c>
      <c r="BK242">
        <v>1769198352</v>
      </c>
      <c r="BL242">
        <v>8</v>
      </c>
      <c r="BM242">
        <v>-1.4999999999999999E-2</v>
      </c>
      <c r="BN242">
        <v>6.0000000000000001E-3</v>
      </c>
      <c r="BO242">
        <v>-0.82</v>
      </c>
      <c r="BP242">
        <v>0.1</v>
      </c>
      <c r="BQ242">
        <v>410</v>
      </c>
      <c r="BR242">
        <v>15</v>
      </c>
      <c r="BS242">
        <v>0.24</v>
      </c>
      <c r="BT242">
        <v>7.0000000000000007E-2</v>
      </c>
      <c r="BU242">
        <v>-0.46560984999999999</v>
      </c>
      <c r="BV242">
        <v>5.51912030075195E-2</v>
      </c>
      <c r="BW242">
        <v>1.69368381797637E-2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1.1001019999999999</v>
      </c>
      <c r="CD242">
        <v>0.111140751879701</v>
      </c>
      <c r="CE242">
        <v>1.1780342354957301E-2</v>
      </c>
      <c r="CF242">
        <v>0</v>
      </c>
      <c r="CG242">
        <v>1</v>
      </c>
      <c r="CH242">
        <v>2</v>
      </c>
      <c r="CI242" t="s">
        <v>297</v>
      </c>
      <c r="CJ242">
        <v>3.5325199999999999</v>
      </c>
      <c r="CK242">
        <v>2.7021600000000001</v>
      </c>
      <c r="CL242">
        <v>9.7898499999999999E-2</v>
      </c>
      <c r="CM242">
        <v>9.6619899999999995E-2</v>
      </c>
      <c r="CN242">
        <v>8.6758799999999997E-2</v>
      </c>
      <c r="CO242">
        <v>8.1091200000000002E-2</v>
      </c>
      <c r="CP242">
        <v>31626.7</v>
      </c>
      <c r="CQ242">
        <v>27820</v>
      </c>
      <c r="CR242">
        <v>32449</v>
      </c>
      <c r="CS242">
        <v>30723.200000000001</v>
      </c>
      <c r="CT242">
        <v>40133.699999999997</v>
      </c>
      <c r="CU242">
        <v>39707.599999999999</v>
      </c>
      <c r="CV242">
        <v>47396.5</v>
      </c>
      <c r="CW242">
        <v>46861.3</v>
      </c>
      <c r="CX242">
        <v>2.6205599999999998</v>
      </c>
      <c r="CY242">
        <v>2.1194999999999999</v>
      </c>
      <c r="CZ242">
        <v>0</v>
      </c>
      <c r="DA242">
        <v>0</v>
      </c>
      <c r="DB242">
        <v>999.9</v>
      </c>
      <c r="DC242">
        <v>999.9</v>
      </c>
      <c r="DD242">
        <v>48.088999999999999</v>
      </c>
      <c r="DE242">
        <v>28.408999999999999</v>
      </c>
      <c r="DF242">
        <v>18.6555</v>
      </c>
      <c r="DG242">
        <v>30.689800000000002</v>
      </c>
      <c r="DH242">
        <v>16.406199999999998</v>
      </c>
      <c r="DI242">
        <v>2</v>
      </c>
      <c r="DJ242">
        <v>-0.104378</v>
      </c>
      <c r="DK242">
        <v>2.49742</v>
      </c>
      <c r="DL242">
        <v>20.1921</v>
      </c>
      <c r="DM242">
        <v>5.2505899999999999</v>
      </c>
      <c r="DN242">
        <v>12.033899999999999</v>
      </c>
      <c r="DO242">
        <v>4.9675599999999998</v>
      </c>
      <c r="DP242">
        <v>3.2909999999999999</v>
      </c>
      <c r="DQ242">
        <v>537.20000000000005</v>
      </c>
      <c r="DR242">
        <v>9999</v>
      </c>
      <c r="DS242">
        <v>9999</v>
      </c>
      <c r="DT242">
        <v>9999</v>
      </c>
      <c r="DU242">
        <v>1.8711599999999999</v>
      </c>
      <c r="DV242">
        <v>1.87619</v>
      </c>
      <c r="DW242">
        <v>1.8763700000000001</v>
      </c>
      <c r="DX242">
        <v>1.8828199999999999</v>
      </c>
      <c r="DY242">
        <v>1.87561</v>
      </c>
      <c r="DZ242">
        <v>1.87469</v>
      </c>
      <c r="EA242">
        <v>1.8708800000000001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-0.82099999999999995</v>
      </c>
      <c r="EQ242">
        <v>0.1003</v>
      </c>
      <c r="ER242">
        <v>-0.82039999999994995</v>
      </c>
      <c r="ES242">
        <v>0</v>
      </c>
      <c r="ET242">
        <v>0</v>
      </c>
      <c r="EU242">
        <v>0</v>
      </c>
      <c r="EV242">
        <v>0.10032000000000001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8.6</v>
      </c>
      <c r="FE242">
        <v>8.1999999999999993</v>
      </c>
      <c r="FF242">
        <v>1.2439</v>
      </c>
      <c r="FG242">
        <v>2.6013199999999999</v>
      </c>
      <c r="FH242">
        <v>2.19604</v>
      </c>
      <c r="FI242">
        <v>2.66235</v>
      </c>
      <c r="FJ242">
        <v>2.4462899999999999</v>
      </c>
      <c r="FK242">
        <v>2.2851599999999999</v>
      </c>
      <c r="FL242">
        <v>32.686900000000001</v>
      </c>
      <c r="FM242">
        <v>24.1313</v>
      </c>
      <c r="FN242">
        <v>19</v>
      </c>
      <c r="FO242">
        <v>865.54</v>
      </c>
      <c r="FP242">
        <v>569.851</v>
      </c>
      <c r="FQ242">
        <v>17.901299999999999</v>
      </c>
      <c r="FR242">
        <v>25.658100000000001</v>
      </c>
      <c r="FS242">
        <v>30.0001</v>
      </c>
      <c r="FT242">
        <v>25.646699999999999</v>
      </c>
      <c r="FU242">
        <v>25.648900000000001</v>
      </c>
      <c r="FV242">
        <v>24.9648</v>
      </c>
      <c r="FW242">
        <v>26.798100000000002</v>
      </c>
      <c r="FX242">
        <v>0.112246</v>
      </c>
      <c r="FY242">
        <v>17.902699999999999</v>
      </c>
      <c r="FZ242">
        <v>410</v>
      </c>
      <c r="GA242">
        <v>14.235099999999999</v>
      </c>
      <c r="GB242">
        <v>99.864800000000002</v>
      </c>
      <c r="GC242">
        <v>99.751400000000004</v>
      </c>
    </row>
    <row r="243" spans="1:185" x14ac:dyDescent="0.2">
      <c r="A243">
        <v>228</v>
      </c>
      <c r="B243">
        <v>1769198861</v>
      </c>
      <c r="C243">
        <v>4300</v>
      </c>
      <c r="D243" t="s">
        <v>756</v>
      </c>
      <c r="E243" t="s">
        <v>757</v>
      </c>
      <c r="F243">
        <v>15</v>
      </c>
      <c r="G243">
        <v>1769198852.9333301</v>
      </c>
      <c r="H243">
        <f t="shared" si="39"/>
        <v>9.2648524059716882E-4</v>
      </c>
      <c r="I243">
        <v>0</v>
      </c>
      <c r="J243">
        <f t="shared" si="51"/>
        <v>-3.1462360923323795E-4</v>
      </c>
      <c r="K243">
        <f t="shared" si="40"/>
        <v>-1.1724076890466069E-2</v>
      </c>
      <c r="L243">
        <f t="shared" si="41"/>
        <v>69.57181786786289</v>
      </c>
      <c r="M243">
        <f t="shared" si="42"/>
        <v>1.5339275881086805</v>
      </c>
      <c r="N243">
        <f t="shared" si="43"/>
        <v>2.2048117112909926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26338.71343976591</v>
      </c>
      <c r="T243">
        <f t="shared" si="47"/>
        <v>799.99873333333301</v>
      </c>
      <c r="U243">
        <f t="shared" si="48"/>
        <v>674.39927139946269</v>
      </c>
      <c r="V243">
        <f t="shared" si="49"/>
        <v>0.84300042399999997</v>
      </c>
      <c r="W243">
        <f t="shared" si="50"/>
        <v>0.15870105999999998</v>
      </c>
      <c r="X243">
        <v>1</v>
      </c>
      <c r="Y243">
        <v>1769198852.9333301</v>
      </c>
      <c r="Z243">
        <v>409.51766666666703</v>
      </c>
      <c r="AA243">
        <v>409.97726666666699</v>
      </c>
      <c r="AB243">
        <v>15.302346666666701</v>
      </c>
      <c r="AC243">
        <v>14.161986666666699</v>
      </c>
      <c r="AD243">
        <v>410.33806666666698</v>
      </c>
      <c r="AE243">
        <v>15.2020133333333</v>
      </c>
      <c r="AF243">
        <v>800.01739999999995</v>
      </c>
      <c r="AG243">
        <v>100.177066666667</v>
      </c>
      <c r="AH243">
        <v>6.4263733333333295E-2</v>
      </c>
      <c r="AI243">
        <v>18.997319999999998</v>
      </c>
      <c r="AJ243">
        <v>999.9</v>
      </c>
      <c r="AK243">
        <v>999.9</v>
      </c>
      <c r="AL243">
        <v>0</v>
      </c>
      <c r="AM243">
        <v>0</v>
      </c>
      <c r="AN243">
        <v>5011.5</v>
      </c>
      <c r="AO243">
        <v>0</v>
      </c>
      <c r="AP243">
        <v>1.63733</v>
      </c>
      <c r="AQ243">
        <v>-0.459790066666667</v>
      </c>
      <c r="AR243">
        <v>415.881666666667</v>
      </c>
      <c r="AS243">
        <v>415.86693333333301</v>
      </c>
      <c r="AT243">
        <v>1.1403446666666699</v>
      </c>
      <c r="AU243">
        <v>409.97726666666699</v>
      </c>
      <c r="AV243">
        <v>14.161986666666699</v>
      </c>
      <c r="AW243">
        <v>1.53294</v>
      </c>
      <c r="AX243">
        <v>1.4187033333333301</v>
      </c>
      <c r="AY243">
        <v>13.300739999999999</v>
      </c>
      <c r="AZ243">
        <v>12.11904</v>
      </c>
      <c r="BA243">
        <v>799.99873333333301</v>
      </c>
      <c r="BB243">
        <v>0.89998586666666702</v>
      </c>
      <c r="BC243">
        <v>0</v>
      </c>
      <c r="BD243">
        <v>0.10001413333333301</v>
      </c>
      <c r="BE243">
        <v>0</v>
      </c>
      <c r="BF243">
        <v>25</v>
      </c>
      <c r="BG243">
        <v>13190.946666666699</v>
      </c>
      <c r="BH243">
        <v>1769198352</v>
      </c>
      <c r="BI243" t="s">
        <v>707</v>
      </c>
      <c r="BJ243">
        <v>1769198330</v>
      </c>
      <c r="BK243">
        <v>1769198352</v>
      </c>
      <c r="BL243">
        <v>8</v>
      </c>
      <c r="BM243">
        <v>-1.4999999999999999E-2</v>
      </c>
      <c r="BN243">
        <v>6.0000000000000001E-3</v>
      </c>
      <c r="BO243">
        <v>-0.82</v>
      </c>
      <c r="BP243">
        <v>0.1</v>
      </c>
      <c r="BQ243">
        <v>410</v>
      </c>
      <c r="BR243">
        <v>15</v>
      </c>
      <c r="BS243">
        <v>0.24</v>
      </c>
      <c r="BT243">
        <v>7.0000000000000007E-2</v>
      </c>
      <c r="BU243">
        <v>-0.460994190476191</v>
      </c>
      <c r="BV243">
        <v>4.2005376623375897E-2</v>
      </c>
      <c r="BW243">
        <v>2.3521841176758901E-2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1.1334180952381001</v>
      </c>
      <c r="CD243">
        <v>8.0865194805194301E-2</v>
      </c>
      <c r="CE243">
        <v>1.44411339150648E-2</v>
      </c>
      <c r="CF243">
        <v>1</v>
      </c>
      <c r="CG243">
        <v>2</v>
      </c>
      <c r="CH243">
        <v>2</v>
      </c>
      <c r="CI243" t="s">
        <v>304</v>
      </c>
      <c r="CJ243">
        <v>3.53254</v>
      </c>
      <c r="CK243">
        <v>2.7019500000000001</v>
      </c>
      <c r="CL243">
        <v>9.7896399999999995E-2</v>
      </c>
      <c r="CM243">
        <v>9.6614699999999998E-2</v>
      </c>
      <c r="CN243">
        <v>8.6642999999999998E-2</v>
      </c>
      <c r="CO243">
        <v>8.1025399999999997E-2</v>
      </c>
      <c r="CP243">
        <v>31627.3</v>
      </c>
      <c r="CQ243">
        <v>27820.799999999999</v>
      </c>
      <c r="CR243">
        <v>32449.599999999999</v>
      </c>
      <c r="CS243">
        <v>30723.9</v>
      </c>
      <c r="CT243">
        <v>40139.699999999997</v>
      </c>
      <c r="CU243">
        <v>39711.5</v>
      </c>
      <c r="CV243">
        <v>47397.4</v>
      </c>
      <c r="CW243">
        <v>46862.400000000001</v>
      </c>
      <c r="CX243">
        <v>2.6204399999999999</v>
      </c>
      <c r="CY243">
        <v>2.1198800000000002</v>
      </c>
      <c r="CZ243">
        <v>0</v>
      </c>
      <c r="DA243">
        <v>0</v>
      </c>
      <c r="DB243">
        <v>999.9</v>
      </c>
      <c r="DC243">
        <v>999.9</v>
      </c>
      <c r="DD243">
        <v>47.966999999999999</v>
      </c>
      <c r="DE243">
        <v>28.408999999999999</v>
      </c>
      <c r="DF243">
        <v>18.61</v>
      </c>
      <c r="DG243">
        <v>30.119800000000001</v>
      </c>
      <c r="DH243">
        <v>16.430299999999999</v>
      </c>
      <c r="DI243">
        <v>2</v>
      </c>
      <c r="DJ243">
        <v>-0.104236</v>
      </c>
      <c r="DK243">
        <v>2.4834200000000002</v>
      </c>
      <c r="DL243">
        <v>20.1922</v>
      </c>
      <c r="DM243">
        <v>5.2505899999999999</v>
      </c>
      <c r="DN243">
        <v>12.033899999999999</v>
      </c>
      <c r="DO243">
        <v>4.9673999999999996</v>
      </c>
      <c r="DP243">
        <v>3.2909999999999999</v>
      </c>
      <c r="DQ243">
        <v>537.20000000000005</v>
      </c>
      <c r="DR243">
        <v>9999</v>
      </c>
      <c r="DS243">
        <v>9999</v>
      </c>
      <c r="DT243">
        <v>9999</v>
      </c>
      <c r="DU243">
        <v>1.8711899999999999</v>
      </c>
      <c r="DV243">
        <v>1.87622</v>
      </c>
      <c r="DW243">
        <v>1.8763799999999999</v>
      </c>
      <c r="DX243">
        <v>1.88289</v>
      </c>
      <c r="DY243">
        <v>1.8756600000000001</v>
      </c>
      <c r="DZ243">
        <v>1.8747199999999999</v>
      </c>
      <c r="EA243">
        <v>1.8708899999999999</v>
      </c>
      <c r="EB243">
        <v>1.8747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-0.82</v>
      </c>
      <c r="EQ243">
        <v>0.1003</v>
      </c>
      <c r="ER243">
        <v>-0.82039999999994995</v>
      </c>
      <c r="ES243">
        <v>0</v>
      </c>
      <c r="ET243">
        <v>0</v>
      </c>
      <c r="EU243">
        <v>0</v>
      </c>
      <c r="EV243">
        <v>0.10032000000000001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8.8000000000000007</v>
      </c>
      <c r="FE243">
        <v>8.5</v>
      </c>
      <c r="FF243">
        <v>1.2439</v>
      </c>
      <c r="FG243">
        <v>2.5988799999999999</v>
      </c>
      <c r="FH243">
        <v>2.19604</v>
      </c>
      <c r="FI243">
        <v>2.66357</v>
      </c>
      <c r="FJ243">
        <v>2.4462899999999999</v>
      </c>
      <c r="FK243">
        <v>2.2997999999999998</v>
      </c>
      <c r="FL243">
        <v>32.709099999999999</v>
      </c>
      <c r="FM243">
        <v>24.14</v>
      </c>
      <c r="FN243">
        <v>19</v>
      </c>
      <c r="FO243">
        <v>865.45600000000002</v>
      </c>
      <c r="FP243">
        <v>570.14300000000003</v>
      </c>
      <c r="FQ243">
        <v>17.906300000000002</v>
      </c>
      <c r="FR243">
        <v>25.659500000000001</v>
      </c>
      <c r="FS243">
        <v>30.0001</v>
      </c>
      <c r="FT243">
        <v>25.648299999999999</v>
      </c>
      <c r="FU243">
        <v>25.6492</v>
      </c>
      <c r="FV243">
        <v>24.968699999999998</v>
      </c>
      <c r="FW243">
        <v>26.2196</v>
      </c>
      <c r="FX243">
        <v>0</v>
      </c>
      <c r="FY243">
        <v>17.907900000000001</v>
      </c>
      <c r="FZ243">
        <v>410</v>
      </c>
      <c r="GA243">
        <v>14.259499999999999</v>
      </c>
      <c r="GB243">
        <v>99.866699999999994</v>
      </c>
      <c r="GC243">
        <v>99.753799999999998</v>
      </c>
    </row>
    <row r="244" spans="1:185" x14ac:dyDescent="0.2">
      <c r="A244">
        <v>229</v>
      </c>
      <c r="B244">
        <v>1769198876</v>
      </c>
      <c r="C244">
        <v>4315</v>
      </c>
      <c r="D244" t="s">
        <v>758</v>
      </c>
      <c r="E244" t="s">
        <v>759</v>
      </c>
      <c r="F244">
        <v>15</v>
      </c>
      <c r="G244">
        <v>1769198867.9333301</v>
      </c>
      <c r="H244">
        <f t="shared" si="39"/>
        <v>8.9393895298278138E-4</v>
      </c>
      <c r="I244">
        <v>0</v>
      </c>
      <c r="J244">
        <f t="shared" si="51"/>
        <v>3.7801073565327757E-4</v>
      </c>
      <c r="K244">
        <f t="shared" si="40"/>
        <v>1.4086123228391456E-2</v>
      </c>
      <c r="L244">
        <f t="shared" si="41"/>
        <v>69.517370821050179</v>
      </c>
      <c r="M244">
        <f t="shared" si="42"/>
        <v>1.5328425528640839</v>
      </c>
      <c r="N244">
        <f t="shared" si="43"/>
        <v>2.2049777411891593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26248.061436284195</v>
      </c>
      <c r="T244">
        <f t="shared" si="47"/>
        <v>800.00080000000003</v>
      </c>
      <c r="U244">
        <f t="shared" si="48"/>
        <v>674.40102320034896</v>
      </c>
      <c r="V244">
        <f t="shared" si="49"/>
        <v>0.84300043600000019</v>
      </c>
      <c r="W244">
        <f t="shared" si="50"/>
        <v>0.15870096008000006</v>
      </c>
      <c r="X244">
        <v>1</v>
      </c>
      <c r="Y244">
        <v>1769198867.9333301</v>
      </c>
      <c r="Z244">
        <v>409.5104</v>
      </c>
      <c r="AA244">
        <v>409.98559999999998</v>
      </c>
      <c r="AB244">
        <v>15.2915333333333</v>
      </c>
      <c r="AC244">
        <v>14.1912066666667</v>
      </c>
      <c r="AD244">
        <v>410.3306</v>
      </c>
      <c r="AE244">
        <v>15.191226666666701</v>
      </c>
      <c r="AF244">
        <v>800.00720000000001</v>
      </c>
      <c r="AG244">
        <v>100.176866666667</v>
      </c>
      <c r="AH244">
        <v>6.43923E-2</v>
      </c>
      <c r="AI244">
        <v>18.998526666666699</v>
      </c>
      <c r="AJ244">
        <v>999.9</v>
      </c>
      <c r="AK244">
        <v>999.9</v>
      </c>
      <c r="AL244">
        <v>0</v>
      </c>
      <c r="AM244">
        <v>0</v>
      </c>
      <c r="AN244">
        <v>4996.6000000000004</v>
      </c>
      <c r="AO244">
        <v>0</v>
      </c>
      <c r="AP244">
        <v>1.63733</v>
      </c>
      <c r="AQ244">
        <v>-0.47523806666666701</v>
      </c>
      <c r="AR244">
        <v>415.869666666667</v>
      </c>
      <c r="AS244">
        <v>415.88773333333302</v>
      </c>
      <c r="AT244">
        <v>1.1003339999999999</v>
      </c>
      <c r="AU244">
        <v>409.98559999999998</v>
      </c>
      <c r="AV244">
        <v>14.1912066666667</v>
      </c>
      <c r="AW244">
        <v>1.53186</v>
      </c>
      <c r="AX244">
        <v>1.421632</v>
      </c>
      <c r="AY244">
        <v>13.28992</v>
      </c>
      <c r="AZ244">
        <v>12.150346666666699</v>
      </c>
      <c r="BA244">
        <v>800.00080000000003</v>
      </c>
      <c r="BB244">
        <v>0.89998739999999999</v>
      </c>
      <c r="BC244">
        <v>0</v>
      </c>
      <c r="BD244">
        <v>0.100012666666667</v>
      </c>
      <c r="BE244">
        <v>0</v>
      </c>
      <c r="BF244">
        <v>25</v>
      </c>
      <c r="BG244">
        <v>13190.993333333299</v>
      </c>
      <c r="BH244">
        <v>1769198352</v>
      </c>
      <c r="BI244" t="s">
        <v>707</v>
      </c>
      <c r="BJ244">
        <v>1769198330</v>
      </c>
      <c r="BK244">
        <v>1769198352</v>
      </c>
      <c r="BL244">
        <v>8</v>
      </c>
      <c r="BM244">
        <v>-1.4999999999999999E-2</v>
      </c>
      <c r="BN244">
        <v>6.0000000000000001E-3</v>
      </c>
      <c r="BO244">
        <v>-0.82</v>
      </c>
      <c r="BP244">
        <v>0.1</v>
      </c>
      <c r="BQ244">
        <v>410</v>
      </c>
      <c r="BR244">
        <v>15</v>
      </c>
      <c r="BS244">
        <v>0.24</v>
      </c>
      <c r="BT244">
        <v>7.0000000000000007E-2</v>
      </c>
      <c r="BU244">
        <v>-0.46721649999999998</v>
      </c>
      <c r="BV244">
        <v>-0.15789960902255601</v>
      </c>
      <c r="BW244">
        <v>2.25925559454879E-2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1.1090785000000001</v>
      </c>
      <c r="CD244">
        <v>-0.191404060150375</v>
      </c>
      <c r="CE244">
        <v>1.9801663888421101E-2</v>
      </c>
      <c r="CF244">
        <v>0</v>
      </c>
      <c r="CG244">
        <v>1</v>
      </c>
      <c r="CH244">
        <v>2</v>
      </c>
      <c r="CI244" t="s">
        <v>297</v>
      </c>
      <c r="CJ244">
        <v>3.5325000000000002</v>
      </c>
      <c r="CK244">
        <v>2.7021199999999999</v>
      </c>
      <c r="CL244">
        <v>9.7893900000000006E-2</v>
      </c>
      <c r="CM244">
        <v>9.6624399999999999E-2</v>
      </c>
      <c r="CN244">
        <v>8.6699300000000007E-2</v>
      </c>
      <c r="CO244">
        <v>8.1285099999999999E-2</v>
      </c>
      <c r="CP244">
        <v>31626.2</v>
      </c>
      <c r="CQ244">
        <v>27820.2</v>
      </c>
      <c r="CR244">
        <v>32448.3</v>
      </c>
      <c r="CS244">
        <v>30723.599999999999</v>
      </c>
      <c r="CT244">
        <v>40135.5</v>
      </c>
      <c r="CU244">
        <v>39699.800000000003</v>
      </c>
      <c r="CV244">
        <v>47395.5</v>
      </c>
      <c r="CW244">
        <v>46862.2</v>
      </c>
      <c r="CX244">
        <v>2.6204800000000001</v>
      </c>
      <c r="CY244">
        <v>2.1200800000000002</v>
      </c>
      <c r="CZ244">
        <v>0</v>
      </c>
      <c r="DA244">
        <v>0</v>
      </c>
      <c r="DB244">
        <v>999.9</v>
      </c>
      <c r="DC244">
        <v>999.9</v>
      </c>
      <c r="DD244">
        <v>47.87</v>
      </c>
      <c r="DE244">
        <v>28.408999999999999</v>
      </c>
      <c r="DF244">
        <v>18.571899999999999</v>
      </c>
      <c r="DG244">
        <v>30.479800000000001</v>
      </c>
      <c r="DH244">
        <v>16.5184</v>
      </c>
      <c r="DI244">
        <v>2</v>
      </c>
      <c r="DJ244">
        <v>-0.10435</v>
      </c>
      <c r="DK244">
        <v>2.48027</v>
      </c>
      <c r="DL244">
        <v>20.192399999999999</v>
      </c>
      <c r="DM244">
        <v>5.2508299999999997</v>
      </c>
      <c r="DN244">
        <v>12.033899999999999</v>
      </c>
      <c r="DO244">
        <v>4.9672799999999997</v>
      </c>
      <c r="DP244">
        <v>3.2909999999999999</v>
      </c>
      <c r="DQ244">
        <v>537.20000000000005</v>
      </c>
      <c r="DR244">
        <v>9999</v>
      </c>
      <c r="DS244">
        <v>9999</v>
      </c>
      <c r="DT244">
        <v>9999</v>
      </c>
      <c r="DU244">
        <v>1.8711800000000001</v>
      </c>
      <c r="DV244">
        <v>1.8762099999999999</v>
      </c>
      <c r="DW244">
        <v>1.8763700000000001</v>
      </c>
      <c r="DX244">
        <v>1.8829100000000001</v>
      </c>
      <c r="DY244">
        <v>1.87565</v>
      </c>
      <c r="DZ244">
        <v>1.8747199999999999</v>
      </c>
      <c r="EA244">
        <v>1.8708800000000001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-0.82099999999999995</v>
      </c>
      <c r="EQ244">
        <v>0.1003</v>
      </c>
      <c r="ER244">
        <v>-0.82039999999994995</v>
      </c>
      <c r="ES244">
        <v>0</v>
      </c>
      <c r="ET244">
        <v>0</v>
      </c>
      <c r="EU244">
        <v>0</v>
      </c>
      <c r="EV244">
        <v>0.10032000000000001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9.1</v>
      </c>
      <c r="FE244">
        <v>8.6999999999999993</v>
      </c>
      <c r="FF244">
        <v>1.2439</v>
      </c>
      <c r="FG244">
        <v>2.5988799999999999</v>
      </c>
      <c r="FH244">
        <v>2.19604</v>
      </c>
      <c r="FI244">
        <v>2.66357</v>
      </c>
      <c r="FJ244">
        <v>2.4462899999999999</v>
      </c>
      <c r="FK244">
        <v>2.2936999999999999</v>
      </c>
      <c r="FL244">
        <v>32.709099999999999</v>
      </c>
      <c r="FM244">
        <v>24.14</v>
      </c>
      <c r="FN244">
        <v>19</v>
      </c>
      <c r="FO244">
        <v>865.49300000000005</v>
      </c>
      <c r="FP244">
        <v>570.31500000000005</v>
      </c>
      <c r="FQ244">
        <v>17.911000000000001</v>
      </c>
      <c r="FR244">
        <v>25.660299999999999</v>
      </c>
      <c r="FS244">
        <v>30.0001</v>
      </c>
      <c r="FT244">
        <v>25.648299999999999</v>
      </c>
      <c r="FU244">
        <v>25.651</v>
      </c>
      <c r="FV244">
        <v>24.968699999999998</v>
      </c>
      <c r="FW244">
        <v>25.936299999999999</v>
      </c>
      <c r="FX244">
        <v>0</v>
      </c>
      <c r="FY244">
        <v>17.9115</v>
      </c>
      <c r="FZ244">
        <v>410</v>
      </c>
      <c r="GA244">
        <v>14.2546</v>
      </c>
      <c r="GB244">
        <v>99.862700000000004</v>
      </c>
      <c r="GC244">
        <v>99.753299999999996</v>
      </c>
    </row>
    <row r="245" spans="1:185" x14ac:dyDescent="0.2">
      <c r="A245">
        <v>230</v>
      </c>
      <c r="B245">
        <v>1769198891</v>
      </c>
      <c r="C245">
        <v>4330</v>
      </c>
      <c r="D245" t="s">
        <v>760</v>
      </c>
      <c r="E245" t="s">
        <v>761</v>
      </c>
      <c r="F245">
        <v>15</v>
      </c>
      <c r="G245">
        <v>1769198882.9333301</v>
      </c>
      <c r="H245">
        <f t="shared" si="39"/>
        <v>8.8845434810657005E-4</v>
      </c>
      <c r="I245">
        <v>0</v>
      </c>
      <c r="J245">
        <f t="shared" si="51"/>
        <v>7.8314280179861569E-4</v>
      </c>
      <c r="K245">
        <f t="shared" si="40"/>
        <v>2.918289077821697E-2</v>
      </c>
      <c r="L245">
        <f t="shared" si="41"/>
        <v>69.598339983295546</v>
      </c>
      <c r="M245">
        <f t="shared" si="42"/>
        <v>1.5350084572180513</v>
      </c>
      <c r="N245">
        <f t="shared" si="43"/>
        <v>2.2055245248471045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26287.449644797834</v>
      </c>
      <c r="T245">
        <f t="shared" si="47"/>
        <v>799.99800000000005</v>
      </c>
      <c r="U245">
        <f t="shared" si="48"/>
        <v>674.39862919921222</v>
      </c>
      <c r="V245">
        <f t="shared" si="49"/>
        <v>0.84300039400000026</v>
      </c>
      <c r="W245">
        <f t="shared" si="50"/>
        <v>0.15870085508000009</v>
      </c>
      <c r="X245">
        <v>1</v>
      </c>
      <c r="Y245">
        <v>1769198882.9333301</v>
      </c>
      <c r="Z245">
        <v>409.510066666667</v>
      </c>
      <c r="AA245">
        <v>410.00133333333298</v>
      </c>
      <c r="AB245">
        <v>15.313233333333301</v>
      </c>
      <c r="AC245">
        <v>14.219673333333301</v>
      </c>
      <c r="AD245">
        <v>410.3304</v>
      </c>
      <c r="AE245">
        <v>15.212913333333301</v>
      </c>
      <c r="AF245">
        <v>800.00113333333297</v>
      </c>
      <c r="AG245">
        <v>100.17633333333301</v>
      </c>
      <c r="AH245">
        <v>6.4316293333333302E-2</v>
      </c>
      <c r="AI245">
        <v>19.002500000000001</v>
      </c>
      <c r="AJ245">
        <v>999.9</v>
      </c>
      <c r="AK245">
        <v>999.9</v>
      </c>
      <c r="AL245">
        <v>0</v>
      </c>
      <c r="AM245">
        <v>0</v>
      </c>
      <c r="AN245">
        <v>5003.1666666666697</v>
      </c>
      <c r="AO245">
        <v>0</v>
      </c>
      <c r="AP245">
        <v>1.63733</v>
      </c>
      <c r="AQ245">
        <v>-0.49127399999999999</v>
      </c>
      <c r="AR245">
        <v>415.87846666666701</v>
      </c>
      <c r="AS245">
        <v>415.91546666666699</v>
      </c>
      <c r="AT245">
        <v>1.09354333333333</v>
      </c>
      <c r="AU245">
        <v>410.00133333333298</v>
      </c>
      <c r="AV245">
        <v>14.219673333333301</v>
      </c>
      <c r="AW245">
        <v>1.5340259999999999</v>
      </c>
      <c r="AX245">
        <v>1.42447733333333</v>
      </c>
      <c r="AY245">
        <v>13.3115733333333</v>
      </c>
      <c r="AZ245">
        <v>12.1807266666667</v>
      </c>
      <c r="BA245">
        <v>799.99800000000005</v>
      </c>
      <c r="BB245">
        <v>0.89998880000000003</v>
      </c>
      <c r="BC245">
        <v>0</v>
      </c>
      <c r="BD245">
        <v>0.100011266666667</v>
      </c>
      <c r="BE245">
        <v>0</v>
      </c>
      <c r="BF245">
        <v>25</v>
      </c>
      <c r="BG245">
        <v>13190.946666666699</v>
      </c>
      <c r="BH245">
        <v>1769198352</v>
      </c>
      <c r="BI245" t="s">
        <v>707</v>
      </c>
      <c r="BJ245">
        <v>1769198330</v>
      </c>
      <c r="BK245">
        <v>1769198352</v>
      </c>
      <c r="BL245">
        <v>8</v>
      </c>
      <c r="BM245">
        <v>-1.4999999999999999E-2</v>
      </c>
      <c r="BN245">
        <v>6.0000000000000001E-3</v>
      </c>
      <c r="BO245">
        <v>-0.82</v>
      </c>
      <c r="BP245">
        <v>0.1</v>
      </c>
      <c r="BQ245">
        <v>410</v>
      </c>
      <c r="BR245">
        <v>15</v>
      </c>
      <c r="BS245">
        <v>0.24</v>
      </c>
      <c r="BT245">
        <v>7.0000000000000007E-2</v>
      </c>
      <c r="BU245">
        <v>-0.48875357142857101</v>
      </c>
      <c r="BV245">
        <v>-8.4073090909091305E-2</v>
      </c>
      <c r="BW245">
        <v>1.4813935950318401E-2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1.09238619047619</v>
      </c>
      <c r="CD245">
        <v>3.2703896103894903E-2</v>
      </c>
      <c r="CE245">
        <v>6.11396409182287E-3</v>
      </c>
      <c r="CF245">
        <v>1</v>
      </c>
      <c r="CG245">
        <v>2</v>
      </c>
      <c r="CH245">
        <v>2</v>
      </c>
      <c r="CI245" t="s">
        <v>304</v>
      </c>
      <c r="CJ245">
        <v>3.5324900000000001</v>
      </c>
      <c r="CK245">
        <v>2.70235</v>
      </c>
      <c r="CL245">
        <v>9.7896300000000006E-2</v>
      </c>
      <c r="CM245">
        <v>9.6621799999999994E-2</v>
      </c>
      <c r="CN245">
        <v>8.6759000000000003E-2</v>
      </c>
      <c r="CO245">
        <v>8.1273100000000001E-2</v>
      </c>
      <c r="CP245">
        <v>31625.7</v>
      </c>
      <c r="CQ245">
        <v>27820</v>
      </c>
      <c r="CR245">
        <v>32447.9</v>
      </c>
      <c r="CS245">
        <v>30723.200000000001</v>
      </c>
      <c r="CT245">
        <v>40132.6</v>
      </c>
      <c r="CU245">
        <v>39699.800000000003</v>
      </c>
      <c r="CV245">
        <v>47395.3</v>
      </c>
      <c r="CW245">
        <v>46861.599999999999</v>
      </c>
      <c r="CX245">
        <v>2.6204999999999998</v>
      </c>
      <c r="CY245">
        <v>2.1198199999999998</v>
      </c>
      <c r="CZ245">
        <v>0</v>
      </c>
      <c r="DA245">
        <v>0</v>
      </c>
      <c r="DB245">
        <v>999.9</v>
      </c>
      <c r="DC245">
        <v>999.9</v>
      </c>
      <c r="DD245">
        <v>47.820999999999998</v>
      </c>
      <c r="DE245">
        <v>28.419</v>
      </c>
      <c r="DF245">
        <v>18.5627</v>
      </c>
      <c r="DG245">
        <v>30.119800000000001</v>
      </c>
      <c r="DH245">
        <v>16.526399999999999</v>
      </c>
      <c r="DI245">
        <v>2</v>
      </c>
      <c r="DJ245">
        <v>-0.104181</v>
      </c>
      <c r="DK245">
        <v>2.5078499999999999</v>
      </c>
      <c r="DL245">
        <v>20.192</v>
      </c>
      <c r="DM245">
        <v>5.25047</v>
      </c>
      <c r="DN245">
        <v>12.033899999999999</v>
      </c>
      <c r="DO245">
        <v>4.96732</v>
      </c>
      <c r="DP245">
        <v>3.2909999999999999</v>
      </c>
      <c r="DQ245">
        <v>537.20000000000005</v>
      </c>
      <c r="DR245">
        <v>9999</v>
      </c>
      <c r="DS245">
        <v>9999</v>
      </c>
      <c r="DT245">
        <v>9999</v>
      </c>
      <c r="DU245">
        <v>1.8711899999999999</v>
      </c>
      <c r="DV245">
        <v>1.8762099999999999</v>
      </c>
      <c r="DW245">
        <v>1.8763700000000001</v>
      </c>
      <c r="DX245">
        <v>1.88287</v>
      </c>
      <c r="DY245">
        <v>1.8756299999999999</v>
      </c>
      <c r="DZ245">
        <v>1.87469</v>
      </c>
      <c r="EA245">
        <v>1.8708800000000001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-0.82</v>
      </c>
      <c r="EQ245">
        <v>0.1003</v>
      </c>
      <c r="ER245">
        <v>-0.82039999999994995</v>
      </c>
      <c r="ES245">
        <v>0</v>
      </c>
      <c r="ET245">
        <v>0</v>
      </c>
      <c r="EU245">
        <v>0</v>
      </c>
      <c r="EV245">
        <v>0.10032000000000001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9.3000000000000007</v>
      </c>
      <c r="FE245">
        <v>9</v>
      </c>
      <c r="FF245">
        <v>1.2439</v>
      </c>
      <c r="FG245">
        <v>2.5976599999999999</v>
      </c>
      <c r="FH245">
        <v>2.19604</v>
      </c>
      <c r="FI245">
        <v>2.66235</v>
      </c>
      <c r="FJ245">
        <v>2.4462899999999999</v>
      </c>
      <c r="FK245">
        <v>2.32422</v>
      </c>
      <c r="FL245">
        <v>32.709099999999999</v>
      </c>
      <c r="FM245">
        <v>24.14</v>
      </c>
      <c r="FN245">
        <v>19</v>
      </c>
      <c r="FO245">
        <v>865.54600000000005</v>
      </c>
      <c r="FP245">
        <v>570.13</v>
      </c>
      <c r="FQ245">
        <v>17.904399999999999</v>
      </c>
      <c r="FR245">
        <v>25.660299999999999</v>
      </c>
      <c r="FS245">
        <v>30.0001</v>
      </c>
      <c r="FT245">
        <v>25.650500000000001</v>
      </c>
      <c r="FU245">
        <v>25.652200000000001</v>
      </c>
      <c r="FV245">
        <v>24.968699999999998</v>
      </c>
      <c r="FW245">
        <v>25.936299999999999</v>
      </c>
      <c r="FX245">
        <v>0</v>
      </c>
      <c r="FY245">
        <v>17.901</v>
      </c>
      <c r="FZ245">
        <v>410</v>
      </c>
      <c r="GA245">
        <v>14.2547</v>
      </c>
      <c r="GB245">
        <v>99.861900000000006</v>
      </c>
      <c r="GC245">
        <v>99.751900000000006</v>
      </c>
    </row>
    <row r="246" spans="1:185" x14ac:dyDescent="0.2">
      <c r="A246">
        <v>231</v>
      </c>
      <c r="B246">
        <v>1769198906</v>
      </c>
      <c r="C246">
        <v>4345</v>
      </c>
      <c r="D246" t="s">
        <v>762</v>
      </c>
      <c r="E246" t="s">
        <v>763</v>
      </c>
      <c r="F246">
        <v>15</v>
      </c>
      <c r="G246">
        <v>1769198897.9333301</v>
      </c>
      <c r="H246">
        <f t="shared" si="39"/>
        <v>8.9541980823915307E-4</v>
      </c>
      <c r="I246">
        <v>0</v>
      </c>
      <c r="J246">
        <f t="shared" si="51"/>
        <v>-4.6968684091246874E-5</v>
      </c>
      <c r="K246">
        <f t="shared" si="40"/>
        <v>-1.7502324923161382E-3</v>
      </c>
      <c r="L246">
        <f t="shared" si="41"/>
        <v>69.61966915835886</v>
      </c>
      <c r="M246">
        <f t="shared" si="42"/>
        <v>1.5355344517773579</v>
      </c>
      <c r="N246">
        <f t="shared" si="43"/>
        <v>2.2056043505242577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26216.85839583688</v>
      </c>
      <c r="T246">
        <f t="shared" si="47"/>
        <v>800.00040000000001</v>
      </c>
      <c r="U246">
        <f t="shared" si="48"/>
        <v>674.40052760009519</v>
      </c>
      <c r="V246">
        <f t="shared" si="49"/>
        <v>0.8430002379999999</v>
      </c>
      <c r="W246">
        <f t="shared" si="50"/>
        <v>0.15870059499999997</v>
      </c>
      <c r="X246">
        <v>1</v>
      </c>
      <c r="Y246">
        <v>1769198897.9333301</v>
      </c>
      <c r="Z246">
        <v>409.54333333333301</v>
      </c>
      <c r="AA246">
        <v>409.99953333333298</v>
      </c>
      <c r="AB246">
        <v>15.318633333333301</v>
      </c>
      <c r="AC246">
        <v>14.2165133333333</v>
      </c>
      <c r="AD246">
        <v>410.36366666666697</v>
      </c>
      <c r="AE246">
        <v>15.2183266666667</v>
      </c>
      <c r="AF246">
        <v>800.00653333333298</v>
      </c>
      <c r="AG246">
        <v>100.175266666667</v>
      </c>
      <c r="AH246">
        <v>6.4383853333333296E-2</v>
      </c>
      <c r="AI246">
        <v>19.003080000000001</v>
      </c>
      <c r="AJ246">
        <v>999.9</v>
      </c>
      <c r="AK246">
        <v>999.9</v>
      </c>
      <c r="AL246">
        <v>0</v>
      </c>
      <c r="AM246">
        <v>0</v>
      </c>
      <c r="AN246">
        <v>4991.6000000000004</v>
      </c>
      <c r="AO246">
        <v>0</v>
      </c>
      <c r="AP246">
        <v>1.63733</v>
      </c>
      <c r="AQ246">
        <v>-0.45628253333333302</v>
      </c>
      <c r="AR246">
        <v>415.9144</v>
      </c>
      <c r="AS246">
        <v>415.91239999999999</v>
      </c>
      <c r="AT246">
        <v>1.10212133333333</v>
      </c>
      <c r="AU246">
        <v>409.99953333333298</v>
      </c>
      <c r="AV246">
        <v>14.2165133333333</v>
      </c>
      <c r="AW246">
        <v>1.5345506666666699</v>
      </c>
      <c r="AX246">
        <v>1.42414533333333</v>
      </c>
      <c r="AY246">
        <v>13.3168133333333</v>
      </c>
      <c r="AZ246">
        <v>12.1771733333333</v>
      </c>
      <c r="BA246">
        <v>800.00040000000001</v>
      </c>
      <c r="BB246">
        <v>0.89999206666666698</v>
      </c>
      <c r="BC246">
        <v>0</v>
      </c>
      <c r="BD246">
        <v>0.10000793333333299</v>
      </c>
      <c r="BE246">
        <v>0</v>
      </c>
      <c r="BF246">
        <v>25</v>
      </c>
      <c r="BG246">
        <v>13190.993333333299</v>
      </c>
      <c r="BH246">
        <v>1769198352</v>
      </c>
      <c r="BI246" t="s">
        <v>707</v>
      </c>
      <c r="BJ246">
        <v>1769198330</v>
      </c>
      <c r="BK246">
        <v>1769198352</v>
      </c>
      <c r="BL246">
        <v>8</v>
      </c>
      <c r="BM246">
        <v>-1.4999999999999999E-2</v>
      </c>
      <c r="BN246">
        <v>6.0000000000000001E-3</v>
      </c>
      <c r="BO246">
        <v>-0.82</v>
      </c>
      <c r="BP246">
        <v>0.1</v>
      </c>
      <c r="BQ246">
        <v>410</v>
      </c>
      <c r="BR246">
        <v>15</v>
      </c>
      <c r="BS246">
        <v>0.24</v>
      </c>
      <c r="BT246">
        <v>7.0000000000000007E-2</v>
      </c>
      <c r="BU246">
        <v>-0.46713710000000003</v>
      </c>
      <c r="BV246">
        <v>0.228042766917293</v>
      </c>
      <c r="BW246">
        <v>3.00693289797095E-2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1.100927</v>
      </c>
      <c r="CD246">
        <v>2.1074887218043799E-2</v>
      </c>
      <c r="CE246">
        <v>2.52801127370904E-3</v>
      </c>
      <c r="CF246">
        <v>1</v>
      </c>
      <c r="CG246">
        <v>2</v>
      </c>
      <c r="CH246">
        <v>2</v>
      </c>
      <c r="CI246" t="s">
        <v>304</v>
      </c>
      <c r="CJ246">
        <v>3.5324800000000001</v>
      </c>
      <c r="CK246">
        <v>2.7022200000000001</v>
      </c>
      <c r="CL246">
        <v>9.7891599999999995E-2</v>
      </c>
      <c r="CM246">
        <v>9.6626900000000002E-2</v>
      </c>
      <c r="CN246">
        <v>8.6762199999999998E-2</v>
      </c>
      <c r="CO246">
        <v>8.1262000000000001E-2</v>
      </c>
      <c r="CP246">
        <v>31626.3</v>
      </c>
      <c r="CQ246">
        <v>27820</v>
      </c>
      <c r="CR246">
        <v>32448.3</v>
      </c>
      <c r="CS246">
        <v>30723.4</v>
      </c>
      <c r="CT246">
        <v>40132.800000000003</v>
      </c>
      <c r="CU246">
        <v>39700.400000000001</v>
      </c>
      <c r="CV246">
        <v>47395.7</v>
      </c>
      <c r="CW246">
        <v>46861.7</v>
      </c>
      <c r="CX246">
        <v>2.62052</v>
      </c>
      <c r="CY246">
        <v>2.1198399999999999</v>
      </c>
      <c r="CZ246">
        <v>0</v>
      </c>
      <c r="DA246">
        <v>0</v>
      </c>
      <c r="DB246">
        <v>999.9</v>
      </c>
      <c r="DC246">
        <v>999.9</v>
      </c>
      <c r="DD246">
        <v>47.771999999999998</v>
      </c>
      <c r="DE246">
        <v>28.419</v>
      </c>
      <c r="DF246">
        <v>18.543900000000001</v>
      </c>
      <c r="DG246">
        <v>30.299800000000001</v>
      </c>
      <c r="DH246">
        <v>16.506399999999999</v>
      </c>
      <c r="DI246">
        <v>2</v>
      </c>
      <c r="DJ246">
        <v>-0.10408299999999999</v>
      </c>
      <c r="DK246">
        <v>2.5125600000000001</v>
      </c>
      <c r="DL246">
        <v>20.191700000000001</v>
      </c>
      <c r="DM246">
        <v>5.2508299999999997</v>
      </c>
      <c r="DN246">
        <v>12.033899999999999</v>
      </c>
      <c r="DO246">
        <v>4.9670800000000002</v>
      </c>
      <c r="DP246">
        <v>3.2909999999999999</v>
      </c>
      <c r="DQ246">
        <v>537.20000000000005</v>
      </c>
      <c r="DR246">
        <v>9999</v>
      </c>
      <c r="DS246">
        <v>9999</v>
      </c>
      <c r="DT246">
        <v>9999</v>
      </c>
      <c r="DU246">
        <v>1.8711800000000001</v>
      </c>
      <c r="DV246">
        <v>1.8762099999999999</v>
      </c>
      <c r="DW246">
        <v>1.8763700000000001</v>
      </c>
      <c r="DX246">
        <v>1.88286</v>
      </c>
      <c r="DY246">
        <v>1.8756200000000001</v>
      </c>
      <c r="DZ246">
        <v>1.87469</v>
      </c>
      <c r="EA246">
        <v>1.8708800000000001</v>
      </c>
      <c r="EB246">
        <v>1.8746799999999999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-0.82</v>
      </c>
      <c r="EQ246">
        <v>0.1003</v>
      </c>
      <c r="ER246">
        <v>-0.82039999999994995</v>
      </c>
      <c r="ES246">
        <v>0</v>
      </c>
      <c r="ET246">
        <v>0</v>
      </c>
      <c r="EU246">
        <v>0</v>
      </c>
      <c r="EV246">
        <v>0.10032000000000001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9.6</v>
      </c>
      <c r="FE246">
        <v>9.1999999999999993</v>
      </c>
      <c r="FF246">
        <v>1.2439</v>
      </c>
      <c r="FG246">
        <v>2.6000999999999999</v>
      </c>
      <c r="FH246">
        <v>2.19604</v>
      </c>
      <c r="FI246">
        <v>2.66235</v>
      </c>
      <c r="FJ246">
        <v>2.4462899999999999</v>
      </c>
      <c r="FK246">
        <v>2.2863799999999999</v>
      </c>
      <c r="FL246">
        <v>32.709099999999999</v>
      </c>
      <c r="FM246">
        <v>24.14</v>
      </c>
      <c r="FN246">
        <v>19</v>
      </c>
      <c r="FO246">
        <v>865.59900000000005</v>
      </c>
      <c r="FP246">
        <v>570.15599999999995</v>
      </c>
      <c r="FQ246">
        <v>17.892600000000002</v>
      </c>
      <c r="FR246">
        <v>25.660799999999998</v>
      </c>
      <c r="FS246">
        <v>30.0001</v>
      </c>
      <c r="FT246">
        <v>25.6526</v>
      </c>
      <c r="FU246">
        <v>25.653099999999998</v>
      </c>
      <c r="FV246">
        <v>24.968699999999998</v>
      </c>
      <c r="FW246">
        <v>25.936299999999999</v>
      </c>
      <c r="FX246">
        <v>0</v>
      </c>
      <c r="FY246">
        <v>17.891300000000001</v>
      </c>
      <c r="FZ246">
        <v>410</v>
      </c>
      <c r="GA246">
        <v>14.2547</v>
      </c>
      <c r="GB246">
        <v>99.862899999999996</v>
      </c>
      <c r="GC246">
        <v>99.752200000000002</v>
      </c>
    </row>
    <row r="247" spans="1:185" x14ac:dyDescent="0.2">
      <c r="A247">
        <v>232</v>
      </c>
      <c r="B247">
        <v>1769198921</v>
      </c>
      <c r="C247">
        <v>4360</v>
      </c>
      <c r="D247" t="s">
        <v>764</v>
      </c>
      <c r="E247" t="s">
        <v>765</v>
      </c>
      <c r="F247">
        <v>15</v>
      </c>
      <c r="G247">
        <v>1769198912.9333301</v>
      </c>
      <c r="H247">
        <f t="shared" si="39"/>
        <v>8.9917073131691872E-4</v>
      </c>
      <c r="I247">
        <v>0</v>
      </c>
      <c r="J247">
        <f t="shared" si="51"/>
        <v>4.2609498478524967E-4</v>
      </c>
      <c r="K247">
        <f t="shared" si="40"/>
        <v>1.5877925933272547E-2</v>
      </c>
      <c r="L247">
        <f t="shared" si="41"/>
        <v>69.622927238975336</v>
      </c>
      <c r="M247">
        <f t="shared" si="42"/>
        <v>1.5356107839323161</v>
      </c>
      <c r="N247">
        <f t="shared" si="43"/>
        <v>2.2056107733899935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26312.17910180235</v>
      </c>
      <c r="T247">
        <f t="shared" si="47"/>
        <v>799.99860000000001</v>
      </c>
      <c r="U247">
        <f t="shared" si="48"/>
        <v>674.39906139957748</v>
      </c>
      <c r="V247">
        <f t="shared" si="49"/>
        <v>0.84300030200000031</v>
      </c>
      <c r="W247">
        <f t="shared" si="50"/>
        <v>0.15870062508000005</v>
      </c>
      <c r="X247">
        <v>1</v>
      </c>
      <c r="Y247">
        <v>1769198912.9333301</v>
      </c>
      <c r="Z247">
        <v>409.52486666666698</v>
      </c>
      <c r="AA247">
        <v>410.005</v>
      </c>
      <c r="AB247">
        <v>15.3194133333333</v>
      </c>
      <c r="AC247">
        <v>14.212680000000001</v>
      </c>
      <c r="AD247">
        <v>410.34526666666699</v>
      </c>
      <c r="AE247">
        <v>15.2190866666667</v>
      </c>
      <c r="AF247">
        <v>800.00840000000005</v>
      </c>
      <c r="AG247">
        <v>100.17513333333299</v>
      </c>
      <c r="AH247">
        <v>6.4396113333333296E-2</v>
      </c>
      <c r="AI247">
        <v>19.003126666666699</v>
      </c>
      <c r="AJ247">
        <v>999.9</v>
      </c>
      <c r="AK247">
        <v>999.9</v>
      </c>
      <c r="AL247">
        <v>0</v>
      </c>
      <c r="AM247">
        <v>0</v>
      </c>
      <c r="AN247">
        <v>5007.3</v>
      </c>
      <c r="AO247">
        <v>0</v>
      </c>
      <c r="AP247">
        <v>1.63733</v>
      </c>
      <c r="AQ247">
        <v>-0.48013913333333302</v>
      </c>
      <c r="AR247">
        <v>415.89606666666702</v>
      </c>
      <c r="AS247">
        <v>415.916333333333</v>
      </c>
      <c r="AT247">
        <v>1.106722</v>
      </c>
      <c r="AU247">
        <v>410.005</v>
      </c>
      <c r="AV247">
        <v>14.212680000000001</v>
      </c>
      <c r="AW247">
        <v>1.5346233333333299</v>
      </c>
      <c r="AX247">
        <v>1.423756</v>
      </c>
      <c r="AY247">
        <v>13.31756</v>
      </c>
      <c r="AZ247">
        <v>12.1730466666667</v>
      </c>
      <c r="BA247">
        <v>799.99860000000001</v>
      </c>
      <c r="BB247">
        <v>0.89999186666666697</v>
      </c>
      <c r="BC247">
        <v>0</v>
      </c>
      <c r="BD247">
        <v>0.10000820000000001</v>
      </c>
      <c r="BE247">
        <v>0</v>
      </c>
      <c r="BF247">
        <v>25</v>
      </c>
      <c r="BG247">
        <v>13190.98</v>
      </c>
      <c r="BH247">
        <v>1769198352</v>
      </c>
      <c r="BI247" t="s">
        <v>707</v>
      </c>
      <c r="BJ247">
        <v>1769198330</v>
      </c>
      <c r="BK247">
        <v>1769198352</v>
      </c>
      <c r="BL247">
        <v>8</v>
      </c>
      <c r="BM247">
        <v>-1.4999999999999999E-2</v>
      </c>
      <c r="BN247">
        <v>6.0000000000000001E-3</v>
      </c>
      <c r="BO247">
        <v>-0.82</v>
      </c>
      <c r="BP247">
        <v>0.1</v>
      </c>
      <c r="BQ247">
        <v>410</v>
      </c>
      <c r="BR247">
        <v>15</v>
      </c>
      <c r="BS247">
        <v>0.24</v>
      </c>
      <c r="BT247">
        <v>7.0000000000000007E-2</v>
      </c>
      <c r="BU247">
        <v>-0.47007095238095198</v>
      </c>
      <c r="BV247">
        <v>-9.1523688311687904E-2</v>
      </c>
      <c r="BW247">
        <v>2.9265174096569001E-2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1.10554285714286</v>
      </c>
      <c r="CD247">
        <v>2.2572467532468801E-2</v>
      </c>
      <c r="CE247">
        <v>2.5459700047930898E-3</v>
      </c>
      <c r="CF247">
        <v>1</v>
      </c>
      <c r="CG247">
        <v>2</v>
      </c>
      <c r="CH247">
        <v>2</v>
      </c>
      <c r="CI247" t="s">
        <v>304</v>
      </c>
      <c r="CJ247">
        <v>3.5325199999999999</v>
      </c>
      <c r="CK247">
        <v>2.7020200000000001</v>
      </c>
      <c r="CL247">
        <v>9.7890599999999994E-2</v>
      </c>
      <c r="CM247">
        <v>9.6620899999999996E-2</v>
      </c>
      <c r="CN247">
        <v>8.6778800000000003E-2</v>
      </c>
      <c r="CO247">
        <v>8.1240999999999994E-2</v>
      </c>
      <c r="CP247">
        <v>31626</v>
      </c>
      <c r="CQ247">
        <v>27819.7</v>
      </c>
      <c r="CR247">
        <v>32448</v>
      </c>
      <c r="CS247">
        <v>30722.9</v>
      </c>
      <c r="CT247">
        <v>40131.5</v>
      </c>
      <c r="CU247">
        <v>39700.699999999997</v>
      </c>
      <c r="CV247">
        <v>47395</v>
      </c>
      <c r="CW247">
        <v>46861</v>
      </c>
      <c r="CX247">
        <v>2.6205799999999999</v>
      </c>
      <c r="CY247">
        <v>2.1197400000000002</v>
      </c>
      <c r="CZ247">
        <v>0</v>
      </c>
      <c r="DA247">
        <v>0</v>
      </c>
      <c r="DB247">
        <v>999.9</v>
      </c>
      <c r="DC247">
        <v>999.9</v>
      </c>
      <c r="DD247">
        <v>47.747999999999998</v>
      </c>
      <c r="DE247">
        <v>28.419</v>
      </c>
      <c r="DF247">
        <v>18.534300000000002</v>
      </c>
      <c r="DG247">
        <v>30.209800000000001</v>
      </c>
      <c r="DH247">
        <v>16.478400000000001</v>
      </c>
      <c r="DI247">
        <v>2</v>
      </c>
      <c r="DJ247">
        <v>-0.103947</v>
      </c>
      <c r="DK247">
        <v>2.52088</v>
      </c>
      <c r="DL247">
        <v>20.191600000000001</v>
      </c>
      <c r="DM247">
        <v>5.25</v>
      </c>
      <c r="DN247">
        <v>12.033899999999999</v>
      </c>
      <c r="DO247">
        <v>4.9669600000000003</v>
      </c>
      <c r="DP247">
        <v>3.2909999999999999</v>
      </c>
      <c r="DQ247">
        <v>537.20000000000005</v>
      </c>
      <c r="DR247">
        <v>9999</v>
      </c>
      <c r="DS247">
        <v>9999</v>
      </c>
      <c r="DT247">
        <v>9999</v>
      </c>
      <c r="DU247">
        <v>1.8711599999999999</v>
      </c>
      <c r="DV247">
        <v>1.87619</v>
      </c>
      <c r="DW247">
        <v>1.8763700000000001</v>
      </c>
      <c r="DX247">
        <v>1.8828400000000001</v>
      </c>
      <c r="DY247">
        <v>1.8756200000000001</v>
      </c>
      <c r="DZ247">
        <v>1.87469</v>
      </c>
      <c r="EA247">
        <v>1.8708800000000001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-0.82</v>
      </c>
      <c r="EQ247">
        <v>0.1003</v>
      </c>
      <c r="ER247">
        <v>-0.82039999999994995</v>
      </c>
      <c r="ES247">
        <v>0</v>
      </c>
      <c r="ET247">
        <v>0</v>
      </c>
      <c r="EU247">
        <v>0</v>
      </c>
      <c r="EV247">
        <v>0.10032000000000001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9.8000000000000007</v>
      </c>
      <c r="FE247">
        <v>9.5</v>
      </c>
      <c r="FF247">
        <v>1.2439</v>
      </c>
      <c r="FG247">
        <v>2.5976599999999999</v>
      </c>
      <c r="FH247">
        <v>2.19604</v>
      </c>
      <c r="FI247">
        <v>2.66357</v>
      </c>
      <c r="FJ247">
        <v>2.4462899999999999</v>
      </c>
      <c r="FK247">
        <v>2.2973599999999998</v>
      </c>
      <c r="FL247">
        <v>32.709099999999999</v>
      </c>
      <c r="FM247">
        <v>24.14</v>
      </c>
      <c r="FN247">
        <v>19</v>
      </c>
      <c r="FO247">
        <v>865.65499999999997</v>
      </c>
      <c r="FP247">
        <v>570.10400000000004</v>
      </c>
      <c r="FQ247">
        <v>17.883800000000001</v>
      </c>
      <c r="FR247">
        <v>25.662500000000001</v>
      </c>
      <c r="FS247">
        <v>30.0001</v>
      </c>
      <c r="FT247">
        <v>25.6526</v>
      </c>
      <c r="FU247">
        <v>25.6553</v>
      </c>
      <c r="FV247">
        <v>24.967199999999998</v>
      </c>
      <c r="FW247">
        <v>25.936299999999999</v>
      </c>
      <c r="FX247">
        <v>0</v>
      </c>
      <c r="FY247">
        <v>17.882000000000001</v>
      </c>
      <c r="FZ247">
        <v>410</v>
      </c>
      <c r="GA247">
        <v>14.2547</v>
      </c>
      <c r="GB247">
        <v>99.861699999999999</v>
      </c>
      <c r="GC247">
        <v>99.750699999999995</v>
      </c>
    </row>
    <row r="248" spans="1:185" x14ac:dyDescent="0.2">
      <c r="A248">
        <v>233</v>
      </c>
      <c r="B248">
        <v>1769198936</v>
      </c>
      <c r="C248">
        <v>4375</v>
      </c>
      <c r="D248" t="s">
        <v>766</v>
      </c>
      <c r="E248" t="s">
        <v>767</v>
      </c>
      <c r="F248">
        <v>15</v>
      </c>
      <c r="G248">
        <v>1769198927.9333301</v>
      </c>
      <c r="H248">
        <f t="shared" si="39"/>
        <v>9.0505796778958688E-4</v>
      </c>
      <c r="I248">
        <v>0</v>
      </c>
      <c r="J248">
        <f t="shared" si="51"/>
        <v>-2.71659648256744E-5</v>
      </c>
      <c r="K248">
        <f t="shared" si="40"/>
        <v>-1.0123075671152027E-3</v>
      </c>
      <c r="L248">
        <f t="shared" si="41"/>
        <v>69.645956449212093</v>
      </c>
      <c r="M248">
        <f t="shared" si="42"/>
        <v>1.5359372410386862</v>
      </c>
      <c r="N248">
        <f t="shared" si="43"/>
        <v>2.2053502017144919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26209.321721553628</v>
      </c>
      <c r="T248">
        <f t="shared" si="47"/>
        <v>800.00026666666702</v>
      </c>
      <c r="U248">
        <f t="shared" si="48"/>
        <v>674.40035920004505</v>
      </c>
      <c r="V248">
        <f t="shared" si="49"/>
        <v>0.84300016799999988</v>
      </c>
      <c r="W248">
        <f t="shared" si="50"/>
        <v>0.15870042000000001</v>
      </c>
      <c r="X248">
        <v>1</v>
      </c>
      <c r="Y248">
        <v>1769198927.9333301</v>
      </c>
      <c r="Z248">
        <v>409.54933333333298</v>
      </c>
      <c r="AA248">
        <v>410.01139999999998</v>
      </c>
      <c r="AB248">
        <v>15.32282</v>
      </c>
      <c r="AC248">
        <v>14.208833333333301</v>
      </c>
      <c r="AD248">
        <v>410.33433333333301</v>
      </c>
      <c r="AE248">
        <v>15.2224866666667</v>
      </c>
      <c r="AF248">
        <v>800.00053333333301</v>
      </c>
      <c r="AG248">
        <v>100.174466666667</v>
      </c>
      <c r="AH248">
        <v>6.4082180000000002E-2</v>
      </c>
      <c r="AI248">
        <v>19.0012333333333</v>
      </c>
      <c r="AJ248">
        <v>999.9</v>
      </c>
      <c r="AK248">
        <v>999.9</v>
      </c>
      <c r="AL248">
        <v>0</v>
      </c>
      <c r="AM248">
        <v>0</v>
      </c>
      <c r="AN248">
        <v>4990.3666666666704</v>
      </c>
      <c r="AO248">
        <v>0</v>
      </c>
      <c r="AP248">
        <v>1.63733</v>
      </c>
      <c r="AQ248">
        <v>-0.49749139999999997</v>
      </c>
      <c r="AR248">
        <v>415.88646666666699</v>
      </c>
      <c r="AS248">
        <v>415.921066666667</v>
      </c>
      <c r="AT248">
        <v>1.11399733333333</v>
      </c>
      <c r="AU248">
        <v>410.01139999999998</v>
      </c>
      <c r="AV248">
        <v>14.208833333333301</v>
      </c>
      <c r="AW248">
        <v>1.53495466666667</v>
      </c>
      <c r="AX248">
        <v>1.4233613333333299</v>
      </c>
      <c r="AY248">
        <v>13.320866666666699</v>
      </c>
      <c r="AZ248">
        <v>12.16882</v>
      </c>
      <c r="BA248">
        <v>800.00026666666702</v>
      </c>
      <c r="BB248">
        <v>0.89999439999999997</v>
      </c>
      <c r="BC248">
        <v>0</v>
      </c>
      <c r="BD248">
        <v>0.1000056</v>
      </c>
      <c r="BE248">
        <v>0</v>
      </c>
      <c r="BF248">
        <v>25</v>
      </c>
      <c r="BG248">
        <v>13190.9866666667</v>
      </c>
      <c r="BH248">
        <v>1769198962</v>
      </c>
      <c r="BI248" t="s">
        <v>768</v>
      </c>
      <c r="BJ248">
        <v>1769198962</v>
      </c>
      <c r="BK248">
        <v>1769198352</v>
      </c>
      <c r="BL248">
        <v>9</v>
      </c>
      <c r="BM248">
        <v>3.5999999999999997E-2</v>
      </c>
      <c r="BN248">
        <v>6.0000000000000001E-3</v>
      </c>
      <c r="BO248">
        <v>-0.78500000000000003</v>
      </c>
      <c r="BP248">
        <v>0.1</v>
      </c>
      <c r="BQ248">
        <v>410</v>
      </c>
      <c r="BR248">
        <v>15</v>
      </c>
      <c r="BS248">
        <v>0.32</v>
      </c>
      <c r="BT248">
        <v>7.0000000000000007E-2</v>
      </c>
      <c r="BU248">
        <v>-0.4918517</v>
      </c>
      <c r="BV248">
        <v>-0.114572030075188</v>
      </c>
      <c r="BW248">
        <v>2.0134852887716902E-2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1.1127450000000001</v>
      </c>
      <c r="CD248">
        <v>2.0717593984960599E-2</v>
      </c>
      <c r="CE248">
        <v>2.7621160366646399E-3</v>
      </c>
      <c r="CF248">
        <v>1</v>
      </c>
      <c r="CG248">
        <v>2</v>
      </c>
      <c r="CH248">
        <v>2</v>
      </c>
      <c r="CI248" t="s">
        <v>304</v>
      </c>
      <c r="CJ248">
        <v>3.5325500000000001</v>
      </c>
      <c r="CK248">
        <v>2.7017000000000002</v>
      </c>
      <c r="CL248">
        <v>9.7891000000000006E-2</v>
      </c>
      <c r="CM248">
        <v>9.6624600000000005E-2</v>
      </c>
      <c r="CN248">
        <v>8.6772299999999997E-2</v>
      </c>
      <c r="CO248">
        <v>8.1225400000000003E-2</v>
      </c>
      <c r="CP248">
        <v>31625.8</v>
      </c>
      <c r="CQ248">
        <v>27820.400000000001</v>
      </c>
      <c r="CR248">
        <v>32447.8</v>
      </c>
      <c r="CS248">
        <v>30723.8</v>
      </c>
      <c r="CT248">
        <v>40131.800000000003</v>
      </c>
      <c r="CU248">
        <v>39702.5</v>
      </c>
      <c r="CV248">
        <v>47395</v>
      </c>
      <c r="CW248">
        <v>46862.2</v>
      </c>
      <c r="CX248">
        <v>2.6205799999999999</v>
      </c>
      <c r="CY248">
        <v>2.1196799999999998</v>
      </c>
      <c r="CZ248">
        <v>0</v>
      </c>
      <c r="DA248">
        <v>0</v>
      </c>
      <c r="DB248">
        <v>999.9</v>
      </c>
      <c r="DC248">
        <v>999.9</v>
      </c>
      <c r="DD248">
        <v>47.728999999999999</v>
      </c>
      <c r="DE248">
        <v>28.419</v>
      </c>
      <c r="DF248">
        <v>18.527899999999999</v>
      </c>
      <c r="DG248">
        <v>30.419799999999999</v>
      </c>
      <c r="DH248">
        <v>16.4543</v>
      </c>
      <c r="DI248">
        <v>2</v>
      </c>
      <c r="DJ248">
        <v>-0.103823</v>
      </c>
      <c r="DK248">
        <v>2.5205299999999999</v>
      </c>
      <c r="DL248">
        <v>20.191700000000001</v>
      </c>
      <c r="DM248">
        <v>5.25</v>
      </c>
      <c r="DN248">
        <v>12.033899999999999</v>
      </c>
      <c r="DO248">
        <v>4.9670399999999999</v>
      </c>
      <c r="DP248">
        <v>3.2909999999999999</v>
      </c>
      <c r="DQ248">
        <v>537.20000000000005</v>
      </c>
      <c r="DR248">
        <v>9999</v>
      </c>
      <c r="DS248">
        <v>9999</v>
      </c>
      <c r="DT248">
        <v>9999</v>
      </c>
      <c r="DU248">
        <v>1.8711800000000001</v>
      </c>
      <c r="DV248">
        <v>1.8762099999999999</v>
      </c>
      <c r="DW248">
        <v>1.8763700000000001</v>
      </c>
      <c r="DX248">
        <v>1.8828400000000001</v>
      </c>
      <c r="DY248">
        <v>1.87564</v>
      </c>
      <c r="DZ248">
        <v>1.87469</v>
      </c>
      <c r="EA248">
        <v>1.8708800000000001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-0.78500000000000003</v>
      </c>
      <c r="EQ248">
        <v>0.1004</v>
      </c>
      <c r="ER248">
        <v>-0.82039999999994995</v>
      </c>
      <c r="ES248">
        <v>0</v>
      </c>
      <c r="ET248">
        <v>0</v>
      </c>
      <c r="EU248">
        <v>0</v>
      </c>
      <c r="EV248">
        <v>0.10032000000000001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10.1</v>
      </c>
      <c r="FE248">
        <v>9.6999999999999993</v>
      </c>
      <c r="FF248">
        <v>1.2439</v>
      </c>
      <c r="FG248">
        <v>2.5952099999999998</v>
      </c>
      <c r="FH248">
        <v>2.19604</v>
      </c>
      <c r="FI248">
        <v>2.66235</v>
      </c>
      <c r="FJ248">
        <v>2.4462899999999999</v>
      </c>
      <c r="FK248">
        <v>2.3290999999999999</v>
      </c>
      <c r="FL248">
        <v>32.709099999999999</v>
      </c>
      <c r="FM248">
        <v>24.1313</v>
      </c>
      <c r="FN248">
        <v>19</v>
      </c>
      <c r="FO248">
        <v>865.66200000000003</v>
      </c>
      <c r="FP248">
        <v>570.05799999999999</v>
      </c>
      <c r="FQ248">
        <v>17.878399999999999</v>
      </c>
      <c r="FR248">
        <v>25.662500000000001</v>
      </c>
      <c r="FS248">
        <v>30.0002</v>
      </c>
      <c r="FT248">
        <v>25.653099999999998</v>
      </c>
      <c r="FU248">
        <v>25.6553</v>
      </c>
      <c r="FV248">
        <v>24.9665</v>
      </c>
      <c r="FW248">
        <v>25.936299999999999</v>
      </c>
      <c r="FX248">
        <v>0</v>
      </c>
      <c r="FY248">
        <v>17.878</v>
      </c>
      <c r="FZ248">
        <v>410</v>
      </c>
      <c r="GA248">
        <v>14.2547</v>
      </c>
      <c r="GB248">
        <v>99.861400000000003</v>
      </c>
      <c r="GC248">
        <v>99.753399999999999</v>
      </c>
    </row>
    <row r="249" spans="1:185" x14ac:dyDescent="0.2">
      <c r="A249">
        <v>234</v>
      </c>
      <c r="B249">
        <v>1769198964</v>
      </c>
      <c r="C249">
        <v>4403</v>
      </c>
      <c r="D249" t="s">
        <v>769</v>
      </c>
      <c r="E249" t="s">
        <v>770</v>
      </c>
      <c r="F249">
        <v>15</v>
      </c>
      <c r="G249">
        <v>1769198963</v>
      </c>
      <c r="H249">
        <f t="shared" si="39"/>
        <v>1.2903580820649567E-5</v>
      </c>
      <c r="I249">
        <v>0</v>
      </c>
      <c r="J249">
        <f t="shared" si="51"/>
        <v>-2.9223875258963542E-4</v>
      </c>
      <c r="K249">
        <f t="shared" si="40"/>
        <v>-1.0889931668143919E-2</v>
      </c>
      <c r="L249">
        <f t="shared" si="41"/>
        <v>64.618843852101378</v>
      </c>
      <c r="M249">
        <f t="shared" si="42"/>
        <v>1.4250688389856001</v>
      </c>
      <c r="N249">
        <f t="shared" si="43"/>
        <v>2.2053456144267702</v>
      </c>
      <c r="O249">
        <v>490</v>
      </c>
      <c r="P249">
        <v>61</v>
      </c>
      <c r="Q249">
        <f t="shared" si="44"/>
        <v>1</v>
      </c>
      <c r="R249">
        <f t="shared" si="45"/>
        <v>0</v>
      </c>
      <c r="S249">
        <f t="shared" si="46"/>
        <v>26313.794843977132</v>
      </c>
      <c r="T249">
        <f t="shared" si="47"/>
        <v>799.99800000000005</v>
      </c>
      <c r="U249">
        <f t="shared" si="48"/>
        <v>674.39867399910008</v>
      </c>
      <c r="V249">
        <f t="shared" si="49"/>
        <v>0.84300045000000001</v>
      </c>
      <c r="W249">
        <f t="shared" si="50"/>
        <v>0.158701125</v>
      </c>
      <c r="X249">
        <v>1</v>
      </c>
      <c r="Y249">
        <v>1769198963</v>
      </c>
      <c r="Z249">
        <v>409.95299999999997</v>
      </c>
      <c r="AA249">
        <v>409.94600000000003</v>
      </c>
      <c r="AB249">
        <v>14.2148</v>
      </c>
      <c r="AC249">
        <v>14.1989</v>
      </c>
      <c r="AD249">
        <v>410.738</v>
      </c>
      <c r="AE249">
        <v>14.1168</v>
      </c>
      <c r="AF249">
        <v>800.01</v>
      </c>
      <c r="AG249">
        <v>100.176</v>
      </c>
      <c r="AH249">
        <v>7.6471999999999998E-2</v>
      </c>
      <c r="AI249">
        <v>19.001200000000001</v>
      </c>
      <c r="AJ249">
        <v>999.9</v>
      </c>
      <c r="AK249">
        <v>999.9</v>
      </c>
      <c r="AL249">
        <v>0</v>
      </c>
      <c r="AM249">
        <v>0</v>
      </c>
      <c r="AN249">
        <v>5007.5</v>
      </c>
      <c r="AO249">
        <v>0</v>
      </c>
      <c r="AP249">
        <v>1.6599200000000001</v>
      </c>
      <c r="AQ249">
        <v>7.20215E-3</v>
      </c>
      <c r="AR249">
        <v>415.86599999999999</v>
      </c>
      <c r="AS249">
        <v>415.851</v>
      </c>
      <c r="AT249">
        <v>1.8207600000000001E-2</v>
      </c>
      <c r="AU249">
        <v>409.94600000000003</v>
      </c>
      <c r="AV249">
        <v>14.1989</v>
      </c>
      <c r="AW249">
        <v>1.42422</v>
      </c>
      <c r="AX249">
        <v>1.4224000000000001</v>
      </c>
      <c r="AY249">
        <v>12.178000000000001</v>
      </c>
      <c r="AZ249">
        <v>12.1585</v>
      </c>
      <c r="BA249">
        <v>799.99800000000005</v>
      </c>
      <c r="BB249">
        <v>0.89998500000000003</v>
      </c>
      <c r="BC249">
        <v>0</v>
      </c>
      <c r="BD249">
        <v>0.10001500000000001</v>
      </c>
      <c r="BE249">
        <v>0</v>
      </c>
      <c r="BF249">
        <v>25</v>
      </c>
      <c r="BG249">
        <v>13190.9</v>
      </c>
      <c r="BH249">
        <v>1769198984</v>
      </c>
      <c r="BI249" t="s">
        <v>771</v>
      </c>
      <c r="BJ249">
        <v>1769198962</v>
      </c>
      <c r="BK249">
        <v>1769198984</v>
      </c>
      <c r="BL249">
        <v>10</v>
      </c>
      <c r="BM249">
        <v>3.5999999999999997E-2</v>
      </c>
      <c r="BN249">
        <v>-2E-3</v>
      </c>
      <c r="BO249">
        <v>-0.78500000000000003</v>
      </c>
      <c r="BP249">
        <v>9.8000000000000004E-2</v>
      </c>
      <c r="BQ249">
        <v>410</v>
      </c>
      <c r="BR249">
        <v>15</v>
      </c>
      <c r="BS249">
        <v>0.32</v>
      </c>
      <c r="BT249">
        <v>0.05</v>
      </c>
      <c r="BU249">
        <v>-4.8898327499999998E-2</v>
      </c>
      <c r="BV249">
        <v>0.24682643684210501</v>
      </c>
      <c r="BW249">
        <v>2.90772276073798E-2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1.7995364999999999E-2</v>
      </c>
      <c r="CD249">
        <v>-1.3976187969924799E-2</v>
      </c>
      <c r="CE249">
        <v>1.99453551517014E-3</v>
      </c>
      <c r="CF249">
        <v>1</v>
      </c>
      <c r="CG249">
        <v>2</v>
      </c>
      <c r="CH249">
        <v>2</v>
      </c>
      <c r="CI249" t="s">
        <v>304</v>
      </c>
      <c r="CJ249">
        <v>3.5339700000000001</v>
      </c>
      <c r="CK249">
        <v>2.7130200000000002</v>
      </c>
      <c r="CL249">
        <v>9.7946699999999998E-2</v>
      </c>
      <c r="CM249">
        <v>9.6609500000000001E-2</v>
      </c>
      <c r="CN249">
        <v>8.2155699999999998E-2</v>
      </c>
      <c r="CO249">
        <v>8.1189700000000004E-2</v>
      </c>
      <c r="CP249">
        <v>31624.3</v>
      </c>
      <c r="CQ249">
        <v>27820.5</v>
      </c>
      <c r="CR249">
        <v>32448.400000000001</v>
      </c>
      <c r="CS249">
        <v>30723.4</v>
      </c>
      <c r="CT249">
        <v>40341.300000000003</v>
      </c>
      <c r="CU249">
        <v>39703.800000000003</v>
      </c>
      <c r="CV249">
        <v>47395.6</v>
      </c>
      <c r="CW249">
        <v>46861.9</v>
      </c>
      <c r="CX249">
        <v>1.6708799999999999</v>
      </c>
      <c r="CY249">
        <v>1.5951599999999999</v>
      </c>
      <c r="CZ249">
        <v>0</v>
      </c>
      <c r="DA249">
        <v>0</v>
      </c>
      <c r="DB249">
        <v>999.9</v>
      </c>
      <c r="DC249">
        <v>999.9</v>
      </c>
      <c r="DD249">
        <v>47.692999999999998</v>
      </c>
      <c r="DE249">
        <v>28.439</v>
      </c>
      <c r="DF249">
        <v>18.534800000000001</v>
      </c>
      <c r="DG249">
        <v>29.799800000000001</v>
      </c>
      <c r="DH249">
        <v>16.782900000000001</v>
      </c>
      <c r="DI249">
        <v>2</v>
      </c>
      <c r="DJ249">
        <v>-0.103563</v>
      </c>
      <c r="DK249">
        <v>2.5493700000000001</v>
      </c>
      <c r="DL249">
        <v>20.189499999999999</v>
      </c>
      <c r="DM249">
        <v>5.2429300000000003</v>
      </c>
      <c r="DN249">
        <v>12.033899999999999</v>
      </c>
      <c r="DO249">
        <v>4.96556</v>
      </c>
      <c r="DP249">
        <v>3.2898999999999998</v>
      </c>
      <c r="DQ249">
        <v>537.20000000000005</v>
      </c>
      <c r="DR249">
        <v>9999</v>
      </c>
      <c r="DS249">
        <v>9999</v>
      </c>
      <c r="DT249">
        <v>9999</v>
      </c>
      <c r="DU249">
        <v>1.87117</v>
      </c>
      <c r="DV249">
        <v>1.8761699999999999</v>
      </c>
      <c r="DW249">
        <v>1.87636</v>
      </c>
      <c r="DX249">
        <v>1.88283</v>
      </c>
      <c r="DY249">
        <v>1.8756200000000001</v>
      </c>
      <c r="DZ249">
        <v>1.87469</v>
      </c>
      <c r="EA249">
        <v>1.87087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-0.78500000000000003</v>
      </c>
      <c r="EQ249">
        <v>9.8000000000000004E-2</v>
      </c>
      <c r="ER249">
        <v>-0.78479999999996197</v>
      </c>
      <c r="ES249">
        <v>0</v>
      </c>
      <c r="ET249">
        <v>0</v>
      </c>
      <c r="EU249">
        <v>0</v>
      </c>
      <c r="EV249">
        <v>0.10032000000000001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0</v>
      </c>
      <c r="FE249">
        <v>10.199999999999999</v>
      </c>
      <c r="FF249">
        <v>1.2439</v>
      </c>
      <c r="FG249">
        <v>2.5988799999999999</v>
      </c>
      <c r="FH249">
        <v>2.19604</v>
      </c>
      <c r="FI249">
        <v>2.66357</v>
      </c>
      <c r="FJ249">
        <v>2.4462899999999999</v>
      </c>
      <c r="FK249">
        <v>2.2875999999999999</v>
      </c>
      <c r="FL249">
        <v>32.731299999999997</v>
      </c>
      <c r="FM249">
        <v>24.1313</v>
      </c>
      <c r="FN249">
        <v>19</v>
      </c>
      <c r="FO249">
        <v>291.95999999999998</v>
      </c>
      <c r="FP249">
        <v>274.62400000000002</v>
      </c>
      <c r="FQ249">
        <v>17.868099999999998</v>
      </c>
      <c r="FR249">
        <v>25.666799999999999</v>
      </c>
      <c r="FS249">
        <v>30</v>
      </c>
      <c r="FT249">
        <v>25.675999999999998</v>
      </c>
      <c r="FU249">
        <v>25.674700000000001</v>
      </c>
      <c r="FV249">
        <v>24.965699999999998</v>
      </c>
      <c r="FW249">
        <v>23.123999999999999</v>
      </c>
      <c r="FX249">
        <v>0</v>
      </c>
      <c r="FY249">
        <v>17.866399999999999</v>
      </c>
      <c r="FZ249">
        <v>410</v>
      </c>
      <c r="GA249">
        <v>15.0345</v>
      </c>
      <c r="GB249">
        <v>99.862899999999996</v>
      </c>
      <c r="GC249">
        <v>99.752499999999998</v>
      </c>
    </row>
    <row r="250" spans="1:185" x14ac:dyDescent="0.2">
      <c r="A250">
        <v>235</v>
      </c>
      <c r="B250">
        <v>1769198986</v>
      </c>
      <c r="C250">
        <v>4425</v>
      </c>
      <c r="D250" t="s">
        <v>772</v>
      </c>
      <c r="E250" t="s">
        <v>773</v>
      </c>
      <c r="F250">
        <v>15</v>
      </c>
      <c r="G250">
        <v>1769198985</v>
      </c>
      <c r="H250">
        <f t="shared" si="39"/>
        <v>3.2476219647045764E-7</v>
      </c>
      <c r="I250">
        <v>0</v>
      </c>
      <c r="J250">
        <f t="shared" si="51"/>
        <v>7.0488681025788721E-4</v>
      </c>
      <c r="K250">
        <f t="shared" si="40"/>
        <v>2.6266773757631225E-2</v>
      </c>
      <c r="L250">
        <f t="shared" si="41"/>
        <v>66.694347628290302</v>
      </c>
      <c r="M250">
        <f t="shared" si="42"/>
        <v>1.4707582671361799</v>
      </c>
      <c r="N250">
        <f t="shared" si="43"/>
        <v>2.2052217608202769</v>
      </c>
      <c r="O250">
        <v>482</v>
      </c>
      <c r="P250">
        <v>60</v>
      </c>
      <c r="Q250">
        <f t="shared" si="44"/>
        <v>1</v>
      </c>
      <c r="R250">
        <f t="shared" si="45"/>
        <v>0</v>
      </c>
      <c r="S250">
        <f t="shared" si="46"/>
        <v>26275.712435589216</v>
      </c>
      <c r="T250">
        <f t="shared" si="47"/>
        <v>800.005</v>
      </c>
      <c r="U250">
        <f t="shared" si="48"/>
        <v>674.40452700194999</v>
      </c>
      <c r="V250">
        <f t="shared" si="49"/>
        <v>0.84300039000000004</v>
      </c>
      <c r="W250">
        <f t="shared" si="50"/>
        <v>0.15870097499999999</v>
      </c>
      <c r="X250">
        <v>1</v>
      </c>
      <c r="Y250">
        <v>1769198985</v>
      </c>
      <c r="Z250">
        <v>409.71899999999999</v>
      </c>
      <c r="AA250">
        <v>409.75200000000001</v>
      </c>
      <c r="AB250">
        <v>14.6698</v>
      </c>
      <c r="AC250">
        <v>14.6694</v>
      </c>
      <c r="AD250">
        <v>410.50400000000002</v>
      </c>
      <c r="AE250">
        <v>14.5717</v>
      </c>
      <c r="AF250">
        <v>799.995</v>
      </c>
      <c r="AG250">
        <v>100.181</v>
      </c>
      <c r="AH250">
        <v>7.65541E-2</v>
      </c>
      <c r="AI250">
        <v>19.000299999999999</v>
      </c>
      <c r="AJ250">
        <v>999.9</v>
      </c>
      <c r="AK250">
        <v>999.9</v>
      </c>
      <c r="AL250">
        <v>0</v>
      </c>
      <c r="AM250">
        <v>0</v>
      </c>
      <c r="AN250">
        <v>5001</v>
      </c>
      <c r="AO250">
        <v>0</v>
      </c>
      <c r="AP250">
        <v>1.6712100000000001</v>
      </c>
      <c r="AQ250">
        <v>-3.24097E-2</v>
      </c>
      <c r="AR250">
        <v>415.81900000000002</v>
      </c>
      <c r="AS250">
        <v>415.85199999999998</v>
      </c>
      <c r="AT250">
        <v>3.7765500000000002E-4</v>
      </c>
      <c r="AU250">
        <v>409.75200000000001</v>
      </c>
      <c r="AV250">
        <v>14.6694</v>
      </c>
      <c r="AW250">
        <v>1.4696400000000001</v>
      </c>
      <c r="AX250">
        <v>1.4696</v>
      </c>
      <c r="AY250">
        <v>12.655900000000001</v>
      </c>
      <c r="AZ250">
        <v>12.6555</v>
      </c>
      <c r="BA250">
        <v>800.005</v>
      </c>
      <c r="BB250">
        <v>0.89998699999999998</v>
      </c>
      <c r="BC250">
        <v>0</v>
      </c>
      <c r="BD250">
        <v>0.100013</v>
      </c>
      <c r="BE250">
        <v>0</v>
      </c>
      <c r="BF250">
        <v>25</v>
      </c>
      <c r="BG250">
        <v>13191.1</v>
      </c>
      <c r="BH250">
        <v>1769198984</v>
      </c>
      <c r="BI250" t="s">
        <v>771</v>
      </c>
      <c r="BJ250">
        <v>1769198962</v>
      </c>
      <c r="BK250">
        <v>1769198984</v>
      </c>
      <c r="BL250">
        <v>10</v>
      </c>
      <c r="BM250">
        <v>3.5999999999999997E-2</v>
      </c>
      <c r="BN250">
        <v>-2E-3</v>
      </c>
      <c r="BO250">
        <v>-0.78500000000000003</v>
      </c>
      <c r="BP250">
        <v>9.8000000000000004E-2</v>
      </c>
      <c r="BQ250">
        <v>410</v>
      </c>
      <c r="BR250">
        <v>15</v>
      </c>
      <c r="BS250">
        <v>0.32</v>
      </c>
      <c r="BT250">
        <v>0.05</v>
      </c>
      <c r="BU250">
        <v>4.7668494999999998E-3</v>
      </c>
      <c r="BV250">
        <v>-2.0934635639097698E-2</v>
      </c>
      <c r="BW250">
        <v>2.0937188647094498E-2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9.2674280750000004E-2</v>
      </c>
      <c r="CD250">
        <v>-1.2681715143609</v>
      </c>
      <c r="CE250">
        <v>0.16181840416662199</v>
      </c>
      <c r="CF250">
        <v>0</v>
      </c>
      <c r="CG250">
        <v>1</v>
      </c>
      <c r="CH250">
        <v>2</v>
      </c>
      <c r="CI250" t="s">
        <v>297</v>
      </c>
      <c r="CJ250">
        <v>3.5337999999999998</v>
      </c>
      <c r="CK250">
        <v>2.71286</v>
      </c>
      <c r="CL250">
        <v>9.7913299999999995E-2</v>
      </c>
      <c r="CM250">
        <v>9.6580100000000002E-2</v>
      </c>
      <c r="CN250">
        <v>8.4173300000000006E-2</v>
      </c>
      <c r="CO250">
        <v>8.3179199999999995E-2</v>
      </c>
      <c r="CP250">
        <v>31624.7</v>
      </c>
      <c r="CQ250">
        <v>27821.4</v>
      </c>
      <c r="CR250">
        <v>32447.5</v>
      </c>
      <c r="CS250">
        <v>30723.4</v>
      </c>
      <c r="CT250">
        <v>40248.800000000003</v>
      </c>
      <c r="CU250">
        <v>39615.599999999999</v>
      </c>
      <c r="CV250">
        <v>47394.2</v>
      </c>
      <c r="CW250">
        <v>46862.1</v>
      </c>
      <c r="CX250">
        <v>1.6844399999999999</v>
      </c>
      <c r="CY250">
        <v>1.60006</v>
      </c>
      <c r="CZ250">
        <v>0</v>
      </c>
      <c r="DA250">
        <v>0</v>
      </c>
      <c r="DB250">
        <v>999.9</v>
      </c>
      <c r="DC250">
        <v>999.9</v>
      </c>
      <c r="DD250">
        <v>47.643999999999998</v>
      </c>
      <c r="DE250">
        <v>28.45</v>
      </c>
      <c r="DF250">
        <v>18.5245</v>
      </c>
      <c r="DG250">
        <v>30.829799999999999</v>
      </c>
      <c r="DH250">
        <v>16.867000000000001</v>
      </c>
      <c r="DI250">
        <v>2</v>
      </c>
      <c r="DJ250">
        <v>-0.10318099999999999</v>
      </c>
      <c r="DK250">
        <v>2.53111</v>
      </c>
      <c r="DL250">
        <v>20.189599999999999</v>
      </c>
      <c r="DM250">
        <v>5.24329</v>
      </c>
      <c r="DN250">
        <v>12.033899999999999</v>
      </c>
      <c r="DO250">
        <v>4.96584</v>
      </c>
      <c r="DP250">
        <v>3.2898800000000001</v>
      </c>
      <c r="DQ250">
        <v>537.20000000000005</v>
      </c>
      <c r="DR250">
        <v>9999</v>
      </c>
      <c r="DS250">
        <v>9999</v>
      </c>
      <c r="DT250">
        <v>9999</v>
      </c>
      <c r="DU250">
        <v>1.8711599999999999</v>
      </c>
      <c r="DV250">
        <v>1.87619</v>
      </c>
      <c r="DW250">
        <v>1.87636</v>
      </c>
      <c r="DX250">
        <v>1.88287</v>
      </c>
      <c r="DY250">
        <v>1.8756299999999999</v>
      </c>
      <c r="DZ250">
        <v>1.87469</v>
      </c>
      <c r="EA250">
        <v>1.8708800000000001</v>
      </c>
      <c r="EB250">
        <v>1.8746799999999999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-0.78500000000000003</v>
      </c>
      <c r="EQ250">
        <v>9.8100000000000007E-2</v>
      </c>
      <c r="ER250">
        <v>-0.78479999999996197</v>
      </c>
      <c r="ES250">
        <v>0</v>
      </c>
      <c r="ET250">
        <v>0</v>
      </c>
      <c r="EU250">
        <v>0</v>
      </c>
      <c r="EV250">
        <v>9.8130000000001202E-2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0.4</v>
      </c>
      <c r="FE250">
        <v>0</v>
      </c>
      <c r="FF250">
        <v>1.2439</v>
      </c>
      <c r="FG250">
        <v>2.6000999999999999</v>
      </c>
      <c r="FH250">
        <v>2.19604</v>
      </c>
      <c r="FI250">
        <v>2.66357</v>
      </c>
      <c r="FJ250">
        <v>2.4462899999999999</v>
      </c>
      <c r="FK250">
        <v>2.32666</v>
      </c>
      <c r="FL250">
        <v>32.731299999999997</v>
      </c>
      <c r="FM250">
        <v>24.14</v>
      </c>
      <c r="FN250">
        <v>19</v>
      </c>
      <c r="FO250">
        <v>299.774</v>
      </c>
      <c r="FP250">
        <v>277.57100000000003</v>
      </c>
      <c r="FQ250">
        <v>17.880199999999999</v>
      </c>
      <c r="FR250">
        <v>25.671099999999999</v>
      </c>
      <c r="FS250">
        <v>30.000299999999999</v>
      </c>
      <c r="FT250">
        <v>25.680700000000002</v>
      </c>
      <c r="FU250">
        <v>25.678999999999998</v>
      </c>
      <c r="FV250">
        <v>24.9724</v>
      </c>
      <c r="FW250">
        <v>24.525200000000002</v>
      </c>
      <c r="FX250">
        <v>0</v>
      </c>
      <c r="FY250">
        <v>17.8782</v>
      </c>
      <c r="FZ250">
        <v>410</v>
      </c>
      <c r="GA250">
        <v>14.7277</v>
      </c>
      <c r="GB250">
        <v>99.860100000000003</v>
      </c>
      <c r="GC250">
        <v>99.752700000000004</v>
      </c>
    </row>
    <row r="251" spans="1:185" x14ac:dyDescent="0.2">
      <c r="A251">
        <v>236</v>
      </c>
      <c r="B251">
        <v>1769199001</v>
      </c>
      <c r="C251">
        <v>4440</v>
      </c>
      <c r="D251" t="s">
        <v>774</v>
      </c>
      <c r="E251" t="s">
        <v>775</v>
      </c>
      <c r="F251">
        <v>15</v>
      </c>
      <c r="G251">
        <v>1769198992.9333301</v>
      </c>
      <c r="H251">
        <f t="shared" si="39"/>
        <v>7.67722527298508E-4</v>
      </c>
      <c r="I251">
        <v>0</v>
      </c>
      <c r="J251">
        <f t="shared" si="51"/>
        <v>1.9524702997580975E-3</v>
      </c>
      <c r="K251">
        <f t="shared" si="40"/>
        <v>7.2756497760934694E-2</v>
      </c>
      <c r="L251">
        <f t="shared" si="41"/>
        <v>69.86687569033532</v>
      </c>
      <c r="M251">
        <f t="shared" si="42"/>
        <v>1.540843257270671</v>
      </c>
      <c r="N251">
        <f t="shared" si="43"/>
        <v>2.2053988274787213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26372.338219780824</v>
      </c>
      <c r="T251">
        <f t="shared" si="47"/>
        <v>799.99639999999999</v>
      </c>
      <c r="U251">
        <f t="shared" si="48"/>
        <v>674.39711079934477</v>
      </c>
      <c r="V251">
        <f t="shared" si="49"/>
        <v>0.84300018199999993</v>
      </c>
      <c r="W251">
        <f t="shared" si="50"/>
        <v>0.15870045500000002</v>
      </c>
      <c r="X251">
        <v>1</v>
      </c>
      <c r="Y251">
        <v>1769198992.9333301</v>
      </c>
      <c r="Z251">
        <v>409.48326666666702</v>
      </c>
      <c r="AA251">
        <v>409.96693333333297</v>
      </c>
      <c r="AB251">
        <v>15.3696133333333</v>
      </c>
      <c r="AC251">
        <v>14.425179999999999</v>
      </c>
      <c r="AD251">
        <v>410.26819999999998</v>
      </c>
      <c r="AE251">
        <v>15.27148</v>
      </c>
      <c r="AF251">
        <v>800.39840000000004</v>
      </c>
      <c r="AG251">
        <v>100.186333333333</v>
      </c>
      <c r="AH251">
        <v>6.6238013333333304E-2</v>
      </c>
      <c r="AI251">
        <v>19.0015866666667</v>
      </c>
      <c r="AJ251">
        <v>999.9</v>
      </c>
      <c r="AK251">
        <v>999.9</v>
      </c>
      <c r="AL251">
        <v>0</v>
      </c>
      <c r="AM251">
        <v>0</v>
      </c>
      <c r="AN251">
        <v>5016.7</v>
      </c>
      <c r="AO251">
        <v>0</v>
      </c>
      <c r="AP251">
        <v>1.6869413333333301</v>
      </c>
      <c r="AQ251">
        <v>-0.48369956666666702</v>
      </c>
      <c r="AR251">
        <v>415.87526666666702</v>
      </c>
      <c r="AS251">
        <v>415.96753333333299</v>
      </c>
      <c r="AT251">
        <v>0.94442584366666704</v>
      </c>
      <c r="AU251">
        <v>409.96693333333297</v>
      </c>
      <c r="AV251">
        <v>14.425179999999999</v>
      </c>
      <c r="AW251">
        <v>1.53982333333333</v>
      </c>
      <c r="AX251">
        <v>1.44520466666667</v>
      </c>
      <c r="AY251">
        <v>13.3674</v>
      </c>
      <c r="AZ251">
        <v>12.399746666666699</v>
      </c>
      <c r="BA251">
        <v>799.99639999999999</v>
      </c>
      <c r="BB251">
        <v>0.899993933333333</v>
      </c>
      <c r="BC251">
        <v>0</v>
      </c>
      <c r="BD251">
        <v>0.100006066666667</v>
      </c>
      <c r="BE251">
        <v>0</v>
      </c>
      <c r="BF251">
        <v>25</v>
      </c>
      <c r="BG251">
        <v>13190.946666666699</v>
      </c>
      <c r="BH251">
        <v>1769198984</v>
      </c>
      <c r="BI251" t="s">
        <v>771</v>
      </c>
      <c r="BJ251">
        <v>1769198962</v>
      </c>
      <c r="BK251">
        <v>1769198984</v>
      </c>
      <c r="BL251">
        <v>10</v>
      </c>
      <c r="BM251">
        <v>3.5999999999999997E-2</v>
      </c>
      <c r="BN251">
        <v>-2E-3</v>
      </c>
      <c r="BO251">
        <v>-0.78500000000000003</v>
      </c>
      <c r="BP251">
        <v>9.8000000000000004E-2</v>
      </c>
      <c r="BQ251">
        <v>410</v>
      </c>
      <c r="BR251">
        <v>15</v>
      </c>
      <c r="BS251">
        <v>0.32</v>
      </c>
      <c r="BT251">
        <v>0.05</v>
      </c>
      <c r="BU251">
        <v>-0.347551633333333</v>
      </c>
      <c r="BV251">
        <v>-2.3426594368831202</v>
      </c>
      <c r="BW251">
        <v>0.270120834511136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0.67746617119047603</v>
      </c>
      <c r="CD251">
        <v>4.9457594746753202</v>
      </c>
      <c r="CE251">
        <v>0.54007492369410304</v>
      </c>
      <c r="CF251">
        <v>0</v>
      </c>
      <c r="CG251">
        <v>0</v>
      </c>
      <c r="CH251">
        <v>2</v>
      </c>
      <c r="CI251" t="s">
        <v>290</v>
      </c>
      <c r="CJ251">
        <v>3.5325000000000002</v>
      </c>
      <c r="CK251">
        <v>2.7018300000000002</v>
      </c>
      <c r="CL251">
        <v>9.7884100000000002E-2</v>
      </c>
      <c r="CM251">
        <v>9.6631700000000001E-2</v>
      </c>
      <c r="CN251">
        <v>8.74616E-2</v>
      </c>
      <c r="CO251">
        <v>8.16196E-2</v>
      </c>
      <c r="CP251">
        <v>31625.5</v>
      </c>
      <c r="CQ251">
        <v>27819.200000000001</v>
      </c>
      <c r="CR251">
        <v>32447.4</v>
      </c>
      <c r="CS251">
        <v>30722.799999999999</v>
      </c>
      <c r="CT251">
        <v>40099.699999999997</v>
      </c>
      <c r="CU251">
        <v>39684.1</v>
      </c>
      <c r="CV251">
        <v>47394</v>
      </c>
      <c r="CW251">
        <v>46861.2</v>
      </c>
      <c r="CX251">
        <v>2.6175199999999998</v>
      </c>
      <c r="CY251">
        <v>2.11904</v>
      </c>
      <c r="CZ251">
        <v>0</v>
      </c>
      <c r="DA251">
        <v>0</v>
      </c>
      <c r="DB251">
        <v>999.9</v>
      </c>
      <c r="DC251">
        <v>999.9</v>
      </c>
      <c r="DD251">
        <v>47.619</v>
      </c>
      <c r="DE251">
        <v>28.439</v>
      </c>
      <c r="DF251">
        <v>18.505199999999999</v>
      </c>
      <c r="DG251">
        <v>30.319800000000001</v>
      </c>
      <c r="DH251">
        <v>16.438300000000002</v>
      </c>
      <c r="DI251">
        <v>2</v>
      </c>
      <c r="DJ251">
        <v>-0.103077</v>
      </c>
      <c r="DK251">
        <v>2.5376599999999998</v>
      </c>
      <c r="DL251">
        <v>20.191500000000001</v>
      </c>
      <c r="DM251">
        <v>5.2496400000000003</v>
      </c>
      <c r="DN251">
        <v>12.033899999999999</v>
      </c>
      <c r="DO251">
        <v>4.9672400000000003</v>
      </c>
      <c r="DP251">
        <v>3.2909999999999999</v>
      </c>
      <c r="DQ251">
        <v>537.20000000000005</v>
      </c>
      <c r="DR251">
        <v>9999</v>
      </c>
      <c r="DS251">
        <v>9999</v>
      </c>
      <c r="DT251">
        <v>9999</v>
      </c>
      <c r="DU251">
        <v>1.87114</v>
      </c>
      <c r="DV251">
        <v>1.87615</v>
      </c>
      <c r="DW251">
        <v>1.87636</v>
      </c>
      <c r="DX251">
        <v>1.8828100000000001</v>
      </c>
      <c r="DY251">
        <v>1.87561</v>
      </c>
      <c r="DZ251">
        <v>1.87469</v>
      </c>
      <c r="EA251">
        <v>1.8708800000000001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-0.78500000000000003</v>
      </c>
      <c r="EQ251">
        <v>9.8199999999999996E-2</v>
      </c>
      <c r="ER251">
        <v>-0.78479999999996197</v>
      </c>
      <c r="ES251">
        <v>0</v>
      </c>
      <c r="ET251">
        <v>0</v>
      </c>
      <c r="EU251">
        <v>0</v>
      </c>
      <c r="EV251">
        <v>9.8130000000001202E-2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0.7</v>
      </c>
      <c r="FE251">
        <v>0.3</v>
      </c>
      <c r="FF251">
        <v>1.2439</v>
      </c>
      <c r="FG251">
        <v>2.6000999999999999</v>
      </c>
      <c r="FH251">
        <v>2.19604</v>
      </c>
      <c r="FI251">
        <v>2.66235</v>
      </c>
      <c r="FJ251">
        <v>2.4462899999999999</v>
      </c>
      <c r="FK251">
        <v>2.3071299999999999</v>
      </c>
      <c r="FL251">
        <v>32.731299999999997</v>
      </c>
      <c r="FM251">
        <v>24.14</v>
      </c>
      <c r="FN251">
        <v>19</v>
      </c>
      <c r="FO251">
        <v>862.98199999999997</v>
      </c>
      <c r="FP251">
        <v>569.66600000000005</v>
      </c>
      <c r="FQ251">
        <v>17.875599999999999</v>
      </c>
      <c r="FR251">
        <v>25.673300000000001</v>
      </c>
      <c r="FS251">
        <v>30</v>
      </c>
      <c r="FT251">
        <v>25.663399999999999</v>
      </c>
      <c r="FU251">
        <v>25.663900000000002</v>
      </c>
      <c r="FV251">
        <v>24.965199999999999</v>
      </c>
      <c r="FW251">
        <v>25.41</v>
      </c>
      <c r="FX251">
        <v>0</v>
      </c>
      <c r="FY251">
        <v>17.874099999999999</v>
      </c>
      <c r="FZ251">
        <v>410</v>
      </c>
      <c r="GA251">
        <v>14.2774</v>
      </c>
      <c r="GB251">
        <v>99.8596</v>
      </c>
      <c r="GC251">
        <v>99.750900000000001</v>
      </c>
    </row>
    <row r="252" spans="1:185" x14ac:dyDescent="0.2">
      <c r="A252">
        <v>237</v>
      </c>
      <c r="B252">
        <v>1769199016</v>
      </c>
      <c r="C252">
        <v>4455</v>
      </c>
      <c r="D252" t="s">
        <v>776</v>
      </c>
      <c r="E252" t="s">
        <v>777</v>
      </c>
      <c r="F252">
        <v>15</v>
      </c>
      <c r="G252">
        <v>1769199007.9333301</v>
      </c>
      <c r="H252">
        <f t="shared" si="39"/>
        <v>9.3555781007251509E-4</v>
      </c>
      <c r="I252">
        <v>0</v>
      </c>
      <c r="J252">
        <f t="shared" si="51"/>
        <v>-4.6059361627113143E-4</v>
      </c>
      <c r="K252">
        <f t="shared" si="40"/>
        <v>-1.7163476655743894E-2</v>
      </c>
      <c r="L252">
        <f t="shared" si="41"/>
        <v>70.21325363319184</v>
      </c>
      <c r="M252">
        <f t="shared" si="42"/>
        <v>1.5484558607753893</v>
      </c>
      <c r="N252">
        <f t="shared" si="43"/>
        <v>2.2053612112391687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26209.418210501583</v>
      </c>
      <c r="T252">
        <f t="shared" si="47"/>
        <v>799.99940000000004</v>
      </c>
      <c r="U252">
        <f t="shared" si="48"/>
        <v>674.39955979995113</v>
      </c>
      <c r="V252">
        <f t="shared" si="49"/>
        <v>0.84300008200000032</v>
      </c>
      <c r="W252">
        <f t="shared" si="50"/>
        <v>0.15870007508000006</v>
      </c>
      <c r="X252">
        <v>1</v>
      </c>
      <c r="Y252">
        <v>1769199007.9333301</v>
      </c>
      <c r="Z252">
        <v>409.52633333333301</v>
      </c>
      <c r="AA252">
        <v>409.98379999999997</v>
      </c>
      <c r="AB252">
        <v>15.4470666666667</v>
      </c>
      <c r="AC252">
        <v>14.295680000000001</v>
      </c>
      <c r="AD252">
        <v>410.31086666666698</v>
      </c>
      <c r="AE252">
        <v>15.3489466666667</v>
      </c>
      <c r="AF252">
        <v>799.99726666666697</v>
      </c>
      <c r="AG252">
        <v>100.178733333333</v>
      </c>
      <c r="AH252">
        <v>6.3979033333333296E-2</v>
      </c>
      <c r="AI252">
        <v>19.0013133333333</v>
      </c>
      <c r="AJ252">
        <v>999.9</v>
      </c>
      <c r="AK252">
        <v>999.9</v>
      </c>
      <c r="AL252">
        <v>0</v>
      </c>
      <c r="AM252">
        <v>0</v>
      </c>
      <c r="AN252">
        <v>4990.2</v>
      </c>
      <c r="AO252">
        <v>0</v>
      </c>
      <c r="AP252">
        <v>1.6937899999999999</v>
      </c>
      <c r="AQ252">
        <v>-0.45743</v>
      </c>
      <c r="AR252">
        <v>415.95153333333297</v>
      </c>
      <c r="AS252">
        <v>415.9298</v>
      </c>
      <c r="AT252">
        <v>1.1513693333333299</v>
      </c>
      <c r="AU252">
        <v>409.98379999999997</v>
      </c>
      <c r="AV252">
        <v>14.295680000000001</v>
      </c>
      <c r="AW252">
        <v>1.547466</v>
      </c>
      <c r="AX252">
        <v>1.43212466666667</v>
      </c>
      <c r="AY252">
        <v>13.4453933333333</v>
      </c>
      <c r="AZ252">
        <v>12.2621</v>
      </c>
      <c r="BA252">
        <v>799.99940000000004</v>
      </c>
      <c r="BB252">
        <v>0.8999992</v>
      </c>
      <c r="BC252">
        <v>0</v>
      </c>
      <c r="BD252">
        <v>0.10000086666666699</v>
      </c>
      <c r="BE252">
        <v>0</v>
      </c>
      <c r="BF252">
        <v>25</v>
      </c>
      <c r="BG252">
        <v>13191.0133333333</v>
      </c>
      <c r="BH252">
        <v>1769198984</v>
      </c>
      <c r="BI252" t="s">
        <v>771</v>
      </c>
      <c r="BJ252">
        <v>1769198962</v>
      </c>
      <c r="BK252">
        <v>1769198984</v>
      </c>
      <c r="BL252">
        <v>10</v>
      </c>
      <c r="BM252">
        <v>3.5999999999999997E-2</v>
      </c>
      <c r="BN252">
        <v>-2E-3</v>
      </c>
      <c r="BO252">
        <v>-0.78500000000000003</v>
      </c>
      <c r="BP252">
        <v>9.8000000000000004E-2</v>
      </c>
      <c r="BQ252">
        <v>410</v>
      </c>
      <c r="BR252">
        <v>15</v>
      </c>
      <c r="BS252">
        <v>0.32</v>
      </c>
      <c r="BT252">
        <v>0.05</v>
      </c>
      <c r="BU252">
        <v>-0.48286440000000003</v>
      </c>
      <c r="BV252">
        <v>0.53831449624060301</v>
      </c>
      <c r="BW252">
        <v>6.0117385633774903E-2</v>
      </c>
      <c r="BX252">
        <v>0</v>
      </c>
      <c r="BY252">
        <v>0</v>
      </c>
      <c r="BZ252">
        <v>0</v>
      </c>
      <c r="CA252">
        <v>0</v>
      </c>
      <c r="CB252">
        <v>-1</v>
      </c>
      <c r="CC252">
        <v>1.1626460000000001</v>
      </c>
      <c r="CD252">
        <v>-0.24620751879699099</v>
      </c>
      <c r="CE252">
        <v>2.4142495811328199E-2</v>
      </c>
      <c r="CF252">
        <v>0</v>
      </c>
      <c r="CG252">
        <v>0</v>
      </c>
      <c r="CH252">
        <v>2</v>
      </c>
      <c r="CI252" t="s">
        <v>290</v>
      </c>
      <c r="CJ252">
        <v>3.5325299999999999</v>
      </c>
      <c r="CK252">
        <v>2.70174</v>
      </c>
      <c r="CL252">
        <v>9.7893400000000005E-2</v>
      </c>
      <c r="CM252">
        <v>9.6622200000000005E-2</v>
      </c>
      <c r="CN252">
        <v>8.7220900000000004E-2</v>
      </c>
      <c r="CO252">
        <v>8.1587199999999999E-2</v>
      </c>
      <c r="CP252">
        <v>31625.7</v>
      </c>
      <c r="CQ252">
        <v>27819.8</v>
      </c>
      <c r="CR252">
        <v>32447.9</v>
      </c>
      <c r="CS252">
        <v>30723.1</v>
      </c>
      <c r="CT252">
        <v>40111.300000000003</v>
      </c>
      <c r="CU252">
        <v>39685.9</v>
      </c>
      <c r="CV252">
        <v>47394.7</v>
      </c>
      <c r="CW252">
        <v>46861.7</v>
      </c>
      <c r="CX252">
        <v>2.6193200000000001</v>
      </c>
      <c r="CY252">
        <v>2.1193200000000001</v>
      </c>
      <c r="CZ252">
        <v>0</v>
      </c>
      <c r="DA252">
        <v>0</v>
      </c>
      <c r="DB252">
        <v>999.9</v>
      </c>
      <c r="DC252">
        <v>999.9</v>
      </c>
      <c r="DD252">
        <v>47.594999999999999</v>
      </c>
      <c r="DE252">
        <v>28.439</v>
      </c>
      <c r="DF252">
        <v>18.494800000000001</v>
      </c>
      <c r="DG252">
        <v>30.559799999999999</v>
      </c>
      <c r="DH252">
        <v>16.450299999999999</v>
      </c>
      <c r="DI252">
        <v>2</v>
      </c>
      <c r="DJ252">
        <v>-0.102894</v>
      </c>
      <c r="DK252">
        <v>2.54223</v>
      </c>
      <c r="DL252">
        <v>20.190999999999999</v>
      </c>
      <c r="DM252">
        <v>5.2483199999999997</v>
      </c>
      <c r="DN252">
        <v>12.033899999999999</v>
      </c>
      <c r="DO252">
        <v>4.9670399999999999</v>
      </c>
      <c r="DP252">
        <v>3.2907199999999999</v>
      </c>
      <c r="DQ252">
        <v>537.20000000000005</v>
      </c>
      <c r="DR252">
        <v>9999</v>
      </c>
      <c r="DS252">
        <v>9999</v>
      </c>
      <c r="DT252">
        <v>9999</v>
      </c>
      <c r="DU252">
        <v>1.87113</v>
      </c>
      <c r="DV252">
        <v>1.8761399999999999</v>
      </c>
      <c r="DW252">
        <v>1.87635</v>
      </c>
      <c r="DX252">
        <v>1.8828199999999999</v>
      </c>
      <c r="DY252">
        <v>1.87561</v>
      </c>
      <c r="DZ252">
        <v>1.8746799999999999</v>
      </c>
      <c r="EA252">
        <v>1.8708800000000001</v>
      </c>
      <c r="EB252">
        <v>1.8746799999999999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-0.78400000000000003</v>
      </c>
      <c r="EQ252">
        <v>9.8100000000000007E-2</v>
      </c>
      <c r="ER252">
        <v>-0.78479999999996197</v>
      </c>
      <c r="ES252">
        <v>0</v>
      </c>
      <c r="ET252">
        <v>0</v>
      </c>
      <c r="EU252">
        <v>0</v>
      </c>
      <c r="EV252">
        <v>9.8130000000001202E-2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0.9</v>
      </c>
      <c r="FE252">
        <v>0.5</v>
      </c>
      <c r="FF252">
        <v>1.2439</v>
      </c>
      <c r="FG252">
        <v>2.6000999999999999</v>
      </c>
      <c r="FH252">
        <v>2.19604</v>
      </c>
      <c r="FI252">
        <v>2.66235</v>
      </c>
      <c r="FJ252">
        <v>2.4462899999999999</v>
      </c>
      <c r="FK252">
        <v>2.3034699999999999</v>
      </c>
      <c r="FL252">
        <v>32.731299999999997</v>
      </c>
      <c r="FM252">
        <v>24.14</v>
      </c>
      <c r="FN252">
        <v>19</v>
      </c>
      <c r="FO252">
        <v>864.65499999999997</v>
      </c>
      <c r="FP252">
        <v>569.88699999999994</v>
      </c>
      <c r="FQ252">
        <v>17.871099999999998</v>
      </c>
      <c r="FR252">
        <v>25.6755</v>
      </c>
      <c r="FS252">
        <v>30.0001</v>
      </c>
      <c r="FT252">
        <v>25.663399999999999</v>
      </c>
      <c r="FU252">
        <v>25.6647</v>
      </c>
      <c r="FV252">
        <v>24.9697</v>
      </c>
      <c r="FW252">
        <v>25.41</v>
      </c>
      <c r="FX252">
        <v>0</v>
      </c>
      <c r="FY252">
        <v>17.8703</v>
      </c>
      <c r="FZ252">
        <v>410</v>
      </c>
      <c r="GA252">
        <v>14.295500000000001</v>
      </c>
      <c r="GB252">
        <v>99.861199999999997</v>
      </c>
      <c r="GC252">
        <v>99.751800000000003</v>
      </c>
    </row>
    <row r="253" spans="1:185" x14ac:dyDescent="0.2">
      <c r="A253">
        <v>238</v>
      </c>
      <c r="B253">
        <v>1769199031</v>
      </c>
      <c r="C253">
        <v>4470</v>
      </c>
      <c r="D253" t="s">
        <v>778</v>
      </c>
      <c r="E253" t="s">
        <v>779</v>
      </c>
      <c r="F253">
        <v>15</v>
      </c>
      <c r="G253">
        <v>1769199022.9333301</v>
      </c>
      <c r="H253">
        <f t="shared" si="39"/>
        <v>9.12606491022274E-4</v>
      </c>
      <c r="I253">
        <v>0</v>
      </c>
      <c r="J253">
        <f t="shared" si="51"/>
        <v>-1.040603078539981E-4</v>
      </c>
      <c r="K253">
        <f t="shared" si="40"/>
        <v>-3.8776843654521197E-3</v>
      </c>
      <c r="L253">
        <f t="shared" si="41"/>
        <v>70.043521673225627</v>
      </c>
      <c r="M253">
        <f t="shared" si="42"/>
        <v>1.544978723965019</v>
      </c>
      <c r="N253">
        <f t="shared" si="43"/>
        <v>2.2057410693494477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26322.685175409228</v>
      </c>
      <c r="T253">
        <f t="shared" si="47"/>
        <v>799.99753333333297</v>
      </c>
      <c r="U253">
        <f t="shared" si="48"/>
        <v>674.39785852019111</v>
      </c>
      <c r="V253">
        <f t="shared" si="49"/>
        <v>0.84299992239999999</v>
      </c>
      <c r="W253">
        <f t="shared" si="50"/>
        <v>0.15869983198400001</v>
      </c>
      <c r="X253">
        <v>1</v>
      </c>
      <c r="Y253">
        <v>1769199022.9333301</v>
      </c>
      <c r="Z253">
        <v>409.54093333333299</v>
      </c>
      <c r="AA253">
        <v>410.003266666667</v>
      </c>
      <c r="AB253">
        <v>15.412406666666699</v>
      </c>
      <c r="AC253">
        <v>14.289246666666701</v>
      </c>
      <c r="AD253">
        <v>410.32580000000002</v>
      </c>
      <c r="AE253">
        <v>15.314260000000001</v>
      </c>
      <c r="AF253">
        <v>800.01160000000004</v>
      </c>
      <c r="AG253">
        <v>100.17846666666701</v>
      </c>
      <c r="AH253">
        <v>6.40689333333333E-2</v>
      </c>
      <c r="AI253">
        <v>19.004073333333299</v>
      </c>
      <c r="AJ253">
        <v>999.9</v>
      </c>
      <c r="AK253">
        <v>999.9</v>
      </c>
      <c r="AL253">
        <v>0</v>
      </c>
      <c r="AM253">
        <v>0</v>
      </c>
      <c r="AN253">
        <v>5008.8999999999996</v>
      </c>
      <c r="AO253">
        <v>0</v>
      </c>
      <c r="AP253">
        <v>1.6937899999999999</v>
      </c>
      <c r="AQ253">
        <v>-0.46219280000000001</v>
      </c>
      <c r="AR253">
        <v>415.95173333333298</v>
      </c>
      <c r="AS253">
        <v>415.946666666667</v>
      </c>
      <c r="AT253">
        <v>1.1231346666666699</v>
      </c>
      <c r="AU253">
        <v>410.003266666667</v>
      </c>
      <c r="AV253">
        <v>14.289246666666701</v>
      </c>
      <c r="AW253">
        <v>1.5439913333333299</v>
      </c>
      <c r="AX253">
        <v>1.431478</v>
      </c>
      <c r="AY253">
        <v>13.4109</v>
      </c>
      <c r="AZ253">
        <v>12.2552466666667</v>
      </c>
      <c r="BA253">
        <v>799.99753333333297</v>
      </c>
      <c r="BB253">
        <v>0.90000219999999997</v>
      </c>
      <c r="BC253">
        <v>0</v>
      </c>
      <c r="BD253">
        <v>9.9997786666666699E-2</v>
      </c>
      <c r="BE253">
        <v>0</v>
      </c>
      <c r="BF253">
        <v>25</v>
      </c>
      <c r="BG253">
        <v>13191</v>
      </c>
      <c r="BH253">
        <v>1769198984</v>
      </c>
      <c r="BI253" t="s">
        <v>771</v>
      </c>
      <c r="BJ253">
        <v>1769198962</v>
      </c>
      <c r="BK253">
        <v>1769198984</v>
      </c>
      <c r="BL253">
        <v>10</v>
      </c>
      <c r="BM253">
        <v>3.5999999999999997E-2</v>
      </c>
      <c r="BN253">
        <v>-2E-3</v>
      </c>
      <c r="BO253">
        <v>-0.78500000000000003</v>
      </c>
      <c r="BP253">
        <v>9.8000000000000004E-2</v>
      </c>
      <c r="BQ253">
        <v>410</v>
      </c>
      <c r="BR253">
        <v>15</v>
      </c>
      <c r="BS253">
        <v>0.32</v>
      </c>
      <c r="BT253">
        <v>0.05</v>
      </c>
      <c r="BU253">
        <v>-0.45537166666666701</v>
      </c>
      <c r="BV253">
        <v>-8.1767766233767497E-2</v>
      </c>
      <c r="BW253">
        <v>2.3663856195298101E-2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1.1270585714285699</v>
      </c>
      <c r="CD253">
        <v>-7.9037142857142098E-2</v>
      </c>
      <c r="CE253">
        <v>8.1441181145625405E-3</v>
      </c>
      <c r="CF253">
        <v>1</v>
      </c>
      <c r="CG253">
        <v>2</v>
      </c>
      <c r="CH253">
        <v>2</v>
      </c>
      <c r="CI253" t="s">
        <v>304</v>
      </c>
      <c r="CJ253">
        <v>3.5325500000000001</v>
      </c>
      <c r="CK253">
        <v>2.7018900000000001</v>
      </c>
      <c r="CL253">
        <v>9.7892099999999996E-2</v>
      </c>
      <c r="CM253">
        <v>9.6617800000000004E-2</v>
      </c>
      <c r="CN253">
        <v>8.7121699999999996E-2</v>
      </c>
      <c r="CO253">
        <v>8.1566E-2</v>
      </c>
      <c r="CP253">
        <v>31624.9</v>
      </c>
      <c r="CQ253">
        <v>27820.2</v>
      </c>
      <c r="CR253">
        <v>32447</v>
      </c>
      <c r="CS253">
        <v>30723.4</v>
      </c>
      <c r="CT253">
        <v>40114.800000000003</v>
      </c>
      <c r="CU253">
        <v>39687.199999999997</v>
      </c>
      <c r="CV253">
        <v>47393.5</v>
      </c>
      <c r="CW253">
        <v>46862</v>
      </c>
      <c r="CX253">
        <v>2.6199599999999998</v>
      </c>
      <c r="CY253">
        <v>2.1198600000000001</v>
      </c>
      <c r="CZ253">
        <v>0</v>
      </c>
      <c r="DA253">
        <v>0</v>
      </c>
      <c r="DB253">
        <v>999.9</v>
      </c>
      <c r="DC253">
        <v>999.9</v>
      </c>
      <c r="DD253">
        <v>47.570999999999998</v>
      </c>
      <c r="DE253">
        <v>28.45</v>
      </c>
      <c r="DF253">
        <v>18.4986</v>
      </c>
      <c r="DG253">
        <v>30.169799999999999</v>
      </c>
      <c r="DH253">
        <v>16.394200000000001</v>
      </c>
      <c r="DI253">
        <v>2</v>
      </c>
      <c r="DJ253">
        <v>-0.10273599999999999</v>
      </c>
      <c r="DK253">
        <v>2.56765</v>
      </c>
      <c r="DL253">
        <v>20.190999999999999</v>
      </c>
      <c r="DM253">
        <v>5.2497600000000002</v>
      </c>
      <c r="DN253">
        <v>12.033899999999999</v>
      </c>
      <c r="DO253">
        <v>4.96732</v>
      </c>
      <c r="DP253">
        <v>3.2909999999999999</v>
      </c>
      <c r="DQ253">
        <v>537.20000000000005</v>
      </c>
      <c r="DR253">
        <v>9999</v>
      </c>
      <c r="DS253">
        <v>9999</v>
      </c>
      <c r="DT253">
        <v>9999</v>
      </c>
      <c r="DU253">
        <v>1.87117</v>
      </c>
      <c r="DV253">
        <v>1.87618</v>
      </c>
      <c r="DW253">
        <v>1.87636</v>
      </c>
      <c r="DX253">
        <v>1.88286</v>
      </c>
      <c r="DY253">
        <v>1.8756200000000001</v>
      </c>
      <c r="DZ253">
        <v>1.87469</v>
      </c>
      <c r="EA253">
        <v>1.8708800000000001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-0.78400000000000003</v>
      </c>
      <c r="EQ253">
        <v>9.8199999999999996E-2</v>
      </c>
      <c r="ER253">
        <v>-0.78479999999996197</v>
      </c>
      <c r="ES253">
        <v>0</v>
      </c>
      <c r="ET253">
        <v>0</v>
      </c>
      <c r="EU253">
        <v>0</v>
      </c>
      <c r="EV253">
        <v>9.8130000000001202E-2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1.1000000000000001</v>
      </c>
      <c r="FE253">
        <v>0.8</v>
      </c>
      <c r="FF253">
        <v>1.2439</v>
      </c>
      <c r="FG253">
        <v>2.5927699999999998</v>
      </c>
      <c r="FH253">
        <v>2.19604</v>
      </c>
      <c r="FI253">
        <v>2.66357</v>
      </c>
      <c r="FJ253">
        <v>2.4462899999999999</v>
      </c>
      <c r="FK253">
        <v>2.3339799999999999</v>
      </c>
      <c r="FL253">
        <v>32.731299999999997</v>
      </c>
      <c r="FM253">
        <v>24.14</v>
      </c>
      <c r="FN253">
        <v>19</v>
      </c>
      <c r="FO253">
        <v>865.28499999999997</v>
      </c>
      <c r="FP253">
        <v>570.31299999999999</v>
      </c>
      <c r="FQ253">
        <v>17.860499999999998</v>
      </c>
      <c r="FR253">
        <v>25.677600000000002</v>
      </c>
      <c r="FS253">
        <v>30.0002</v>
      </c>
      <c r="FT253">
        <v>25.665600000000001</v>
      </c>
      <c r="FU253">
        <v>25.6661</v>
      </c>
      <c r="FV253">
        <v>24.970199999999998</v>
      </c>
      <c r="FW253">
        <v>25.41</v>
      </c>
      <c r="FX253">
        <v>0</v>
      </c>
      <c r="FY253">
        <v>17.8583</v>
      </c>
      <c r="FZ253">
        <v>410</v>
      </c>
      <c r="GA253">
        <v>14.295500000000001</v>
      </c>
      <c r="GB253">
        <v>99.858599999999996</v>
      </c>
      <c r="GC253">
        <v>99.752700000000004</v>
      </c>
    </row>
    <row r="254" spans="1:185" x14ac:dyDescent="0.2">
      <c r="A254">
        <v>239</v>
      </c>
      <c r="B254">
        <v>1769199046</v>
      </c>
      <c r="C254">
        <v>4485</v>
      </c>
      <c r="D254" t="s">
        <v>780</v>
      </c>
      <c r="E254" t="s">
        <v>781</v>
      </c>
      <c r="F254">
        <v>15</v>
      </c>
      <c r="G254">
        <v>1769199037.9333301</v>
      </c>
      <c r="H254">
        <f t="shared" si="39"/>
        <v>9.0090001872470988E-4</v>
      </c>
      <c r="I254">
        <v>0</v>
      </c>
      <c r="J254">
        <f t="shared" si="51"/>
        <v>-2.2024837054695253E-4</v>
      </c>
      <c r="K254">
        <f t="shared" si="40"/>
        <v>-8.2072951791042521E-3</v>
      </c>
      <c r="L254">
        <f t="shared" si="41"/>
        <v>69.957142520967537</v>
      </c>
      <c r="M254">
        <f t="shared" si="42"/>
        <v>1.5430695719681355</v>
      </c>
      <c r="N254">
        <f t="shared" si="43"/>
        <v>2.2057355637498302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26260.417099647471</v>
      </c>
      <c r="T254">
        <f t="shared" si="47"/>
        <v>799.99886666666703</v>
      </c>
      <c r="U254">
        <f t="shared" si="48"/>
        <v>674.39896300011583</v>
      </c>
      <c r="V254">
        <f t="shared" si="49"/>
        <v>0.84299989799999997</v>
      </c>
      <c r="W254">
        <f t="shared" si="50"/>
        <v>0.158699745</v>
      </c>
      <c r="X254">
        <v>1</v>
      </c>
      <c r="Y254">
        <v>1769199037.9333301</v>
      </c>
      <c r="Z254">
        <v>409.54053333333297</v>
      </c>
      <c r="AA254">
        <v>409.99146666666701</v>
      </c>
      <c r="AB254">
        <v>15.39344</v>
      </c>
      <c r="AC254">
        <v>14.284653333333299</v>
      </c>
      <c r="AD254">
        <v>410.32533333333299</v>
      </c>
      <c r="AE254">
        <v>15.2952933333333</v>
      </c>
      <c r="AF254">
        <v>800.00246666666703</v>
      </c>
      <c r="AG254">
        <v>100.178</v>
      </c>
      <c r="AH254">
        <v>6.4023353333333297E-2</v>
      </c>
      <c r="AI254">
        <v>19.0040333333333</v>
      </c>
      <c r="AJ254">
        <v>999.9</v>
      </c>
      <c r="AK254">
        <v>999.9</v>
      </c>
      <c r="AL254">
        <v>0</v>
      </c>
      <c r="AM254">
        <v>0</v>
      </c>
      <c r="AN254">
        <v>4998.6666666666697</v>
      </c>
      <c r="AO254">
        <v>0</v>
      </c>
      <c r="AP254">
        <v>1.6937899999999999</v>
      </c>
      <c r="AQ254">
        <v>-0.45086666666666703</v>
      </c>
      <c r="AR254">
        <v>415.943266666667</v>
      </c>
      <c r="AS254">
        <v>415.93293333333298</v>
      </c>
      <c r="AT254">
        <v>1.1087800000000001</v>
      </c>
      <c r="AU254">
        <v>409.99146666666701</v>
      </c>
      <c r="AV254">
        <v>14.284653333333299</v>
      </c>
      <c r="AW254">
        <v>1.5420833333333299</v>
      </c>
      <c r="AX254">
        <v>1.4310080000000001</v>
      </c>
      <c r="AY254">
        <v>13.3919266666667</v>
      </c>
      <c r="AZ254">
        <v>12.250260000000001</v>
      </c>
      <c r="BA254">
        <v>799.99886666666703</v>
      </c>
      <c r="BB254">
        <v>0.90000340000000001</v>
      </c>
      <c r="BC254">
        <v>0</v>
      </c>
      <c r="BD254">
        <v>9.9996600000000005E-2</v>
      </c>
      <c r="BE254">
        <v>0</v>
      </c>
      <c r="BF254">
        <v>25</v>
      </c>
      <c r="BG254">
        <v>13191.02</v>
      </c>
      <c r="BH254">
        <v>1769198984</v>
      </c>
      <c r="BI254" t="s">
        <v>771</v>
      </c>
      <c r="BJ254">
        <v>1769198962</v>
      </c>
      <c r="BK254">
        <v>1769198984</v>
      </c>
      <c r="BL254">
        <v>10</v>
      </c>
      <c r="BM254">
        <v>3.5999999999999997E-2</v>
      </c>
      <c r="BN254">
        <v>-2E-3</v>
      </c>
      <c r="BO254">
        <v>-0.78500000000000003</v>
      </c>
      <c r="BP254">
        <v>9.8000000000000004E-2</v>
      </c>
      <c r="BQ254">
        <v>410</v>
      </c>
      <c r="BR254">
        <v>15</v>
      </c>
      <c r="BS254">
        <v>0.32</v>
      </c>
      <c r="BT254">
        <v>0.05</v>
      </c>
      <c r="BU254">
        <v>-0.44908749999999997</v>
      </c>
      <c r="BV254">
        <v>-6.5813233082706896E-2</v>
      </c>
      <c r="BW254">
        <v>1.4441020034956E-2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1.1105725</v>
      </c>
      <c r="CD254">
        <v>-3.5783909774438002E-2</v>
      </c>
      <c r="CE254">
        <v>3.7331258684914401E-3</v>
      </c>
      <c r="CF254">
        <v>1</v>
      </c>
      <c r="CG254">
        <v>2</v>
      </c>
      <c r="CH254">
        <v>2</v>
      </c>
      <c r="CI254" t="s">
        <v>304</v>
      </c>
      <c r="CJ254">
        <v>3.5325099999999998</v>
      </c>
      <c r="CK254">
        <v>2.7020300000000002</v>
      </c>
      <c r="CL254">
        <v>9.7888900000000001E-2</v>
      </c>
      <c r="CM254">
        <v>9.6619099999999999E-2</v>
      </c>
      <c r="CN254">
        <v>8.7060200000000004E-2</v>
      </c>
      <c r="CO254">
        <v>8.1545900000000004E-2</v>
      </c>
      <c r="CP254">
        <v>31624.7</v>
      </c>
      <c r="CQ254">
        <v>27820.2</v>
      </c>
      <c r="CR254">
        <v>32446.7</v>
      </c>
      <c r="CS254">
        <v>30723.4</v>
      </c>
      <c r="CT254">
        <v>40117.300000000003</v>
      </c>
      <c r="CU254">
        <v>39688</v>
      </c>
      <c r="CV254">
        <v>47393.1</v>
      </c>
      <c r="CW254">
        <v>46861.9</v>
      </c>
      <c r="CX254">
        <v>2.62018</v>
      </c>
      <c r="CY254">
        <v>2.11958</v>
      </c>
      <c r="CZ254">
        <v>0</v>
      </c>
      <c r="DA254">
        <v>0</v>
      </c>
      <c r="DB254">
        <v>999.9</v>
      </c>
      <c r="DC254">
        <v>999.9</v>
      </c>
      <c r="DD254">
        <v>47.545999999999999</v>
      </c>
      <c r="DE254">
        <v>28.46</v>
      </c>
      <c r="DF254">
        <v>18.499300000000002</v>
      </c>
      <c r="DG254">
        <v>30.2898</v>
      </c>
      <c r="DH254">
        <v>16.418299999999999</v>
      </c>
      <c r="DI254">
        <v>2</v>
      </c>
      <c r="DJ254">
        <v>-0.102297</v>
      </c>
      <c r="DK254">
        <v>2.5977100000000002</v>
      </c>
      <c r="DL254">
        <v>20.1905</v>
      </c>
      <c r="DM254">
        <v>5.2501199999999999</v>
      </c>
      <c r="DN254">
        <v>12.033899999999999</v>
      </c>
      <c r="DO254">
        <v>4.96732</v>
      </c>
      <c r="DP254">
        <v>3.2909999999999999</v>
      </c>
      <c r="DQ254">
        <v>537.20000000000005</v>
      </c>
      <c r="DR254">
        <v>9999</v>
      </c>
      <c r="DS254">
        <v>9999</v>
      </c>
      <c r="DT254">
        <v>9999</v>
      </c>
      <c r="DU254">
        <v>1.87114</v>
      </c>
      <c r="DV254">
        <v>1.87616</v>
      </c>
      <c r="DW254">
        <v>1.87636</v>
      </c>
      <c r="DX254">
        <v>1.88286</v>
      </c>
      <c r="DY254">
        <v>1.87561</v>
      </c>
      <c r="DZ254">
        <v>1.87469</v>
      </c>
      <c r="EA254">
        <v>1.87087</v>
      </c>
      <c r="EB254">
        <v>1.8746799999999999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-0.78400000000000003</v>
      </c>
      <c r="EQ254">
        <v>9.8100000000000007E-2</v>
      </c>
      <c r="ER254">
        <v>-0.78479999999996197</v>
      </c>
      <c r="ES254">
        <v>0</v>
      </c>
      <c r="ET254">
        <v>0</v>
      </c>
      <c r="EU254">
        <v>0</v>
      </c>
      <c r="EV254">
        <v>9.8130000000001202E-2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1.4</v>
      </c>
      <c r="FE254">
        <v>1</v>
      </c>
      <c r="FF254">
        <v>1.2439</v>
      </c>
      <c r="FG254">
        <v>2.5964399999999999</v>
      </c>
      <c r="FH254">
        <v>2.19604</v>
      </c>
      <c r="FI254">
        <v>2.66235</v>
      </c>
      <c r="FJ254">
        <v>2.4462899999999999</v>
      </c>
      <c r="FK254">
        <v>2.2619600000000002</v>
      </c>
      <c r="FL254">
        <v>32.731299999999997</v>
      </c>
      <c r="FM254">
        <v>24.1313</v>
      </c>
      <c r="FN254">
        <v>19</v>
      </c>
      <c r="FO254">
        <v>865.52499999999998</v>
      </c>
      <c r="FP254">
        <v>570.14700000000005</v>
      </c>
      <c r="FQ254">
        <v>17.850300000000001</v>
      </c>
      <c r="FR254">
        <v>25.6798</v>
      </c>
      <c r="FS254">
        <v>30.0001</v>
      </c>
      <c r="FT254">
        <v>25.6678</v>
      </c>
      <c r="FU254">
        <v>25.670400000000001</v>
      </c>
      <c r="FV254">
        <v>24.9711</v>
      </c>
      <c r="FW254">
        <v>25.41</v>
      </c>
      <c r="FX254">
        <v>0</v>
      </c>
      <c r="FY254">
        <v>17.846599999999999</v>
      </c>
      <c r="FZ254">
        <v>410</v>
      </c>
      <c r="GA254">
        <v>14.295500000000001</v>
      </c>
      <c r="GB254">
        <v>99.857799999999997</v>
      </c>
      <c r="GC254">
        <v>99.752600000000001</v>
      </c>
    </row>
    <row r="255" spans="1:185" x14ac:dyDescent="0.2">
      <c r="A255">
        <v>240</v>
      </c>
      <c r="B255">
        <v>1769199061</v>
      </c>
      <c r="C255">
        <v>4500</v>
      </c>
      <c r="D255" t="s">
        <v>782</v>
      </c>
      <c r="E255" t="s">
        <v>783</v>
      </c>
      <c r="F255">
        <v>15</v>
      </c>
      <c r="G255">
        <v>1769199052.9333301</v>
      </c>
      <c r="H255">
        <f t="shared" si="39"/>
        <v>8.9364937934402738E-4</v>
      </c>
      <c r="I255">
        <v>0</v>
      </c>
      <c r="J255">
        <f t="shared" si="51"/>
        <v>-4.370036556325277E-4</v>
      </c>
      <c r="K255">
        <f t="shared" si="40"/>
        <v>-1.6284424657567145E-2</v>
      </c>
      <c r="L255">
        <f t="shared" si="41"/>
        <v>69.895162437588965</v>
      </c>
      <c r="M255">
        <f t="shared" si="42"/>
        <v>1.5417345233822262</v>
      </c>
      <c r="N255">
        <f t="shared" si="43"/>
        <v>2.2057814441147872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26250.217977968878</v>
      </c>
      <c r="T255">
        <f t="shared" si="47"/>
        <v>800.00046666666697</v>
      </c>
      <c r="U255">
        <f t="shared" si="48"/>
        <v>674.40009451982621</v>
      </c>
      <c r="V255">
        <f t="shared" si="49"/>
        <v>0.84299962640000037</v>
      </c>
      <c r="W255">
        <f t="shared" si="50"/>
        <v>0.15869948174400006</v>
      </c>
      <c r="X255">
        <v>1</v>
      </c>
      <c r="Y255">
        <v>1769199052.9333301</v>
      </c>
      <c r="Z255">
        <v>409.549466666667</v>
      </c>
      <c r="AA255">
        <v>409.98660000000001</v>
      </c>
      <c r="AB255">
        <v>15.3800066666667</v>
      </c>
      <c r="AC255">
        <v>14.2801333333333</v>
      </c>
      <c r="AD255">
        <v>410.334133333333</v>
      </c>
      <c r="AE255">
        <v>15.2818733333333</v>
      </c>
      <c r="AF255">
        <v>800.00580000000002</v>
      </c>
      <c r="AG255">
        <v>100.1786</v>
      </c>
      <c r="AH255">
        <v>6.4173413333333304E-2</v>
      </c>
      <c r="AI255">
        <v>19.004366666666701</v>
      </c>
      <c r="AJ255">
        <v>999.9</v>
      </c>
      <c r="AK255">
        <v>999.9</v>
      </c>
      <c r="AL255">
        <v>0</v>
      </c>
      <c r="AM255">
        <v>0</v>
      </c>
      <c r="AN255">
        <v>4996.9666666666699</v>
      </c>
      <c r="AO255">
        <v>0</v>
      </c>
      <c r="AP255">
        <v>1.6937899999999999</v>
      </c>
      <c r="AQ255">
        <v>-0.43721719999999997</v>
      </c>
      <c r="AR255">
        <v>415.946666666667</v>
      </c>
      <c r="AS255">
        <v>415.92619999999999</v>
      </c>
      <c r="AT255">
        <v>1.0998713333333301</v>
      </c>
      <c r="AU255">
        <v>409.98660000000001</v>
      </c>
      <c r="AV255">
        <v>14.2801333333333</v>
      </c>
      <c r="AW255">
        <v>1.54074666666667</v>
      </c>
      <c r="AX255">
        <v>1.4305633333333301</v>
      </c>
      <c r="AY255">
        <v>13.378640000000001</v>
      </c>
      <c r="AZ255">
        <v>12.24554</v>
      </c>
      <c r="BA255">
        <v>800.00046666666697</v>
      </c>
      <c r="BB255">
        <v>0.90000626666666705</v>
      </c>
      <c r="BC255">
        <v>0</v>
      </c>
      <c r="BD255">
        <v>9.9993520000000002E-2</v>
      </c>
      <c r="BE255">
        <v>0</v>
      </c>
      <c r="BF255">
        <v>25</v>
      </c>
      <c r="BG255">
        <v>13191.0466666667</v>
      </c>
      <c r="BH255">
        <v>1769198984</v>
      </c>
      <c r="BI255" t="s">
        <v>771</v>
      </c>
      <c r="BJ255">
        <v>1769198962</v>
      </c>
      <c r="BK255">
        <v>1769198984</v>
      </c>
      <c r="BL255">
        <v>10</v>
      </c>
      <c r="BM255">
        <v>3.5999999999999997E-2</v>
      </c>
      <c r="BN255">
        <v>-2E-3</v>
      </c>
      <c r="BO255">
        <v>-0.78500000000000003</v>
      </c>
      <c r="BP255">
        <v>9.8000000000000004E-2</v>
      </c>
      <c r="BQ255">
        <v>410</v>
      </c>
      <c r="BR255">
        <v>15</v>
      </c>
      <c r="BS255">
        <v>0.32</v>
      </c>
      <c r="BT255">
        <v>0.05</v>
      </c>
      <c r="BU255">
        <v>-0.441685285714286</v>
      </c>
      <c r="BV255">
        <v>4.8959999999999899E-2</v>
      </c>
      <c r="BW255">
        <v>1.84916544500301E-2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1.1019104761904801</v>
      </c>
      <c r="CD255">
        <v>-3.27670129870134E-2</v>
      </c>
      <c r="CE255">
        <v>3.7569180329860702E-3</v>
      </c>
      <c r="CF255">
        <v>1</v>
      </c>
      <c r="CG255">
        <v>2</v>
      </c>
      <c r="CH255">
        <v>2</v>
      </c>
      <c r="CI255" t="s">
        <v>304</v>
      </c>
      <c r="CJ255">
        <v>3.5325600000000001</v>
      </c>
      <c r="CK255">
        <v>2.7018800000000001</v>
      </c>
      <c r="CL255">
        <v>9.7892900000000005E-2</v>
      </c>
      <c r="CM255">
        <v>9.6622799999999995E-2</v>
      </c>
      <c r="CN255">
        <v>8.70335E-2</v>
      </c>
      <c r="CO255">
        <v>8.1526299999999996E-2</v>
      </c>
      <c r="CP255">
        <v>31624.2</v>
      </c>
      <c r="CQ255">
        <v>27820.1</v>
      </c>
      <c r="CR255">
        <v>32446.3</v>
      </c>
      <c r="CS255">
        <v>30723.5</v>
      </c>
      <c r="CT255">
        <v>40118.1</v>
      </c>
      <c r="CU255">
        <v>39688.9</v>
      </c>
      <c r="CV255">
        <v>47392.7</v>
      </c>
      <c r="CW255">
        <v>46862.1</v>
      </c>
      <c r="CX255">
        <v>2.62012</v>
      </c>
      <c r="CY255">
        <v>2.11972</v>
      </c>
      <c r="CZ255">
        <v>0</v>
      </c>
      <c r="DA255">
        <v>0</v>
      </c>
      <c r="DB255">
        <v>999.9</v>
      </c>
      <c r="DC255">
        <v>999.9</v>
      </c>
      <c r="DD255">
        <v>47.521999999999998</v>
      </c>
      <c r="DE255">
        <v>28.45</v>
      </c>
      <c r="DF255">
        <v>18.479399999999998</v>
      </c>
      <c r="DG255">
        <v>30.259799999999998</v>
      </c>
      <c r="DH255">
        <v>16.386199999999999</v>
      </c>
      <c r="DI255">
        <v>2</v>
      </c>
      <c r="DJ255">
        <v>-0.101996</v>
      </c>
      <c r="DK255">
        <v>2.6238800000000002</v>
      </c>
      <c r="DL255">
        <v>20.190200000000001</v>
      </c>
      <c r="DM255">
        <v>5.2508299999999997</v>
      </c>
      <c r="DN255">
        <v>12.033899999999999</v>
      </c>
      <c r="DO255">
        <v>4.9674399999999999</v>
      </c>
      <c r="DP255">
        <v>3.2909999999999999</v>
      </c>
      <c r="DQ255">
        <v>537.29999999999995</v>
      </c>
      <c r="DR255">
        <v>9999</v>
      </c>
      <c r="DS255">
        <v>9999</v>
      </c>
      <c r="DT255">
        <v>9999</v>
      </c>
      <c r="DU255">
        <v>1.87117</v>
      </c>
      <c r="DV255">
        <v>1.8761699999999999</v>
      </c>
      <c r="DW255">
        <v>1.8763700000000001</v>
      </c>
      <c r="DX255">
        <v>1.8828800000000001</v>
      </c>
      <c r="DY255">
        <v>1.8756200000000001</v>
      </c>
      <c r="DZ255">
        <v>1.87469</v>
      </c>
      <c r="EA255">
        <v>1.8708800000000001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-0.78500000000000003</v>
      </c>
      <c r="EQ255">
        <v>9.8100000000000007E-2</v>
      </c>
      <c r="ER255">
        <v>-0.78479999999996197</v>
      </c>
      <c r="ES255">
        <v>0</v>
      </c>
      <c r="ET255">
        <v>0</v>
      </c>
      <c r="EU255">
        <v>0</v>
      </c>
      <c r="EV255">
        <v>9.8130000000001202E-2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1.6</v>
      </c>
      <c r="FE255">
        <v>1.3</v>
      </c>
      <c r="FF255">
        <v>1.2439</v>
      </c>
      <c r="FG255">
        <v>2.6049799999999999</v>
      </c>
      <c r="FH255">
        <v>2.19604</v>
      </c>
      <c r="FI255">
        <v>2.66357</v>
      </c>
      <c r="FJ255">
        <v>2.4462899999999999</v>
      </c>
      <c r="FK255">
        <v>2.2631800000000002</v>
      </c>
      <c r="FL255">
        <v>32.731299999999997</v>
      </c>
      <c r="FM255">
        <v>24.1313</v>
      </c>
      <c r="FN255">
        <v>19</v>
      </c>
      <c r="FO255">
        <v>865.50300000000004</v>
      </c>
      <c r="FP255">
        <v>570.27800000000002</v>
      </c>
      <c r="FQ255">
        <v>17.837399999999999</v>
      </c>
      <c r="FR255">
        <v>25.682400000000001</v>
      </c>
      <c r="FS255">
        <v>30.000299999999999</v>
      </c>
      <c r="FT255">
        <v>25.669899999999998</v>
      </c>
      <c r="FU255">
        <v>25.672499999999999</v>
      </c>
      <c r="FV255">
        <v>24.971699999999998</v>
      </c>
      <c r="FW255">
        <v>25.41</v>
      </c>
      <c r="FX255">
        <v>0</v>
      </c>
      <c r="FY255">
        <v>17.833500000000001</v>
      </c>
      <c r="FZ255">
        <v>410</v>
      </c>
      <c r="GA255">
        <v>14.295500000000001</v>
      </c>
      <c r="GB255">
        <v>99.856700000000004</v>
      </c>
      <c r="GC255">
        <v>99.752799999999993</v>
      </c>
    </row>
    <row r="256" spans="1:185" x14ac:dyDescent="0.2">
      <c r="A256">
        <v>241</v>
      </c>
      <c r="B256">
        <v>1769199076</v>
      </c>
      <c r="C256">
        <v>4515</v>
      </c>
      <c r="D256" t="s">
        <v>784</v>
      </c>
      <c r="E256" t="s">
        <v>785</v>
      </c>
      <c r="F256">
        <v>15</v>
      </c>
      <c r="G256">
        <v>1769199067.9333301</v>
      </c>
      <c r="H256">
        <f t="shared" si="39"/>
        <v>8.9562796141672257E-4</v>
      </c>
      <c r="I256">
        <v>0</v>
      </c>
      <c r="J256">
        <f t="shared" si="51"/>
        <v>5.2237436596710162E-5</v>
      </c>
      <c r="K256">
        <f t="shared" si="40"/>
        <v>1.9465663263899021E-3</v>
      </c>
      <c r="L256">
        <f t="shared" si="41"/>
        <v>69.87506398379422</v>
      </c>
      <c r="M256">
        <f t="shared" si="42"/>
        <v>1.5414470101640285</v>
      </c>
      <c r="N256">
        <f t="shared" si="43"/>
        <v>2.2060044346027774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26235.957388622639</v>
      </c>
      <c r="T256">
        <f t="shared" si="47"/>
        <v>800.00186666666696</v>
      </c>
      <c r="U256">
        <f t="shared" si="48"/>
        <v>674.40138463955918</v>
      </c>
      <c r="V256">
        <f t="shared" si="49"/>
        <v>0.84299976379999975</v>
      </c>
      <c r="W256">
        <f t="shared" si="50"/>
        <v>0.15869952642799998</v>
      </c>
      <c r="X256">
        <v>1</v>
      </c>
      <c r="Y256">
        <v>1769199067.9333301</v>
      </c>
      <c r="Z256">
        <v>409.54759999999999</v>
      </c>
      <c r="AA256">
        <v>410.00853333333299</v>
      </c>
      <c r="AB256">
        <v>15.3770066666667</v>
      </c>
      <c r="AC256">
        <v>14.2746933333333</v>
      </c>
      <c r="AD256">
        <v>410.33240000000001</v>
      </c>
      <c r="AE256">
        <v>15.278893333333301</v>
      </c>
      <c r="AF256">
        <v>800.00473333333298</v>
      </c>
      <c r="AG256">
        <v>100.17959999999999</v>
      </c>
      <c r="AH256">
        <v>6.4032820000000004E-2</v>
      </c>
      <c r="AI256">
        <v>19.005986666666701</v>
      </c>
      <c r="AJ256">
        <v>999.9</v>
      </c>
      <c r="AK256">
        <v>999.9</v>
      </c>
      <c r="AL256">
        <v>0</v>
      </c>
      <c r="AM256">
        <v>0</v>
      </c>
      <c r="AN256">
        <v>4994.6000000000004</v>
      </c>
      <c r="AO256">
        <v>0</v>
      </c>
      <c r="AP256">
        <v>1.6937899999999999</v>
      </c>
      <c r="AQ256">
        <v>-0.46088659999999998</v>
      </c>
      <c r="AR256">
        <v>415.94353333333299</v>
      </c>
      <c r="AS256">
        <v>415.94600000000003</v>
      </c>
      <c r="AT256">
        <v>1.1023166666666699</v>
      </c>
      <c r="AU256">
        <v>410.00853333333299</v>
      </c>
      <c r="AV256">
        <v>14.2746933333333</v>
      </c>
      <c r="AW256">
        <v>1.54046333333333</v>
      </c>
      <c r="AX256">
        <v>1.430034</v>
      </c>
      <c r="AY256">
        <v>13.3758</v>
      </c>
      <c r="AZ256">
        <v>12.2399133333333</v>
      </c>
      <c r="BA256">
        <v>800.00186666666696</v>
      </c>
      <c r="BB256">
        <v>0.90000613333333301</v>
      </c>
      <c r="BC256">
        <v>0</v>
      </c>
      <c r="BD256">
        <v>9.9993806666666699E-2</v>
      </c>
      <c r="BE256">
        <v>0</v>
      </c>
      <c r="BF256">
        <v>25</v>
      </c>
      <c r="BG256">
        <v>13191.0933333333</v>
      </c>
      <c r="BH256">
        <v>1769198984</v>
      </c>
      <c r="BI256" t="s">
        <v>771</v>
      </c>
      <c r="BJ256">
        <v>1769198962</v>
      </c>
      <c r="BK256">
        <v>1769198984</v>
      </c>
      <c r="BL256">
        <v>10</v>
      </c>
      <c r="BM256">
        <v>3.5999999999999997E-2</v>
      </c>
      <c r="BN256">
        <v>-2E-3</v>
      </c>
      <c r="BO256">
        <v>-0.78500000000000003</v>
      </c>
      <c r="BP256">
        <v>9.8000000000000004E-2</v>
      </c>
      <c r="BQ256">
        <v>410</v>
      </c>
      <c r="BR256">
        <v>15</v>
      </c>
      <c r="BS256">
        <v>0.32</v>
      </c>
      <c r="BT256">
        <v>0.05</v>
      </c>
      <c r="BU256">
        <v>-0.45780484999999999</v>
      </c>
      <c r="BV256">
        <v>-6.6157894736911405E-4</v>
      </c>
      <c r="BW256">
        <v>1.53503609933936E-2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1.1014565000000001</v>
      </c>
      <c r="CD256">
        <v>1.22142857142873E-2</v>
      </c>
      <c r="CE256">
        <v>1.8802666699168299E-3</v>
      </c>
      <c r="CF256">
        <v>1</v>
      </c>
      <c r="CG256">
        <v>2</v>
      </c>
      <c r="CH256">
        <v>2</v>
      </c>
      <c r="CI256" t="s">
        <v>304</v>
      </c>
      <c r="CJ256">
        <v>3.5325500000000001</v>
      </c>
      <c r="CK256">
        <v>2.70207</v>
      </c>
      <c r="CL256">
        <v>9.7889299999999999E-2</v>
      </c>
      <c r="CM256">
        <v>9.6615999999999994E-2</v>
      </c>
      <c r="CN256">
        <v>8.7001200000000001E-2</v>
      </c>
      <c r="CO256">
        <v>8.1500199999999995E-2</v>
      </c>
      <c r="CP256">
        <v>31624.5</v>
      </c>
      <c r="CQ256">
        <v>27819.599999999999</v>
      </c>
      <c r="CR256">
        <v>32446.6</v>
      </c>
      <c r="CS256">
        <v>30722.7</v>
      </c>
      <c r="CT256">
        <v>40119.699999999997</v>
      </c>
      <c r="CU256">
        <v>39689.300000000003</v>
      </c>
      <c r="CV256">
        <v>47392.800000000003</v>
      </c>
      <c r="CW256">
        <v>46861.1</v>
      </c>
      <c r="CX256">
        <v>2.6200999999999999</v>
      </c>
      <c r="CY256">
        <v>2.1195599999999999</v>
      </c>
      <c r="CZ256">
        <v>0</v>
      </c>
      <c r="DA256">
        <v>0</v>
      </c>
      <c r="DB256">
        <v>999.9</v>
      </c>
      <c r="DC256">
        <v>999.9</v>
      </c>
      <c r="DD256">
        <v>47.497</v>
      </c>
      <c r="DE256">
        <v>28.46</v>
      </c>
      <c r="DF256">
        <v>18.4801</v>
      </c>
      <c r="DG256">
        <v>30.4998</v>
      </c>
      <c r="DH256">
        <v>16.370200000000001</v>
      </c>
      <c r="DI256">
        <v>2</v>
      </c>
      <c r="DJ256">
        <v>-0.101589</v>
      </c>
      <c r="DK256">
        <v>2.66398</v>
      </c>
      <c r="DL256">
        <v>20.1891</v>
      </c>
      <c r="DM256">
        <v>5.2501199999999999</v>
      </c>
      <c r="DN256">
        <v>12.033899999999999</v>
      </c>
      <c r="DO256">
        <v>4.9672799999999997</v>
      </c>
      <c r="DP256">
        <v>3.2909999999999999</v>
      </c>
      <c r="DQ256">
        <v>537.29999999999995</v>
      </c>
      <c r="DR256">
        <v>9999</v>
      </c>
      <c r="DS256">
        <v>9999</v>
      </c>
      <c r="DT256">
        <v>9999</v>
      </c>
      <c r="DU256">
        <v>1.8711199999999999</v>
      </c>
      <c r="DV256">
        <v>1.87612</v>
      </c>
      <c r="DW256">
        <v>1.87635</v>
      </c>
      <c r="DX256">
        <v>1.8828</v>
      </c>
      <c r="DY256">
        <v>1.87561</v>
      </c>
      <c r="DZ256">
        <v>1.87469</v>
      </c>
      <c r="EA256">
        <v>1.8708499999999999</v>
      </c>
      <c r="EB256">
        <v>1.87466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-0.78500000000000003</v>
      </c>
      <c r="EQ256">
        <v>9.8100000000000007E-2</v>
      </c>
      <c r="ER256">
        <v>-0.78479999999996197</v>
      </c>
      <c r="ES256">
        <v>0</v>
      </c>
      <c r="ET256">
        <v>0</v>
      </c>
      <c r="EU256">
        <v>0</v>
      </c>
      <c r="EV256">
        <v>9.8130000000001202E-2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1.9</v>
      </c>
      <c r="FE256">
        <v>1.5</v>
      </c>
      <c r="FF256">
        <v>1.2439</v>
      </c>
      <c r="FG256">
        <v>2.6037599999999999</v>
      </c>
      <c r="FH256">
        <v>2.19604</v>
      </c>
      <c r="FI256">
        <v>2.66357</v>
      </c>
      <c r="FJ256">
        <v>2.4462899999999999</v>
      </c>
      <c r="FK256">
        <v>2.2717299999999998</v>
      </c>
      <c r="FL256">
        <v>32.731299999999997</v>
      </c>
      <c r="FM256">
        <v>24.1313</v>
      </c>
      <c r="FN256">
        <v>19</v>
      </c>
      <c r="FO256">
        <v>865.54</v>
      </c>
      <c r="FP256">
        <v>570.19299999999998</v>
      </c>
      <c r="FQ256">
        <v>17.821899999999999</v>
      </c>
      <c r="FR256">
        <v>25.686299999999999</v>
      </c>
      <c r="FS256">
        <v>30.0002</v>
      </c>
      <c r="FT256">
        <v>25.673400000000001</v>
      </c>
      <c r="FU256">
        <v>25.675899999999999</v>
      </c>
      <c r="FV256">
        <v>24.971399999999999</v>
      </c>
      <c r="FW256">
        <v>25.41</v>
      </c>
      <c r="FX256">
        <v>0</v>
      </c>
      <c r="FY256">
        <v>17.816299999999998</v>
      </c>
      <c r="FZ256">
        <v>410</v>
      </c>
      <c r="GA256">
        <v>14.2956</v>
      </c>
      <c r="GB256">
        <v>99.857200000000006</v>
      </c>
      <c r="GC256">
        <v>99.750600000000006</v>
      </c>
    </row>
    <row r="257" spans="1:185" x14ac:dyDescent="0.2">
      <c r="A257">
        <v>242</v>
      </c>
      <c r="B257">
        <v>1769199091</v>
      </c>
      <c r="C257">
        <v>4530</v>
      </c>
      <c r="D257" t="s">
        <v>786</v>
      </c>
      <c r="E257" t="s">
        <v>787</v>
      </c>
      <c r="F257">
        <v>15</v>
      </c>
      <c r="G257">
        <v>1769199082.9333301</v>
      </c>
      <c r="H257">
        <f t="shared" si="39"/>
        <v>8.9606815178849537E-4</v>
      </c>
      <c r="I257">
        <v>0</v>
      </c>
      <c r="J257">
        <f t="shared" si="51"/>
        <v>-2.5731715646269308E-4</v>
      </c>
      <c r="K257">
        <f t="shared" si="40"/>
        <v>-9.5886196682979114E-3</v>
      </c>
      <c r="L257">
        <f t="shared" si="41"/>
        <v>69.852943446692279</v>
      </c>
      <c r="M257">
        <f t="shared" si="42"/>
        <v>1.5409590301346019</v>
      </c>
      <c r="N257">
        <f t="shared" si="43"/>
        <v>2.2060044346027774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26303.146126023032</v>
      </c>
      <c r="T257">
        <f t="shared" si="47"/>
        <v>799.99940000000004</v>
      </c>
      <c r="U257">
        <f t="shared" si="48"/>
        <v>674.39933804011696</v>
      </c>
      <c r="V257">
        <f t="shared" si="49"/>
        <v>0.8429998047999997</v>
      </c>
      <c r="W257">
        <f t="shared" si="50"/>
        <v>0.15869956396799995</v>
      </c>
      <c r="X257">
        <v>1</v>
      </c>
      <c r="Y257">
        <v>1769199082.9333301</v>
      </c>
      <c r="Z257">
        <v>409.5446</v>
      </c>
      <c r="AA257">
        <v>409.99133333333299</v>
      </c>
      <c r="AB257">
        <v>15.371779999999999</v>
      </c>
      <c r="AC257">
        <v>14.268926666666699</v>
      </c>
      <c r="AD257">
        <v>410.32940000000002</v>
      </c>
      <c r="AE257">
        <v>15.27366</v>
      </c>
      <c r="AF257">
        <v>800.01026666666701</v>
      </c>
      <c r="AG257">
        <v>100.1818</v>
      </c>
      <c r="AH257">
        <v>6.4172173333333304E-2</v>
      </c>
      <c r="AI257">
        <v>19.005986666666701</v>
      </c>
      <c r="AJ257">
        <v>999.9</v>
      </c>
      <c r="AK257">
        <v>999.9</v>
      </c>
      <c r="AL257">
        <v>0</v>
      </c>
      <c r="AM257">
        <v>0</v>
      </c>
      <c r="AN257">
        <v>5005.5666666666702</v>
      </c>
      <c r="AO257">
        <v>0</v>
      </c>
      <c r="AP257">
        <v>1.6937899999999999</v>
      </c>
      <c r="AQ257">
        <v>-0.4467102</v>
      </c>
      <c r="AR257">
        <v>415.93833333333299</v>
      </c>
      <c r="AS257">
        <v>415.92619999999999</v>
      </c>
      <c r="AT257">
        <v>1.1028546666666701</v>
      </c>
      <c r="AU257">
        <v>409.99133333333299</v>
      </c>
      <c r="AV257">
        <v>14.268926666666699</v>
      </c>
      <c r="AW257">
        <v>1.5399719999999999</v>
      </c>
      <c r="AX257">
        <v>1.4294866666666699</v>
      </c>
      <c r="AY257">
        <v>13.3709133333333</v>
      </c>
      <c r="AZ257">
        <v>12.2340866666667</v>
      </c>
      <c r="BA257">
        <v>799.99940000000004</v>
      </c>
      <c r="BB257">
        <v>0.900005733333333</v>
      </c>
      <c r="BC257">
        <v>0</v>
      </c>
      <c r="BD257">
        <v>9.9994239999999998E-2</v>
      </c>
      <c r="BE257">
        <v>0</v>
      </c>
      <c r="BF257">
        <v>25</v>
      </c>
      <c r="BG257">
        <v>13191.0333333333</v>
      </c>
      <c r="BH257">
        <v>1769198984</v>
      </c>
      <c r="BI257" t="s">
        <v>771</v>
      </c>
      <c r="BJ257">
        <v>1769198962</v>
      </c>
      <c r="BK257">
        <v>1769198984</v>
      </c>
      <c r="BL257">
        <v>10</v>
      </c>
      <c r="BM257">
        <v>3.5999999999999997E-2</v>
      </c>
      <c r="BN257">
        <v>-2E-3</v>
      </c>
      <c r="BO257">
        <v>-0.78500000000000003</v>
      </c>
      <c r="BP257">
        <v>9.8000000000000004E-2</v>
      </c>
      <c r="BQ257">
        <v>410</v>
      </c>
      <c r="BR257">
        <v>15</v>
      </c>
      <c r="BS257">
        <v>0.32</v>
      </c>
      <c r="BT257">
        <v>0.05</v>
      </c>
      <c r="BU257">
        <v>-0.447021476190476</v>
      </c>
      <c r="BV257">
        <v>7.0699870129870293E-2</v>
      </c>
      <c r="BW257">
        <v>1.7474023301594602E-2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1.1025785714285701</v>
      </c>
      <c r="CD257">
        <v>4.9184415584416497E-3</v>
      </c>
      <c r="CE257">
        <v>1.4168888981355701E-3</v>
      </c>
      <c r="CF257">
        <v>1</v>
      </c>
      <c r="CG257">
        <v>2</v>
      </c>
      <c r="CH257">
        <v>2</v>
      </c>
      <c r="CI257" t="s">
        <v>304</v>
      </c>
      <c r="CJ257">
        <v>3.5325600000000001</v>
      </c>
      <c r="CK257">
        <v>2.70214</v>
      </c>
      <c r="CL257">
        <v>9.7892900000000005E-2</v>
      </c>
      <c r="CM257">
        <v>9.6623299999999995E-2</v>
      </c>
      <c r="CN257">
        <v>8.6994199999999994E-2</v>
      </c>
      <c r="CO257">
        <v>8.1477099999999997E-2</v>
      </c>
      <c r="CP257">
        <v>31623.7</v>
      </c>
      <c r="CQ257">
        <v>27818.9</v>
      </c>
      <c r="CR257">
        <v>32445.9</v>
      </c>
      <c r="CS257">
        <v>30722.2</v>
      </c>
      <c r="CT257">
        <v>40119.300000000003</v>
      </c>
      <c r="CU257">
        <v>39689.5</v>
      </c>
      <c r="CV257">
        <v>47392</v>
      </c>
      <c r="CW257">
        <v>46860.1</v>
      </c>
      <c r="CX257">
        <v>2.6200800000000002</v>
      </c>
      <c r="CY257">
        <v>2.11972</v>
      </c>
      <c r="CZ257">
        <v>0</v>
      </c>
      <c r="DA257">
        <v>0</v>
      </c>
      <c r="DB257">
        <v>999.9</v>
      </c>
      <c r="DC257">
        <v>999.9</v>
      </c>
      <c r="DD257">
        <v>47.472999999999999</v>
      </c>
      <c r="DE257">
        <v>28.46</v>
      </c>
      <c r="DF257">
        <v>18.471800000000002</v>
      </c>
      <c r="DG257">
        <v>30.529800000000002</v>
      </c>
      <c r="DH257">
        <v>16.386199999999999</v>
      </c>
      <c r="DI257">
        <v>2</v>
      </c>
      <c r="DJ257">
        <v>-0.10101</v>
      </c>
      <c r="DK257">
        <v>2.6838099999999998</v>
      </c>
      <c r="DL257">
        <v>20.1889</v>
      </c>
      <c r="DM257">
        <v>5.2498800000000001</v>
      </c>
      <c r="DN257">
        <v>12.033899999999999</v>
      </c>
      <c r="DO257">
        <v>4.9673999999999996</v>
      </c>
      <c r="DP257">
        <v>3.2909999999999999</v>
      </c>
      <c r="DQ257">
        <v>537.29999999999995</v>
      </c>
      <c r="DR257">
        <v>9999</v>
      </c>
      <c r="DS257">
        <v>9999</v>
      </c>
      <c r="DT257">
        <v>9999</v>
      </c>
      <c r="DU257">
        <v>1.87114</v>
      </c>
      <c r="DV257">
        <v>1.87612</v>
      </c>
      <c r="DW257">
        <v>1.8763399999999999</v>
      </c>
      <c r="DX257">
        <v>1.88283</v>
      </c>
      <c r="DY257">
        <v>1.87561</v>
      </c>
      <c r="DZ257">
        <v>1.87469</v>
      </c>
      <c r="EA257">
        <v>1.87087</v>
      </c>
      <c r="EB257">
        <v>1.8746799999999999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-0.78500000000000003</v>
      </c>
      <c r="EQ257">
        <v>9.8100000000000007E-2</v>
      </c>
      <c r="ER257">
        <v>-0.78479999999996197</v>
      </c>
      <c r="ES257">
        <v>0</v>
      </c>
      <c r="ET257">
        <v>0</v>
      </c>
      <c r="EU257">
        <v>0</v>
      </c>
      <c r="EV257">
        <v>9.8130000000001202E-2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2.1</v>
      </c>
      <c r="FE257">
        <v>1.8</v>
      </c>
      <c r="FF257">
        <v>1.2439</v>
      </c>
      <c r="FG257">
        <v>2.6013199999999999</v>
      </c>
      <c r="FH257">
        <v>2.19604</v>
      </c>
      <c r="FI257">
        <v>2.66357</v>
      </c>
      <c r="FJ257">
        <v>2.4462899999999999</v>
      </c>
      <c r="FK257">
        <v>2.2656200000000002</v>
      </c>
      <c r="FL257">
        <v>32.731299999999997</v>
      </c>
      <c r="FM257">
        <v>24.1313</v>
      </c>
      <c r="FN257">
        <v>19</v>
      </c>
      <c r="FO257">
        <v>865.57</v>
      </c>
      <c r="FP257">
        <v>570.34900000000005</v>
      </c>
      <c r="FQ257">
        <v>17.799800000000001</v>
      </c>
      <c r="FR257">
        <v>25.6907</v>
      </c>
      <c r="FS257">
        <v>30.0002</v>
      </c>
      <c r="FT257">
        <v>25.676500000000001</v>
      </c>
      <c r="FU257">
        <v>25.678999999999998</v>
      </c>
      <c r="FV257">
        <v>24.971299999999999</v>
      </c>
      <c r="FW257">
        <v>25.41</v>
      </c>
      <c r="FX257">
        <v>0</v>
      </c>
      <c r="FY257">
        <v>17.796800000000001</v>
      </c>
      <c r="FZ257">
        <v>410</v>
      </c>
      <c r="GA257">
        <v>14.2956</v>
      </c>
      <c r="GB257">
        <v>99.8553</v>
      </c>
      <c r="GC257">
        <v>99.748699999999999</v>
      </c>
    </row>
    <row r="258" spans="1:185" x14ac:dyDescent="0.2">
      <c r="A258">
        <v>243</v>
      </c>
      <c r="B258">
        <v>1769199106</v>
      </c>
      <c r="C258">
        <v>4545</v>
      </c>
      <c r="D258" t="s">
        <v>788</v>
      </c>
      <c r="E258" t="s">
        <v>789</v>
      </c>
      <c r="F258">
        <v>15</v>
      </c>
      <c r="G258">
        <v>1769199097.9333301</v>
      </c>
      <c r="H258">
        <f t="shared" si="39"/>
        <v>9.0136184202108019E-4</v>
      </c>
      <c r="I258">
        <v>0</v>
      </c>
      <c r="J258">
        <f t="shared" si="51"/>
        <v>7.5285601085849194E-5</v>
      </c>
      <c r="K258">
        <f t="shared" si="40"/>
        <v>2.8054289314986508E-3</v>
      </c>
      <c r="L258">
        <f t="shared" si="41"/>
        <v>69.876088343302342</v>
      </c>
      <c r="M258">
        <f t="shared" si="42"/>
        <v>1.5410400220586529</v>
      </c>
      <c r="N258">
        <f t="shared" si="43"/>
        <v>2.205389652734278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26258.744863998414</v>
      </c>
      <c r="T258">
        <f t="shared" si="47"/>
        <v>799.99733333333302</v>
      </c>
      <c r="U258">
        <f t="shared" si="48"/>
        <v>674.39754528068852</v>
      </c>
      <c r="V258">
        <f t="shared" si="49"/>
        <v>0.84299974159999969</v>
      </c>
      <c r="W258">
        <f t="shared" si="50"/>
        <v>0.15869919809599997</v>
      </c>
      <c r="X258">
        <v>1</v>
      </c>
      <c r="Y258">
        <v>1769199097.9333301</v>
      </c>
      <c r="Z258">
        <v>409.54039999999998</v>
      </c>
      <c r="AA258">
        <v>410.005333333333</v>
      </c>
      <c r="AB258">
        <v>15.3727066666667</v>
      </c>
      <c r="AC258">
        <v>14.2633333333333</v>
      </c>
      <c r="AD258">
        <v>410.3252</v>
      </c>
      <c r="AE258">
        <v>15.2745866666667</v>
      </c>
      <c r="AF258">
        <v>800.00613333333297</v>
      </c>
      <c r="AG258">
        <v>100.1808</v>
      </c>
      <c r="AH258">
        <v>6.4397899999999994E-2</v>
      </c>
      <c r="AI258">
        <v>19.001519999999999</v>
      </c>
      <c r="AJ258">
        <v>999.9</v>
      </c>
      <c r="AK258">
        <v>999.9</v>
      </c>
      <c r="AL258">
        <v>0</v>
      </c>
      <c r="AM258">
        <v>0</v>
      </c>
      <c r="AN258">
        <v>4998.2333333333299</v>
      </c>
      <c r="AO258">
        <v>0</v>
      </c>
      <c r="AP258">
        <v>1.6937899999999999</v>
      </c>
      <c r="AQ258">
        <v>-0.46505940000000001</v>
      </c>
      <c r="AR258">
        <v>415.93439999999998</v>
      </c>
      <c r="AS258">
        <v>415.93799999999999</v>
      </c>
      <c r="AT258">
        <v>1.1093713333333299</v>
      </c>
      <c r="AU258">
        <v>410.005333333333</v>
      </c>
      <c r="AV258">
        <v>14.2633333333333</v>
      </c>
      <c r="AW258">
        <v>1.5400513333333301</v>
      </c>
      <c r="AX258">
        <v>1.42891533333333</v>
      </c>
      <c r="AY258">
        <v>13.3717066666667</v>
      </c>
      <c r="AZ258">
        <v>12.2279933333333</v>
      </c>
      <c r="BA258">
        <v>799.99733333333302</v>
      </c>
      <c r="BB258">
        <v>0.90001093333333304</v>
      </c>
      <c r="BC258">
        <v>0</v>
      </c>
      <c r="BD258">
        <v>9.9989146666666695E-2</v>
      </c>
      <c r="BE258">
        <v>0</v>
      </c>
      <c r="BF258">
        <v>25</v>
      </c>
      <c r="BG258">
        <v>13191.0133333333</v>
      </c>
      <c r="BH258">
        <v>1769198984</v>
      </c>
      <c r="BI258" t="s">
        <v>771</v>
      </c>
      <c r="BJ258">
        <v>1769198962</v>
      </c>
      <c r="BK258">
        <v>1769198984</v>
      </c>
      <c r="BL258">
        <v>10</v>
      </c>
      <c r="BM258">
        <v>3.5999999999999997E-2</v>
      </c>
      <c r="BN258">
        <v>-2E-3</v>
      </c>
      <c r="BO258">
        <v>-0.78500000000000003</v>
      </c>
      <c r="BP258">
        <v>9.8000000000000004E-2</v>
      </c>
      <c r="BQ258">
        <v>410</v>
      </c>
      <c r="BR258">
        <v>15</v>
      </c>
      <c r="BS258">
        <v>0.32</v>
      </c>
      <c r="BT258">
        <v>0.05</v>
      </c>
      <c r="BU258">
        <v>-0.45707239999999999</v>
      </c>
      <c r="BV258">
        <v>-0.1056</v>
      </c>
      <c r="BW258">
        <v>2.0406670106609799E-2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1.1077855000000001</v>
      </c>
      <c r="CD258">
        <v>2.7051879699246401E-2</v>
      </c>
      <c r="CE258">
        <v>3.4593561178346199E-3</v>
      </c>
      <c r="CF258">
        <v>1</v>
      </c>
      <c r="CG258">
        <v>2</v>
      </c>
      <c r="CH258">
        <v>2</v>
      </c>
      <c r="CI258" t="s">
        <v>304</v>
      </c>
      <c r="CJ258">
        <v>3.53254</v>
      </c>
      <c r="CK258">
        <v>2.7021799999999998</v>
      </c>
      <c r="CL258">
        <v>9.7893599999999997E-2</v>
      </c>
      <c r="CM258">
        <v>9.6620499999999998E-2</v>
      </c>
      <c r="CN258">
        <v>8.7005700000000005E-2</v>
      </c>
      <c r="CO258">
        <v>8.1455E-2</v>
      </c>
      <c r="CP258">
        <v>31622.9</v>
      </c>
      <c r="CQ258">
        <v>27818.9</v>
      </c>
      <c r="CR258">
        <v>32445.1</v>
      </c>
      <c r="CS258">
        <v>30722.2</v>
      </c>
      <c r="CT258">
        <v>40117.800000000003</v>
      </c>
      <c r="CU258">
        <v>39690.9</v>
      </c>
      <c r="CV258">
        <v>47390.8</v>
      </c>
      <c r="CW258">
        <v>46860.6</v>
      </c>
      <c r="CX258">
        <v>2.6200600000000001</v>
      </c>
      <c r="CY258">
        <v>2.1194799999999998</v>
      </c>
      <c r="CZ258">
        <v>0</v>
      </c>
      <c r="DA258">
        <v>0</v>
      </c>
      <c r="DB258">
        <v>999.9</v>
      </c>
      <c r="DC258">
        <v>999.9</v>
      </c>
      <c r="DD258">
        <v>47.448</v>
      </c>
      <c r="DE258">
        <v>28.46</v>
      </c>
      <c r="DF258">
        <v>18.460599999999999</v>
      </c>
      <c r="DG258">
        <v>30.559799999999999</v>
      </c>
      <c r="DH258">
        <v>16.430299999999999</v>
      </c>
      <c r="DI258">
        <v>2</v>
      </c>
      <c r="DJ258">
        <v>-0.100679</v>
      </c>
      <c r="DK258">
        <v>2.6691600000000002</v>
      </c>
      <c r="DL258">
        <v>20.189</v>
      </c>
      <c r="DM258">
        <v>5.2501199999999999</v>
      </c>
      <c r="DN258">
        <v>12.033899999999999</v>
      </c>
      <c r="DO258">
        <v>4.9675599999999998</v>
      </c>
      <c r="DP258">
        <v>3.2909999999999999</v>
      </c>
      <c r="DQ258">
        <v>537.29999999999995</v>
      </c>
      <c r="DR258">
        <v>9999</v>
      </c>
      <c r="DS258">
        <v>9999</v>
      </c>
      <c r="DT258">
        <v>9999</v>
      </c>
      <c r="DU258">
        <v>1.87113</v>
      </c>
      <c r="DV258">
        <v>1.8761099999999999</v>
      </c>
      <c r="DW258">
        <v>1.87635</v>
      </c>
      <c r="DX258">
        <v>1.8828</v>
      </c>
      <c r="DY258">
        <v>1.87561</v>
      </c>
      <c r="DZ258">
        <v>1.87469</v>
      </c>
      <c r="EA258">
        <v>1.8708400000000001</v>
      </c>
      <c r="EB258">
        <v>1.8746799999999999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-0.78500000000000003</v>
      </c>
      <c r="EQ258">
        <v>9.8199999999999996E-2</v>
      </c>
      <c r="ER258">
        <v>-0.78479999999996197</v>
      </c>
      <c r="ES258">
        <v>0</v>
      </c>
      <c r="ET258">
        <v>0</v>
      </c>
      <c r="EU258">
        <v>0</v>
      </c>
      <c r="EV258">
        <v>9.8130000000001202E-2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2.4</v>
      </c>
      <c r="FE258">
        <v>2</v>
      </c>
      <c r="FF258">
        <v>1.2439</v>
      </c>
      <c r="FG258">
        <v>2.6025399999999999</v>
      </c>
      <c r="FH258">
        <v>2.19604</v>
      </c>
      <c r="FI258">
        <v>2.66357</v>
      </c>
      <c r="FJ258">
        <v>2.4462899999999999</v>
      </c>
      <c r="FK258">
        <v>2.2961399999999998</v>
      </c>
      <c r="FL258">
        <v>32.753500000000003</v>
      </c>
      <c r="FM258">
        <v>24.1313</v>
      </c>
      <c r="FN258">
        <v>19</v>
      </c>
      <c r="FO258">
        <v>865.62099999999998</v>
      </c>
      <c r="FP258">
        <v>570.21199999999999</v>
      </c>
      <c r="FQ258">
        <v>17.7912</v>
      </c>
      <c r="FR258">
        <v>25.695399999999999</v>
      </c>
      <c r="FS258">
        <v>30.0001</v>
      </c>
      <c r="FT258">
        <v>25.680700000000002</v>
      </c>
      <c r="FU258">
        <v>25.683199999999999</v>
      </c>
      <c r="FV258">
        <v>24.9724</v>
      </c>
      <c r="FW258">
        <v>25.41</v>
      </c>
      <c r="FX258">
        <v>0</v>
      </c>
      <c r="FY258">
        <v>17.791599999999999</v>
      </c>
      <c r="FZ258">
        <v>410</v>
      </c>
      <c r="GA258">
        <v>14.2956</v>
      </c>
      <c r="GB258">
        <v>99.852900000000005</v>
      </c>
      <c r="GC258">
        <v>99.749300000000005</v>
      </c>
    </row>
    <row r="259" spans="1:185" x14ac:dyDescent="0.2">
      <c r="A259">
        <v>244</v>
      </c>
      <c r="B259">
        <v>1769199121</v>
      </c>
      <c r="C259">
        <v>4560</v>
      </c>
      <c r="D259" t="s">
        <v>790</v>
      </c>
      <c r="E259" t="s">
        <v>791</v>
      </c>
      <c r="F259">
        <v>15</v>
      </c>
      <c r="G259">
        <v>1769199112.9333301</v>
      </c>
      <c r="H259">
        <f t="shared" si="39"/>
        <v>9.0166563488649543E-4</v>
      </c>
      <c r="I259">
        <v>0</v>
      </c>
      <c r="J259">
        <f t="shared" si="51"/>
        <v>-1.7295171298135675E-4</v>
      </c>
      <c r="K259">
        <f t="shared" si="40"/>
        <v>-6.444841142954608E-3</v>
      </c>
      <c r="L259">
        <f t="shared" si="41"/>
        <v>69.858711113485569</v>
      </c>
      <c r="M259">
        <f t="shared" si="42"/>
        <v>1.5405356539561175</v>
      </c>
      <c r="N259">
        <f t="shared" si="43"/>
        <v>2.205216256357085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26275.893652351118</v>
      </c>
      <c r="T259">
        <f t="shared" si="47"/>
        <v>800.00073333333398</v>
      </c>
      <c r="U259">
        <f t="shared" si="48"/>
        <v>674.4003757997782</v>
      </c>
      <c r="V259">
        <f t="shared" si="49"/>
        <v>0.84299969699999988</v>
      </c>
      <c r="W259">
        <f t="shared" si="50"/>
        <v>0.15869904762000001</v>
      </c>
      <c r="X259">
        <v>1</v>
      </c>
      <c r="Y259">
        <v>1769199112.9333301</v>
      </c>
      <c r="Z259">
        <v>409.54419999999999</v>
      </c>
      <c r="AA259">
        <v>409.99773333333297</v>
      </c>
      <c r="AB259">
        <v>15.36778</v>
      </c>
      <c r="AC259">
        <v>14.25802</v>
      </c>
      <c r="AD259">
        <v>410.32886666666701</v>
      </c>
      <c r="AE259">
        <v>15.2696533333333</v>
      </c>
      <c r="AF259">
        <v>800.00093333333302</v>
      </c>
      <c r="AG259">
        <v>100.180133333333</v>
      </c>
      <c r="AH259">
        <v>6.4381746666666698E-2</v>
      </c>
      <c r="AI259">
        <v>19.000260000000001</v>
      </c>
      <c r="AJ259">
        <v>999.9</v>
      </c>
      <c r="AK259">
        <v>999.9</v>
      </c>
      <c r="AL259">
        <v>0</v>
      </c>
      <c r="AM259">
        <v>0</v>
      </c>
      <c r="AN259">
        <v>5001.0666666666702</v>
      </c>
      <c r="AO259">
        <v>0</v>
      </c>
      <c r="AP259">
        <v>1.6937899999999999</v>
      </c>
      <c r="AQ259">
        <v>-0.45355833333333301</v>
      </c>
      <c r="AR259">
        <v>415.93619999999999</v>
      </c>
      <c r="AS259">
        <v>415.92793333333299</v>
      </c>
      <c r="AT259">
        <v>1.1097746666666699</v>
      </c>
      <c r="AU259">
        <v>409.99773333333297</v>
      </c>
      <c r="AV259">
        <v>14.25802</v>
      </c>
      <c r="AW259">
        <v>1.5395466666666699</v>
      </c>
      <c r="AX259">
        <v>1.42836933333333</v>
      </c>
      <c r="AY259">
        <v>13.366673333333299</v>
      </c>
      <c r="AZ259">
        <v>12.222200000000001</v>
      </c>
      <c r="BA259">
        <v>800.00073333333398</v>
      </c>
      <c r="BB259">
        <v>0.90001299999999995</v>
      </c>
      <c r="BC259">
        <v>0</v>
      </c>
      <c r="BD259">
        <v>9.9987099999999995E-2</v>
      </c>
      <c r="BE259">
        <v>0</v>
      </c>
      <c r="BF259">
        <v>25</v>
      </c>
      <c r="BG259">
        <v>13191.0933333333</v>
      </c>
      <c r="BH259">
        <v>1769198984</v>
      </c>
      <c r="BI259" t="s">
        <v>771</v>
      </c>
      <c r="BJ259">
        <v>1769198962</v>
      </c>
      <c r="BK259">
        <v>1769198984</v>
      </c>
      <c r="BL259">
        <v>10</v>
      </c>
      <c r="BM259">
        <v>3.5999999999999997E-2</v>
      </c>
      <c r="BN259">
        <v>-2E-3</v>
      </c>
      <c r="BO259">
        <v>-0.78500000000000003</v>
      </c>
      <c r="BP259">
        <v>9.8000000000000004E-2</v>
      </c>
      <c r="BQ259">
        <v>410</v>
      </c>
      <c r="BR259">
        <v>15</v>
      </c>
      <c r="BS259">
        <v>0.32</v>
      </c>
      <c r="BT259">
        <v>0.05</v>
      </c>
      <c r="BU259">
        <v>-0.45545014285714303</v>
      </c>
      <c r="BV259">
        <v>4.7938753246752799E-2</v>
      </c>
      <c r="BW259">
        <v>1.6720519137206399E-2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1.10973047619048</v>
      </c>
      <c r="CD259">
        <v>-4.0153246753214401E-3</v>
      </c>
      <c r="CE259">
        <v>1.12587522014559E-3</v>
      </c>
      <c r="CF259">
        <v>1</v>
      </c>
      <c r="CG259">
        <v>2</v>
      </c>
      <c r="CH259">
        <v>2</v>
      </c>
      <c r="CI259" t="s">
        <v>304</v>
      </c>
      <c r="CJ259">
        <v>3.5325199999999999</v>
      </c>
      <c r="CK259">
        <v>2.7022599999999999</v>
      </c>
      <c r="CL259">
        <v>9.7889599999999993E-2</v>
      </c>
      <c r="CM259">
        <v>9.6617499999999995E-2</v>
      </c>
      <c r="CN259">
        <v>8.6961399999999994E-2</v>
      </c>
      <c r="CO259">
        <v>8.1428100000000003E-2</v>
      </c>
      <c r="CP259">
        <v>31623.8</v>
      </c>
      <c r="CQ259">
        <v>27818.799999999999</v>
      </c>
      <c r="CR259">
        <v>32445.9</v>
      </c>
      <c r="CS259">
        <v>30722</v>
      </c>
      <c r="CT259">
        <v>40120.699999999997</v>
      </c>
      <c r="CU259">
        <v>39691.699999999997</v>
      </c>
      <c r="CV259">
        <v>47391.9</v>
      </c>
      <c r="CW259">
        <v>46860.2</v>
      </c>
      <c r="CX259">
        <v>2.6199400000000002</v>
      </c>
      <c r="CY259">
        <v>2.1191800000000001</v>
      </c>
      <c r="CZ259">
        <v>0</v>
      </c>
      <c r="DA259">
        <v>0</v>
      </c>
      <c r="DB259">
        <v>999.9</v>
      </c>
      <c r="DC259">
        <v>999.9</v>
      </c>
      <c r="DD259">
        <v>47.423999999999999</v>
      </c>
      <c r="DE259">
        <v>28.48</v>
      </c>
      <c r="DF259">
        <v>18.474299999999999</v>
      </c>
      <c r="DG259">
        <v>30.2898</v>
      </c>
      <c r="DH259">
        <v>16.414300000000001</v>
      </c>
      <c r="DI259">
        <v>2</v>
      </c>
      <c r="DJ259">
        <v>-0.100892</v>
      </c>
      <c r="DK259">
        <v>2.5865800000000001</v>
      </c>
      <c r="DL259">
        <v>20.190799999999999</v>
      </c>
      <c r="DM259">
        <v>5.2507099999999998</v>
      </c>
      <c r="DN259">
        <v>12.033899999999999</v>
      </c>
      <c r="DO259">
        <v>4.9674399999999999</v>
      </c>
      <c r="DP259">
        <v>3.2909999999999999</v>
      </c>
      <c r="DQ259">
        <v>537.29999999999995</v>
      </c>
      <c r="DR259">
        <v>9999</v>
      </c>
      <c r="DS259">
        <v>9999</v>
      </c>
      <c r="DT259">
        <v>9999</v>
      </c>
      <c r="DU259">
        <v>1.8711500000000001</v>
      </c>
      <c r="DV259">
        <v>1.87609</v>
      </c>
      <c r="DW259">
        <v>1.8763399999999999</v>
      </c>
      <c r="DX259">
        <v>1.88279</v>
      </c>
      <c r="DY259">
        <v>1.87561</v>
      </c>
      <c r="DZ259">
        <v>1.87469</v>
      </c>
      <c r="EA259">
        <v>1.8708499999999999</v>
      </c>
      <c r="EB259">
        <v>1.8746499999999999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-0.78500000000000003</v>
      </c>
      <c r="EQ259">
        <v>9.8100000000000007E-2</v>
      </c>
      <c r="ER259">
        <v>-0.78479999999996197</v>
      </c>
      <c r="ES259">
        <v>0</v>
      </c>
      <c r="ET259">
        <v>0</v>
      </c>
      <c r="EU259">
        <v>0</v>
      </c>
      <c r="EV259">
        <v>9.8130000000001202E-2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2.6</v>
      </c>
      <c r="FE259">
        <v>2.2999999999999998</v>
      </c>
      <c r="FF259">
        <v>1.2439</v>
      </c>
      <c r="FG259">
        <v>2.6000999999999999</v>
      </c>
      <c r="FH259">
        <v>2.19604</v>
      </c>
      <c r="FI259">
        <v>2.66235</v>
      </c>
      <c r="FJ259">
        <v>2.4462899999999999</v>
      </c>
      <c r="FK259">
        <v>2.2924799999999999</v>
      </c>
      <c r="FL259">
        <v>32.753500000000003</v>
      </c>
      <c r="FM259">
        <v>24.1313</v>
      </c>
      <c r="FN259">
        <v>19</v>
      </c>
      <c r="FO259">
        <v>865.57100000000003</v>
      </c>
      <c r="FP259">
        <v>570.02700000000004</v>
      </c>
      <c r="FQ259">
        <v>17.831499999999998</v>
      </c>
      <c r="FR259">
        <v>25.700600000000001</v>
      </c>
      <c r="FS259">
        <v>30.0001</v>
      </c>
      <c r="FT259">
        <v>25.684699999999999</v>
      </c>
      <c r="FU259">
        <v>25.687200000000001</v>
      </c>
      <c r="FV259">
        <v>24.972200000000001</v>
      </c>
      <c r="FW259">
        <v>25.41</v>
      </c>
      <c r="FX259">
        <v>0</v>
      </c>
      <c r="FY259">
        <v>17.825099999999999</v>
      </c>
      <c r="FZ259">
        <v>410</v>
      </c>
      <c r="GA259">
        <v>14.298299999999999</v>
      </c>
      <c r="GB259">
        <v>99.855000000000004</v>
      </c>
      <c r="GC259">
        <v>99.748500000000007</v>
      </c>
    </row>
    <row r="260" spans="1:185" x14ac:dyDescent="0.2">
      <c r="A260">
        <v>245</v>
      </c>
      <c r="B260">
        <v>1769199136</v>
      </c>
      <c r="C260">
        <v>4575</v>
      </c>
      <c r="D260" t="s">
        <v>792</v>
      </c>
      <c r="E260" t="s">
        <v>793</v>
      </c>
      <c r="F260">
        <v>15</v>
      </c>
      <c r="G260">
        <v>1769199127.9333301</v>
      </c>
      <c r="H260">
        <f t="shared" si="39"/>
        <v>8.9788010471869616E-4</v>
      </c>
      <c r="I260">
        <v>0</v>
      </c>
      <c r="J260">
        <f t="shared" si="51"/>
        <v>-3.2487457831920536E-4</v>
      </c>
      <c r="K260">
        <f t="shared" si="40"/>
        <v>-1.2106067136075952E-2</v>
      </c>
      <c r="L260">
        <f t="shared" si="41"/>
        <v>69.803292754759994</v>
      </c>
      <c r="M260">
        <f t="shared" si="42"/>
        <v>1.539549235713968</v>
      </c>
      <c r="N260">
        <f t="shared" si="43"/>
        <v>2.20555388572122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26285.25348439084</v>
      </c>
      <c r="T260">
        <f t="shared" si="47"/>
        <v>799.99866666666696</v>
      </c>
      <c r="U260">
        <f t="shared" si="48"/>
        <v>674.39855024054361</v>
      </c>
      <c r="V260">
        <f t="shared" si="49"/>
        <v>0.84299959280000059</v>
      </c>
      <c r="W260">
        <f t="shared" si="50"/>
        <v>0.15869890404800013</v>
      </c>
      <c r="X260">
        <v>1</v>
      </c>
      <c r="Y260">
        <v>1769199127.9333301</v>
      </c>
      <c r="Z260">
        <v>409.56119999999999</v>
      </c>
      <c r="AA260">
        <v>410.00573333333301</v>
      </c>
      <c r="AB260">
        <v>15.3582466666667</v>
      </c>
      <c r="AC260">
        <v>14.2531466666667</v>
      </c>
      <c r="AD260">
        <v>410.34606666666701</v>
      </c>
      <c r="AE260">
        <v>15.260106666666699</v>
      </c>
      <c r="AF260">
        <v>800.00926666666703</v>
      </c>
      <c r="AG260">
        <v>100.17806666666699</v>
      </c>
      <c r="AH260">
        <v>6.444598E-2</v>
      </c>
      <c r="AI260">
        <v>19.0027133333333</v>
      </c>
      <c r="AJ260">
        <v>999.9</v>
      </c>
      <c r="AK260">
        <v>999.9</v>
      </c>
      <c r="AL260">
        <v>0</v>
      </c>
      <c r="AM260">
        <v>0</v>
      </c>
      <c r="AN260">
        <v>5002.7333333333299</v>
      </c>
      <c r="AO260">
        <v>0</v>
      </c>
      <c r="AP260">
        <v>1.6937899999999999</v>
      </c>
      <c r="AQ260">
        <v>-0.44446013333333301</v>
      </c>
      <c r="AR260">
        <v>415.94940000000003</v>
      </c>
      <c r="AS260">
        <v>415.93406666666698</v>
      </c>
      <c r="AT260">
        <v>1.1050979999999999</v>
      </c>
      <c r="AU260">
        <v>410.00573333333301</v>
      </c>
      <c r="AV260">
        <v>14.2531466666667</v>
      </c>
      <c r="AW260">
        <v>1.53855866666667</v>
      </c>
      <c r="AX260">
        <v>1.4278519999999999</v>
      </c>
      <c r="AY260">
        <v>13.35684</v>
      </c>
      <c r="AZ260">
        <v>12.216706666666701</v>
      </c>
      <c r="BA260">
        <v>799.99866666666696</v>
      </c>
      <c r="BB260">
        <v>0.90001473333333404</v>
      </c>
      <c r="BC260">
        <v>0</v>
      </c>
      <c r="BD260">
        <v>9.9985306666666704E-2</v>
      </c>
      <c r="BE260">
        <v>0</v>
      </c>
      <c r="BF260">
        <v>25</v>
      </c>
      <c r="BG260">
        <v>13191.06</v>
      </c>
      <c r="BH260">
        <v>1769198984</v>
      </c>
      <c r="BI260" t="s">
        <v>771</v>
      </c>
      <c r="BJ260">
        <v>1769198962</v>
      </c>
      <c r="BK260">
        <v>1769198984</v>
      </c>
      <c r="BL260">
        <v>10</v>
      </c>
      <c r="BM260">
        <v>3.5999999999999997E-2</v>
      </c>
      <c r="BN260">
        <v>-2E-3</v>
      </c>
      <c r="BO260">
        <v>-0.78500000000000003</v>
      </c>
      <c r="BP260">
        <v>9.8000000000000004E-2</v>
      </c>
      <c r="BQ260">
        <v>410</v>
      </c>
      <c r="BR260">
        <v>15</v>
      </c>
      <c r="BS260">
        <v>0.32</v>
      </c>
      <c r="BT260">
        <v>0.05</v>
      </c>
      <c r="BU260">
        <v>-0.44462435</v>
      </c>
      <c r="BV260">
        <v>-5.2413789473684101E-2</v>
      </c>
      <c r="BW260">
        <v>1.75688189337673E-2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1.1060000000000001</v>
      </c>
      <c r="CD260">
        <v>-2.1589172932331001E-2</v>
      </c>
      <c r="CE260">
        <v>2.22876871837347E-3</v>
      </c>
      <c r="CF260">
        <v>1</v>
      </c>
      <c r="CG260">
        <v>2</v>
      </c>
      <c r="CH260">
        <v>2</v>
      </c>
      <c r="CI260" t="s">
        <v>304</v>
      </c>
      <c r="CJ260">
        <v>3.5325600000000001</v>
      </c>
      <c r="CK260">
        <v>2.70234</v>
      </c>
      <c r="CL260">
        <v>9.7889199999999996E-2</v>
      </c>
      <c r="CM260">
        <v>9.6611500000000003E-2</v>
      </c>
      <c r="CN260">
        <v>8.6920399999999995E-2</v>
      </c>
      <c r="CO260">
        <v>8.1407300000000002E-2</v>
      </c>
      <c r="CP260">
        <v>31622.6</v>
      </c>
      <c r="CQ260">
        <v>27818.3</v>
      </c>
      <c r="CR260">
        <v>32444.7</v>
      </c>
      <c r="CS260">
        <v>30721.200000000001</v>
      </c>
      <c r="CT260">
        <v>40121.300000000003</v>
      </c>
      <c r="CU260">
        <v>39692</v>
      </c>
      <c r="CV260">
        <v>47390.400000000001</v>
      </c>
      <c r="CW260">
        <v>46859.4</v>
      </c>
      <c r="CX260">
        <v>2.6197400000000002</v>
      </c>
      <c r="CY260">
        <v>2.11904</v>
      </c>
      <c r="CZ260">
        <v>0</v>
      </c>
      <c r="DA260">
        <v>0</v>
      </c>
      <c r="DB260">
        <v>999.9</v>
      </c>
      <c r="DC260">
        <v>999.9</v>
      </c>
      <c r="DD260">
        <v>47.4</v>
      </c>
      <c r="DE260">
        <v>28.46</v>
      </c>
      <c r="DF260">
        <v>18.4422</v>
      </c>
      <c r="DG260">
        <v>30.1998</v>
      </c>
      <c r="DH260">
        <v>16.382200000000001</v>
      </c>
      <c r="DI260">
        <v>2</v>
      </c>
      <c r="DJ260">
        <v>-9.9520300000000006E-2</v>
      </c>
      <c r="DK260">
        <v>2.6782499999999998</v>
      </c>
      <c r="DL260">
        <v>20.1889</v>
      </c>
      <c r="DM260">
        <v>5.2508299999999997</v>
      </c>
      <c r="DN260">
        <v>12.033899999999999</v>
      </c>
      <c r="DO260">
        <v>4.9672400000000003</v>
      </c>
      <c r="DP260">
        <v>3.2909999999999999</v>
      </c>
      <c r="DQ260">
        <v>537.29999999999995</v>
      </c>
      <c r="DR260">
        <v>9999</v>
      </c>
      <c r="DS260">
        <v>9999</v>
      </c>
      <c r="DT260">
        <v>9999</v>
      </c>
      <c r="DU260">
        <v>1.87113</v>
      </c>
      <c r="DV260">
        <v>1.8761300000000001</v>
      </c>
      <c r="DW260">
        <v>1.87632</v>
      </c>
      <c r="DX260">
        <v>1.8828100000000001</v>
      </c>
      <c r="DY260">
        <v>1.87561</v>
      </c>
      <c r="DZ260">
        <v>1.8746700000000001</v>
      </c>
      <c r="EA260">
        <v>1.8708499999999999</v>
      </c>
      <c r="EB260">
        <v>1.8746499999999999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-0.78500000000000003</v>
      </c>
      <c r="EQ260">
        <v>9.8199999999999996E-2</v>
      </c>
      <c r="ER260">
        <v>-0.78479999999996197</v>
      </c>
      <c r="ES260">
        <v>0</v>
      </c>
      <c r="ET260">
        <v>0</v>
      </c>
      <c r="EU260">
        <v>0</v>
      </c>
      <c r="EV260">
        <v>9.8130000000001202E-2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2.9</v>
      </c>
      <c r="FE260">
        <v>2.5</v>
      </c>
      <c r="FF260">
        <v>1.2439</v>
      </c>
      <c r="FG260">
        <v>2.6013199999999999</v>
      </c>
      <c r="FH260">
        <v>2.19604</v>
      </c>
      <c r="FI260">
        <v>2.66235</v>
      </c>
      <c r="FJ260">
        <v>2.4462899999999999</v>
      </c>
      <c r="FK260">
        <v>2.3022499999999999</v>
      </c>
      <c r="FL260">
        <v>32.753500000000003</v>
      </c>
      <c r="FM260">
        <v>24.14</v>
      </c>
      <c r="FN260">
        <v>19</v>
      </c>
      <c r="FO260">
        <v>865.46100000000001</v>
      </c>
      <c r="FP260">
        <v>569.97699999999998</v>
      </c>
      <c r="FQ260">
        <v>17.822399999999998</v>
      </c>
      <c r="FR260">
        <v>25.707100000000001</v>
      </c>
      <c r="FS260">
        <v>30.000399999999999</v>
      </c>
      <c r="FT260">
        <v>25.689399999999999</v>
      </c>
      <c r="FU260">
        <v>25.692299999999999</v>
      </c>
      <c r="FV260">
        <v>24.9711</v>
      </c>
      <c r="FW260">
        <v>25.41</v>
      </c>
      <c r="FX260">
        <v>0</v>
      </c>
      <c r="FY260">
        <v>17.817699999999999</v>
      </c>
      <c r="FZ260">
        <v>410</v>
      </c>
      <c r="GA260">
        <v>14.315099999999999</v>
      </c>
      <c r="GB260">
        <v>99.851699999999994</v>
      </c>
      <c r="GC260">
        <v>99.746600000000001</v>
      </c>
    </row>
    <row r="261" spans="1:185" x14ac:dyDescent="0.2">
      <c r="A261">
        <v>246</v>
      </c>
      <c r="B261">
        <v>1769199151</v>
      </c>
      <c r="C261">
        <v>4590</v>
      </c>
      <c r="D261" t="s">
        <v>794</v>
      </c>
      <c r="E261" t="s">
        <v>795</v>
      </c>
      <c r="F261">
        <v>15</v>
      </c>
      <c r="G261">
        <v>1769199142.9333301</v>
      </c>
      <c r="H261">
        <f t="shared" si="39"/>
        <v>8.8291651388634448E-4</v>
      </c>
      <c r="I261">
        <v>0</v>
      </c>
      <c r="J261">
        <f t="shared" si="51"/>
        <v>-5.8681788972577342E-4</v>
      </c>
      <c r="K261">
        <f t="shared" si="40"/>
        <v>-2.1867074999911321E-2</v>
      </c>
      <c r="L261">
        <f t="shared" si="41"/>
        <v>69.784444550347388</v>
      </c>
      <c r="M261">
        <f t="shared" si="42"/>
        <v>1.5394575476161021</v>
      </c>
      <c r="N261">
        <f t="shared" si="43"/>
        <v>2.206018200095337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26229.17850418132</v>
      </c>
      <c r="T261">
        <f t="shared" si="47"/>
        <v>800.00120000000004</v>
      </c>
      <c r="U261">
        <f t="shared" si="48"/>
        <v>674.40075751961911</v>
      </c>
      <c r="V261">
        <f t="shared" si="49"/>
        <v>0.84299968240000023</v>
      </c>
      <c r="W261">
        <f t="shared" si="50"/>
        <v>0.15869897214400003</v>
      </c>
      <c r="X261">
        <v>1</v>
      </c>
      <c r="Y261">
        <v>1769199142.9333301</v>
      </c>
      <c r="Z261">
        <v>409.55579999999998</v>
      </c>
      <c r="AA261">
        <v>409.98046666666698</v>
      </c>
      <c r="AB261">
        <v>15.3571333333333</v>
      </c>
      <c r="AC261">
        <v>14.2704466666667</v>
      </c>
      <c r="AD261">
        <v>410.34053333333298</v>
      </c>
      <c r="AE261">
        <v>15.259</v>
      </c>
      <c r="AF261">
        <v>800.00746666666601</v>
      </c>
      <c r="AG261">
        <v>100.179266666667</v>
      </c>
      <c r="AH261">
        <v>6.4542786666666699E-2</v>
      </c>
      <c r="AI261">
        <v>19.0060866666667</v>
      </c>
      <c r="AJ261">
        <v>999.9</v>
      </c>
      <c r="AK261">
        <v>999.9</v>
      </c>
      <c r="AL261">
        <v>0</v>
      </c>
      <c r="AM261">
        <v>0</v>
      </c>
      <c r="AN261">
        <v>4993.5</v>
      </c>
      <c r="AO261">
        <v>0</v>
      </c>
      <c r="AP261">
        <v>1.6937899999999999</v>
      </c>
      <c r="AQ261">
        <v>-0.42475993333333301</v>
      </c>
      <c r="AR261">
        <v>415.94346666666701</v>
      </c>
      <c r="AS261">
        <v>415.915866666667</v>
      </c>
      <c r="AT261">
        <v>1.0866833333333299</v>
      </c>
      <c r="AU261">
        <v>409.98046666666698</v>
      </c>
      <c r="AV261">
        <v>14.2704466666667</v>
      </c>
      <c r="AW261">
        <v>1.5384659999999999</v>
      </c>
      <c r="AX261">
        <v>1.42960333333333</v>
      </c>
      <c r="AY261">
        <v>13.3559133333333</v>
      </c>
      <c r="AZ261">
        <v>12.2353066666667</v>
      </c>
      <c r="BA261">
        <v>800.00120000000004</v>
      </c>
      <c r="BB261">
        <v>0.90001406666666695</v>
      </c>
      <c r="BC261">
        <v>0</v>
      </c>
      <c r="BD261">
        <v>9.9986053333333297E-2</v>
      </c>
      <c r="BE261">
        <v>0</v>
      </c>
      <c r="BF261">
        <v>25</v>
      </c>
      <c r="BG261">
        <v>13191.1</v>
      </c>
      <c r="BH261">
        <v>1769198984</v>
      </c>
      <c r="BI261" t="s">
        <v>771</v>
      </c>
      <c r="BJ261">
        <v>1769198962</v>
      </c>
      <c r="BK261">
        <v>1769198984</v>
      </c>
      <c r="BL261">
        <v>10</v>
      </c>
      <c r="BM261">
        <v>3.5999999999999997E-2</v>
      </c>
      <c r="BN261">
        <v>-2E-3</v>
      </c>
      <c r="BO261">
        <v>-0.78500000000000003</v>
      </c>
      <c r="BP261">
        <v>9.8000000000000004E-2</v>
      </c>
      <c r="BQ261">
        <v>410</v>
      </c>
      <c r="BR261">
        <v>15</v>
      </c>
      <c r="BS261">
        <v>0.32</v>
      </c>
      <c r="BT261">
        <v>0.05</v>
      </c>
      <c r="BU261">
        <v>-0.43446133333333298</v>
      </c>
      <c r="BV261">
        <v>8.4385090909091298E-2</v>
      </c>
      <c r="BW261">
        <v>2.5333725824027199E-2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1.0914285714285701</v>
      </c>
      <c r="CD261">
        <v>-0.14610000000000001</v>
      </c>
      <c r="CE261">
        <v>1.7729692685466598E-2</v>
      </c>
      <c r="CF261">
        <v>0</v>
      </c>
      <c r="CG261">
        <v>1</v>
      </c>
      <c r="CH261">
        <v>2</v>
      </c>
      <c r="CI261" t="s">
        <v>297</v>
      </c>
      <c r="CJ261">
        <v>3.5325000000000002</v>
      </c>
      <c r="CK261">
        <v>2.7021799999999998</v>
      </c>
      <c r="CL261">
        <v>9.7886200000000007E-2</v>
      </c>
      <c r="CM261">
        <v>9.6613299999999999E-2</v>
      </c>
      <c r="CN261">
        <v>8.6994500000000002E-2</v>
      </c>
      <c r="CO261">
        <v>8.16418E-2</v>
      </c>
      <c r="CP261">
        <v>31622.400000000001</v>
      </c>
      <c r="CQ261">
        <v>27817.7</v>
      </c>
      <c r="CR261">
        <v>32444.400000000001</v>
      </c>
      <c r="CS261">
        <v>30720.6</v>
      </c>
      <c r="CT261">
        <v>40118</v>
      </c>
      <c r="CU261">
        <v>39680.699999999997</v>
      </c>
      <c r="CV261">
        <v>47390.400000000001</v>
      </c>
      <c r="CW261">
        <v>46858.400000000001</v>
      </c>
      <c r="CX261">
        <v>2.6195400000000002</v>
      </c>
      <c r="CY261">
        <v>2.1192000000000002</v>
      </c>
      <c r="CZ261">
        <v>0</v>
      </c>
      <c r="DA261">
        <v>0</v>
      </c>
      <c r="DB261">
        <v>999.9</v>
      </c>
      <c r="DC261">
        <v>999.9</v>
      </c>
      <c r="DD261">
        <v>47.375</v>
      </c>
      <c r="DE261">
        <v>28.48</v>
      </c>
      <c r="DF261">
        <v>18.4542</v>
      </c>
      <c r="DG261">
        <v>30.4998</v>
      </c>
      <c r="DH261">
        <v>16.482399999999998</v>
      </c>
      <c r="DI261">
        <v>2</v>
      </c>
      <c r="DJ261">
        <v>-9.8812999999999998E-2</v>
      </c>
      <c r="DK261">
        <v>2.70723</v>
      </c>
      <c r="DL261">
        <v>20.188500000000001</v>
      </c>
      <c r="DM261">
        <v>5.2493999999999996</v>
      </c>
      <c r="DN261">
        <v>12.033899999999999</v>
      </c>
      <c r="DO261">
        <v>4.9672799999999997</v>
      </c>
      <c r="DP261">
        <v>3.2909999999999999</v>
      </c>
      <c r="DQ261">
        <v>537.29999999999995</v>
      </c>
      <c r="DR261">
        <v>9999</v>
      </c>
      <c r="DS261">
        <v>9999</v>
      </c>
      <c r="DT261">
        <v>9999</v>
      </c>
      <c r="DU261">
        <v>1.8710800000000001</v>
      </c>
      <c r="DV261">
        <v>1.87609</v>
      </c>
      <c r="DW261">
        <v>1.87632</v>
      </c>
      <c r="DX261">
        <v>1.8827799999999999</v>
      </c>
      <c r="DY261">
        <v>1.87561</v>
      </c>
      <c r="DZ261">
        <v>1.8746799999999999</v>
      </c>
      <c r="EA261">
        <v>1.8708400000000001</v>
      </c>
      <c r="EB261">
        <v>1.87466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-0.78500000000000003</v>
      </c>
      <c r="EQ261">
        <v>9.8100000000000007E-2</v>
      </c>
      <c r="ER261">
        <v>-0.78479999999996197</v>
      </c>
      <c r="ES261">
        <v>0</v>
      </c>
      <c r="ET261">
        <v>0</v>
      </c>
      <c r="EU261">
        <v>0</v>
      </c>
      <c r="EV261">
        <v>9.8130000000001202E-2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3.1</v>
      </c>
      <c r="FE261">
        <v>2.8</v>
      </c>
      <c r="FF261">
        <v>1.2439</v>
      </c>
      <c r="FG261">
        <v>2.5976599999999999</v>
      </c>
      <c r="FH261">
        <v>2.19604</v>
      </c>
      <c r="FI261">
        <v>2.66235</v>
      </c>
      <c r="FJ261">
        <v>2.4462899999999999</v>
      </c>
      <c r="FK261">
        <v>2.3144499999999999</v>
      </c>
      <c r="FL261">
        <v>32.731299999999997</v>
      </c>
      <c r="FM261">
        <v>24.14</v>
      </c>
      <c r="FN261">
        <v>19</v>
      </c>
      <c r="FO261">
        <v>865.35799999999995</v>
      </c>
      <c r="FP261">
        <v>570.16</v>
      </c>
      <c r="FQ261">
        <v>17.805099999999999</v>
      </c>
      <c r="FR261">
        <v>25.713100000000001</v>
      </c>
      <c r="FS261">
        <v>30.000399999999999</v>
      </c>
      <c r="FT261">
        <v>25.694600000000001</v>
      </c>
      <c r="FU261">
        <v>25.697900000000001</v>
      </c>
      <c r="FV261">
        <v>24.974</v>
      </c>
      <c r="FW261">
        <v>25.135200000000001</v>
      </c>
      <c r="FX261">
        <v>0</v>
      </c>
      <c r="FY261">
        <v>17.8005</v>
      </c>
      <c r="FZ261">
        <v>410</v>
      </c>
      <c r="GA261">
        <v>14.3103</v>
      </c>
      <c r="GB261">
        <v>99.851299999999995</v>
      </c>
      <c r="GC261">
        <v>99.744399999999999</v>
      </c>
    </row>
    <row r="262" spans="1:185" x14ac:dyDescent="0.2">
      <c r="A262">
        <v>247</v>
      </c>
      <c r="B262">
        <v>1769199286</v>
      </c>
      <c r="C262">
        <v>4725</v>
      </c>
      <c r="D262" t="s">
        <v>796</v>
      </c>
      <c r="E262" t="s">
        <v>797</v>
      </c>
      <c r="F262">
        <v>15</v>
      </c>
      <c r="G262">
        <v>1769199277.5</v>
      </c>
      <c r="H262">
        <f t="shared" si="39"/>
        <v>-9.8837603772615121E-4</v>
      </c>
      <c r="I262">
        <v>0</v>
      </c>
      <c r="J262">
        <f t="shared" si="51"/>
        <v>-0.11293770134872246</v>
      </c>
      <c r="K262">
        <f t="shared" si="40"/>
        <v>-4.2084899403189286</v>
      </c>
      <c r="L262">
        <f t="shared" si="41"/>
        <v>68.858243208387165</v>
      </c>
      <c r="M262">
        <f t="shared" si="42"/>
        <v>1.5197762138051027</v>
      </c>
      <c r="N262">
        <f t="shared" si="43"/>
        <v>2.2071086089224958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26316.130911050343</v>
      </c>
      <c r="T262">
        <f t="shared" si="47"/>
        <v>999.99631250000004</v>
      </c>
      <c r="U262">
        <f t="shared" si="48"/>
        <v>842.99729456101352</v>
      </c>
      <c r="V262">
        <f t="shared" si="49"/>
        <v>0.84300040312500002</v>
      </c>
      <c r="W262">
        <f t="shared" si="50"/>
        <v>0.15870100781249999</v>
      </c>
      <c r="X262">
        <v>1</v>
      </c>
      <c r="Y262">
        <v>1769199277.5</v>
      </c>
      <c r="Z262">
        <v>415.626125</v>
      </c>
      <c r="AA262">
        <v>409.85199999999998</v>
      </c>
      <c r="AB262">
        <v>15.160456249999999</v>
      </c>
      <c r="AC262">
        <v>16.377199999999998</v>
      </c>
      <c r="AD262">
        <v>416.41075000000001</v>
      </c>
      <c r="AE262">
        <v>15.0623375</v>
      </c>
      <c r="AF262">
        <v>799.99737500000003</v>
      </c>
      <c r="AG262">
        <v>100.1820625</v>
      </c>
      <c r="AH262">
        <v>6.4011150000000003E-2</v>
      </c>
      <c r="AI262">
        <v>19.014006250000001</v>
      </c>
      <c r="AJ262">
        <v>999.9</v>
      </c>
      <c r="AK262">
        <v>999.9</v>
      </c>
      <c r="AL262">
        <v>0</v>
      </c>
      <c r="AM262">
        <v>0</v>
      </c>
      <c r="AN262">
        <v>5007.8125</v>
      </c>
      <c r="AO262">
        <v>0</v>
      </c>
      <c r="AP262">
        <v>1.63733</v>
      </c>
      <c r="AQ262">
        <v>5.7739512499999996</v>
      </c>
      <c r="AR262">
        <v>422.02312499999999</v>
      </c>
      <c r="AS262">
        <v>416.67612500000001</v>
      </c>
      <c r="AT262">
        <v>-1.21672475</v>
      </c>
      <c r="AU262">
        <v>409.85199999999998</v>
      </c>
      <c r="AV262">
        <v>16.377199999999998</v>
      </c>
      <c r="AW262">
        <v>1.51880875</v>
      </c>
      <c r="AX262">
        <v>1.6407037499999999</v>
      </c>
      <c r="AY262">
        <v>13.15169375</v>
      </c>
      <c r="AZ262">
        <v>14.346131249999999</v>
      </c>
      <c r="BA262">
        <v>999.99631250000004</v>
      </c>
      <c r="BB262">
        <v>0.89998656249999998</v>
      </c>
      <c r="BC262">
        <v>0</v>
      </c>
      <c r="BD262">
        <v>0.1000134375</v>
      </c>
      <c r="BE262">
        <v>0</v>
      </c>
      <c r="BF262">
        <v>25.683362500000001</v>
      </c>
      <c r="BG262">
        <v>16488.674999999999</v>
      </c>
      <c r="BH262">
        <v>1769198984</v>
      </c>
      <c r="BI262" t="s">
        <v>771</v>
      </c>
      <c r="BJ262">
        <v>1769198962</v>
      </c>
      <c r="BK262">
        <v>1769198984</v>
      </c>
      <c r="BL262">
        <v>10</v>
      </c>
      <c r="BM262">
        <v>3.5999999999999997E-2</v>
      </c>
      <c r="BN262">
        <v>-2E-3</v>
      </c>
      <c r="BO262">
        <v>-0.78500000000000003</v>
      </c>
      <c r="BP262">
        <v>9.8000000000000004E-2</v>
      </c>
      <c r="BQ262">
        <v>410</v>
      </c>
      <c r="BR262">
        <v>15</v>
      </c>
      <c r="BS262">
        <v>0.32</v>
      </c>
      <c r="BT262">
        <v>0.05</v>
      </c>
      <c r="BU262">
        <v>8.1364942857142903</v>
      </c>
      <c r="BV262">
        <v>-39.282458961038998</v>
      </c>
      <c r="BW262">
        <v>4.0336894830044496</v>
      </c>
      <c r="BX262">
        <v>0</v>
      </c>
      <c r="BY262">
        <v>0</v>
      </c>
      <c r="BZ262">
        <v>0</v>
      </c>
      <c r="CA262">
        <v>0</v>
      </c>
      <c r="CB262">
        <v>-1</v>
      </c>
      <c r="CC262">
        <v>-1.4962894285714301</v>
      </c>
      <c r="CD262">
        <v>5.0656150909090902</v>
      </c>
      <c r="CE262">
        <v>0.51936295001716304</v>
      </c>
      <c r="CF262">
        <v>0</v>
      </c>
      <c r="CG262">
        <v>0</v>
      </c>
      <c r="CH262">
        <v>2</v>
      </c>
      <c r="CI262" t="s">
        <v>290</v>
      </c>
      <c r="CJ262">
        <v>3.5325500000000001</v>
      </c>
      <c r="CK262">
        <v>2.70166</v>
      </c>
      <c r="CL262">
        <v>9.84318E-2</v>
      </c>
      <c r="CM262">
        <v>9.6640000000000004E-2</v>
      </c>
      <c r="CN262">
        <v>8.9147500000000005E-2</v>
      </c>
      <c r="CO262">
        <v>8.9596099999999998E-2</v>
      </c>
      <c r="CP262">
        <v>31600.5</v>
      </c>
      <c r="CQ262">
        <v>27814.5</v>
      </c>
      <c r="CR262">
        <v>32441.7</v>
      </c>
      <c r="CS262">
        <v>30718.2</v>
      </c>
      <c r="CT262">
        <v>40017.699999999997</v>
      </c>
      <c r="CU262">
        <v>39324.1</v>
      </c>
      <c r="CV262">
        <v>47386.8</v>
      </c>
      <c r="CW262">
        <v>46854.9</v>
      </c>
      <c r="CX262">
        <v>2.6168800000000001</v>
      </c>
      <c r="CY262">
        <v>2.1215999999999999</v>
      </c>
      <c r="CZ262">
        <v>0</v>
      </c>
      <c r="DA262">
        <v>0</v>
      </c>
      <c r="DB262">
        <v>999.9</v>
      </c>
      <c r="DC262">
        <v>999.9</v>
      </c>
      <c r="DD262">
        <v>47.472999999999999</v>
      </c>
      <c r="DE262">
        <v>28.5</v>
      </c>
      <c r="DF262">
        <v>18.514800000000001</v>
      </c>
      <c r="DG262">
        <v>30.169799999999999</v>
      </c>
      <c r="DH262">
        <v>16.394200000000001</v>
      </c>
      <c r="DI262">
        <v>2</v>
      </c>
      <c r="DJ262">
        <v>-9.0937000000000004E-2</v>
      </c>
      <c r="DK262">
        <v>2.84592</v>
      </c>
      <c r="DL262">
        <v>20.175799999999999</v>
      </c>
      <c r="DM262">
        <v>5.2472399999999997</v>
      </c>
      <c r="DN262">
        <v>12.033899999999999</v>
      </c>
      <c r="DO262">
        <v>4.9669600000000003</v>
      </c>
      <c r="DP262">
        <v>3.2906200000000001</v>
      </c>
      <c r="DQ262">
        <v>537.29999999999995</v>
      </c>
      <c r="DR262">
        <v>9999</v>
      </c>
      <c r="DS262">
        <v>9999</v>
      </c>
      <c r="DT262">
        <v>9999</v>
      </c>
      <c r="DU262">
        <v>1.8711199999999999</v>
      </c>
      <c r="DV262">
        <v>1.87609</v>
      </c>
      <c r="DW262">
        <v>1.87632</v>
      </c>
      <c r="DX262">
        <v>1.8827799999999999</v>
      </c>
      <c r="DY262">
        <v>1.87561</v>
      </c>
      <c r="DZ262">
        <v>1.87466</v>
      </c>
      <c r="EA262">
        <v>1.87086</v>
      </c>
      <c r="EB262">
        <v>1.8746400000000001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-0.78500000000000003</v>
      </c>
      <c r="EQ262">
        <v>9.8199999999999996E-2</v>
      </c>
      <c r="ER262">
        <v>-0.78479999999996197</v>
      </c>
      <c r="ES262">
        <v>0</v>
      </c>
      <c r="ET262">
        <v>0</v>
      </c>
      <c r="EU262">
        <v>0</v>
      </c>
      <c r="EV262">
        <v>9.8130000000001202E-2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5.4</v>
      </c>
      <c r="FE262">
        <v>5</v>
      </c>
      <c r="FF262">
        <v>1.24634</v>
      </c>
      <c r="FG262">
        <v>2.6013199999999999</v>
      </c>
      <c r="FH262">
        <v>2.19604</v>
      </c>
      <c r="FI262">
        <v>2.66113</v>
      </c>
      <c r="FJ262">
        <v>2.4462899999999999</v>
      </c>
      <c r="FK262">
        <v>2.2875999999999999</v>
      </c>
      <c r="FL262">
        <v>32.775799999999997</v>
      </c>
      <c r="FM262">
        <v>24.14</v>
      </c>
      <c r="FN262">
        <v>19</v>
      </c>
      <c r="FO262">
        <v>863.73400000000004</v>
      </c>
      <c r="FP262">
        <v>572.53599999999994</v>
      </c>
      <c r="FQ262">
        <v>16.9741</v>
      </c>
      <c r="FR262">
        <v>25.7791</v>
      </c>
      <c r="FS262">
        <v>29.998699999999999</v>
      </c>
      <c r="FT262">
        <v>25.747800000000002</v>
      </c>
      <c r="FU262">
        <v>25.747599999999998</v>
      </c>
      <c r="FV262">
        <v>25.018000000000001</v>
      </c>
      <c r="FW262">
        <v>15.989800000000001</v>
      </c>
      <c r="FX262">
        <v>3.4785200000000001</v>
      </c>
      <c r="FY262">
        <v>17.227900000000002</v>
      </c>
      <c r="FZ262">
        <v>410</v>
      </c>
      <c r="GA262">
        <v>15.7699</v>
      </c>
      <c r="GB262">
        <v>99.843500000000006</v>
      </c>
      <c r="GC262">
        <v>99.736800000000002</v>
      </c>
    </row>
    <row r="263" spans="1:185" x14ac:dyDescent="0.2">
      <c r="A263">
        <v>248</v>
      </c>
      <c r="B263">
        <v>1769199301</v>
      </c>
      <c r="C263">
        <v>4740</v>
      </c>
      <c r="D263" t="s">
        <v>798</v>
      </c>
      <c r="E263" t="s">
        <v>799</v>
      </c>
      <c r="F263">
        <v>15</v>
      </c>
      <c r="G263">
        <v>1769199292.9333301</v>
      </c>
      <c r="H263">
        <f t="shared" si="39"/>
        <v>1.6495230276747304E-4</v>
      </c>
      <c r="I263">
        <v>0</v>
      </c>
      <c r="J263">
        <f t="shared" si="51"/>
        <v>-3.0439997851307476E-2</v>
      </c>
      <c r="K263">
        <f t="shared" si="40"/>
        <v>-1.1343105376741975</v>
      </c>
      <c r="L263">
        <f t="shared" si="41"/>
        <v>73.395954446611981</v>
      </c>
      <c r="M263">
        <f t="shared" si="42"/>
        <v>1.6122102120530473</v>
      </c>
      <c r="N263">
        <f t="shared" si="43"/>
        <v>2.1965927471190048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26232.711976363793</v>
      </c>
      <c r="T263">
        <f t="shared" si="47"/>
        <v>999.99853333333294</v>
      </c>
      <c r="U263">
        <f t="shared" si="48"/>
        <v>842.99902159962119</v>
      </c>
      <c r="V263">
        <f t="shared" si="49"/>
        <v>0.84300025799999989</v>
      </c>
      <c r="W263">
        <f t="shared" si="50"/>
        <v>0.158700645</v>
      </c>
      <c r="X263">
        <v>1</v>
      </c>
      <c r="Y263">
        <v>1769199292.9333301</v>
      </c>
      <c r="Z263">
        <v>411.556266666667</v>
      </c>
      <c r="AA263">
        <v>410.22320000000002</v>
      </c>
      <c r="AB263">
        <v>16.0825933333333</v>
      </c>
      <c r="AC263">
        <v>15.879713333333299</v>
      </c>
      <c r="AD263">
        <v>412.34073333333299</v>
      </c>
      <c r="AE263">
        <v>15.984486666666699</v>
      </c>
      <c r="AF263">
        <v>799.97753333333299</v>
      </c>
      <c r="AG263">
        <v>100.1816</v>
      </c>
      <c r="AH263">
        <v>6.4061793333333297E-2</v>
      </c>
      <c r="AI263">
        <v>18.9374866666667</v>
      </c>
      <c r="AJ263">
        <v>999.9</v>
      </c>
      <c r="AK263">
        <v>999.9</v>
      </c>
      <c r="AL263">
        <v>0</v>
      </c>
      <c r="AM263">
        <v>0</v>
      </c>
      <c r="AN263">
        <v>4992.9666666666699</v>
      </c>
      <c r="AO263">
        <v>0</v>
      </c>
      <c r="AP263">
        <v>1.63733</v>
      </c>
      <c r="AQ263">
        <v>1.33293373333333</v>
      </c>
      <c r="AR263">
        <v>418.28320000000002</v>
      </c>
      <c r="AS263">
        <v>416.84246666666701</v>
      </c>
      <c r="AT263">
        <v>0.20290018666666701</v>
      </c>
      <c r="AU263">
        <v>410.22320000000002</v>
      </c>
      <c r="AV263">
        <v>15.879713333333299</v>
      </c>
      <c r="AW263">
        <v>1.6111819999999999</v>
      </c>
      <c r="AX263">
        <v>1.59085533333333</v>
      </c>
      <c r="AY263">
        <v>14.065853333333299</v>
      </c>
      <c r="AZ263">
        <v>13.86894</v>
      </c>
      <c r="BA263">
        <v>999.99853333333294</v>
      </c>
      <c r="BB263">
        <v>0.8999914</v>
      </c>
      <c r="BC263">
        <v>0</v>
      </c>
      <c r="BD263">
        <v>0.1000086</v>
      </c>
      <c r="BE263">
        <v>0</v>
      </c>
      <c r="BF263">
        <v>25.946666666666701</v>
      </c>
      <c r="BG263">
        <v>16488.733333333301</v>
      </c>
      <c r="BH263">
        <v>1769198984</v>
      </c>
      <c r="BI263" t="s">
        <v>771</v>
      </c>
      <c r="BJ263">
        <v>1769198962</v>
      </c>
      <c r="BK263">
        <v>1769198984</v>
      </c>
      <c r="BL263">
        <v>10</v>
      </c>
      <c r="BM263">
        <v>3.5999999999999997E-2</v>
      </c>
      <c r="BN263">
        <v>-2E-3</v>
      </c>
      <c r="BO263">
        <v>-0.78500000000000003</v>
      </c>
      <c r="BP263">
        <v>9.8000000000000004E-2</v>
      </c>
      <c r="BQ263">
        <v>410</v>
      </c>
      <c r="BR263">
        <v>15</v>
      </c>
      <c r="BS263">
        <v>0.32</v>
      </c>
      <c r="BT263">
        <v>0.05</v>
      </c>
      <c r="BU263">
        <v>1.9884120999999999</v>
      </c>
      <c r="BV263">
        <v>-11.291915007518799</v>
      </c>
      <c r="BW263">
        <v>1.10333509726197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-9.5569909999999994E-2</v>
      </c>
      <c r="CD263">
        <v>5.1615778556391003</v>
      </c>
      <c r="CE263">
        <v>0.49758971314489397</v>
      </c>
      <c r="CF263">
        <v>0</v>
      </c>
      <c r="CG263">
        <v>0</v>
      </c>
      <c r="CH263">
        <v>2</v>
      </c>
      <c r="CI263" t="s">
        <v>290</v>
      </c>
      <c r="CJ263">
        <v>3.5324900000000001</v>
      </c>
      <c r="CK263">
        <v>2.7019899999999999</v>
      </c>
      <c r="CL263">
        <v>9.8103499999999996E-2</v>
      </c>
      <c r="CM263">
        <v>9.6668299999999999E-2</v>
      </c>
      <c r="CN263">
        <v>9.0471599999999999E-2</v>
      </c>
      <c r="CO263">
        <v>8.6249900000000004E-2</v>
      </c>
      <c r="CP263">
        <v>31612.400000000001</v>
      </c>
      <c r="CQ263">
        <v>27813.8</v>
      </c>
      <c r="CR263">
        <v>32442.2</v>
      </c>
      <c r="CS263">
        <v>30718.5</v>
      </c>
      <c r="CT263">
        <v>39958.300000000003</v>
      </c>
      <c r="CU263">
        <v>39473.5</v>
      </c>
      <c r="CV263">
        <v>47387.6</v>
      </c>
      <c r="CW263">
        <v>46855.5</v>
      </c>
      <c r="CX263">
        <v>2.6176599999999999</v>
      </c>
      <c r="CY263">
        <v>2.11992</v>
      </c>
      <c r="CZ263">
        <v>0</v>
      </c>
      <c r="DA263">
        <v>0</v>
      </c>
      <c r="DB263">
        <v>999.9</v>
      </c>
      <c r="DC263">
        <v>999.9</v>
      </c>
      <c r="DD263">
        <v>47.448</v>
      </c>
      <c r="DE263">
        <v>28.5</v>
      </c>
      <c r="DF263">
        <v>18.5031</v>
      </c>
      <c r="DG263">
        <v>30.469899999999999</v>
      </c>
      <c r="DH263">
        <v>16.398199999999999</v>
      </c>
      <c r="DI263">
        <v>2</v>
      </c>
      <c r="DJ263">
        <v>-9.3191099999999999E-2</v>
      </c>
      <c r="DK263">
        <v>2.8465199999999999</v>
      </c>
      <c r="DL263">
        <v>20.177900000000001</v>
      </c>
      <c r="DM263">
        <v>5.2480799999999999</v>
      </c>
      <c r="DN263">
        <v>12.033899999999999</v>
      </c>
      <c r="DO263">
        <v>4.9670399999999999</v>
      </c>
      <c r="DP263">
        <v>3.2906200000000001</v>
      </c>
      <c r="DQ263">
        <v>537.29999999999995</v>
      </c>
      <c r="DR263">
        <v>9999</v>
      </c>
      <c r="DS263">
        <v>9999</v>
      </c>
      <c r="DT263">
        <v>9999</v>
      </c>
      <c r="DU263">
        <v>1.87113</v>
      </c>
      <c r="DV263">
        <v>1.8761399999999999</v>
      </c>
      <c r="DW263">
        <v>1.8763300000000001</v>
      </c>
      <c r="DX263">
        <v>1.8828400000000001</v>
      </c>
      <c r="DY263">
        <v>1.87561</v>
      </c>
      <c r="DZ263">
        <v>1.8746799999999999</v>
      </c>
      <c r="EA263">
        <v>1.87087</v>
      </c>
      <c r="EB263">
        <v>1.8746799999999999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-0.78500000000000003</v>
      </c>
      <c r="EQ263">
        <v>9.8100000000000007E-2</v>
      </c>
      <c r="ER263">
        <v>-0.78479999999996197</v>
      </c>
      <c r="ES263">
        <v>0</v>
      </c>
      <c r="ET263">
        <v>0</v>
      </c>
      <c r="EU263">
        <v>0</v>
      </c>
      <c r="EV263">
        <v>9.8130000000001202E-2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5.7</v>
      </c>
      <c r="FE263">
        <v>5.3</v>
      </c>
      <c r="FF263">
        <v>1.24512</v>
      </c>
      <c r="FG263">
        <v>2.6013199999999999</v>
      </c>
      <c r="FH263">
        <v>2.19604</v>
      </c>
      <c r="FI263">
        <v>2.66113</v>
      </c>
      <c r="FJ263">
        <v>2.4462899999999999</v>
      </c>
      <c r="FK263">
        <v>2.32056</v>
      </c>
      <c r="FL263">
        <v>32.775799999999997</v>
      </c>
      <c r="FM263">
        <v>24.1313</v>
      </c>
      <c r="FN263">
        <v>19</v>
      </c>
      <c r="FO263">
        <v>864.55</v>
      </c>
      <c r="FP263">
        <v>571.30200000000002</v>
      </c>
      <c r="FQ263">
        <v>17.327000000000002</v>
      </c>
      <c r="FR263">
        <v>25.7882</v>
      </c>
      <c r="FS263">
        <v>30</v>
      </c>
      <c r="FT263">
        <v>25.753499999999999</v>
      </c>
      <c r="FU263">
        <v>25.751999999999999</v>
      </c>
      <c r="FV263">
        <v>24.983899999999998</v>
      </c>
      <c r="FW263">
        <v>21.097899999999999</v>
      </c>
      <c r="FX263">
        <v>3.1049799999999999</v>
      </c>
      <c r="FY263">
        <v>17.346399999999999</v>
      </c>
      <c r="FZ263">
        <v>410</v>
      </c>
      <c r="GA263">
        <v>15.028600000000001</v>
      </c>
      <c r="GB263">
        <v>99.845100000000002</v>
      </c>
      <c r="GC263">
        <v>99.737899999999996</v>
      </c>
    </row>
    <row r="264" spans="1:185" x14ac:dyDescent="0.2">
      <c r="A264">
        <v>249</v>
      </c>
      <c r="B264">
        <v>1769199316</v>
      </c>
      <c r="C264">
        <v>4755</v>
      </c>
      <c r="D264" t="s">
        <v>800</v>
      </c>
      <c r="E264" t="s">
        <v>801</v>
      </c>
      <c r="F264">
        <v>15</v>
      </c>
      <c r="G264">
        <v>1769199307.9333301</v>
      </c>
      <c r="H264">
        <f t="shared" si="39"/>
        <v>8.3011537854521631E-4</v>
      </c>
      <c r="I264">
        <v>0</v>
      </c>
      <c r="J264">
        <f t="shared" si="51"/>
        <v>-1.5054303562085725E-2</v>
      </c>
      <c r="K264">
        <f t="shared" si="40"/>
        <v>-0.5609808269775084</v>
      </c>
      <c r="L264">
        <f t="shared" si="41"/>
        <v>73.779278406527197</v>
      </c>
      <c r="M264">
        <f t="shared" si="42"/>
        <v>1.6182109498516308</v>
      </c>
      <c r="N264">
        <f t="shared" si="43"/>
        <v>2.1933136034961125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26264.959735241606</v>
      </c>
      <c r="T264">
        <f t="shared" si="47"/>
        <v>999.99773333333303</v>
      </c>
      <c r="U264">
        <f t="shared" si="48"/>
        <v>842.99826719959628</v>
      </c>
      <c r="V264">
        <f t="shared" si="49"/>
        <v>0.84300017800000004</v>
      </c>
      <c r="W264">
        <f t="shared" si="50"/>
        <v>0.15870044499999997</v>
      </c>
      <c r="X264">
        <v>1</v>
      </c>
      <c r="Y264">
        <v>1769199307.9333301</v>
      </c>
      <c r="Z264">
        <v>410.4418</v>
      </c>
      <c r="AA264">
        <v>410.16646666666702</v>
      </c>
      <c r="AB264">
        <v>16.142700000000001</v>
      </c>
      <c r="AC264">
        <v>15.1218066666667</v>
      </c>
      <c r="AD264">
        <v>411.22653333333301</v>
      </c>
      <c r="AE264">
        <v>16.0445733333333</v>
      </c>
      <c r="AF264">
        <v>800.00040000000001</v>
      </c>
      <c r="AG264">
        <v>100.179733333333</v>
      </c>
      <c r="AH264">
        <v>6.439868E-2</v>
      </c>
      <c r="AI264">
        <v>18.91356</v>
      </c>
      <c r="AJ264">
        <v>999.9</v>
      </c>
      <c r="AK264">
        <v>999.9</v>
      </c>
      <c r="AL264">
        <v>0</v>
      </c>
      <c r="AM264">
        <v>0</v>
      </c>
      <c r="AN264">
        <v>4998</v>
      </c>
      <c r="AO264">
        <v>0</v>
      </c>
      <c r="AP264">
        <v>1.63733</v>
      </c>
      <c r="AQ264">
        <v>0.27543141999999998</v>
      </c>
      <c r="AR264">
        <v>417.176066666667</v>
      </c>
      <c r="AS264">
        <v>416.464133333333</v>
      </c>
      <c r="AT264">
        <v>1.0208856666666699</v>
      </c>
      <c r="AU264">
        <v>410.16646666666702</v>
      </c>
      <c r="AV264">
        <v>15.1218066666667</v>
      </c>
      <c r="AW264">
        <v>1.61717333333333</v>
      </c>
      <c r="AX264">
        <v>1.5149013333333301</v>
      </c>
      <c r="AY264">
        <v>14.123366666666699</v>
      </c>
      <c r="AZ264">
        <v>13.118499999999999</v>
      </c>
      <c r="BA264">
        <v>999.99773333333303</v>
      </c>
      <c r="BB264">
        <v>0.89999406666666704</v>
      </c>
      <c r="BC264">
        <v>0</v>
      </c>
      <c r="BD264">
        <v>0.10000593333333301</v>
      </c>
      <c r="BE264">
        <v>0</v>
      </c>
      <c r="BF264">
        <v>26</v>
      </c>
      <c r="BG264">
        <v>16488.726666666698</v>
      </c>
      <c r="BH264">
        <v>1769198984</v>
      </c>
      <c r="BI264" t="s">
        <v>771</v>
      </c>
      <c r="BJ264">
        <v>1769198962</v>
      </c>
      <c r="BK264">
        <v>1769198984</v>
      </c>
      <c r="BL264">
        <v>10</v>
      </c>
      <c r="BM264">
        <v>3.5999999999999997E-2</v>
      </c>
      <c r="BN264">
        <v>-2E-3</v>
      </c>
      <c r="BO264">
        <v>-0.78500000000000003</v>
      </c>
      <c r="BP264">
        <v>9.8000000000000004E-2</v>
      </c>
      <c r="BQ264">
        <v>410</v>
      </c>
      <c r="BR264">
        <v>15</v>
      </c>
      <c r="BS264">
        <v>0.32</v>
      </c>
      <c r="BT264">
        <v>0.05</v>
      </c>
      <c r="BU264">
        <v>0.44240485714285699</v>
      </c>
      <c r="BV264">
        <v>-2.4640284935064898</v>
      </c>
      <c r="BW264">
        <v>0.26090259766658103</v>
      </c>
      <c r="BX264">
        <v>0</v>
      </c>
      <c r="BY264">
        <v>0</v>
      </c>
      <c r="BZ264">
        <v>0</v>
      </c>
      <c r="CA264">
        <v>0</v>
      </c>
      <c r="CB264">
        <v>-1</v>
      </c>
      <c r="CC264">
        <v>0.84660547619047599</v>
      </c>
      <c r="CD264">
        <v>2.60001958441558</v>
      </c>
      <c r="CE264">
        <v>0.26832122135242897</v>
      </c>
      <c r="CF264">
        <v>0</v>
      </c>
      <c r="CG264">
        <v>0</v>
      </c>
      <c r="CH264">
        <v>2</v>
      </c>
      <c r="CI264" t="s">
        <v>290</v>
      </c>
      <c r="CJ264">
        <v>3.5324900000000001</v>
      </c>
      <c r="CK264">
        <v>2.7021500000000001</v>
      </c>
      <c r="CL264">
        <v>9.7972900000000002E-2</v>
      </c>
      <c r="CM264">
        <v>9.6616800000000003E-2</v>
      </c>
      <c r="CN264">
        <v>8.9917999999999998E-2</v>
      </c>
      <c r="CO264">
        <v>8.3876300000000001E-2</v>
      </c>
      <c r="CP264">
        <v>31616.5</v>
      </c>
      <c r="CQ264">
        <v>27814.400000000001</v>
      </c>
      <c r="CR264">
        <v>32441.7</v>
      </c>
      <c r="CS264">
        <v>30717.4</v>
      </c>
      <c r="CT264">
        <v>39982.800000000003</v>
      </c>
      <c r="CU264">
        <v>39577.5</v>
      </c>
      <c r="CV264">
        <v>47386.8</v>
      </c>
      <c r="CW264">
        <v>46853.7</v>
      </c>
      <c r="CX264">
        <v>2.6186799999999999</v>
      </c>
      <c r="CY264">
        <v>2.11876</v>
      </c>
      <c r="CZ264">
        <v>0</v>
      </c>
      <c r="DA264">
        <v>0</v>
      </c>
      <c r="DB264">
        <v>999.9</v>
      </c>
      <c r="DC264">
        <v>999.9</v>
      </c>
      <c r="DD264">
        <v>47.448</v>
      </c>
      <c r="DE264">
        <v>28.52</v>
      </c>
      <c r="DF264">
        <v>18.525300000000001</v>
      </c>
      <c r="DG264">
        <v>30.349900000000002</v>
      </c>
      <c r="DH264">
        <v>16.442299999999999</v>
      </c>
      <c r="DI264">
        <v>2</v>
      </c>
      <c r="DJ264">
        <v>-9.2591499999999993E-2</v>
      </c>
      <c r="DK264">
        <v>2.66751</v>
      </c>
      <c r="DL264">
        <v>20.1816</v>
      </c>
      <c r="DM264">
        <v>5.2508299999999997</v>
      </c>
      <c r="DN264">
        <v>12.033899999999999</v>
      </c>
      <c r="DO264">
        <v>4.9673999999999996</v>
      </c>
      <c r="DP264">
        <v>3.2909999999999999</v>
      </c>
      <c r="DQ264">
        <v>537.29999999999995</v>
      </c>
      <c r="DR264">
        <v>9999</v>
      </c>
      <c r="DS264">
        <v>9999</v>
      </c>
      <c r="DT264">
        <v>9999</v>
      </c>
      <c r="DU264">
        <v>1.8711199999999999</v>
      </c>
      <c r="DV264">
        <v>1.87616</v>
      </c>
      <c r="DW264">
        <v>1.8763399999999999</v>
      </c>
      <c r="DX264">
        <v>1.8828199999999999</v>
      </c>
      <c r="DY264">
        <v>1.87561</v>
      </c>
      <c r="DZ264">
        <v>1.8746799999999999</v>
      </c>
      <c r="EA264">
        <v>1.87087</v>
      </c>
      <c r="EB264">
        <v>1.8746499999999999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-0.78500000000000003</v>
      </c>
      <c r="EQ264">
        <v>9.8199999999999996E-2</v>
      </c>
      <c r="ER264">
        <v>-0.78479999999996197</v>
      </c>
      <c r="ES264">
        <v>0</v>
      </c>
      <c r="ET264">
        <v>0</v>
      </c>
      <c r="EU264">
        <v>0</v>
      </c>
      <c r="EV264">
        <v>9.8130000000001202E-2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5.9</v>
      </c>
      <c r="FE264">
        <v>5.5</v>
      </c>
      <c r="FF264">
        <v>1.2439</v>
      </c>
      <c r="FG264">
        <v>2.6037599999999999</v>
      </c>
      <c r="FH264">
        <v>2.19604</v>
      </c>
      <c r="FI264">
        <v>2.66113</v>
      </c>
      <c r="FJ264">
        <v>2.4462899999999999</v>
      </c>
      <c r="FK264">
        <v>2.2583000000000002</v>
      </c>
      <c r="FL264">
        <v>32.798000000000002</v>
      </c>
      <c r="FM264">
        <v>24.1313</v>
      </c>
      <c r="FN264">
        <v>19</v>
      </c>
      <c r="FO264">
        <v>865.596</v>
      </c>
      <c r="FP264">
        <v>570.49300000000005</v>
      </c>
      <c r="FQ264">
        <v>17.4849</v>
      </c>
      <c r="FR264">
        <v>25.798200000000001</v>
      </c>
      <c r="FS264">
        <v>30</v>
      </c>
      <c r="FT264">
        <v>25.759599999999999</v>
      </c>
      <c r="FU264">
        <v>25.758900000000001</v>
      </c>
      <c r="FV264">
        <v>24.971499999999999</v>
      </c>
      <c r="FW264">
        <v>23.8</v>
      </c>
      <c r="FX264">
        <v>3.1049799999999999</v>
      </c>
      <c r="FY264">
        <v>17.5246</v>
      </c>
      <c r="FZ264">
        <v>410</v>
      </c>
      <c r="GA264">
        <v>14.5909</v>
      </c>
      <c r="GB264">
        <v>99.843500000000006</v>
      </c>
      <c r="GC264">
        <v>99.734300000000005</v>
      </c>
    </row>
    <row r="265" spans="1:185" x14ac:dyDescent="0.2">
      <c r="A265">
        <v>250</v>
      </c>
      <c r="B265">
        <v>1769199331</v>
      </c>
      <c r="C265">
        <v>4770</v>
      </c>
      <c r="D265" t="s">
        <v>802</v>
      </c>
      <c r="E265" t="s">
        <v>803</v>
      </c>
      <c r="F265">
        <v>15</v>
      </c>
      <c r="G265">
        <v>1769199322.9333301</v>
      </c>
      <c r="H265">
        <f t="shared" si="39"/>
        <v>1.0658787025892848E-3</v>
      </c>
      <c r="I265">
        <v>0</v>
      </c>
      <c r="J265">
        <f t="shared" si="51"/>
        <v>-8.490255516805871E-3</v>
      </c>
      <c r="K265">
        <f t="shared" si="40"/>
        <v>-0.31637933574445809</v>
      </c>
      <c r="L265">
        <f t="shared" si="41"/>
        <v>73.022089659162916</v>
      </c>
      <c r="M265">
        <f t="shared" si="42"/>
        <v>1.6015134183147866</v>
      </c>
      <c r="N265">
        <f t="shared" si="43"/>
        <v>2.1931903425251078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26270.806513519052</v>
      </c>
      <c r="T265">
        <f t="shared" si="47"/>
        <v>999.99873333333301</v>
      </c>
      <c r="U265">
        <f t="shared" si="48"/>
        <v>842.99895759996718</v>
      </c>
      <c r="V265">
        <f t="shared" si="49"/>
        <v>0.84300002539999963</v>
      </c>
      <c r="W265">
        <f t="shared" si="50"/>
        <v>0.15870015444399993</v>
      </c>
      <c r="X265">
        <v>1</v>
      </c>
      <c r="Y265">
        <v>1769199322.9333301</v>
      </c>
      <c r="Z265">
        <v>409.85806666666701</v>
      </c>
      <c r="AA265">
        <v>410.00866666666701</v>
      </c>
      <c r="AB265">
        <v>15.975953333333299</v>
      </c>
      <c r="AC265">
        <v>14.6648866666667</v>
      </c>
      <c r="AD265">
        <v>410.64286666666698</v>
      </c>
      <c r="AE265">
        <v>15.877826666666699</v>
      </c>
      <c r="AF265">
        <v>799.99766666666699</v>
      </c>
      <c r="AG265">
        <v>100.180866666667</v>
      </c>
      <c r="AH265">
        <v>6.4382233333333302E-2</v>
      </c>
      <c r="AI265">
        <v>18.912659999999999</v>
      </c>
      <c r="AJ265">
        <v>999.9</v>
      </c>
      <c r="AK265">
        <v>999.9</v>
      </c>
      <c r="AL265">
        <v>0</v>
      </c>
      <c r="AM265">
        <v>0</v>
      </c>
      <c r="AN265">
        <v>4998.8999999999996</v>
      </c>
      <c r="AO265">
        <v>0</v>
      </c>
      <c r="AP265">
        <v>1.63733</v>
      </c>
      <c r="AQ265">
        <v>-0.15068365017999999</v>
      </c>
      <c r="AR265">
        <v>416.512133333333</v>
      </c>
      <c r="AS265">
        <v>416.11099999999999</v>
      </c>
      <c r="AT265">
        <v>1.3110533333333301</v>
      </c>
      <c r="AU265">
        <v>410.00866666666701</v>
      </c>
      <c r="AV265">
        <v>14.6648866666667</v>
      </c>
      <c r="AW265">
        <v>1.60048533333333</v>
      </c>
      <c r="AX265">
        <v>1.46914266666667</v>
      </c>
      <c r="AY265">
        <v>13.9633866666667</v>
      </c>
      <c r="AZ265">
        <v>12.650366666666701</v>
      </c>
      <c r="BA265">
        <v>999.99873333333301</v>
      </c>
      <c r="BB265">
        <v>0.89999779999999996</v>
      </c>
      <c r="BC265">
        <v>0</v>
      </c>
      <c r="BD265">
        <v>0.100002153333333</v>
      </c>
      <c r="BE265">
        <v>0</v>
      </c>
      <c r="BF265">
        <v>26</v>
      </c>
      <c r="BG265">
        <v>16488.753333333301</v>
      </c>
      <c r="BH265">
        <v>1769198984</v>
      </c>
      <c r="BI265" t="s">
        <v>771</v>
      </c>
      <c r="BJ265">
        <v>1769198962</v>
      </c>
      <c r="BK265">
        <v>1769198984</v>
      </c>
      <c r="BL265">
        <v>10</v>
      </c>
      <c r="BM265">
        <v>3.5999999999999997E-2</v>
      </c>
      <c r="BN265">
        <v>-2E-3</v>
      </c>
      <c r="BO265">
        <v>-0.78500000000000003</v>
      </c>
      <c r="BP265">
        <v>9.8000000000000004E-2</v>
      </c>
      <c r="BQ265">
        <v>410</v>
      </c>
      <c r="BR265">
        <v>15</v>
      </c>
      <c r="BS265">
        <v>0.32</v>
      </c>
      <c r="BT265">
        <v>0.05</v>
      </c>
      <c r="BU265">
        <v>-6.6221707271428606E-2</v>
      </c>
      <c r="BV265">
        <v>-1.7060467902779199</v>
      </c>
      <c r="BW265">
        <v>0.17339109192705501</v>
      </c>
      <c r="BX265">
        <v>0</v>
      </c>
      <c r="BY265">
        <v>0</v>
      </c>
      <c r="BZ265">
        <v>0</v>
      </c>
      <c r="CA265">
        <v>0</v>
      </c>
      <c r="CB265">
        <v>-1</v>
      </c>
      <c r="CC265">
        <v>1.2671876190476199</v>
      </c>
      <c r="CD265">
        <v>0.84655870129870003</v>
      </c>
      <c r="CE265">
        <v>8.5996821087690301E-2</v>
      </c>
      <c r="CF265">
        <v>0</v>
      </c>
      <c r="CG265">
        <v>0</v>
      </c>
      <c r="CH265">
        <v>2</v>
      </c>
      <c r="CI265" t="s">
        <v>290</v>
      </c>
      <c r="CJ265">
        <v>3.5325000000000002</v>
      </c>
      <c r="CK265">
        <v>2.7025100000000002</v>
      </c>
      <c r="CL265">
        <v>9.7901799999999997E-2</v>
      </c>
      <c r="CM265">
        <v>9.6605700000000003E-2</v>
      </c>
      <c r="CN265">
        <v>8.9145699999999994E-2</v>
      </c>
      <c r="CO265">
        <v>8.23599E-2</v>
      </c>
      <c r="CP265">
        <v>31617.1</v>
      </c>
      <c r="CQ265">
        <v>27814.1</v>
      </c>
      <c r="CR265">
        <v>32439.8</v>
      </c>
      <c r="CS265">
        <v>30716.9</v>
      </c>
      <c r="CT265">
        <v>40015.5</v>
      </c>
      <c r="CU265">
        <v>39644.400000000001</v>
      </c>
      <c r="CV265">
        <v>47384.1</v>
      </c>
      <c r="CW265">
        <v>46853.3</v>
      </c>
      <c r="CX265">
        <v>2.6188400000000001</v>
      </c>
      <c r="CY265">
        <v>2.1179199999999998</v>
      </c>
      <c r="CZ265">
        <v>0</v>
      </c>
      <c r="DA265">
        <v>0</v>
      </c>
      <c r="DB265">
        <v>999.9</v>
      </c>
      <c r="DC265">
        <v>999.9</v>
      </c>
      <c r="DD265">
        <v>47.423999999999999</v>
      </c>
      <c r="DE265">
        <v>28.5</v>
      </c>
      <c r="DF265">
        <v>18.494599999999998</v>
      </c>
      <c r="DG265">
        <v>30.469899999999999</v>
      </c>
      <c r="DH265">
        <v>16.522400000000001</v>
      </c>
      <c r="DI265">
        <v>2</v>
      </c>
      <c r="DJ265">
        <v>-9.2343499999999995E-2</v>
      </c>
      <c r="DK265">
        <v>2.4774799999999999</v>
      </c>
      <c r="DL265">
        <v>20.184999999999999</v>
      </c>
      <c r="DM265">
        <v>5.2502399999999998</v>
      </c>
      <c r="DN265">
        <v>12.033899999999999</v>
      </c>
      <c r="DO265">
        <v>4.9673600000000002</v>
      </c>
      <c r="DP265">
        <v>3.2909999999999999</v>
      </c>
      <c r="DQ265">
        <v>537.29999999999995</v>
      </c>
      <c r="DR265">
        <v>9999</v>
      </c>
      <c r="DS265">
        <v>9999</v>
      </c>
      <c r="DT265">
        <v>9999</v>
      </c>
      <c r="DU265">
        <v>1.87113</v>
      </c>
      <c r="DV265">
        <v>1.8761300000000001</v>
      </c>
      <c r="DW265">
        <v>1.87635</v>
      </c>
      <c r="DX265">
        <v>1.8828400000000001</v>
      </c>
      <c r="DY265">
        <v>1.87561</v>
      </c>
      <c r="DZ265">
        <v>1.87469</v>
      </c>
      <c r="EA265">
        <v>1.87087</v>
      </c>
      <c r="EB265">
        <v>1.8746700000000001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-0.78500000000000003</v>
      </c>
      <c r="EQ265">
        <v>9.8100000000000007E-2</v>
      </c>
      <c r="ER265">
        <v>-0.78479999999996197</v>
      </c>
      <c r="ES265">
        <v>0</v>
      </c>
      <c r="ET265">
        <v>0</v>
      </c>
      <c r="EU265">
        <v>0</v>
      </c>
      <c r="EV265">
        <v>9.8130000000001202E-2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6.2</v>
      </c>
      <c r="FE265">
        <v>5.8</v>
      </c>
      <c r="FF265">
        <v>1.2439</v>
      </c>
      <c r="FG265">
        <v>2.6013199999999999</v>
      </c>
      <c r="FH265">
        <v>2.19604</v>
      </c>
      <c r="FI265">
        <v>2.66113</v>
      </c>
      <c r="FJ265">
        <v>2.4462899999999999</v>
      </c>
      <c r="FK265">
        <v>2.3132299999999999</v>
      </c>
      <c r="FL265">
        <v>32.798000000000002</v>
      </c>
      <c r="FM265">
        <v>24.14</v>
      </c>
      <c r="FN265">
        <v>19</v>
      </c>
      <c r="FO265">
        <v>865.85599999999999</v>
      </c>
      <c r="FP265">
        <v>569.93499999999995</v>
      </c>
      <c r="FQ265">
        <v>17.674499999999998</v>
      </c>
      <c r="FR265">
        <v>25.808199999999999</v>
      </c>
      <c r="FS265">
        <v>30.000299999999999</v>
      </c>
      <c r="FT265">
        <v>25.7666</v>
      </c>
      <c r="FU265">
        <v>25.766200000000001</v>
      </c>
      <c r="FV265">
        <v>24.9725</v>
      </c>
      <c r="FW265">
        <v>25.2758</v>
      </c>
      <c r="FX265">
        <v>2.734</v>
      </c>
      <c r="FY265">
        <v>17.710699999999999</v>
      </c>
      <c r="FZ265">
        <v>410</v>
      </c>
      <c r="GA265">
        <v>14.3019</v>
      </c>
      <c r="GB265">
        <v>99.837800000000001</v>
      </c>
      <c r="GC265">
        <v>99.733000000000004</v>
      </c>
    </row>
    <row r="266" spans="1:185" x14ac:dyDescent="0.2">
      <c r="A266">
        <v>251</v>
      </c>
      <c r="B266">
        <v>1769199346</v>
      </c>
      <c r="C266">
        <v>4785</v>
      </c>
      <c r="D266" t="s">
        <v>804</v>
      </c>
      <c r="E266" t="s">
        <v>805</v>
      </c>
      <c r="F266">
        <v>15</v>
      </c>
      <c r="G266">
        <v>1769199337.9333301</v>
      </c>
      <c r="H266">
        <f t="shared" si="39"/>
        <v>1.1558928625681206E-3</v>
      </c>
      <c r="I266">
        <v>0</v>
      </c>
      <c r="J266">
        <f t="shared" si="51"/>
        <v>-4.5340437237256503E-3</v>
      </c>
      <c r="K266">
        <f t="shared" si="40"/>
        <v>-0.16895577980064339</v>
      </c>
      <c r="L266">
        <f t="shared" si="41"/>
        <v>72.103051512168577</v>
      </c>
      <c r="M266">
        <f t="shared" si="42"/>
        <v>1.5831723955848993</v>
      </c>
      <c r="N266">
        <f t="shared" si="43"/>
        <v>2.1957078963817684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26315.018475843262</v>
      </c>
      <c r="T266">
        <f t="shared" si="47"/>
        <v>999.99933333333297</v>
      </c>
      <c r="U266">
        <f t="shared" si="48"/>
        <v>842.99958739989995</v>
      </c>
      <c r="V266">
        <f t="shared" si="49"/>
        <v>0.8430001493999999</v>
      </c>
      <c r="W266">
        <f t="shared" si="50"/>
        <v>0.15869994476400001</v>
      </c>
      <c r="X266">
        <v>1</v>
      </c>
      <c r="Y266">
        <v>1769199337.9333301</v>
      </c>
      <c r="Z266">
        <v>409.63066666666703</v>
      </c>
      <c r="AA266">
        <v>410.01133333333303</v>
      </c>
      <c r="AB266">
        <v>15.793279999999999</v>
      </c>
      <c r="AC266">
        <v>14.371233333333301</v>
      </c>
      <c r="AD266">
        <v>410.41533333333302</v>
      </c>
      <c r="AE266">
        <v>15.695173333333299</v>
      </c>
      <c r="AF266">
        <v>800.000133333333</v>
      </c>
      <c r="AG266">
        <v>100.17893333333301</v>
      </c>
      <c r="AH266">
        <v>6.4486373333333305E-2</v>
      </c>
      <c r="AI266">
        <v>18.9310333333333</v>
      </c>
      <c r="AJ266">
        <v>999.9</v>
      </c>
      <c r="AK266">
        <v>999.9</v>
      </c>
      <c r="AL266">
        <v>0</v>
      </c>
      <c r="AM266">
        <v>0</v>
      </c>
      <c r="AN266">
        <v>5006.5333333333301</v>
      </c>
      <c r="AO266">
        <v>0</v>
      </c>
      <c r="AP266">
        <v>1.63733</v>
      </c>
      <c r="AQ266">
        <v>-0.38076773333333302</v>
      </c>
      <c r="AR266">
        <v>416.2038</v>
      </c>
      <c r="AS266">
        <v>415.98953333333299</v>
      </c>
      <c r="AT266">
        <v>1.42204466666667</v>
      </c>
      <c r="AU266">
        <v>410.01133333333303</v>
      </c>
      <c r="AV266">
        <v>14.371233333333301</v>
      </c>
      <c r="AW266">
        <v>1.5821559999999999</v>
      </c>
      <c r="AX266">
        <v>1.43969666666667</v>
      </c>
      <c r="AY266">
        <v>13.7860333333333</v>
      </c>
      <c r="AZ266">
        <v>12.3421933333333</v>
      </c>
      <c r="BA266">
        <v>999.99933333333297</v>
      </c>
      <c r="BB266">
        <v>0.90000139999999995</v>
      </c>
      <c r="BC266">
        <v>0</v>
      </c>
      <c r="BD266">
        <v>9.9998820000000002E-2</v>
      </c>
      <c r="BE266">
        <v>0</v>
      </c>
      <c r="BF266">
        <v>26</v>
      </c>
      <c r="BG266">
        <v>16488.793333333299</v>
      </c>
      <c r="BH266">
        <v>1769198984</v>
      </c>
      <c r="BI266" t="s">
        <v>771</v>
      </c>
      <c r="BJ266">
        <v>1769198962</v>
      </c>
      <c r="BK266">
        <v>1769198984</v>
      </c>
      <c r="BL266">
        <v>10</v>
      </c>
      <c r="BM266">
        <v>3.5999999999999997E-2</v>
      </c>
      <c r="BN266">
        <v>-2E-3</v>
      </c>
      <c r="BO266">
        <v>-0.78500000000000003</v>
      </c>
      <c r="BP266">
        <v>9.8000000000000004E-2</v>
      </c>
      <c r="BQ266">
        <v>410</v>
      </c>
      <c r="BR266">
        <v>15</v>
      </c>
      <c r="BS266">
        <v>0.32</v>
      </c>
      <c r="BT266">
        <v>0.05</v>
      </c>
      <c r="BU266">
        <v>-0.35889735</v>
      </c>
      <c r="BV266">
        <v>-0.55135466165413505</v>
      </c>
      <c r="BW266">
        <v>5.4948840226409702E-2</v>
      </c>
      <c r="BX266">
        <v>0</v>
      </c>
      <c r="BY266">
        <v>0</v>
      </c>
      <c r="BZ266">
        <v>0</v>
      </c>
      <c r="CA266">
        <v>0</v>
      </c>
      <c r="CB266">
        <v>-1</v>
      </c>
      <c r="CC266">
        <v>1.410086</v>
      </c>
      <c r="CD266">
        <v>0.24513563909774699</v>
      </c>
      <c r="CE266">
        <v>2.5037959062191899E-2</v>
      </c>
      <c r="CF266">
        <v>0</v>
      </c>
      <c r="CG266">
        <v>0</v>
      </c>
      <c r="CH266">
        <v>2</v>
      </c>
      <c r="CI266" t="s">
        <v>290</v>
      </c>
      <c r="CJ266">
        <v>3.5325099999999998</v>
      </c>
      <c r="CK266">
        <v>2.7022400000000002</v>
      </c>
      <c r="CL266">
        <v>9.7871100000000003E-2</v>
      </c>
      <c r="CM266">
        <v>9.6601500000000007E-2</v>
      </c>
      <c r="CN266">
        <v>8.8403200000000001E-2</v>
      </c>
      <c r="CO266">
        <v>8.1457799999999997E-2</v>
      </c>
      <c r="CP266">
        <v>31617.8</v>
      </c>
      <c r="CQ266">
        <v>27813.200000000001</v>
      </c>
      <c r="CR266">
        <v>32439.4</v>
      </c>
      <c r="CS266">
        <v>30715.8</v>
      </c>
      <c r="CT266">
        <v>40049</v>
      </c>
      <c r="CU266">
        <v>39683.1</v>
      </c>
      <c r="CV266">
        <v>47383.9</v>
      </c>
      <c r="CW266">
        <v>46851.7</v>
      </c>
      <c r="CX266">
        <v>2.6187800000000001</v>
      </c>
      <c r="CY266">
        <v>2.1168800000000001</v>
      </c>
      <c r="CZ266">
        <v>0</v>
      </c>
      <c r="DA266">
        <v>0</v>
      </c>
      <c r="DB266">
        <v>999.9</v>
      </c>
      <c r="DC266">
        <v>999.9</v>
      </c>
      <c r="DD266">
        <v>47.423999999999999</v>
      </c>
      <c r="DE266">
        <v>28.52</v>
      </c>
      <c r="DF266">
        <v>18.516999999999999</v>
      </c>
      <c r="DG266">
        <v>30.439900000000002</v>
      </c>
      <c r="DH266">
        <v>16.478400000000001</v>
      </c>
      <c r="DI266">
        <v>2</v>
      </c>
      <c r="DJ266">
        <v>-9.1711399999999998E-2</v>
      </c>
      <c r="DK266">
        <v>2.38836</v>
      </c>
      <c r="DL266">
        <v>20.186499999999999</v>
      </c>
      <c r="DM266">
        <v>5.2507099999999998</v>
      </c>
      <c r="DN266">
        <v>12.033899999999999</v>
      </c>
      <c r="DO266">
        <v>4.9674399999999999</v>
      </c>
      <c r="DP266">
        <v>3.2909999999999999</v>
      </c>
      <c r="DQ266">
        <v>537.29999999999995</v>
      </c>
      <c r="DR266">
        <v>9999</v>
      </c>
      <c r="DS266">
        <v>9999</v>
      </c>
      <c r="DT266">
        <v>9999</v>
      </c>
      <c r="DU266">
        <v>1.87113</v>
      </c>
      <c r="DV266">
        <v>1.87616</v>
      </c>
      <c r="DW266">
        <v>1.87636</v>
      </c>
      <c r="DX266">
        <v>1.88286</v>
      </c>
      <c r="DY266">
        <v>1.87561</v>
      </c>
      <c r="DZ266">
        <v>1.8746799999999999</v>
      </c>
      <c r="EA266">
        <v>1.87087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-0.78500000000000003</v>
      </c>
      <c r="EQ266">
        <v>9.8100000000000007E-2</v>
      </c>
      <c r="ER266">
        <v>-0.78479999999996197</v>
      </c>
      <c r="ES266">
        <v>0</v>
      </c>
      <c r="ET266">
        <v>0</v>
      </c>
      <c r="EU266">
        <v>0</v>
      </c>
      <c r="EV266">
        <v>9.8130000000001202E-2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6.4</v>
      </c>
      <c r="FE266">
        <v>6</v>
      </c>
      <c r="FF266">
        <v>1.2439</v>
      </c>
      <c r="FG266">
        <v>2.5952099999999998</v>
      </c>
      <c r="FH266">
        <v>2.19604</v>
      </c>
      <c r="FI266">
        <v>2.66235</v>
      </c>
      <c r="FJ266">
        <v>2.4462899999999999</v>
      </c>
      <c r="FK266">
        <v>2.3022499999999999</v>
      </c>
      <c r="FL266">
        <v>32.798000000000002</v>
      </c>
      <c r="FM266">
        <v>24.1313</v>
      </c>
      <c r="FN266">
        <v>19</v>
      </c>
      <c r="FO266">
        <v>865.91</v>
      </c>
      <c r="FP266">
        <v>569.22900000000004</v>
      </c>
      <c r="FQ266">
        <v>17.8384</v>
      </c>
      <c r="FR266">
        <v>25.8169</v>
      </c>
      <c r="FS266">
        <v>30.0002</v>
      </c>
      <c r="FT266">
        <v>25.773499999999999</v>
      </c>
      <c r="FU266">
        <v>25.774000000000001</v>
      </c>
      <c r="FV266">
        <v>24.969899999999999</v>
      </c>
      <c r="FW266">
        <v>26.4361</v>
      </c>
      <c r="FX266">
        <v>2.734</v>
      </c>
      <c r="FY266">
        <v>17.861899999999999</v>
      </c>
      <c r="FZ266">
        <v>410</v>
      </c>
      <c r="GA266">
        <v>14.137600000000001</v>
      </c>
      <c r="GB266">
        <v>99.837000000000003</v>
      </c>
      <c r="GC266">
        <v>99.729600000000005</v>
      </c>
    </row>
    <row r="267" spans="1:185" x14ac:dyDescent="0.2">
      <c r="A267">
        <v>252</v>
      </c>
      <c r="B267">
        <v>1769199361</v>
      </c>
      <c r="C267">
        <v>4800</v>
      </c>
      <c r="D267" t="s">
        <v>806</v>
      </c>
      <c r="E267" t="s">
        <v>807</v>
      </c>
      <c r="F267">
        <v>15</v>
      </c>
      <c r="G267">
        <v>1769199352.9333301</v>
      </c>
      <c r="H267">
        <f t="shared" si="39"/>
        <v>1.1685113283592971E-3</v>
      </c>
      <c r="I267">
        <v>0</v>
      </c>
      <c r="J267">
        <f t="shared" si="51"/>
        <v>-2.0974190564276608E-3</v>
      </c>
      <c r="K267">
        <f t="shared" si="40"/>
        <v>-7.815784183842768E-2</v>
      </c>
      <c r="L267">
        <f t="shared" si="41"/>
        <v>71.268467148911597</v>
      </c>
      <c r="M267">
        <f t="shared" si="42"/>
        <v>1.5675081585593134</v>
      </c>
      <c r="N267">
        <f t="shared" si="43"/>
        <v>2.1994413816759804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26313.075637063259</v>
      </c>
      <c r="T267">
        <f t="shared" si="47"/>
        <v>999.99926666666704</v>
      </c>
      <c r="U267">
        <f t="shared" si="48"/>
        <v>842.99943259996303</v>
      </c>
      <c r="V267">
        <f t="shared" si="49"/>
        <v>0.84300005079999996</v>
      </c>
      <c r="W267">
        <f t="shared" si="50"/>
        <v>0.15869991912800002</v>
      </c>
      <c r="X267">
        <v>1</v>
      </c>
      <c r="Y267">
        <v>1769199352.9333301</v>
      </c>
      <c r="Z267">
        <v>409.52346666666699</v>
      </c>
      <c r="AA267">
        <v>410.02393333333299</v>
      </c>
      <c r="AB267">
        <v>15.63696</v>
      </c>
      <c r="AC267">
        <v>14.1991666666667</v>
      </c>
      <c r="AD267">
        <v>410.3082</v>
      </c>
      <c r="AE267">
        <v>15.538819999999999</v>
      </c>
      <c r="AF267">
        <v>800.00326666666695</v>
      </c>
      <c r="AG267">
        <v>100.17933333333301</v>
      </c>
      <c r="AH267">
        <v>6.4458206666666698E-2</v>
      </c>
      <c r="AI267">
        <v>18.9582466666667</v>
      </c>
      <c r="AJ267">
        <v>999.9</v>
      </c>
      <c r="AK267">
        <v>999.9</v>
      </c>
      <c r="AL267">
        <v>0</v>
      </c>
      <c r="AM267">
        <v>0</v>
      </c>
      <c r="AN267">
        <v>5006.6000000000004</v>
      </c>
      <c r="AO267">
        <v>0</v>
      </c>
      <c r="AP267">
        <v>1.63733</v>
      </c>
      <c r="AQ267">
        <v>-0.50032753333333302</v>
      </c>
      <c r="AR267">
        <v>416.029</v>
      </c>
      <c r="AS267">
        <v>415.929666666667</v>
      </c>
      <c r="AT267">
        <v>1.43778266666667</v>
      </c>
      <c r="AU267">
        <v>410.02393333333299</v>
      </c>
      <c r="AV267">
        <v>14.1991666666667</v>
      </c>
      <c r="AW267">
        <v>1.56650133333333</v>
      </c>
      <c r="AX267">
        <v>1.4224653333333299</v>
      </c>
      <c r="AY267">
        <v>13.63312</v>
      </c>
      <c r="AZ267">
        <v>12.1592133333333</v>
      </c>
      <c r="BA267">
        <v>999.99926666666704</v>
      </c>
      <c r="BB267">
        <v>0.90000139999999995</v>
      </c>
      <c r="BC267">
        <v>0</v>
      </c>
      <c r="BD267">
        <v>9.9998706666666701E-2</v>
      </c>
      <c r="BE267">
        <v>0</v>
      </c>
      <c r="BF267">
        <v>26</v>
      </c>
      <c r="BG267">
        <v>16488.7866666667</v>
      </c>
      <c r="BH267">
        <v>1769198984</v>
      </c>
      <c r="BI267" t="s">
        <v>771</v>
      </c>
      <c r="BJ267">
        <v>1769198962</v>
      </c>
      <c r="BK267">
        <v>1769198984</v>
      </c>
      <c r="BL267">
        <v>10</v>
      </c>
      <c r="BM267">
        <v>3.5999999999999997E-2</v>
      </c>
      <c r="BN267">
        <v>-2E-3</v>
      </c>
      <c r="BO267">
        <v>-0.78500000000000003</v>
      </c>
      <c r="BP267">
        <v>9.8000000000000004E-2</v>
      </c>
      <c r="BQ267">
        <v>410</v>
      </c>
      <c r="BR267">
        <v>15</v>
      </c>
      <c r="BS267">
        <v>0.32</v>
      </c>
      <c r="BT267">
        <v>0.05</v>
      </c>
      <c r="BU267">
        <v>-0.4736495</v>
      </c>
      <c r="BV267">
        <v>-0.42085227067669201</v>
      </c>
      <c r="BW267">
        <v>4.2789703217596599E-2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1.437759</v>
      </c>
      <c r="CD267">
        <v>-1.26081203007512E-2</v>
      </c>
      <c r="CE267">
        <v>6.9705572947935902E-3</v>
      </c>
      <c r="CF267">
        <v>1</v>
      </c>
      <c r="CG267">
        <v>2</v>
      </c>
      <c r="CH267">
        <v>2</v>
      </c>
      <c r="CI267" t="s">
        <v>304</v>
      </c>
      <c r="CJ267">
        <v>3.53254</v>
      </c>
      <c r="CK267">
        <v>2.7020900000000001</v>
      </c>
      <c r="CL267">
        <v>9.7852400000000006E-2</v>
      </c>
      <c r="CM267">
        <v>9.6600699999999998E-2</v>
      </c>
      <c r="CN267">
        <v>8.7826000000000001E-2</v>
      </c>
      <c r="CO267">
        <v>8.0922499999999994E-2</v>
      </c>
      <c r="CP267">
        <v>31618</v>
      </c>
      <c r="CQ267">
        <v>27813.1</v>
      </c>
      <c r="CR267">
        <v>32439</v>
      </c>
      <c r="CS267">
        <v>30715.7</v>
      </c>
      <c r="CT267">
        <v>40074.5</v>
      </c>
      <c r="CU267">
        <v>39706.5</v>
      </c>
      <c r="CV267">
        <v>47383.1</v>
      </c>
      <c r="CW267">
        <v>46851.4</v>
      </c>
      <c r="CX267">
        <v>2.61856</v>
      </c>
      <c r="CY267">
        <v>2.1163799999999999</v>
      </c>
      <c r="CZ267">
        <v>0</v>
      </c>
      <c r="DA267">
        <v>0</v>
      </c>
      <c r="DB267">
        <v>999.9</v>
      </c>
      <c r="DC267">
        <v>999.9</v>
      </c>
      <c r="DD267">
        <v>47.423999999999999</v>
      </c>
      <c r="DE267">
        <v>28.52</v>
      </c>
      <c r="DF267">
        <v>18.516200000000001</v>
      </c>
      <c r="DG267">
        <v>30.1999</v>
      </c>
      <c r="DH267">
        <v>16.4223</v>
      </c>
      <c r="DI267">
        <v>2</v>
      </c>
      <c r="DJ267">
        <v>-9.0916700000000003E-2</v>
      </c>
      <c r="DK267">
        <v>2.3892899999999999</v>
      </c>
      <c r="DL267">
        <v>20.186399999999999</v>
      </c>
      <c r="DM267">
        <v>5.2502399999999998</v>
      </c>
      <c r="DN267">
        <v>12.033899999999999</v>
      </c>
      <c r="DO267">
        <v>4.9672799999999997</v>
      </c>
      <c r="DP267">
        <v>3.2909999999999999</v>
      </c>
      <c r="DQ267">
        <v>537.29999999999995</v>
      </c>
      <c r="DR267">
        <v>9999</v>
      </c>
      <c r="DS267">
        <v>9999</v>
      </c>
      <c r="DT267">
        <v>9999</v>
      </c>
      <c r="DU267">
        <v>1.87107</v>
      </c>
      <c r="DV267">
        <v>1.87608</v>
      </c>
      <c r="DW267">
        <v>1.87635</v>
      </c>
      <c r="DX267">
        <v>1.8828</v>
      </c>
      <c r="DY267">
        <v>1.87561</v>
      </c>
      <c r="DZ267">
        <v>1.8746799999999999</v>
      </c>
      <c r="EA267">
        <v>1.87086</v>
      </c>
      <c r="EB267">
        <v>1.8746499999999999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-0.78400000000000003</v>
      </c>
      <c r="EQ267">
        <v>9.8100000000000007E-2</v>
      </c>
      <c r="ER267">
        <v>-0.78479999999996197</v>
      </c>
      <c r="ES267">
        <v>0</v>
      </c>
      <c r="ET267">
        <v>0</v>
      </c>
      <c r="EU267">
        <v>0</v>
      </c>
      <c r="EV267">
        <v>9.8130000000001202E-2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6.7</v>
      </c>
      <c r="FE267">
        <v>6.3</v>
      </c>
      <c r="FF267">
        <v>1.2439</v>
      </c>
      <c r="FG267">
        <v>2.6086399999999998</v>
      </c>
      <c r="FH267">
        <v>2.19604</v>
      </c>
      <c r="FI267">
        <v>2.66235</v>
      </c>
      <c r="FJ267">
        <v>2.4462899999999999</v>
      </c>
      <c r="FK267">
        <v>2.2766099999999998</v>
      </c>
      <c r="FL267">
        <v>32.798000000000002</v>
      </c>
      <c r="FM267">
        <v>24.122499999999999</v>
      </c>
      <c r="FN267">
        <v>19</v>
      </c>
      <c r="FO267">
        <v>865.82399999999996</v>
      </c>
      <c r="FP267">
        <v>568.93399999999997</v>
      </c>
      <c r="FQ267">
        <v>17.948699999999999</v>
      </c>
      <c r="FR267">
        <v>25.8248</v>
      </c>
      <c r="FS267">
        <v>30.000399999999999</v>
      </c>
      <c r="FT267">
        <v>25.780799999999999</v>
      </c>
      <c r="FU267">
        <v>25.7818</v>
      </c>
      <c r="FV267">
        <v>24.967400000000001</v>
      </c>
      <c r="FW267">
        <v>26.990100000000002</v>
      </c>
      <c r="FX267">
        <v>2.3633899999999999</v>
      </c>
      <c r="FY267">
        <v>17.9575</v>
      </c>
      <c r="FZ267">
        <v>410</v>
      </c>
      <c r="GA267">
        <v>14.054500000000001</v>
      </c>
      <c r="GB267">
        <v>99.835599999999999</v>
      </c>
      <c r="GC267">
        <v>99.728999999999999</v>
      </c>
    </row>
    <row r="268" spans="1:185" x14ac:dyDescent="0.2">
      <c r="A268">
        <v>253</v>
      </c>
      <c r="B268">
        <v>1769199376</v>
      </c>
      <c r="C268">
        <v>4815</v>
      </c>
      <c r="D268" t="s">
        <v>808</v>
      </c>
      <c r="E268" t="s">
        <v>809</v>
      </c>
      <c r="F268">
        <v>15</v>
      </c>
      <c r="G268">
        <v>1769199367.9333301</v>
      </c>
      <c r="H268">
        <f t="shared" si="39"/>
        <v>1.1505821223246249E-3</v>
      </c>
      <c r="I268">
        <v>0</v>
      </c>
      <c r="J268">
        <f t="shared" si="51"/>
        <v>-1.1858238551042469E-3</v>
      </c>
      <c r="K268">
        <f t="shared" si="40"/>
        <v>-4.4188324231843296E-2</v>
      </c>
      <c r="L268">
        <f t="shared" si="41"/>
        <v>70.568258810263245</v>
      </c>
      <c r="M268">
        <f t="shared" si="42"/>
        <v>1.5554150648415599</v>
      </c>
      <c r="N268">
        <f t="shared" si="43"/>
        <v>2.2041284439560878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26279.149807537578</v>
      </c>
      <c r="T268">
        <f t="shared" si="47"/>
        <v>999.99906666666698</v>
      </c>
      <c r="U268">
        <f t="shared" si="48"/>
        <v>842.99937819984655</v>
      </c>
      <c r="V268">
        <f t="shared" si="49"/>
        <v>0.8430001650000003</v>
      </c>
      <c r="W268">
        <f t="shared" si="50"/>
        <v>0.15869995778000007</v>
      </c>
      <c r="X268">
        <v>1</v>
      </c>
      <c r="Y268">
        <v>1769199367.9333301</v>
      </c>
      <c r="Z268">
        <v>409.46679999999998</v>
      </c>
      <c r="AA268">
        <v>410.00046666666702</v>
      </c>
      <c r="AB268">
        <v>15.516299999999999</v>
      </c>
      <c r="AC268">
        <v>14.1004</v>
      </c>
      <c r="AD268">
        <v>410.2518</v>
      </c>
      <c r="AE268">
        <v>15.41818</v>
      </c>
      <c r="AF268">
        <v>800.00660000000005</v>
      </c>
      <c r="AG268">
        <v>100.1798</v>
      </c>
      <c r="AH268">
        <v>6.4141199999999995E-2</v>
      </c>
      <c r="AI268">
        <v>18.992353333333298</v>
      </c>
      <c r="AJ268">
        <v>999.9</v>
      </c>
      <c r="AK268">
        <v>999.9</v>
      </c>
      <c r="AL268">
        <v>0</v>
      </c>
      <c r="AM268">
        <v>0</v>
      </c>
      <c r="AN268">
        <v>5001.5</v>
      </c>
      <c r="AO268">
        <v>0</v>
      </c>
      <c r="AP268">
        <v>1.63733</v>
      </c>
      <c r="AQ268">
        <v>-0.53357960000000004</v>
      </c>
      <c r="AR268">
        <v>415.92039999999997</v>
      </c>
      <c r="AS268">
        <v>415.864466666667</v>
      </c>
      <c r="AT268">
        <v>1.4158999999999999</v>
      </c>
      <c r="AU268">
        <v>410.00046666666702</v>
      </c>
      <c r="AV268">
        <v>14.1004</v>
      </c>
      <c r="AW268">
        <v>1.55442066666667</v>
      </c>
      <c r="AX268">
        <v>1.4125760000000001</v>
      </c>
      <c r="AY268">
        <v>13.514200000000001</v>
      </c>
      <c r="AZ268">
        <v>12.0533</v>
      </c>
      <c r="BA268">
        <v>999.99906666666698</v>
      </c>
      <c r="BB268">
        <v>0.90000126666666702</v>
      </c>
      <c r="BC268">
        <v>0</v>
      </c>
      <c r="BD268">
        <v>9.9998966666666703E-2</v>
      </c>
      <c r="BE268">
        <v>0</v>
      </c>
      <c r="BF268">
        <v>26</v>
      </c>
      <c r="BG268">
        <v>16488.793333333299</v>
      </c>
      <c r="BH268">
        <v>1769198984</v>
      </c>
      <c r="BI268" t="s">
        <v>771</v>
      </c>
      <c r="BJ268">
        <v>1769198962</v>
      </c>
      <c r="BK268">
        <v>1769198984</v>
      </c>
      <c r="BL268">
        <v>10</v>
      </c>
      <c r="BM268">
        <v>3.5999999999999997E-2</v>
      </c>
      <c r="BN268">
        <v>-2E-3</v>
      </c>
      <c r="BO268">
        <v>-0.78500000000000003</v>
      </c>
      <c r="BP268">
        <v>9.8000000000000004E-2</v>
      </c>
      <c r="BQ268">
        <v>410</v>
      </c>
      <c r="BR268">
        <v>15</v>
      </c>
      <c r="BS268">
        <v>0.32</v>
      </c>
      <c r="BT268">
        <v>0.05</v>
      </c>
      <c r="BU268">
        <v>-0.53405155000000004</v>
      </c>
      <c r="BV268">
        <v>2.1821368421052999E-2</v>
      </c>
      <c r="BW268">
        <v>2.2516339514839001E-2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1.4194359999999999</v>
      </c>
      <c r="CD268">
        <v>-0.14812962406015001</v>
      </c>
      <c r="CE268">
        <v>1.7103657035850602E-2</v>
      </c>
      <c r="CF268">
        <v>0</v>
      </c>
      <c r="CG268">
        <v>1</v>
      </c>
      <c r="CH268">
        <v>2</v>
      </c>
      <c r="CI268" t="s">
        <v>297</v>
      </c>
      <c r="CJ268">
        <v>3.5325500000000001</v>
      </c>
      <c r="CK268">
        <v>2.7020200000000001</v>
      </c>
      <c r="CL268">
        <v>9.7847000000000003E-2</v>
      </c>
      <c r="CM268">
        <v>9.6590499999999996E-2</v>
      </c>
      <c r="CN268">
        <v>8.7386000000000005E-2</v>
      </c>
      <c r="CO268">
        <v>8.0699599999999996E-2</v>
      </c>
      <c r="CP268">
        <v>31617.8</v>
      </c>
      <c r="CQ268">
        <v>27812.2</v>
      </c>
      <c r="CR268">
        <v>32438.7</v>
      </c>
      <c r="CS268">
        <v>30714.400000000001</v>
      </c>
      <c r="CT268">
        <v>40094.300000000003</v>
      </c>
      <c r="CU268">
        <v>39715</v>
      </c>
      <c r="CV268">
        <v>47382.9</v>
      </c>
      <c r="CW268">
        <v>46849.8</v>
      </c>
      <c r="CX268">
        <v>2.6182599999999998</v>
      </c>
      <c r="CY268">
        <v>2.11592</v>
      </c>
      <c r="CZ268">
        <v>0</v>
      </c>
      <c r="DA268">
        <v>0</v>
      </c>
      <c r="DB268">
        <v>999.9</v>
      </c>
      <c r="DC268">
        <v>999.9</v>
      </c>
      <c r="DD268">
        <v>47.4</v>
      </c>
      <c r="DE268">
        <v>28.5</v>
      </c>
      <c r="DF268">
        <v>18.485800000000001</v>
      </c>
      <c r="DG268">
        <v>30.079899999999999</v>
      </c>
      <c r="DH268">
        <v>16.4543</v>
      </c>
      <c r="DI268">
        <v>2</v>
      </c>
      <c r="DJ268">
        <v>-8.9894299999999996E-2</v>
      </c>
      <c r="DK268">
        <v>2.47634</v>
      </c>
      <c r="DL268">
        <v>20.1845</v>
      </c>
      <c r="DM268">
        <v>5.2502399999999998</v>
      </c>
      <c r="DN268">
        <v>12.033899999999999</v>
      </c>
      <c r="DO268">
        <v>4.9669999999999996</v>
      </c>
      <c r="DP268">
        <v>3.2909999999999999</v>
      </c>
      <c r="DQ268">
        <v>537.29999999999995</v>
      </c>
      <c r="DR268">
        <v>9999</v>
      </c>
      <c r="DS268">
        <v>9999</v>
      </c>
      <c r="DT268">
        <v>9999</v>
      </c>
      <c r="DU268">
        <v>1.8711</v>
      </c>
      <c r="DV268">
        <v>1.8761099999999999</v>
      </c>
      <c r="DW268">
        <v>1.8763399999999999</v>
      </c>
      <c r="DX268">
        <v>1.8828199999999999</v>
      </c>
      <c r="DY268">
        <v>1.87561</v>
      </c>
      <c r="DZ268">
        <v>1.8746700000000001</v>
      </c>
      <c r="EA268">
        <v>1.8708199999999999</v>
      </c>
      <c r="EB268">
        <v>1.87466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-0.78400000000000003</v>
      </c>
      <c r="EQ268">
        <v>9.8199999999999996E-2</v>
      </c>
      <c r="ER268">
        <v>-0.78479999999996197</v>
      </c>
      <c r="ES268">
        <v>0</v>
      </c>
      <c r="ET268">
        <v>0</v>
      </c>
      <c r="EU268">
        <v>0</v>
      </c>
      <c r="EV268">
        <v>9.8130000000001202E-2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6.9</v>
      </c>
      <c r="FE268">
        <v>6.5</v>
      </c>
      <c r="FF268">
        <v>1.2439</v>
      </c>
      <c r="FG268">
        <v>2.6037599999999999</v>
      </c>
      <c r="FH268">
        <v>2.19604</v>
      </c>
      <c r="FI268">
        <v>2.66235</v>
      </c>
      <c r="FJ268">
        <v>2.4462899999999999</v>
      </c>
      <c r="FK268">
        <v>2.2997999999999998</v>
      </c>
      <c r="FL268">
        <v>32.798000000000002</v>
      </c>
      <c r="FM268">
        <v>24.1313</v>
      </c>
      <c r="FN268">
        <v>19</v>
      </c>
      <c r="FO268">
        <v>865.65599999999995</v>
      </c>
      <c r="FP268">
        <v>568.65599999999995</v>
      </c>
      <c r="FQ268">
        <v>17.990400000000001</v>
      </c>
      <c r="FR268">
        <v>25.832100000000001</v>
      </c>
      <c r="FS268">
        <v>30.000399999999999</v>
      </c>
      <c r="FT268">
        <v>25.787800000000001</v>
      </c>
      <c r="FU268">
        <v>25.7883</v>
      </c>
      <c r="FV268">
        <v>24.9682</v>
      </c>
      <c r="FW268">
        <v>26.990100000000002</v>
      </c>
      <c r="FX268">
        <v>2.3633899999999999</v>
      </c>
      <c r="FY268">
        <v>17.9832</v>
      </c>
      <c r="FZ268">
        <v>410</v>
      </c>
      <c r="GA268">
        <v>14.032999999999999</v>
      </c>
      <c r="GB268">
        <v>99.834999999999994</v>
      </c>
      <c r="GC268">
        <v>99.725300000000004</v>
      </c>
    </row>
    <row r="269" spans="1:185" x14ac:dyDescent="0.2">
      <c r="A269">
        <v>254</v>
      </c>
      <c r="B269">
        <v>1769199391</v>
      </c>
      <c r="C269">
        <v>4830</v>
      </c>
      <c r="D269" t="s">
        <v>810</v>
      </c>
      <c r="E269" t="s">
        <v>811</v>
      </c>
      <c r="F269">
        <v>15</v>
      </c>
      <c r="G269">
        <v>1769199382.9333301</v>
      </c>
      <c r="H269">
        <f t="shared" si="39"/>
        <v>1.0975403902989064E-3</v>
      </c>
      <c r="I269">
        <v>0</v>
      </c>
      <c r="J269">
        <f t="shared" si="51"/>
        <v>-7.4762138566778738E-4</v>
      </c>
      <c r="K269">
        <f t="shared" si="40"/>
        <v>-2.7859227194956298E-2</v>
      </c>
      <c r="L269">
        <f t="shared" si="41"/>
        <v>70.106939218676203</v>
      </c>
      <c r="M269">
        <f t="shared" si="42"/>
        <v>1.5473176653778695</v>
      </c>
      <c r="N269">
        <f t="shared" si="43"/>
        <v>2.2070820415529857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26213.711947294389</v>
      </c>
      <c r="T269">
        <f t="shared" si="47"/>
        <v>1000.00093333333</v>
      </c>
      <c r="U269">
        <f t="shared" si="48"/>
        <v>843.00096120016042</v>
      </c>
      <c r="V269">
        <f t="shared" si="49"/>
        <v>0.84300017440000052</v>
      </c>
      <c r="W269">
        <f t="shared" si="50"/>
        <v>0.15869994230400009</v>
      </c>
      <c r="X269">
        <v>1</v>
      </c>
      <c r="Y269">
        <v>1769199382.9333301</v>
      </c>
      <c r="Z269">
        <v>409.4708</v>
      </c>
      <c r="AA269">
        <v>409.99773333333297</v>
      </c>
      <c r="AB269">
        <v>15.435693333333299</v>
      </c>
      <c r="AC269">
        <v>14.084960000000001</v>
      </c>
      <c r="AD269">
        <v>410.25560000000002</v>
      </c>
      <c r="AE269">
        <v>15.337533333333299</v>
      </c>
      <c r="AF269">
        <v>800.00919999999996</v>
      </c>
      <c r="AG269">
        <v>100.17853333333299</v>
      </c>
      <c r="AH269">
        <v>6.4302020000000001E-2</v>
      </c>
      <c r="AI269">
        <v>19.013813333333299</v>
      </c>
      <c r="AJ269">
        <v>999.9</v>
      </c>
      <c r="AK269">
        <v>999.9</v>
      </c>
      <c r="AL269">
        <v>0</v>
      </c>
      <c r="AM269">
        <v>0</v>
      </c>
      <c r="AN269">
        <v>4991.1000000000004</v>
      </c>
      <c r="AO269">
        <v>0</v>
      </c>
      <c r="AP269">
        <v>1.63733</v>
      </c>
      <c r="AQ269">
        <v>-0.52690020000000004</v>
      </c>
      <c r="AR269">
        <v>415.89033333333299</v>
      </c>
      <c r="AS269">
        <v>415.85513333333301</v>
      </c>
      <c r="AT269">
        <v>1.3507086666666701</v>
      </c>
      <c r="AU269">
        <v>409.99773333333297</v>
      </c>
      <c r="AV269">
        <v>14.084960000000001</v>
      </c>
      <c r="AW269">
        <v>1.546324</v>
      </c>
      <c r="AX269">
        <v>1.4110113333333301</v>
      </c>
      <c r="AY269">
        <v>13.434053333333299</v>
      </c>
      <c r="AZ269">
        <v>12.0364666666667</v>
      </c>
      <c r="BA269">
        <v>1000.00093333333</v>
      </c>
      <c r="BB269">
        <v>0.90000153333333399</v>
      </c>
      <c r="BC269">
        <v>0</v>
      </c>
      <c r="BD269">
        <v>9.9998719999999999E-2</v>
      </c>
      <c r="BE269">
        <v>0</v>
      </c>
      <c r="BF269">
        <v>26</v>
      </c>
      <c r="BG269">
        <v>16488.82</v>
      </c>
      <c r="BH269">
        <v>1769198984</v>
      </c>
      <c r="BI269" t="s">
        <v>771</v>
      </c>
      <c r="BJ269">
        <v>1769198962</v>
      </c>
      <c r="BK269">
        <v>1769198984</v>
      </c>
      <c r="BL269">
        <v>10</v>
      </c>
      <c r="BM269">
        <v>3.5999999999999997E-2</v>
      </c>
      <c r="BN269">
        <v>-2E-3</v>
      </c>
      <c r="BO269">
        <v>-0.78500000000000003</v>
      </c>
      <c r="BP269">
        <v>9.8000000000000004E-2</v>
      </c>
      <c r="BQ269">
        <v>410</v>
      </c>
      <c r="BR269">
        <v>15</v>
      </c>
      <c r="BS269">
        <v>0.32</v>
      </c>
      <c r="BT269">
        <v>0.05</v>
      </c>
      <c r="BU269">
        <v>-0.52983014285714303</v>
      </c>
      <c r="BV269">
        <v>2.0579142857142199E-2</v>
      </c>
      <c r="BW269">
        <v>2.3518308151585302E-2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1.3634428571428601</v>
      </c>
      <c r="CD269">
        <v>-0.24843350649350601</v>
      </c>
      <c r="CE269">
        <v>2.5183208529429599E-2</v>
      </c>
      <c r="CF269">
        <v>0</v>
      </c>
      <c r="CG269">
        <v>1</v>
      </c>
      <c r="CH269">
        <v>2</v>
      </c>
      <c r="CI269" t="s">
        <v>297</v>
      </c>
      <c r="CJ269">
        <v>3.5325500000000001</v>
      </c>
      <c r="CK269">
        <v>2.7023799999999998</v>
      </c>
      <c r="CL269">
        <v>9.7841499999999998E-2</v>
      </c>
      <c r="CM269">
        <v>9.6589900000000006E-2</v>
      </c>
      <c r="CN269">
        <v>8.7134100000000006E-2</v>
      </c>
      <c r="CO269">
        <v>8.0674899999999994E-2</v>
      </c>
      <c r="CP269">
        <v>31616.799999999999</v>
      </c>
      <c r="CQ269">
        <v>27811</v>
      </c>
      <c r="CR269">
        <v>32437.5</v>
      </c>
      <c r="CS269">
        <v>30713.1</v>
      </c>
      <c r="CT269">
        <v>40104.400000000001</v>
      </c>
      <c r="CU269">
        <v>39714.199999999997</v>
      </c>
      <c r="CV269">
        <v>47381.4</v>
      </c>
      <c r="CW269">
        <v>46847.5</v>
      </c>
      <c r="CX269">
        <v>2.61788</v>
      </c>
      <c r="CY269">
        <v>2.1160800000000002</v>
      </c>
      <c r="CZ269">
        <v>0</v>
      </c>
      <c r="DA269">
        <v>0</v>
      </c>
      <c r="DB269">
        <v>999.9</v>
      </c>
      <c r="DC269">
        <v>999.9</v>
      </c>
      <c r="DD269">
        <v>47.4</v>
      </c>
      <c r="DE269">
        <v>28.53</v>
      </c>
      <c r="DF269">
        <v>18.516999999999999</v>
      </c>
      <c r="DG269">
        <v>30.439900000000002</v>
      </c>
      <c r="DH269">
        <v>16.470400000000001</v>
      </c>
      <c r="DI269">
        <v>2</v>
      </c>
      <c r="DJ269">
        <v>-8.5142300000000004E-2</v>
      </c>
      <c r="DK269">
        <v>3.2509000000000001</v>
      </c>
      <c r="DL269">
        <v>20.168299999999999</v>
      </c>
      <c r="DM269">
        <v>5.25047</v>
      </c>
      <c r="DN269">
        <v>12.033899999999999</v>
      </c>
      <c r="DO269">
        <v>4.9673600000000002</v>
      </c>
      <c r="DP269">
        <v>3.2909999999999999</v>
      </c>
      <c r="DQ269">
        <v>537.29999999999995</v>
      </c>
      <c r="DR269">
        <v>9999</v>
      </c>
      <c r="DS269">
        <v>9999</v>
      </c>
      <c r="DT269">
        <v>9999</v>
      </c>
      <c r="DU269">
        <v>1.8710899999999999</v>
      </c>
      <c r="DV269">
        <v>1.8761399999999999</v>
      </c>
      <c r="DW269">
        <v>1.87635</v>
      </c>
      <c r="DX269">
        <v>1.88279</v>
      </c>
      <c r="DY269">
        <v>1.87561</v>
      </c>
      <c r="DZ269">
        <v>1.8746700000000001</v>
      </c>
      <c r="EA269">
        <v>1.8708499999999999</v>
      </c>
      <c r="EB269">
        <v>1.8746799999999999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-0.78400000000000003</v>
      </c>
      <c r="EQ269">
        <v>9.8199999999999996E-2</v>
      </c>
      <c r="ER269">
        <v>-0.78479999999996197</v>
      </c>
      <c r="ES269">
        <v>0</v>
      </c>
      <c r="ET269">
        <v>0</v>
      </c>
      <c r="EU269">
        <v>0</v>
      </c>
      <c r="EV269">
        <v>9.8130000000001202E-2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7.2</v>
      </c>
      <c r="FE269">
        <v>6.8</v>
      </c>
      <c r="FF269">
        <v>1.2439</v>
      </c>
      <c r="FG269">
        <v>2.6000999999999999</v>
      </c>
      <c r="FH269">
        <v>2.19604</v>
      </c>
      <c r="FI269">
        <v>2.66113</v>
      </c>
      <c r="FJ269">
        <v>2.4462899999999999</v>
      </c>
      <c r="FK269">
        <v>2.2875999999999999</v>
      </c>
      <c r="FL269">
        <v>32.8202</v>
      </c>
      <c r="FM269">
        <v>24.1313</v>
      </c>
      <c r="FN269">
        <v>19</v>
      </c>
      <c r="FO269">
        <v>865.40499999999997</v>
      </c>
      <c r="FP269">
        <v>568.84799999999996</v>
      </c>
      <c r="FQ269">
        <v>17.556000000000001</v>
      </c>
      <c r="FR269">
        <v>25.838200000000001</v>
      </c>
      <c r="FS269">
        <v>30.0002</v>
      </c>
      <c r="FT269">
        <v>25.7943</v>
      </c>
      <c r="FU269">
        <v>25.794799999999999</v>
      </c>
      <c r="FV269">
        <v>24.968699999999998</v>
      </c>
      <c r="FW269">
        <v>26.990100000000002</v>
      </c>
      <c r="FX269">
        <v>1.99038</v>
      </c>
      <c r="FY269">
        <v>17.577999999999999</v>
      </c>
      <c r="FZ269">
        <v>410</v>
      </c>
      <c r="GA269">
        <v>14.0291</v>
      </c>
      <c r="GB269">
        <v>99.831599999999995</v>
      </c>
      <c r="GC269">
        <v>99.720699999999994</v>
      </c>
    </row>
    <row r="270" spans="1:185" x14ac:dyDescent="0.2">
      <c r="A270">
        <v>255</v>
      </c>
      <c r="B270">
        <v>1769199406</v>
      </c>
      <c r="C270">
        <v>4845</v>
      </c>
      <c r="D270" t="s">
        <v>812</v>
      </c>
      <c r="E270" t="s">
        <v>813</v>
      </c>
      <c r="F270">
        <v>15</v>
      </c>
      <c r="G270">
        <v>1769199397.9333301</v>
      </c>
      <c r="H270">
        <f t="shared" si="39"/>
        <v>1.0641336090797067E-3</v>
      </c>
      <c r="I270">
        <v>0</v>
      </c>
      <c r="J270">
        <f t="shared" si="51"/>
        <v>2.3153575813490338E-4</v>
      </c>
      <c r="K270">
        <f t="shared" si="40"/>
        <v>8.6279063350697457E-3</v>
      </c>
      <c r="L270">
        <f t="shared" si="41"/>
        <v>69.973428621222283</v>
      </c>
      <c r="M270">
        <f t="shared" si="42"/>
        <v>1.5428844044968619</v>
      </c>
      <c r="N270">
        <f t="shared" si="43"/>
        <v>2.2049575601743765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26257.288115303185</v>
      </c>
      <c r="T270">
        <f t="shared" si="47"/>
        <v>1000.00033333333</v>
      </c>
      <c r="U270">
        <f t="shared" si="48"/>
        <v>843.00009899993631</v>
      </c>
      <c r="V270">
        <f t="shared" si="49"/>
        <v>0.84299981799999979</v>
      </c>
      <c r="W270">
        <f t="shared" si="50"/>
        <v>0.15870006467999995</v>
      </c>
      <c r="X270">
        <v>1</v>
      </c>
      <c r="Y270">
        <v>1769199397.9333301</v>
      </c>
      <c r="Z270">
        <v>409.43593333333303</v>
      </c>
      <c r="AA270">
        <v>409.99133333333299</v>
      </c>
      <c r="AB270">
        <v>15.3914066666667</v>
      </c>
      <c r="AC270">
        <v>14.081720000000001</v>
      </c>
      <c r="AD270">
        <v>410.2208</v>
      </c>
      <c r="AE270">
        <v>15.2932733333333</v>
      </c>
      <c r="AF270">
        <v>800.00440000000003</v>
      </c>
      <c r="AG270">
        <v>100.1788</v>
      </c>
      <c r="AH270">
        <v>6.4435586666666697E-2</v>
      </c>
      <c r="AI270">
        <v>18.998380000000001</v>
      </c>
      <c r="AJ270">
        <v>999.9</v>
      </c>
      <c r="AK270">
        <v>999.9</v>
      </c>
      <c r="AL270">
        <v>0</v>
      </c>
      <c r="AM270">
        <v>0</v>
      </c>
      <c r="AN270">
        <v>4998.0333333333301</v>
      </c>
      <c r="AO270">
        <v>0</v>
      </c>
      <c r="AP270">
        <v>1.63733</v>
      </c>
      <c r="AQ270">
        <v>-0.55558873333333303</v>
      </c>
      <c r="AR270">
        <v>415.83626666666697</v>
      </c>
      <c r="AS270">
        <v>415.84739999999999</v>
      </c>
      <c r="AT270">
        <v>1.3096840000000001</v>
      </c>
      <c r="AU270">
        <v>409.99133333333299</v>
      </c>
      <c r="AV270">
        <v>14.081720000000001</v>
      </c>
      <c r="AW270">
        <v>1.5418926666666699</v>
      </c>
      <c r="AX270">
        <v>1.41069133333333</v>
      </c>
      <c r="AY270">
        <v>13.390033333333299</v>
      </c>
      <c r="AZ270">
        <v>12.03302</v>
      </c>
      <c r="BA270">
        <v>1000.00033333333</v>
      </c>
      <c r="BB270">
        <v>0.89999833333333301</v>
      </c>
      <c r="BC270">
        <v>0</v>
      </c>
      <c r="BD270">
        <v>0.1000014</v>
      </c>
      <c r="BE270">
        <v>0</v>
      </c>
      <c r="BF270">
        <v>25.9444533333333</v>
      </c>
      <c r="BG270">
        <v>16488.773333333302</v>
      </c>
      <c r="BH270">
        <v>1769198984</v>
      </c>
      <c r="BI270" t="s">
        <v>771</v>
      </c>
      <c r="BJ270">
        <v>1769198962</v>
      </c>
      <c r="BK270">
        <v>1769198984</v>
      </c>
      <c r="BL270">
        <v>10</v>
      </c>
      <c r="BM270">
        <v>3.5999999999999997E-2</v>
      </c>
      <c r="BN270">
        <v>-2E-3</v>
      </c>
      <c r="BO270">
        <v>-0.78500000000000003</v>
      </c>
      <c r="BP270">
        <v>9.8000000000000004E-2</v>
      </c>
      <c r="BQ270">
        <v>410</v>
      </c>
      <c r="BR270">
        <v>15</v>
      </c>
      <c r="BS270">
        <v>0.32</v>
      </c>
      <c r="BT270">
        <v>0.05</v>
      </c>
      <c r="BU270">
        <v>-0.55325310000000005</v>
      </c>
      <c r="BV270">
        <v>-6.5466676691729106E-2</v>
      </c>
      <c r="BW270">
        <v>2.1474176403066099E-2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1.3152215</v>
      </c>
      <c r="CD270">
        <v>-0.12945789473684399</v>
      </c>
      <c r="CE270">
        <v>1.26160295953204E-2</v>
      </c>
      <c r="CF270">
        <v>0</v>
      </c>
      <c r="CG270">
        <v>1</v>
      </c>
      <c r="CH270">
        <v>2</v>
      </c>
      <c r="CI270" t="s">
        <v>297</v>
      </c>
      <c r="CJ270">
        <v>3.5325000000000002</v>
      </c>
      <c r="CK270">
        <v>2.7021999999999999</v>
      </c>
      <c r="CL270">
        <v>9.7840700000000003E-2</v>
      </c>
      <c r="CM270">
        <v>9.6582000000000001E-2</v>
      </c>
      <c r="CN270">
        <v>8.7000900000000006E-2</v>
      </c>
      <c r="CO270">
        <v>8.0662600000000001E-2</v>
      </c>
      <c r="CP270">
        <v>31617.599999999999</v>
      </c>
      <c r="CQ270">
        <v>27811.599999999999</v>
      </c>
      <c r="CR270">
        <v>32438.400000000001</v>
      </c>
      <c r="CS270">
        <v>30713.4</v>
      </c>
      <c r="CT270">
        <v>40111.1</v>
      </c>
      <c r="CU270">
        <v>39715.5</v>
      </c>
      <c r="CV270">
        <v>47382.1</v>
      </c>
      <c r="CW270">
        <v>46848.3</v>
      </c>
      <c r="CX270">
        <v>2.6179399999999999</v>
      </c>
      <c r="CY270">
        <v>2.1158399999999999</v>
      </c>
      <c r="CZ270">
        <v>0</v>
      </c>
      <c r="DA270">
        <v>0</v>
      </c>
      <c r="DB270">
        <v>999.9</v>
      </c>
      <c r="DC270">
        <v>999.9</v>
      </c>
      <c r="DD270">
        <v>47.4</v>
      </c>
      <c r="DE270">
        <v>28.53</v>
      </c>
      <c r="DF270">
        <v>18.517199999999999</v>
      </c>
      <c r="DG270">
        <v>30.4099</v>
      </c>
      <c r="DH270">
        <v>16.546500000000002</v>
      </c>
      <c r="DI270">
        <v>2</v>
      </c>
      <c r="DJ270">
        <v>-8.7243899999999999E-2</v>
      </c>
      <c r="DK270">
        <v>2.87276</v>
      </c>
      <c r="DL270">
        <v>20.177399999999999</v>
      </c>
      <c r="DM270">
        <v>5.2507099999999998</v>
      </c>
      <c r="DN270">
        <v>12.033899999999999</v>
      </c>
      <c r="DO270">
        <v>4.9673999999999996</v>
      </c>
      <c r="DP270">
        <v>3.2909999999999999</v>
      </c>
      <c r="DQ270">
        <v>537.29999999999995</v>
      </c>
      <c r="DR270">
        <v>9999</v>
      </c>
      <c r="DS270">
        <v>9999</v>
      </c>
      <c r="DT270">
        <v>9999</v>
      </c>
      <c r="DU270">
        <v>1.8711100000000001</v>
      </c>
      <c r="DV270">
        <v>1.8761000000000001</v>
      </c>
      <c r="DW270">
        <v>1.87635</v>
      </c>
      <c r="DX270">
        <v>1.88279</v>
      </c>
      <c r="DY270">
        <v>1.87561</v>
      </c>
      <c r="DZ270">
        <v>1.87466</v>
      </c>
      <c r="EA270">
        <v>1.8708400000000001</v>
      </c>
      <c r="EB270">
        <v>1.87466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-0.78500000000000003</v>
      </c>
      <c r="EQ270">
        <v>9.8100000000000007E-2</v>
      </c>
      <c r="ER270">
        <v>-0.78479999999996197</v>
      </c>
      <c r="ES270">
        <v>0</v>
      </c>
      <c r="ET270">
        <v>0</v>
      </c>
      <c r="EU270">
        <v>0</v>
      </c>
      <c r="EV270">
        <v>9.8130000000001202E-2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7.4</v>
      </c>
      <c r="FE270">
        <v>7</v>
      </c>
      <c r="FF270">
        <v>1.2439</v>
      </c>
      <c r="FG270">
        <v>2.5976599999999999</v>
      </c>
      <c r="FH270">
        <v>2.19604</v>
      </c>
      <c r="FI270">
        <v>2.66235</v>
      </c>
      <c r="FJ270">
        <v>2.4462899999999999</v>
      </c>
      <c r="FK270">
        <v>2.3278799999999999</v>
      </c>
      <c r="FL270">
        <v>32.8202</v>
      </c>
      <c r="FM270">
        <v>24.14</v>
      </c>
      <c r="FN270">
        <v>19</v>
      </c>
      <c r="FO270">
        <v>865.55100000000004</v>
      </c>
      <c r="FP270">
        <v>568.73599999999999</v>
      </c>
      <c r="FQ270">
        <v>17.555900000000001</v>
      </c>
      <c r="FR270">
        <v>25.843900000000001</v>
      </c>
      <c r="FS270">
        <v>29.999700000000001</v>
      </c>
      <c r="FT270">
        <v>25.8</v>
      </c>
      <c r="FU270">
        <v>25.801300000000001</v>
      </c>
      <c r="FV270">
        <v>24.968800000000002</v>
      </c>
      <c r="FW270">
        <v>26.990100000000002</v>
      </c>
      <c r="FX270">
        <v>1.99038</v>
      </c>
      <c r="FY270">
        <v>17.578099999999999</v>
      </c>
      <c r="FZ270">
        <v>410</v>
      </c>
      <c r="GA270">
        <v>14.034800000000001</v>
      </c>
      <c r="GB270">
        <v>99.833500000000001</v>
      </c>
      <c r="GC270">
        <v>99.722300000000004</v>
      </c>
    </row>
    <row r="271" spans="1:185" x14ac:dyDescent="0.2">
      <c r="A271">
        <v>256</v>
      </c>
      <c r="B271">
        <v>1769199421</v>
      </c>
      <c r="C271">
        <v>4860</v>
      </c>
      <c r="D271" t="s">
        <v>814</v>
      </c>
      <c r="E271" t="s">
        <v>815</v>
      </c>
      <c r="F271">
        <v>15</v>
      </c>
      <c r="G271">
        <v>1769199412.9333301</v>
      </c>
      <c r="H271">
        <f t="shared" si="39"/>
        <v>1.0495683564142209E-3</v>
      </c>
      <c r="I271">
        <v>0</v>
      </c>
      <c r="J271">
        <f t="shared" si="51"/>
        <v>1.993131066892755E-4</v>
      </c>
      <c r="K271">
        <f t="shared" si="40"/>
        <v>7.4271673184272569E-3</v>
      </c>
      <c r="L271">
        <f t="shared" si="41"/>
        <v>69.942994933836076</v>
      </c>
      <c r="M271">
        <f t="shared" si="42"/>
        <v>1.5408216384356412</v>
      </c>
      <c r="N271">
        <f t="shared" si="43"/>
        <v>2.2029677738181088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26281.019317653114</v>
      </c>
      <c r="T271">
        <f t="shared" si="47"/>
        <v>999.99900000000002</v>
      </c>
      <c r="U271">
        <f t="shared" si="48"/>
        <v>842.99929919985811</v>
      </c>
      <c r="V271">
        <f t="shared" si="49"/>
        <v>0.8430001422000003</v>
      </c>
      <c r="W271">
        <f t="shared" si="50"/>
        <v>0.15869997873200006</v>
      </c>
      <c r="X271">
        <v>1</v>
      </c>
      <c r="Y271">
        <v>1769199412.9333301</v>
      </c>
      <c r="Z271">
        <v>409.45080000000002</v>
      </c>
      <c r="AA271">
        <v>409.99726666666697</v>
      </c>
      <c r="AB271">
        <v>15.370753333333299</v>
      </c>
      <c r="AC271">
        <v>14.07896</v>
      </c>
      <c r="AD271">
        <v>410.23566666666699</v>
      </c>
      <c r="AE271">
        <v>15.272640000000001</v>
      </c>
      <c r="AF271">
        <v>800.00080000000003</v>
      </c>
      <c r="AG271">
        <v>100.1794</v>
      </c>
      <c r="AH271">
        <v>6.4329440000000002E-2</v>
      </c>
      <c r="AI271">
        <v>18.983913333333302</v>
      </c>
      <c r="AJ271">
        <v>999.9</v>
      </c>
      <c r="AK271">
        <v>999.9</v>
      </c>
      <c r="AL271">
        <v>0</v>
      </c>
      <c r="AM271">
        <v>0</v>
      </c>
      <c r="AN271">
        <v>5001.7</v>
      </c>
      <c r="AO271">
        <v>0</v>
      </c>
      <c r="AP271">
        <v>1.63733</v>
      </c>
      <c r="AQ271">
        <v>-0.54655553333333295</v>
      </c>
      <c r="AR271">
        <v>415.8426</v>
      </c>
      <c r="AS271">
        <v>415.85213333333297</v>
      </c>
      <c r="AT271">
        <v>1.2917953333333301</v>
      </c>
      <c r="AU271">
        <v>409.99726666666697</v>
      </c>
      <c r="AV271">
        <v>14.07896</v>
      </c>
      <c r="AW271">
        <v>1.5398320000000001</v>
      </c>
      <c r="AX271">
        <v>1.4104206666666701</v>
      </c>
      <c r="AY271">
        <v>13.3695133333333</v>
      </c>
      <c r="AZ271">
        <v>12.030153333333301</v>
      </c>
      <c r="BA271">
        <v>999.99900000000002</v>
      </c>
      <c r="BB271">
        <v>0.90000086666666701</v>
      </c>
      <c r="BC271">
        <v>0</v>
      </c>
      <c r="BD271">
        <v>9.9999326666666694E-2</v>
      </c>
      <c r="BE271">
        <v>0</v>
      </c>
      <c r="BF271">
        <v>25.691126666666701</v>
      </c>
      <c r="BG271">
        <v>16488.7866666667</v>
      </c>
      <c r="BH271">
        <v>1769198984</v>
      </c>
      <c r="BI271" t="s">
        <v>771</v>
      </c>
      <c r="BJ271">
        <v>1769198962</v>
      </c>
      <c r="BK271">
        <v>1769198984</v>
      </c>
      <c r="BL271">
        <v>10</v>
      </c>
      <c r="BM271">
        <v>3.5999999999999997E-2</v>
      </c>
      <c r="BN271">
        <v>-2E-3</v>
      </c>
      <c r="BO271">
        <v>-0.78500000000000003</v>
      </c>
      <c r="BP271">
        <v>9.8000000000000004E-2</v>
      </c>
      <c r="BQ271">
        <v>410</v>
      </c>
      <c r="BR271">
        <v>15</v>
      </c>
      <c r="BS271">
        <v>0.32</v>
      </c>
      <c r="BT271">
        <v>0.05</v>
      </c>
      <c r="BU271">
        <v>-0.54845747619047602</v>
      </c>
      <c r="BV271">
        <v>2.7834857142856901E-2</v>
      </c>
      <c r="BW271">
        <v>1.59713178143077E-2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1.2945252380952399</v>
      </c>
      <c r="CD271">
        <v>-5.3803636363635499E-2</v>
      </c>
      <c r="CE271">
        <v>5.7681858326906798E-3</v>
      </c>
      <c r="CF271">
        <v>1</v>
      </c>
      <c r="CG271">
        <v>2</v>
      </c>
      <c r="CH271">
        <v>2</v>
      </c>
      <c r="CI271" t="s">
        <v>304</v>
      </c>
      <c r="CJ271">
        <v>3.5324900000000001</v>
      </c>
      <c r="CK271">
        <v>2.7019199999999999</v>
      </c>
      <c r="CL271">
        <v>9.78411E-2</v>
      </c>
      <c r="CM271">
        <v>9.6587800000000001E-2</v>
      </c>
      <c r="CN271">
        <v>8.6946300000000004E-2</v>
      </c>
      <c r="CO271">
        <v>8.0651100000000003E-2</v>
      </c>
      <c r="CP271">
        <v>31617</v>
      </c>
      <c r="CQ271">
        <v>27811.1</v>
      </c>
      <c r="CR271">
        <v>32437.7</v>
      </c>
      <c r="CS271">
        <v>30713.200000000001</v>
      </c>
      <c r="CT271">
        <v>40112.9</v>
      </c>
      <c r="CU271">
        <v>39715.599999999999</v>
      </c>
      <c r="CV271">
        <v>47381.3</v>
      </c>
      <c r="CW271">
        <v>46847.9</v>
      </c>
      <c r="CX271">
        <v>2.6178599999999999</v>
      </c>
      <c r="CY271">
        <v>2.1156199999999998</v>
      </c>
      <c r="CZ271">
        <v>0</v>
      </c>
      <c r="DA271">
        <v>0</v>
      </c>
      <c r="DB271">
        <v>999.9</v>
      </c>
      <c r="DC271">
        <v>999.9</v>
      </c>
      <c r="DD271">
        <v>47.375</v>
      </c>
      <c r="DE271">
        <v>28.53</v>
      </c>
      <c r="DF271">
        <v>18.506599999999999</v>
      </c>
      <c r="DG271">
        <v>30.4999</v>
      </c>
      <c r="DH271">
        <v>16.482399999999998</v>
      </c>
      <c r="DI271">
        <v>2</v>
      </c>
      <c r="DJ271">
        <v>-8.7390200000000001E-2</v>
      </c>
      <c r="DK271">
        <v>2.8032300000000001</v>
      </c>
      <c r="DL271">
        <v>20.178799999999999</v>
      </c>
      <c r="DM271">
        <v>5.2511900000000002</v>
      </c>
      <c r="DN271">
        <v>12.033899999999999</v>
      </c>
      <c r="DO271">
        <v>4.9673999999999996</v>
      </c>
      <c r="DP271">
        <v>3.2909999999999999</v>
      </c>
      <c r="DQ271">
        <v>537.4</v>
      </c>
      <c r="DR271">
        <v>9999</v>
      </c>
      <c r="DS271">
        <v>9999</v>
      </c>
      <c r="DT271">
        <v>9999</v>
      </c>
      <c r="DU271">
        <v>1.8711199999999999</v>
      </c>
      <c r="DV271">
        <v>1.8761099999999999</v>
      </c>
      <c r="DW271">
        <v>1.87635</v>
      </c>
      <c r="DX271">
        <v>1.8828400000000001</v>
      </c>
      <c r="DY271">
        <v>1.87561</v>
      </c>
      <c r="DZ271">
        <v>1.87466</v>
      </c>
      <c r="EA271">
        <v>1.87086</v>
      </c>
      <c r="EB271">
        <v>1.8746799999999999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-0.78500000000000003</v>
      </c>
      <c r="EQ271">
        <v>9.8100000000000007E-2</v>
      </c>
      <c r="ER271">
        <v>-0.78479999999996197</v>
      </c>
      <c r="ES271">
        <v>0</v>
      </c>
      <c r="ET271">
        <v>0</v>
      </c>
      <c r="EU271">
        <v>0</v>
      </c>
      <c r="EV271">
        <v>9.8130000000001202E-2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7.7</v>
      </c>
      <c r="FE271">
        <v>7.3</v>
      </c>
      <c r="FF271">
        <v>1.2439</v>
      </c>
      <c r="FG271">
        <v>2.5976599999999999</v>
      </c>
      <c r="FH271">
        <v>2.19604</v>
      </c>
      <c r="FI271">
        <v>2.66235</v>
      </c>
      <c r="FJ271">
        <v>2.4462899999999999</v>
      </c>
      <c r="FK271">
        <v>2.2912599999999999</v>
      </c>
      <c r="FL271">
        <v>32.8202</v>
      </c>
      <c r="FM271">
        <v>24.14</v>
      </c>
      <c r="FN271">
        <v>19</v>
      </c>
      <c r="FO271">
        <v>865.57399999999996</v>
      </c>
      <c r="FP271">
        <v>568.62699999999995</v>
      </c>
      <c r="FQ271">
        <v>17.6007</v>
      </c>
      <c r="FR271">
        <v>25.8491</v>
      </c>
      <c r="FS271">
        <v>30.0002</v>
      </c>
      <c r="FT271">
        <v>25.806000000000001</v>
      </c>
      <c r="FU271">
        <v>25.8065</v>
      </c>
      <c r="FV271">
        <v>24.9695</v>
      </c>
      <c r="FW271">
        <v>26.990100000000002</v>
      </c>
      <c r="FX271">
        <v>1.99038</v>
      </c>
      <c r="FY271">
        <v>17.6098</v>
      </c>
      <c r="FZ271">
        <v>410</v>
      </c>
      <c r="GA271">
        <v>14.040100000000001</v>
      </c>
      <c r="GB271">
        <v>99.831699999999998</v>
      </c>
      <c r="GC271">
        <v>99.721400000000003</v>
      </c>
    </row>
    <row r="272" spans="1:185" x14ac:dyDescent="0.2">
      <c r="A272">
        <v>257</v>
      </c>
      <c r="B272">
        <v>1769199436</v>
      </c>
      <c r="C272">
        <v>4875</v>
      </c>
      <c r="D272" t="s">
        <v>816</v>
      </c>
      <c r="E272" t="s">
        <v>817</v>
      </c>
      <c r="F272">
        <v>15</v>
      </c>
      <c r="G272">
        <v>1769199427.9333301</v>
      </c>
      <c r="H272">
        <f t="shared" ref="H272:H291" si="52">AF272*Q272*(AB272-AC272)/(1000*X272*(1000-Q272*AB272))</f>
        <v>1.0445283121931913E-3</v>
      </c>
      <c r="I272">
        <v>0</v>
      </c>
      <c r="J272">
        <f t="shared" si="51"/>
        <v>4.0092366307817209E-4</v>
      </c>
      <c r="K272">
        <f t="shared" ref="K272:K291" si="53">AF272*Q272*(AA272-Z272*(1000-Q272*AC272)/(1000-Q272*AB272))/(1000*X272)</f>
        <v>1.4939946384161016E-2</v>
      </c>
      <c r="L272">
        <f t="shared" ref="L272:L291" si="54">(M272/N272*100)</f>
        <v>69.941786823198825</v>
      </c>
      <c r="M272">
        <f t="shared" ref="M272:M291" si="55">AB272*(AG272+AH272)/1000</f>
        <v>1.5400367913157875</v>
      </c>
      <c r="N272">
        <f t="shared" ref="N272:N291" si="56">0.61365*EXP(17.502*AI272/(240.97+AI272))</f>
        <v>2.2018836825097758</v>
      </c>
      <c r="O272">
        <v>0</v>
      </c>
      <c r="P272">
        <v>0</v>
      </c>
      <c r="Q272">
        <f t="shared" ref="Q272:Q291" si="57">IF(O272*$H$13&gt;=S272,1,(S272/(S272-O272*$H$13)))</f>
        <v>1</v>
      </c>
      <c r="R272">
        <f t="shared" ref="R272:R291" si="58">(Q272-1)*100</f>
        <v>0</v>
      </c>
      <c r="S272">
        <f t="shared" ref="S272:S291" si="59">MAX(0,($B$13+$C$13*AN272)/(1+$D$13*AN272)*AG272/(AI272+273)*$E$13)</f>
        <v>26254.812396725432</v>
      </c>
      <c r="T272">
        <f t="shared" ref="T272:T291" si="60">$B$11*AO272+$C$11*AP272+$D$11*BA272</f>
        <v>999.99966666666705</v>
      </c>
      <c r="U272">
        <f t="shared" ref="U272:U291" si="61">T272*V272</f>
        <v>842.99975319998885</v>
      </c>
      <c r="V272">
        <f t="shared" ref="V272:V291" si="62">($B$11*$D$9+$C$11*$D$9+$D$11*(BB272*$E$9+BC272*$F$9+BD272*$G$9+BE272*$H$9))/($B$11+$C$11+$D$11)</f>
        <v>0.84300003419999991</v>
      </c>
      <c r="W272">
        <f t="shared" ref="W272:W291" si="63">($B$11*$L$9+$C$11*$L$9+$D$11*(BB272*$M$9+BC272*$N$9+BD272*$O$9+BE272*$P$9))/($B$11+$C$11+$D$11)</f>
        <v>0.15869996857200003</v>
      </c>
      <c r="X272">
        <v>1</v>
      </c>
      <c r="Y272">
        <v>1769199427.9333301</v>
      </c>
      <c r="Z272">
        <v>409.44446666666698</v>
      </c>
      <c r="AA272">
        <v>409.99773333333297</v>
      </c>
      <c r="AB272">
        <v>15.3627133333333</v>
      </c>
      <c r="AC272">
        <v>14.077120000000001</v>
      </c>
      <c r="AD272">
        <v>410.22893333333298</v>
      </c>
      <c r="AE272">
        <v>15.264573333333299</v>
      </c>
      <c r="AF272">
        <v>800.00533333333306</v>
      </c>
      <c r="AG272">
        <v>100.181</v>
      </c>
      <c r="AH272">
        <v>6.4103706666666704E-2</v>
      </c>
      <c r="AI272">
        <v>18.976026666666701</v>
      </c>
      <c r="AJ272">
        <v>999.9</v>
      </c>
      <c r="AK272">
        <v>999.9</v>
      </c>
      <c r="AL272">
        <v>0</v>
      </c>
      <c r="AM272">
        <v>0</v>
      </c>
      <c r="AN272">
        <v>4997.2</v>
      </c>
      <c r="AO272">
        <v>0</v>
      </c>
      <c r="AP272">
        <v>1.63733</v>
      </c>
      <c r="AQ272">
        <v>-0.553491133333333</v>
      </c>
      <c r="AR272">
        <v>415.83260000000001</v>
      </c>
      <c r="AS272">
        <v>415.85193333333302</v>
      </c>
      <c r="AT272">
        <v>1.2855799999999999</v>
      </c>
      <c r="AU272">
        <v>409.99773333333297</v>
      </c>
      <c r="AV272">
        <v>14.077120000000001</v>
      </c>
      <c r="AW272">
        <v>1.5390520000000001</v>
      </c>
      <c r="AX272">
        <v>1.4102600000000001</v>
      </c>
      <c r="AY272">
        <v>13.3617333333333</v>
      </c>
      <c r="AZ272">
        <v>12.0284266666667</v>
      </c>
      <c r="BA272">
        <v>999.99966666666705</v>
      </c>
      <c r="BB272">
        <v>0.90000060000000004</v>
      </c>
      <c r="BC272">
        <v>0</v>
      </c>
      <c r="BD272">
        <v>9.9999459999999998E-2</v>
      </c>
      <c r="BE272">
        <v>0</v>
      </c>
      <c r="BF272">
        <v>25.666699999999999</v>
      </c>
      <c r="BG272">
        <v>16488.7866666667</v>
      </c>
      <c r="BH272">
        <v>1769198984</v>
      </c>
      <c r="BI272" t="s">
        <v>771</v>
      </c>
      <c r="BJ272">
        <v>1769198962</v>
      </c>
      <c r="BK272">
        <v>1769198984</v>
      </c>
      <c r="BL272">
        <v>10</v>
      </c>
      <c r="BM272">
        <v>3.5999999999999997E-2</v>
      </c>
      <c r="BN272">
        <v>-2E-3</v>
      </c>
      <c r="BO272">
        <v>-0.78500000000000003</v>
      </c>
      <c r="BP272">
        <v>9.8000000000000004E-2</v>
      </c>
      <c r="BQ272">
        <v>410</v>
      </c>
      <c r="BR272">
        <v>15</v>
      </c>
      <c r="BS272">
        <v>0.32</v>
      </c>
      <c r="BT272">
        <v>0.05</v>
      </c>
      <c r="BU272">
        <v>-0.55116114999999999</v>
      </c>
      <c r="BV272">
        <v>-3.0124285714285999E-2</v>
      </c>
      <c r="BW272">
        <v>1.0987055462110901E-2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1.286357</v>
      </c>
      <c r="CD272">
        <v>-1.9560000000000102E-2</v>
      </c>
      <c r="CE272">
        <v>2.4819570906846802E-3</v>
      </c>
      <c r="CF272">
        <v>1</v>
      </c>
      <c r="CG272">
        <v>2</v>
      </c>
      <c r="CH272">
        <v>2</v>
      </c>
      <c r="CI272" t="s">
        <v>304</v>
      </c>
      <c r="CJ272">
        <v>3.5325500000000001</v>
      </c>
      <c r="CK272">
        <v>2.70207</v>
      </c>
      <c r="CL272">
        <v>9.7840399999999994E-2</v>
      </c>
      <c r="CM272">
        <v>9.6589599999999998E-2</v>
      </c>
      <c r="CN272">
        <v>8.6951299999999995E-2</v>
      </c>
      <c r="CO272">
        <v>8.0648899999999996E-2</v>
      </c>
      <c r="CP272">
        <v>31616.9</v>
      </c>
      <c r="CQ272">
        <v>27811</v>
      </c>
      <c r="CR272">
        <v>32437.7</v>
      </c>
      <c r="CS272">
        <v>30713.1</v>
      </c>
      <c r="CT272">
        <v>40113</v>
      </c>
      <c r="CU272">
        <v>39715.699999999997</v>
      </c>
      <c r="CV272">
        <v>47381.7</v>
      </c>
      <c r="CW272">
        <v>46847.9</v>
      </c>
      <c r="CX272">
        <v>2.6180599999999998</v>
      </c>
      <c r="CY272">
        <v>2.1154199999999999</v>
      </c>
      <c r="CZ272">
        <v>0</v>
      </c>
      <c r="DA272">
        <v>0</v>
      </c>
      <c r="DB272">
        <v>999.9</v>
      </c>
      <c r="DC272">
        <v>999.9</v>
      </c>
      <c r="DD272">
        <v>47.375</v>
      </c>
      <c r="DE272">
        <v>28.53</v>
      </c>
      <c r="DF272">
        <v>18.508299999999998</v>
      </c>
      <c r="DG272">
        <v>30.529900000000001</v>
      </c>
      <c r="DH272">
        <v>16.426300000000001</v>
      </c>
      <c r="DI272">
        <v>2</v>
      </c>
      <c r="DJ272">
        <v>-8.7085399999999993E-2</v>
      </c>
      <c r="DK272">
        <v>2.7276500000000001</v>
      </c>
      <c r="DL272">
        <v>20.180099999999999</v>
      </c>
      <c r="DM272">
        <v>5.2509499999999996</v>
      </c>
      <c r="DN272">
        <v>12.033899999999999</v>
      </c>
      <c r="DO272">
        <v>4.96732</v>
      </c>
      <c r="DP272">
        <v>3.2909999999999999</v>
      </c>
      <c r="DQ272">
        <v>537.4</v>
      </c>
      <c r="DR272">
        <v>9999</v>
      </c>
      <c r="DS272">
        <v>9999</v>
      </c>
      <c r="DT272">
        <v>9999</v>
      </c>
      <c r="DU272">
        <v>1.8711800000000001</v>
      </c>
      <c r="DV272">
        <v>1.87619</v>
      </c>
      <c r="DW272">
        <v>1.8763700000000001</v>
      </c>
      <c r="DX272">
        <v>1.88287</v>
      </c>
      <c r="DY272">
        <v>1.87565</v>
      </c>
      <c r="DZ272">
        <v>1.87469</v>
      </c>
      <c r="EA272">
        <v>1.8708800000000001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-0.78500000000000003</v>
      </c>
      <c r="EQ272">
        <v>9.8100000000000007E-2</v>
      </c>
      <c r="ER272">
        <v>-0.78479999999996197</v>
      </c>
      <c r="ES272">
        <v>0</v>
      </c>
      <c r="ET272">
        <v>0</v>
      </c>
      <c r="EU272">
        <v>0</v>
      </c>
      <c r="EV272">
        <v>9.8130000000001202E-2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7.9</v>
      </c>
      <c r="FE272">
        <v>7.5</v>
      </c>
      <c r="FF272">
        <v>1.2439</v>
      </c>
      <c r="FG272">
        <v>2.6000999999999999</v>
      </c>
      <c r="FH272">
        <v>2.19604</v>
      </c>
      <c r="FI272">
        <v>2.66235</v>
      </c>
      <c r="FJ272">
        <v>2.4462899999999999</v>
      </c>
      <c r="FK272">
        <v>2.32056</v>
      </c>
      <c r="FL272">
        <v>32.8202</v>
      </c>
      <c r="FM272">
        <v>24.1313</v>
      </c>
      <c r="FN272">
        <v>19</v>
      </c>
      <c r="FO272">
        <v>865.83699999999999</v>
      </c>
      <c r="FP272">
        <v>568.52700000000004</v>
      </c>
      <c r="FQ272">
        <v>17.646000000000001</v>
      </c>
      <c r="FR272">
        <v>25.853899999999999</v>
      </c>
      <c r="FS272">
        <v>30</v>
      </c>
      <c r="FT272">
        <v>25.8108</v>
      </c>
      <c r="FU272">
        <v>25.811299999999999</v>
      </c>
      <c r="FV272">
        <v>24.968900000000001</v>
      </c>
      <c r="FW272">
        <v>26.990100000000002</v>
      </c>
      <c r="FX272">
        <v>1.61711</v>
      </c>
      <c r="FY272">
        <v>17.6585</v>
      </c>
      <c r="FZ272">
        <v>410</v>
      </c>
      <c r="GA272">
        <v>14.040100000000001</v>
      </c>
      <c r="GB272">
        <v>99.832099999999997</v>
      </c>
      <c r="GC272">
        <v>99.721299999999999</v>
      </c>
    </row>
    <row r="273" spans="1:185" x14ac:dyDescent="0.2">
      <c r="A273">
        <v>258</v>
      </c>
      <c r="B273">
        <v>1769199451</v>
      </c>
      <c r="C273">
        <v>4890</v>
      </c>
      <c r="D273" t="s">
        <v>818</v>
      </c>
      <c r="E273" t="s">
        <v>819</v>
      </c>
      <c r="F273">
        <v>15</v>
      </c>
      <c r="G273">
        <v>1769199442.9333301</v>
      </c>
      <c r="H273">
        <f t="shared" si="52"/>
        <v>1.0453873845677791E-3</v>
      </c>
      <c r="I273">
        <v>0</v>
      </c>
      <c r="J273">
        <f t="shared" ref="J273:J291" si="64">K273*(0.0002153/0.0080229)</f>
        <v>2.122782163178865E-4</v>
      </c>
      <c r="K273">
        <f t="shared" si="53"/>
        <v>7.9102968030504948E-3</v>
      </c>
      <c r="L273">
        <f t="shared" si="54"/>
        <v>69.945618013517603</v>
      </c>
      <c r="M273">
        <f t="shared" si="55"/>
        <v>1.5401410157450128</v>
      </c>
      <c r="N273">
        <f t="shared" si="56"/>
        <v>2.2019120846817981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26277.878258489927</v>
      </c>
      <c r="T273">
        <f t="shared" si="60"/>
        <v>999.999866666667</v>
      </c>
      <c r="U273">
        <f t="shared" si="61"/>
        <v>842.99999999998533</v>
      </c>
      <c r="V273">
        <f t="shared" si="62"/>
        <v>0.84300011240000006</v>
      </c>
      <c r="W273">
        <f t="shared" si="63"/>
        <v>0.15870004714400002</v>
      </c>
      <c r="X273">
        <v>1</v>
      </c>
      <c r="Y273">
        <v>1769199442.9333301</v>
      </c>
      <c r="Z273">
        <v>409.45819999999998</v>
      </c>
      <c r="AA273">
        <v>410.00313333333298</v>
      </c>
      <c r="AB273">
        <v>15.36374</v>
      </c>
      <c r="AC273">
        <v>14.0771</v>
      </c>
      <c r="AD273">
        <v>410.243066666667</v>
      </c>
      <c r="AE273">
        <v>15.265599999999999</v>
      </c>
      <c r="AF273">
        <v>800.01113333333296</v>
      </c>
      <c r="AG273">
        <v>100.181</v>
      </c>
      <c r="AH273">
        <v>6.4188720000000005E-2</v>
      </c>
      <c r="AI273">
        <v>18.976233333333301</v>
      </c>
      <c r="AJ273">
        <v>999.9</v>
      </c>
      <c r="AK273">
        <v>999.9</v>
      </c>
      <c r="AL273">
        <v>0</v>
      </c>
      <c r="AM273">
        <v>0</v>
      </c>
      <c r="AN273">
        <v>5001</v>
      </c>
      <c r="AO273">
        <v>0</v>
      </c>
      <c r="AP273">
        <v>1.63733</v>
      </c>
      <c r="AQ273">
        <v>-0.54499299999999995</v>
      </c>
      <c r="AR273">
        <v>415.84719999999999</v>
      </c>
      <c r="AS273">
        <v>415.85726666666699</v>
      </c>
      <c r="AT273">
        <v>1.2866359999999999</v>
      </c>
      <c r="AU273">
        <v>410.00313333333298</v>
      </c>
      <c r="AV273">
        <v>14.0771</v>
      </c>
      <c r="AW273">
        <v>1.53915466666667</v>
      </c>
      <c r="AX273">
        <v>1.410258</v>
      </c>
      <c r="AY273">
        <v>13.362766666666699</v>
      </c>
      <c r="AZ273">
        <v>12.028373333333301</v>
      </c>
      <c r="BA273">
        <v>999.999866666667</v>
      </c>
      <c r="BB273">
        <v>0.89999973333333305</v>
      </c>
      <c r="BC273">
        <v>0</v>
      </c>
      <c r="BD273">
        <v>0.100000386666667</v>
      </c>
      <c r="BE273">
        <v>0</v>
      </c>
      <c r="BF273">
        <v>25.31334</v>
      </c>
      <c r="BG273">
        <v>16488.78</v>
      </c>
      <c r="BH273">
        <v>1769198984</v>
      </c>
      <c r="BI273" t="s">
        <v>771</v>
      </c>
      <c r="BJ273">
        <v>1769198962</v>
      </c>
      <c r="BK273">
        <v>1769198984</v>
      </c>
      <c r="BL273">
        <v>10</v>
      </c>
      <c r="BM273">
        <v>3.5999999999999997E-2</v>
      </c>
      <c r="BN273">
        <v>-2E-3</v>
      </c>
      <c r="BO273">
        <v>-0.78500000000000003</v>
      </c>
      <c r="BP273">
        <v>9.8000000000000004E-2</v>
      </c>
      <c r="BQ273">
        <v>410</v>
      </c>
      <c r="BR273">
        <v>15</v>
      </c>
      <c r="BS273">
        <v>0.32</v>
      </c>
      <c r="BT273">
        <v>0.05</v>
      </c>
      <c r="BU273">
        <v>-0.54753471428571399</v>
      </c>
      <c r="BV273">
        <v>0.11677877922077901</v>
      </c>
      <c r="BW273">
        <v>1.9665426616618499E-2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1.28588095238095</v>
      </c>
      <c r="CD273">
        <v>6.8197402597410701E-3</v>
      </c>
      <c r="CE273">
        <v>2.1485053603486001E-3</v>
      </c>
      <c r="CF273">
        <v>1</v>
      </c>
      <c r="CG273">
        <v>2</v>
      </c>
      <c r="CH273">
        <v>2</v>
      </c>
      <c r="CI273" t="s">
        <v>304</v>
      </c>
      <c r="CJ273">
        <v>3.5325600000000001</v>
      </c>
      <c r="CK273">
        <v>2.7021999999999999</v>
      </c>
      <c r="CL273">
        <v>9.7841600000000001E-2</v>
      </c>
      <c r="CM273">
        <v>9.6585500000000005E-2</v>
      </c>
      <c r="CN273">
        <v>8.6927299999999999E-2</v>
      </c>
      <c r="CO273">
        <v>8.0646499999999996E-2</v>
      </c>
      <c r="CP273">
        <v>31616.400000000001</v>
      </c>
      <c r="CQ273">
        <v>27810.799999999999</v>
      </c>
      <c r="CR273">
        <v>32437.200000000001</v>
      </c>
      <c r="CS273">
        <v>30712.799999999999</v>
      </c>
      <c r="CT273">
        <v>40113.5</v>
      </c>
      <c r="CU273">
        <v>39715.300000000003</v>
      </c>
      <c r="CV273">
        <v>47381</v>
      </c>
      <c r="CW273">
        <v>46847.4</v>
      </c>
      <c r="CX273">
        <v>2.61774</v>
      </c>
      <c r="CY273">
        <v>2.11544</v>
      </c>
      <c r="CZ273">
        <v>0</v>
      </c>
      <c r="DA273">
        <v>0</v>
      </c>
      <c r="DB273">
        <v>999.9</v>
      </c>
      <c r="DC273">
        <v>999.9</v>
      </c>
      <c r="DD273">
        <v>47.350999999999999</v>
      </c>
      <c r="DE273">
        <v>28.53</v>
      </c>
      <c r="DF273">
        <v>18.497800000000002</v>
      </c>
      <c r="DG273">
        <v>30.529900000000001</v>
      </c>
      <c r="DH273">
        <v>16.4343</v>
      </c>
      <c r="DI273">
        <v>2</v>
      </c>
      <c r="DJ273">
        <v>-8.7026400000000004E-2</v>
      </c>
      <c r="DK273">
        <v>2.6629299999999998</v>
      </c>
      <c r="DL273">
        <v>20.1813</v>
      </c>
      <c r="DM273">
        <v>5.2510700000000003</v>
      </c>
      <c r="DN273">
        <v>12.033899999999999</v>
      </c>
      <c r="DO273">
        <v>4.9675200000000004</v>
      </c>
      <c r="DP273">
        <v>3.2909999999999999</v>
      </c>
      <c r="DQ273">
        <v>537.4</v>
      </c>
      <c r="DR273">
        <v>9999</v>
      </c>
      <c r="DS273">
        <v>9999</v>
      </c>
      <c r="DT273">
        <v>9999</v>
      </c>
      <c r="DU273">
        <v>1.87114</v>
      </c>
      <c r="DV273">
        <v>1.8761300000000001</v>
      </c>
      <c r="DW273">
        <v>1.8763700000000001</v>
      </c>
      <c r="DX273">
        <v>1.8828</v>
      </c>
      <c r="DY273">
        <v>1.87561</v>
      </c>
      <c r="DZ273">
        <v>1.87469</v>
      </c>
      <c r="EA273">
        <v>1.8708800000000001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-0.78400000000000003</v>
      </c>
      <c r="EQ273">
        <v>9.8100000000000007E-2</v>
      </c>
      <c r="ER273">
        <v>-0.78479999999996197</v>
      </c>
      <c r="ES273">
        <v>0</v>
      </c>
      <c r="ET273">
        <v>0</v>
      </c>
      <c r="EU273">
        <v>0</v>
      </c>
      <c r="EV273">
        <v>9.8130000000001202E-2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8.1999999999999993</v>
      </c>
      <c r="FE273">
        <v>7.8</v>
      </c>
      <c r="FF273">
        <v>1.2439</v>
      </c>
      <c r="FG273">
        <v>2.6074199999999998</v>
      </c>
      <c r="FH273">
        <v>2.19604</v>
      </c>
      <c r="FI273">
        <v>2.66235</v>
      </c>
      <c r="FJ273">
        <v>2.4462899999999999</v>
      </c>
      <c r="FK273">
        <v>2.2631800000000002</v>
      </c>
      <c r="FL273">
        <v>32.8202</v>
      </c>
      <c r="FM273">
        <v>24.122499999999999</v>
      </c>
      <c r="FN273">
        <v>19</v>
      </c>
      <c r="FO273">
        <v>865.61500000000001</v>
      </c>
      <c r="FP273">
        <v>568.58900000000006</v>
      </c>
      <c r="FQ273">
        <v>17.698</v>
      </c>
      <c r="FR273">
        <v>25.857800000000001</v>
      </c>
      <c r="FS273">
        <v>30.0001</v>
      </c>
      <c r="FT273">
        <v>25.8156</v>
      </c>
      <c r="FU273">
        <v>25.8156</v>
      </c>
      <c r="FV273">
        <v>24.970099999999999</v>
      </c>
      <c r="FW273">
        <v>26.990100000000002</v>
      </c>
      <c r="FX273">
        <v>1.61711</v>
      </c>
      <c r="FY273">
        <v>17.709199999999999</v>
      </c>
      <c r="FZ273">
        <v>410</v>
      </c>
      <c r="GA273">
        <v>14.040100000000001</v>
      </c>
      <c r="GB273">
        <v>99.830699999999993</v>
      </c>
      <c r="GC273">
        <v>99.720100000000002</v>
      </c>
    </row>
    <row r="274" spans="1:185" x14ac:dyDescent="0.2">
      <c r="A274">
        <v>259</v>
      </c>
      <c r="B274">
        <v>1769199466</v>
      </c>
      <c r="C274">
        <v>4905</v>
      </c>
      <c r="D274" t="s">
        <v>820</v>
      </c>
      <c r="E274" t="s">
        <v>821</v>
      </c>
      <c r="F274">
        <v>15</v>
      </c>
      <c r="G274">
        <v>1769199457.9333301</v>
      </c>
      <c r="H274">
        <f t="shared" si="52"/>
        <v>1.041832183156306E-3</v>
      </c>
      <c r="I274">
        <v>0</v>
      </c>
      <c r="J274">
        <f t="shared" si="64"/>
        <v>4.6457818224761706E-4</v>
      </c>
      <c r="K274">
        <f t="shared" si="53"/>
        <v>1.7311956796815638E-2</v>
      </c>
      <c r="L274">
        <f t="shared" si="54"/>
        <v>69.90030218378574</v>
      </c>
      <c r="M274">
        <f t="shared" si="55"/>
        <v>1.5395486397344305</v>
      </c>
      <c r="N274">
        <f t="shared" si="56"/>
        <v>2.2024921089562159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26266.501571262583</v>
      </c>
      <c r="T274">
        <f t="shared" si="60"/>
        <v>999.99993333333305</v>
      </c>
      <c r="U274">
        <f t="shared" si="61"/>
        <v>842.9998926000037</v>
      </c>
      <c r="V274">
        <f t="shared" si="62"/>
        <v>0.84299994880000051</v>
      </c>
      <c r="W274">
        <f t="shared" si="63"/>
        <v>0.15869992396800012</v>
      </c>
      <c r="X274">
        <v>1</v>
      </c>
      <c r="Y274">
        <v>1769199457.9333301</v>
      </c>
      <c r="Z274">
        <v>409.45859999999999</v>
      </c>
      <c r="AA274">
        <v>410.013466666667</v>
      </c>
      <c r="AB274">
        <v>15.3577333333333</v>
      </c>
      <c r="AC274">
        <v>14.07546</v>
      </c>
      <c r="AD274">
        <v>410.24340000000001</v>
      </c>
      <c r="AE274">
        <v>15.2596133333333</v>
      </c>
      <c r="AF274">
        <v>800.0104</v>
      </c>
      <c r="AG274">
        <v>100.18153333333299</v>
      </c>
      <c r="AH274">
        <v>6.4291119999999993E-2</v>
      </c>
      <c r="AI274">
        <v>18.980453333333301</v>
      </c>
      <c r="AJ274">
        <v>999.9</v>
      </c>
      <c r="AK274">
        <v>999.9</v>
      </c>
      <c r="AL274">
        <v>0</v>
      </c>
      <c r="AM274">
        <v>0</v>
      </c>
      <c r="AN274">
        <v>4999.1666666666697</v>
      </c>
      <c r="AO274">
        <v>0</v>
      </c>
      <c r="AP274">
        <v>1.63733</v>
      </c>
      <c r="AQ274">
        <v>-0.55474239999999997</v>
      </c>
      <c r="AR274">
        <v>415.84526666666699</v>
      </c>
      <c r="AS274">
        <v>415.86700000000002</v>
      </c>
      <c r="AT274">
        <v>1.2822720000000001</v>
      </c>
      <c r="AU274">
        <v>410.013466666667</v>
      </c>
      <c r="AV274">
        <v>14.07546</v>
      </c>
      <c r="AW274">
        <v>1.538562</v>
      </c>
      <c r="AX274">
        <v>1.410102</v>
      </c>
      <c r="AY274">
        <v>13.356873333333301</v>
      </c>
      <c r="AZ274">
        <v>12.0267</v>
      </c>
      <c r="BA274">
        <v>999.99993333333305</v>
      </c>
      <c r="BB274">
        <v>0.90000093333333397</v>
      </c>
      <c r="BC274">
        <v>0</v>
      </c>
      <c r="BD274">
        <v>9.9999039999999997E-2</v>
      </c>
      <c r="BE274">
        <v>0</v>
      </c>
      <c r="BF274">
        <v>25</v>
      </c>
      <c r="BG274">
        <v>16488.793333333299</v>
      </c>
      <c r="BH274">
        <v>1769198984</v>
      </c>
      <c r="BI274" t="s">
        <v>771</v>
      </c>
      <c r="BJ274">
        <v>1769198962</v>
      </c>
      <c r="BK274">
        <v>1769198984</v>
      </c>
      <c r="BL274">
        <v>10</v>
      </c>
      <c r="BM274">
        <v>3.5999999999999997E-2</v>
      </c>
      <c r="BN274">
        <v>-2E-3</v>
      </c>
      <c r="BO274">
        <v>-0.78500000000000003</v>
      </c>
      <c r="BP274">
        <v>9.8000000000000004E-2</v>
      </c>
      <c r="BQ274">
        <v>410</v>
      </c>
      <c r="BR274">
        <v>15</v>
      </c>
      <c r="BS274">
        <v>0.32</v>
      </c>
      <c r="BT274">
        <v>0.05</v>
      </c>
      <c r="BU274">
        <v>-0.54694209999999999</v>
      </c>
      <c r="BV274">
        <v>-7.9104451127819497E-2</v>
      </c>
      <c r="BW274">
        <v>1.7731126983077002E-2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1.2831809999999999</v>
      </c>
      <c r="CD274">
        <v>-1.84204511278214E-2</v>
      </c>
      <c r="CE274">
        <v>2.2977922012227198E-3</v>
      </c>
      <c r="CF274">
        <v>1</v>
      </c>
      <c r="CG274">
        <v>2</v>
      </c>
      <c r="CH274">
        <v>2</v>
      </c>
      <c r="CI274" t="s">
        <v>304</v>
      </c>
      <c r="CJ274">
        <v>3.5325299999999999</v>
      </c>
      <c r="CK274">
        <v>2.7020599999999999</v>
      </c>
      <c r="CL274">
        <v>9.7837999999999994E-2</v>
      </c>
      <c r="CM274">
        <v>9.65834E-2</v>
      </c>
      <c r="CN274">
        <v>8.6914699999999998E-2</v>
      </c>
      <c r="CO274">
        <v>8.0636299999999994E-2</v>
      </c>
      <c r="CP274">
        <v>31616</v>
      </c>
      <c r="CQ274">
        <v>27810.5</v>
      </c>
      <c r="CR274">
        <v>32436.6</v>
      </c>
      <c r="CS274">
        <v>30712.3</v>
      </c>
      <c r="CT274">
        <v>40113.4</v>
      </c>
      <c r="CU274">
        <v>39715</v>
      </c>
      <c r="CV274">
        <v>47380.2</v>
      </c>
      <c r="CW274">
        <v>46846.5</v>
      </c>
      <c r="CX274">
        <v>2.6177199999999998</v>
      </c>
      <c r="CY274">
        <v>2.1153200000000001</v>
      </c>
      <c r="CZ274">
        <v>0</v>
      </c>
      <c r="DA274">
        <v>0</v>
      </c>
      <c r="DB274">
        <v>999.9</v>
      </c>
      <c r="DC274">
        <v>999.9</v>
      </c>
      <c r="DD274">
        <v>47.350999999999999</v>
      </c>
      <c r="DE274">
        <v>28.53</v>
      </c>
      <c r="DF274">
        <v>18.496700000000001</v>
      </c>
      <c r="DG274">
        <v>30.559899999999999</v>
      </c>
      <c r="DH274">
        <v>16.414300000000001</v>
      </c>
      <c r="DI274">
        <v>2</v>
      </c>
      <c r="DJ274">
        <v>-8.6829299999999998E-2</v>
      </c>
      <c r="DK274">
        <v>2.6263899999999998</v>
      </c>
      <c r="DL274">
        <v>20.182300000000001</v>
      </c>
      <c r="DM274">
        <v>5.2508299999999997</v>
      </c>
      <c r="DN274">
        <v>12.033899999999999</v>
      </c>
      <c r="DO274">
        <v>4.9673600000000002</v>
      </c>
      <c r="DP274">
        <v>3.2909999999999999</v>
      </c>
      <c r="DQ274">
        <v>537.4</v>
      </c>
      <c r="DR274">
        <v>9999</v>
      </c>
      <c r="DS274">
        <v>9999</v>
      </c>
      <c r="DT274">
        <v>9999</v>
      </c>
      <c r="DU274">
        <v>1.8711199999999999</v>
      </c>
      <c r="DV274">
        <v>1.8761099999999999</v>
      </c>
      <c r="DW274">
        <v>1.87635</v>
      </c>
      <c r="DX274">
        <v>1.8828</v>
      </c>
      <c r="DY274">
        <v>1.87561</v>
      </c>
      <c r="DZ274">
        <v>1.8746799999999999</v>
      </c>
      <c r="EA274">
        <v>1.87087</v>
      </c>
      <c r="EB274">
        <v>1.8746799999999999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-0.78500000000000003</v>
      </c>
      <c r="EQ274">
        <v>9.8100000000000007E-2</v>
      </c>
      <c r="ER274">
        <v>-0.78479999999996197</v>
      </c>
      <c r="ES274">
        <v>0</v>
      </c>
      <c r="ET274">
        <v>0</v>
      </c>
      <c r="EU274">
        <v>0</v>
      </c>
      <c r="EV274">
        <v>9.8130000000001202E-2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8.4</v>
      </c>
      <c r="FE274">
        <v>8</v>
      </c>
      <c r="FF274">
        <v>1.2439</v>
      </c>
      <c r="FG274">
        <v>2.6037599999999999</v>
      </c>
      <c r="FH274">
        <v>2.19604</v>
      </c>
      <c r="FI274">
        <v>2.66235</v>
      </c>
      <c r="FJ274">
        <v>2.4462899999999999</v>
      </c>
      <c r="FK274">
        <v>2.2949199999999998</v>
      </c>
      <c r="FL274">
        <v>32.842399999999998</v>
      </c>
      <c r="FM274">
        <v>24.1313</v>
      </c>
      <c r="FN274">
        <v>19</v>
      </c>
      <c r="FO274">
        <v>865.65899999999999</v>
      </c>
      <c r="FP274">
        <v>568.54100000000005</v>
      </c>
      <c r="FQ274">
        <v>17.743500000000001</v>
      </c>
      <c r="FR274">
        <v>25.861699999999999</v>
      </c>
      <c r="FS274">
        <v>30.000299999999999</v>
      </c>
      <c r="FT274">
        <v>25.819500000000001</v>
      </c>
      <c r="FU274">
        <v>25.819500000000001</v>
      </c>
      <c r="FV274">
        <v>24.969000000000001</v>
      </c>
      <c r="FW274">
        <v>26.990100000000002</v>
      </c>
      <c r="FX274">
        <v>1.2446299999999999</v>
      </c>
      <c r="FY274">
        <v>17.7516</v>
      </c>
      <c r="FZ274">
        <v>410</v>
      </c>
      <c r="GA274">
        <v>14.040100000000001</v>
      </c>
      <c r="GB274">
        <v>99.828900000000004</v>
      </c>
      <c r="GC274">
        <v>99.718400000000003</v>
      </c>
    </row>
    <row r="275" spans="1:185" x14ac:dyDescent="0.2">
      <c r="A275">
        <v>260</v>
      </c>
      <c r="B275">
        <v>1769199481</v>
      </c>
      <c r="C275">
        <v>4920</v>
      </c>
      <c r="D275" t="s">
        <v>822</v>
      </c>
      <c r="E275" t="s">
        <v>823</v>
      </c>
      <c r="F275">
        <v>15</v>
      </c>
      <c r="G275">
        <v>1769199472.9333301</v>
      </c>
      <c r="H275">
        <f t="shared" si="52"/>
        <v>1.039292496538046E-3</v>
      </c>
      <c r="I275">
        <v>0</v>
      </c>
      <c r="J275">
        <f t="shared" si="64"/>
        <v>1.7916731045702333E-4</v>
      </c>
      <c r="K275">
        <f t="shared" si="53"/>
        <v>6.6764580356045164E-3</v>
      </c>
      <c r="L275">
        <f t="shared" si="54"/>
        <v>69.839781198606744</v>
      </c>
      <c r="M275">
        <f t="shared" si="55"/>
        <v>1.5391702034179355</v>
      </c>
      <c r="N275">
        <f t="shared" si="56"/>
        <v>2.2038588566606805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26282.665269039731</v>
      </c>
      <c r="T275">
        <f t="shared" si="60"/>
        <v>1000.00006666667</v>
      </c>
      <c r="U275">
        <f t="shared" si="61"/>
        <v>843.00003280000135</v>
      </c>
      <c r="V275">
        <f t="shared" si="62"/>
        <v>0.84299997660000003</v>
      </c>
      <c r="W275">
        <f t="shared" si="63"/>
        <v>0.15869998047600001</v>
      </c>
      <c r="X275">
        <v>1</v>
      </c>
      <c r="Y275">
        <v>1769199472.9333301</v>
      </c>
      <c r="Z275">
        <v>409.45166666666699</v>
      </c>
      <c r="AA275">
        <v>409.99193333333301</v>
      </c>
      <c r="AB275">
        <v>15.353706666666699</v>
      </c>
      <c r="AC275">
        <v>14.0745466666667</v>
      </c>
      <c r="AD275">
        <v>410.23646666666701</v>
      </c>
      <c r="AE275">
        <v>15.2555533333333</v>
      </c>
      <c r="AF275">
        <v>800.00586666666698</v>
      </c>
      <c r="AG275">
        <v>100.183266666667</v>
      </c>
      <c r="AH275">
        <v>6.4200400000000005E-2</v>
      </c>
      <c r="AI275">
        <v>18.990393333333301</v>
      </c>
      <c r="AJ275">
        <v>999.9</v>
      </c>
      <c r="AK275">
        <v>999.9</v>
      </c>
      <c r="AL275">
        <v>0</v>
      </c>
      <c r="AM275">
        <v>0</v>
      </c>
      <c r="AN275">
        <v>5001.8999999999996</v>
      </c>
      <c r="AO275">
        <v>0</v>
      </c>
      <c r="AP275">
        <v>1.63733</v>
      </c>
      <c r="AQ275">
        <v>-0.54018566666666701</v>
      </c>
      <c r="AR275">
        <v>415.83633333333302</v>
      </c>
      <c r="AS275">
        <v>415.84466666666702</v>
      </c>
      <c r="AT275">
        <v>1.2791586666666701</v>
      </c>
      <c r="AU275">
        <v>409.99193333333301</v>
      </c>
      <c r="AV275">
        <v>14.0745466666667</v>
      </c>
      <c r="AW275">
        <v>1.53818066666667</v>
      </c>
      <c r="AX275">
        <v>1.4100313333333301</v>
      </c>
      <c r="AY275">
        <v>13.353066666666701</v>
      </c>
      <c r="AZ275">
        <v>12.02596</v>
      </c>
      <c r="BA275">
        <v>1000.00006666667</v>
      </c>
      <c r="BB275">
        <v>0.90000020000000003</v>
      </c>
      <c r="BC275">
        <v>0</v>
      </c>
      <c r="BD275">
        <v>9.9999779999999996E-2</v>
      </c>
      <c r="BE275">
        <v>0</v>
      </c>
      <c r="BF275">
        <v>25</v>
      </c>
      <c r="BG275">
        <v>16488.793333333299</v>
      </c>
      <c r="BH275">
        <v>1769198984</v>
      </c>
      <c r="BI275" t="s">
        <v>771</v>
      </c>
      <c r="BJ275">
        <v>1769198962</v>
      </c>
      <c r="BK275">
        <v>1769198984</v>
      </c>
      <c r="BL275">
        <v>10</v>
      </c>
      <c r="BM275">
        <v>3.5999999999999997E-2</v>
      </c>
      <c r="BN275">
        <v>-2E-3</v>
      </c>
      <c r="BO275">
        <v>-0.78500000000000003</v>
      </c>
      <c r="BP275">
        <v>9.8000000000000004E-2</v>
      </c>
      <c r="BQ275">
        <v>410</v>
      </c>
      <c r="BR275">
        <v>15</v>
      </c>
      <c r="BS275">
        <v>0.32</v>
      </c>
      <c r="BT275">
        <v>0.05</v>
      </c>
      <c r="BU275">
        <v>-0.54264476190476196</v>
      </c>
      <c r="BV275">
        <v>3.7728701298701303E-2</v>
      </c>
      <c r="BW275">
        <v>2.29981335451892E-2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1.2797385714285701</v>
      </c>
      <c r="CD275">
        <v>-1.9616103896103399E-2</v>
      </c>
      <c r="CE275">
        <v>2.75506336581572E-3</v>
      </c>
      <c r="CF275">
        <v>1</v>
      </c>
      <c r="CG275">
        <v>2</v>
      </c>
      <c r="CH275">
        <v>2</v>
      </c>
      <c r="CI275" t="s">
        <v>304</v>
      </c>
      <c r="CJ275">
        <v>3.53254</v>
      </c>
      <c r="CK275">
        <v>2.7021299999999999</v>
      </c>
      <c r="CL275">
        <v>9.7844299999999995E-2</v>
      </c>
      <c r="CM275">
        <v>9.6586599999999995E-2</v>
      </c>
      <c r="CN275">
        <v>8.6877499999999996E-2</v>
      </c>
      <c r="CO275">
        <v>8.0635100000000001E-2</v>
      </c>
      <c r="CP275">
        <v>31615.9</v>
      </c>
      <c r="CQ275">
        <v>27810.3</v>
      </c>
      <c r="CR275">
        <v>32436.799999999999</v>
      </c>
      <c r="CS275">
        <v>30712.3</v>
      </c>
      <c r="CT275">
        <v>40115.1</v>
      </c>
      <c r="CU275">
        <v>39715.199999999997</v>
      </c>
      <c r="CV275">
        <v>47380.2</v>
      </c>
      <c r="CW275">
        <v>46846.6</v>
      </c>
      <c r="CX275">
        <v>2.6175999999999999</v>
      </c>
      <c r="CY275">
        <v>2.11524</v>
      </c>
      <c r="CZ275">
        <v>0</v>
      </c>
      <c r="DA275">
        <v>0</v>
      </c>
      <c r="DB275">
        <v>999.9</v>
      </c>
      <c r="DC275">
        <v>999.9</v>
      </c>
      <c r="DD275">
        <v>47.350999999999999</v>
      </c>
      <c r="DE275">
        <v>28.53</v>
      </c>
      <c r="DF275">
        <v>18.497599999999998</v>
      </c>
      <c r="DG275">
        <v>30.4999</v>
      </c>
      <c r="DH275">
        <v>16.4864</v>
      </c>
      <c r="DI275">
        <v>2</v>
      </c>
      <c r="DJ275">
        <v>-8.6709400000000006E-2</v>
      </c>
      <c r="DK275">
        <v>2.6341899999999998</v>
      </c>
      <c r="DL275">
        <v>20.181799999999999</v>
      </c>
      <c r="DM275">
        <v>5.2503500000000001</v>
      </c>
      <c r="DN275">
        <v>12.033899999999999</v>
      </c>
      <c r="DO275">
        <v>4.9671599999999998</v>
      </c>
      <c r="DP275">
        <v>3.2909999999999999</v>
      </c>
      <c r="DQ275">
        <v>537.4</v>
      </c>
      <c r="DR275">
        <v>9999</v>
      </c>
      <c r="DS275">
        <v>9999</v>
      </c>
      <c r="DT275">
        <v>9999</v>
      </c>
      <c r="DU275">
        <v>1.87113</v>
      </c>
      <c r="DV275">
        <v>1.8761099999999999</v>
      </c>
      <c r="DW275">
        <v>1.8763700000000001</v>
      </c>
      <c r="DX275">
        <v>1.8828199999999999</v>
      </c>
      <c r="DY275">
        <v>1.87561</v>
      </c>
      <c r="DZ275">
        <v>1.8746799999999999</v>
      </c>
      <c r="EA275">
        <v>1.8708400000000001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-0.78400000000000003</v>
      </c>
      <c r="EQ275">
        <v>9.8100000000000007E-2</v>
      </c>
      <c r="ER275">
        <v>-0.78479999999996197</v>
      </c>
      <c r="ES275">
        <v>0</v>
      </c>
      <c r="ET275">
        <v>0</v>
      </c>
      <c r="EU275">
        <v>0</v>
      </c>
      <c r="EV275">
        <v>9.8130000000001202E-2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8.6999999999999993</v>
      </c>
      <c r="FE275">
        <v>8.3000000000000007</v>
      </c>
      <c r="FF275">
        <v>1.2439</v>
      </c>
      <c r="FG275">
        <v>2.6025399999999999</v>
      </c>
      <c r="FH275">
        <v>2.19604</v>
      </c>
      <c r="FI275">
        <v>2.66113</v>
      </c>
      <c r="FJ275">
        <v>2.4462899999999999</v>
      </c>
      <c r="FK275">
        <v>2.2851599999999999</v>
      </c>
      <c r="FL275">
        <v>32.842399999999998</v>
      </c>
      <c r="FM275">
        <v>24.14</v>
      </c>
      <c r="FN275">
        <v>19</v>
      </c>
      <c r="FO275">
        <v>865.61599999999999</v>
      </c>
      <c r="FP275">
        <v>568.52800000000002</v>
      </c>
      <c r="FQ275">
        <v>17.773199999999999</v>
      </c>
      <c r="FR275">
        <v>25.8643</v>
      </c>
      <c r="FS275">
        <v>30.0001</v>
      </c>
      <c r="FT275">
        <v>25.823799999999999</v>
      </c>
      <c r="FU275">
        <v>25.823899999999998</v>
      </c>
      <c r="FV275">
        <v>24.968499999999999</v>
      </c>
      <c r="FW275">
        <v>26.990100000000002</v>
      </c>
      <c r="FX275">
        <v>1.2446299999999999</v>
      </c>
      <c r="FY275">
        <v>17.7744</v>
      </c>
      <c r="FZ275">
        <v>410</v>
      </c>
      <c r="GA275">
        <v>14.040100000000001</v>
      </c>
      <c r="GB275">
        <v>99.8292</v>
      </c>
      <c r="GC275">
        <v>99.718599999999995</v>
      </c>
    </row>
    <row r="276" spans="1:185" x14ac:dyDescent="0.2">
      <c r="A276">
        <v>261</v>
      </c>
      <c r="B276">
        <v>1769199496</v>
      </c>
      <c r="C276">
        <v>4935</v>
      </c>
      <c r="D276" t="s">
        <v>824</v>
      </c>
      <c r="E276" t="s">
        <v>825</v>
      </c>
      <c r="F276">
        <v>15</v>
      </c>
      <c r="G276">
        <v>1769199487.9333301</v>
      </c>
      <c r="H276">
        <f t="shared" si="52"/>
        <v>1.0370356502384498E-3</v>
      </c>
      <c r="I276">
        <v>0</v>
      </c>
      <c r="J276">
        <f t="shared" si="64"/>
        <v>4.286433561109795E-4</v>
      </c>
      <c r="K276">
        <f t="shared" si="53"/>
        <v>1.5972887978368683E-2</v>
      </c>
      <c r="L276">
        <f t="shared" si="54"/>
        <v>69.787272912105664</v>
      </c>
      <c r="M276">
        <f t="shared" si="55"/>
        <v>1.53873813960743</v>
      </c>
      <c r="N276">
        <f t="shared" si="56"/>
        <v>2.2048979353949116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26286.814390727166</v>
      </c>
      <c r="T276">
        <f t="shared" si="60"/>
        <v>1000.0012666666699</v>
      </c>
      <c r="U276">
        <f t="shared" si="61"/>
        <v>843.00100799992731</v>
      </c>
      <c r="V276">
        <f t="shared" si="62"/>
        <v>0.84299994020000024</v>
      </c>
      <c r="W276">
        <f t="shared" si="63"/>
        <v>0.15869999341200006</v>
      </c>
      <c r="X276">
        <v>1</v>
      </c>
      <c r="Y276">
        <v>1769199487.9333301</v>
      </c>
      <c r="Z276">
        <v>409.45100000000002</v>
      </c>
      <c r="AA276">
        <v>410.00173333333299</v>
      </c>
      <c r="AB276">
        <v>15.349033333333301</v>
      </c>
      <c r="AC276">
        <v>14.07264</v>
      </c>
      <c r="AD276">
        <v>410.23559999999998</v>
      </c>
      <c r="AE276">
        <v>15.2508933333333</v>
      </c>
      <c r="AF276">
        <v>800.00273333333303</v>
      </c>
      <c r="AG276">
        <v>100.185466666667</v>
      </c>
      <c r="AH276">
        <v>6.437358E-2</v>
      </c>
      <c r="AI276">
        <v>18.997946666666699</v>
      </c>
      <c r="AJ276">
        <v>999.9</v>
      </c>
      <c r="AK276">
        <v>999.9</v>
      </c>
      <c r="AL276">
        <v>0</v>
      </c>
      <c r="AM276">
        <v>0</v>
      </c>
      <c r="AN276">
        <v>5002.6000000000004</v>
      </c>
      <c r="AO276">
        <v>0</v>
      </c>
      <c r="AP276">
        <v>1.63733</v>
      </c>
      <c r="AQ276">
        <v>-0.55066126666666704</v>
      </c>
      <c r="AR276">
        <v>415.83353333333298</v>
      </c>
      <c r="AS276">
        <v>415.85379999999998</v>
      </c>
      <c r="AT276">
        <v>1.27638733333333</v>
      </c>
      <c r="AU276">
        <v>410.00173333333299</v>
      </c>
      <c r="AV276">
        <v>14.07264</v>
      </c>
      <c r="AW276">
        <v>1.53775</v>
      </c>
      <c r="AX276">
        <v>1.4098740000000001</v>
      </c>
      <c r="AY276">
        <v>13.34876</v>
      </c>
      <c r="AZ276">
        <v>12.0242533333333</v>
      </c>
      <c r="BA276">
        <v>1000.0012666666699</v>
      </c>
      <c r="BB276">
        <v>0.89999986666666698</v>
      </c>
      <c r="BC276">
        <v>0</v>
      </c>
      <c r="BD276">
        <v>0.10000006</v>
      </c>
      <c r="BE276">
        <v>0</v>
      </c>
      <c r="BF276">
        <v>25</v>
      </c>
      <c r="BG276">
        <v>16488.813333333299</v>
      </c>
      <c r="BH276">
        <v>1769198984</v>
      </c>
      <c r="BI276" t="s">
        <v>771</v>
      </c>
      <c r="BJ276">
        <v>1769198962</v>
      </c>
      <c r="BK276">
        <v>1769198984</v>
      </c>
      <c r="BL276">
        <v>10</v>
      </c>
      <c r="BM276">
        <v>3.5999999999999997E-2</v>
      </c>
      <c r="BN276">
        <v>-2E-3</v>
      </c>
      <c r="BO276">
        <v>-0.78500000000000003</v>
      </c>
      <c r="BP276">
        <v>9.8000000000000004E-2</v>
      </c>
      <c r="BQ276">
        <v>410</v>
      </c>
      <c r="BR276">
        <v>15</v>
      </c>
      <c r="BS276">
        <v>0.32</v>
      </c>
      <c r="BT276">
        <v>0.05</v>
      </c>
      <c r="BU276">
        <v>-0.54664769999999996</v>
      </c>
      <c r="BV276">
        <v>-3.3233052631579198E-2</v>
      </c>
      <c r="BW276">
        <v>2.56370008778328E-2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1.2762665</v>
      </c>
      <c r="CD276">
        <v>8.78300751879732E-3</v>
      </c>
      <c r="CE276">
        <v>3.0492610170334599E-3</v>
      </c>
      <c r="CF276">
        <v>1</v>
      </c>
      <c r="CG276">
        <v>2</v>
      </c>
      <c r="CH276">
        <v>2</v>
      </c>
      <c r="CI276" t="s">
        <v>304</v>
      </c>
      <c r="CJ276">
        <v>3.53254</v>
      </c>
      <c r="CK276">
        <v>2.7022300000000001</v>
      </c>
      <c r="CL276">
        <v>9.7843299999999994E-2</v>
      </c>
      <c r="CM276">
        <v>9.6583500000000003E-2</v>
      </c>
      <c r="CN276">
        <v>8.6888499999999994E-2</v>
      </c>
      <c r="CO276">
        <v>8.0627099999999993E-2</v>
      </c>
      <c r="CP276">
        <v>31616.5</v>
      </c>
      <c r="CQ276">
        <v>27810.6</v>
      </c>
      <c r="CR276">
        <v>32437.3</v>
      </c>
      <c r="CS276">
        <v>30712.5</v>
      </c>
      <c r="CT276">
        <v>40115.4</v>
      </c>
      <c r="CU276">
        <v>39715.9</v>
      </c>
      <c r="CV276">
        <v>47381.2</v>
      </c>
      <c r="CW276">
        <v>46847</v>
      </c>
      <c r="CX276">
        <v>2.61782</v>
      </c>
      <c r="CY276">
        <v>2.11504</v>
      </c>
      <c r="CZ276">
        <v>0</v>
      </c>
      <c r="DA276">
        <v>0</v>
      </c>
      <c r="DB276">
        <v>999.9</v>
      </c>
      <c r="DC276">
        <v>999.9</v>
      </c>
      <c r="DD276">
        <v>47.326000000000001</v>
      </c>
      <c r="DE276">
        <v>28.53</v>
      </c>
      <c r="DF276">
        <v>18.487300000000001</v>
      </c>
      <c r="DG276">
        <v>30.319900000000001</v>
      </c>
      <c r="DH276">
        <v>16.4984</v>
      </c>
      <c r="DI276">
        <v>2</v>
      </c>
      <c r="DJ276">
        <v>-8.6599599999999999E-2</v>
      </c>
      <c r="DK276">
        <v>2.6435300000000002</v>
      </c>
      <c r="DL276">
        <v>20.181799999999999</v>
      </c>
      <c r="DM276">
        <v>5.2511900000000002</v>
      </c>
      <c r="DN276">
        <v>12.033899999999999</v>
      </c>
      <c r="DO276">
        <v>4.9674800000000001</v>
      </c>
      <c r="DP276">
        <v>3.2909999999999999</v>
      </c>
      <c r="DQ276">
        <v>537.4</v>
      </c>
      <c r="DR276">
        <v>9999</v>
      </c>
      <c r="DS276">
        <v>9999</v>
      </c>
      <c r="DT276">
        <v>9999</v>
      </c>
      <c r="DU276">
        <v>1.87113</v>
      </c>
      <c r="DV276">
        <v>1.87609</v>
      </c>
      <c r="DW276">
        <v>1.8763300000000001</v>
      </c>
      <c r="DX276">
        <v>1.8827799999999999</v>
      </c>
      <c r="DY276">
        <v>1.87561</v>
      </c>
      <c r="DZ276">
        <v>1.87469</v>
      </c>
      <c r="EA276">
        <v>1.8708199999999999</v>
      </c>
      <c r="EB276">
        <v>1.8746700000000001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-0.78500000000000003</v>
      </c>
      <c r="EQ276">
        <v>9.8100000000000007E-2</v>
      </c>
      <c r="ER276">
        <v>-0.78479999999996197</v>
      </c>
      <c r="ES276">
        <v>0</v>
      </c>
      <c r="ET276">
        <v>0</v>
      </c>
      <c r="EU276">
        <v>0</v>
      </c>
      <c r="EV276">
        <v>9.8130000000001202E-2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8.9</v>
      </c>
      <c r="FE276">
        <v>8.5</v>
      </c>
      <c r="FF276">
        <v>1.2439</v>
      </c>
      <c r="FG276">
        <v>2.5976599999999999</v>
      </c>
      <c r="FH276">
        <v>2.19604</v>
      </c>
      <c r="FI276">
        <v>2.66235</v>
      </c>
      <c r="FJ276">
        <v>2.4462899999999999</v>
      </c>
      <c r="FK276">
        <v>2.3107899999999999</v>
      </c>
      <c r="FL276">
        <v>32.842399999999998</v>
      </c>
      <c r="FM276">
        <v>24.14</v>
      </c>
      <c r="FN276">
        <v>19</v>
      </c>
      <c r="FO276">
        <v>865.85599999999999</v>
      </c>
      <c r="FP276">
        <v>568.4</v>
      </c>
      <c r="FQ276">
        <v>17.782499999999999</v>
      </c>
      <c r="FR276">
        <v>25.8643</v>
      </c>
      <c r="FS276">
        <v>30.0002</v>
      </c>
      <c r="FT276">
        <v>25.826000000000001</v>
      </c>
      <c r="FU276">
        <v>25.8261</v>
      </c>
      <c r="FV276">
        <v>24.9695</v>
      </c>
      <c r="FW276">
        <v>26.990100000000002</v>
      </c>
      <c r="FX276">
        <v>1.2446299999999999</v>
      </c>
      <c r="FY276">
        <v>17.781400000000001</v>
      </c>
      <c r="FZ276">
        <v>410</v>
      </c>
      <c r="GA276">
        <v>14.040100000000001</v>
      </c>
      <c r="GB276">
        <v>99.831000000000003</v>
      </c>
      <c r="GC276">
        <v>99.719399999999993</v>
      </c>
    </row>
    <row r="277" spans="1:185" x14ac:dyDescent="0.2">
      <c r="A277">
        <v>262</v>
      </c>
      <c r="B277">
        <v>1769199511</v>
      </c>
      <c r="C277">
        <v>4950</v>
      </c>
      <c r="D277" t="s">
        <v>826</v>
      </c>
      <c r="E277" t="s">
        <v>827</v>
      </c>
      <c r="F277">
        <v>15</v>
      </c>
      <c r="G277">
        <v>1769199502.9333301</v>
      </c>
      <c r="H277">
        <f t="shared" si="52"/>
        <v>1.0333763209744494E-3</v>
      </c>
      <c r="I277">
        <v>0</v>
      </c>
      <c r="J277">
        <f t="shared" si="64"/>
        <v>9.1974454143403612E-5</v>
      </c>
      <c r="K277">
        <f t="shared" si="53"/>
        <v>3.42731931327038E-3</v>
      </c>
      <c r="L277">
        <f t="shared" si="54"/>
        <v>69.73057803028297</v>
      </c>
      <c r="M277">
        <f t="shared" si="55"/>
        <v>1.5380625607429383</v>
      </c>
      <c r="N277">
        <f t="shared" si="56"/>
        <v>2.2057217998034955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26283.895696762556</v>
      </c>
      <c r="T277">
        <f t="shared" si="60"/>
        <v>1000.00013333333</v>
      </c>
      <c r="U277">
        <f t="shared" si="61"/>
        <v>842.99993039997275</v>
      </c>
      <c r="V277">
        <f t="shared" si="62"/>
        <v>0.84299981799999979</v>
      </c>
      <c r="W277">
        <f t="shared" si="63"/>
        <v>0.15870006467999995</v>
      </c>
      <c r="X277">
        <v>1</v>
      </c>
      <c r="Y277">
        <v>1769199502.9333301</v>
      </c>
      <c r="Z277">
        <v>409.46926666666701</v>
      </c>
      <c r="AA277">
        <v>410.00246666666698</v>
      </c>
      <c r="AB277">
        <v>15.3420466666667</v>
      </c>
      <c r="AC277">
        <v>14.0701533333333</v>
      </c>
      <c r="AD277">
        <v>410.25400000000002</v>
      </c>
      <c r="AE277">
        <v>15.243919999999999</v>
      </c>
      <c r="AF277">
        <v>800.00593333333302</v>
      </c>
      <c r="AG277">
        <v>100.1872</v>
      </c>
      <c r="AH277">
        <v>6.4258893333333303E-2</v>
      </c>
      <c r="AI277">
        <v>19.0039333333333</v>
      </c>
      <c r="AJ277">
        <v>999.9</v>
      </c>
      <c r="AK277">
        <v>999.9</v>
      </c>
      <c r="AL277">
        <v>0</v>
      </c>
      <c r="AM277">
        <v>0</v>
      </c>
      <c r="AN277">
        <v>5002.1333333333296</v>
      </c>
      <c r="AO277">
        <v>0</v>
      </c>
      <c r="AP277">
        <v>1.63733</v>
      </c>
      <c r="AQ277">
        <v>-0.533246</v>
      </c>
      <c r="AR277">
        <v>415.84926666666701</v>
      </c>
      <c r="AS277">
        <v>415.85359999999997</v>
      </c>
      <c r="AT277">
        <v>1.27188266666667</v>
      </c>
      <c r="AU277">
        <v>410.00246666666698</v>
      </c>
      <c r="AV277">
        <v>14.0701533333333</v>
      </c>
      <c r="AW277">
        <v>1.53707533333333</v>
      </c>
      <c r="AX277">
        <v>1.4096486666666701</v>
      </c>
      <c r="AY277">
        <v>13.3420466666667</v>
      </c>
      <c r="AZ277">
        <v>12.0218133333333</v>
      </c>
      <c r="BA277">
        <v>1000.00013333333</v>
      </c>
      <c r="BB277">
        <v>0.89999833333333301</v>
      </c>
      <c r="BC277">
        <v>0</v>
      </c>
      <c r="BD277">
        <v>0.1000014</v>
      </c>
      <c r="BE277">
        <v>0</v>
      </c>
      <c r="BF277">
        <v>25</v>
      </c>
      <c r="BG277">
        <v>16488.766666666699</v>
      </c>
      <c r="BH277">
        <v>1769198984</v>
      </c>
      <c r="BI277" t="s">
        <v>771</v>
      </c>
      <c r="BJ277">
        <v>1769198962</v>
      </c>
      <c r="BK277">
        <v>1769198984</v>
      </c>
      <c r="BL277">
        <v>10</v>
      </c>
      <c r="BM277">
        <v>3.5999999999999997E-2</v>
      </c>
      <c r="BN277">
        <v>-2E-3</v>
      </c>
      <c r="BO277">
        <v>-0.78500000000000003</v>
      </c>
      <c r="BP277">
        <v>9.8000000000000004E-2</v>
      </c>
      <c r="BQ277">
        <v>410</v>
      </c>
      <c r="BR277">
        <v>15</v>
      </c>
      <c r="BS277">
        <v>0.32</v>
      </c>
      <c r="BT277">
        <v>0.05</v>
      </c>
      <c r="BU277">
        <v>-0.53487152380952396</v>
      </c>
      <c r="BV277">
        <v>2.2037220779219598E-2</v>
      </c>
      <c r="BW277">
        <v>1.7121307959657599E-2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1.27356714285714</v>
      </c>
      <c r="CD277">
        <v>-3.5119480519477698E-2</v>
      </c>
      <c r="CE277">
        <v>4.6410529827955703E-3</v>
      </c>
      <c r="CF277">
        <v>1</v>
      </c>
      <c r="CG277">
        <v>2</v>
      </c>
      <c r="CH277">
        <v>2</v>
      </c>
      <c r="CI277" t="s">
        <v>304</v>
      </c>
      <c r="CJ277">
        <v>3.5325600000000001</v>
      </c>
      <c r="CK277">
        <v>2.7021600000000001</v>
      </c>
      <c r="CL277">
        <v>9.7846799999999998E-2</v>
      </c>
      <c r="CM277">
        <v>9.6589900000000006E-2</v>
      </c>
      <c r="CN277">
        <v>8.6807300000000004E-2</v>
      </c>
      <c r="CO277">
        <v>8.0616599999999997E-2</v>
      </c>
      <c r="CP277">
        <v>31615.5</v>
      </c>
      <c r="CQ277">
        <v>27810.3</v>
      </c>
      <c r="CR277">
        <v>32436.5</v>
      </c>
      <c r="CS277">
        <v>30712.400000000001</v>
      </c>
      <c r="CT277">
        <v>40118.199999999997</v>
      </c>
      <c r="CU277">
        <v>39716.199999999997</v>
      </c>
      <c r="CV277">
        <v>47380.1</v>
      </c>
      <c r="CW277">
        <v>46846.9</v>
      </c>
      <c r="CX277">
        <v>2.6174599999999999</v>
      </c>
      <c r="CY277">
        <v>2.1151</v>
      </c>
      <c r="CZ277">
        <v>0</v>
      </c>
      <c r="DA277">
        <v>0</v>
      </c>
      <c r="DB277">
        <v>999.9</v>
      </c>
      <c r="DC277">
        <v>999.9</v>
      </c>
      <c r="DD277">
        <v>47.326000000000001</v>
      </c>
      <c r="DE277">
        <v>28.56</v>
      </c>
      <c r="DF277">
        <v>18.5199</v>
      </c>
      <c r="DG277">
        <v>30.379899999999999</v>
      </c>
      <c r="DH277">
        <v>16.446300000000001</v>
      </c>
      <c r="DI277">
        <v>2</v>
      </c>
      <c r="DJ277">
        <v>-8.5256100000000001E-2</v>
      </c>
      <c r="DK277">
        <v>2.84328</v>
      </c>
      <c r="DL277">
        <v>20.177499999999998</v>
      </c>
      <c r="DM277">
        <v>5.2501199999999999</v>
      </c>
      <c r="DN277">
        <v>12.033899999999999</v>
      </c>
      <c r="DO277">
        <v>4.96732</v>
      </c>
      <c r="DP277">
        <v>3.2909999999999999</v>
      </c>
      <c r="DQ277">
        <v>537.4</v>
      </c>
      <c r="DR277">
        <v>9999</v>
      </c>
      <c r="DS277">
        <v>9999</v>
      </c>
      <c r="DT277">
        <v>9999</v>
      </c>
      <c r="DU277">
        <v>1.8711199999999999</v>
      </c>
      <c r="DV277">
        <v>1.87609</v>
      </c>
      <c r="DW277">
        <v>1.87632</v>
      </c>
      <c r="DX277">
        <v>1.88279</v>
      </c>
      <c r="DY277">
        <v>1.87561</v>
      </c>
      <c r="DZ277">
        <v>1.8746799999999999</v>
      </c>
      <c r="EA277">
        <v>1.87086</v>
      </c>
      <c r="EB277">
        <v>1.87466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-0.78400000000000003</v>
      </c>
      <c r="EQ277">
        <v>9.8199999999999996E-2</v>
      </c>
      <c r="ER277">
        <v>-0.78479999999996197</v>
      </c>
      <c r="ES277">
        <v>0</v>
      </c>
      <c r="ET277">
        <v>0</v>
      </c>
      <c r="EU277">
        <v>0</v>
      </c>
      <c r="EV277">
        <v>9.8130000000001202E-2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9.1999999999999993</v>
      </c>
      <c r="FE277">
        <v>8.8000000000000007</v>
      </c>
      <c r="FF277">
        <v>1.2439</v>
      </c>
      <c r="FG277">
        <v>2.5927699999999998</v>
      </c>
      <c r="FH277">
        <v>2.19604</v>
      </c>
      <c r="FI277">
        <v>2.66235</v>
      </c>
      <c r="FJ277">
        <v>2.4462899999999999</v>
      </c>
      <c r="FK277">
        <v>2.3168899999999999</v>
      </c>
      <c r="FL277">
        <v>32.842399999999998</v>
      </c>
      <c r="FM277">
        <v>24.1313</v>
      </c>
      <c r="FN277">
        <v>19</v>
      </c>
      <c r="FO277">
        <v>865.55499999999995</v>
      </c>
      <c r="FP277">
        <v>568.46900000000005</v>
      </c>
      <c r="FQ277">
        <v>17.666599999999999</v>
      </c>
      <c r="FR277">
        <v>25.866099999999999</v>
      </c>
      <c r="FS277">
        <v>30.0001</v>
      </c>
      <c r="FT277">
        <v>25.828199999999999</v>
      </c>
      <c r="FU277">
        <v>25.828199999999999</v>
      </c>
      <c r="FV277">
        <v>24.969200000000001</v>
      </c>
      <c r="FW277">
        <v>26.990100000000002</v>
      </c>
      <c r="FX277">
        <v>0.87319899999999995</v>
      </c>
      <c r="FY277">
        <v>17.672799999999999</v>
      </c>
      <c r="FZ277">
        <v>410</v>
      </c>
      <c r="GA277">
        <v>14.040100000000001</v>
      </c>
      <c r="GB277">
        <v>99.828699999999998</v>
      </c>
      <c r="GC277">
        <v>99.718999999999994</v>
      </c>
    </row>
    <row r="278" spans="1:185" x14ac:dyDescent="0.2">
      <c r="A278">
        <v>263</v>
      </c>
      <c r="B278">
        <v>1769199526</v>
      </c>
      <c r="C278">
        <v>4965</v>
      </c>
      <c r="D278" t="s">
        <v>828</v>
      </c>
      <c r="E278" t="s">
        <v>829</v>
      </c>
      <c r="F278">
        <v>15</v>
      </c>
      <c r="G278">
        <v>1769199517.9333301</v>
      </c>
      <c r="H278">
        <f t="shared" si="52"/>
        <v>1.0228417643343315E-3</v>
      </c>
      <c r="I278">
        <v>0</v>
      </c>
      <c r="J278">
        <f t="shared" si="64"/>
        <v>-5.055982540429759E-4</v>
      </c>
      <c r="K278">
        <f t="shared" si="53"/>
        <v>-1.8840521283610735E-2</v>
      </c>
      <c r="L278">
        <f t="shared" si="54"/>
        <v>69.675250575749288</v>
      </c>
      <c r="M278">
        <f t="shared" si="55"/>
        <v>1.5365506781078198</v>
      </c>
      <c r="N278">
        <f t="shared" si="56"/>
        <v>2.2053034117721877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26309.969004079099</v>
      </c>
      <c r="T278">
        <f t="shared" si="60"/>
        <v>1000.00146666667</v>
      </c>
      <c r="U278">
        <f t="shared" si="61"/>
        <v>843.00138640022271</v>
      </c>
      <c r="V278">
        <f t="shared" si="62"/>
        <v>0.84300014999999995</v>
      </c>
      <c r="W278">
        <f t="shared" si="63"/>
        <v>0.15870037499999998</v>
      </c>
      <c r="X278">
        <v>1</v>
      </c>
      <c r="Y278">
        <v>1769199517.9333301</v>
      </c>
      <c r="Z278">
        <v>409.49206666666697</v>
      </c>
      <c r="AA278">
        <v>409.99206666666697</v>
      </c>
      <c r="AB278">
        <v>15.3269133333333</v>
      </c>
      <c r="AC278">
        <v>14.067973333333301</v>
      </c>
      <c r="AD278">
        <v>410.27673333333303</v>
      </c>
      <c r="AE278">
        <v>15.22878</v>
      </c>
      <c r="AF278">
        <v>800.01013333333299</v>
      </c>
      <c r="AG278">
        <v>100.18753333333299</v>
      </c>
      <c r="AH278">
        <v>6.4268493333333301E-2</v>
      </c>
      <c r="AI278">
        <v>19.000893333333298</v>
      </c>
      <c r="AJ278">
        <v>999.9</v>
      </c>
      <c r="AK278">
        <v>999.9</v>
      </c>
      <c r="AL278">
        <v>0</v>
      </c>
      <c r="AM278">
        <v>0</v>
      </c>
      <c r="AN278">
        <v>5006.3666666666704</v>
      </c>
      <c r="AO278">
        <v>0</v>
      </c>
      <c r="AP278">
        <v>1.63733</v>
      </c>
      <c r="AQ278">
        <v>-0.50009139999999996</v>
      </c>
      <c r="AR278">
        <v>415.86593333333298</v>
      </c>
      <c r="AS278">
        <v>415.84213333333298</v>
      </c>
      <c r="AT278">
        <v>1.2589253333333299</v>
      </c>
      <c r="AU278">
        <v>409.99206666666697</v>
      </c>
      <c r="AV278">
        <v>14.067973333333301</v>
      </c>
      <c r="AW278">
        <v>1.53556266666667</v>
      </c>
      <c r="AX278">
        <v>1.4094359999999999</v>
      </c>
      <c r="AY278">
        <v>13.32694</v>
      </c>
      <c r="AZ278">
        <v>12.019539999999999</v>
      </c>
      <c r="BA278">
        <v>1000.00146666667</v>
      </c>
      <c r="BB278">
        <v>0.89999499999999999</v>
      </c>
      <c r="BC278">
        <v>0</v>
      </c>
      <c r="BD278">
        <v>0.100005</v>
      </c>
      <c r="BE278">
        <v>0</v>
      </c>
      <c r="BF278">
        <v>25</v>
      </c>
      <c r="BG278">
        <v>16488.793333333299</v>
      </c>
      <c r="BH278">
        <v>1769198984</v>
      </c>
      <c r="BI278" t="s">
        <v>771</v>
      </c>
      <c r="BJ278">
        <v>1769198962</v>
      </c>
      <c r="BK278">
        <v>1769198984</v>
      </c>
      <c r="BL278">
        <v>10</v>
      </c>
      <c r="BM278">
        <v>3.5999999999999997E-2</v>
      </c>
      <c r="BN278">
        <v>-2E-3</v>
      </c>
      <c r="BO278">
        <v>-0.78500000000000003</v>
      </c>
      <c r="BP278">
        <v>9.8000000000000004E-2</v>
      </c>
      <c r="BQ278">
        <v>410</v>
      </c>
      <c r="BR278">
        <v>15</v>
      </c>
      <c r="BS278">
        <v>0.32</v>
      </c>
      <c r="BT278">
        <v>0.05</v>
      </c>
      <c r="BU278">
        <v>-0.50992875000000004</v>
      </c>
      <c r="BV278">
        <v>0.18573685714285701</v>
      </c>
      <c r="BW278">
        <v>2.3825793505935999E-2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1.2613669999999999</v>
      </c>
      <c r="CD278">
        <v>-3.3428571428573403E-2</v>
      </c>
      <c r="CE278">
        <v>5.13985320802065E-3</v>
      </c>
      <c r="CF278">
        <v>1</v>
      </c>
      <c r="CG278">
        <v>2</v>
      </c>
      <c r="CH278">
        <v>2</v>
      </c>
      <c r="CI278" t="s">
        <v>304</v>
      </c>
      <c r="CJ278">
        <v>3.5325600000000001</v>
      </c>
      <c r="CK278">
        <v>2.7021600000000001</v>
      </c>
      <c r="CL278">
        <v>9.7848000000000004E-2</v>
      </c>
      <c r="CM278">
        <v>9.6592800000000006E-2</v>
      </c>
      <c r="CN278">
        <v>8.6773299999999998E-2</v>
      </c>
      <c r="CO278">
        <v>8.0610799999999996E-2</v>
      </c>
      <c r="CP278">
        <v>31615.3</v>
      </c>
      <c r="CQ278">
        <v>27810</v>
      </c>
      <c r="CR278">
        <v>32436.3</v>
      </c>
      <c r="CS278">
        <v>30712.2</v>
      </c>
      <c r="CT278">
        <v>40119.4</v>
      </c>
      <c r="CU278">
        <v>39716.1</v>
      </c>
      <c r="CV278">
        <v>47379.7</v>
      </c>
      <c r="CW278">
        <v>46846.400000000001</v>
      </c>
      <c r="CX278">
        <v>2.6176400000000002</v>
      </c>
      <c r="CY278">
        <v>2.11524</v>
      </c>
      <c r="CZ278">
        <v>0</v>
      </c>
      <c r="DA278">
        <v>0</v>
      </c>
      <c r="DB278">
        <v>999.9</v>
      </c>
      <c r="DC278">
        <v>999.9</v>
      </c>
      <c r="DD278">
        <v>47.302</v>
      </c>
      <c r="DE278">
        <v>28.55</v>
      </c>
      <c r="DF278">
        <v>18.499600000000001</v>
      </c>
      <c r="DG278">
        <v>30.259899999999998</v>
      </c>
      <c r="DH278">
        <v>16.398199999999999</v>
      </c>
      <c r="DI278">
        <v>2</v>
      </c>
      <c r="DJ278">
        <v>-8.5892300000000005E-2</v>
      </c>
      <c r="DK278">
        <v>2.7402700000000002</v>
      </c>
      <c r="DL278">
        <v>20.179400000000001</v>
      </c>
      <c r="DM278">
        <v>5.2501199999999999</v>
      </c>
      <c r="DN278">
        <v>12.033899999999999</v>
      </c>
      <c r="DO278">
        <v>4.9670800000000002</v>
      </c>
      <c r="DP278">
        <v>3.2909999999999999</v>
      </c>
      <c r="DQ278">
        <v>537.4</v>
      </c>
      <c r="DR278">
        <v>9999</v>
      </c>
      <c r="DS278">
        <v>9999</v>
      </c>
      <c r="DT278">
        <v>9999</v>
      </c>
      <c r="DU278">
        <v>1.8710899999999999</v>
      </c>
      <c r="DV278">
        <v>1.8761000000000001</v>
      </c>
      <c r="DW278">
        <v>1.87632</v>
      </c>
      <c r="DX278">
        <v>1.88279</v>
      </c>
      <c r="DY278">
        <v>1.87561</v>
      </c>
      <c r="DZ278">
        <v>1.8746799999999999</v>
      </c>
      <c r="EA278">
        <v>1.8708100000000001</v>
      </c>
      <c r="EB278">
        <v>1.8746499999999999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-0.78500000000000003</v>
      </c>
      <c r="EQ278">
        <v>9.8100000000000007E-2</v>
      </c>
      <c r="ER278">
        <v>-0.78479999999996197</v>
      </c>
      <c r="ES278">
        <v>0</v>
      </c>
      <c r="ET278">
        <v>0</v>
      </c>
      <c r="EU278">
        <v>0</v>
      </c>
      <c r="EV278">
        <v>9.8130000000001202E-2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9.4</v>
      </c>
      <c r="FE278">
        <v>9</v>
      </c>
      <c r="FF278">
        <v>1.2439</v>
      </c>
      <c r="FG278">
        <v>2.6037599999999999</v>
      </c>
      <c r="FH278">
        <v>2.19604</v>
      </c>
      <c r="FI278">
        <v>2.66235</v>
      </c>
      <c r="FJ278">
        <v>2.4462899999999999</v>
      </c>
      <c r="FK278">
        <v>2.2705099999999998</v>
      </c>
      <c r="FL278">
        <v>32.842399999999998</v>
      </c>
      <c r="FM278">
        <v>24.1313</v>
      </c>
      <c r="FN278">
        <v>19</v>
      </c>
      <c r="FO278">
        <v>865.75800000000004</v>
      </c>
      <c r="FP278">
        <v>568.59900000000005</v>
      </c>
      <c r="FQ278">
        <v>17.660399999999999</v>
      </c>
      <c r="FR278">
        <v>25.865100000000002</v>
      </c>
      <c r="FS278">
        <v>30</v>
      </c>
      <c r="FT278">
        <v>25.830300000000001</v>
      </c>
      <c r="FU278">
        <v>25.830400000000001</v>
      </c>
      <c r="FV278">
        <v>24.969200000000001</v>
      </c>
      <c r="FW278">
        <v>26.990100000000002</v>
      </c>
      <c r="FX278">
        <v>0.87319899999999995</v>
      </c>
      <c r="FY278">
        <v>17.669599999999999</v>
      </c>
      <c r="FZ278">
        <v>410</v>
      </c>
      <c r="GA278">
        <v>14.040100000000001</v>
      </c>
      <c r="GB278">
        <v>99.8279</v>
      </c>
      <c r="GC278">
        <v>99.718100000000007</v>
      </c>
    </row>
    <row r="279" spans="1:185" x14ac:dyDescent="0.2">
      <c r="A279">
        <v>264</v>
      </c>
      <c r="B279">
        <v>1769199541</v>
      </c>
      <c r="C279">
        <v>4980</v>
      </c>
      <c r="D279" t="s">
        <v>830</v>
      </c>
      <c r="E279" t="s">
        <v>831</v>
      </c>
      <c r="F279">
        <v>15</v>
      </c>
      <c r="G279">
        <v>1769199532.9333301</v>
      </c>
      <c r="H279">
        <f t="shared" si="52"/>
        <v>1.0225543104589753E-3</v>
      </c>
      <c r="I279">
        <v>0</v>
      </c>
      <c r="J279">
        <f t="shared" si="64"/>
        <v>1.0640340123955482E-4</v>
      </c>
      <c r="K279">
        <f t="shared" si="53"/>
        <v>3.9649969707609119E-3</v>
      </c>
      <c r="L279">
        <f t="shared" si="54"/>
        <v>69.688974366419146</v>
      </c>
      <c r="M279">
        <f t="shared" si="55"/>
        <v>1.5362581904642267</v>
      </c>
      <c r="N279">
        <f t="shared" si="56"/>
        <v>2.2044494189090833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26264.85970371218</v>
      </c>
      <c r="T279">
        <f t="shared" si="60"/>
        <v>999.99973333333298</v>
      </c>
      <c r="U279">
        <f t="shared" si="61"/>
        <v>842.99997719994496</v>
      </c>
      <c r="V279">
        <f t="shared" si="62"/>
        <v>0.84300020199999914</v>
      </c>
      <c r="W279">
        <f t="shared" si="63"/>
        <v>0.15870050499999983</v>
      </c>
      <c r="X279">
        <v>1</v>
      </c>
      <c r="Y279">
        <v>1769199532.9333301</v>
      </c>
      <c r="Z279">
        <v>409.47046666666699</v>
      </c>
      <c r="AA279">
        <v>409.99880000000002</v>
      </c>
      <c r="AB279">
        <v>15.324199999999999</v>
      </c>
      <c r="AC279">
        <v>14.065606666666699</v>
      </c>
      <c r="AD279">
        <v>410.25526666666701</v>
      </c>
      <c r="AE279">
        <v>15.2260666666667</v>
      </c>
      <c r="AF279">
        <v>800.00779999999997</v>
      </c>
      <c r="AG279">
        <v>100.186333333333</v>
      </c>
      <c r="AH279">
        <v>6.4132626666666706E-2</v>
      </c>
      <c r="AI279">
        <v>18.994686666666698</v>
      </c>
      <c r="AJ279">
        <v>999.9</v>
      </c>
      <c r="AK279">
        <v>999.9</v>
      </c>
      <c r="AL279">
        <v>0</v>
      </c>
      <c r="AM279">
        <v>0</v>
      </c>
      <c r="AN279">
        <v>4998.8999999999996</v>
      </c>
      <c r="AO279">
        <v>0</v>
      </c>
      <c r="AP279">
        <v>1.63733</v>
      </c>
      <c r="AQ279">
        <v>-0.52817599999999998</v>
      </c>
      <c r="AR279">
        <v>415.84293333333301</v>
      </c>
      <c r="AS279">
        <v>415.84780000000001</v>
      </c>
      <c r="AT279">
        <v>1.2585993333333301</v>
      </c>
      <c r="AU279">
        <v>409.99880000000002</v>
      </c>
      <c r="AV279">
        <v>14.065606666666699</v>
      </c>
      <c r="AW279">
        <v>1.5352760000000001</v>
      </c>
      <c r="AX279">
        <v>1.40918066666667</v>
      </c>
      <c r="AY279">
        <v>13.324073333333301</v>
      </c>
      <c r="AZ279">
        <v>12.016780000000001</v>
      </c>
      <c r="BA279">
        <v>999.99973333333298</v>
      </c>
      <c r="BB279">
        <v>0.89999326666666601</v>
      </c>
      <c r="BC279">
        <v>0</v>
      </c>
      <c r="BD279">
        <v>0.100006733333333</v>
      </c>
      <c r="BE279">
        <v>0</v>
      </c>
      <c r="BF279">
        <v>25</v>
      </c>
      <c r="BG279">
        <v>16488.773333333302</v>
      </c>
      <c r="BH279">
        <v>1769198984</v>
      </c>
      <c r="BI279" t="s">
        <v>771</v>
      </c>
      <c r="BJ279">
        <v>1769198962</v>
      </c>
      <c r="BK279">
        <v>1769198984</v>
      </c>
      <c r="BL279">
        <v>10</v>
      </c>
      <c r="BM279">
        <v>3.5999999999999997E-2</v>
      </c>
      <c r="BN279">
        <v>-2E-3</v>
      </c>
      <c r="BO279">
        <v>-0.78500000000000003</v>
      </c>
      <c r="BP279">
        <v>9.8000000000000004E-2</v>
      </c>
      <c r="BQ279">
        <v>410</v>
      </c>
      <c r="BR279">
        <v>15</v>
      </c>
      <c r="BS279">
        <v>0.32</v>
      </c>
      <c r="BT279">
        <v>0.05</v>
      </c>
      <c r="BU279">
        <v>-0.51967661904761897</v>
      </c>
      <c r="BV279">
        <v>-5.1087428571429797E-2</v>
      </c>
      <c r="BW279">
        <v>2.9004061867387701E-2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1.25903285714286</v>
      </c>
      <c r="CD279">
        <v>9.3225974026018496E-3</v>
      </c>
      <c r="CE279">
        <v>3.3374700182097401E-3</v>
      </c>
      <c r="CF279">
        <v>1</v>
      </c>
      <c r="CG279">
        <v>2</v>
      </c>
      <c r="CH279">
        <v>2</v>
      </c>
      <c r="CI279" t="s">
        <v>304</v>
      </c>
      <c r="CJ279">
        <v>3.5325700000000002</v>
      </c>
      <c r="CK279">
        <v>2.7017600000000002</v>
      </c>
      <c r="CL279">
        <v>9.7846600000000006E-2</v>
      </c>
      <c r="CM279">
        <v>9.6585699999999997E-2</v>
      </c>
      <c r="CN279">
        <v>8.6777000000000007E-2</v>
      </c>
      <c r="CO279">
        <v>8.0568399999999998E-2</v>
      </c>
      <c r="CP279">
        <v>31615.8</v>
      </c>
      <c r="CQ279">
        <v>27810.799999999999</v>
      </c>
      <c r="CR279">
        <v>32436.799999999999</v>
      </c>
      <c r="CS279">
        <v>30712.799999999999</v>
      </c>
      <c r="CT279">
        <v>40119.800000000003</v>
      </c>
      <c r="CU279">
        <v>39719</v>
      </c>
      <c r="CV279">
        <v>47380.4</v>
      </c>
      <c r="CW279">
        <v>46847.6</v>
      </c>
      <c r="CX279">
        <v>2.6175600000000001</v>
      </c>
      <c r="CY279">
        <v>2.1152000000000002</v>
      </c>
      <c r="CZ279">
        <v>0</v>
      </c>
      <c r="DA279">
        <v>0</v>
      </c>
      <c r="DB279">
        <v>999.9</v>
      </c>
      <c r="DC279">
        <v>999.9</v>
      </c>
      <c r="DD279">
        <v>47.302</v>
      </c>
      <c r="DE279">
        <v>28.56</v>
      </c>
      <c r="DF279">
        <v>18.509599999999999</v>
      </c>
      <c r="DG279">
        <v>30.379899999999999</v>
      </c>
      <c r="DH279">
        <v>16.414300000000001</v>
      </c>
      <c r="DI279">
        <v>2</v>
      </c>
      <c r="DJ279">
        <v>-8.6345500000000006E-2</v>
      </c>
      <c r="DK279">
        <v>2.7025299999999999</v>
      </c>
      <c r="DL279">
        <v>20.180399999999999</v>
      </c>
      <c r="DM279">
        <v>5.2495200000000004</v>
      </c>
      <c r="DN279">
        <v>12.033899999999999</v>
      </c>
      <c r="DO279">
        <v>4.9669999999999996</v>
      </c>
      <c r="DP279">
        <v>3.2909999999999999</v>
      </c>
      <c r="DQ279">
        <v>537.4</v>
      </c>
      <c r="DR279">
        <v>9999</v>
      </c>
      <c r="DS279">
        <v>9999</v>
      </c>
      <c r="DT279">
        <v>9999</v>
      </c>
      <c r="DU279">
        <v>1.8711500000000001</v>
      </c>
      <c r="DV279">
        <v>1.87616</v>
      </c>
      <c r="DW279">
        <v>1.87636</v>
      </c>
      <c r="DX279">
        <v>1.8828199999999999</v>
      </c>
      <c r="DY279">
        <v>1.87561</v>
      </c>
      <c r="DZ279">
        <v>1.87469</v>
      </c>
      <c r="EA279">
        <v>1.8708800000000001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-0.78500000000000003</v>
      </c>
      <c r="EQ279">
        <v>9.8100000000000007E-2</v>
      </c>
      <c r="ER279">
        <v>-0.78479999999996197</v>
      </c>
      <c r="ES279">
        <v>0</v>
      </c>
      <c r="ET279">
        <v>0</v>
      </c>
      <c r="EU279">
        <v>0</v>
      </c>
      <c r="EV279">
        <v>9.8130000000001202E-2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9.6999999999999993</v>
      </c>
      <c r="FE279">
        <v>9.3000000000000007</v>
      </c>
      <c r="FF279">
        <v>1.2439</v>
      </c>
      <c r="FG279">
        <v>2.5988799999999999</v>
      </c>
      <c r="FH279">
        <v>2.19604</v>
      </c>
      <c r="FI279">
        <v>2.66235</v>
      </c>
      <c r="FJ279">
        <v>2.4462899999999999</v>
      </c>
      <c r="FK279">
        <v>2.3059099999999999</v>
      </c>
      <c r="FL279">
        <v>32.842399999999998</v>
      </c>
      <c r="FM279">
        <v>24.1313</v>
      </c>
      <c r="FN279">
        <v>19</v>
      </c>
      <c r="FO279">
        <v>865.68299999999999</v>
      </c>
      <c r="FP279">
        <v>568.56799999999998</v>
      </c>
      <c r="FQ279">
        <v>17.677399999999999</v>
      </c>
      <c r="FR279">
        <v>25.8643</v>
      </c>
      <c r="FS279">
        <v>30.0001</v>
      </c>
      <c r="FT279">
        <v>25.830300000000001</v>
      </c>
      <c r="FU279">
        <v>25.830400000000001</v>
      </c>
      <c r="FV279">
        <v>24.969100000000001</v>
      </c>
      <c r="FW279">
        <v>26.990100000000002</v>
      </c>
      <c r="FX279">
        <v>0.50122199999999995</v>
      </c>
      <c r="FY279">
        <v>17.680800000000001</v>
      </c>
      <c r="FZ279">
        <v>410</v>
      </c>
      <c r="GA279">
        <v>14.040100000000001</v>
      </c>
      <c r="GB279">
        <v>99.829400000000007</v>
      </c>
      <c r="GC279">
        <v>99.720500000000001</v>
      </c>
    </row>
    <row r="280" spans="1:185" x14ac:dyDescent="0.2">
      <c r="A280">
        <v>265</v>
      </c>
      <c r="B280">
        <v>1769199556</v>
      </c>
      <c r="C280">
        <v>4995</v>
      </c>
      <c r="D280" t="s">
        <v>832</v>
      </c>
      <c r="E280" t="s">
        <v>833</v>
      </c>
      <c r="F280">
        <v>15</v>
      </c>
      <c r="G280">
        <v>1769199547.9333301</v>
      </c>
      <c r="H280">
        <f t="shared" si="52"/>
        <v>1.0295886936060091E-3</v>
      </c>
      <c r="I280">
        <v>0</v>
      </c>
      <c r="J280">
        <f t="shared" si="64"/>
        <v>1.3612779836099005E-4</v>
      </c>
      <c r="K280">
        <f t="shared" si="53"/>
        <v>5.0726414931276682E-3</v>
      </c>
      <c r="L280">
        <f t="shared" si="54"/>
        <v>69.691776997988143</v>
      </c>
      <c r="M280">
        <f t="shared" si="55"/>
        <v>1.5361180088503656</v>
      </c>
      <c r="N280">
        <f t="shared" si="56"/>
        <v>2.2041596225831781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26233.422346648713</v>
      </c>
      <c r="T280">
        <f t="shared" si="60"/>
        <v>1000.00073333333</v>
      </c>
      <c r="U280">
        <f t="shared" si="61"/>
        <v>843.00087020018191</v>
      </c>
      <c r="V280">
        <f t="shared" si="62"/>
        <v>0.84300025199999995</v>
      </c>
      <c r="W280">
        <f t="shared" si="63"/>
        <v>0.15870063000000001</v>
      </c>
      <c r="X280">
        <v>1</v>
      </c>
      <c r="Y280">
        <v>1769199547.9333301</v>
      </c>
      <c r="Z280">
        <v>409.47993333333301</v>
      </c>
      <c r="AA280">
        <v>410.01326666666699</v>
      </c>
      <c r="AB280">
        <v>15.3228333333333</v>
      </c>
      <c r="AC280">
        <v>14.0555733333333</v>
      </c>
      <c r="AD280">
        <v>410.26453333333302</v>
      </c>
      <c r="AE280">
        <v>15.2247133333333</v>
      </c>
      <c r="AF280">
        <v>800.00353333333305</v>
      </c>
      <c r="AG280">
        <v>100.1862</v>
      </c>
      <c r="AH280">
        <v>6.4058906666666707E-2</v>
      </c>
      <c r="AI280">
        <v>18.99258</v>
      </c>
      <c r="AJ280">
        <v>999.9</v>
      </c>
      <c r="AK280">
        <v>999.9</v>
      </c>
      <c r="AL280">
        <v>0</v>
      </c>
      <c r="AM280">
        <v>0</v>
      </c>
      <c r="AN280">
        <v>4993.7</v>
      </c>
      <c r="AO280">
        <v>0</v>
      </c>
      <c r="AP280">
        <v>1.63733</v>
      </c>
      <c r="AQ280">
        <v>-0.53351040000000005</v>
      </c>
      <c r="AR280">
        <v>415.85186666666698</v>
      </c>
      <c r="AS280">
        <v>415.85840000000002</v>
      </c>
      <c r="AT280">
        <v>1.2672793333333301</v>
      </c>
      <c r="AU280">
        <v>410.01326666666699</v>
      </c>
      <c r="AV280">
        <v>14.0555733333333</v>
      </c>
      <c r="AW280">
        <v>1.5351366666666699</v>
      </c>
      <c r="AX280">
        <v>1.408172</v>
      </c>
      <c r="AY280">
        <v>13.3226666666667</v>
      </c>
      <c r="AZ280">
        <v>12.00592</v>
      </c>
      <c r="BA280">
        <v>1000.00073333333</v>
      </c>
      <c r="BB280">
        <v>0.8999916</v>
      </c>
      <c r="BC280">
        <v>0</v>
      </c>
      <c r="BD280">
        <v>0.1000084</v>
      </c>
      <c r="BE280">
        <v>0</v>
      </c>
      <c r="BF280">
        <v>25</v>
      </c>
      <c r="BG280">
        <v>16488.740000000002</v>
      </c>
      <c r="BH280">
        <v>1769198984</v>
      </c>
      <c r="BI280" t="s">
        <v>771</v>
      </c>
      <c r="BJ280">
        <v>1769198962</v>
      </c>
      <c r="BK280">
        <v>1769198984</v>
      </c>
      <c r="BL280">
        <v>10</v>
      </c>
      <c r="BM280">
        <v>3.5999999999999997E-2</v>
      </c>
      <c r="BN280">
        <v>-2E-3</v>
      </c>
      <c r="BO280">
        <v>-0.78500000000000003</v>
      </c>
      <c r="BP280">
        <v>9.8000000000000004E-2</v>
      </c>
      <c r="BQ280">
        <v>410</v>
      </c>
      <c r="BR280">
        <v>15</v>
      </c>
      <c r="BS280">
        <v>0.32</v>
      </c>
      <c r="BT280">
        <v>0.05</v>
      </c>
      <c r="BU280">
        <v>-0.52627109999999999</v>
      </c>
      <c r="BV280">
        <v>-6.5093774436089796E-2</v>
      </c>
      <c r="BW280">
        <v>1.86209383380645E-2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1.266357</v>
      </c>
      <c r="CD280">
        <v>1.35780451127816E-2</v>
      </c>
      <c r="CE280">
        <v>2.3832144259381999E-3</v>
      </c>
      <c r="CF280">
        <v>1</v>
      </c>
      <c r="CG280">
        <v>2</v>
      </c>
      <c r="CH280">
        <v>2</v>
      </c>
      <c r="CI280" t="s">
        <v>304</v>
      </c>
      <c r="CJ280">
        <v>3.5325500000000001</v>
      </c>
      <c r="CK280">
        <v>2.7019500000000001</v>
      </c>
      <c r="CL280">
        <v>9.7844E-2</v>
      </c>
      <c r="CM280">
        <v>9.6581899999999998E-2</v>
      </c>
      <c r="CN280">
        <v>8.6747199999999997E-2</v>
      </c>
      <c r="CO280">
        <v>8.0556000000000003E-2</v>
      </c>
      <c r="CP280">
        <v>31616.400000000001</v>
      </c>
      <c r="CQ280">
        <v>27811.4</v>
      </c>
      <c r="CR280">
        <v>32437.3</v>
      </c>
      <c r="CS280">
        <v>30713.3</v>
      </c>
      <c r="CT280">
        <v>40121.800000000003</v>
      </c>
      <c r="CU280">
        <v>39720.199999999997</v>
      </c>
      <c r="CV280">
        <v>47381.1</v>
      </c>
      <c r="CW280">
        <v>46848.3</v>
      </c>
      <c r="CX280">
        <v>2.61774</v>
      </c>
      <c r="CY280">
        <v>2.1152199999999999</v>
      </c>
      <c r="CZ280">
        <v>0</v>
      </c>
      <c r="DA280">
        <v>0</v>
      </c>
      <c r="DB280">
        <v>999.9</v>
      </c>
      <c r="DC280">
        <v>999.9</v>
      </c>
      <c r="DD280">
        <v>47.277000000000001</v>
      </c>
      <c r="DE280">
        <v>28.56</v>
      </c>
      <c r="DF280">
        <v>18.499300000000002</v>
      </c>
      <c r="DG280">
        <v>30.4999</v>
      </c>
      <c r="DH280">
        <v>16.482399999999998</v>
      </c>
      <c r="DI280">
        <v>2</v>
      </c>
      <c r="DJ280">
        <v>-8.6609800000000001E-2</v>
      </c>
      <c r="DK280">
        <v>2.6699899999999999</v>
      </c>
      <c r="DL280">
        <v>20.180700000000002</v>
      </c>
      <c r="DM280">
        <v>5.2491599999999998</v>
      </c>
      <c r="DN280">
        <v>12.033899999999999</v>
      </c>
      <c r="DO280">
        <v>4.9670399999999999</v>
      </c>
      <c r="DP280">
        <v>3.2909999999999999</v>
      </c>
      <c r="DQ280">
        <v>537.4</v>
      </c>
      <c r="DR280">
        <v>9999</v>
      </c>
      <c r="DS280">
        <v>9999</v>
      </c>
      <c r="DT280">
        <v>9999</v>
      </c>
      <c r="DU280">
        <v>1.8711500000000001</v>
      </c>
      <c r="DV280">
        <v>1.87612</v>
      </c>
      <c r="DW280">
        <v>1.8763399999999999</v>
      </c>
      <c r="DX280">
        <v>1.8827799999999999</v>
      </c>
      <c r="DY280">
        <v>1.87561</v>
      </c>
      <c r="DZ280">
        <v>1.87469</v>
      </c>
      <c r="EA280">
        <v>1.8708499999999999</v>
      </c>
      <c r="EB280">
        <v>1.8746700000000001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-0.78500000000000003</v>
      </c>
      <c r="EQ280">
        <v>9.8100000000000007E-2</v>
      </c>
      <c r="ER280">
        <v>-0.78479999999996197</v>
      </c>
      <c r="ES280">
        <v>0</v>
      </c>
      <c r="ET280">
        <v>0</v>
      </c>
      <c r="EU280">
        <v>0</v>
      </c>
      <c r="EV280">
        <v>9.8130000000001202E-2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9.9</v>
      </c>
      <c r="FE280">
        <v>9.5</v>
      </c>
      <c r="FF280">
        <v>1.2439</v>
      </c>
      <c r="FG280">
        <v>2.6013199999999999</v>
      </c>
      <c r="FH280">
        <v>2.19604</v>
      </c>
      <c r="FI280">
        <v>2.66235</v>
      </c>
      <c r="FJ280">
        <v>2.4462899999999999</v>
      </c>
      <c r="FK280">
        <v>2.2924799999999999</v>
      </c>
      <c r="FL280">
        <v>32.842399999999998</v>
      </c>
      <c r="FM280">
        <v>24.1313</v>
      </c>
      <c r="FN280">
        <v>19</v>
      </c>
      <c r="FO280">
        <v>865.851</v>
      </c>
      <c r="FP280">
        <v>568.58299999999997</v>
      </c>
      <c r="FQ280">
        <v>17.6905</v>
      </c>
      <c r="FR280">
        <v>25.862100000000002</v>
      </c>
      <c r="FS280">
        <v>29.9999</v>
      </c>
      <c r="FT280">
        <v>25.830300000000001</v>
      </c>
      <c r="FU280">
        <v>25.830400000000001</v>
      </c>
      <c r="FV280">
        <v>24.969899999999999</v>
      </c>
      <c r="FW280">
        <v>26.990100000000002</v>
      </c>
      <c r="FX280">
        <v>0.50122199999999995</v>
      </c>
      <c r="FY280">
        <v>17.695</v>
      </c>
      <c r="FZ280">
        <v>410</v>
      </c>
      <c r="GA280">
        <v>14.040100000000001</v>
      </c>
      <c r="GB280">
        <v>99.8309</v>
      </c>
      <c r="GC280">
        <v>99.722099999999998</v>
      </c>
    </row>
    <row r="281" spans="1:185" x14ac:dyDescent="0.2">
      <c r="A281">
        <v>266</v>
      </c>
      <c r="B281">
        <v>1769199571</v>
      </c>
      <c r="C281">
        <v>5010</v>
      </c>
      <c r="D281" t="s">
        <v>834</v>
      </c>
      <c r="E281" t="s">
        <v>835</v>
      </c>
      <c r="F281">
        <v>15</v>
      </c>
      <c r="G281">
        <v>1769199562.9333301</v>
      </c>
      <c r="H281">
        <f t="shared" si="52"/>
        <v>1.0295713583640849E-3</v>
      </c>
      <c r="I281">
        <v>0</v>
      </c>
      <c r="J281">
        <f t="shared" si="64"/>
        <v>-7.70291358583393E-4</v>
      </c>
      <c r="K281">
        <f t="shared" si="53"/>
        <v>-2.8703996938126818E-2</v>
      </c>
      <c r="L281">
        <f t="shared" si="54"/>
        <v>69.692076421322128</v>
      </c>
      <c r="M281">
        <f t="shared" si="55"/>
        <v>1.5359399204306345</v>
      </c>
      <c r="N281">
        <f t="shared" si="56"/>
        <v>2.2038946165775561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26285.383707217316</v>
      </c>
      <c r="T281">
        <f t="shared" si="60"/>
        <v>999.99966666666705</v>
      </c>
      <c r="U281">
        <f t="shared" si="61"/>
        <v>842.99997299991571</v>
      </c>
      <c r="V281">
        <f t="shared" si="62"/>
        <v>0.843000254</v>
      </c>
      <c r="W281">
        <f t="shared" si="63"/>
        <v>0.15870063500000003</v>
      </c>
      <c r="X281">
        <v>1</v>
      </c>
      <c r="Y281">
        <v>1769199562.9333301</v>
      </c>
      <c r="Z281">
        <v>409.50513333333299</v>
      </c>
      <c r="AA281">
        <v>409.996266666667</v>
      </c>
      <c r="AB281">
        <v>15.321066666666701</v>
      </c>
      <c r="AC281">
        <v>14.0538333333333</v>
      </c>
      <c r="AD281">
        <v>410.26313333333297</v>
      </c>
      <c r="AE281">
        <v>15.222953333333299</v>
      </c>
      <c r="AF281">
        <v>800.00833333333298</v>
      </c>
      <c r="AG281">
        <v>100.18600000000001</v>
      </c>
      <c r="AH281">
        <v>6.41949666666667E-2</v>
      </c>
      <c r="AI281">
        <v>18.990653333333299</v>
      </c>
      <c r="AJ281">
        <v>999.9</v>
      </c>
      <c r="AK281">
        <v>999.9</v>
      </c>
      <c r="AL281">
        <v>0</v>
      </c>
      <c r="AM281">
        <v>0</v>
      </c>
      <c r="AN281">
        <v>5002.2333333333299</v>
      </c>
      <c r="AO281">
        <v>0</v>
      </c>
      <c r="AP281">
        <v>1.63733</v>
      </c>
      <c r="AQ281">
        <v>-0.51791193333333296</v>
      </c>
      <c r="AR281">
        <v>415.849533333333</v>
      </c>
      <c r="AS281">
        <v>415.84059999999999</v>
      </c>
      <c r="AT281">
        <v>1.2672393333333301</v>
      </c>
      <c r="AU281">
        <v>409.996266666667</v>
      </c>
      <c r="AV281">
        <v>14.0538333333333</v>
      </c>
      <c r="AW281">
        <v>1.534956</v>
      </c>
      <c r="AX281">
        <v>1.4079953333333299</v>
      </c>
      <c r="AY281">
        <v>13.320873333333299</v>
      </c>
      <c r="AZ281">
        <v>12.004020000000001</v>
      </c>
      <c r="BA281">
        <v>999.99966666666705</v>
      </c>
      <c r="BB281">
        <v>0.89999153333333304</v>
      </c>
      <c r="BC281">
        <v>0</v>
      </c>
      <c r="BD281">
        <v>0.100008466666667</v>
      </c>
      <c r="BE281">
        <v>0</v>
      </c>
      <c r="BF281">
        <v>25</v>
      </c>
      <c r="BG281">
        <v>16488.746666666699</v>
      </c>
      <c r="BH281">
        <v>1769199592</v>
      </c>
      <c r="BI281" t="s">
        <v>836</v>
      </c>
      <c r="BJ281">
        <v>1769199592</v>
      </c>
      <c r="BK281">
        <v>1769198984</v>
      </c>
      <c r="BL281">
        <v>11</v>
      </c>
      <c r="BM281">
        <v>2.7E-2</v>
      </c>
      <c r="BN281">
        <v>-2E-3</v>
      </c>
      <c r="BO281">
        <v>-0.75800000000000001</v>
      </c>
      <c r="BP281">
        <v>9.8000000000000004E-2</v>
      </c>
      <c r="BQ281">
        <v>410</v>
      </c>
      <c r="BR281">
        <v>15</v>
      </c>
      <c r="BS281">
        <v>0.25</v>
      </c>
      <c r="BT281">
        <v>0.05</v>
      </c>
      <c r="BU281">
        <v>-0.51998766666666696</v>
      </c>
      <c r="BV281">
        <v>-1.6646337662337599E-2</v>
      </c>
      <c r="BW281">
        <v>2.0274834808400699E-2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1.26721285714286</v>
      </c>
      <c r="CD281">
        <v>6.9187012987025403E-3</v>
      </c>
      <c r="CE281">
        <v>1.88399813683344E-3</v>
      </c>
      <c r="CF281">
        <v>1</v>
      </c>
      <c r="CG281">
        <v>2</v>
      </c>
      <c r="CH281">
        <v>2</v>
      </c>
      <c r="CI281" t="s">
        <v>304</v>
      </c>
      <c r="CJ281">
        <v>3.5325299999999999</v>
      </c>
      <c r="CK281">
        <v>2.7021000000000002</v>
      </c>
      <c r="CL281">
        <v>9.7844E-2</v>
      </c>
      <c r="CM281">
        <v>9.6584299999999998E-2</v>
      </c>
      <c r="CN281">
        <v>8.6764300000000003E-2</v>
      </c>
      <c r="CO281">
        <v>8.0549599999999999E-2</v>
      </c>
      <c r="CP281">
        <v>31616.5</v>
      </c>
      <c r="CQ281">
        <v>27811.8</v>
      </c>
      <c r="CR281">
        <v>32437.4</v>
      </c>
      <c r="CS281">
        <v>30713.9</v>
      </c>
      <c r="CT281">
        <v>40121.199999999997</v>
      </c>
      <c r="CU281">
        <v>39721.4</v>
      </c>
      <c r="CV281">
        <v>47381.4</v>
      </c>
      <c r="CW281">
        <v>46849.4</v>
      </c>
      <c r="CX281">
        <v>2.6176200000000001</v>
      </c>
      <c r="CY281">
        <v>2.1153599999999999</v>
      </c>
      <c r="CZ281">
        <v>0</v>
      </c>
      <c r="DA281">
        <v>0</v>
      </c>
      <c r="DB281">
        <v>999.9</v>
      </c>
      <c r="DC281">
        <v>999.9</v>
      </c>
      <c r="DD281">
        <v>47.253</v>
      </c>
      <c r="DE281">
        <v>28.55</v>
      </c>
      <c r="DF281">
        <v>18.480599999999999</v>
      </c>
      <c r="DG281">
        <v>30.289899999999999</v>
      </c>
      <c r="DH281">
        <v>16.5425</v>
      </c>
      <c r="DI281">
        <v>2</v>
      </c>
      <c r="DJ281">
        <v>-8.7170700000000004E-2</v>
      </c>
      <c r="DK281">
        <v>2.62459</v>
      </c>
      <c r="DL281">
        <v>20.181899999999999</v>
      </c>
      <c r="DM281">
        <v>5.24892</v>
      </c>
      <c r="DN281">
        <v>12.033899999999999</v>
      </c>
      <c r="DO281">
        <v>4.9670399999999999</v>
      </c>
      <c r="DP281">
        <v>3.2909999999999999</v>
      </c>
      <c r="DQ281">
        <v>537.4</v>
      </c>
      <c r="DR281">
        <v>9999</v>
      </c>
      <c r="DS281">
        <v>9999</v>
      </c>
      <c r="DT281">
        <v>9999</v>
      </c>
      <c r="DU281">
        <v>1.8711500000000001</v>
      </c>
      <c r="DV281">
        <v>1.8761099999999999</v>
      </c>
      <c r="DW281">
        <v>1.8763700000000001</v>
      </c>
      <c r="DX281">
        <v>1.8828100000000001</v>
      </c>
      <c r="DY281">
        <v>1.87561</v>
      </c>
      <c r="DZ281">
        <v>1.87469</v>
      </c>
      <c r="EA281">
        <v>1.87087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-0.75800000000000001</v>
      </c>
      <c r="EQ281">
        <v>9.8100000000000007E-2</v>
      </c>
      <c r="ER281">
        <v>-0.78479999999996197</v>
      </c>
      <c r="ES281">
        <v>0</v>
      </c>
      <c r="ET281">
        <v>0</v>
      </c>
      <c r="EU281">
        <v>0</v>
      </c>
      <c r="EV281">
        <v>9.8130000000001202E-2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10.199999999999999</v>
      </c>
      <c r="FE281">
        <v>9.8000000000000007</v>
      </c>
      <c r="FF281">
        <v>1.2439</v>
      </c>
      <c r="FG281">
        <v>2.5964399999999999</v>
      </c>
      <c r="FH281">
        <v>2.19604</v>
      </c>
      <c r="FI281">
        <v>2.66113</v>
      </c>
      <c r="FJ281">
        <v>2.4462899999999999</v>
      </c>
      <c r="FK281">
        <v>2.3144499999999999</v>
      </c>
      <c r="FL281">
        <v>32.842399999999998</v>
      </c>
      <c r="FM281">
        <v>24.14</v>
      </c>
      <c r="FN281">
        <v>19</v>
      </c>
      <c r="FO281">
        <v>865.73900000000003</v>
      </c>
      <c r="FP281">
        <v>568.66700000000003</v>
      </c>
      <c r="FQ281">
        <v>17.709199999999999</v>
      </c>
      <c r="FR281">
        <v>25.8582</v>
      </c>
      <c r="FS281">
        <v>29.9999</v>
      </c>
      <c r="FT281">
        <v>25.830300000000001</v>
      </c>
      <c r="FU281">
        <v>25.828199999999999</v>
      </c>
      <c r="FV281">
        <v>24.969100000000001</v>
      </c>
      <c r="FW281">
        <v>26.990100000000002</v>
      </c>
      <c r="FX281">
        <v>0.50122199999999995</v>
      </c>
      <c r="FY281">
        <v>17.714500000000001</v>
      </c>
      <c r="FZ281">
        <v>410</v>
      </c>
      <c r="GA281">
        <v>14.040100000000001</v>
      </c>
      <c r="GB281">
        <v>99.831400000000002</v>
      </c>
      <c r="GC281">
        <v>99.724199999999996</v>
      </c>
    </row>
    <row r="282" spans="1:185" x14ac:dyDescent="0.2">
      <c r="A282">
        <v>267</v>
      </c>
      <c r="B282">
        <v>1769199594</v>
      </c>
      <c r="C282">
        <v>5033</v>
      </c>
      <c r="D282" t="s">
        <v>837</v>
      </c>
      <c r="E282" t="s">
        <v>838</v>
      </c>
      <c r="F282">
        <v>15</v>
      </c>
      <c r="G282">
        <v>1769199593</v>
      </c>
      <c r="H282">
        <f t="shared" si="52"/>
        <v>8.5199735886419985E-6</v>
      </c>
      <c r="I282">
        <v>0</v>
      </c>
      <c r="J282">
        <f t="shared" si="64"/>
        <v>-5.8753580464162355E-4</v>
      </c>
      <c r="K282">
        <f t="shared" si="53"/>
        <v>-2.1893827250623693E-2</v>
      </c>
      <c r="L282">
        <f t="shared" si="54"/>
        <v>63.964675430341565</v>
      </c>
      <c r="M282">
        <f t="shared" si="55"/>
        <v>1.4097357393251502</v>
      </c>
      <c r="N282">
        <f t="shared" si="56"/>
        <v>2.2039285431227933</v>
      </c>
      <c r="O282">
        <v>484</v>
      </c>
      <c r="P282">
        <v>60</v>
      </c>
      <c r="Q282">
        <f t="shared" si="57"/>
        <v>1</v>
      </c>
      <c r="R282">
        <f t="shared" si="58"/>
        <v>0</v>
      </c>
      <c r="S282">
        <f t="shared" si="59"/>
        <v>26171.536929119247</v>
      </c>
      <c r="T282">
        <f t="shared" si="60"/>
        <v>1000</v>
      </c>
      <c r="U282">
        <f t="shared" si="61"/>
        <v>842.99973</v>
      </c>
      <c r="V282">
        <f t="shared" si="62"/>
        <v>0.84299972999999995</v>
      </c>
      <c r="W282">
        <f t="shared" si="63"/>
        <v>0.158699325</v>
      </c>
      <c r="X282">
        <v>1</v>
      </c>
      <c r="Y282">
        <v>1769199593</v>
      </c>
      <c r="Z282">
        <v>410.029</v>
      </c>
      <c r="AA282">
        <v>410.00599999999997</v>
      </c>
      <c r="AB282">
        <v>14.060499999999999</v>
      </c>
      <c r="AC282">
        <v>14.05</v>
      </c>
      <c r="AD282">
        <v>410.78699999999998</v>
      </c>
      <c r="AE282">
        <v>13.974500000000001</v>
      </c>
      <c r="AF282">
        <v>800.01700000000005</v>
      </c>
      <c r="AG282">
        <v>100.18600000000001</v>
      </c>
      <c r="AH282">
        <v>7.6134300000000002E-2</v>
      </c>
      <c r="AI282">
        <v>18.9909</v>
      </c>
      <c r="AJ282">
        <v>999.9</v>
      </c>
      <c r="AK282">
        <v>999.9</v>
      </c>
      <c r="AL282">
        <v>0</v>
      </c>
      <c r="AM282">
        <v>0</v>
      </c>
      <c r="AN282">
        <v>4983.5</v>
      </c>
      <c r="AO282">
        <v>0</v>
      </c>
      <c r="AP282">
        <v>1.63733</v>
      </c>
      <c r="AQ282">
        <v>2.3101799999999999E-2</v>
      </c>
      <c r="AR282">
        <v>415.88200000000001</v>
      </c>
      <c r="AS282">
        <v>415.84899999999999</v>
      </c>
      <c r="AT282">
        <v>2.25811E-2</v>
      </c>
      <c r="AU282">
        <v>410.00599999999997</v>
      </c>
      <c r="AV282">
        <v>14.05</v>
      </c>
      <c r="AW282">
        <v>1.40988</v>
      </c>
      <c r="AX282">
        <v>1.4076200000000001</v>
      </c>
      <c r="AY282">
        <v>12.0243</v>
      </c>
      <c r="AZ282">
        <v>11.9999</v>
      </c>
      <c r="BA282">
        <v>1000</v>
      </c>
      <c r="BB282">
        <v>0.90000899999999995</v>
      </c>
      <c r="BC282">
        <v>0</v>
      </c>
      <c r="BD282">
        <v>9.9990999999999997E-2</v>
      </c>
      <c r="BE282">
        <v>0</v>
      </c>
      <c r="BF282">
        <v>25</v>
      </c>
      <c r="BG282">
        <v>16488.8</v>
      </c>
      <c r="BH282">
        <v>1769199614</v>
      </c>
      <c r="BI282" t="s">
        <v>839</v>
      </c>
      <c r="BJ282">
        <v>1769199592</v>
      </c>
      <c r="BK282">
        <v>1769199614</v>
      </c>
      <c r="BL282">
        <v>12</v>
      </c>
      <c r="BM282">
        <v>2.7E-2</v>
      </c>
      <c r="BN282">
        <v>-1.2E-2</v>
      </c>
      <c r="BO282">
        <v>-0.75800000000000001</v>
      </c>
      <c r="BP282">
        <v>8.5999999999999993E-2</v>
      </c>
      <c r="BQ282">
        <v>410</v>
      </c>
      <c r="BR282">
        <v>14</v>
      </c>
      <c r="BS282">
        <v>0.25</v>
      </c>
      <c r="BT282">
        <v>0.09</v>
      </c>
      <c r="BU282">
        <v>-7.1519461500000006E-2</v>
      </c>
      <c r="BV282">
        <v>0.78374507593984999</v>
      </c>
      <c r="BW282">
        <v>0.118036099154349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0.15509940999999999</v>
      </c>
      <c r="CD282">
        <v>-1.98875492932331</v>
      </c>
      <c r="CE282">
        <v>0.28171183933018101</v>
      </c>
      <c r="CF282">
        <v>0</v>
      </c>
      <c r="CG282">
        <v>0</v>
      </c>
      <c r="CH282">
        <v>2</v>
      </c>
      <c r="CI282" t="s">
        <v>290</v>
      </c>
      <c r="CJ282">
        <v>3.53403</v>
      </c>
      <c r="CK282">
        <v>2.7126899999999998</v>
      </c>
      <c r="CL282">
        <v>9.7918900000000003E-2</v>
      </c>
      <c r="CM282">
        <v>9.6583699999999995E-2</v>
      </c>
      <c r="CN282">
        <v>8.1579399999999996E-2</v>
      </c>
      <c r="CO282">
        <v>8.0531900000000003E-2</v>
      </c>
      <c r="CP282">
        <v>31614.6</v>
      </c>
      <c r="CQ282">
        <v>27812.2</v>
      </c>
      <c r="CR282">
        <v>32438.2</v>
      </c>
      <c r="CS282">
        <v>30714.2</v>
      </c>
      <c r="CT282">
        <v>40356.699999999997</v>
      </c>
      <c r="CU282">
        <v>39722.300000000003</v>
      </c>
      <c r="CV282">
        <v>47382.7</v>
      </c>
      <c r="CW282">
        <v>46849.599999999999</v>
      </c>
      <c r="CX282">
        <v>1.68086</v>
      </c>
      <c r="CY282">
        <v>1.5967</v>
      </c>
      <c r="CZ282">
        <v>0</v>
      </c>
      <c r="DA282">
        <v>0</v>
      </c>
      <c r="DB282">
        <v>999.9</v>
      </c>
      <c r="DC282">
        <v>999.9</v>
      </c>
      <c r="DD282">
        <v>47.228999999999999</v>
      </c>
      <c r="DE282">
        <v>28.56</v>
      </c>
      <c r="DF282">
        <v>18.4819</v>
      </c>
      <c r="DG282">
        <v>30.309899999999999</v>
      </c>
      <c r="DH282">
        <v>16.694700000000001</v>
      </c>
      <c r="DI282">
        <v>2</v>
      </c>
      <c r="DJ282">
        <v>-8.8341500000000003E-2</v>
      </c>
      <c r="DK282">
        <v>2.5807000000000002</v>
      </c>
      <c r="DL282">
        <v>20.180399999999999</v>
      </c>
      <c r="DM282">
        <v>5.2414899999999998</v>
      </c>
      <c r="DN282">
        <v>12.033899999999999</v>
      </c>
      <c r="DO282">
        <v>4.9653600000000004</v>
      </c>
      <c r="DP282">
        <v>3.2896800000000002</v>
      </c>
      <c r="DQ282">
        <v>537.4</v>
      </c>
      <c r="DR282">
        <v>9999</v>
      </c>
      <c r="DS282">
        <v>9999</v>
      </c>
      <c r="DT282">
        <v>9999</v>
      </c>
      <c r="DU282">
        <v>1.87114</v>
      </c>
      <c r="DV282">
        <v>1.87616</v>
      </c>
      <c r="DW282">
        <v>1.8763700000000001</v>
      </c>
      <c r="DX282">
        <v>1.8828100000000001</v>
      </c>
      <c r="DY282">
        <v>1.87561</v>
      </c>
      <c r="DZ282">
        <v>1.8747</v>
      </c>
      <c r="EA282">
        <v>1.87087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-0.75700000000000001</v>
      </c>
      <c r="EQ282">
        <v>8.5999999999999993E-2</v>
      </c>
      <c r="ER282">
        <v>-0.75763636363637898</v>
      </c>
      <c r="ES282">
        <v>0</v>
      </c>
      <c r="ET282">
        <v>0</v>
      </c>
      <c r="EU282">
        <v>0</v>
      </c>
      <c r="EV282">
        <v>9.8130000000001202E-2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0</v>
      </c>
      <c r="FE282">
        <v>10.199999999999999</v>
      </c>
      <c r="FF282">
        <v>1.2439</v>
      </c>
      <c r="FG282">
        <v>2.6037599999999999</v>
      </c>
      <c r="FH282">
        <v>2.19604</v>
      </c>
      <c r="FI282">
        <v>2.66235</v>
      </c>
      <c r="FJ282">
        <v>2.4462899999999999</v>
      </c>
      <c r="FK282">
        <v>2.2961399999999998</v>
      </c>
      <c r="FL282">
        <v>32.842399999999998</v>
      </c>
      <c r="FM282">
        <v>24.1313</v>
      </c>
      <c r="FN282">
        <v>19</v>
      </c>
      <c r="FO282">
        <v>298.23700000000002</v>
      </c>
      <c r="FP282">
        <v>276.87299999999999</v>
      </c>
      <c r="FQ282">
        <v>17.7363</v>
      </c>
      <c r="FR282">
        <v>25.850300000000001</v>
      </c>
      <c r="FS282">
        <v>29.9999</v>
      </c>
      <c r="FT282">
        <v>25.845600000000001</v>
      </c>
      <c r="FU282">
        <v>25.840800000000002</v>
      </c>
      <c r="FV282">
        <v>24.970800000000001</v>
      </c>
      <c r="FW282">
        <v>24.4621</v>
      </c>
      <c r="FX282">
        <v>0.12609300000000001</v>
      </c>
      <c r="FY282">
        <v>17.7438</v>
      </c>
      <c r="FZ282">
        <v>410</v>
      </c>
      <c r="GA282">
        <v>14.85</v>
      </c>
      <c r="GB282">
        <v>99.834000000000003</v>
      </c>
      <c r="GC282">
        <v>99.724900000000005</v>
      </c>
    </row>
    <row r="283" spans="1:185" x14ac:dyDescent="0.2">
      <c r="A283">
        <v>268</v>
      </c>
      <c r="B283">
        <v>1769199616</v>
      </c>
      <c r="C283">
        <v>5055</v>
      </c>
      <c r="D283" t="s">
        <v>840</v>
      </c>
      <c r="E283" t="s">
        <v>841</v>
      </c>
      <c r="F283">
        <v>15</v>
      </c>
      <c r="G283">
        <v>1769199615</v>
      </c>
      <c r="H283">
        <f t="shared" si="52"/>
        <v>-2.4351131422197424E-7</v>
      </c>
      <c r="I283">
        <v>0</v>
      </c>
      <c r="J283">
        <f t="shared" si="64"/>
        <v>-1.0063634732020081E-3</v>
      </c>
      <c r="K283">
        <f t="shared" si="53"/>
        <v>-3.7500945235264239E-2</v>
      </c>
      <c r="L283">
        <f t="shared" si="54"/>
        <v>65.492302061928868</v>
      </c>
      <c r="M283">
        <f t="shared" si="55"/>
        <v>1.4437729030000601</v>
      </c>
      <c r="N283">
        <f t="shared" si="56"/>
        <v>2.2044925243807172</v>
      </c>
      <c r="O283">
        <v>483</v>
      </c>
      <c r="P283">
        <v>60</v>
      </c>
      <c r="Q283">
        <f t="shared" si="57"/>
        <v>1</v>
      </c>
      <c r="R283">
        <f t="shared" si="58"/>
        <v>0</v>
      </c>
      <c r="S283">
        <f t="shared" si="59"/>
        <v>26335.461866691505</v>
      </c>
      <c r="T283">
        <f t="shared" si="60"/>
        <v>1000</v>
      </c>
      <c r="U283">
        <f t="shared" si="61"/>
        <v>842.99989800000003</v>
      </c>
      <c r="V283">
        <f t="shared" si="62"/>
        <v>0.84299989800000008</v>
      </c>
      <c r="W283">
        <f t="shared" si="63"/>
        <v>0.15869896548000001</v>
      </c>
      <c r="X283">
        <v>1</v>
      </c>
      <c r="Y283">
        <v>1769199615</v>
      </c>
      <c r="Z283">
        <v>409.86500000000001</v>
      </c>
      <c r="AA283">
        <v>409.81799999999998</v>
      </c>
      <c r="AB283">
        <v>14.399800000000001</v>
      </c>
      <c r="AC283">
        <v>14.4001</v>
      </c>
      <c r="AD283">
        <v>410.62200000000001</v>
      </c>
      <c r="AE283">
        <v>14.314</v>
      </c>
      <c r="AF283">
        <v>800.01599999999996</v>
      </c>
      <c r="AG283">
        <v>100.187</v>
      </c>
      <c r="AH283">
        <v>7.6399700000000001E-2</v>
      </c>
      <c r="AI283">
        <v>18.995000000000001</v>
      </c>
      <c r="AJ283">
        <v>999.9</v>
      </c>
      <c r="AK283">
        <v>999.9</v>
      </c>
      <c r="AL283">
        <v>0</v>
      </c>
      <c r="AM283">
        <v>0</v>
      </c>
      <c r="AN283">
        <v>5010.5</v>
      </c>
      <c r="AO283">
        <v>0</v>
      </c>
      <c r="AP283">
        <v>1.63733</v>
      </c>
      <c r="AQ283">
        <v>4.6783400000000003E-2</v>
      </c>
      <c r="AR283">
        <v>415.85300000000001</v>
      </c>
      <c r="AS283">
        <v>415.80599999999998</v>
      </c>
      <c r="AT283">
        <v>-2.9754599999999999E-4</v>
      </c>
      <c r="AU283">
        <v>409.81799999999998</v>
      </c>
      <c r="AV283">
        <v>14.4001</v>
      </c>
      <c r="AW283">
        <v>1.44268</v>
      </c>
      <c r="AX283">
        <v>1.4427099999999999</v>
      </c>
      <c r="AY283">
        <v>12.373799999999999</v>
      </c>
      <c r="AZ283">
        <v>12.3741</v>
      </c>
      <c r="BA283">
        <v>1000</v>
      </c>
      <c r="BB283">
        <v>0.90001500000000001</v>
      </c>
      <c r="BC283">
        <v>0</v>
      </c>
      <c r="BD283">
        <v>9.9985400000000002E-2</v>
      </c>
      <c r="BE283">
        <v>0</v>
      </c>
      <c r="BF283">
        <v>25</v>
      </c>
      <c r="BG283">
        <v>16488.900000000001</v>
      </c>
      <c r="BH283">
        <v>1769199614</v>
      </c>
      <c r="BI283" t="s">
        <v>839</v>
      </c>
      <c r="BJ283">
        <v>1769199592</v>
      </c>
      <c r="BK283">
        <v>1769199614</v>
      </c>
      <c r="BL283">
        <v>12</v>
      </c>
      <c r="BM283">
        <v>2.7E-2</v>
      </c>
      <c r="BN283">
        <v>-1.2E-2</v>
      </c>
      <c r="BO283">
        <v>-0.75800000000000001</v>
      </c>
      <c r="BP283">
        <v>8.5999999999999993E-2</v>
      </c>
      <c r="BQ283">
        <v>410</v>
      </c>
      <c r="BR283">
        <v>14</v>
      </c>
      <c r="BS283">
        <v>0.25</v>
      </c>
      <c r="BT283">
        <v>0.09</v>
      </c>
      <c r="BU283">
        <v>1.609497E-2</v>
      </c>
      <c r="BV283">
        <v>0.28602447518796997</v>
      </c>
      <c r="BW283">
        <v>3.3122797310992602E-2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0.12192365769999999</v>
      </c>
      <c r="CD283">
        <v>-1.54798121837594</v>
      </c>
      <c r="CE283">
        <v>0.19579350253262701</v>
      </c>
      <c r="CF283">
        <v>0</v>
      </c>
      <c r="CG283">
        <v>1</v>
      </c>
      <c r="CH283">
        <v>2</v>
      </c>
      <c r="CI283" t="s">
        <v>297</v>
      </c>
      <c r="CJ283">
        <v>3.5339200000000002</v>
      </c>
      <c r="CK283">
        <v>2.71272</v>
      </c>
      <c r="CL283">
        <v>9.78932E-2</v>
      </c>
      <c r="CM283">
        <v>9.6559800000000001E-2</v>
      </c>
      <c r="CN283">
        <v>8.3055699999999996E-2</v>
      </c>
      <c r="CO283">
        <v>8.2017199999999998E-2</v>
      </c>
      <c r="CP283">
        <v>31617</v>
      </c>
      <c r="CQ283">
        <v>27814.400000000001</v>
      </c>
      <c r="CR283">
        <v>32439.599999999999</v>
      </c>
      <c r="CS283">
        <v>30715.7</v>
      </c>
      <c r="CT283">
        <v>40291.5</v>
      </c>
      <c r="CU283">
        <v>39658.6</v>
      </c>
      <c r="CV283">
        <v>47384.4</v>
      </c>
      <c r="CW283">
        <v>46852.2</v>
      </c>
      <c r="CX283">
        <v>1.6817599999999999</v>
      </c>
      <c r="CY283">
        <v>1.5980000000000001</v>
      </c>
      <c r="CZ283">
        <v>0</v>
      </c>
      <c r="DA283">
        <v>0</v>
      </c>
      <c r="DB283">
        <v>999.9</v>
      </c>
      <c r="DC283">
        <v>999.9</v>
      </c>
      <c r="DD283">
        <v>47.113</v>
      </c>
      <c r="DE283">
        <v>28.56</v>
      </c>
      <c r="DF283">
        <v>18.435300000000002</v>
      </c>
      <c r="DG283">
        <v>30.1099</v>
      </c>
      <c r="DH283">
        <v>16.722799999999999</v>
      </c>
      <c r="DI283">
        <v>2</v>
      </c>
      <c r="DJ283">
        <v>-8.9542700000000003E-2</v>
      </c>
      <c r="DK283">
        <v>2.5251800000000002</v>
      </c>
      <c r="DL283">
        <v>20.1816</v>
      </c>
      <c r="DM283">
        <v>5.2437699999999996</v>
      </c>
      <c r="DN283">
        <v>12.033899999999999</v>
      </c>
      <c r="DO283">
        <v>4.9660000000000002</v>
      </c>
      <c r="DP283">
        <v>3.28992</v>
      </c>
      <c r="DQ283">
        <v>537.4</v>
      </c>
      <c r="DR283">
        <v>9999</v>
      </c>
      <c r="DS283">
        <v>9999</v>
      </c>
      <c r="DT283">
        <v>9999</v>
      </c>
      <c r="DU283">
        <v>1.8711500000000001</v>
      </c>
      <c r="DV283">
        <v>1.87615</v>
      </c>
      <c r="DW283">
        <v>1.8763700000000001</v>
      </c>
      <c r="DX283">
        <v>1.88283</v>
      </c>
      <c r="DY283">
        <v>1.8756200000000001</v>
      </c>
      <c r="DZ283">
        <v>1.8747</v>
      </c>
      <c r="EA283">
        <v>1.87087</v>
      </c>
      <c r="EB283">
        <v>1.8746799999999999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-0.75800000000000001</v>
      </c>
      <c r="EQ283">
        <v>8.5800000000000001E-2</v>
      </c>
      <c r="ER283">
        <v>-0.75763636363637898</v>
      </c>
      <c r="ES283">
        <v>0</v>
      </c>
      <c r="ET283">
        <v>0</v>
      </c>
      <c r="EU283">
        <v>0</v>
      </c>
      <c r="EV283">
        <v>8.5740000000001301E-2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0.4</v>
      </c>
      <c r="FE283">
        <v>0</v>
      </c>
      <c r="FF283">
        <v>1.2439</v>
      </c>
      <c r="FG283">
        <v>2.5964399999999999</v>
      </c>
      <c r="FH283">
        <v>2.19604</v>
      </c>
      <c r="FI283">
        <v>2.66235</v>
      </c>
      <c r="FJ283">
        <v>2.4462899999999999</v>
      </c>
      <c r="FK283">
        <v>2.3278799999999999</v>
      </c>
      <c r="FL283">
        <v>32.864699999999999</v>
      </c>
      <c r="FM283">
        <v>24.14</v>
      </c>
      <c r="FN283">
        <v>19</v>
      </c>
      <c r="FO283">
        <v>299.48</v>
      </c>
      <c r="FP283">
        <v>277.43799999999999</v>
      </c>
      <c r="FQ283">
        <v>17.7623</v>
      </c>
      <c r="FR283">
        <v>25.838999999999999</v>
      </c>
      <c r="FS283">
        <v>29.9998</v>
      </c>
      <c r="FT283">
        <v>25.840699999999998</v>
      </c>
      <c r="FU283">
        <v>25.8339</v>
      </c>
      <c r="FV283">
        <v>24.972899999999999</v>
      </c>
      <c r="FW283">
        <v>24.729299999999999</v>
      </c>
      <c r="FX283">
        <v>0.12609300000000001</v>
      </c>
      <c r="FY283">
        <v>17.766300000000001</v>
      </c>
      <c r="FZ283">
        <v>410</v>
      </c>
      <c r="GA283">
        <v>14.692</v>
      </c>
      <c r="GB283">
        <v>99.837999999999994</v>
      </c>
      <c r="GC283">
        <v>99.730099999999993</v>
      </c>
    </row>
    <row r="284" spans="1:185" x14ac:dyDescent="0.2">
      <c r="A284">
        <v>269</v>
      </c>
      <c r="B284">
        <v>1769199631</v>
      </c>
      <c r="C284">
        <v>5070</v>
      </c>
      <c r="D284" t="s">
        <v>842</v>
      </c>
      <c r="E284" t="s">
        <v>843</v>
      </c>
      <c r="F284">
        <v>15</v>
      </c>
      <c r="G284">
        <v>1769199622.9333301</v>
      </c>
      <c r="H284">
        <f t="shared" si="52"/>
        <v>8.4191276656542279E-4</v>
      </c>
      <c r="I284">
        <v>0</v>
      </c>
      <c r="J284">
        <f t="shared" si="64"/>
        <v>6.8252571792106593E-4</v>
      </c>
      <c r="K284">
        <f t="shared" si="53"/>
        <v>2.5433514084110171E-2</v>
      </c>
      <c r="L284">
        <f t="shared" si="54"/>
        <v>69.437577833585379</v>
      </c>
      <c r="M284">
        <f t="shared" si="55"/>
        <v>1.5305729995696442</v>
      </c>
      <c r="N284">
        <f t="shared" si="56"/>
        <v>2.2042430731639677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26276.240966158184</v>
      </c>
      <c r="T284">
        <f t="shared" si="60"/>
        <v>999.99713333333295</v>
      </c>
      <c r="U284">
        <f t="shared" si="61"/>
        <v>842.996988001707</v>
      </c>
      <c r="V284">
        <f t="shared" si="62"/>
        <v>0.84299940460000056</v>
      </c>
      <c r="W284">
        <f t="shared" si="63"/>
        <v>0.1586986803960001</v>
      </c>
      <c r="X284">
        <v>1</v>
      </c>
      <c r="Y284">
        <v>1769199622.9333301</v>
      </c>
      <c r="Z284">
        <v>409.51193333333299</v>
      </c>
      <c r="AA284">
        <v>409.97446666666701</v>
      </c>
      <c r="AB284">
        <v>15.26676</v>
      </c>
      <c r="AC284">
        <v>14.23094</v>
      </c>
      <c r="AD284">
        <v>410.26966666666698</v>
      </c>
      <c r="AE284">
        <v>15.18102</v>
      </c>
      <c r="AF284">
        <v>800.38953333333302</v>
      </c>
      <c r="AG284">
        <v>100.189066666667</v>
      </c>
      <c r="AH284">
        <v>6.6193753333333299E-2</v>
      </c>
      <c r="AI284">
        <v>18.993186666666698</v>
      </c>
      <c r="AJ284">
        <v>999.9</v>
      </c>
      <c r="AK284">
        <v>999.9</v>
      </c>
      <c r="AL284">
        <v>0</v>
      </c>
      <c r="AM284">
        <v>0</v>
      </c>
      <c r="AN284">
        <v>5000.6333333333296</v>
      </c>
      <c r="AO284">
        <v>0</v>
      </c>
      <c r="AP284">
        <v>1.63733</v>
      </c>
      <c r="AQ284">
        <v>-0.46245530666666701</v>
      </c>
      <c r="AR284">
        <v>415.86093333333298</v>
      </c>
      <c r="AS284">
        <v>415.89306666666698</v>
      </c>
      <c r="AT284">
        <v>1.03581709693333</v>
      </c>
      <c r="AU284">
        <v>409.97446666666701</v>
      </c>
      <c r="AV284">
        <v>14.23094</v>
      </c>
      <c r="AW284">
        <v>1.5295633333333301</v>
      </c>
      <c r="AX284">
        <v>1.4257853333333299</v>
      </c>
      <c r="AY284">
        <v>13.263680000000001</v>
      </c>
      <c r="AZ284">
        <v>12.1942866666667</v>
      </c>
      <c r="BA284">
        <v>999.99713333333295</v>
      </c>
      <c r="BB284">
        <v>0.900017333333334</v>
      </c>
      <c r="BC284">
        <v>0</v>
      </c>
      <c r="BD284">
        <v>9.9982580000000001E-2</v>
      </c>
      <c r="BE284">
        <v>0</v>
      </c>
      <c r="BF284">
        <v>25</v>
      </c>
      <c r="BG284">
        <v>16488.8266666667</v>
      </c>
      <c r="BH284">
        <v>1769199614</v>
      </c>
      <c r="BI284" t="s">
        <v>839</v>
      </c>
      <c r="BJ284">
        <v>1769199592</v>
      </c>
      <c r="BK284">
        <v>1769199614</v>
      </c>
      <c r="BL284">
        <v>12</v>
      </c>
      <c r="BM284">
        <v>2.7E-2</v>
      </c>
      <c r="BN284">
        <v>-1.2E-2</v>
      </c>
      <c r="BO284">
        <v>-0.75800000000000001</v>
      </c>
      <c r="BP284">
        <v>8.5999999999999993E-2</v>
      </c>
      <c r="BQ284">
        <v>410</v>
      </c>
      <c r="BR284">
        <v>14</v>
      </c>
      <c r="BS284">
        <v>0.25</v>
      </c>
      <c r="BT284">
        <v>0.09</v>
      </c>
      <c r="BU284">
        <v>-0.320601737142857</v>
      </c>
      <c r="BV284">
        <v>-2.41424362441558</v>
      </c>
      <c r="BW284">
        <v>0.27707411955551298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0.74557482638095196</v>
      </c>
      <c r="CD284">
        <v>5.3674745867532501</v>
      </c>
      <c r="CE284">
        <v>0.58406512600762495</v>
      </c>
      <c r="CF284">
        <v>0</v>
      </c>
      <c r="CG284">
        <v>0</v>
      </c>
      <c r="CH284">
        <v>2</v>
      </c>
      <c r="CI284" t="s">
        <v>290</v>
      </c>
      <c r="CJ284">
        <v>3.5324800000000001</v>
      </c>
      <c r="CK284">
        <v>2.7020599999999999</v>
      </c>
      <c r="CL284">
        <v>9.78459E-2</v>
      </c>
      <c r="CM284">
        <v>9.6594200000000005E-2</v>
      </c>
      <c r="CN284">
        <v>8.72724E-2</v>
      </c>
      <c r="CO284">
        <v>8.0852199999999999E-2</v>
      </c>
      <c r="CP284">
        <v>31618.6</v>
      </c>
      <c r="CQ284">
        <v>27813.8</v>
      </c>
      <c r="CR284">
        <v>32439.5</v>
      </c>
      <c r="CS284">
        <v>30716.3</v>
      </c>
      <c r="CT284">
        <v>40100.300000000003</v>
      </c>
      <c r="CU284">
        <v>39710.9</v>
      </c>
      <c r="CV284">
        <v>47384</v>
      </c>
      <c r="CW284">
        <v>46852.9</v>
      </c>
      <c r="CX284">
        <v>2.6152199999999999</v>
      </c>
      <c r="CY284">
        <v>2.11504</v>
      </c>
      <c r="CZ284">
        <v>0</v>
      </c>
      <c r="DA284">
        <v>0</v>
      </c>
      <c r="DB284">
        <v>999.9</v>
      </c>
      <c r="DC284">
        <v>999.9</v>
      </c>
      <c r="DD284">
        <v>47.1</v>
      </c>
      <c r="DE284">
        <v>28.57</v>
      </c>
      <c r="DF284">
        <v>18.439699999999998</v>
      </c>
      <c r="DG284">
        <v>30.289899999999999</v>
      </c>
      <c r="DH284">
        <v>16.362200000000001</v>
      </c>
      <c r="DI284">
        <v>2</v>
      </c>
      <c r="DJ284">
        <v>-9.0536599999999995E-2</v>
      </c>
      <c r="DK284">
        <v>2.49648</v>
      </c>
      <c r="DL284">
        <v>20.184000000000001</v>
      </c>
      <c r="DM284">
        <v>5.2505899999999999</v>
      </c>
      <c r="DN284">
        <v>12.033899999999999</v>
      </c>
      <c r="DO284">
        <v>4.96732</v>
      </c>
      <c r="DP284">
        <v>3.2909999999999999</v>
      </c>
      <c r="DQ284">
        <v>537.4</v>
      </c>
      <c r="DR284">
        <v>9999</v>
      </c>
      <c r="DS284">
        <v>9999</v>
      </c>
      <c r="DT284">
        <v>9999</v>
      </c>
      <c r="DU284">
        <v>1.8710800000000001</v>
      </c>
      <c r="DV284">
        <v>1.87608</v>
      </c>
      <c r="DW284">
        <v>1.8763399999999999</v>
      </c>
      <c r="DX284">
        <v>1.88279</v>
      </c>
      <c r="DY284">
        <v>1.87561</v>
      </c>
      <c r="DZ284">
        <v>1.8746799999999999</v>
      </c>
      <c r="EA284">
        <v>1.8708499999999999</v>
      </c>
      <c r="EB284">
        <v>1.8746499999999999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-0.75800000000000001</v>
      </c>
      <c r="EQ284">
        <v>8.5699999999999998E-2</v>
      </c>
      <c r="ER284">
        <v>-0.75763636363637898</v>
      </c>
      <c r="ES284">
        <v>0</v>
      </c>
      <c r="ET284">
        <v>0</v>
      </c>
      <c r="EU284">
        <v>0</v>
      </c>
      <c r="EV284">
        <v>8.5740000000001301E-2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0.7</v>
      </c>
      <c r="FE284">
        <v>0.3</v>
      </c>
      <c r="FF284">
        <v>1.2439</v>
      </c>
      <c r="FG284">
        <v>2.5976599999999999</v>
      </c>
      <c r="FH284">
        <v>2.19604</v>
      </c>
      <c r="FI284">
        <v>2.66235</v>
      </c>
      <c r="FJ284">
        <v>2.4462899999999999</v>
      </c>
      <c r="FK284">
        <v>2.2997999999999998</v>
      </c>
      <c r="FL284">
        <v>32.842399999999998</v>
      </c>
      <c r="FM284">
        <v>24.14</v>
      </c>
      <c r="FN284">
        <v>19</v>
      </c>
      <c r="FO284">
        <v>863.26300000000003</v>
      </c>
      <c r="FP284">
        <v>568.221</v>
      </c>
      <c r="FQ284">
        <v>17.775400000000001</v>
      </c>
      <c r="FR284">
        <v>25.8294</v>
      </c>
      <c r="FS284">
        <v>29.999700000000001</v>
      </c>
      <c r="FT284">
        <v>25.815000000000001</v>
      </c>
      <c r="FU284">
        <v>25.8096</v>
      </c>
      <c r="FV284">
        <v>24.9709</v>
      </c>
      <c r="FW284">
        <v>26.2393</v>
      </c>
      <c r="FX284">
        <v>0.12609300000000001</v>
      </c>
      <c r="FY284">
        <v>17.779800000000002</v>
      </c>
      <c r="FZ284">
        <v>410</v>
      </c>
      <c r="GA284">
        <v>14.1494</v>
      </c>
      <c r="GB284">
        <v>99.837299999999999</v>
      </c>
      <c r="GC284">
        <v>99.731800000000007</v>
      </c>
    </row>
    <row r="285" spans="1:185" x14ac:dyDescent="0.2">
      <c r="A285">
        <v>270</v>
      </c>
      <c r="B285">
        <v>1769199646</v>
      </c>
      <c r="C285">
        <v>5085</v>
      </c>
      <c r="D285" t="s">
        <v>844</v>
      </c>
      <c r="E285" t="s">
        <v>845</v>
      </c>
      <c r="F285">
        <v>15</v>
      </c>
      <c r="G285">
        <v>1769199637.9333301</v>
      </c>
      <c r="H285">
        <f t="shared" si="52"/>
        <v>1.0564995778799115E-3</v>
      </c>
      <c r="I285">
        <v>0</v>
      </c>
      <c r="J285">
        <f t="shared" si="64"/>
        <v>-1.0339000905875996E-3</v>
      </c>
      <c r="K285">
        <f t="shared" si="53"/>
        <v>-3.8527064731886919E-2</v>
      </c>
      <c r="L285">
        <f t="shared" si="54"/>
        <v>70.040083574959539</v>
      </c>
      <c r="M285">
        <f t="shared" si="55"/>
        <v>1.5438742445444136</v>
      </c>
      <c r="N285">
        <f t="shared" si="56"/>
        <v>2.2042724190814265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26290.505336681505</v>
      </c>
      <c r="T285">
        <f t="shared" si="60"/>
        <v>1000.00153333333</v>
      </c>
      <c r="U285">
        <f t="shared" si="61"/>
        <v>843.00096359949237</v>
      </c>
      <c r="V285">
        <f t="shared" si="62"/>
        <v>0.84299967099999962</v>
      </c>
      <c r="W285">
        <f t="shared" si="63"/>
        <v>0.15869911253999994</v>
      </c>
      <c r="X285">
        <v>1</v>
      </c>
      <c r="Y285">
        <v>1769199637.9333301</v>
      </c>
      <c r="Z285">
        <v>409.47620000000001</v>
      </c>
      <c r="AA285">
        <v>409.96879999999999</v>
      </c>
      <c r="AB285">
        <v>15.399326666666701</v>
      </c>
      <c r="AC285">
        <v>14.0990533333333</v>
      </c>
      <c r="AD285">
        <v>410.23393333333303</v>
      </c>
      <c r="AE285">
        <v>15.3135733333333</v>
      </c>
      <c r="AF285">
        <v>800.00886666666702</v>
      </c>
      <c r="AG285">
        <v>100.1918</v>
      </c>
      <c r="AH285">
        <v>6.4157806666666706E-2</v>
      </c>
      <c r="AI285">
        <v>18.993400000000001</v>
      </c>
      <c r="AJ285">
        <v>999.9</v>
      </c>
      <c r="AK285">
        <v>999.9</v>
      </c>
      <c r="AL285">
        <v>0</v>
      </c>
      <c r="AM285">
        <v>0</v>
      </c>
      <c r="AN285">
        <v>5002.8666666666704</v>
      </c>
      <c r="AO285">
        <v>0</v>
      </c>
      <c r="AP285">
        <v>1.63733</v>
      </c>
      <c r="AQ285">
        <v>-0.49259646666666701</v>
      </c>
      <c r="AR285">
        <v>415.88046666666702</v>
      </c>
      <c r="AS285">
        <v>415.83153333333303</v>
      </c>
      <c r="AT285">
        <v>1.30025066666667</v>
      </c>
      <c r="AU285">
        <v>409.96879999999999</v>
      </c>
      <c r="AV285">
        <v>14.0990533333333</v>
      </c>
      <c r="AW285">
        <v>1.54288466666667</v>
      </c>
      <c r="AX285">
        <v>1.4126093333333301</v>
      </c>
      <c r="AY285">
        <v>13.3999066666667</v>
      </c>
      <c r="AZ285">
        <v>12.0536733333333</v>
      </c>
      <c r="BA285">
        <v>1000.00153333333</v>
      </c>
      <c r="BB285">
        <v>0.90001193333333296</v>
      </c>
      <c r="BC285">
        <v>0</v>
      </c>
      <c r="BD285">
        <v>9.9988099999999996E-2</v>
      </c>
      <c r="BE285">
        <v>0</v>
      </c>
      <c r="BF285">
        <v>25</v>
      </c>
      <c r="BG285">
        <v>16488.8733333333</v>
      </c>
      <c r="BH285">
        <v>1769199614</v>
      </c>
      <c r="BI285" t="s">
        <v>839</v>
      </c>
      <c r="BJ285">
        <v>1769199592</v>
      </c>
      <c r="BK285">
        <v>1769199614</v>
      </c>
      <c r="BL285">
        <v>12</v>
      </c>
      <c r="BM285">
        <v>2.7E-2</v>
      </c>
      <c r="BN285">
        <v>-1.2E-2</v>
      </c>
      <c r="BO285">
        <v>-0.75800000000000001</v>
      </c>
      <c r="BP285">
        <v>8.5999999999999993E-2</v>
      </c>
      <c r="BQ285">
        <v>410</v>
      </c>
      <c r="BR285">
        <v>14</v>
      </c>
      <c r="BS285">
        <v>0.25</v>
      </c>
      <c r="BT285">
        <v>0.09</v>
      </c>
      <c r="BU285">
        <v>-0.50482335</v>
      </c>
      <c r="BV285">
        <v>0.18285983458646601</v>
      </c>
      <c r="BW285">
        <v>3.9479517621514797E-2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1.3039670000000001</v>
      </c>
      <c r="CD285">
        <v>-8.9614736842104498E-2</v>
      </c>
      <c r="CE285">
        <v>1.07360631052542E-2</v>
      </c>
      <c r="CF285">
        <v>1</v>
      </c>
      <c r="CG285">
        <v>2</v>
      </c>
      <c r="CH285">
        <v>2</v>
      </c>
      <c r="CI285" t="s">
        <v>304</v>
      </c>
      <c r="CJ285">
        <v>3.5324900000000001</v>
      </c>
      <c r="CK285">
        <v>2.7017000000000002</v>
      </c>
      <c r="CL285">
        <v>9.7854700000000003E-2</v>
      </c>
      <c r="CM285">
        <v>9.6600800000000001E-2</v>
      </c>
      <c r="CN285">
        <v>8.7028800000000003E-2</v>
      </c>
      <c r="CO285">
        <v>8.0717800000000006E-2</v>
      </c>
      <c r="CP285">
        <v>31619.3</v>
      </c>
      <c r="CQ285">
        <v>27814.7</v>
      </c>
      <c r="CR285">
        <v>32440.400000000001</v>
      </c>
      <c r="CS285">
        <v>30717.4</v>
      </c>
      <c r="CT285">
        <v>40112.6</v>
      </c>
      <c r="CU285">
        <v>39718.400000000001</v>
      </c>
      <c r="CV285">
        <v>47385.5</v>
      </c>
      <c r="CW285">
        <v>46854.7</v>
      </c>
      <c r="CX285">
        <v>2.6173600000000001</v>
      </c>
      <c r="CY285">
        <v>2.1163799999999999</v>
      </c>
      <c r="CZ285">
        <v>0</v>
      </c>
      <c r="DA285">
        <v>0</v>
      </c>
      <c r="DB285">
        <v>999.9</v>
      </c>
      <c r="DC285">
        <v>999.9</v>
      </c>
      <c r="DD285">
        <v>46.978000000000002</v>
      </c>
      <c r="DE285">
        <v>28.57</v>
      </c>
      <c r="DF285">
        <v>18.3931</v>
      </c>
      <c r="DG285">
        <v>30.319900000000001</v>
      </c>
      <c r="DH285">
        <v>16.394200000000001</v>
      </c>
      <c r="DI285">
        <v>2</v>
      </c>
      <c r="DJ285">
        <v>-9.1685000000000003E-2</v>
      </c>
      <c r="DK285">
        <v>2.46102</v>
      </c>
      <c r="DL285">
        <v>20.184200000000001</v>
      </c>
      <c r="DM285">
        <v>5.2483199999999997</v>
      </c>
      <c r="DN285">
        <v>12.033899999999999</v>
      </c>
      <c r="DO285">
        <v>4.96692</v>
      </c>
      <c r="DP285">
        <v>3.2907000000000002</v>
      </c>
      <c r="DQ285">
        <v>537.4</v>
      </c>
      <c r="DR285">
        <v>9999</v>
      </c>
      <c r="DS285">
        <v>9999</v>
      </c>
      <c r="DT285">
        <v>9999</v>
      </c>
      <c r="DU285">
        <v>1.8711100000000001</v>
      </c>
      <c r="DV285">
        <v>1.8761099999999999</v>
      </c>
      <c r="DW285">
        <v>1.87636</v>
      </c>
      <c r="DX285">
        <v>1.8827799999999999</v>
      </c>
      <c r="DY285">
        <v>1.87561</v>
      </c>
      <c r="DZ285">
        <v>1.87469</v>
      </c>
      <c r="EA285">
        <v>1.8708499999999999</v>
      </c>
      <c r="EB285">
        <v>1.8746700000000001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-0.75800000000000001</v>
      </c>
      <c r="EQ285">
        <v>8.5699999999999998E-2</v>
      </c>
      <c r="ER285">
        <v>-0.75763636363637898</v>
      </c>
      <c r="ES285">
        <v>0</v>
      </c>
      <c r="ET285">
        <v>0</v>
      </c>
      <c r="EU285">
        <v>0</v>
      </c>
      <c r="EV285">
        <v>8.5740000000001301E-2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0.9</v>
      </c>
      <c r="FE285">
        <v>0.5</v>
      </c>
      <c r="FF285">
        <v>1.2439</v>
      </c>
      <c r="FG285">
        <v>2.6025399999999999</v>
      </c>
      <c r="FH285">
        <v>2.19604</v>
      </c>
      <c r="FI285">
        <v>2.66357</v>
      </c>
      <c r="FJ285">
        <v>2.4462899999999999</v>
      </c>
      <c r="FK285">
        <v>2.2912599999999999</v>
      </c>
      <c r="FL285">
        <v>32.842399999999998</v>
      </c>
      <c r="FM285">
        <v>24.14</v>
      </c>
      <c r="FN285">
        <v>19</v>
      </c>
      <c r="FO285">
        <v>865.10199999999998</v>
      </c>
      <c r="FP285">
        <v>569.154</v>
      </c>
      <c r="FQ285">
        <v>17.7896</v>
      </c>
      <c r="FR285">
        <v>25.817599999999999</v>
      </c>
      <c r="FS285">
        <v>29.999700000000001</v>
      </c>
      <c r="FT285">
        <v>25.805499999999999</v>
      </c>
      <c r="FU285">
        <v>25.8018</v>
      </c>
      <c r="FV285">
        <v>24.974900000000002</v>
      </c>
      <c r="FW285">
        <v>25.953299999999999</v>
      </c>
      <c r="FX285">
        <v>0</v>
      </c>
      <c r="FY285">
        <v>17.793900000000001</v>
      </c>
      <c r="FZ285">
        <v>410</v>
      </c>
      <c r="GA285">
        <v>14.149900000000001</v>
      </c>
      <c r="GB285">
        <v>99.840299999999999</v>
      </c>
      <c r="GC285">
        <v>99.735600000000005</v>
      </c>
    </row>
    <row r="286" spans="1:185" x14ac:dyDescent="0.2">
      <c r="A286">
        <v>271</v>
      </c>
      <c r="B286">
        <v>1769199661</v>
      </c>
      <c r="C286">
        <v>5100</v>
      </c>
      <c r="D286" t="s">
        <v>846</v>
      </c>
      <c r="E286" t="s">
        <v>847</v>
      </c>
      <c r="F286">
        <v>15</v>
      </c>
      <c r="G286">
        <v>1769199652.9333301</v>
      </c>
      <c r="H286">
        <f t="shared" si="52"/>
        <v>1.0292287457992605E-3</v>
      </c>
      <c r="I286">
        <v>0</v>
      </c>
      <c r="J286">
        <f t="shared" si="64"/>
        <v>-7.4481995808927878E-4</v>
      </c>
      <c r="K286">
        <f t="shared" si="53"/>
        <v>-2.7754835307730954E-2</v>
      </c>
      <c r="L286">
        <f t="shared" si="54"/>
        <v>69.853881694536568</v>
      </c>
      <c r="M286">
        <f t="shared" si="55"/>
        <v>1.5399248812698163</v>
      </c>
      <c r="N286">
        <f t="shared" si="56"/>
        <v>2.2044943586724934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26267.590587776631</v>
      </c>
      <c r="T286">
        <f t="shared" si="60"/>
        <v>999.99993333333305</v>
      </c>
      <c r="U286">
        <f t="shared" si="61"/>
        <v>842.99952240002779</v>
      </c>
      <c r="V286">
        <f t="shared" si="62"/>
        <v>0.84299957859999997</v>
      </c>
      <c r="W286">
        <f t="shared" si="63"/>
        <v>0.15869885555600002</v>
      </c>
      <c r="X286">
        <v>1</v>
      </c>
      <c r="Y286">
        <v>1769199652.9333301</v>
      </c>
      <c r="Z286">
        <v>409.49506666666701</v>
      </c>
      <c r="AA286">
        <v>409.98719999999997</v>
      </c>
      <c r="AB286">
        <v>15.3597933333333</v>
      </c>
      <c r="AC286">
        <v>14.093026666666701</v>
      </c>
      <c r="AD286">
        <v>410.25279999999998</v>
      </c>
      <c r="AE286">
        <v>15.274053333333301</v>
      </c>
      <c r="AF286">
        <v>800.00526666666701</v>
      </c>
      <c r="AG286">
        <v>100.193</v>
      </c>
      <c r="AH286">
        <v>6.3875066666666702E-2</v>
      </c>
      <c r="AI286">
        <v>18.995013333333301</v>
      </c>
      <c r="AJ286">
        <v>999.9</v>
      </c>
      <c r="AK286">
        <v>999.9</v>
      </c>
      <c r="AL286">
        <v>0</v>
      </c>
      <c r="AM286">
        <v>0</v>
      </c>
      <c r="AN286">
        <v>4999.0666666666702</v>
      </c>
      <c r="AO286">
        <v>0</v>
      </c>
      <c r="AP286">
        <v>1.63733</v>
      </c>
      <c r="AQ286">
        <v>-0.49217933333333302</v>
      </c>
      <c r="AR286">
        <v>415.88299999999998</v>
      </c>
      <c r="AS286">
        <v>415.84780000000001</v>
      </c>
      <c r="AT286">
        <v>1.2667633333333299</v>
      </c>
      <c r="AU286">
        <v>409.98719999999997</v>
      </c>
      <c r="AV286">
        <v>14.093026666666701</v>
      </c>
      <c r="AW286">
        <v>1.5389459999999999</v>
      </c>
      <c r="AX286">
        <v>1.4120233333333301</v>
      </c>
      <c r="AY286">
        <v>13.3606866666667</v>
      </c>
      <c r="AZ286">
        <v>12.0473866666667</v>
      </c>
      <c r="BA286">
        <v>999.99993333333305</v>
      </c>
      <c r="BB286">
        <v>0.90001540000000002</v>
      </c>
      <c r="BC286">
        <v>0</v>
      </c>
      <c r="BD286">
        <v>9.9984646666666704E-2</v>
      </c>
      <c r="BE286">
        <v>0</v>
      </c>
      <c r="BF286">
        <v>25</v>
      </c>
      <c r="BG286">
        <v>16488.8533333333</v>
      </c>
      <c r="BH286">
        <v>1769199614</v>
      </c>
      <c r="BI286" t="s">
        <v>839</v>
      </c>
      <c r="BJ286">
        <v>1769199592</v>
      </c>
      <c r="BK286">
        <v>1769199614</v>
      </c>
      <c r="BL286">
        <v>12</v>
      </c>
      <c r="BM286">
        <v>2.7E-2</v>
      </c>
      <c r="BN286">
        <v>-1.2E-2</v>
      </c>
      <c r="BO286">
        <v>-0.75800000000000001</v>
      </c>
      <c r="BP286">
        <v>8.5999999999999993E-2</v>
      </c>
      <c r="BQ286">
        <v>410</v>
      </c>
      <c r="BR286">
        <v>14</v>
      </c>
      <c r="BS286">
        <v>0.25</v>
      </c>
      <c r="BT286">
        <v>0.09</v>
      </c>
      <c r="BU286">
        <v>-0.49438619047618998</v>
      </c>
      <c r="BV286">
        <v>2.5121610389610499E-2</v>
      </c>
      <c r="BW286">
        <v>2.2067010297897802E-2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1.2736485714285699</v>
      </c>
      <c r="CD286">
        <v>-0.138938961038961</v>
      </c>
      <c r="CE286">
        <v>1.5116417529016799E-2</v>
      </c>
      <c r="CF286">
        <v>0</v>
      </c>
      <c r="CG286">
        <v>1</v>
      </c>
      <c r="CH286">
        <v>2</v>
      </c>
      <c r="CI286" t="s">
        <v>297</v>
      </c>
      <c r="CJ286">
        <v>3.5325500000000001</v>
      </c>
      <c r="CK286">
        <v>2.7016900000000001</v>
      </c>
      <c r="CL286">
        <v>9.7857200000000005E-2</v>
      </c>
      <c r="CM286">
        <v>9.6597100000000005E-2</v>
      </c>
      <c r="CN286">
        <v>8.69891E-2</v>
      </c>
      <c r="CO286">
        <v>8.0896099999999999E-2</v>
      </c>
      <c r="CP286">
        <v>31619.7</v>
      </c>
      <c r="CQ286">
        <v>27816.2</v>
      </c>
      <c r="CR286">
        <v>32440.9</v>
      </c>
      <c r="CS286">
        <v>30718.9</v>
      </c>
      <c r="CT286">
        <v>40114.9</v>
      </c>
      <c r="CU286">
        <v>39712.199999999997</v>
      </c>
      <c r="CV286">
        <v>47386.2</v>
      </c>
      <c r="CW286">
        <v>46856.7</v>
      </c>
      <c r="CX286">
        <v>2.6180599999999998</v>
      </c>
      <c r="CY286">
        <v>2.1169199999999999</v>
      </c>
      <c r="CZ286">
        <v>0</v>
      </c>
      <c r="DA286">
        <v>0</v>
      </c>
      <c r="DB286">
        <v>999.9</v>
      </c>
      <c r="DC286">
        <v>999.9</v>
      </c>
      <c r="DD286">
        <v>46.954000000000001</v>
      </c>
      <c r="DE286">
        <v>28.57</v>
      </c>
      <c r="DF286">
        <v>18.3828</v>
      </c>
      <c r="DG286">
        <v>30.229900000000001</v>
      </c>
      <c r="DH286">
        <v>16.3462</v>
      </c>
      <c r="DI286">
        <v>2</v>
      </c>
      <c r="DJ286">
        <v>-9.2932899999999999E-2</v>
      </c>
      <c r="DK286">
        <v>2.4409700000000001</v>
      </c>
      <c r="DL286">
        <v>20.184899999999999</v>
      </c>
      <c r="DM286">
        <v>5.2501199999999999</v>
      </c>
      <c r="DN286">
        <v>12.033899999999999</v>
      </c>
      <c r="DO286">
        <v>4.9673600000000002</v>
      </c>
      <c r="DP286">
        <v>3.2909999999999999</v>
      </c>
      <c r="DQ286">
        <v>537.4</v>
      </c>
      <c r="DR286">
        <v>9999</v>
      </c>
      <c r="DS286">
        <v>9999</v>
      </c>
      <c r="DT286">
        <v>9999</v>
      </c>
      <c r="DU286">
        <v>1.8711800000000001</v>
      </c>
      <c r="DV286">
        <v>1.8761300000000001</v>
      </c>
      <c r="DW286">
        <v>1.87636</v>
      </c>
      <c r="DX286">
        <v>1.8828100000000001</v>
      </c>
      <c r="DY286">
        <v>1.87561</v>
      </c>
      <c r="DZ286">
        <v>1.87469</v>
      </c>
      <c r="EA286">
        <v>1.87087</v>
      </c>
      <c r="EB286">
        <v>1.8746799999999999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-0.75800000000000001</v>
      </c>
      <c r="EQ286">
        <v>8.5800000000000001E-2</v>
      </c>
      <c r="ER286">
        <v>-0.75763636363637898</v>
      </c>
      <c r="ES286">
        <v>0</v>
      </c>
      <c r="ET286">
        <v>0</v>
      </c>
      <c r="EU286">
        <v>0</v>
      </c>
      <c r="EV286">
        <v>8.5740000000001301E-2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1.1000000000000001</v>
      </c>
      <c r="FE286">
        <v>0.8</v>
      </c>
      <c r="FF286">
        <v>1.2439</v>
      </c>
      <c r="FG286">
        <v>2.5988799999999999</v>
      </c>
      <c r="FH286">
        <v>2.19604</v>
      </c>
      <c r="FI286">
        <v>2.66357</v>
      </c>
      <c r="FJ286">
        <v>2.4462899999999999</v>
      </c>
      <c r="FK286">
        <v>2.2851599999999999</v>
      </c>
      <c r="FL286">
        <v>32.864699999999999</v>
      </c>
      <c r="FM286">
        <v>24.14</v>
      </c>
      <c r="FN286">
        <v>19</v>
      </c>
      <c r="FO286">
        <v>865.60799999999995</v>
      </c>
      <c r="FP286">
        <v>569.471</v>
      </c>
      <c r="FQ286">
        <v>17.8032</v>
      </c>
      <c r="FR286">
        <v>25.804600000000001</v>
      </c>
      <c r="FS286">
        <v>29.999700000000001</v>
      </c>
      <c r="FT286">
        <v>25.796399999999998</v>
      </c>
      <c r="FU286">
        <v>25.793199999999999</v>
      </c>
      <c r="FV286">
        <v>24.977499999999999</v>
      </c>
      <c r="FW286">
        <v>25.670500000000001</v>
      </c>
      <c r="FX286">
        <v>0</v>
      </c>
      <c r="FY286">
        <v>17.805299999999999</v>
      </c>
      <c r="FZ286">
        <v>410</v>
      </c>
      <c r="GA286">
        <v>14.151899999999999</v>
      </c>
      <c r="GB286">
        <v>99.841700000000003</v>
      </c>
      <c r="GC286">
        <v>99.74</v>
      </c>
    </row>
    <row r="287" spans="1:185" x14ac:dyDescent="0.2">
      <c r="A287">
        <v>272</v>
      </c>
      <c r="B287">
        <v>1769199676</v>
      </c>
      <c r="C287">
        <v>5115</v>
      </c>
      <c r="D287" t="s">
        <v>848</v>
      </c>
      <c r="E287" t="s">
        <v>849</v>
      </c>
      <c r="F287">
        <v>15</v>
      </c>
      <c r="G287">
        <v>1769199667.9333301</v>
      </c>
      <c r="H287">
        <f t="shared" si="52"/>
        <v>9.962704175988451E-4</v>
      </c>
      <c r="I287">
        <v>0</v>
      </c>
      <c r="J287">
        <f t="shared" si="64"/>
        <v>-4.1309088683040633E-4</v>
      </c>
      <c r="K287">
        <f t="shared" si="53"/>
        <v>-1.5393343594759253E-2</v>
      </c>
      <c r="L287">
        <f t="shared" si="54"/>
        <v>69.881965943143186</v>
      </c>
      <c r="M287">
        <f t="shared" si="55"/>
        <v>1.5406875688490447</v>
      </c>
      <c r="N287">
        <f t="shared" si="56"/>
        <v>2.2046998078196123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26284.088586640235</v>
      </c>
      <c r="T287">
        <f t="shared" si="60"/>
        <v>1000.0018</v>
      </c>
      <c r="U287">
        <f t="shared" si="61"/>
        <v>843.00122179946788</v>
      </c>
      <c r="V287">
        <f t="shared" si="62"/>
        <v>0.84299970439999994</v>
      </c>
      <c r="W287">
        <f t="shared" si="63"/>
        <v>0.15869915706400001</v>
      </c>
      <c r="X287">
        <v>1</v>
      </c>
      <c r="Y287">
        <v>1769199667.9333301</v>
      </c>
      <c r="Z287">
        <v>409.50740000000002</v>
      </c>
      <c r="AA287">
        <v>409.99813333333299</v>
      </c>
      <c r="AB287">
        <v>15.3674866666667</v>
      </c>
      <c r="AC287">
        <v>14.1412866666667</v>
      </c>
      <c r="AD287">
        <v>410.26493333333298</v>
      </c>
      <c r="AE287">
        <v>15.281739999999999</v>
      </c>
      <c r="AF287">
        <v>800.00019999999995</v>
      </c>
      <c r="AG287">
        <v>100.192333333333</v>
      </c>
      <c r="AH287">
        <v>6.3980679999999998E-2</v>
      </c>
      <c r="AI287">
        <v>18.996506666666701</v>
      </c>
      <c r="AJ287">
        <v>999.9</v>
      </c>
      <c r="AK287">
        <v>999.9</v>
      </c>
      <c r="AL287">
        <v>0</v>
      </c>
      <c r="AM287">
        <v>0</v>
      </c>
      <c r="AN287">
        <v>5001.8333333333303</v>
      </c>
      <c r="AO287">
        <v>0</v>
      </c>
      <c r="AP287">
        <v>1.63733</v>
      </c>
      <c r="AQ287">
        <v>-0.49079393333333299</v>
      </c>
      <c r="AR287">
        <v>415.89873333333298</v>
      </c>
      <c r="AS287">
        <v>415.87920000000003</v>
      </c>
      <c r="AT287">
        <v>1.22620066666667</v>
      </c>
      <c r="AU287">
        <v>409.99813333333299</v>
      </c>
      <c r="AV287">
        <v>14.1412866666667</v>
      </c>
      <c r="AW287">
        <v>1.5397046666666701</v>
      </c>
      <c r="AX287">
        <v>1.41684866666667</v>
      </c>
      <c r="AY287">
        <v>13.3682533333333</v>
      </c>
      <c r="AZ287">
        <v>12.0991533333333</v>
      </c>
      <c r="BA287">
        <v>1000.0018</v>
      </c>
      <c r="BB287">
        <v>0.90001140000000002</v>
      </c>
      <c r="BC287">
        <v>0</v>
      </c>
      <c r="BD287">
        <v>9.9988653333333302E-2</v>
      </c>
      <c r="BE287">
        <v>0</v>
      </c>
      <c r="BF287">
        <v>25</v>
      </c>
      <c r="BG287">
        <v>16488.906666666699</v>
      </c>
      <c r="BH287">
        <v>1769199614</v>
      </c>
      <c r="BI287" t="s">
        <v>839</v>
      </c>
      <c r="BJ287">
        <v>1769199592</v>
      </c>
      <c r="BK287">
        <v>1769199614</v>
      </c>
      <c r="BL287">
        <v>12</v>
      </c>
      <c r="BM287">
        <v>2.7E-2</v>
      </c>
      <c r="BN287">
        <v>-1.2E-2</v>
      </c>
      <c r="BO287">
        <v>-0.75800000000000001</v>
      </c>
      <c r="BP287">
        <v>8.5999999999999993E-2</v>
      </c>
      <c r="BQ287">
        <v>410</v>
      </c>
      <c r="BR287">
        <v>14</v>
      </c>
      <c r="BS287">
        <v>0.25</v>
      </c>
      <c r="BT287">
        <v>0.09</v>
      </c>
      <c r="BU287">
        <v>-0.48981324999999998</v>
      </c>
      <c r="BV287">
        <v>-4.7844496240601699E-2</v>
      </c>
      <c r="BW287">
        <v>1.2804614284995099E-2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1.2330025</v>
      </c>
      <c r="CD287">
        <v>-0.10863834586465899</v>
      </c>
      <c r="CE287">
        <v>1.42755062519688E-2</v>
      </c>
      <c r="CF287">
        <v>0</v>
      </c>
      <c r="CG287">
        <v>1</v>
      </c>
      <c r="CH287">
        <v>2</v>
      </c>
      <c r="CI287" t="s">
        <v>297</v>
      </c>
      <c r="CJ287">
        <v>3.53254</v>
      </c>
      <c r="CK287">
        <v>2.7019600000000001</v>
      </c>
      <c r="CL287">
        <v>9.7865499999999994E-2</v>
      </c>
      <c r="CM287">
        <v>9.6604300000000004E-2</v>
      </c>
      <c r="CN287">
        <v>8.7023900000000001E-2</v>
      </c>
      <c r="CO287">
        <v>8.09444E-2</v>
      </c>
      <c r="CP287">
        <v>31620.6</v>
      </c>
      <c r="CQ287">
        <v>27816.6</v>
      </c>
      <c r="CR287">
        <v>32442.1</v>
      </c>
      <c r="CS287">
        <v>30719.5</v>
      </c>
      <c r="CT287">
        <v>40114.6</v>
      </c>
      <c r="CU287">
        <v>39710.9</v>
      </c>
      <c r="CV287">
        <v>47387.6</v>
      </c>
      <c r="CW287">
        <v>46857.599999999999</v>
      </c>
      <c r="CX287">
        <v>2.6187</v>
      </c>
      <c r="CY287">
        <v>2.1171199999999999</v>
      </c>
      <c r="CZ287">
        <v>0</v>
      </c>
      <c r="DA287">
        <v>0</v>
      </c>
      <c r="DB287">
        <v>999.9</v>
      </c>
      <c r="DC287">
        <v>999.9</v>
      </c>
      <c r="DD287">
        <v>46.905000000000001</v>
      </c>
      <c r="DE287">
        <v>28.57</v>
      </c>
      <c r="DF287">
        <v>18.363800000000001</v>
      </c>
      <c r="DG287">
        <v>29.989899999999999</v>
      </c>
      <c r="DH287">
        <v>16.3141</v>
      </c>
      <c r="DI287">
        <v>2</v>
      </c>
      <c r="DJ287">
        <v>-9.4302800000000006E-2</v>
      </c>
      <c r="DK287">
        <v>2.4218099999999998</v>
      </c>
      <c r="DL287">
        <v>20.185300000000002</v>
      </c>
      <c r="DM287">
        <v>5.2503500000000001</v>
      </c>
      <c r="DN287">
        <v>12.033899999999999</v>
      </c>
      <c r="DO287">
        <v>4.9672799999999997</v>
      </c>
      <c r="DP287">
        <v>3.2909999999999999</v>
      </c>
      <c r="DQ287">
        <v>537.4</v>
      </c>
      <c r="DR287">
        <v>9999</v>
      </c>
      <c r="DS287">
        <v>9999</v>
      </c>
      <c r="DT287">
        <v>9999</v>
      </c>
      <c r="DU287">
        <v>1.8711500000000001</v>
      </c>
      <c r="DV287">
        <v>1.8761000000000001</v>
      </c>
      <c r="DW287">
        <v>1.87636</v>
      </c>
      <c r="DX287">
        <v>1.88279</v>
      </c>
      <c r="DY287">
        <v>1.87561</v>
      </c>
      <c r="DZ287">
        <v>1.87469</v>
      </c>
      <c r="EA287">
        <v>1.87087</v>
      </c>
      <c r="EB287">
        <v>1.8746799999999999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-0.75800000000000001</v>
      </c>
      <c r="EQ287">
        <v>8.5699999999999998E-2</v>
      </c>
      <c r="ER287">
        <v>-0.75763636363637898</v>
      </c>
      <c r="ES287">
        <v>0</v>
      </c>
      <c r="ET287">
        <v>0</v>
      </c>
      <c r="EU287">
        <v>0</v>
      </c>
      <c r="EV287">
        <v>8.5740000000001301E-2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1.4</v>
      </c>
      <c r="FE287">
        <v>1</v>
      </c>
      <c r="FF287">
        <v>1.2439</v>
      </c>
      <c r="FG287">
        <v>2.5964399999999999</v>
      </c>
      <c r="FH287">
        <v>2.19604</v>
      </c>
      <c r="FI287">
        <v>2.66235</v>
      </c>
      <c r="FJ287">
        <v>2.4462899999999999</v>
      </c>
      <c r="FK287">
        <v>2.2790499999999998</v>
      </c>
      <c r="FL287">
        <v>32.864699999999999</v>
      </c>
      <c r="FM287">
        <v>24.14</v>
      </c>
      <c r="FN287">
        <v>19</v>
      </c>
      <c r="FO287">
        <v>866.05200000000002</v>
      </c>
      <c r="FP287">
        <v>569.51700000000005</v>
      </c>
      <c r="FQ287">
        <v>17.8096</v>
      </c>
      <c r="FR287">
        <v>25.7898</v>
      </c>
      <c r="FS287">
        <v>29.999700000000001</v>
      </c>
      <c r="FT287">
        <v>25.786799999999999</v>
      </c>
      <c r="FU287">
        <v>25.7836</v>
      </c>
      <c r="FV287">
        <v>24.976099999999999</v>
      </c>
      <c r="FW287">
        <v>25.670500000000001</v>
      </c>
      <c r="FX287">
        <v>0</v>
      </c>
      <c r="FY287">
        <v>17.812100000000001</v>
      </c>
      <c r="FZ287">
        <v>410</v>
      </c>
      <c r="GA287">
        <v>14.151899999999999</v>
      </c>
      <c r="GB287">
        <v>99.844999999999999</v>
      </c>
      <c r="GC287">
        <v>99.742000000000004</v>
      </c>
    </row>
    <row r="288" spans="1:185" x14ac:dyDescent="0.2">
      <c r="A288">
        <v>273</v>
      </c>
      <c r="B288">
        <v>1769199691</v>
      </c>
      <c r="C288">
        <v>5130</v>
      </c>
      <c r="D288" t="s">
        <v>850</v>
      </c>
      <c r="E288" t="s">
        <v>851</v>
      </c>
      <c r="F288">
        <v>15</v>
      </c>
      <c r="G288">
        <v>1769199682.9333301</v>
      </c>
      <c r="H288">
        <f t="shared" si="52"/>
        <v>9.9085354149318957E-4</v>
      </c>
      <c r="I288">
        <v>0</v>
      </c>
      <c r="J288">
        <f t="shared" si="64"/>
        <v>-1.0173233091213267E-3</v>
      </c>
      <c r="K288">
        <f t="shared" si="53"/>
        <v>-3.7909350565487651E-2</v>
      </c>
      <c r="L288">
        <f t="shared" si="54"/>
        <v>69.853915918611676</v>
      </c>
      <c r="M288">
        <f t="shared" si="55"/>
        <v>1.5400659464405271</v>
      </c>
      <c r="N288">
        <f t="shared" si="56"/>
        <v>2.20469522171798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26256.159951822927</v>
      </c>
      <c r="T288">
        <f t="shared" si="60"/>
        <v>1000.00146666667</v>
      </c>
      <c r="U288">
        <f t="shared" si="61"/>
        <v>843.00095379958805</v>
      </c>
      <c r="V288">
        <f t="shared" si="62"/>
        <v>0.84299971739999968</v>
      </c>
      <c r="W288">
        <f t="shared" si="63"/>
        <v>0.15869951436399996</v>
      </c>
      <c r="X288">
        <v>1</v>
      </c>
      <c r="Y288">
        <v>1769199682.9333301</v>
      </c>
      <c r="Z288">
        <v>409.55079999999998</v>
      </c>
      <c r="AA288">
        <v>410.01066666666702</v>
      </c>
      <c r="AB288">
        <v>15.361606666666701</v>
      </c>
      <c r="AC288">
        <v>14.1420733333333</v>
      </c>
      <c r="AD288">
        <v>410.30846666666702</v>
      </c>
      <c r="AE288">
        <v>15.27586</v>
      </c>
      <c r="AF288">
        <v>800.00473333333298</v>
      </c>
      <c r="AG288">
        <v>100.19006666666699</v>
      </c>
      <c r="AH288">
        <v>6.4156726666666705E-2</v>
      </c>
      <c r="AI288">
        <v>18.996473333333299</v>
      </c>
      <c r="AJ288">
        <v>999.9</v>
      </c>
      <c r="AK288">
        <v>999.9</v>
      </c>
      <c r="AL288">
        <v>0</v>
      </c>
      <c r="AM288">
        <v>0</v>
      </c>
      <c r="AN288">
        <v>4997.3333333333303</v>
      </c>
      <c r="AO288">
        <v>0</v>
      </c>
      <c r="AP288">
        <v>1.63356733333333</v>
      </c>
      <c r="AQ288">
        <v>-0.459843</v>
      </c>
      <c r="AR288">
        <v>415.94013333333299</v>
      </c>
      <c r="AS288">
        <v>415.892333333333</v>
      </c>
      <c r="AT288">
        <v>1.2195226666666701</v>
      </c>
      <c r="AU288">
        <v>410.01066666666702</v>
      </c>
      <c r="AV288">
        <v>14.1420733333333</v>
      </c>
      <c r="AW288">
        <v>1.5390820000000001</v>
      </c>
      <c r="AX288">
        <v>1.4168973333333299</v>
      </c>
      <c r="AY288">
        <v>13.3620533333333</v>
      </c>
      <c r="AZ288">
        <v>12.099693333333301</v>
      </c>
      <c r="BA288">
        <v>1000.00146666667</v>
      </c>
      <c r="BB288">
        <v>0.90000613333333301</v>
      </c>
      <c r="BC288">
        <v>0</v>
      </c>
      <c r="BD288">
        <v>9.9993753333333296E-2</v>
      </c>
      <c r="BE288">
        <v>0</v>
      </c>
      <c r="BF288">
        <v>25</v>
      </c>
      <c r="BG288">
        <v>16488.86</v>
      </c>
      <c r="BH288">
        <v>1769199614</v>
      </c>
      <c r="BI288" t="s">
        <v>839</v>
      </c>
      <c r="BJ288">
        <v>1769199592</v>
      </c>
      <c r="BK288">
        <v>1769199614</v>
      </c>
      <c r="BL288">
        <v>12</v>
      </c>
      <c r="BM288">
        <v>2.7E-2</v>
      </c>
      <c r="BN288">
        <v>-1.2E-2</v>
      </c>
      <c r="BO288">
        <v>-0.75800000000000001</v>
      </c>
      <c r="BP288">
        <v>8.5999999999999993E-2</v>
      </c>
      <c r="BQ288">
        <v>410</v>
      </c>
      <c r="BR288">
        <v>14</v>
      </c>
      <c r="BS288">
        <v>0.25</v>
      </c>
      <c r="BT288">
        <v>0.09</v>
      </c>
      <c r="BU288">
        <v>-0.47031366666666702</v>
      </c>
      <c r="BV288">
        <v>0.15280145454545499</v>
      </c>
      <c r="BW288">
        <v>2.9176030366321399E-2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1.2211085714285701</v>
      </c>
      <c r="CD288">
        <v>-3.5571428571425499E-2</v>
      </c>
      <c r="CE288">
        <v>3.73831931387848E-3</v>
      </c>
      <c r="CF288">
        <v>1</v>
      </c>
      <c r="CG288">
        <v>2</v>
      </c>
      <c r="CH288">
        <v>2</v>
      </c>
      <c r="CI288" t="s">
        <v>304</v>
      </c>
      <c r="CJ288">
        <v>3.53254</v>
      </c>
      <c r="CK288">
        <v>2.7020400000000002</v>
      </c>
      <c r="CL288">
        <v>9.7876500000000005E-2</v>
      </c>
      <c r="CM288">
        <v>9.6603599999999998E-2</v>
      </c>
      <c r="CN288">
        <v>8.6984900000000004E-2</v>
      </c>
      <c r="CO288">
        <v>8.0937599999999998E-2</v>
      </c>
      <c r="CP288">
        <v>31621.4</v>
      </c>
      <c r="CQ288">
        <v>27817.4</v>
      </c>
      <c r="CR288">
        <v>32443.200000000001</v>
      </c>
      <c r="CS288">
        <v>30720.2</v>
      </c>
      <c r="CT288">
        <v>40117.5</v>
      </c>
      <c r="CU288">
        <v>39712.1</v>
      </c>
      <c r="CV288">
        <v>47389.1</v>
      </c>
      <c r="CW288">
        <v>46858.6</v>
      </c>
      <c r="CX288">
        <v>2.6185800000000001</v>
      </c>
      <c r="CY288">
        <v>2.1173000000000002</v>
      </c>
      <c r="CZ288">
        <v>0</v>
      </c>
      <c r="DA288">
        <v>0</v>
      </c>
      <c r="DB288">
        <v>999.9</v>
      </c>
      <c r="DC288">
        <v>999.9</v>
      </c>
      <c r="DD288">
        <v>46.881</v>
      </c>
      <c r="DE288">
        <v>28.591000000000001</v>
      </c>
      <c r="DF288">
        <v>18.3765</v>
      </c>
      <c r="DG288">
        <v>29.869900000000001</v>
      </c>
      <c r="DH288">
        <v>16.3902</v>
      </c>
      <c r="DI288">
        <v>2</v>
      </c>
      <c r="DJ288">
        <v>-9.5943100000000003E-2</v>
      </c>
      <c r="DK288">
        <v>2.3935900000000001</v>
      </c>
      <c r="DL288">
        <v>20.185700000000001</v>
      </c>
      <c r="DM288">
        <v>5.2505899999999999</v>
      </c>
      <c r="DN288">
        <v>12.033899999999999</v>
      </c>
      <c r="DO288">
        <v>4.9673999999999996</v>
      </c>
      <c r="DP288">
        <v>3.2909999999999999</v>
      </c>
      <c r="DQ288">
        <v>537.4</v>
      </c>
      <c r="DR288">
        <v>9999</v>
      </c>
      <c r="DS288">
        <v>9999</v>
      </c>
      <c r="DT288">
        <v>9999</v>
      </c>
      <c r="DU288">
        <v>1.8711500000000001</v>
      </c>
      <c r="DV288">
        <v>1.87612</v>
      </c>
      <c r="DW288">
        <v>1.87636</v>
      </c>
      <c r="DX288">
        <v>1.88279</v>
      </c>
      <c r="DY288">
        <v>1.87561</v>
      </c>
      <c r="DZ288">
        <v>1.87469</v>
      </c>
      <c r="EA288">
        <v>1.87086</v>
      </c>
      <c r="EB288">
        <v>1.8746799999999999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-0.75800000000000001</v>
      </c>
      <c r="EQ288">
        <v>8.5699999999999998E-2</v>
      </c>
      <c r="ER288">
        <v>-0.75763636363637898</v>
      </c>
      <c r="ES288">
        <v>0</v>
      </c>
      <c r="ET288">
        <v>0</v>
      </c>
      <c r="EU288">
        <v>0</v>
      </c>
      <c r="EV288">
        <v>8.5740000000001301E-2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1.6</v>
      </c>
      <c r="FE288">
        <v>1.3</v>
      </c>
      <c r="FF288">
        <v>1.2439</v>
      </c>
      <c r="FG288">
        <v>2.5939899999999998</v>
      </c>
      <c r="FH288">
        <v>2.19604</v>
      </c>
      <c r="FI288">
        <v>2.66235</v>
      </c>
      <c r="FJ288">
        <v>2.4462899999999999</v>
      </c>
      <c r="FK288">
        <v>2.2814899999999998</v>
      </c>
      <c r="FL288">
        <v>32.842399999999998</v>
      </c>
      <c r="FM288">
        <v>24.14</v>
      </c>
      <c r="FN288">
        <v>19</v>
      </c>
      <c r="FO288">
        <v>865.75199999999995</v>
      </c>
      <c r="FP288">
        <v>569.52700000000004</v>
      </c>
      <c r="FQ288">
        <v>17.8184</v>
      </c>
      <c r="FR288">
        <v>25.773299999999999</v>
      </c>
      <c r="FS288">
        <v>29.999600000000001</v>
      </c>
      <c r="FT288">
        <v>25.775099999999998</v>
      </c>
      <c r="FU288">
        <v>25.771999999999998</v>
      </c>
      <c r="FV288">
        <v>24.976700000000001</v>
      </c>
      <c r="FW288">
        <v>25.670500000000001</v>
      </c>
      <c r="FX288">
        <v>0</v>
      </c>
      <c r="FY288">
        <v>17.820599999999999</v>
      </c>
      <c r="FZ288">
        <v>410</v>
      </c>
      <c r="GA288">
        <v>14.154299999999999</v>
      </c>
      <c r="GB288">
        <v>99.848299999999995</v>
      </c>
      <c r="GC288">
        <v>99.744200000000006</v>
      </c>
    </row>
    <row r="289" spans="1:185" x14ac:dyDescent="0.2">
      <c r="A289">
        <v>274</v>
      </c>
      <c r="B289">
        <v>1769199706</v>
      </c>
      <c r="C289">
        <v>5145</v>
      </c>
      <c r="D289" t="s">
        <v>852</v>
      </c>
      <c r="E289" t="s">
        <v>853</v>
      </c>
      <c r="F289">
        <v>15</v>
      </c>
      <c r="G289">
        <v>1769199697.9333301</v>
      </c>
      <c r="H289">
        <f t="shared" si="52"/>
        <v>9.934305813028327E-4</v>
      </c>
      <c r="I289">
        <v>0</v>
      </c>
      <c r="J289">
        <f t="shared" si="64"/>
        <v>-1.5253184752611676E-3</v>
      </c>
      <c r="K289">
        <f t="shared" si="53"/>
        <v>-5.6839189945066516E-2</v>
      </c>
      <c r="L289">
        <f t="shared" si="54"/>
        <v>69.851063500601668</v>
      </c>
      <c r="M289">
        <f t="shared" si="55"/>
        <v>1.5402170619993505</v>
      </c>
      <c r="N289">
        <f t="shared" si="56"/>
        <v>2.2050015916881258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26251.885490987224</v>
      </c>
      <c r="T289">
        <f t="shared" si="60"/>
        <v>1000.0023333333299</v>
      </c>
      <c r="U289">
        <f t="shared" si="61"/>
        <v>843.00190999986387</v>
      </c>
      <c r="V289">
        <f t="shared" si="62"/>
        <v>0.8429999429999997</v>
      </c>
      <c r="W289">
        <f t="shared" si="63"/>
        <v>0.15869992245999995</v>
      </c>
      <c r="X289">
        <v>1</v>
      </c>
      <c r="Y289">
        <v>1769199697.9333301</v>
      </c>
      <c r="Z289">
        <v>409.55766666666699</v>
      </c>
      <c r="AA289">
        <v>409.99520000000001</v>
      </c>
      <c r="AB289">
        <v>15.3626666666667</v>
      </c>
      <c r="AC289">
        <v>14.13996</v>
      </c>
      <c r="AD289">
        <v>410.31540000000001</v>
      </c>
      <c r="AE289">
        <v>15.276913333333299</v>
      </c>
      <c r="AF289">
        <v>800.00286666666705</v>
      </c>
      <c r="AG289">
        <v>100.19306666666699</v>
      </c>
      <c r="AH289">
        <v>6.4075886666666707E-2</v>
      </c>
      <c r="AI289">
        <v>18.998699999999999</v>
      </c>
      <c r="AJ289">
        <v>999.9</v>
      </c>
      <c r="AK289">
        <v>999.9</v>
      </c>
      <c r="AL289">
        <v>0</v>
      </c>
      <c r="AM289">
        <v>0</v>
      </c>
      <c r="AN289">
        <v>4996.5333333333301</v>
      </c>
      <c r="AO289">
        <v>0</v>
      </c>
      <c r="AP289">
        <v>1.629804</v>
      </c>
      <c r="AQ289">
        <v>-0.437599666666667</v>
      </c>
      <c r="AR289">
        <v>415.94766666666698</v>
      </c>
      <c r="AS289">
        <v>415.87580000000003</v>
      </c>
      <c r="AT289">
        <v>1.222702</v>
      </c>
      <c r="AU289">
        <v>409.99520000000001</v>
      </c>
      <c r="AV289">
        <v>14.13996</v>
      </c>
      <c r="AW289">
        <v>1.53923266666667</v>
      </c>
      <c r="AX289">
        <v>1.4167259999999999</v>
      </c>
      <c r="AY289">
        <v>13.36354</v>
      </c>
      <c r="AZ289">
        <v>12.097846666666699</v>
      </c>
      <c r="BA289">
        <v>1000.0023333333299</v>
      </c>
      <c r="BB289">
        <v>0.90000093333333298</v>
      </c>
      <c r="BC289">
        <v>0</v>
      </c>
      <c r="BD289">
        <v>9.9999033333333306E-2</v>
      </c>
      <c r="BE289">
        <v>0</v>
      </c>
      <c r="BF289">
        <v>25</v>
      </c>
      <c r="BG289">
        <v>16488.813333333299</v>
      </c>
      <c r="BH289">
        <v>1769199614</v>
      </c>
      <c r="BI289" t="s">
        <v>839</v>
      </c>
      <c r="BJ289">
        <v>1769199592</v>
      </c>
      <c r="BK289">
        <v>1769199614</v>
      </c>
      <c r="BL289">
        <v>12</v>
      </c>
      <c r="BM289">
        <v>2.7E-2</v>
      </c>
      <c r="BN289">
        <v>-1.2E-2</v>
      </c>
      <c r="BO289">
        <v>-0.75800000000000001</v>
      </c>
      <c r="BP289">
        <v>8.5999999999999993E-2</v>
      </c>
      <c r="BQ289">
        <v>410</v>
      </c>
      <c r="BR289">
        <v>14</v>
      </c>
      <c r="BS289">
        <v>0.25</v>
      </c>
      <c r="BT289">
        <v>0.09</v>
      </c>
      <c r="BU289">
        <v>-0.44491429999999998</v>
      </c>
      <c r="BV289">
        <v>1.1167849624058999E-2</v>
      </c>
      <c r="BW289">
        <v>2.80759018485605E-2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1.2209730000000001</v>
      </c>
      <c r="CD289">
        <v>4.2794887218047702E-2</v>
      </c>
      <c r="CE289">
        <v>4.3866936296030404E-3</v>
      </c>
      <c r="CF289">
        <v>1</v>
      </c>
      <c r="CG289">
        <v>2</v>
      </c>
      <c r="CH289">
        <v>2</v>
      </c>
      <c r="CI289" t="s">
        <v>304</v>
      </c>
      <c r="CJ289">
        <v>3.5325600000000001</v>
      </c>
      <c r="CK289">
        <v>2.7019799999999998</v>
      </c>
      <c r="CL289">
        <v>9.7876900000000003E-2</v>
      </c>
      <c r="CM289">
        <v>9.6615000000000006E-2</v>
      </c>
      <c r="CN289">
        <v>8.7051600000000007E-2</v>
      </c>
      <c r="CO289">
        <v>8.0931400000000001E-2</v>
      </c>
      <c r="CP289">
        <v>31622.799999999999</v>
      </c>
      <c r="CQ289">
        <v>27818.5</v>
      </c>
      <c r="CR289">
        <v>32444.6</v>
      </c>
      <c r="CS289">
        <v>30721.8</v>
      </c>
      <c r="CT289">
        <v>40116.1</v>
      </c>
      <c r="CU289">
        <v>39714.1</v>
      </c>
      <c r="CV289">
        <v>47391</v>
      </c>
      <c r="CW289">
        <v>46860.7</v>
      </c>
      <c r="CX289">
        <v>2.6191200000000001</v>
      </c>
      <c r="CY289">
        <v>2.1175999999999999</v>
      </c>
      <c r="CZ289">
        <v>0</v>
      </c>
      <c r="DA289">
        <v>0</v>
      </c>
      <c r="DB289">
        <v>999.9</v>
      </c>
      <c r="DC289">
        <v>999.9</v>
      </c>
      <c r="DD289">
        <v>46.856000000000002</v>
      </c>
      <c r="DE289">
        <v>28.57</v>
      </c>
      <c r="DF289">
        <v>18.344200000000001</v>
      </c>
      <c r="DG289">
        <v>30.5899</v>
      </c>
      <c r="DH289">
        <v>16.354199999999999</v>
      </c>
      <c r="DI289">
        <v>2</v>
      </c>
      <c r="DJ289">
        <v>-9.7538600000000003E-2</v>
      </c>
      <c r="DK289">
        <v>2.3811</v>
      </c>
      <c r="DL289">
        <v>20.1859</v>
      </c>
      <c r="DM289">
        <v>5.2511900000000002</v>
      </c>
      <c r="DN289">
        <v>12.033899999999999</v>
      </c>
      <c r="DO289">
        <v>4.9674399999999999</v>
      </c>
      <c r="DP289">
        <v>3.2909999999999999</v>
      </c>
      <c r="DQ289">
        <v>537.4</v>
      </c>
      <c r="DR289">
        <v>9999</v>
      </c>
      <c r="DS289">
        <v>9999</v>
      </c>
      <c r="DT289">
        <v>9999</v>
      </c>
      <c r="DU289">
        <v>1.8711199999999999</v>
      </c>
      <c r="DV289">
        <v>1.87609</v>
      </c>
      <c r="DW289">
        <v>1.87632</v>
      </c>
      <c r="DX289">
        <v>1.8827799999999999</v>
      </c>
      <c r="DY289">
        <v>1.87561</v>
      </c>
      <c r="DZ289">
        <v>1.8746799999999999</v>
      </c>
      <c r="EA289">
        <v>1.8708499999999999</v>
      </c>
      <c r="EB289">
        <v>1.8746499999999999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-0.75800000000000001</v>
      </c>
      <c r="EQ289">
        <v>8.5699999999999998E-2</v>
      </c>
      <c r="ER289">
        <v>-0.75763636363637898</v>
      </c>
      <c r="ES289">
        <v>0</v>
      </c>
      <c r="ET289">
        <v>0</v>
      </c>
      <c r="EU289">
        <v>0</v>
      </c>
      <c r="EV289">
        <v>8.5740000000001301E-2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1.9</v>
      </c>
      <c r="FE289">
        <v>1.5</v>
      </c>
      <c r="FF289">
        <v>1.2439</v>
      </c>
      <c r="FG289">
        <v>2.5988799999999999</v>
      </c>
      <c r="FH289">
        <v>2.19604</v>
      </c>
      <c r="FI289">
        <v>2.66235</v>
      </c>
      <c r="FJ289">
        <v>2.4462899999999999</v>
      </c>
      <c r="FK289">
        <v>2.2912599999999999</v>
      </c>
      <c r="FL289">
        <v>32.864699999999999</v>
      </c>
      <c r="FM289">
        <v>24.14</v>
      </c>
      <c r="FN289">
        <v>19</v>
      </c>
      <c r="FO289">
        <v>866.05399999999997</v>
      </c>
      <c r="FP289">
        <v>569.61300000000006</v>
      </c>
      <c r="FQ289">
        <v>17.8217</v>
      </c>
      <c r="FR289">
        <v>25.7559</v>
      </c>
      <c r="FS289">
        <v>29.999600000000001</v>
      </c>
      <c r="FT289">
        <v>25.762499999999999</v>
      </c>
      <c r="FU289">
        <v>25.759</v>
      </c>
      <c r="FV289">
        <v>24.976600000000001</v>
      </c>
      <c r="FW289">
        <v>25.670500000000001</v>
      </c>
      <c r="FX289">
        <v>0</v>
      </c>
      <c r="FY289">
        <v>17.823399999999999</v>
      </c>
      <c r="FZ289">
        <v>410</v>
      </c>
      <c r="GA289">
        <v>14.1538</v>
      </c>
      <c r="GB289">
        <v>99.852500000000006</v>
      </c>
      <c r="GC289">
        <v>99.748900000000006</v>
      </c>
    </row>
    <row r="290" spans="1:185" x14ac:dyDescent="0.2">
      <c r="A290">
        <v>275</v>
      </c>
      <c r="B290">
        <v>1769199721</v>
      </c>
      <c r="C290">
        <v>5160</v>
      </c>
      <c r="D290" t="s">
        <v>854</v>
      </c>
      <c r="E290" t="s">
        <v>855</v>
      </c>
      <c r="F290">
        <v>15</v>
      </c>
      <c r="G290">
        <v>1769199712.9333301</v>
      </c>
      <c r="H290">
        <f t="shared" si="52"/>
        <v>1.002093533240489E-3</v>
      </c>
      <c r="I290">
        <v>0</v>
      </c>
      <c r="J290">
        <f t="shared" si="64"/>
        <v>-1.2939844623321038E-3</v>
      </c>
      <c r="K290">
        <f t="shared" si="53"/>
        <v>-4.8218801406615122E-2</v>
      </c>
      <c r="L290">
        <f t="shared" si="54"/>
        <v>69.890646809620577</v>
      </c>
      <c r="M290">
        <f t="shared" si="55"/>
        <v>1.5410635885117876</v>
      </c>
      <c r="N290">
        <f t="shared" si="56"/>
        <v>2.2049639813887905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26314.381351730346</v>
      </c>
      <c r="T290">
        <f t="shared" si="60"/>
        <v>1000.00133333333</v>
      </c>
      <c r="U290">
        <f t="shared" si="61"/>
        <v>843.00134000028572</v>
      </c>
      <c r="V290">
        <f t="shared" si="62"/>
        <v>0.84300021600000052</v>
      </c>
      <c r="W290">
        <f t="shared" si="63"/>
        <v>0.15870028016000012</v>
      </c>
      <c r="X290">
        <v>1</v>
      </c>
      <c r="Y290">
        <v>1769199712.9333301</v>
      </c>
      <c r="Z290">
        <v>409.55086666666699</v>
      </c>
      <c r="AA290">
        <v>410.00360000000001</v>
      </c>
      <c r="AB290">
        <v>15.371040000000001</v>
      </c>
      <c r="AC290">
        <v>14.137686666666699</v>
      </c>
      <c r="AD290">
        <v>410.308533333333</v>
      </c>
      <c r="AE290">
        <v>15.2852866666667</v>
      </c>
      <c r="AF290">
        <v>800.00620000000004</v>
      </c>
      <c r="AG290">
        <v>100.19346666666701</v>
      </c>
      <c r="AH290">
        <v>6.4133893333333303E-2</v>
      </c>
      <c r="AI290">
        <v>18.998426666666699</v>
      </c>
      <c r="AJ290">
        <v>999.9</v>
      </c>
      <c r="AK290">
        <v>999.9</v>
      </c>
      <c r="AL290">
        <v>0</v>
      </c>
      <c r="AM290">
        <v>0</v>
      </c>
      <c r="AN290">
        <v>5006.8</v>
      </c>
      <c r="AO290">
        <v>0</v>
      </c>
      <c r="AP290">
        <v>1.63733</v>
      </c>
      <c r="AQ290">
        <v>-0.45286660000000001</v>
      </c>
      <c r="AR290">
        <v>415.94433333333302</v>
      </c>
      <c r="AS290">
        <v>415.883266666667</v>
      </c>
      <c r="AT290">
        <v>1.2333466666666699</v>
      </c>
      <c r="AU290">
        <v>410.00360000000001</v>
      </c>
      <c r="AV290">
        <v>14.137686666666699</v>
      </c>
      <c r="AW290">
        <v>1.5400766666666701</v>
      </c>
      <c r="AX290">
        <v>1.41650266666667</v>
      </c>
      <c r="AY290">
        <v>13.3719466666667</v>
      </c>
      <c r="AZ290">
        <v>12.095473333333301</v>
      </c>
      <c r="BA290">
        <v>1000.00133333333</v>
      </c>
      <c r="BB290">
        <v>0.899996666666667</v>
      </c>
      <c r="BC290">
        <v>0</v>
      </c>
      <c r="BD290">
        <v>0.100003466666667</v>
      </c>
      <c r="BE290">
        <v>0</v>
      </c>
      <c r="BF290">
        <v>25</v>
      </c>
      <c r="BG290">
        <v>16488.793333333299</v>
      </c>
      <c r="BH290">
        <v>1769199614</v>
      </c>
      <c r="BI290" t="s">
        <v>839</v>
      </c>
      <c r="BJ290">
        <v>1769199592</v>
      </c>
      <c r="BK290">
        <v>1769199614</v>
      </c>
      <c r="BL290">
        <v>12</v>
      </c>
      <c r="BM290">
        <v>2.7E-2</v>
      </c>
      <c r="BN290">
        <v>-1.2E-2</v>
      </c>
      <c r="BO290">
        <v>-0.75800000000000001</v>
      </c>
      <c r="BP290">
        <v>8.5999999999999993E-2</v>
      </c>
      <c r="BQ290">
        <v>410</v>
      </c>
      <c r="BR290">
        <v>14</v>
      </c>
      <c r="BS290">
        <v>0.25</v>
      </c>
      <c r="BT290">
        <v>0.09</v>
      </c>
      <c r="BU290">
        <v>-0.45425557142857098</v>
      </c>
      <c r="BV290">
        <v>6.0957272727272298E-2</v>
      </c>
      <c r="BW290">
        <v>1.4288224214271001E-2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1.2312576190476201</v>
      </c>
      <c r="CD290">
        <v>1.6181298701298499E-2</v>
      </c>
      <c r="CE290">
        <v>4.9249596611951E-3</v>
      </c>
      <c r="CF290">
        <v>1</v>
      </c>
      <c r="CG290">
        <v>2</v>
      </c>
      <c r="CH290">
        <v>2</v>
      </c>
      <c r="CI290" t="s">
        <v>304</v>
      </c>
      <c r="CJ290">
        <v>3.5325899999999999</v>
      </c>
      <c r="CK290">
        <v>2.7021099999999998</v>
      </c>
      <c r="CL290">
        <v>9.7880499999999995E-2</v>
      </c>
      <c r="CM290">
        <v>9.6617099999999997E-2</v>
      </c>
      <c r="CN290">
        <v>8.7015599999999999E-2</v>
      </c>
      <c r="CO290">
        <v>8.0927200000000005E-2</v>
      </c>
      <c r="CP290">
        <v>31623.3</v>
      </c>
      <c r="CQ290">
        <v>27820.2</v>
      </c>
      <c r="CR290">
        <v>32445.200000000001</v>
      </c>
      <c r="CS290">
        <v>30723.7</v>
      </c>
      <c r="CT290">
        <v>40118.1</v>
      </c>
      <c r="CU290">
        <v>39716.6</v>
      </c>
      <c r="CV290">
        <v>47391.6</v>
      </c>
      <c r="CW290">
        <v>46863.4</v>
      </c>
      <c r="CX290">
        <v>2.6193</v>
      </c>
      <c r="CY290">
        <v>2.1180599999999998</v>
      </c>
      <c r="CZ290">
        <v>0</v>
      </c>
      <c r="DA290">
        <v>0</v>
      </c>
      <c r="DB290">
        <v>999.9</v>
      </c>
      <c r="DC290">
        <v>999.9</v>
      </c>
      <c r="DD290">
        <v>46.826000000000001</v>
      </c>
      <c r="DE290">
        <v>28.591000000000001</v>
      </c>
      <c r="DF290">
        <v>18.356000000000002</v>
      </c>
      <c r="DG290">
        <v>30.229900000000001</v>
      </c>
      <c r="DH290">
        <v>16.350200000000001</v>
      </c>
      <c r="DI290">
        <v>2</v>
      </c>
      <c r="DJ290">
        <v>-9.9180900000000002E-2</v>
      </c>
      <c r="DK290">
        <v>2.3626800000000001</v>
      </c>
      <c r="DL290">
        <v>20.186599999999999</v>
      </c>
      <c r="DM290">
        <v>5.2509499999999996</v>
      </c>
      <c r="DN290">
        <v>12.033899999999999</v>
      </c>
      <c r="DO290">
        <v>4.9673999999999996</v>
      </c>
      <c r="DP290">
        <v>3.2909999999999999</v>
      </c>
      <c r="DQ290">
        <v>537.4</v>
      </c>
      <c r="DR290">
        <v>9999</v>
      </c>
      <c r="DS290">
        <v>9999</v>
      </c>
      <c r="DT290">
        <v>9999</v>
      </c>
      <c r="DU290">
        <v>1.8711199999999999</v>
      </c>
      <c r="DV290">
        <v>1.8761099999999999</v>
      </c>
      <c r="DW290">
        <v>1.8763300000000001</v>
      </c>
      <c r="DX290">
        <v>1.8828</v>
      </c>
      <c r="DY290">
        <v>1.87561</v>
      </c>
      <c r="DZ290">
        <v>1.87469</v>
      </c>
      <c r="EA290">
        <v>1.87087</v>
      </c>
      <c r="EB290">
        <v>1.8746700000000001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-0.75700000000000001</v>
      </c>
      <c r="EQ290">
        <v>8.5699999999999998E-2</v>
      </c>
      <c r="ER290">
        <v>-0.75763636363637898</v>
      </c>
      <c r="ES290">
        <v>0</v>
      </c>
      <c r="ET290">
        <v>0</v>
      </c>
      <c r="EU290">
        <v>0</v>
      </c>
      <c r="EV290">
        <v>8.5740000000001301E-2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2.1</v>
      </c>
      <c r="FE290">
        <v>1.8</v>
      </c>
      <c r="FF290">
        <v>1.2439</v>
      </c>
      <c r="FG290">
        <v>2.5964399999999999</v>
      </c>
      <c r="FH290">
        <v>2.19604</v>
      </c>
      <c r="FI290">
        <v>2.66357</v>
      </c>
      <c r="FJ290">
        <v>2.4462899999999999</v>
      </c>
      <c r="FK290">
        <v>2.3034699999999999</v>
      </c>
      <c r="FL290">
        <v>32.864699999999999</v>
      </c>
      <c r="FM290">
        <v>24.14</v>
      </c>
      <c r="FN290">
        <v>19</v>
      </c>
      <c r="FO290">
        <v>865.99300000000005</v>
      </c>
      <c r="FP290">
        <v>569.81200000000001</v>
      </c>
      <c r="FQ290">
        <v>17.823799999999999</v>
      </c>
      <c r="FR290">
        <v>25.736799999999999</v>
      </c>
      <c r="FS290">
        <v>29.999500000000001</v>
      </c>
      <c r="FT290">
        <v>25.748200000000001</v>
      </c>
      <c r="FU290">
        <v>25.745100000000001</v>
      </c>
      <c r="FV290">
        <v>24.975300000000001</v>
      </c>
      <c r="FW290">
        <v>25.670500000000001</v>
      </c>
      <c r="FX290">
        <v>0</v>
      </c>
      <c r="FY290">
        <v>17.8262</v>
      </c>
      <c r="FZ290">
        <v>410</v>
      </c>
      <c r="GA290">
        <v>14.1548</v>
      </c>
      <c r="GB290">
        <v>99.853899999999996</v>
      </c>
      <c r="GC290">
        <v>99.754900000000006</v>
      </c>
    </row>
    <row r="291" spans="1:185" x14ac:dyDescent="0.2">
      <c r="A291">
        <v>276</v>
      </c>
      <c r="B291">
        <v>1769199736</v>
      </c>
      <c r="C291">
        <v>5175</v>
      </c>
      <c r="D291" t="s">
        <v>856</v>
      </c>
      <c r="E291" t="s">
        <v>857</v>
      </c>
      <c r="F291">
        <v>15</v>
      </c>
      <c r="G291">
        <v>1769199727.9333301</v>
      </c>
      <c r="H291">
        <f t="shared" si="52"/>
        <v>9.9643868176751038E-4</v>
      </c>
      <c r="I291">
        <v>0</v>
      </c>
      <c r="J291">
        <f t="shared" si="64"/>
        <v>-1.4553185227362906E-3</v>
      </c>
      <c r="K291">
        <f t="shared" si="53"/>
        <v>-5.4230724459177822E-2</v>
      </c>
      <c r="L291">
        <f t="shared" si="54"/>
        <v>69.856442155701686</v>
      </c>
      <c r="M291">
        <f t="shared" si="55"/>
        <v>1.5402876009651052</v>
      </c>
      <c r="N291">
        <f t="shared" si="56"/>
        <v>2.2049327927866522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26287.403285713048</v>
      </c>
      <c r="T291">
        <f t="shared" si="60"/>
        <v>1000.00226666667</v>
      </c>
      <c r="U291">
        <f t="shared" si="61"/>
        <v>843.00228480085013</v>
      </c>
      <c r="V291">
        <f t="shared" si="62"/>
        <v>0.84300037399999961</v>
      </c>
      <c r="W291">
        <f t="shared" si="63"/>
        <v>0.15870067515999992</v>
      </c>
      <c r="X291">
        <v>1</v>
      </c>
      <c r="Y291">
        <v>1769199727.9333301</v>
      </c>
      <c r="Z291">
        <v>409.55766666666699</v>
      </c>
      <c r="AA291">
        <v>410</v>
      </c>
      <c r="AB291">
        <v>15.36332</v>
      </c>
      <c r="AC291">
        <v>14.1369133333333</v>
      </c>
      <c r="AD291">
        <v>410.31526666666701</v>
      </c>
      <c r="AE291">
        <v>15.2775866666667</v>
      </c>
      <c r="AF291">
        <v>800.00386666666702</v>
      </c>
      <c r="AG291">
        <v>100.1932</v>
      </c>
      <c r="AH291">
        <v>6.4270453333333297E-2</v>
      </c>
      <c r="AI291">
        <v>18.998200000000001</v>
      </c>
      <c r="AJ291">
        <v>999.9</v>
      </c>
      <c r="AK291">
        <v>999.9</v>
      </c>
      <c r="AL291">
        <v>0</v>
      </c>
      <c r="AM291">
        <v>0</v>
      </c>
      <c r="AN291">
        <v>5002.3666666666704</v>
      </c>
      <c r="AO291">
        <v>0</v>
      </c>
      <c r="AP291">
        <v>1.63356733333333</v>
      </c>
      <c r="AQ291">
        <v>-0.44229326666666702</v>
      </c>
      <c r="AR291">
        <v>415.94773333333302</v>
      </c>
      <c r="AS291">
        <v>415.87913333333302</v>
      </c>
      <c r="AT291">
        <v>1.226418</v>
      </c>
      <c r="AU291">
        <v>410</v>
      </c>
      <c r="AV291">
        <v>14.1369133333333</v>
      </c>
      <c r="AW291">
        <v>1.53929933333333</v>
      </c>
      <c r="AX291">
        <v>1.4164220000000001</v>
      </c>
      <c r="AY291">
        <v>13.3642133333333</v>
      </c>
      <c r="AZ291">
        <v>12.0946</v>
      </c>
      <c r="BA291">
        <v>1000.00226666667</v>
      </c>
      <c r="BB291">
        <v>0.8999914</v>
      </c>
      <c r="BC291">
        <v>0</v>
      </c>
      <c r="BD291">
        <v>0.100008733333333</v>
      </c>
      <c r="BE291">
        <v>0</v>
      </c>
      <c r="BF291">
        <v>24.788906666666701</v>
      </c>
      <c r="BG291">
        <v>16488.7866666667</v>
      </c>
      <c r="BH291">
        <v>1769199614</v>
      </c>
      <c r="BI291" t="s">
        <v>839</v>
      </c>
      <c r="BJ291">
        <v>1769199592</v>
      </c>
      <c r="BK291">
        <v>1769199614</v>
      </c>
      <c r="BL291">
        <v>12</v>
      </c>
      <c r="BM291">
        <v>2.7E-2</v>
      </c>
      <c r="BN291">
        <v>-1.2E-2</v>
      </c>
      <c r="BO291">
        <v>-0.75800000000000001</v>
      </c>
      <c r="BP291">
        <v>8.5999999999999993E-2</v>
      </c>
      <c r="BQ291">
        <v>410</v>
      </c>
      <c r="BR291">
        <v>14</v>
      </c>
      <c r="BS291">
        <v>0.25</v>
      </c>
      <c r="BT291">
        <v>0.09</v>
      </c>
      <c r="BU291">
        <v>-0.44487942857142898</v>
      </c>
      <c r="BV291">
        <v>-6.3639740259732996E-3</v>
      </c>
      <c r="BW291">
        <v>1.42983714975865E-2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1.2281180952380999</v>
      </c>
      <c r="CD291">
        <v>-2.4180779220778301E-2</v>
      </c>
      <c r="CE291">
        <v>3.5720177291827799E-3</v>
      </c>
      <c r="CF291">
        <v>1</v>
      </c>
      <c r="CG291">
        <v>2</v>
      </c>
      <c r="CH291">
        <v>2</v>
      </c>
      <c r="CI291" t="s">
        <v>304</v>
      </c>
      <c r="CJ291">
        <v>3.5325199999999999</v>
      </c>
      <c r="CK291">
        <v>2.7022200000000001</v>
      </c>
      <c r="CL291">
        <v>9.7887299999999997E-2</v>
      </c>
      <c r="CM291">
        <v>9.6618599999999999E-2</v>
      </c>
      <c r="CN291">
        <v>8.6978200000000006E-2</v>
      </c>
      <c r="CO291">
        <v>8.0928100000000003E-2</v>
      </c>
      <c r="CP291">
        <v>31624.5</v>
      </c>
      <c r="CQ291">
        <v>27821.9</v>
      </c>
      <c r="CR291">
        <v>32446.5</v>
      </c>
      <c r="CS291">
        <v>30725.5</v>
      </c>
      <c r="CT291">
        <v>40121.5</v>
      </c>
      <c r="CU291">
        <v>39719</v>
      </c>
      <c r="CV291">
        <v>47393.599999999999</v>
      </c>
      <c r="CW291">
        <v>46866.3</v>
      </c>
      <c r="CX291">
        <v>2.6197599999999999</v>
      </c>
      <c r="CY291">
        <v>2.1184799999999999</v>
      </c>
      <c r="CZ291">
        <v>0</v>
      </c>
      <c r="DA291">
        <v>0</v>
      </c>
      <c r="DB291">
        <v>999.9</v>
      </c>
      <c r="DC291">
        <v>999.9</v>
      </c>
      <c r="DD291">
        <v>46.826000000000001</v>
      </c>
      <c r="DE291">
        <v>28.591000000000001</v>
      </c>
      <c r="DF291">
        <v>18.355</v>
      </c>
      <c r="DG291">
        <v>30.229900000000001</v>
      </c>
      <c r="DH291">
        <v>16.3462</v>
      </c>
      <c r="DI291">
        <v>2</v>
      </c>
      <c r="DJ291">
        <v>-0.10113999999999999</v>
      </c>
      <c r="DK291">
        <v>2.3375599999999999</v>
      </c>
      <c r="DL291">
        <v>20.186699999999998</v>
      </c>
      <c r="DM291">
        <v>5.2515499999999999</v>
      </c>
      <c r="DN291">
        <v>12.033899999999999</v>
      </c>
      <c r="DO291">
        <v>4.96732</v>
      </c>
      <c r="DP291">
        <v>3.2909999999999999</v>
      </c>
      <c r="DQ291">
        <v>537.4</v>
      </c>
      <c r="DR291">
        <v>9999</v>
      </c>
      <c r="DS291">
        <v>9999</v>
      </c>
      <c r="DT291">
        <v>9999</v>
      </c>
      <c r="DU291">
        <v>1.8711800000000001</v>
      </c>
      <c r="DV291">
        <v>1.87618</v>
      </c>
      <c r="DW291">
        <v>1.8763700000000001</v>
      </c>
      <c r="DX291">
        <v>1.8828800000000001</v>
      </c>
      <c r="DY291">
        <v>1.87561</v>
      </c>
      <c r="DZ291">
        <v>1.87469</v>
      </c>
      <c r="EA291">
        <v>1.8708800000000001</v>
      </c>
      <c r="EB291">
        <v>1.87469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-0.75800000000000001</v>
      </c>
      <c r="EQ291">
        <v>8.5800000000000001E-2</v>
      </c>
      <c r="ER291">
        <v>-0.75763636363637898</v>
      </c>
      <c r="ES291">
        <v>0</v>
      </c>
      <c r="ET291">
        <v>0</v>
      </c>
      <c r="EU291">
        <v>0</v>
      </c>
      <c r="EV291">
        <v>8.5740000000001301E-2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2.4</v>
      </c>
      <c r="FE291">
        <v>2</v>
      </c>
      <c r="FF291">
        <v>1.2439</v>
      </c>
      <c r="FG291">
        <v>2.5976599999999999</v>
      </c>
      <c r="FH291">
        <v>2.19604</v>
      </c>
      <c r="FI291">
        <v>2.66235</v>
      </c>
      <c r="FJ291">
        <v>2.4462899999999999</v>
      </c>
      <c r="FK291">
        <v>2.2802699999999998</v>
      </c>
      <c r="FL291">
        <v>32.842399999999998</v>
      </c>
      <c r="FM291">
        <v>24.14</v>
      </c>
      <c r="FN291">
        <v>19</v>
      </c>
      <c r="FO291">
        <v>866.19299999999998</v>
      </c>
      <c r="FP291">
        <v>569.97</v>
      </c>
      <c r="FQ291">
        <v>17.827500000000001</v>
      </c>
      <c r="FR291">
        <v>25.716899999999999</v>
      </c>
      <c r="FS291">
        <v>29.999400000000001</v>
      </c>
      <c r="FT291">
        <v>25.733899999999998</v>
      </c>
      <c r="FU291">
        <v>25.730399999999999</v>
      </c>
      <c r="FV291">
        <v>24.9756</v>
      </c>
      <c r="FW291">
        <v>25.670500000000001</v>
      </c>
      <c r="FX291">
        <v>0</v>
      </c>
      <c r="FY291">
        <v>17.829799999999999</v>
      </c>
      <c r="FZ291">
        <v>410</v>
      </c>
      <c r="GA291">
        <v>14.1609</v>
      </c>
      <c r="GB291">
        <v>99.858099999999993</v>
      </c>
      <c r="GC291">
        <v>99.760900000000007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2026-01-23T15:24:36Z</dcterms:created>
  <dcterms:modified xsi:type="dcterms:W3CDTF">2026-03-31T16:25:51Z</dcterms:modified>
</cp:coreProperties>
</file>