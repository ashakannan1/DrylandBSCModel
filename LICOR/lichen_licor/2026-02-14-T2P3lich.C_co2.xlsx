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esktop/thesis/curves/crust_curves/lichens/lichen_licor/"/>
    </mc:Choice>
  </mc:AlternateContent>
  <xr:revisionPtr revIDLastSave="10" documentId="11_ACE07100777310F3C15F64E69DF0F056362E7E67" xr6:coauthVersionLast="47" xr6:coauthVersionMax="47" xr10:uidLastSave="{05463C29-436C-8A41-B78D-D8DC974283A9}"/>
  <bookViews>
    <workbookView xWindow="240" yWindow="500" windowWidth="27220" windowHeight="1430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16" i="1"/>
  <c r="W227" i="1"/>
  <c r="V227" i="1"/>
  <c r="T227" i="1"/>
  <c r="U227" i="1" s="1"/>
  <c r="S227" i="1"/>
  <c r="Q227" i="1" s="1"/>
  <c r="N227" i="1"/>
  <c r="M227" i="1"/>
  <c r="W226" i="1"/>
  <c r="V226" i="1"/>
  <c r="T226" i="1"/>
  <c r="S226" i="1"/>
  <c r="Q226" i="1" s="1"/>
  <c r="H226" i="1" s="1"/>
  <c r="N226" i="1"/>
  <c r="M226" i="1"/>
  <c r="L226" i="1" s="1"/>
  <c r="W225" i="1"/>
  <c r="V225" i="1"/>
  <c r="T225" i="1"/>
  <c r="S225" i="1"/>
  <c r="Q225" i="1" s="1"/>
  <c r="K225" i="1" s="1"/>
  <c r="N225" i="1"/>
  <c r="M225" i="1"/>
  <c r="H225" i="1"/>
  <c r="W224" i="1"/>
  <c r="V224" i="1"/>
  <c r="T224" i="1"/>
  <c r="S224" i="1"/>
  <c r="Q224" i="1" s="1"/>
  <c r="N224" i="1"/>
  <c r="M224" i="1"/>
  <c r="L224" i="1" s="1"/>
  <c r="H224" i="1"/>
  <c r="W223" i="1"/>
  <c r="V223" i="1"/>
  <c r="T223" i="1"/>
  <c r="S223" i="1"/>
  <c r="Q223" i="1" s="1"/>
  <c r="K223" i="1" s="1"/>
  <c r="N223" i="1"/>
  <c r="M223" i="1"/>
  <c r="H223" i="1"/>
  <c r="W222" i="1"/>
  <c r="V222" i="1"/>
  <c r="T222" i="1"/>
  <c r="S222" i="1"/>
  <c r="Q222" i="1" s="1"/>
  <c r="N222" i="1"/>
  <c r="M222" i="1"/>
  <c r="H222" i="1"/>
  <c r="W221" i="1"/>
  <c r="V221" i="1"/>
  <c r="T221" i="1"/>
  <c r="S221" i="1"/>
  <c r="Q221" i="1" s="1"/>
  <c r="N221" i="1"/>
  <c r="M221" i="1"/>
  <c r="W220" i="1"/>
  <c r="V220" i="1"/>
  <c r="T220" i="1"/>
  <c r="S220" i="1"/>
  <c r="Q220" i="1" s="1"/>
  <c r="H220" i="1" s="1"/>
  <c r="N220" i="1"/>
  <c r="M220" i="1"/>
  <c r="W219" i="1"/>
  <c r="V219" i="1"/>
  <c r="T219" i="1"/>
  <c r="S219" i="1"/>
  <c r="Q219" i="1" s="1"/>
  <c r="N219" i="1"/>
  <c r="M219" i="1"/>
  <c r="W218" i="1"/>
  <c r="V218" i="1"/>
  <c r="T218" i="1"/>
  <c r="S218" i="1"/>
  <c r="Q218" i="1" s="1"/>
  <c r="N218" i="1"/>
  <c r="M218" i="1"/>
  <c r="L218" i="1" s="1"/>
  <c r="H218" i="1"/>
  <c r="W217" i="1"/>
  <c r="V217" i="1"/>
  <c r="T217" i="1"/>
  <c r="S217" i="1"/>
  <c r="Q217" i="1" s="1"/>
  <c r="K217" i="1" s="1"/>
  <c r="N217" i="1"/>
  <c r="M217" i="1"/>
  <c r="H217" i="1"/>
  <c r="W216" i="1"/>
  <c r="V216" i="1"/>
  <c r="T216" i="1"/>
  <c r="S216" i="1"/>
  <c r="Q216" i="1" s="1"/>
  <c r="H216" i="1" s="1"/>
  <c r="N216" i="1"/>
  <c r="M216" i="1"/>
  <c r="W215" i="1"/>
  <c r="V215" i="1"/>
  <c r="T215" i="1"/>
  <c r="S215" i="1"/>
  <c r="Q215" i="1" s="1"/>
  <c r="K215" i="1" s="1"/>
  <c r="N215" i="1"/>
  <c r="M215" i="1"/>
  <c r="W214" i="1"/>
  <c r="V214" i="1"/>
  <c r="T214" i="1"/>
  <c r="S214" i="1"/>
  <c r="Q214" i="1" s="1"/>
  <c r="H214" i="1" s="1"/>
  <c r="N214" i="1"/>
  <c r="M214" i="1"/>
  <c r="L214" i="1" s="1"/>
  <c r="W213" i="1"/>
  <c r="V213" i="1"/>
  <c r="T213" i="1"/>
  <c r="U213" i="1" s="1"/>
  <c r="S213" i="1"/>
  <c r="Q213" i="1" s="1"/>
  <c r="N213" i="1"/>
  <c r="M213" i="1"/>
  <c r="W212" i="1"/>
  <c r="V212" i="1"/>
  <c r="T212" i="1"/>
  <c r="S212" i="1"/>
  <c r="Q212" i="1" s="1"/>
  <c r="H212" i="1" s="1"/>
  <c r="N212" i="1"/>
  <c r="M212" i="1"/>
  <c r="W211" i="1"/>
  <c r="V211" i="1"/>
  <c r="T211" i="1"/>
  <c r="S211" i="1"/>
  <c r="Q211" i="1" s="1"/>
  <c r="N211" i="1"/>
  <c r="M211" i="1"/>
  <c r="W210" i="1"/>
  <c r="V210" i="1"/>
  <c r="T210" i="1"/>
  <c r="S210" i="1"/>
  <c r="Q210" i="1" s="1"/>
  <c r="H210" i="1" s="1"/>
  <c r="N210" i="1"/>
  <c r="M210" i="1"/>
  <c r="W209" i="1"/>
  <c r="V209" i="1"/>
  <c r="T209" i="1"/>
  <c r="U209" i="1" s="1"/>
  <c r="S209" i="1"/>
  <c r="Q209" i="1" s="1"/>
  <c r="K209" i="1" s="1"/>
  <c r="N209" i="1"/>
  <c r="M209" i="1"/>
  <c r="W208" i="1"/>
  <c r="V208" i="1"/>
  <c r="T208" i="1"/>
  <c r="S208" i="1"/>
  <c r="Q208" i="1" s="1"/>
  <c r="H208" i="1" s="1"/>
  <c r="N208" i="1"/>
  <c r="M208" i="1"/>
  <c r="W207" i="1"/>
  <c r="V207" i="1"/>
  <c r="T207" i="1"/>
  <c r="S207" i="1"/>
  <c r="Q207" i="1" s="1"/>
  <c r="K207" i="1" s="1"/>
  <c r="N207" i="1"/>
  <c r="M207" i="1"/>
  <c r="W206" i="1"/>
  <c r="V206" i="1"/>
  <c r="T206" i="1"/>
  <c r="S206" i="1"/>
  <c r="Q206" i="1" s="1"/>
  <c r="N206" i="1"/>
  <c r="M206" i="1"/>
  <c r="H206" i="1"/>
  <c r="W205" i="1"/>
  <c r="V205" i="1"/>
  <c r="T205" i="1"/>
  <c r="S205" i="1"/>
  <c r="Q205" i="1" s="1"/>
  <c r="N205" i="1"/>
  <c r="M205" i="1"/>
  <c r="W204" i="1"/>
  <c r="V204" i="1"/>
  <c r="T204" i="1"/>
  <c r="S204" i="1"/>
  <c r="Q204" i="1" s="1"/>
  <c r="H204" i="1" s="1"/>
  <c r="N204" i="1"/>
  <c r="M204" i="1"/>
  <c r="W203" i="1"/>
  <c r="V203" i="1"/>
  <c r="T203" i="1"/>
  <c r="S203" i="1"/>
  <c r="Q203" i="1" s="1"/>
  <c r="N203" i="1"/>
  <c r="M203" i="1"/>
  <c r="W202" i="1"/>
  <c r="V202" i="1"/>
  <c r="T202" i="1"/>
  <c r="S202" i="1"/>
  <c r="Q202" i="1" s="1"/>
  <c r="H202" i="1" s="1"/>
  <c r="N202" i="1"/>
  <c r="M202" i="1"/>
  <c r="L202" i="1" s="1"/>
  <c r="W201" i="1"/>
  <c r="V201" i="1"/>
  <c r="T201" i="1"/>
  <c r="S201" i="1"/>
  <c r="Q201" i="1" s="1"/>
  <c r="K201" i="1" s="1"/>
  <c r="N201" i="1"/>
  <c r="M201" i="1"/>
  <c r="H201" i="1"/>
  <c r="W200" i="1"/>
  <c r="V200" i="1"/>
  <c r="T200" i="1"/>
  <c r="S200" i="1"/>
  <c r="Q200" i="1" s="1"/>
  <c r="N200" i="1"/>
  <c r="M200" i="1"/>
  <c r="H200" i="1"/>
  <c r="W199" i="1"/>
  <c r="V199" i="1"/>
  <c r="T199" i="1"/>
  <c r="S199" i="1"/>
  <c r="Q199" i="1" s="1"/>
  <c r="K199" i="1" s="1"/>
  <c r="N199" i="1"/>
  <c r="M199" i="1"/>
  <c r="H199" i="1"/>
  <c r="W198" i="1"/>
  <c r="V198" i="1"/>
  <c r="T198" i="1"/>
  <c r="S198" i="1"/>
  <c r="Q198" i="1" s="1"/>
  <c r="H198" i="1" s="1"/>
  <c r="N198" i="1"/>
  <c r="M198" i="1"/>
  <c r="W197" i="1"/>
  <c r="V197" i="1"/>
  <c r="T197" i="1"/>
  <c r="U197" i="1" s="1"/>
  <c r="S197" i="1"/>
  <c r="Q197" i="1" s="1"/>
  <c r="N197" i="1"/>
  <c r="M197" i="1"/>
  <c r="W196" i="1"/>
  <c r="V196" i="1"/>
  <c r="T196" i="1"/>
  <c r="S196" i="1"/>
  <c r="Q196" i="1" s="1"/>
  <c r="H196" i="1" s="1"/>
  <c r="N196" i="1"/>
  <c r="M196" i="1"/>
  <c r="W195" i="1"/>
  <c r="V195" i="1"/>
  <c r="T195" i="1"/>
  <c r="S195" i="1"/>
  <c r="Q195" i="1" s="1"/>
  <c r="N195" i="1"/>
  <c r="M195" i="1"/>
  <c r="W194" i="1"/>
  <c r="V194" i="1"/>
  <c r="T194" i="1"/>
  <c r="S194" i="1"/>
  <c r="Q194" i="1" s="1"/>
  <c r="N194" i="1"/>
  <c r="M194" i="1"/>
  <c r="H194" i="1"/>
  <c r="W193" i="1"/>
  <c r="V193" i="1"/>
  <c r="T193" i="1"/>
  <c r="S193" i="1"/>
  <c r="Q193" i="1" s="1"/>
  <c r="K193" i="1" s="1"/>
  <c r="N193" i="1"/>
  <c r="M193" i="1"/>
  <c r="W192" i="1"/>
  <c r="V192" i="1"/>
  <c r="T192" i="1"/>
  <c r="S192" i="1"/>
  <c r="Q192" i="1" s="1"/>
  <c r="H192" i="1" s="1"/>
  <c r="N192" i="1"/>
  <c r="M192" i="1"/>
  <c r="W191" i="1"/>
  <c r="V191" i="1"/>
  <c r="T191" i="1"/>
  <c r="S191" i="1"/>
  <c r="Q191" i="1" s="1"/>
  <c r="K191" i="1" s="1"/>
  <c r="N191" i="1"/>
  <c r="M191" i="1"/>
  <c r="W190" i="1"/>
  <c r="V190" i="1"/>
  <c r="T190" i="1"/>
  <c r="S190" i="1"/>
  <c r="Q190" i="1" s="1"/>
  <c r="H190" i="1" s="1"/>
  <c r="N190" i="1"/>
  <c r="M190" i="1"/>
  <c r="W189" i="1"/>
  <c r="V189" i="1"/>
  <c r="T189" i="1"/>
  <c r="S189" i="1"/>
  <c r="Q189" i="1" s="1"/>
  <c r="N189" i="1"/>
  <c r="M189" i="1"/>
  <c r="W188" i="1"/>
  <c r="V188" i="1"/>
  <c r="T188" i="1"/>
  <c r="S188" i="1"/>
  <c r="Q188" i="1" s="1"/>
  <c r="H188" i="1" s="1"/>
  <c r="N188" i="1"/>
  <c r="M188" i="1"/>
  <c r="W187" i="1"/>
  <c r="V187" i="1"/>
  <c r="T187" i="1"/>
  <c r="S187" i="1"/>
  <c r="Q187" i="1" s="1"/>
  <c r="N187" i="1"/>
  <c r="M187" i="1"/>
  <c r="W186" i="1"/>
  <c r="V186" i="1"/>
  <c r="T186" i="1"/>
  <c r="S186" i="1"/>
  <c r="Q186" i="1" s="1"/>
  <c r="H186" i="1" s="1"/>
  <c r="N186" i="1"/>
  <c r="M186" i="1"/>
  <c r="L186" i="1" s="1"/>
  <c r="W185" i="1"/>
  <c r="V185" i="1"/>
  <c r="T185" i="1"/>
  <c r="S185" i="1"/>
  <c r="Q185" i="1" s="1"/>
  <c r="K185" i="1" s="1"/>
  <c r="N185" i="1"/>
  <c r="M185" i="1"/>
  <c r="W184" i="1"/>
  <c r="V184" i="1"/>
  <c r="T184" i="1"/>
  <c r="S184" i="1"/>
  <c r="Q184" i="1" s="1"/>
  <c r="H184" i="1" s="1"/>
  <c r="N184" i="1"/>
  <c r="M184" i="1"/>
  <c r="W183" i="1"/>
  <c r="V183" i="1"/>
  <c r="T183" i="1"/>
  <c r="S183" i="1"/>
  <c r="Q183" i="1" s="1"/>
  <c r="K183" i="1" s="1"/>
  <c r="N183" i="1"/>
  <c r="M183" i="1"/>
  <c r="L183" i="1" s="1"/>
  <c r="H183" i="1"/>
  <c r="W182" i="1"/>
  <c r="V182" i="1"/>
  <c r="T182" i="1"/>
  <c r="S182" i="1"/>
  <c r="Q182" i="1" s="1"/>
  <c r="K182" i="1" s="1"/>
  <c r="N182" i="1"/>
  <c r="M182" i="1"/>
  <c r="H182" i="1"/>
  <c r="W181" i="1"/>
  <c r="V181" i="1"/>
  <c r="T181" i="1"/>
  <c r="S181" i="1"/>
  <c r="Q181" i="1" s="1"/>
  <c r="K181" i="1" s="1"/>
  <c r="N181" i="1"/>
  <c r="M181" i="1"/>
  <c r="L181" i="1" s="1"/>
  <c r="W180" i="1"/>
  <c r="V180" i="1"/>
  <c r="T180" i="1"/>
  <c r="U180" i="1" s="1"/>
  <c r="S180" i="1"/>
  <c r="Q180" i="1" s="1"/>
  <c r="N180" i="1"/>
  <c r="M180" i="1"/>
  <c r="W179" i="1"/>
  <c r="V179" i="1"/>
  <c r="T179" i="1"/>
  <c r="S179" i="1"/>
  <c r="Q179" i="1" s="1"/>
  <c r="R179" i="1" s="1"/>
  <c r="N179" i="1"/>
  <c r="L179" i="1" s="1"/>
  <c r="M179" i="1"/>
  <c r="W178" i="1"/>
  <c r="V178" i="1"/>
  <c r="T178" i="1"/>
  <c r="U178" i="1" s="1"/>
  <c r="S178" i="1"/>
  <c r="Q178" i="1" s="1"/>
  <c r="R178" i="1" s="1"/>
  <c r="N178" i="1"/>
  <c r="M178" i="1"/>
  <c r="W177" i="1"/>
  <c r="V177" i="1"/>
  <c r="T177" i="1"/>
  <c r="U177" i="1" s="1"/>
  <c r="S177" i="1"/>
  <c r="Q177" i="1" s="1"/>
  <c r="N177" i="1"/>
  <c r="M177" i="1"/>
  <c r="W176" i="1"/>
  <c r="V176" i="1"/>
  <c r="T176" i="1"/>
  <c r="S176" i="1"/>
  <c r="Q176" i="1" s="1"/>
  <c r="K176" i="1" s="1"/>
  <c r="N176" i="1"/>
  <c r="M176" i="1"/>
  <c r="W175" i="1"/>
  <c r="V175" i="1"/>
  <c r="T175" i="1"/>
  <c r="S175" i="1"/>
  <c r="Q175" i="1" s="1"/>
  <c r="K175" i="1" s="1"/>
  <c r="N175" i="1"/>
  <c r="M175" i="1"/>
  <c r="L175" i="1" s="1"/>
  <c r="W174" i="1"/>
  <c r="V174" i="1"/>
  <c r="T174" i="1"/>
  <c r="S174" i="1"/>
  <c r="Q174" i="1" s="1"/>
  <c r="K174" i="1" s="1"/>
  <c r="N174" i="1"/>
  <c r="M174" i="1"/>
  <c r="L174" i="1" s="1"/>
  <c r="W173" i="1"/>
  <c r="V173" i="1"/>
  <c r="T173" i="1"/>
  <c r="S173" i="1"/>
  <c r="Q173" i="1" s="1"/>
  <c r="K173" i="1" s="1"/>
  <c r="N173" i="1"/>
  <c r="L173" i="1" s="1"/>
  <c r="M173" i="1"/>
  <c r="W172" i="1"/>
  <c r="V172" i="1"/>
  <c r="T172" i="1"/>
  <c r="S172" i="1"/>
  <c r="Q172" i="1" s="1"/>
  <c r="K172" i="1" s="1"/>
  <c r="N172" i="1"/>
  <c r="M172" i="1"/>
  <c r="W171" i="1"/>
  <c r="V171" i="1"/>
  <c r="T171" i="1"/>
  <c r="S171" i="1"/>
  <c r="Q171" i="1" s="1"/>
  <c r="R171" i="1" s="1"/>
  <c r="N171" i="1"/>
  <c r="M171" i="1"/>
  <c r="W170" i="1"/>
  <c r="V170" i="1"/>
  <c r="T170" i="1"/>
  <c r="S170" i="1"/>
  <c r="Q170" i="1" s="1"/>
  <c r="N170" i="1"/>
  <c r="M170" i="1"/>
  <c r="L170" i="1" s="1"/>
  <c r="W169" i="1"/>
  <c r="V169" i="1"/>
  <c r="T169" i="1"/>
  <c r="S169" i="1"/>
  <c r="Q169" i="1"/>
  <c r="K169" i="1" s="1"/>
  <c r="N169" i="1"/>
  <c r="M169" i="1"/>
  <c r="W168" i="1"/>
  <c r="V168" i="1"/>
  <c r="T168" i="1"/>
  <c r="S168" i="1"/>
  <c r="Q168" i="1" s="1"/>
  <c r="R168" i="1" s="1"/>
  <c r="N168" i="1"/>
  <c r="L168" i="1" s="1"/>
  <c r="M168" i="1"/>
  <c r="H168" i="1"/>
  <c r="W167" i="1"/>
  <c r="V167" i="1"/>
  <c r="T167" i="1"/>
  <c r="S167" i="1"/>
  <c r="Q167" i="1" s="1"/>
  <c r="N167" i="1"/>
  <c r="L167" i="1" s="1"/>
  <c r="M167" i="1"/>
  <c r="W166" i="1"/>
  <c r="V166" i="1"/>
  <c r="T166" i="1"/>
  <c r="U166" i="1" s="1"/>
  <c r="S166" i="1"/>
  <c r="Q166" i="1" s="1"/>
  <c r="R166" i="1" s="1"/>
  <c r="N166" i="1"/>
  <c r="L166" i="1" s="1"/>
  <c r="M166" i="1"/>
  <c r="W165" i="1"/>
  <c r="V165" i="1"/>
  <c r="T165" i="1"/>
  <c r="U165" i="1" s="1"/>
  <c r="S165" i="1"/>
  <c r="Q165" i="1" s="1"/>
  <c r="R165" i="1"/>
  <c r="N165" i="1"/>
  <c r="L165" i="1" s="1"/>
  <c r="M165" i="1"/>
  <c r="W164" i="1"/>
  <c r="V164" i="1"/>
  <c r="T164" i="1"/>
  <c r="U164" i="1" s="1"/>
  <c r="S164" i="1"/>
  <c r="Q164" i="1" s="1"/>
  <c r="R164" i="1" s="1"/>
  <c r="N164" i="1"/>
  <c r="M164" i="1"/>
  <c r="L164" i="1" s="1"/>
  <c r="H164" i="1"/>
  <c r="W163" i="1"/>
  <c r="V163" i="1"/>
  <c r="T163" i="1"/>
  <c r="S163" i="1"/>
  <c r="Q163" i="1" s="1"/>
  <c r="K163" i="1" s="1"/>
  <c r="N163" i="1"/>
  <c r="L163" i="1" s="1"/>
  <c r="M163" i="1"/>
  <c r="W162" i="1"/>
  <c r="V162" i="1"/>
  <c r="T162" i="1"/>
  <c r="S162" i="1"/>
  <c r="Q162" i="1" s="1"/>
  <c r="R162" i="1" s="1"/>
  <c r="N162" i="1"/>
  <c r="M162" i="1"/>
  <c r="L162" i="1" s="1"/>
  <c r="K162" i="1"/>
  <c r="W161" i="1"/>
  <c r="V161" i="1"/>
  <c r="T161" i="1"/>
  <c r="S161" i="1"/>
  <c r="Q161" i="1" s="1"/>
  <c r="N161" i="1"/>
  <c r="M161" i="1"/>
  <c r="W160" i="1"/>
  <c r="V160" i="1"/>
  <c r="T160" i="1"/>
  <c r="U160" i="1" s="1"/>
  <c r="S160" i="1"/>
  <c r="Q160" i="1" s="1"/>
  <c r="N160" i="1"/>
  <c r="M160" i="1"/>
  <c r="W159" i="1"/>
  <c r="V159" i="1"/>
  <c r="T159" i="1"/>
  <c r="S159" i="1"/>
  <c r="Q159" i="1" s="1"/>
  <c r="N159" i="1"/>
  <c r="M159" i="1"/>
  <c r="W158" i="1"/>
  <c r="V158" i="1"/>
  <c r="T158" i="1"/>
  <c r="S158" i="1"/>
  <c r="Q158" i="1" s="1"/>
  <c r="R158" i="1" s="1"/>
  <c r="N158" i="1"/>
  <c r="L158" i="1" s="1"/>
  <c r="M158" i="1"/>
  <c r="W157" i="1"/>
  <c r="V157" i="1"/>
  <c r="T157" i="1"/>
  <c r="S157" i="1"/>
  <c r="Q157" i="1" s="1"/>
  <c r="K157" i="1" s="1"/>
  <c r="N157" i="1"/>
  <c r="M157" i="1"/>
  <c r="W156" i="1"/>
  <c r="V156" i="1"/>
  <c r="T156" i="1"/>
  <c r="S156" i="1"/>
  <c r="Q156" i="1" s="1"/>
  <c r="R156" i="1" s="1"/>
  <c r="N156" i="1"/>
  <c r="M156" i="1"/>
  <c r="W155" i="1"/>
  <c r="V155" i="1"/>
  <c r="T155" i="1"/>
  <c r="S155" i="1"/>
  <c r="Q155" i="1" s="1"/>
  <c r="R155" i="1" s="1"/>
  <c r="N155" i="1"/>
  <c r="M155" i="1"/>
  <c r="L155" i="1" s="1"/>
  <c r="W154" i="1"/>
  <c r="V154" i="1"/>
  <c r="T154" i="1"/>
  <c r="S154" i="1"/>
  <c r="Q154" i="1" s="1"/>
  <c r="R154" i="1" s="1"/>
  <c r="N154" i="1"/>
  <c r="M154" i="1"/>
  <c r="L154" i="1"/>
  <c r="K154" i="1"/>
  <c r="H154" i="1"/>
  <c r="W153" i="1"/>
  <c r="V153" i="1"/>
  <c r="T153" i="1"/>
  <c r="S153" i="1"/>
  <c r="Q153" i="1" s="1"/>
  <c r="N153" i="1"/>
  <c r="M153" i="1"/>
  <c r="L153" i="1" s="1"/>
  <c r="W152" i="1"/>
  <c r="V152" i="1"/>
  <c r="T152" i="1"/>
  <c r="S152" i="1"/>
  <c r="Q152" i="1" s="1"/>
  <c r="K152" i="1" s="1"/>
  <c r="N152" i="1"/>
  <c r="M152" i="1"/>
  <c r="H152" i="1"/>
  <c r="W151" i="1"/>
  <c r="V151" i="1"/>
  <c r="T151" i="1"/>
  <c r="S151" i="1"/>
  <c r="Q151" i="1" s="1"/>
  <c r="N151" i="1"/>
  <c r="M151" i="1"/>
  <c r="L151" i="1" s="1"/>
  <c r="W150" i="1"/>
  <c r="V150" i="1"/>
  <c r="T150" i="1"/>
  <c r="S150" i="1"/>
  <c r="Q150" i="1" s="1"/>
  <c r="R150" i="1"/>
  <c r="N150" i="1"/>
  <c r="M150" i="1"/>
  <c r="W149" i="1"/>
  <c r="V149" i="1"/>
  <c r="T149" i="1"/>
  <c r="S149" i="1"/>
  <c r="Q149" i="1" s="1"/>
  <c r="N149" i="1"/>
  <c r="L149" i="1" s="1"/>
  <c r="M149" i="1"/>
  <c r="W148" i="1"/>
  <c r="V148" i="1"/>
  <c r="T148" i="1"/>
  <c r="U148" i="1" s="1"/>
  <c r="S148" i="1"/>
  <c r="Q148" i="1" s="1"/>
  <c r="K148" i="1" s="1"/>
  <c r="N148" i="1"/>
  <c r="L148" i="1" s="1"/>
  <c r="M148" i="1"/>
  <c r="W147" i="1"/>
  <c r="V147" i="1"/>
  <c r="T147" i="1"/>
  <c r="S147" i="1"/>
  <c r="Q147" i="1"/>
  <c r="N147" i="1"/>
  <c r="M147" i="1"/>
  <c r="W146" i="1"/>
  <c r="V146" i="1"/>
  <c r="T146" i="1"/>
  <c r="U146" i="1" s="1"/>
  <c r="S146" i="1"/>
  <c r="Q146" i="1" s="1"/>
  <c r="N146" i="1"/>
  <c r="M146" i="1"/>
  <c r="W145" i="1"/>
  <c r="V145" i="1"/>
  <c r="T145" i="1"/>
  <c r="S145" i="1"/>
  <c r="Q145" i="1"/>
  <c r="K145" i="1" s="1"/>
  <c r="N145" i="1"/>
  <c r="M145" i="1"/>
  <c r="W144" i="1"/>
  <c r="V144" i="1"/>
  <c r="T144" i="1"/>
  <c r="S144" i="1"/>
  <c r="Q144" i="1" s="1"/>
  <c r="K144" i="1" s="1"/>
  <c r="R144" i="1"/>
  <c r="N144" i="1"/>
  <c r="M144" i="1"/>
  <c r="W143" i="1"/>
  <c r="V143" i="1"/>
  <c r="T143" i="1"/>
  <c r="S143" i="1"/>
  <c r="Q143" i="1" s="1"/>
  <c r="K143" i="1" s="1"/>
  <c r="N143" i="1"/>
  <c r="M143" i="1"/>
  <c r="W142" i="1"/>
  <c r="V142" i="1"/>
  <c r="T142" i="1"/>
  <c r="U142" i="1" s="1"/>
  <c r="S142" i="1"/>
  <c r="Q142" i="1" s="1"/>
  <c r="K142" i="1" s="1"/>
  <c r="N142" i="1"/>
  <c r="M142" i="1"/>
  <c r="W141" i="1"/>
  <c r="V141" i="1"/>
  <c r="T141" i="1"/>
  <c r="S141" i="1"/>
  <c r="Q141" i="1" s="1"/>
  <c r="N141" i="1"/>
  <c r="M141" i="1"/>
  <c r="W140" i="1"/>
  <c r="V140" i="1"/>
  <c r="T140" i="1"/>
  <c r="U140" i="1" s="1"/>
  <c r="S140" i="1"/>
  <c r="Q140" i="1" s="1"/>
  <c r="K140" i="1" s="1"/>
  <c r="R140" i="1"/>
  <c r="N140" i="1"/>
  <c r="M140" i="1"/>
  <c r="L140" i="1" s="1"/>
  <c r="W139" i="1"/>
  <c r="V139" i="1"/>
  <c r="T139" i="1"/>
  <c r="S139" i="1"/>
  <c r="Q139" i="1"/>
  <c r="R139" i="1" s="1"/>
  <c r="N139" i="1"/>
  <c r="M139" i="1"/>
  <c r="L139" i="1" s="1"/>
  <c r="W138" i="1"/>
  <c r="V138" i="1"/>
  <c r="T138" i="1"/>
  <c r="U138" i="1" s="1"/>
  <c r="S138" i="1"/>
  <c r="Q138" i="1" s="1"/>
  <c r="R138" i="1"/>
  <c r="N138" i="1"/>
  <c r="M138" i="1"/>
  <c r="L138" i="1" s="1"/>
  <c r="W137" i="1"/>
  <c r="V137" i="1"/>
  <c r="T137" i="1"/>
  <c r="S137" i="1"/>
  <c r="Q137" i="1" s="1"/>
  <c r="N137" i="1"/>
  <c r="M137" i="1"/>
  <c r="L137" i="1" s="1"/>
  <c r="W136" i="1"/>
  <c r="V136" i="1"/>
  <c r="T136" i="1"/>
  <c r="S136" i="1"/>
  <c r="Q136" i="1" s="1"/>
  <c r="K136" i="1" s="1"/>
  <c r="R136" i="1"/>
  <c r="N136" i="1"/>
  <c r="M136" i="1"/>
  <c r="H136" i="1"/>
  <c r="W135" i="1"/>
  <c r="V135" i="1"/>
  <c r="T135" i="1"/>
  <c r="S135" i="1"/>
  <c r="Q135" i="1"/>
  <c r="K135" i="1" s="1"/>
  <c r="N135" i="1"/>
  <c r="M135" i="1"/>
  <c r="L135" i="1" s="1"/>
  <c r="W134" i="1"/>
  <c r="V134" i="1"/>
  <c r="T134" i="1"/>
  <c r="S134" i="1"/>
  <c r="Q134" i="1" s="1"/>
  <c r="H134" i="1" s="1"/>
  <c r="N134" i="1"/>
  <c r="L134" i="1" s="1"/>
  <c r="M134" i="1"/>
  <c r="K134" i="1"/>
  <c r="W133" i="1"/>
  <c r="V133" i="1"/>
  <c r="T133" i="1"/>
  <c r="U133" i="1" s="1"/>
  <c r="S133" i="1"/>
  <c r="Q133" i="1"/>
  <c r="N133" i="1"/>
  <c r="M133" i="1"/>
  <c r="W132" i="1"/>
  <c r="V132" i="1"/>
  <c r="T132" i="1"/>
  <c r="S132" i="1"/>
  <c r="Q132" i="1" s="1"/>
  <c r="K132" i="1" s="1"/>
  <c r="N132" i="1"/>
  <c r="M132" i="1"/>
  <c r="L132" i="1" s="1"/>
  <c r="W131" i="1"/>
  <c r="V131" i="1"/>
  <c r="T131" i="1"/>
  <c r="S131" i="1"/>
  <c r="Q131" i="1" s="1"/>
  <c r="K131" i="1" s="1"/>
  <c r="N131" i="1"/>
  <c r="L131" i="1" s="1"/>
  <c r="M131" i="1"/>
  <c r="W130" i="1"/>
  <c r="V130" i="1"/>
  <c r="T130" i="1"/>
  <c r="U130" i="1" s="1"/>
  <c r="S130" i="1"/>
  <c r="Q130" i="1" s="1"/>
  <c r="N130" i="1"/>
  <c r="L130" i="1" s="1"/>
  <c r="M130" i="1"/>
  <c r="W129" i="1"/>
  <c r="V129" i="1"/>
  <c r="T129" i="1"/>
  <c r="S129" i="1"/>
  <c r="Q129" i="1" s="1"/>
  <c r="N129" i="1"/>
  <c r="M129" i="1"/>
  <c r="W128" i="1"/>
  <c r="V128" i="1"/>
  <c r="U128" i="1"/>
  <c r="T128" i="1"/>
  <c r="S128" i="1"/>
  <c r="Q128" i="1" s="1"/>
  <c r="K128" i="1" s="1"/>
  <c r="N128" i="1"/>
  <c r="M128" i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H126" i="1" s="1"/>
  <c r="N126" i="1"/>
  <c r="M126" i="1"/>
  <c r="W125" i="1"/>
  <c r="V125" i="1"/>
  <c r="T125" i="1"/>
  <c r="S125" i="1"/>
  <c r="Q125" i="1"/>
  <c r="N125" i="1"/>
  <c r="M125" i="1"/>
  <c r="W124" i="1"/>
  <c r="V124" i="1"/>
  <c r="T124" i="1"/>
  <c r="S124" i="1"/>
  <c r="Q124" i="1" s="1"/>
  <c r="R124" i="1" s="1"/>
  <c r="N124" i="1"/>
  <c r="L124" i="1" s="1"/>
  <c r="M124" i="1"/>
  <c r="W123" i="1"/>
  <c r="V123" i="1"/>
  <c r="T123" i="1"/>
  <c r="S123" i="1"/>
  <c r="Q123" i="1" s="1"/>
  <c r="N123" i="1"/>
  <c r="L123" i="1" s="1"/>
  <c r="M123" i="1"/>
  <c r="W122" i="1"/>
  <c r="V122" i="1"/>
  <c r="T122" i="1"/>
  <c r="U122" i="1" s="1"/>
  <c r="S122" i="1"/>
  <c r="Q122" i="1" s="1"/>
  <c r="H122" i="1" s="1"/>
  <c r="R122" i="1"/>
  <c r="N122" i="1"/>
  <c r="M122" i="1"/>
  <c r="L122" i="1" s="1"/>
  <c r="W121" i="1"/>
  <c r="V121" i="1"/>
  <c r="T121" i="1"/>
  <c r="S121" i="1"/>
  <c r="Q121" i="1"/>
  <c r="R121" i="1" s="1"/>
  <c r="N121" i="1"/>
  <c r="M121" i="1"/>
  <c r="L121" i="1" s="1"/>
  <c r="W120" i="1"/>
  <c r="V120" i="1"/>
  <c r="T120" i="1"/>
  <c r="S120" i="1"/>
  <c r="Q120" i="1" s="1"/>
  <c r="K120" i="1" s="1"/>
  <c r="R120" i="1"/>
  <c r="N120" i="1"/>
  <c r="M120" i="1"/>
  <c r="H120" i="1"/>
  <c r="W119" i="1"/>
  <c r="V119" i="1"/>
  <c r="T119" i="1"/>
  <c r="S119" i="1"/>
  <c r="Q119" i="1" s="1"/>
  <c r="N119" i="1"/>
  <c r="M119" i="1"/>
  <c r="L119" i="1"/>
  <c r="W118" i="1"/>
  <c r="V118" i="1"/>
  <c r="T118" i="1"/>
  <c r="S118" i="1"/>
  <c r="Q118" i="1" s="1"/>
  <c r="N118" i="1"/>
  <c r="M118" i="1"/>
  <c r="L118" i="1"/>
  <c r="W117" i="1"/>
  <c r="V117" i="1"/>
  <c r="T117" i="1"/>
  <c r="S117" i="1"/>
  <c r="Q117" i="1" s="1"/>
  <c r="N117" i="1"/>
  <c r="M117" i="1"/>
  <c r="W116" i="1"/>
  <c r="V116" i="1"/>
  <c r="T116" i="1"/>
  <c r="S116" i="1"/>
  <c r="Q116" i="1" s="1"/>
  <c r="N116" i="1"/>
  <c r="M116" i="1"/>
  <c r="L116" i="1" s="1"/>
  <c r="W115" i="1"/>
  <c r="V115" i="1"/>
  <c r="T115" i="1"/>
  <c r="S115" i="1"/>
  <c r="Q115" i="1" s="1"/>
  <c r="N115" i="1"/>
  <c r="M115" i="1"/>
  <c r="L115" i="1" s="1"/>
  <c r="W114" i="1"/>
  <c r="V114" i="1"/>
  <c r="T114" i="1"/>
  <c r="S114" i="1"/>
  <c r="Q114" i="1" s="1"/>
  <c r="N114" i="1"/>
  <c r="M114" i="1"/>
  <c r="W113" i="1"/>
  <c r="V113" i="1"/>
  <c r="T113" i="1"/>
  <c r="S113" i="1"/>
  <c r="Q113" i="1" s="1"/>
  <c r="N113" i="1"/>
  <c r="M113" i="1"/>
  <c r="L113" i="1"/>
  <c r="W112" i="1"/>
  <c r="V112" i="1"/>
  <c r="T112" i="1"/>
  <c r="S112" i="1"/>
  <c r="Q112" i="1" s="1"/>
  <c r="K112" i="1" s="1"/>
  <c r="R112" i="1"/>
  <c r="N112" i="1"/>
  <c r="M112" i="1"/>
  <c r="L112" i="1" s="1"/>
  <c r="W111" i="1"/>
  <c r="V111" i="1"/>
  <c r="T111" i="1"/>
  <c r="S111" i="1"/>
  <c r="Q111" i="1" s="1"/>
  <c r="R111" i="1" s="1"/>
  <c r="N111" i="1"/>
  <c r="M111" i="1"/>
  <c r="W110" i="1"/>
  <c r="V110" i="1"/>
  <c r="T110" i="1"/>
  <c r="U110" i="1" s="1"/>
  <c r="S110" i="1"/>
  <c r="Q110" i="1" s="1"/>
  <c r="K110" i="1" s="1"/>
  <c r="N110" i="1"/>
  <c r="M110" i="1"/>
  <c r="W109" i="1"/>
  <c r="V109" i="1"/>
  <c r="T109" i="1"/>
  <c r="U109" i="1" s="1"/>
  <c r="S109" i="1"/>
  <c r="Q109" i="1" s="1"/>
  <c r="K109" i="1" s="1"/>
  <c r="N109" i="1"/>
  <c r="M109" i="1"/>
  <c r="W108" i="1"/>
  <c r="V108" i="1"/>
  <c r="T108" i="1"/>
  <c r="S108" i="1"/>
  <c r="Q108" i="1" s="1"/>
  <c r="R108" i="1" s="1"/>
  <c r="N108" i="1"/>
  <c r="M108" i="1"/>
  <c r="L108" i="1"/>
  <c r="W107" i="1"/>
  <c r="V107" i="1"/>
  <c r="T107" i="1"/>
  <c r="S107" i="1"/>
  <c r="Q107" i="1" s="1"/>
  <c r="N107" i="1"/>
  <c r="M107" i="1"/>
  <c r="L107" i="1" s="1"/>
  <c r="W106" i="1"/>
  <c r="V106" i="1"/>
  <c r="U106" i="1" s="1"/>
  <c r="T106" i="1"/>
  <c r="S106" i="1"/>
  <c r="Q106" i="1" s="1"/>
  <c r="R106" i="1" s="1"/>
  <c r="N106" i="1"/>
  <c r="M106" i="1"/>
  <c r="L106" i="1"/>
  <c r="H106" i="1"/>
  <c r="W105" i="1"/>
  <c r="V105" i="1"/>
  <c r="T105" i="1"/>
  <c r="S105" i="1"/>
  <c r="Q105" i="1" s="1"/>
  <c r="N105" i="1"/>
  <c r="M105" i="1"/>
  <c r="L105" i="1" s="1"/>
  <c r="W104" i="1"/>
  <c r="V104" i="1"/>
  <c r="T104" i="1"/>
  <c r="S104" i="1"/>
  <c r="Q104" i="1" s="1"/>
  <c r="H104" i="1" s="1"/>
  <c r="N104" i="1"/>
  <c r="L104" i="1" s="1"/>
  <c r="M104" i="1"/>
  <c r="W103" i="1"/>
  <c r="V103" i="1"/>
  <c r="T103" i="1"/>
  <c r="S103" i="1"/>
  <c r="Q103" i="1" s="1"/>
  <c r="N103" i="1"/>
  <c r="M103" i="1"/>
  <c r="L103" i="1" s="1"/>
  <c r="W102" i="1"/>
  <c r="V102" i="1"/>
  <c r="T102" i="1"/>
  <c r="S102" i="1"/>
  <c r="Q102" i="1" s="1"/>
  <c r="H102" i="1" s="1"/>
  <c r="N102" i="1"/>
  <c r="M102" i="1"/>
  <c r="W101" i="1"/>
  <c r="V101" i="1"/>
  <c r="T101" i="1"/>
  <c r="S101" i="1"/>
  <c r="Q101" i="1" s="1"/>
  <c r="N101" i="1"/>
  <c r="M101" i="1"/>
  <c r="W100" i="1"/>
  <c r="V100" i="1"/>
  <c r="T100" i="1"/>
  <c r="U100" i="1" s="1"/>
  <c r="S100" i="1"/>
  <c r="Q100" i="1" s="1"/>
  <c r="N100" i="1"/>
  <c r="M100" i="1"/>
  <c r="L100" i="1"/>
  <c r="K100" i="1"/>
  <c r="W99" i="1"/>
  <c r="V99" i="1"/>
  <c r="T99" i="1"/>
  <c r="S99" i="1"/>
  <c r="Q99" i="1" s="1"/>
  <c r="H99" i="1" s="1"/>
  <c r="N99" i="1"/>
  <c r="M99" i="1"/>
  <c r="W98" i="1"/>
  <c r="V98" i="1"/>
  <c r="T98" i="1"/>
  <c r="S98" i="1"/>
  <c r="Q98" i="1" s="1"/>
  <c r="N98" i="1"/>
  <c r="M98" i="1"/>
  <c r="W97" i="1"/>
  <c r="V97" i="1"/>
  <c r="T97" i="1"/>
  <c r="S97" i="1"/>
  <c r="Q97" i="1" s="1"/>
  <c r="K97" i="1" s="1"/>
  <c r="N97" i="1"/>
  <c r="M97" i="1"/>
  <c r="W96" i="1"/>
  <c r="V96" i="1"/>
  <c r="T96" i="1"/>
  <c r="U96" i="1" s="1"/>
  <c r="S96" i="1"/>
  <c r="Q96" i="1" s="1"/>
  <c r="K96" i="1" s="1"/>
  <c r="R96" i="1"/>
  <c r="N96" i="1"/>
  <c r="M96" i="1"/>
  <c r="W95" i="1"/>
  <c r="V95" i="1"/>
  <c r="T95" i="1"/>
  <c r="S95" i="1"/>
  <c r="Q95" i="1" s="1"/>
  <c r="R95" i="1" s="1"/>
  <c r="N95" i="1"/>
  <c r="M95" i="1"/>
  <c r="W94" i="1"/>
  <c r="V94" i="1"/>
  <c r="T94" i="1"/>
  <c r="S94" i="1"/>
  <c r="Q94" i="1" s="1"/>
  <c r="H94" i="1" s="1"/>
  <c r="N94" i="1"/>
  <c r="M94" i="1"/>
  <c r="L94" i="1" s="1"/>
  <c r="W93" i="1"/>
  <c r="V93" i="1"/>
  <c r="T93" i="1"/>
  <c r="U93" i="1" s="1"/>
  <c r="S93" i="1"/>
  <c r="Q93" i="1" s="1"/>
  <c r="K93" i="1" s="1"/>
  <c r="N93" i="1"/>
  <c r="M93" i="1"/>
  <c r="W92" i="1"/>
  <c r="V92" i="1"/>
  <c r="T92" i="1"/>
  <c r="S92" i="1"/>
  <c r="Q92" i="1" s="1"/>
  <c r="R92" i="1" s="1"/>
  <c r="N92" i="1"/>
  <c r="M92" i="1"/>
  <c r="W91" i="1"/>
  <c r="V91" i="1"/>
  <c r="T91" i="1"/>
  <c r="S91" i="1"/>
  <c r="Q91" i="1" s="1"/>
  <c r="K91" i="1" s="1"/>
  <c r="N91" i="1"/>
  <c r="M91" i="1"/>
  <c r="W90" i="1"/>
  <c r="V90" i="1"/>
  <c r="T90" i="1"/>
  <c r="S90" i="1"/>
  <c r="Q90" i="1" s="1"/>
  <c r="K90" i="1" s="1"/>
  <c r="N90" i="1"/>
  <c r="M90" i="1"/>
  <c r="L90" i="1" s="1"/>
  <c r="H90" i="1"/>
  <c r="W89" i="1"/>
  <c r="V89" i="1"/>
  <c r="T89" i="1"/>
  <c r="U89" i="1" s="1"/>
  <c r="S89" i="1"/>
  <c r="Q89" i="1" s="1"/>
  <c r="N89" i="1"/>
  <c r="M89" i="1"/>
  <c r="L89" i="1"/>
  <c r="W88" i="1"/>
  <c r="V88" i="1"/>
  <c r="T88" i="1"/>
  <c r="S88" i="1"/>
  <c r="Q88" i="1" s="1"/>
  <c r="H88" i="1" s="1"/>
  <c r="N88" i="1"/>
  <c r="M88" i="1"/>
  <c r="W87" i="1"/>
  <c r="V87" i="1"/>
  <c r="T87" i="1"/>
  <c r="U87" i="1" s="1"/>
  <c r="S87" i="1"/>
  <c r="Q87" i="1" s="1"/>
  <c r="N87" i="1"/>
  <c r="M87" i="1"/>
  <c r="L87" i="1" s="1"/>
  <c r="W86" i="1"/>
  <c r="V86" i="1"/>
  <c r="T86" i="1"/>
  <c r="U86" i="1" s="1"/>
  <c r="S86" i="1"/>
  <c r="Q86" i="1" s="1"/>
  <c r="H86" i="1" s="1"/>
  <c r="R86" i="1"/>
  <c r="N86" i="1"/>
  <c r="M86" i="1"/>
  <c r="W85" i="1"/>
  <c r="V85" i="1"/>
  <c r="T85" i="1"/>
  <c r="U85" i="1" s="1"/>
  <c r="S85" i="1"/>
  <c r="Q85" i="1" s="1"/>
  <c r="N85" i="1"/>
  <c r="M85" i="1"/>
  <c r="W84" i="1"/>
  <c r="V84" i="1"/>
  <c r="T84" i="1"/>
  <c r="S84" i="1"/>
  <c r="Q84" i="1" s="1"/>
  <c r="K84" i="1" s="1"/>
  <c r="N84" i="1"/>
  <c r="M84" i="1"/>
  <c r="W83" i="1"/>
  <c r="V83" i="1"/>
  <c r="T83" i="1"/>
  <c r="S83" i="1"/>
  <c r="Q83" i="1" s="1"/>
  <c r="H83" i="1" s="1"/>
  <c r="N83" i="1"/>
  <c r="M83" i="1"/>
  <c r="W82" i="1"/>
  <c r="V82" i="1"/>
  <c r="T82" i="1"/>
  <c r="U82" i="1" s="1"/>
  <c r="S82" i="1"/>
  <c r="Q82" i="1" s="1"/>
  <c r="N82" i="1"/>
  <c r="M82" i="1"/>
  <c r="W81" i="1"/>
  <c r="V81" i="1"/>
  <c r="T81" i="1"/>
  <c r="S81" i="1"/>
  <c r="Q81" i="1" s="1"/>
  <c r="K81" i="1" s="1"/>
  <c r="R81" i="1"/>
  <c r="N81" i="1"/>
  <c r="M81" i="1"/>
  <c r="W80" i="1"/>
  <c r="V80" i="1"/>
  <c r="T80" i="1"/>
  <c r="S80" i="1"/>
  <c r="Q80" i="1" s="1"/>
  <c r="K80" i="1" s="1"/>
  <c r="R80" i="1"/>
  <c r="N80" i="1"/>
  <c r="M80" i="1"/>
  <c r="W79" i="1"/>
  <c r="V79" i="1"/>
  <c r="T79" i="1"/>
  <c r="U79" i="1" s="1"/>
  <c r="S79" i="1"/>
  <c r="Q79" i="1" s="1"/>
  <c r="R79" i="1" s="1"/>
  <c r="N79" i="1"/>
  <c r="M79" i="1"/>
  <c r="L79" i="1" s="1"/>
  <c r="W78" i="1"/>
  <c r="V78" i="1"/>
  <c r="T78" i="1"/>
  <c r="S78" i="1"/>
  <c r="Q78" i="1" s="1"/>
  <c r="N78" i="1"/>
  <c r="L78" i="1" s="1"/>
  <c r="M78" i="1"/>
  <c r="W77" i="1"/>
  <c r="V77" i="1"/>
  <c r="T77" i="1"/>
  <c r="S77" i="1"/>
  <c r="Q77" i="1" s="1"/>
  <c r="N77" i="1"/>
  <c r="M77" i="1"/>
  <c r="W76" i="1"/>
  <c r="V76" i="1"/>
  <c r="T76" i="1"/>
  <c r="U76" i="1" s="1"/>
  <c r="S76" i="1"/>
  <c r="Q76" i="1" s="1"/>
  <c r="R76" i="1" s="1"/>
  <c r="N76" i="1"/>
  <c r="M76" i="1"/>
  <c r="L76" i="1" s="1"/>
  <c r="W75" i="1"/>
  <c r="V75" i="1"/>
  <c r="T75" i="1"/>
  <c r="S75" i="1"/>
  <c r="Q75" i="1" s="1"/>
  <c r="R75" i="1"/>
  <c r="N75" i="1"/>
  <c r="M75" i="1"/>
  <c r="L75" i="1"/>
  <c r="W74" i="1"/>
  <c r="V74" i="1"/>
  <c r="U74" i="1"/>
  <c r="T74" i="1"/>
  <c r="S74" i="1"/>
  <c r="Q74" i="1" s="1"/>
  <c r="R74" i="1" s="1"/>
  <c r="N74" i="1"/>
  <c r="M74" i="1"/>
  <c r="W73" i="1"/>
  <c r="V73" i="1"/>
  <c r="T73" i="1"/>
  <c r="S73" i="1"/>
  <c r="Q73" i="1" s="1"/>
  <c r="H73" i="1" s="1"/>
  <c r="N73" i="1"/>
  <c r="M73" i="1"/>
  <c r="W72" i="1"/>
  <c r="V72" i="1"/>
  <c r="T72" i="1"/>
  <c r="S72" i="1"/>
  <c r="Q72" i="1" s="1"/>
  <c r="R72" i="1" s="1"/>
  <c r="N72" i="1"/>
  <c r="M72" i="1"/>
  <c r="W71" i="1"/>
  <c r="V71" i="1"/>
  <c r="T71" i="1"/>
  <c r="U71" i="1" s="1"/>
  <c r="S71" i="1"/>
  <c r="Q71" i="1" s="1"/>
  <c r="N71" i="1"/>
  <c r="L71" i="1" s="1"/>
  <c r="M71" i="1"/>
  <c r="W70" i="1"/>
  <c r="V70" i="1"/>
  <c r="T70" i="1"/>
  <c r="U70" i="1" s="1"/>
  <c r="S70" i="1"/>
  <c r="Q70" i="1" s="1"/>
  <c r="R70" i="1" s="1"/>
  <c r="N70" i="1"/>
  <c r="M70" i="1"/>
  <c r="W69" i="1"/>
  <c r="V69" i="1"/>
  <c r="T69" i="1"/>
  <c r="S69" i="1"/>
  <c r="Q69" i="1"/>
  <c r="N69" i="1"/>
  <c r="M69" i="1"/>
  <c r="L69" i="1" s="1"/>
  <c r="W68" i="1"/>
  <c r="V68" i="1"/>
  <c r="T68" i="1"/>
  <c r="S68" i="1"/>
  <c r="Q68" i="1" s="1"/>
  <c r="R68" i="1" s="1"/>
  <c r="N68" i="1"/>
  <c r="M68" i="1"/>
  <c r="K68" i="1"/>
  <c r="W67" i="1"/>
  <c r="V67" i="1"/>
  <c r="T67" i="1"/>
  <c r="S67" i="1"/>
  <c r="Q67" i="1" s="1"/>
  <c r="H67" i="1" s="1"/>
  <c r="N67" i="1"/>
  <c r="M67" i="1"/>
  <c r="L67" i="1" s="1"/>
  <c r="W66" i="1"/>
  <c r="V66" i="1"/>
  <c r="U66" i="1"/>
  <c r="T66" i="1"/>
  <c r="S66" i="1"/>
  <c r="Q66" i="1" s="1"/>
  <c r="N66" i="1"/>
  <c r="M66" i="1"/>
  <c r="W65" i="1"/>
  <c r="V65" i="1"/>
  <c r="T65" i="1"/>
  <c r="U65" i="1" s="1"/>
  <c r="S65" i="1"/>
  <c r="Q65" i="1" s="1"/>
  <c r="H65" i="1" s="1"/>
  <c r="N65" i="1"/>
  <c r="M65" i="1"/>
  <c r="W64" i="1"/>
  <c r="V64" i="1"/>
  <c r="T64" i="1"/>
  <c r="S64" i="1"/>
  <c r="Q64" i="1" s="1"/>
  <c r="K64" i="1" s="1"/>
  <c r="N64" i="1"/>
  <c r="M64" i="1"/>
  <c r="W63" i="1"/>
  <c r="V63" i="1"/>
  <c r="T63" i="1"/>
  <c r="U63" i="1" s="1"/>
  <c r="S63" i="1"/>
  <c r="Q63" i="1" s="1"/>
  <c r="N63" i="1"/>
  <c r="M63" i="1"/>
  <c r="W62" i="1"/>
  <c r="V62" i="1"/>
  <c r="T62" i="1"/>
  <c r="U62" i="1" s="1"/>
  <c r="S62" i="1"/>
  <c r="Q62" i="1" s="1"/>
  <c r="N62" i="1"/>
  <c r="M62" i="1"/>
  <c r="K62" i="1"/>
  <c r="W61" i="1"/>
  <c r="V61" i="1"/>
  <c r="T61" i="1"/>
  <c r="S61" i="1"/>
  <c r="Q61" i="1"/>
  <c r="N61" i="1"/>
  <c r="M61" i="1"/>
  <c r="L61" i="1" s="1"/>
  <c r="W60" i="1"/>
  <c r="V60" i="1"/>
  <c r="T60" i="1"/>
  <c r="S60" i="1"/>
  <c r="Q60" i="1" s="1"/>
  <c r="N60" i="1"/>
  <c r="M60" i="1"/>
  <c r="W59" i="1"/>
  <c r="V59" i="1"/>
  <c r="T59" i="1"/>
  <c r="U59" i="1" s="1"/>
  <c r="S59" i="1"/>
  <c r="Q59" i="1"/>
  <c r="H59" i="1" s="1"/>
  <c r="N59" i="1"/>
  <c r="M59" i="1"/>
  <c r="W58" i="1"/>
  <c r="V58" i="1"/>
  <c r="T58" i="1"/>
  <c r="U58" i="1" s="1"/>
  <c r="S58" i="1"/>
  <c r="Q58" i="1"/>
  <c r="N58" i="1"/>
  <c r="M58" i="1"/>
  <c r="W57" i="1"/>
  <c r="V57" i="1"/>
  <c r="T57" i="1"/>
  <c r="U57" i="1" s="1"/>
  <c r="S57" i="1"/>
  <c r="Q57" i="1" s="1"/>
  <c r="H57" i="1" s="1"/>
  <c r="N57" i="1"/>
  <c r="M57" i="1"/>
  <c r="W56" i="1"/>
  <c r="V56" i="1"/>
  <c r="T56" i="1"/>
  <c r="S56" i="1"/>
  <c r="Q56" i="1"/>
  <c r="N56" i="1"/>
  <c r="M56" i="1"/>
  <c r="W55" i="1"/>
  <c r="V55" i="1"/>
  <c r="T55" i="1"/>
  <c r="U55" i="1" s="1"/>
  <c r="S55" i="1"/>
  <c r="Q55" i="1" s="1"/>
  <c r="N55" i="1"/>
  <c r="M55" i="1"/>
  <c r="W54" i="1"/>
  <c r="V54" i="1"/>
  <c r="T54" i="1"/>
  <c r="U54" i="1" s="1"/>
  <c r="S54" i="1"/>
  <c r="Q54" i="1"/>
  <c r="N54" i="1"/>
  <c r="M54" i="1"/>
  <c r="W53" i="1"/>
  <c r="V53" i="1"/>
  <c r="T53" i="1"/>
  <c r="S53" i="1"/>
  <c r="Q53" i="1" s="1"/>
  <c r="N53" i="1"/>
  <c r="M53" i="1"/>
  <c r="W52" i="1"/>
  <c r="V52" i="1"/>
  <c r="T52" i="1"/>
  <c r="S52" i="1"/>
  <c r="Q52" i="1" s="1"/>
  <c r="R52" i="1" s="1"/>
  <c r="N52" i="1"/>
  <c r="M52" i="1"/>
  <c r="W51" i="1"/>
  <c r="V51" i="1"/>
  <c r="T51" i="1"/>
  <c r="S51" i="1"/>
  <c r="Q51" i="1" s="1"/>
  <c r="K51" i="1" s="1"/>
  <c r="N51" i="1"/>
  <c r="M51" i="1"/>
  <c r="W50" i="1"/>
  <c r="V50" i="1"/>
  <c r="T50" i="1"/>
  <c r="U50" i="1" s="1"/>
  <c r="S50" i="1"/>
  <c r="Q50" i="1" s="1"/>
  <c r="R50" i="1" s="1"/>
  <c r="N50" i="1"/>
  <c r="M50" i="1"/>
  <c r="W49" i="1"/>
  <c r="V49" i="1"/>
  <c r="T49" i="1"/>
  <c r="U49" i="1" s="1"/>
  <c r="S49" i="1"/>
  <c r="Q49" i="1"/>
  <c r="K49" i="1" s="1"/>
  <c r="N49" i="1"/>
  <c r="M49" i="1"/>
  <c r="W48" i="1"/>
  <c r="V48" i="1"/>
  <c r="U48" i="1" s="1"/>
  <c r="T48" i="1"/>
  <c r="S48" i="1"/>
  <c r="Q48" i="1" s="1"/>
  <c r="R48" i="1" s="1"/>
  <c r="N48" i="1"/>
  <c r="M48" i="1"/>
  <c r="H48" i="1"/>
  <c r="W47" i="1"/>
  <c r="V47" i="1"/>
  <c r="T47" i="1"/>
  <c r="U47" i="1" s="1"/>
  <c r="S47" i="1"/>
  <c r="Q47" i="1" s="1"/>
  <c r="N47" i="1"/>
  <c r="M47" i="1"/>
  <c r="W46" i="1"/>
  <c r="V46" i="1"/>
  <c r="U46" i="1"/>
  <c r="T46" i="1"/>
  <c r="S46" i="1"/>
  <c r="Q46" i="1" s="1"/>
  <c r="R46" i="1" s="1"/>
  <c r="N46" i="1"/>
  <c r="M46" i="1"/>
  <c r="L46" i="1" s="1"/>
  <c r="W45" i="1"/>
  <c r="V45" i="1"/>
  <c r="T45" i="1"/>
  <c r="S45" i="1"/>
  <c r="Q45" i="1" s="1"/>
  <c r="N45" i="1"/>
  <c r="M45" i="1"/>
  <c r="L45" i="1" s="1"/>
  <c r="W44" i="1"/>
  <c r="V44" i="1"/>
  <c r="T44" i="1"/>
  <c r="U44" i="1" s="1"/>
  <c r="S44" i="1"/>
  <c r="Q44" i="1" s="1"/>
  <c r="R44" i="1" s="1"/>
  <c r="N44" i="1"/>
  <c r="M44" i="1"/>
  <c r="L44" i="1" s="1"/>
  <c r="W43" i="1"/>
  <c r="V43" i="1"/>
  <c r="T43" i="1"/>
  <c r="U43" i="1" s="1"/>
  <c r="S43" i="1"/>
  <c r="Q43" i="1"/>
  <c r="K43" i="1" s="1"/>
  <c r="N43" i="1"/>
  <c r="M43" i="1"/>
  <c r="W42" i="1"/>
  <c r="V42" i="1"/>
  <c r="T42" i="1"/>
  <c r="S42" i="1"/>
  <c r="Q42" i="1" s="1"/>
  <c r="R42" i="1" s="1"/>
  <c r="N42" i="1"/>
  <c r="M42" i="1"/>
  <c r="L42" i="1" s="1"/>
  <c r="W41" i="1"/>
  <c r="V41" i="1"/>
  <c r="T41" i="1"/>
  <c r="U41" i="1" s="1"/>
  <c r="S41" i="1"/>
  <c r="Q41" i="1"/>
  <c r="K41" i="1" s="1"/>
  <c r="N41" i="1"/>
  <c r="M41" i="1"/>
  <c r="W40" i="1"/>
  <c r="V40" i="1"/>
  <c r="T40" i="1"/>
  <c r="S40" i="1"/>
  <c r="Q40" i="1" s="1"/>
  <c r="R40" i="1" s="1"/>
  <c r="N40" i="1"/>
  <c r="M40" i="1"/>
  <c r="L40" i="1" s="1"/>
  <c r="W39" i="1"/>
  <c r="V39" i="1"/>
  <c r="T39" i="1"/>
  <c r="S39" i="1"/>
  <c r="Q39" i="1" s="1"/>
  <c r="N39" i="1"/>
  <c r="M39" i="1"/>
  <c r="L39" i="1" s="1"/>
  <c r="W38" i="1"/>
  <c r="V38" i="1"/>
  <c r="T38" i="1"/>
  <c r="U38" i="1" s="1"/>
  <c r="S38" i="1"/>
  <c r="Q38" i="1" s="1"/>
  <c r="R38" i="1" s="1"/>
  <c r="N38" i="1"/>
  <c r="M38" i="1"/>
  <c r="W37" i="1"/>
  <c r="V37" i="1"/>
  <c r="T37" i="1"/>
  <c r="S37" i="1"/>
  <c r="Q37" i="1" s="1"/>
  <c r="N37" i="1"/>
  <c r="M37" i="1"/>
  <c r="W36" i="1"/>
  <c r="V36" i="1"/>
  <c r="T36" i="1"/>
  <c r="U36" i="1" s="1"/>
  <c r="S36" i="1"/>
  <c r="Q36" i="1" s="1"/>
  <c r="N36" i="1"/>
  <c r="M36" i="1"/>
  <c r="L36" i="1" s="1"/>
  <c r="K36" i="1"/>
  <c r="W35" i="1"/>
  <c r="V35" i="1"/>
  <c r="T35" i="1"/>
  <c r="S35" i="1"/>
  <c r="Q35" i="1"/>
  <c r="H35" i="1" s="1"/>
  <c r="N35" i="1"/>
  <c r="M35" i="1"/>
  <c r="L35" i="1" s="1"/>
  <c r="K35" i="1"/>
  <c r="W34" i="1"/>
  <c r="V34" i="1"/>
  <c r="T34" i="1"/>
  <c r="S34" i="1"/>
  <c r="Q34" i="1"/>
  <c r="K34" i="1" s="1"/>
  <c r="N34" i="1"/>
  <c r="M34" i="1"/>
  <c r="L34" i="1"/>
  <c r="W33" i="1"/>
  <c r="V33" i="1"/>
  <c r="T33" i="1"/>
  <c r="U33" i="1" s="1"/>
  <c r="S33" i="1"/>
  <c r="Q33" i="1" s="1"/>
  <c r="N33" i="1"/>
  <c r="M33" i="1"/>
  <c r="L33" i="1"/>
  <c r="W32" i="1"/>
  <c r="V32" i="1"/>
  <c r="T32" i="1"/>
  <c r="U32" i="1" s="1"/>
  <c r="S32" i="1"/>
  <c r="Q32" i="1"/>
  <c r="K32" i="1" s="1"/>
  <c r="N32" i="1"/>
  <c r="M32" i="1"/>
  <c r="W31" i="1"/>
  <c r="V31" i="1"/>
  <c r="T31" i="1"/>
  <c r="S31" i="1"/>
  <c r="Q31" i="1" s="1"/>
  <c r="N31" i="1"/>
  <c r="M31" i="1"/>
  <c r="L31" i="1" s="1"/>
  <c r="W30" i="1"/>
  <c r="V30" i="1"/>
  <c r="T30" i="1"/>
  <c r="S30" i="1"/>
  <c r="Q30" i="1" s="1"/>
  <c r="K30" i="1" s="1"/>
  <c r="N30" i="1"/>
  <c r="M30" i="1"/>
  <c r="L30" i="1" s="1"/>
  <c r="W29" i="1"/>
  <c r="V29" i="1"/>
  <c r="U29" i="1"/>
  <c r="T29" i="1"/>
  <c r="S29" i="1"/>
  <c r="Q29" i="1" s="1"/>
  <c r="H29" i="1" s="1"/>
  <c r="N29" i="1"/>
  <c r="M29" i="1"/>
  <c r="L29" i="1"/>
  <c r="W28" i="1"/>
  <c r="V28" i="1"/>
  <c r="U28" i="1"/>
  <c r="T28" i="1"/>
  <c r="S28" i="1"/>
  <c r="Q28" i="1" s="1"/>
  <c r="K28" i="1" s="1"/>
  <c r="N28" i="1"/>
  <c r="M28" i="1"/>
  <c r="L28" i="1" s="1"/>
  <c r="W27" i="1"/>
  <c r="V27" i="1"/>
  <c r="T27" i="1"/>
  <c r="U27" i="1" s="1"/>
  <c r="S27" i="1"/>
  <c r="Q27" i="1" s="1"/>
  <c r="N27" i="1"/>
  <c r="M27" i="1"/>
  <c r="W26" i="1"/>
  <c r="V26" i="1"/>
  <c r="T26" i="1"/>
  <c r="U26" i="1" s="1"/>
  <c r="S26" i="1"/>
  <c r="Q26" i="1" s="1"/>
  <c r="K26" i="1" s="1"/>
  <c r="N26" i="1"/>
  <c r="M26" i="1"/>
  <c r="W25" i="1"/>
  <c r="V25" i="1"/>
  <c r="T25" i="1"/>
  <c r="U25" i="1" s="1"/>
  <c r="S25" i="1"/>
  <c r="Q25" i="1" s="1"/>
  <c r="N25" i="1"/>
  <c r="M25" i="1"/>
  <c r="L25" i="1"/>
  <c r="W24" i="1"/>
  <c r="V24" i="1"/>
  <c r="U24" i="1" s="1"/>
  <c r="T24" i="1"/>
  <c r="S24" i="1"/>
  <c r="Q24" i="1" s="1"/>
  <c r="K24" i="1" s="1"/>
  <c r="N24" i="1"/>
  <c r="M24" i="1"/>
  <c r="L24" i="1"/>
  <c r="W23" i="1"/>
  <c r="V23" i="1"/>
  <c r="T23" i="1"/>
  <c r="S23" i="1"/>
  <c r="Q23" i="1"/>
  <c r="H23" i="1" s="1"/>
  <c r="N23" i="1"/>
  <c r="M23" i="1"/>
  <c r="L23" i="1"/>
  <c r="K23" i="1"/>
  <c r="W22" i="1"/>
  <c r="V22" i="1"/>
  <c r="T22" i="1"/>
  <c r="S22" i="1"/>
  <c r="Q22" i="1"/>
  <c r="K22" i="1" s="1"/>
  <c r="N22" i="1"/>
  <c r="M22" i="1"/>
  <c r="L22" i="1" s="1"/>
  <c r="W21" i="1"/>
  <c r="V21" i="1"/>
  <c r="U21" i="1"/>
  <c r="T21" i="1"/>
  <c r="S21" i="1"/>
  <c r="Q21" i="1" s="1"/>
  <c r="N21" i="1"/>
  <c r="M21" i="1"/>
  <c r="W20" i="1"/>
  <c r="V20" i="1"/>
  <c r="T20" i="1"/>
  <c r="S20" i="1"/>
  <c r="Q20" i="1" s="1"/>
  <c r="K20" i="1" s="1"/>
  <c r="N20" i="1"/>
  <c r="M20" i="1"/>
  <c r="L20" i="1"/>
  <c r="W19" i="1"/>
  <c r="V19" i="1"/>
  <c r="T19" i="1"/>
  <c r="U19" i="1" s="1"/>
  <c r="S19" i="1"/>
  <c r="Q19" i="1"/>
  <c r="H19" i="1" s="1"/>
  <c r="N19" i="1"/>
  <c r="M19" i="1"/>
  <c r="L19" i="1" s="1"/>
  <c r="W18" i="1"/>
  <c r="V18" i="1"/>
  <c r="T18" i="1"/>
  <c r="U18" i="1" s="1"/>
  <c r="S18" i="1"/>
  <c r="Q18" i="1"/>
  <c r="K18" i="1" s="1"/>
  <c r="N18" i="1"/>
  <c r="M18" i="1"/>
  <c r="L18" i="1"/>
  <c r="W17" i="1"/>
  <c r="V17" i="1"/>
  <c r="U17" i="1"/>
  <c r="T17" i="1"/>
  <c r="S17" i="1"/>
  <c r="Q17" i="1" s="1"/>
  <c r="N17" i="1"/>
  <c r="M17" i="1"/>
  <c r="L17" i="1"/>
  <c r="W16" i="1"/>
  <c r="V16" i="1"/>
  <c r="U16" i="1"/>
  <c r="T16" i="1"/>
  <c r="S16" i="1"/>
  <c r="Q16" i="1" s="1"/>
  <c r="K16" i="1" s="1"/>
  <c r="N16" i="1"/>
  <c r="M16" i="1"/>
  <c r="K127" i="1" l="1"/>
  <c r="R127" i="1"/>
  <c r="U104" i="1"/>
  <c r="L101" i="1"/>
  <c r="K106" i="1"/>
  <c r="K46" i="1"/>
  <c r="H93" i="1"/>
  <c r="R145" i="1"/>
  <c r="H158" i="1"/>
  <c r="K168" i="1"/>
  <c r="H175" i="1"/>
  <c r="H176" i="1"/>
  <c r="L177" i="1"/>
  <c r="H215" i="1"/>
  <c r="R223" i="1"/>
  <c r="L102" i="1"/>
  <c r="H40" i="1"/>
  <c r="L85" i="1"/>
  <c r="L16" i="1"/>
  <c r="U22" i="1"/>
  <c r="L27" i="1"/>
  <c r="U31" i="1"/>
  <c r="U34" i="1"/>
  <c r="H38" i="1"/>
  <c r="L52" i="1"/>
  <c r="U53" i="1"/>
  <c r="U61" i="1"/>
  <c r="U69" i="1"/>
  <c r="U80" i="1"/>
  <c r="L83" i="1"/>
  <c r="L88" i="1"/>
  <c r="R94" i="1"/>
  <c r="U95" i="1"/>
  <c r="U107" i="1"/>
  <c r="L117" i="1"/>
  <c r="L125" i="1"/>
  <c r="R126" i="1"/>
  <c r="H131" i="1"/>
  <c r="U139" i="1"/>
  <c r="L142" i="1"/>
  <c r="L150" i="1"/>
  <c r="H157" i="1"/>
  <c r="K158" i="1"/>
  <c r="L176" i="1"/>
  <c r="H191" i="1"/>
  <c r="U205" i="1"/>
  <c r="H209" i="1"/>
  <c r="L210" i="1"/>
  <c r="H185" i="1"/>
  <c r="U223" i="1"/>
  <c r="U20" i="1"/>
  <c r="L26" i="1"/>
  <c r="U30" i="1"/>
  <c r="L37" i="1"/>
  <c r="L43" i="1"/>
  <c r="L50" i="1"/>
  <c r="U52" i="1"/>
  <c r="L64" i="1"/>
  <c r="U67" i="1"/>
  <c r="U73" i="1"/>
  <c r="L77" i="1"/>
  <c r="L86" i="1"/>
  <c r="U88" i="1"/>
  <c r="K102" i="1"/>
  <c r="R110" i="1"/>
  <c r="U117" i="1"/>
  <c r="K122" i="1"/>
  <c r="U127" i="1"/>
  <c r="U137" i="1"/>
  <c r="L156" i="1"/>
  <c r="L157" i="1"/>
  <c r="H163" i="1"/>
  <c r="K164" i="1"/>
  <c r="H172" i="1"/>
  <c r="H207" i="1"/>
  <c r="L32" i="1"/>
  <c r="U168" i="1"/>
  <c r="L129" i="1"/>
  <c r="L145" i="1"/>
  <c r="L146" i="1"/>
  <c r="H46" i="1"/>
  <c r="K19" i="1"/>
  <c r="L21" i="1"/>
  <c r="K40" i="1"/>
  <c r="L127" i="1"/>
  <c r="L128" i="1"/>
  <c r="H135" i="1"/>
  <c r="L144" i="1"/>
  <c r="L161" i="1"/>
  <c r="H169" i="1"/>
  <c r="H193" i="1"/>
  <c r="K77" i="1"/>
  <c r="H77" i="1"/>
  <c r="K123" i="1"/>
  <c r="H123" i="1"/>
  <c r="K141" i="1"/>
  <c r="H141" i="1"/>
  <c r="H21" i="1"/>
  <c r="K21" i="1"/>
  <c r="H31" i="1"/>
  <c r="K31" i="1"/>
  <c r="L147" i="1"/>
  <c r="K159" i="1"/>
  <c r="R159" i="1"/>
  <c r="H159" i="1"/>
  <c r="K167" i="1"/>
  <c r="R167" i="1"/>
  <c r="K187" i="1"/>
  <c r="H187" i="1"/>
  <c r="K221" i="1"/>
  <c r="H221" i="1"/>
  <c r="R60" i="1"/>
  <c r="H60" i="1"/>
  <c r="K211" i="1"/>
  <c r="H211" i="1"/>
  <c r="R66" i="1"/>
  <c r="H66" i="1"/>
  <c r="H17" i="1"/>
  <c r="K17" i="1"/>
  <c r="H33" i="1"/>
  <c r="K33" i="1"/>
  <c r="R36" i="1"/>
  <c r="H36" i="1"/>
  <c r="L63" i="1"/>
  <c r="L84" i="1"/>
  <c r="L91" i="1"/>
  <c r="K107" i="1"/>
  <c r="R107" i="1"/>
  <c r="U108" i="1"/>
  <c r="L114" i="1"/>
  <c r="K138" i="1"/>
  <c r="H138" i="1"/>
  <c r="K147" i="1"/>
  <c r="H147" i="1"/>
  <c r="U159" i="1"/>
  <c r="U167" i="1"/>
  <c r="U169" i="1"/>
  <c r="K180" i="1"/>
  <c r="R180" i="1"/>
  <c r="H180" i="1"/>
  <c r="K197" i="1"/>
  <c r="H197" i="1"/>
  <c r="U221" i="1"/>
  <c r="R58" i="1"/>
  <c r="K58" i="1"/>
  <c r="H58" i="1"/>
  <c r="K129" i="1"/>
  <c r="R129" i="1"/>
  <c r="H27" i="1"/>
  <c r="K27" i="1"/>
  <c r="R64" i="1"/>
  <c r="H64" i="1"/>
  <c r="H74" i="1"/>
  <c r="K60" i="1"/>
  <c r="H72" i="1"/>
  <c r="K74" i="1"/>
  <c r="K78" i="1"/>
  <c r="H78" i="1"/>
  <c r="U92" i="1"/>
  <c r="H96" i="1"/>
  <c r="L97" i="1"/>
  <c r="K104" i="1"/>
  <c r="R104" i="1"/>
  <c r="H110" i="1"/>
  <c r="H129" i="1"/>
  <c r="K213" i="1"/>
  <c r="H213" i="1"/>
  <c r="K88" i="1"/>
  <c r="R88" i="1"/>
  <c r="K75" i="1"/>
  <c r="H75" i="1"/>
  <c r="K125" i="1"/>
  <c r="H125" i="1"/>
  <c r="R56" i="1"/>
  <c r="K56" i="1"/>
  <c r="H56" i="1"/>
  <c r="H25" i="1"/>
  <c r="K25" i="1"/>
  <c r="R54" i="1"/>
  <c r="K54" i="1"/>
  <c r="H54" i="1"/>
  <c r="U23" i="1"/>
  <c r="L59" i="1"/>
  <c r="L60" i="1"/>
  <c r="R62" i="1"/>
  <c r="H62" i="1"/>
  <c r="H70" i="1"/>
  <c r="K72" i="1"/>
  <c r="U78" i="1"/>
  <c r="R90" i="1"/>
  <c r="U98" i="1"/>
  <c r="H109" i="1"/>
  <c r="L110" i="1"/>
  <c r="U121" i="1"/>
  <c r="L126" i="1"/>
  <c r="U135" i="1"/>
  <c r="U136" i="1"/>
  <c r="R142" i="1"/>
  <c r="R143" i="1"/>
  <c r="L152" i="1"/>
  <c r="U158" i="1"/>
  <c r="K165" i="1"/>
  <c r="H165" i="1"/>
  <c r="K189" i="1"/>
  <c r="H189" i="1"/>
  <c r="K219" i="1"/>
  <c r="H219" i="1"/>
  <c r="H128" i="1"/>
  <c r="R128" i="1"/>
  <c r="K205" i="1"/>
  <c r="H205" i="1"/>
  <c r="H150" i="1"/>
  <c r="K150" i="1"/>
  <c r="K203" i="1"/>
  <c r="H203" i="1"/>
  <c r="K29" i="1"/>
  <c r="K66" i="1"/>
  <c r="H68" i="1"/>
  <c r="K70" i="1"/>
  <c r="H80" i="1"/>
  <c r="L81" i="1"/>
  <c r="K86" i="1"/>
  <c r="K94" i="1"/>
  <c r="K113" i="1"/>
  <c r="H113" i="1"/>
  <c r="R113" i="1"/>
  <c r="H118" i="1"/>
  <c r="R118" i="1"/>
  <c r="K118" i="1"/>
  <c r="U119" i="1"/>
  <c r="U120" i="1"/>
  <c r="K151" i="1"/>
  <c r="H151" i="1"/>
  <c r="R151" i="1"/>
  <c r="U155" i="1"/>
  <c r="U189" i="1"/>
  <c r="L194" i="1"/>
  <c r="K195" i="1"/>
  <c r="H195" i="1"/>
  <c r="L38" i="1"/>
  <c r="U42" i="1"/>
  <c r="L47" i="1"/>
  <c r="L48" i="1"/>
  <c r="U51" i="1"/>
  <c r="U56" i="1"/>
  <c r="L68" i="1"/>
  <c r="L72" i="1"/>
  <c r="L73" i="1"/>
  <c r="U84" i="1"/>
  <c r="U90" i="1"/>
  <c r="U91" i="1"/>
  <c r="U94" i="1"/>
  <c r="U111" i="1"/>
  <c r="U114" i="1"/>
  <c r="U123" i="1"/>
  <c r="U124" i="1"/>
  <c r="U125" i="1"/>
  <c r="L133" i="1"/>
  <c r="U143" i="1"/>
  <c r="U149" i="1"/>
  <c r="U150" i="1"/>
  <c r="R152" i="1"/>
  <c r="L171" i="1"/>
  <c r="R172" i="1"/>
  <c r="R174" i="1"/>
  <c r="R176" i="1"/>
  <c r="L182" i="1"/>
  <c r="L184" i="1"/>
  <c r="U187" i="1"/>
  <c r="L192" i="1"/>
  <c r="U195" i="1"/>
  <c r="L200" i="1"/>
  <c r="U203" i="1"/>
  <c r="L208" i="1"/>
  <c r="U211" i="1"/>
  <c r="L216" i="1"/>
  <c r="U219" i="1"/>
  <c r="L225" i="1"/>
  <c r="L227" i="1"/>
  <c r="U39" i="1"/>
  <c r="U40" i="1"/>
  <c r="U60" i="1"/>
  <c r="U64" i="1"/>
  <c r="L93" i="1"/>
  <c r="L98" i="1"/>
  <c r="L99" i="1"/>
  <c r="R102" i="1"/>
  <c r="U103" i="1"/>
  <c r="U105" i="1"/>
  <c r="U112" i="1"/>
  <c r="L120" i="1"/>
  <c r="U126" i="1"/>
  <c r="R134" i="1"/>
  <c r="L136" i="1"/>
  <c r="U144" i="1"/>
  <c r="U151" i="1"/>
  <c r="U152" i="1"/>
  <c r="U153" i="1"/>
  <c r="L159" i="1"/>
  <c r="L160" i="1"/>
  <c r="L169" i="1"/>
  <c r="U172" i="1"/>
  <c r="U174" i="1"/>
  <c r="L180" i="1"/>
  <c r="R182" i="1"/>
  <c r="U185" i="1"/>
  <c r="L190" i="1"/>
  <c r="U193" i="1"/>
  <c r="L198" i="1"/>
  <c r="U201" i="1"/>
  <c r="L206" i="1"/>
  <c r="U217" i="1"/>
  <c r="L222" i="1"/>
  <c r="R225" i="1"/>
  <c r="H52" i="1"/>
  <c r="L80" i="1"/>
  <c r="H81" i="1"/>
  <c r="L92" i="1"/>
  <c r="H112" i="1"/>
  <c r="K126" i="1"/>
  <c r="H144" i="1"/>
  <c r="U37" i="1"/>
  <c r="U45" i="1"/>
  <c r="K50" i="1"/>
  <c r="K52" i="1"/>
  <c r="L53" i="1"/>
  <c r="L55" i="1"/>
  <c r="L56" i="1"/>
  <c r="U68" i="1"/>
  <c r="U72" i="1"/>
  <c r="U101" i="1"/>
  <c r="U102" i="1"/>
  <c r="L111" i="1"/>
  <c r="U132" i="1"/>
  <c r="U134" i="1"/>
  <c r="L141" i="1"/>
  <c r="L143" i="1"/>
  <c r="H145" i="1"/>
  <c r="U154" i="1"/>
  <c r="U156" i="1"/>
  <c r="U157" i="1"/>
  <c r="U161" i="1"/>
  <c r="U162" i="1"/>
  <c r="U163" i="1"/>
  <c r="U170" i="1"/>
  <c r="H174" i="1"/>
  <c r="L178" i="1"/>
  <c r="U182" i="1"/>
  <c r="U183" i="1"/>
  <c r="L188" i="1"/>
  <c r="U191" i="1"/>
  <c r="L196" i="1"/>
  <c r="U199" i="1"/>
  <c r="L204" i="1"/>
  <c r="U207" i="1"/>
  <c r="L212" i="1"/>
  <c r="U215" i="1"/>
  <c r="L220" i="1"/>
  <c r="U225" i="1"/>
  <c r="K63" i="1"/>
  <c r="R63" i="1"/>
  <c r="H63" i="1"/>
  <c r="K85" i="1"/>
  <c r="H85" i="1"/>
  <c r="R85" i="1"/>
  <c r="K53" i="1"/>
  <c r="H53" i="1"/>
  <c r="R53" i="1"/>
  <c r="K55" i="1"/>
  <c r="R55" i="1"/>
  <c r="H55" i="1"/>
  <c r="K47" i="1"/>
  <c r="R47" i="1"/>
  <c r="H47" i="1"/>
  <c r="K71" i="1"/>
  <c r="R71" i="1"/>
  <c r="H71" i="1"/>
  <c r="K45" i="1"/>
  <c r="H45" i="1"/>
  <c r="R45" i="1"/>
  <c r="K39" i="1"/>
  <c r="H39" i="1"/>
  <c r="R39" i="1"/>
  <c r="K37" i="1"/>
  <c r="H37" i="1"/>
  <c r="R37" i="1"/>
  <c r="K117" i="1"/>
  <c r="H117" i="1"/>
  <c r="R117" i="1"/>
  <c r="R26" i="1"/>
  <c r="K69" i="1"/>
  <c r="R69" i="1"/>
  <c r="K114" i="1"/>
  <c r="H114" i="1"/>
  <c r="R114" i="1"/>
  <c r="R24" i="1"/>
  <c r="R28" i="1"/>
  <c r="R30" i="1"/>
  <c r="R32" i="1"/>
  <c r="R34" i="1"/>
  <c r="R43" i="1"/>
  <c r="K76" i="1"/>
  <c r="H76" i="1"/>
  <c r="R116" i="1"/>
  <c r="H116" i="1"/>
  <c r="H41" i="1"/>
  <c r="R49" i="1"/>
  <c r="L51" i="1"/>
  <c r="L57" i="1"/>
  <c r="L65" i="1"/>
  <c r="U75" i="1"/>
  <c r="U77" i="1"/>
  <c r="R78" i="1"/>
  <c r="L82" i="1"/>
  <c r="R91" i="1"/>
  <c r="L95" i="1"/>
  <c r="L109" i="1"/>
  <c r="U116" i="1"/>
  <c r="U118" i="1"/>
  <c r="K115" i="1"/>
  <c r="R115" i="1"/>
  <c r="K121" i="1"/>
  <c r="H121" i="1"/>
  <c r="R16" i="1"/>
  <c r="R18" i="1"/>
  <c r="R20" i="1"/>
  <c r="R22" i="1"/>
  <c r="H51" i="1"/>
  <c r="H16" i="1"/>
  <c r="H18" i="1"/>
  <c r="H20" i="1"/>
  <c r="H22" i="1"/>
  <c r="H24" i="1"/>
  <c r="H26" i="1"/>
  <c r="H28" i="1"/>
  <c r="H30" i="1"/>
  <c r="H32" i="1"/>
  <c r="H34" i="1"/>
  <c r="L41" i="1"/>
  <c r="H42" i="1"/>
  <c r="L58" i="1"/>
  <c r="L66" i="1"/>
  <c r="L74" i="1"/>
  <c r="K79" i="1"/>
  <c r="H79" i="1"/>
  <c r="K92" i="1"/>
  <c r="H92" i="1"/>
  <c r="L96" i="1"/>
  <c r="H97" i="1"/>
  <c r="K133" i="1"/>
  <c r="H133" i="1"/>
  <c r="R133" i="1"/>
  <c r="U141" i="1"/>
  <c r="K155" i="1"/>
  <c r="H155" i="1"/>
  <c r="K177" i="1"/>
  <c r="R177" i="1"/>
  <c r="H177" i="1"/>
  <c r="K57" i="1"/>
  <c r="R57" i="1"/>
  <c r="K65" i="1"/>
  <c r="R65" i="1"/>
  <c r="K130" i="1"/>
  <c r="H130" i="1"/>
  <c r="R130" i="1"/>
  <c r="K161" i="1"/>
  <c r="H161" i="1"/>
  <c r="R161" i="1"/>
  <c r="K171" i="1"/>
  <c r="H171" i="1"/>
  <c r="K61" i="1"/>
  <c r="R61" i="1"/>
  <c r="K119" i="1"/>
  <c r="R119" i="1"/>
  <c r="H119" i="1"/>
  <c r="K87" i="1"/>
  <c r="R87" i="1"/>
  <c r="H87" i="1"/>
  <c r="R17" i="1"/>
  <c r="R19" i="1"/>
  <c r="R21" i="1"/>
  <c r="R25" i="1"/>
  <c r="H61" i="1"/>
  <c r="H91" i="1"/>
  <c r="K101" i="1"/>
  <c r="H101" i="1"/>
  <c r="R101" i="1"/>
  <c r="K108" i="1"/>
  <c r="H108" i="1"/>
  <c r="K116" i="1"/>
  <c r="R132" i="1"/>
  <c r="H132" i="1"/>
  <c r="K137" i="1"/>
  <c r="H137" i="1"/>
  <c r="R137" i="1"/>
  <c r="K149" i="1"/>
  <c r="H149" i="1"/>
  <c r="R149" i="1"/>
  <c r="R160" i="1"/>
  <c r="K160" i="1"/>
  <c r="H160" i="1"/>
  <c r="R170" i="1"/>
  <c r="K170" i="1"/>
  <c r="H170" i="1"/>
  <c r="K139" i="1"/>
  <c r="H139" i="1"/>
  <c r="K153" i="1"/>
  <c r="H153" i="1"/>
  <c r="R153" i="1"/>
  <c r="K73" i="1"/>
  <c r="R73" i="1"/>
  <c r="K82" i="1"/>
  <c r="H82" i="1"/>
  <c r="R82" i="1"/>
  <c r="R27" i="1"/>
  <c r="R29" i="1"/>
  <c r="R31" i="1"/>
  <c r="K38" i="1"/>
  <c r="R41" i="1"/>
  <c r="H44" i="1"/>
  <c r="H49" i="1"/>
  <c r="K59" i="1"/>
  <c r="R59" i="1"/>
  <c r="K67" i="1"/>
  <c r="R67" i="1"/>
  <c r="K98" i="1"/>
  <c r="H98" i="1"/>
  <c r="R98" i="1"/>
  <c r="K99" i="1"/>
  <c r="R99" i="1"/>
  <c r="K103" i="1"/>
  <c r="R103" i="1"/>
  <c r="H103" i="1"/>
  <c r="K105" i="1"/>
  <c r="H105" i="1"/>
  <c r="R123" i="1"/>
  <c r="H142" i="1"/>
  <c r="K146" i="1"/>
  <c r="H146" i="1"/>
  <c r="R146" i="1"/>
  <c r="K42" i="1"/>
  <c r="K83" i="1"/>
  <c r="R83" i="1"/>
  <c r="K89" i="1"/>
  <c r="H89" i="1"/>
  <c r="H115" i="1"/>
  <c r="R23" i="1"/>
  <c r="R33" i="1"/>
  <c r="R35" i="1"/>
  <c r="H43" i="1"/>
  <c r="K48" i="1"/>
  <c r="R51" i="1"/>
  <c r="H69" i="1"/>
  <c r="R84" i="1"/>
  <c r="H84" i="1"/>
  <c r="R89" i="1"/>
  <c r="K95" i="1"/>
  <c r="H95" i="1"/>
  <c r="U35" i="1"/>
  <c r="K44" i="1"/>
  <c r="L49" i="1"/>
  <c r="H50" i="1"/>
  <c r="L54" i="1"/>
  <c r="L62" i="1"/>
  <c r="L70" i="1"/>
  <c r="R97" i="1"/>
  <c r="R100" i="1"/>
  <c r="H100" i="1"/>
  <c r="R105" i="1"/>
  <c r="H107" i="1"/>
  <c r="K111" i="1"/>
  <c r="H111" i="1"/>
  <c r="K124" i="1"/>
  <c r="H124" i="1"/>
  <c r="R148" i="1"/>
  <c r="H148" i="1"/>
  <c r="U81" i="1"/>
  <c r="U97" i="1"/>
  <c r="U113" i="1"/>
  <c r="U129" i="1"/>
  <c r="U145" i="1"/>
  <c r="U176" i="1"/>
  <c r="R157" i="1"/>
  <c r="R131" i="1"/>
  <c r="R147" i="1"/>
  <c r="R163" i="1"/>
  <c r="H166" i="1"/>
  <c r="R77" i="1"/>
  <c r="R93" i="1"/>
  <c r="R109" i="1"/>
  <c r="R125" i="1"/>
  <c r="H127" i="1"/>
  <c r="H140" i="1"/>
  <c r="R141" i="1"/>
  <c r="H143" i="1"/>
  <c r="H156" i="1"/>
  <c r="K166" i="1"/>
  <c r="R169" i="1"/>
  <c r="L172" i="1"/>
  <c r="K179" i="1"/>
  <c r="H179" i="1"/>
  <c r="U83" i="1"/>
  <c r="U99" i="1"/>
  <c r="U115" i="1"/>
  <c r="U131" i="1"/>
  <c r="R135" i="1"/>
  <c r="U147" i="1"/>
  <c r="K156" i="1"/>
  <c r="H162" i="1"/>
  <c r="H167" i="1"/>
  <c r="K178" i="1"/>
  <c r="H178" i="1"/>
  <c r="U171" i="1"/>
  <c r="R173" i="1"/>
  <c r="U179" i="1"/>
  <c r="R181" i="1"/>
  <c r="L185" i="1"/>
  <c r="L187" i="1"/>
  <c r="L189" i="1"/>
  <c r="L191" i="1"/>
  <c r="L193" i="1"/>
  <c r="L195" i="1"/>
  <c r="L197" i="1"/>
  <c r="L199" i="1"/>
  <c r="L201" i="1"/>
  <c r="L203" i="1"/>
  <c r="L205" i="1"/>
  <c r="L207" i="1"/>
  <c r="L209" i="1"/>
  <c r="L211" i="1"/>
  <c r="L213" i="1"/>
  <c r="L215" i="1"/>
  <c r="L217" i="1"/>
  <c r="L219" i="1"/>
  <c r="L221" i="1"/>
  <c r="L223" i="1"/>
  <c r="K227" i="1"/>
  <c r="H227" i="1"/>
  <c r="R227" i="1"/>
  <c r="U173" i="1"/>
  <c r="R175" i="1"/>
  <c r="U181" i="1"/>
  <c r="R183" i="1"/>
  <c r="R185" i="1"/>
  <c r="R187" i="1"/>
  <c r="R189" i="1"/>
  <c r="R191" i="1"/>
  <c r="R193" i="1"/>
  <c r="R195" i="1"/>
  <c r="R197" i="1"/>
  <c r="R199" i="1"/>
  <c r="R201" i="1"/>
  <c r="R203" i="1"/>
  <c r="R205" i="1"/>
  <c r="R207" i="1"/>
  <c r="R209" i="1"/>
  <c r="R211" i="1"/>
  <c r="R213" i="1"/>
  <c r="R215" i="1"/>
  <c r="R217" i="1"/>
  <c r="R219" i="1"/>
  <c r="R221" i="1"/>
  <c r="R184" i="1"/>
  <c r="K184" i="1"/>
  <c r="R186" i="1"/>
  <c r="K186" i="1"/>
  <c r="R188" i="1"/>
  <c r="K188" i="1"/>
  <c r="R190" i="1"/>
  <c r="K190" i="1"/>
  <c r="R192" i="1"/>
  <c r="K192" i="1"/>
  <c r="R194" i="1"/>
  <c r="K194" i="1"/>
  <c r="R196" i="1"/>
  <c r="K196" i="1"/>
  <c r="R198" i="1"/>
  <c r="K198" i="1"/>
  <c r="R200" i="1"/>
  <c r="K200" i="1"/>
  <c r="R202" i="1"/>
  <c r="K202" i="1"/>
  <c r="R204" i="1"/>
  <c r="K204" i="1"/>
  <c r="R206" i="1"/>
  <c r="K206" i="1"/>
  <c r="R208" i="1"/>
  <c r="K208" i="1"/>
  <c r="R210" i="1"/>
  <c r="K210" i="1"/>
  <c r="R212" i="1"/>
  <c r="K212" i="1"/>
  <c r="R214" i="1"/>
  <c r="K214" i="1"/>
  <c r="R216" i="1"/>
  <c r="K216" i="1"/>
  <c r="R218" i="1"/>
  <c r="K218" i="1"/>
  <c r="R220" i="1"/>
  <c r="K220" i="1"/>
  <c r="R222" i="1"/>
  <c r="K222" i="1"/>
  <c r="R224" i="1"/>
  <c r="K224" i="1"/>
  <c r="R226" i="1"/>
  <c r="K226" i="1"/>
  <c r="H173" i="1"/>
  <c r="U175" i="1"/>
  <c r="H181" i="1"/>
  <c r="U184" i="1"/>
  <c r="U186" i="1"/>
  <c r="U188" i="1"/>
  <c r="U190" i="1"/>
  <c r="U192" i="1"/>
  <c r="U194" i="1"/>
  <c r="U196" i="1"/>
  <c r="U198" i="1"/>
  <c r="U200" i="1"/>
  <c r="U202" i="1"/>
  <c r="U204" i="1"/>
  <c r="U206" i="1"/>
  <c r="U208" i="1"/>
  <c r="U210" i="1"/>
  <c r="U212" i="1"/>
  <c r="U214" i="1"/>
  <c r="U216" i="1"/>
  <c r="U218" i="1"/>
  <c r="U220" i="1"/>
  <c r="U222" i="1"/>
  <c r="U224" i="1"/>
  <c r="U226" i="1"/>
</calcChain>
</file>

<file path=xl/sharedStrings.xml><?xml version="1.0" encoding="utf-8"?>
<sst xmlns="http://schemas.openxmlformats.org/spreadsheetml/2006/main" count="2584" uniqueCount="734">
  <si>
    <t>File opened</t>
  </si>
  <si>
    <t>2026-02-14 16:03:56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</si>
  <si>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</si>
  <si>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</si>
  <si>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</si>
  <si>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</si>
  <si>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</si>
  <si>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</si>
  <si>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</si>
  <si>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</si>
  <si>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</si>
  <si>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</si>
  <si>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</si>
  <si>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{"h2obspanconc1": "12.29", "h2oaspan2": "0", "flowazero": "0.34786", "ssa_ref": "39976.8", "co2azero": "0.922307", "co2bspan2": "-0.0359676", "ssb_ref": "38888.9", "co2bspan1": "1.00094", "tbzero": "0.0726261", "h2obspan2": "0", "h2obspan2a": "0.0704999", "co2aspan2b": "0.296788", "chamberpressurezero": "2.63782", "h2obspanconc2": "0", "h2oaspan1": "1.01335", "flowbzero": "0.30857", "h2obspan2b": "0.0728367", "flowmeterzero": "1.00472", "h2oaspanconc2": "0", "co2bspan2b": "0.292556", "co2aspanconc2": "301.4", "h2oaspanconc1": "12.29", "co2aspan2a": "0.299679", "co2bspan2a": "0.295418", "co2bzero": "0.99384", "h2oaspan2a": "0.0712457", "co2aspan2": "-0.033915", "h2obspan1": "1.03315", "co2aspan1": "1.00052", "co2bspanconc1": "2473", "h2obzero": "1.08151", "h2oaspan2b": "0.0721966", "co2aspanconc1": "2473", "co2bspanconc2": "301.4", "tazero": "0.0117626", "h2oazero": "1.07438", "oxygen": "21"}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</si>
  <si>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</si>
  <si>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</si>
  <si>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</si>
  <si>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</si>
  <si>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</si>
  <si>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</si>
  <si>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</si>
  <si>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</si>
  <si>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</si>
  <si>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</si>
  <si>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</si>
  <si>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</si>
  <si>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</si>
  <si>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</si>
  <si>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</si>
  <si>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</si>
  <si>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</si>
  <si>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</si>
  <si>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</si>
  <si>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</si>
  <si>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16:03:56</t>
  </si>
  <si>
    <t>Stability Definition:	ΔCO2 (Meas2): Slp&lt;0.5 Per=20	ΔH2O (Meas2): Slp&lt;0.1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</si>
  <si>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</si>
  <si>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</si>
  <si>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</si>
  <si>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</si>
  <si>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</si>
  <si>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</si>
  <si>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</si>
  <si>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</si>
  <si>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</si>
  <si>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</si>
  <si>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</si>
  <si>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</si>
  <si>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</si>
  <si>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</si>
  <si>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</si>
  <si>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</si>
  <si>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</si>
  <si>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</si>
  <si>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</si>
  <si>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</si>
  <si>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</si>
  <si>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</si>
  <si>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</si>
  <si>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</si>
  <si>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</si>
  <si>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</si>
  <si>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</si>
  <si>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</si>
  <si>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</si>
  <si>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</si>
  <si>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</si>
  <si>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</si>
  <si>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</si>
  <si>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</si>
  <si>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</si>
  <si>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</si>
  <si>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</si>
  <si>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</si>
  <si>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</si>
  <si>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</si>
  <si>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</si>
  <si>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</si>
  <si>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</si>
  <si>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</si>
  <si>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</si>
  <si>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</si>
  <si>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</si>
  <si>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</si>
  <si>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</si>
  <si>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</si>
  <si>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</si>
  <si>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8.19032 89.2131 378.085 622.248 851.649 1058.64 1230.46 1397.89</t>
  </si>
  <si>
    <t>Fs_true</t>
  </si>
  <si>
    <t>0.108102 102.136 401.876 600.893 801.53 1002.48 1200.57 1401.43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</si>
  <si>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</si>
  <si>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</si>
  <si>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</si>
  <si>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</si>
  <si>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</si>
  <si>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</si>
  <si>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</si>
  <si>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</si>
  <si>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</si>
  <si>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</si>
  <si>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</si>
  <si>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</si>
  <si>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</si>
  <si>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</si>
  <si>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</si>
  <si>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</si>
  <si>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</si>
  <si>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</si>
  <si>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</si>
  <si>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</si>
  <si>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</si>
  <si>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</si>
  <si>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</si>
  <si>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</si>
  <si>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</si>
  <si>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</si>
  <si>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</si>
  <si>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</si>
  <si>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</si>
  <si>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</si>
  <si>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</si>
  <si>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</si>
  <si>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</si>
  <si>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</si>
  <si>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</si>
  <si>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</si>
  <si>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</si>
  <si>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</si>
  <si>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</si>
  <si>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</si>
  <si>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</si>
  <si>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</si>
  <si>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</si>
  <si>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</si>
  <si>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</si>
  <si>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</si>
  <si>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</si>
  <si>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</si>
  <si>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</si>
  <si>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</si>
  <si>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</si>
  <si>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</si>
  <si>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</si>
  <si>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</si>
  <si>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</si>
  <si>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</si>
  <si>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</si>
  <si>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</si>
  <si>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</si>
  <si>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</si>
  <si>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</si>
  <si>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</si>
  <si>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</si>
  <si>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</si>
  <si>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</si>
  <si>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</si>
  <si>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</si>
  <si>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</si>
  <si>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</si>
  <si>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</si>
  <si>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</si>
  <si>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</si>
  <si>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</si>
  <si>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</si>
  <si>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</si>
  <si>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</si>
  <si>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</si>
  <si>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</si>
  <si>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</si>
  <si>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</si>
  <si>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</si>
  <si>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</si>
  <si>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</si>
  <si>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</si>
  <si>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</si>
  <si>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</si>
  <si>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</si>
  <si>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</si>
  <si>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</si>
  <si>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</si>
  <si>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</si>
  <si>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</si>
  <si>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</si>
  <si>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</si>
  <si>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</si>
  <si>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</si>
  <si>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</si>
  <si>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</si>
  <si>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</si>
  <si>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</si>
  <si>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</si>
  <si>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</si>
  <si>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</si>
  <si>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</si>
  <si>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</si>
  <si>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</si>
  <si>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</si>
  <si>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</si>
  <si>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</si>
  <si>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</si>
  <si>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</si>
  <si>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</si>
  <si>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</si>
  <si>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</si>
  <si>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</si>
  <si>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</si>
  <si>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</si>
  <si>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</si>
  <si>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</si>
  <si>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</si>
  <si>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</si>
  <si>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</si>
  <si>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</si>
  <si>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</si>
  <si>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</si>
  <si>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</si>
  <si>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</si>
  <si>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</si>
  <si>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</si>
  <si>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</si>
  <si>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</si>
  <si>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</si>
  <si>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</si>
  <si>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AccCO2_soda</t>
  </si>
  <si>
    <t>AccH2O_des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</si>
  <si>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</si>
  <si>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</si>
  <si>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</si>
  <si>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</si>
  <si>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</si>
  <si>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</si>
  <si>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</si>
  <si>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</si>
  <si>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</si>
  <si>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</si>
  <si>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</si>
  <si>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</si>
  <si>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</si>
  <si>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</si>
  <si>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</si>
  <si>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</si>
  <si>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</si>
  <si>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</si>
  <si>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</si>
  <si>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</si>
  <si>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</si>
  <si>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</si>
  <si>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</si>
  <si>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</si>
  <si>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</si>
  <si>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</si>
  <si>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</si>
  <si>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</si>
  <si>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</si>
  <si>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</si>
  <si>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</si>
  <si>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</si>
  <si>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</si>
  <si>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</si>
  <si>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</si>
  <si>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</si>
  <si>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</si>
  <si>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</si>
  <si>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</si>
  <si>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</si>
  <si>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</si>
  <si>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</si>
  <si>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</si>
  <si>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</si>
  <si>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</si>
  <si>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</si>
  <si>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</si>
  <si>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</si>
  <si>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</si>
  <si>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</si>
  <si>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</si>
  <si>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</si>
  <si>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</si>
  <si>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</si>
  <si>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</si>
  <si>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</si>
  <si>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</si>
  <si>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</si>
  <si>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</si>
  <si>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</si>
  <si>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</si>
  <si>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</si>
  <si>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20260214 16:05:13</t>
  </si>
  <si>
    <t>16:05:13</t>
  </si>
  <si>
    <t>15:56:10</t>
  </si>
  <si>
    <t>0/2</t>
  </si>
  <si>
    <t>10111111</t>
  </si>
  <si>
    <t>oioooooo</t>
  </si>
  <si>
    <t>off</t>
  </si>
  <si>
    <t>on</t>
  </si>
  <si>
    <t>20260214 16:05:28</t>
  </si>
  <si>
    <t>16:05:28</t>
  </si>
  <si>
    <t>20260214 16:05:43</t>
  </si>
  <si>
    <t>16:05:43</t>
  </si>
  <si>
    <t>1/2</t>
  </si>
  <si>
    <t>20260214 16:05:58</t>
  </si>
  <si>
    <t>16:05:58</t>
  </si>
  <si>
    <t>16:06:23</t>
  </si>
  <si>
    <t>20260214 16:06:25</t>
  </si>
  <si>
    <t>16:06:25</t>
  </si>
  <si>
    <t>16:06:45</t>
  </si>
  <si>
    <t>20260214 16:06:47</t>
  </si>
  <si>
    <t>16:06:47</t>
  </si>
  <si>
    <t>20260214 16:07:02</t>
  </si>
  <si>
    <t>16:07:02</t>
  </si>
  <si>
    <t>20260214 16:07:17</t>
  </si>
  <si>
    <t>16:07:17</t>
  </si>
  <si>
    <t>20260214 16:07:32</t>
  </si>
  <si>
    <t>16:07:32</t>
  </si>
  <si>
    <t>20260214 16:07:47</t>
  </si>
  <si>
    <t>16:07:47</t>
  </si>
  <si>
    <t>20260214 16:08:02</t>
  </si>
  <si>
    <t>16:08:02</t>
  </si>
  <si>
    <t>20260214 16:08:17</t>
  </si>
  <si>
    <t>16:08:17</t>
  </si>
  <si>
    <t>20260214 16:08:32</t>
  </si>
  <si>
    <t>16:08:32</t>
  </si>
  <si>
    <t>2/2</t>
  </si>
  <si>
    <t>20260214 16:08:47</t>
  </si>
  <si>
    <t>16:08:47</t>
  </si>
  <si>
    <t>20260214 16:09:02</t>
  </si>
  <si>
    <t>16:09:02</t>
  </si>
  <si>
    <t>20260214 16:09:17</t>
  </si>
  <si>
    <t>16:09:17</t>
  </si>
  <si>
    <t>20260214 16:09:32</t>
  </si>
  <si>
    <t>16:09:32</t>
  </si>
  <si>
    <t>20260214 16:09:47</t>
  </si>
  <si>
    <t>16:09:47</t>
  </si>
  <si>
    <t>20260214 16:10:02</t>
  </si>
  <si>
    <t>16:10:02</t>
  </si>
  <si>
    <t>20260214 16:11:56</t>
  </si>
  <si>
    <t>16:11:56</t>
  </si>
  <si>
    <t>20260214 16:12:11</t>
  </si>
  <si>
    <t>16:12:11</t>
  </si>
  <si>
    <t>20260214 16:12:26</t>
  </si>
  <si>
    <t>16:12:26</t>
  </si>
  <si>
    <t>20260214 16:12:41</t>
  </si>
  <si>
    <t>16:12:41</t>
  </si>
  <si>
    <t>20260214 16:12:56</t>
  </si>
  <si>
    <t>16:12:56</t>
  </si>
  <si>
    <t>20260214 16:13:11</t>
  </si>
  <si>
    <t>16:13:11</t>
  </si>
  <si>
    <t>20260214 16:13:26</t>
  </si>
  <si>
    <t>16:13:26</t>
  </si>
  <si>
    <t>20260214 16:13:41</t>
  </si>
  <si>
    <t>16:13:41</t>
  </si>
  <si>
    <t>20260214 16:13:56</t>
  </si>
  <si>
    <t>16:13:56</t>
  </si>
  <si>
    <t>20260214 16:14:11</t>
  </si>
  <si>
    <t>16:14:11</t>
  </si>
  <si>
    <t>20260214 16:14:26</t>
  </si>
  <si>
    <t>16:14:26</t>
  </si>
  <si>
    <t>20260214 16:14:41</t>
  </si>
  <si>
    <t>16:14:41</t>
  </si>
  <si>
    <t>20260214 16:14:56</t>
  </si>
  <si>
    <t>16:14:56</t>
  </si>
  <si>
    <t>20260214 16:15:11</t>
  </si>
  <si>
    <t>16:15:11</t>
  </si>
  <si>
    <t>20260214 16:15:26</t>
  </si>
  <si>
    <t>16:15:26</t>
  </si>
  <si>
    <t>20260214 16:15:41</t>
  </si>
  <si>
    <t>16:15:41</t>
  </si>
  <si>
    <t>20260214 16:15:56</t>
  </si>
  <si>
    <t>16:15:56</t>
  </si>
  <si>
    <t>20260214 16:16:11</t>
  </si>
  <si>
    <t>16:16:11</t>
  </si>
  <si>
    <t>20260214 16:16:26</t>
  </si>
  <si>
    <t>16:16:26</t>
  </si>
  <si>
    <t>16:16:52</t>
  </si>
  <si>
    <t>20260214 16:16:54</t>
  </si>
  <si>
    <t>16:16:54</t>
  </si>
  <si>
    <t>16:17:15</t>
  </si>
  <si>
    <t>20260214 16:17:17</t>
  </si>
  <si>
    <t>16:17:17</t>
  </si>
  <si>
    <t>20260214 16:17:32</t>
  </si>
  <si>
    <t>16:17:32</t>
  </si>
  <si>
    <t>20260214 16:17:47</t>
  </si>
  <si>
    <t>16:17:47</t>
  </si>
  <si>
    <t>20260214 16:18:02</t>
  </si>
  <si>
    <t>16:18:02</t>
  </si>
  <si>
    <t>20260214 16:18:17</t>
  </si>
  <si>
    <t>16:18:17</t>
  </si>
  <si>
    <t>20260214 16:18:32</t>
  </si>
  <si>
    <t>16:18:32</t>
  </si>
  <si>
    <t>20260214 16:18:47</t>
  </si>
  <si>
    <t>16:18:47</t>
  </si>
  <si>
    <t>20260214 16:21:13</t>
  </si>
  <si>
    <t>16:21:13</t>
  </si>
  <si>
    <t>20260214 16:21:28</t>
  </si>
  <si>
    <t>16:21:28</t>
  </si>
  <si>
    <t>20260214 16:21:43</t>
  </si>
  <si>
    <t>16:21:43</t>
  </si>
  <si>
    <t>20260214 16:21:58</t>
  </si>
  <si>
    <t>16:21:58</t>
  </si>
  <si>
    <t>20260214 16:22:13</t>
  </si>
  <si>
    <t>16:22:13</t>
  </si>
  <si>
    <t>20260214 16:22:28</t>
  </si>
  <si>
    <t>16:22:28</t>
  </si>
  <si>
    <t>20260214 16:22:43</t>
  </si>
  <si>
    <t>16:22:43</t>
  </si>
  <si>
    <t>20260214 16:22:58</t>
  </si>
  <si>
    <t>16:22:58</t>
  </si>
  <si>
    <t>20260214 16:23:13</t>
  </si>
  <si>
    <t>16:23:13</t>
  </si>
  <si>
    <t>20260214 16:23:28</t>
  </si>
  <si>
    <t>16:23:28</t>
  </si>
  <si>
    <t>20260214 16:23:43</t>
  </si>
  <si>
    <t>16:23:43</t>
  </si>
  <si>
    <t>20260214 16:23:58</t>
  </si>
  <si>
    <t>16:23:58</t>
  </si>
  <si>
    <t>20260214 16:24:13</t>
  </si>
  <si>
    <t>16:24:13</t>
  </si>
  <si>
    <t>20260214 16:24:28</t>
  </si>
  <si>
    <t>16:24:28</t>
  </si>
  <si>
    <t>20260214 16:24:43</t>
  </si>
  <si>
    <t>16:24:43</t>
  </si>
  <si>
    <t>20260214 16:24:58</t>
  </si>
  <si>
    <t>16:24:58</t>
  </si>
  <si>
    <t>20260214 16:25:13</t>
  </si>
  <si>
    <t>16:25:13</t>
  </si>
  <si>
    <t>20260214 16:25:28</t>
  </si>
  <si>
    <t>16:25:28</t>
  </si>
  <si>
    <t>20260214 16:25:43</t>
  </si>
  <si>
    <t>16:25:43</t>
  </si>
  <si>
    <t>20260214 16:25:58</t>
  </si>
  <si>
    <t>16:25:58</t>
  </si>
  <si>
    <t>20260214 16:26:13</t>
  </si>
  <si>
    <t>16:26:13</t>
  </si>
  <si>
    <t>20260214 16:26:28</t>
  </si>
  <si>
    <t>16:26:28</t>
  </si>
  <si>
    <t>20260214 16:26:43</t>
  </si>
  <si>
    <t>16:26:43</t>
  </si>
  <si>
    <t>20260214 16:26:58</t>
  </si>
  <si>
    <t>16:26:58</t>
  </si>
  <si>
    <t>16:27:22</t>
  </si>
  <si>
    <t>20260214 16:27:24</t>
  </si>
  <si>
    <t>16:27:24</t>
  </si>
  <si>
    <t>16:27:42</t>
  </si>
  <si>
    <t>20260214 16:27:44</t>
  </si>
  <si>
    <t>16:27:44</t>
  </si>
  <si>
    <t>20260214 16:27:59</t>
  </si>
  <si>
    <t>16:27:59</t>
  </si>
  <si>
    <t>20260214 16:30:01</t>
  </si>
  <si>
    <t>16:30:01</t>
  </si>
  <si>
    <t>20260214 16:30:16</t>
  </si>
  <si>
    <t>16:30:16</t>
  </si>
  <si>
    <t>20260214 16:30:31</t>
  </si>
  <si>
    <t>16:30:31</t>
  </si>
  <si>
    <t>20260214 16:30:46</t>
  </si>
  <si>
    <t>16:30:46</t>
  </si>
  <si>
    <t>20260214 16:31:01</t>
  </si>
  <si>
    <t>16:31:01</t>
  </si>
  <si>
    <t>20260214 16:31:16</t>
  </si>
  <si>
    <t>16:31:16</t>
  </si>
  <si>
    <t>20260214 16:31:31</t>
  </si>
  <si>
    <t>16:31:31</t>
  </si>
  <si>
    <t>20260214 16:31:46</t>
  </si>
  <si>
    <t>16:31:46</t>
  </si>
  <si>
    <t>20260214 16:32:01</t>
  </si>
  <si>
    <t>16:32:01</t>
  </si>
  <si>
    <t>20260214 16:32:16</t>
  </si>
  <si>
    <t>16:32:16</t>
  </si>
  <si>
    <t>20260214 16:32:31</t>
  </si>
  <si>
    <t>16:32:31</t>
  </si>
  <si>
    <t>20260214 16:32:46</t>
  </si>
  <si>
    <t>16:32:46</t>
  </si>
  <si>
    <t>20260214 16:33:01</t>
  </si>
  <si>
    <t>16:33:01</t>
  </si>
  <si>
    <t>20260214 16:33:16</t>
  </si>
  <si>
    <t>16:33:16</t>
  </si>
  <si>
    <t>20260214 16:33:31</t>
  </si>
  <si>
    <t>16:33:31</t>
  </si>
  <si>
    <t>20260214 16:33:46</t>
  </si>
  <si>
    <t>16:33:46</t>
  </si>
  <si>
    <t>20260214 16:34:01</t>
  </si>
  <si>
    <t>16:34:01</t>
  </si>
  <si>
    <t>20260214 16:34:16</t>
  </si>
  <si>
    <t>16:34:16</t>
  </si>
  <si>
    <t>20260214 16:34:31</t>
  </si>
  <si>
    <t>16:34:31</t>
  </si>
  <si>
    <t>20260214 16:34:46</t>
  </si>
  <si>
    <t>16:34:46</t>
  </si>
  <si>
    <t>20260214 16:35:01</t>
  </si>
  <si>
    <t>16:35:01</t>
  </si>
  <si>
    <t>20260214 16:35:16</t>
  </si>
  <si>
    <t>16:35:16</t>
  </si>
  <si>
    <t>20260214 16:35:31</t>
  </si>
  <si>
    <t>16:35:31</t>
  </si>
  <si>
    <t>20260214 16:37:37</t>
  </si>
  <si>
    <t>16:37:37</t>
  </si>
  <si>
    <t>16:38:01</t>
  </si>
  <si>
    <t>20260214 16:38:03</t>
  </si>
  <si>
    <t>16:38:03</t>
  </si>
  <si>
    <t>16:38:27</t>
  </si>
  <si>
    <t>20260214 16:38:29</t>
  </si>
  <si>
    <t>16:38:29</t>
  </si>
  <si>
    <t>20260214 16:38:44</t>
  </si>
  <si>
    <t>16:38:44</t>
  </si>
  <si>
    <t>20260214 16:38:59</t>
  </si>
  <si>
    <t>16:38:59</t>
  </si>
  <si>
    <t>20260214 16:39:14</t>
  </si>
  <si>
    <t>16:39:14</t>
  </si>
  <si>
    <t>20260214 16:39:29</t>
  </si>
  <si>
    <t>16:39:29</t>
  </si>
  <si>
    <t>20260214 16:39:44</t>
  </si>
  <si>
    <t>16:39:44</t>
  </si>
  <si>
    <t>20260214 16:39:59</t>
  </si>
  <si>
    <t>16:39:59</t>
  </si>
  <si>
    <t>20260214 16:40:14</t>
  </si>
  <si>
    <t>16:40:14</t>
  </si>
  <si>
    <t>20260214 16:40:29</t>
  </si>
  <si>
    <t>16:40:29</t>
  </si>
  <si>
    <t>20260214 16:40:44</t>
  </si>
  <si>
    <t>16:40:44</t>
  </si>
  <si>
    <t>20260214 16:40:59</t>
  </si>
  <si>
    <t>16:40:59</t>
  </si>
  <si>
    <t>20260214 16:41:14</t>
  </si>
  <si>
    <t>16:41:14</t>
  </si>
  <si>
    <t>20260214 16:41:29</t>
  </si>
  <si>
    <t>16:41:29</t>
  </si>
  <si>
    <t>20260214 16:41:44</t>
  </si>
  <si>
    <t>16:41:44</t>
  </si>
  <si>
    <t>20260214 16:41:59</t>
  </si>
  <si>
    <t>16:41:59</t>
  </si>
  <si>
    <t>20260214 16:44:29</t>
  </si>
  <si>
    <t>16:44:29</t>
  </si>
  <si>
    <t>20260214 16:44:44</t>
  </si>
  <si>
    <t>16:44:44</t>
  </si>
  <si>
    <t>20260214 16:44:59</t>
  </si>
  <si>
    <t>16:44:59</t>
  </si>
  <si>
    <t>20260214 16:45:14</t>
  </si>
  <si>
    <t>16:45:14</t>
  </si>
  <si>
    <t>20260214 16:45:29</t>
  </si>
  <si>
    <t>16:45:29</t>
  </si>
  <si>
    <t>20260214 16:45:44</t>
  </si>
  <si>
    <t>16:45:44</t>
  </si>
  <si>
    <t>20260214 16:45:59</t>
  </si>
  <si>
    <t>16:45:59</t>
  </si>
  <si>
    <t>20260214 16:46:14</t>
  </si>
  <si>
    <t>16:46:14</t>
  </si>
  <si>
    <t>20260214 16:46:29</t>
  </si>
  <si>
    <t>16:46:29</t>
  </si>
  <si>
    <t>20260214 16:46:44</t>
  </si>
  <si>
    <t>16:46:44</t>
  </si>
  <si>
    <t>20260214 16:46:59</t>
  </si>
  <si>
    <t>16:46:59</t>
  </si>
  <si>
    <t>20260214 16:47:14</t>
  </si>
  <si>
    <t>16:47:14</t>
  </si>
  <si>
    <t>20260214 16:47:29</t>
  </si>
  <si>
    <t>16:47:29</t>
  </si>
  <si>
    <t>20260214 16:47:44</t>
  </si>
  <si>
    <t>16:47:44</t>
  </si>
  <si>
    <t>20260214 16:47:59</t>
  </si>
  <si>
    <t>16:47:59</t>
  </si>
  <si>
    <t>20260214 16:48:14</t>
  </si>
  <si>
    <t>16:48:14</t>
  </si>
  <si>
    <t>16:48:36</t>
  </si>
  <si>
    <t>20260214 16:48:38</t>
  </si>
  <si>
    <t>16:48:38</t>
  </si>
  <si>
    <t>16:49:00</t>
  </si>
  <si>
    <t>20260214 16:49:02</t>
  </si>
  <si>
    <t>16:49:02</t>
  </si>
  <si>
    <t>20260214 16:49:17</t>
  </si>
  <si>
    <t>16:49:17</t>
  </si>
  <si>
    <t>20260214 16:49:32</t>
  </si>
  <si>
    <t>16:49:32</t>
  </si>
  <si>
    <t>20260214 16:49:47</t>
  </si>
  <si>
    <t>16:49:47</t>
  </si>
  <si>
    <t>20260214 16:50:02</t>
  </si>
  <si>
    <t>16:50:02</t>
  </si>
  <si>
    <t>20260214 16:50:17</t>
  </si>
  <si>
    <t>16:50:17</t>
  </si>
  <si>
    <t>20260214 16:50:32</t>
  </si>
  <si>
    <t>16:50:32</t>
  </si>
  <si>
    <t>20260214 16:50:47</t>
  </si>
  <si>
    <t>16:50:47</t>
  </si>
  <si>
    <t>20260214 16:51:02</t>
  </si>
  <si>
    <t>16:51:02</t>
  </si>
  <si>
    <t>20260214 16:52:48</t>
  </si>
  <si>
    <t>16:52:48</t>
  </si>
  <si>
    <t>20260214 16:53:03</t>
  </si>
  <si>
    <t>16:53:03</t>
  </si>
  <si>
    <t>20260214 16:53:18</t>
  </si>
  <si>
    <t>16:53:18</t>
  </si>
  <si>
    <t>20260214 16:53:33</t>
  </si>
  <si>
    <t>16:53:33</t>
  </si>
  <si>
    <t>20260214 16:53:48</t>
  </si>
  <si>
    <t>16:53:48</t>
  </si>
  <si>
    <t>20260214 16:54:03</t>
  </si>
  <si>
    <t>16:54:03</t>
  </si>
  <si>
    <t>20260214 16:54:18</t>
  </si>
  <si>
    <t>16:54:18</t>
  </si>
  <si>
    <t>20260214 16:54:33</t>
  </si>
  <si>
    <t>16:54:33</t>
  </si>
  <si>
    <t>20260214 16:54:48</t>
  </si>
  <si>
    <t>16:54:48</t>
  </si>
  <si>
    <t>20260214 16:55:03</t>
  </si>
  <si>
    <t>16:55:03</t>
  </si>
  <si>
    <t>20260214 16:55:18</t>
  </si>
  <si>
    <t>16:55:18</t>
  </si>
  <si>
    <t>20260214 16:55:33</t>
  </si>
  <si>
    <t>16:55:33</t>
  </si>
  <si>
    <t>20260214 16:55:48</t>
  </si>
  <si>
    <t>16:55:48</t>
  </si>
  <si>
    <t>20260214 16:56:03</t>
  </si>
  <si>
    <t>16:56:03</t>
  </si>
  <si>
    <t>20260214 16:56:18</t>
  </si>
  <si>
    <t>16:56:18</t>
  </si>
  <si>
    <t>20260214 16:56:33</t>
  </si>
  <si>
    <t>16:56:33</t>
  </si>
  <si>
    <t>20260214 16:56:48</t>
  </si>
  <si>
    <t>16:56:48</t>
  </si>
  <si>
    <t>20260214 16:57:03</t>
  </si>
  <si>
    <t>16:57:03</t>
  </si>
  <si>
    <t>20260214 16:57:18</t>
  </si>
  <si>
    <t>16:57:18</t>
  </si>
  <si>
    <t>20260214 16:57:33</t>
  </si>
  <si>
    <t>16:57:33</t>
  </si>
  <si>
    <t>20260214 16:57:48</t>
  </si>
  <si>
    <t>16:57:48</t>
  </si>
  <si>
    <t>20260214 16:58:03</t>
  </si>
  <si>
    <t>16:58:03</t>
  </si>
  <si>
    <t>20260214 16:58:18</t>
  </si>
  <si>
    <t>16:58:18</t>
  </si>
  <si>
    <t>20260214 16:58:33</t>
  </si>
  <si>
    <t>16:58:33</t>
  </si>
  <si>
    <t>20260214 16:58:48</t>
  </si>
  <si>
    <t>16:58:48</t>
  </si>
  <si>
    <t>16:59:12</t>
  </si>
  <si>
    <t>20260214 16:59:14</t>
  </si>
  <si>
    <t>16:59:14</t>
  </si>
  <si>
    <t>16:59:32</t>
  </si>
  <si>
    <t>20260214 16:59:34</t>
  </si>
  <si>
    <t>16:59:34</t>
  </si>
  <si>
    <t>20260214 16:59:49</t>
  </si>
  <si>
    <t>16:59:49</t>
  </si>
  <si>
    <t>20260214 17:00:04</t>
  </si>
  <si>
    <t>17:00:04</t>
  </si>
  <si>
    <t>20260214 17:00:19</t>
  </si>
  <si>
    <t>17:00:19</t>
  </si>
  <si>
    <t>20260214 17:00:34</t>
  </si>
  <si>
    <t>17:00:34</t>
  </si>
  <si>
    <t>20260214 17:00:49</t>
  </si>
  <si>
    <t>17:00:49</t>
  </si>
  <si>
    <t>20260214 17:01:04</t>
  </si>
  <si>
    <t>17:01:04</t>
  </si>
  <si>
    <t>20260214 17:03:38</t>
  </si>
  <si>
    <t>17:03:38</t>
  </si>
  <si>
    <t>20260214 17:03:53</t>
  </si>
  <si>
    <t>17:03:53</t>
  </si>
  <si>
    <t>20260214 17:04:08</t>
  </si>
  <si>
    <t>17:04:08</t>
  </si>
  <si>
    <t>20260214 17:04:23</t>
  </si>
  <si>
    <t>17:04:23</t>
  </si>
  <si>
    <t>20260214 17:04:38</t>
  </si>
  <si>
    <t>17:04:38</t>
  </si>
  <si>
    <t>20260214 17:04:53</t>
  </si>
  <si>
    <t>17:04:53</t>
  </si>
  <si>
    <t>20260214 17:05:08</t>
  </si>
  <si>
    <t>17:05:08</t>
  </si>
  <si>
    <t>20260214 17:05:23</t>
  </si>
  <si>
    <t>17:05:23</t>
  </si>
  <si>
    <t>20260214 17:05:38</t>
  </si>
  <si>
    <t>17:05:38</t>
  </si>
  <si>
    <t>20260214 17:05:53</t>
  </si>
  <si>
    <t>17:05:53</t>
  </si>
  <si>
    <t>20260214 17:06:08</t>
  </si>
  <si>
    <t>17:06:08</t>
  </si>
  <si>
    <t>20260214 17:06:23</t>
  </si>
  <si>
    <t>17:06:23</t>
  </si>
  <si>
    <t>20260214 17:06:38</t>
  </si>
  <si>
    <t>17:06:38</t>
  </si>
  <si>
    <t>20260214 17:06:53</t>
  </si>
  <si>
    <t>17:06:53</t>
  </si>
  <si>
    <t>20260214 17:07:08</t>
  </si>
  <si>
    <t>17:07:08</t>
  </si>
  <si>
    <t>20260214 17:07:23</t>
  </si>
  <si>
    <t>17:07:23</t>
  </si>
  <si>
    <t>20260214 17:07:38</t>
  </si>
  <si>
    <t>17:07:38</t>
  </si>
  <si>
    <t>20260214 17:07:53</t>
  </si>
  <si>
    <t>17:07:53</t>
  </si>
  <si>
    <t>20260214 17:08:08</t>
  </si>
  <si>
    <t>17:08:08</t>
  </si>
  <si>
    <t>20260214 17:08:23</t>
  </si>
  <si>
    <t>17:08:23</t>
  </si>
  <si>
    <t>20260214 17:08:38</t>
  </si>
  <si>
    <t>17:08:38</t>
  </si>
  <si>
    <t>20260214 17:08:53</t>
  </si>
  <si>
    <t>17:08:53</t>
  </si>
  <si>
    <t>20260214 17:09:08</t>
  </si>
  <si>
    <t>17:09:08</t>
  </si>
  <si>
    <t>20260214 17:09:23</t>
  </si>
  <si>
    <t>17:09:23</t>
  </si>
  <si>
    <t>17:09:47</t>
  </si>
  <si>
    <t>20260214 17:09:49</t>
  </si>
  <si>
    <t>17:09:49</t>
  </si>
  <si>
    <t>17:10:08</t>
  </si>
  <si>
    <t>20260214 17:10:10</t>
  </si>
  <si>
    <t>17:10:10</t>
  </si>
  <si>
    <t>20260214 17:10:25</t>
  </si>
  <si>
    <t>17:10:25</t>
  </si>
  <si>
    <t>20260214 17:10:40</t>
  </si>
  <si>
    <t>17:10:40</t>
  </si>
  <si>
    <t>20260214 17:10:55</t>
  </si>
  <si>
    <t>17:10:55</t>
  </si>
  <si>
    <t>20260214 17:11:10</t>
  </si>
  <si>
    <t>17:11:10</t>
  </si>
  <si>
    <t>20260214 17:11:25</t>
  </si>
  <si>
    <t>17:11:25</t>
  </si>
  <si>
    <t>20260214 17:11:40</t>
  </si>
  <si>
    <t>17:11:40</t>
  </si>
  <si>
    <t>20260214 17:11:55</t>
  </si>
  <si>
    <t>17:11:55</t>
  </si>
  <si>
    <t>20260214 17:12:10</t>
  </si>
  <si>
    <t>17:12:10</t>
  </si>
  <si>
    <t>20260214 17:12:25</t>
  </si>
  <si>
    <t>17:12:25</t>
  </si>
  <si>
    <t>20260214 17:12:40</t>
  </si>
  <si>
    <t>17:12:40</t>
  </si>
  <si>
    <t>20260214 17:12:55</t>
  </si>
  <si>
    <t>17:12:55</t>
  </si>
  <si>
    <t>20260214 17:13:10</t>
  </si>
  <si>
    <t>17:13:10</t>
  </si>
  <si>
    <t>20260214 17:13:25</t>
  </si>
  <si>
    <t>17:13:25</t>
  </si>
  <si>
    <t>20260214 17:13:40</t>
  </si>
  <si>
    <t>17:13:40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</si>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</sst>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227"/>
  <sheetViews>
    <sheetView tabSelected="1" topLeftCell="A210" workbookViewId="0">
      <selection activeCell="J232" sqref="J232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733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1771103113.0999999</v>
      </c>
      <c r="C16">
        <v>0</v>
      </c>
      <c r="D16" t="s">
        <v>287</v>
      </c>
      <c r="E16" t="s">
        <v>288</v>
      </c>
      <c r="F16">
        <v>15</v>
      </c>
      <c r="G16">
        <v>1771103104.5999999</v>
      </c>
      <c r="H16">
        <f t="shared" ref="H16:H79" si="0">AF16*Q16*(AB16-AC16)/(1000*X16*(1000-Q16*AB16))</f>
        <v>1.732300195121967E-3</v>
      </c>
      <c r="I16">
        <v>0</v>
      </c>
      <c r="J16">
        <f>K16*(0.0007335/0.0131159)</f>
        <v>-0.25210293474306639</v>
      </c>
      <c r="K16">
        <f t="shared" ref="K16:K79" si="1">AF16*Q16*(AA16-Z16*(1000-Q16*AC16)/(1000-Q16*AB16))/(1000*X16)</f>
        <v>-4.5079166759326306</v>
      </c>
      <c r="L16">
        <f t="shared" ref="L16:L79" si="2">(M16/N16*100)</f>
        <v>74.097751207668978</v>
      </c>
      <c r="M16">
        <f t="shared" ref="M16:M79" si="3">AB16*(AG16+AH16)/1000</f>
        <v>1.6216699189176105</v>
      </c>
      <c r="N16">
        <f t="shared" ref="N16:N79" si="4">0.61365*EXP(17.502*AI16/(240.97+AI16))</f>
        <v>2.1885548380175011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26198.817991516629</v>
      </c>
      <c r="T16">
        <f t="shared" ref="T16:T79" si="8">$B$11*AO16+$C$11*AP16+$D$11*BA16</f>
        <v>800.00075000000004</v>
      </c>
      <c r="U16">
        <f t="shared" ref="U16:U79" si="9">T16*V16</f>
        <v>674.4005422499157</v>
      </c>
      <c r="V16">
        <f t="shared" ref="V16:V79" si="10">($B$11*$D$9+$C$11*$D$9+$D$11*(BB16*$E$9+BC16*$F$9+BD16*$G$9+BE16*$H$9))/($B$11+$C$11+$D$11)</f>
        <v>0.84299988749999999</v>
      </c>
      <c r="W16">
        <f t="shared" ref="W16:W79" si="11">($B$11*$L$9+$C$11*$L$9+$D$11*(BB16*$M$9+BC16*$N$9+BD16*$O$9+BE16*$P$9))/($B$11+$C$11+$D$11)</f>
        <v>0.15870008414999998</v>
      </c>
      <c r="X16">
        <v>1</v>
      </c>
      <c r="Y16">
        <v>1771103104.5999999</v>
      </c>
      <c r="Z16">
        <v>379.81768749999998</v>
      </c>
      <c r="AA16">
        <v>375.00524999999999</v>
      </c>
      <c r="AB16">
        <v>16.216281250000002</v>
      </c>
      <c r="AC16">
        <v>14.086024999999999</v>
      </c>
      <c r="AD16">
        <v>380.51949999999999</v>
      </c>
      <c r="AE16">
        <v>16.157781249999999</v>
      </c>
      <c r="AF16">
        <v>800.00175000000002</v>
      </c>
      <c r="AG16">
        <v>99.939393749999994</v>
      </c>
      <c r="AH16">
        <v>6.3183531249999994E-2</v>
      </c>
      <c r="AI16">
        <v>18.878781249999999</v>
      </c>
      <c r="AJ16">
        <v>999.9</v>
      </c>
      <c r="AK16">
        <v>999.9</v>
      </c>
      <c r="AL16">
        <v>0</v>
      </c>
      <c r="AM16">
        <v>0</v>
      </c>
      <c r="AN16">
        <v>4996.96875</v>
      </c>
      <c r="AO16">
        <v>0</v>
      </c>
      <c r="AP16">
        <v>1.6358487500000001</v>
      </c>
      <c r="AQ16">
        <v>4.8126224999999998</v>
      </c>
      <c r="AR16">
        <v>386.0786875</v>
      </c>
      <c r="AS16">
        <v>380.363</v>
      </c>
      <c r="AT16">
        <v>2.1302487499999998</v>
      </c>
      <c r="AU16">
        <v>375.00524999999999</v>
      </c>
      <c r="AV16">
        <v>14.086024999999999</v>
      </c>
      <c r="AW16">
        <v>1.620643125</v>
      </c>
      <c r="AX16">
        <v>1.4077474999999999</v>
      </c>
      <c r="AY16">
        <v>14.1564</v>
      </c>
      <c r="AZ16">
        <v>12.00011875</v>
      </c>
      <c r="BA16">
        <v>800.00075000000004</v>
      </c>
      <c r="BB16">
        <v>0.89999831249999995</v>
      </c>
      <c r="BC16">
        <v>0</v>
      </c>
      <c r="BD16">
        <v>0.10000149999999999</v>
      </c>
      <c r="BE16">
        <v>0</v>
      </c>
      <c r="BF16">
        <v>25</v>
      </c>
      <c r="BG16">
        <v>13191.025</v>
      </c>
      <c r="BH16">
        <v>1771102570.0999999</v>
      </c>
      <c r="BI16" t="s">
        <v>289</v>
      </c>
      <c r="BJ16">
        <v>1771102570.0999999</v>
      </c>
      <c r="BK16">
        <v>1771102547.0999999</v>
      </c>
      <c r="BL16">
        <v>10</v>
      </c>
      <c r="BM16">
        <v>5.8999999999999997E-2</v>
      </c>
      <c r="BN16">
        <v>0</v>
      </c>
      <c r="BO16">
        <v>-0.70199999999999996</v>
      </c>
      <c r="BP16">
        <v>5.8000000000000003E-2</v>
      </c>
      <c r="BQ16">
        <v>1000</v>
      </c>
      <c r="BR16">
        <v>13</v>
      </c>
      <c r="BS16">
        <v>0.32</v>
      </c>
      <c r="BT16">
        <v>0.03</v>
      </c>
      <c r="BU16">
        <v>6.280824</v>
      </c>
      <c r="BV16">
        <v>-27.9925651127819</v>
      </c>
      <c r="BW16">
        <v>2.7424520534667498</v>
      </c>
      <c r="BX16">
        <v>0</v>
      </c>
      <c r="BY16">
        <v>0</v>
      </c>
      <c r="BZ16">
        <v>0</v>
      </c>
      <c r="CA16">
        <v>0</v>
      </c>
      <c r="CB16">
        <v>-1</v>
      </c>
      <c r="CC16">
        <v>2.0282084999999999</v>
      </c>
      <c r="CD16">
        <v>2.0037866165413498</v>
      </c>
      <c r="CE16">
        <v>0.194037072470057</v>
      </c>
      <c r="CF16">
        <v>0</v>
      </c>
      <c r="CG16">
        <v>0</v>
      </c>
      <c r="CH16">
        <v>2</v>
      </c>
      <c r="CI16" t="s">
        <v>290</v>
      </c>
      <c r="CJ16">
        <v>3.5325500000000001</v>
      </c>
      <c r="CK16">
        <v>2.7012700000000001</v>
      </c>
      <c r="CL16">
        <v>9.1617199999999996E-2</v>
      </c>
      <c r="CM16">
        <v>8.9932399999999996E-2</v>
      </c>
      <c r="CN16">
        <v>8.9940500000000007E-2</v>
      </c>
      <c r="CO16">
        <v>7.9077999999999996E-2</v>
      </c>
      <c r="CP16">
        <v>31824.400000000001</v>
      </c>
      <c r="CQ16">
        <v>28022.9</v>
      </c>
      <c r="CR16">
        <v>32427.7</v>
      </c>
      <c r="CS16">
        <v>30721.8</v>
      </c>
      <c r="CT16">
        <v>39966.9</v>
      </c>
      <c r="CU16">
        <v>39798.9</v>
      </c>
      <c r="CV16">
        <v>47368.7</v>
      </c>
      <c r="CW16">
        <v>46864.9</v>
      </c>
      <c r="CX16">
        <v>2.6147999999999998</v>
      </c>
      <c r="CY16">
        <v>2.1213799999999998</v>
      </c>
      <c r="CZ16">
        <v>0</v>
      </c>
      <c r="DA16">
        <v>0</v>
      </c>
      <c r="DB16">
        <v>999.9</v>
      </c>
      <c r="DC16">
        <v>999.9</v>
      </c>
      <c r="DD16">
        <v>46.405000000000001</v>
      </c>
      <c r="DE16">
        <v>28.57</v>
      </c>
      <c r="DF16">
        <v>18.213899999999999</v>
      </c>
      <c r="DG16">
        <v>30.668099999999999</v>
      </c>
      <c r="DH16">
        <v>17.067299999999999</v>
      </c>
      <c r="DI16">
        <v>2</v>
      </c>
      <c r="DJ16">
        <v>-7.2439000000000003E-2</v>
      </c>
      <c r="DK16">
        <v>2.41682</v>
      </c>
      <c r="DL16">
        <v>20.193100000000001</v>
      </c>
      <c r="DM16">
        <v>5.2497600000000002</v>
      </c>
      <c r="DN16">
        <v>12.033899999999999</v>
      </c>
      <c r="DO16">
        <v>4.9672799999999997</v>
      </c>
      <c r="DP16">
        <v>3.2909999999999999</v>
      </c>
      <c r="DQ16">
        <v>607.6</v>
      </c>
      <c r="DR16">
        <v>9999</v>
      </c>
      <c r="DS16">
        <v>9999</v>
      </c>
      <c r="DT16">
        <v>9999</v>
      </c>
      <c r="DU16">
        <v>1.8711800000000001</v>
      </c>
      <c r="DV16">
        <v>1.87616</v>
      </c>
      <c r="DW16">
        <v>1.8763700000000001</v>
      </c>
      <c r="DX16">
        <v>1.8829</v>
      </c>
      <c r="DY16">
        <v>1.87561</v>
      </c>
      <c r="DZ16">
        <v>1.87469</v>
      </c>
      <c r="EA16">
        <v>1.87086</v>
      </c>
      <c r="EB16">
        <v>1.8746799999999999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-0.70199999999999996</v>
      </c>
      <c r="EQ16">
        <v>5.8500000000000003E-2</v>
      </c>
      <c r="ER16">
        <v>-0.70181818181811195</v>
      </c>
      <c r="ES16">
        <v>0</v>
      </c>
      <c r="ET16">
        <v>0</v>
      </c>
      <c r="EU16">
        <v>0</v>
      </c>
      <c r="EV16">
        <v>5.8479999999995903E-2</v>
      </c>
      <c r="EW16">
        <v>0</v>
      </c>
      <c r="EX16">
        <v>0</v>
      </c>
      <c r="EY16">
        <v>0</v>
      </c>
      <c r="EZ16">
        <v>-1</v>
      </c>
      <c r="FA16">
        <v>-1</v>
      </c>
      <c r="FB16">
        <v>-1</v>
      </c>
      <c r="FC16">
        <v>-1</v>
      </c>
      <c r="FD16">
        <v>9.1</v>
      </c>
      <c r="FE16">
        <v>9.4</v>
      </c>
      <c r="FF16">
        <v>1.16211</v>
      </c>
      <c r="FG16">
        <v>2.5805699999999998</v>
      </c>
      <c r="FH16">
        <v>2.19604</v>
      </c>
      <c r="FI16">
        <v>2.5756800000000002</v>
      </c>
      <c r="FJ16">
        <v>2.4462899999999999</v>
      </c>
      <c r="FK16">
        <v>2.3059099999999999</v>
      </c>
      <c r="FL16">
        <v>32.886899999999997</v>
      </c>
      <c r="FM16">
        <v>24.148800000000001</v>
      </c>
      <c r="FN16">
        <v>19</v>
      </c>
      <c r="FO16">
        <v>866.976</v>
      </c>
      <c r="FP16">
        <v>575.94200000000001</v>
      </c>
      <c r="FQ16">
        <v>17.626000000000001</v>
      </c>
      <c r="FR16">
        <v>26.073599999999999</v>
      </c>
      <c r="FS16">
        <v>30</v>
      </c>
      <c r="FT16">
        <v>26.073</v>
      </c>
      <c r="FU16">
        <v>26.072399999999998</v>
      </c>
      <c r="FV16">
        <v>23.3169</v>
      </c>
      <c r="FW16">
        <v>29.6387</v>
      </c>
      <c r="FX16">
        <v>37.955599999999997</v>
      </c>
      <c r="FY16">
        <v>17.7163</v>
      </c>
      <c r="FZ16">
        <v>375</v>
      </c>
      <c r="GA16">
        <v>13.543799999999999</v>
      </c>
      <c r="GB16">
        <v>99.803399999999996</v>
      </c>
      <c r="GC16">
        <v>99.754199999999997</v>
      </c>
    </row>
    <row r="17" spans="1:185" x14ac:dyDescent="0.2">
      <c r="A17">
        <v>2</v>
      </c>
      <c r="B17">
        <v>1771103128.0999999</v>
      </c>
      <c r="C17">
        <v>15</v>
      </c>
      <c r="D17" t="s">
        <v>295</v>
      </c>
      <c r="E17" t="s">
        <v>296</v>
      </c>
      <c r="F17">
        <v>15</v>
      </c>
      <c r="G17">
        <v>1771103120.03333</v>
      </c>
      <c r="H17">
        <f t="shared" si="0"/>
        <v>1.936718578953889E-3</v>
      </c>
      <c r="I17">
        <v>0</v>
      </c>
      <c r="J17">
        <f t="shared" ref="J17:J80" si="12">K17*(0.0007335/0.0131159)</f>
        <v>-0.10698224508590007</v>
      </c>
      <c r="K17">
        <f t="shared" si="1"/>
        <v>-1.9129767257289116</v>
      </c>
      <c r="L17">
        <f t="shared" si="2"/>
        <v>73.014893574111284</v>
      </c>
      <c r="M17">
        <f t="shared" si="3"/>
        <v>1.5979316024787005</v>
      </c>
      <c r="N17">
        <f t="shared" si="4"/>
        <v>2.1885008992812875</v>
      </c>
      <c r="O17">
        <v>0</v>
      </c>
      <c r="P17">
        <v>0</v>
      </c>
      <c r="Q17">
        <f t="shared" si="5"/>
        <v>1</v>
      </c>
      <c r="R17">
        <f t="shared" si="6"/>
        <v>0</v>
      </c>
      <c r="S17">
        <f t="shared" si="7"/>
        <v>26201.287770492192</v>
      </c>
      <c r="T17">
        <f t="shared" si="8"/>
        <v>800.00026666666702</v>
      </c>
      <c r="U17">
        <f t="shared" si="9"/>
        <v>674.40021199999615</v>
      </c>
      <c r="V17">
        <f t="shared" si="10"/>
        <v>0.8429999840000002</v>
      </c>
      <c r="W17">
        <f t="shared" si="11"/>
        <v>0.15870021984000005</v>
      </c>
      <c r="X17">
        <v>1</v>
      </c>
      <c r="Y17">
        <v>1771103120.03333</v>
      </c>
      <c r="Z17">
        <v>376.51106666666698</v>
      </c>
      <c r="AA17">
        <v>375.03133333333301</v>
      </c>
      <c r="AB17">
        <v>15.9789733333333</v>
      </c>
      <c r="AC17">
        <v>13.5967466666667</v>
      </c>
      <c r="AD17">
        <v>377.21306666666698</v>
      </c>
      <c r="AE17">
        <v>15.920486666666701</v>
      </c>
      <c r="AF17">
        <v>799.99599999999998</v>
      </c>
      <c r="AG17">
        <v>99.938706666666704</v>
      </c>
      <c r="AH17">
        <v>6.34379733333333E-2</v>
      </c>
      <c r="AI17">
        <v>18.8783866666667</v>
      </c>
      <c r="AJ17">
        <v>999.9</v>
      </c>
      <c r="AK17">
        <v>999.9</v>
      </c>
      <c r="AL17">
        <v>0</v>
      </c>
      <c r="AM17">
        <v>0</v>
      </c>
      <c r="AN17">
        <v>4997.3999999999996</v>
      </c>
      <c r="AO17">
        <v>0</v>
      </c>
      <c r="AP17">
        <v>1.63733</v>
      </c>
      <c r="AQ17">
        <v>1.4797677333333299</v>
      </c>
      <c r="AR17">
        <v>382.62526666666702</v>
      </c>
      <c r="AS17">
        <v>380.20100000000002</v>
      </c>
      <c r="AT17">
        <v>2.3822366666666701</v>
      </c>
      <c r="AU17">
        <v>375.03133333333301</v>
      </c>
      <c r="AV17">
        <v>13.5967466666667</v>
      </c>
      <c r="AW17">
        <v>1.5969186666666699</v>
      </c>
      <c r="AX17">
        <v>1.3588420000000001</v>
      </c>
      <c r="AY17">
        <v>13.9289733333333</v>
      </c>
      <c r="AZ17">
        <v>11.4655733333333</v>
      </c>
      <c r="BA17">
        <v>800.00026666666702</v>
      </c>
      <c r="BB17">
        <v>0.899996666666667</v>
      </c>
      <c r="BC17">
        <v>0</v>
      </c>
      <c r="BD17">
        <v>0.1000032</v>
      </c>
      <c r="BE17">
        <v>0</v>
      </c>
      <c r="BF17">
        <v>25</v>
      </c>
      <c r="BG17">
        <v>13191.026666666699</v>
      </c>
      <c r="BH17">
        <v>1771102570.0999999</v>
      </c>
      <c r="BI17" t="s">
        <v>289</v>
      </c>
      <c r="BJ17">
        <v>1771102570.0999999</v>
      </c>
      <c r="BK17">
        <v>1771102547.0999999</v>
      </c>
      <c r="BL17">
        <v>10</v>
      </c>
      <c r="BM17">
        <v>5.8999999999999997E-2</v>
      </c>
      <c r="BN17">
        <v>0</v>
      </c>
      <c r="BO17">
        <v>-0.70199999999999996</v>
      </c>
      <c r="BP17">
        <v>5.8000000000000003E-2</v>
      </c>
      <c r="BQ17">
        <v>1000</v>
      </c>
      <c r="BR17">
        <v>13</v>
      </c>
      <c r="BS17">
        <v>0.32</v>
      </c>
      <c r="BT17">
        <v>0.03</v>
      </c>
      <c r="BU17">
        <v>2.0847305714285702</v>
      </c>
      <c r="BV17">
        <v>-9.0265122077921998</v>
      </c>
      <c r="BW17">
        <v>0.93131141785316596</v>
      </c>
      <c r="BX17">
        <v>0</v>
      </c>
      <c r="BY17">
        <v>0</v>
      </c>
      <c r="BZ17">
        <v>0</v>
      </c>
      <c r="CA17">
        <v>0</v>
      </c>
      <c r="CB17">
        <v>-1</v>
      </c>
      <c r="CC17">
        <v>2.3393099999999998</v>
      </c>
      <c r="CD17">
        <v>0.63051038961039096</v>
      </c>
      <c r="CE17">
        <v>6.57774569141681E-2</v>
      </c>
      <c r="CF17">
        <v>0</v>
      </c>
      <c r="CG17">
        <v>0</v>
      </c>
      <c r="CH17">
        <v>2</v>
      </c>
      <c r="CI17" t="s">
        <v>290</v>
      </c>
      <c r="CJ17">
        <v>3.5325700000000002</v>
      </c>
      <c r="CK17">
        <v>2.7009099999999999</v>
      </c>
      <c r="CL17">
        <v>9.1320600000000002E-2</v>
      </c>
      <c r="CM17">
        <v>8.9921500000000001E-2</v>
      </c>
      <c r="CN17">
        <v>8.89403E-2</v>
      </c>
      <c r="CO17">
        <v>7.7580800000000005E-2</v>
      </c>
      <c r="CP17">
        <v>31834.3</v>
      </c>
      <c r="CQ17">
        <v>28023.1</v>
      </c>
      <c r="CR17">
        <v>32427.200000000001</v>
      </c>
      <c r="CS17">
        <v>30721.599999999999</v>
      </c>
      <c r="CT17">
        <v>40011.5</v>
      </c>
      <c r="CU17">
        <v>39865.1</v>
      </c>
      <c r="CV17">
        <v>47368</v>
      </c>
      <c r="CW17">
        <v>46864.9</v>
      </c>
      <c r="CX17">
        <v>2.6151599999999999</v>
      </c>
      <c r="CY17">
        <v>2.1201400000000001</v>
      </c>
      <c r="CZ17">
        <v>0</v>
      </c>
      <c r="DA17">
        <v>0</v>
      </c>
      <c r="DB17">
        <v>999.9</v>
      </c>
      <c r="DC17">
        <v>999.9</v>
      </c>
      <c r="DD17">
        <v>46.356000000000002</v>
      </c>
      <c r="DE17">
        <v>28.57</v>
      </c>
      <c r="DF17">
        <v>18.1952</v>
      </c>
      <c r="DG17">
        <v>30.578099999999999</v>
      </c>
      <c r="DH17">
        <v>16.967099999999999</v>
      </c>
      <c r="DI17">
        <v>2</v>
      </c>
      <c r="DJ17">
        <v>-7.3185E-2</v>
      </c>
      <c r="DK17">
        <v>2.1457199999999998</v>
      </c>
      <c r="DL17">
        <v>20.197600000000001</v>
      </c>
      <c r="DM17">
        <v>5.2505899999999999</v>
      </c>
      <c r="DN17">
        <v>12.033899999999999</v>
      </c>
      <c r="DO17">
        <v>4.9673999999999996</v>
      </c>
      <c r="DP17">
        <v>3.2909999999999999</v>
      </c>
      <c r="DQ17">
        <v>607.70000000000005</v>
      </c>
      <c r="DR17">
        <v>9999</v>
      </c>
      <c r="DS17">
        <v>9999</v>
      </c>
      <c r="DT17">
        <v>9999</v>
      </c>
      <c r="DU17">
        <v>1.8711500000000001</v>
      </c>
      <c r="DV17">
        <v>1.87619</v>
      </c>
      <c r="DW17">
        <v>1.8763700000000001</v>
      </c>
      <c r="DX17">
        <v>1.8828800000000001</v>
      </c>
      <c r="DY17">
        <v>1.87561</v>
      </c>
      <c r="DZ17">
        <v>1.87469</v>
      </c>
      <c r="EA17">
        <v>1.87087</v>
      </c>
      <c r="EB17">
        <v>1.87469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-0.70099999999999996</v>
      </c>
      <c r="EQ17">
        <v>5.8400000000000001E-2</v>
      </c>
      <c r="ER17">
        <v>-0.70181818181811195</v>
      </c>
      <c r="ES17">
        <v>0</v>
      </c>
      <c r="ET17">
        <v>0</v>
      </c>
      <c r="EU17">
        <v>0</v>
      </c>
      <c r="EV17">
        <v>5.8479999999995903E-2</v>
      </c>
      <c r="EW17">
        <v>0</v>
      </c>
      <c r="EX17">
        <v>0</v>
      </c>
      <c r="EY17">
        <v>0</v>
      </c>
      <c r="EZ17">
        <v>-1</v>
      </c>
      <c r="FA17">
        <v>-1</v>
      </c>
      <c r="FB17">
        <v>-1</v>
      </c>
      <c r="FC17">
        <v>-1</v>
      </c>
      <c r="FD17">
        <v>9.3000000000000007</v>
      </c>
      <c r="FE17">
        <v>9.6999999999999993</v>
      </c>
      <c r="FF17">
        <v>1.16089</v>
      </c>
      <c r="FG17">
        <v>2.5756800000000002</v>
      </c>
      <c r="FH17">
        <v>2.19604</v>
      </c>
      <c r="FI17">
        <v>2.5756800000000002</v>
      </c>
      <c r="FJ17">
        <v>2.4462899999999999</v>
      </c>
      <c r="FK17">
        <v>2.2924799999999999</v>
      </c>
      <c r="FL17">
        <v>32.886899999999997</v>
      </c>
      <c r="FM17">
        <v>24.14</v>
      </c>
      <c r="FN17">
        <v>19</v>
      </c>
      <c r="FO17">
        <v>867.31200000000001</v>
      </c>
      <c r="FP17">
        <v>574.98900000000003</v>
      </c>
      <c r="FQ17">
        <v>17.890899999999998</v>
      </c>
      <c r="FR17">
        <v>26.074400000000001</v>
      </c>
      <c r="FS17">
        <v>29.9999</v>
      </c>
      <c r="FT17">
        <v>26.073</v>
      </c>
      <c r="FU17">
        <v>26.072399999999998</v>
      </c>
      <c r="FV17">
        <v>23.315899999999999</v>
      </c>
      <c r="FW17">
        <v>30.829899999999999</v>
      </c>
      <c r="FX17">
        <v>37.585099999999997</v>
      </c>
      <c r="FY17">
        <v>17.971599999999999</v>
      </c>
      <c r="FZ17">
        <v>375</v>
      </c>
      <c r="GA17">
        <v>13.285500000000001</v>
      </c>
      <c r="GB17">
        <v>99.802000000000007</v>
      </c>
      <c r="GC17">
        <v>99.754000000000005</v>
      </c>
    </row>
    <row r="18" spans="1:185" x14ac:dyDescent="0.2">
      <c r="A18">
        <v>3</v>
      </c>
      <c r="B18">
        <v>1771103143.0999999</v>
      </c>
      <c r="C18">
        <v>30</v>
      </c>
      <c r="D18" t="s">
        <v>297</v>
      </c>
      <c r="E18" t="s">
        <v>298</v>
      </c>
      <c r="F18">
        <v>15</v>
      </c>
      <c r="G18">
        <v>1771103135.03333</v>
      </c>
      <c r="H18">
        <f t="shared" si="0"/>
        <v>1.9762024898498658E-3</v>
      </c>
      <c r="I18">
        <v>0</v>
      </c>
      <c r="J18">
        <f t="shared" si="12"/>
        <v>-6.418283411391193E-2</v>
      </c>
      <c r="K18">
        <f t="shared" si="1"/>
        <v>-1.1476695759436366</v>
      </c>
      <c r="L18">
        <f t="shared" si="2"/>
        <v>71.924958948872458</v>
      </c>
      <c r="M18">
        <f t="shared" si="3"/>
        <v>1.576543936109301</v>
      </c>
      <c r="N18">
        <f t="shared" si="4"/>
        <v>2.1919288646796171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26231.748585969592</v>
      </c>
      <c r="T18">
        <f t="shared" si="8"/>
        <v>800.00120000000004</v>
      </c>
      <c r="U18">
        <f t="shared" si="9"/>
        <v>674.40103400003386</v>
      </c>
      <c r="V18">
        <f t="shared" si="10"/>
        <v>0.84300002800000029</v>
      </c>
      <c r="W18">
        <f t="shared" si="11"/>
        <v>0.15870032984000007</v>
      </c>
      <c r="X18">
        <v>1</v>
      </c>
      <c r="Y18">
        <v>1771103135.03333</v>
      </c>
      <c r="Z18">
        <v>375.50200000000001</v>
      </c>
      <c r="AA18">
        <v>374.995</v>
      </c>
      <c r="AB18">
        <v>15.76502</v>
      </c>
      <c r="AC18">
        <v>13.33372</v>
      </c>
      <c r="AD18">
        <v>376.2038</v>
      </c>
      <c r="AE18">
        <v>15.706533333333301</v>
      </c>
      <c r="AF18">
        <v>800.00313333333304</v>
      </c>
      <c r="AG18">
        <v>99.9393933333333</v>
      </c>
      <c r="AH18">
        <v>6.3266740000000002E-2</v>
      </c>
      <c r="AI18">
        <v>18.903446666666699</v>
      </c>
      <c r="AJ18">
        <v>999.9</v>
      </c>
      <c r="AK18">
        <v>999.9</v>
      </c>
      <c r="AL18">
        <v>0</v>
      </c>
      <c r="AM18">
        <v>0</v>
      </c>
      <c r="AN18">
        <v>5002.7666666666701</v>
      </c>
      <c r="AO18">
        <v>0</v>
      </c>
      <c r="AP18">
        <v>1.63733</v>
      </c>
      <c r="AQ18">
        <v>0.50698246666666702</v>
      </c>
      <c r="AR18">
        <v>381.51659999999998</v>
      </c>
      <c r="AS18">
        <v>380.06273333333297</v>
      </c>
      <c r="AT18">
        <v>2.4313066666666701</v>
      </c>
      <c r="AU18">
        <v>374.995</v>
      </c>
      <c r="AV18">
        <v>13.33372</v>
      </c>
      <c r="AW18">
        <v>1.57554666666667</v>
      </c>
      <c r="AX18">
        <v>1.33256533333333</v>
      </c>
      <c r="AY18">
        <v>13.72162</v>
      </c>
      <c r="AZ18">
        <v>11.171146666666701</v>
      </c>
      <c r="BA18">
        <v>800.00120000000004</v>
      </c>
      <c r="BB18">
        <v>0.8999952</v>
      </c>
      <c r="BC18">
        <v>0</v>
      </c>
      <c r="BD18">
        <v>0.10000466666666701</v>
      </c>
      <c r="BE18">
        <v>0</v>
      </c>
      <c r="BF18">
        <v>25</v>
      </c>
      <c r="BG18">
        <v>13191.0333333333</v>
      </c>
      <c r="BH18">
        <v>1771102570.0999999</v>
      </c>
      <c r="BI18" t="s">
        <v>289</v>
      </c>
      <c r="BJ18">
        <v>1771102570.0999999</v>
      </c>
      <c r="BK18">
        <v>1771102547.0999999</v>
      </c>
      <c r="BL18">
        <v>10</v>
      </c>
      <c r="BM18">
        <v>5.8999999999999997E-2</v>
      </c>
      <c r="BN18">
        <v>0</v>
      </c>
      <c r="BO18">
        <v>-0.70199999999999996</v>
      </c>
      <c r="BP18">
        <v>5.8000000000000003E-2</v>
      </c>
      <c r="BQ18">
        <v>1000</v>
      </c>
      <c r="BR18">
        <v>13</v>
      </c>
      <c r="BS18">
        <v>0.32</v>
      </c>
      <c r="BT18">
        <v>0.03</v>
      </c>
      <c r="BU18">
        <v>0.668767</v>
      </c>
      <c r="BV18">
        <v>-2.7587202406014999</v>
      </c>
      <c r="BW18">
        <v>0.26974915436790498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2.4263759999999999</v>
      </c>
      <c r="CD18">
        <v>8.0835789473682598E-2</v>
      </c>
      <c r="CE18">
        <v>1.2080443038233401E-2</v>
      </c>
      <c r="CF18">
        <v>1</v>
      </c>
      <c r="CG18">
        <v>1</v>
      </c>
      <c r="CH18">
        <v>2</v>
      </c>
      <c r="CI18" t="s">
        <v>299</v>
      </c>
      <c r="CJ18">
        <v>3.5325000000000002</v>
      </c>
      <c r="CK18">
        <v>2.7011400000000001</v>
      </c>
      <c r="CL18">
        <v>9.1216000000000005E-2</v>
      </c>
      <c r="CM18">
        <v>8.9923400000000001E-2</v>
      </c>
      <c r="CN18">
        <v>8.8192900000000005E-2</v>
      </c>
      <c r="CO18">
        <v>7.6879699999999995E-2</v>
      </c>
      <c r="CP18">
        <v>31837.7</v>
      </c>
      <c r="CQ18">
        <v>28023.1</v>
      </c>
      <c r="CR18">
        <v>32426.9</v>
      </c>
      <c r="CS18">
        <v>30721.7</v>
      </c>
      <c r="CT18">
        <v>40044.800000000003</v>
      </c>
      <c r="CU18">
        <v>39896.400000000001</v>
      </c>
      <c r="CV18">
        <v>47367.5</v>
      </c>
      <c r="CW18">
        <v>46865.3</v>
      </c>
      <c r="CX18">
        <v>2.6151</v>
      </c>
      <c r="CY18">
        <v>2.1194600000000001</v>
      </c>
      <c r="CZ18">
        <v>0</v>
      </c>
      <c r="DA18">
        <v>0</v>
      </c>
      <c r="DB18">
        <v>999.9</v>
      </c>
      <c r="DC18">
        <v>999.9</v>
      </c>
      <c r="DD18">
        <v>46.307000000000002</v>
      </c>
      <c r="DE18">
        <v>28.591000000000001</v>
      </c>
      <c r="DF18">
        <v>18.198599999999999</v>
      </c>
      <c r="DG18">
        <v>30.638100000000001</v>
      </c>
      <c r="DH18">
        <v>17.147400000000001</v>
      </c>
      <c r="DI18">
        <v>2</v>
      </c>
      <c r="DJ18">
        <v>-7.3607699999999998E-2</v>
      </c>
      <c r="DK18">
        <v>2.0285099999999998</v>
      </c>
      <c r="DL18">
        <v>20.198699999999999</v>
      </c>
      <c r="DM18">
        <v>5.25047</v>
      </c>
      <c r="DN18">
        <v>12.033899999999999</v>
      </c>
      <c r="DO18">
        <v>4.9672799999999997</v>
      </c>
      <c r="DP18">
        <v>3.2909999999999999</v>
      </c>
      <c r="DQ18">
        <v>607.70000000000005</v>
      </c>
      <c r="DR18">
        <v>9999</v>
      </c>
      <c r="DS18">
        <v>9999</v>
      </c>
      <c r="DT18">
        <v>9999</v>
      </c>
      <c r="DU18">
        <v>1.87117</v>
      </c>
      <c r="DV18">
        <v>1.8761699999999999</v>
      </c>
      <c r="DW18">
        <v>1.8763700000000001</v>
      </c>
      <c r="DX18">
        <v>1.88289</v>
      </c>
      <c r="DY18">
        <v>1.8756200000000001</v>
      </c>
      <c r="DZ18">
        <v>1.87469</v>
      </c>
      <c r="EA18">
        <v>1.8708800000000001</v>
      </c>
      <c r="EB18">
        <v>1.87469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-0.70199999999999996</v>
      </c>
      <c r="EQ18">
        <v>5.8500000000000003E-2</v>
      </c>
      <c r="ER18">
        <v>-0.70181818181811195</v>
      </c>
      <c r="ES18">
        <v>0</v>
      </c>
      <c r="ET18">
        <v>0</v>
      </c>
      <c r="EU18">
        <v>0</v>
      </c>
      <c r="EV18">
        <v>5.8479999999995903E-2</v>
      </c>
      <c r="EW18">
        <v>0</v>
      </c>
      <c r="EX18">
        <v>0</v>
      </c>
      <c r="EY18">
        <v>0</v>
      </c>
      <c r="EZ18">
        <v>-1</v>
      </c>
      <c r="FA18">
        <v>-1</v>
      </c>
      <c r="FB18">
        <v>-1</v>
      </c>
      <c r="FC18">
        <v>-1</v>
      </c>
      <c r="FD18">
        <v>9.6</v>
      </c>
      <c r="FE18">
        <v>9.9</v>
      </c>
      <c r="FF18">
        <v>1.16211</v>
      </c>
      <c r="FG18">
        <v>2.5805699999999998</v>
      </c>
      <c r="FH18">
        <v>2.19604</v>
      </c>
      <c r="FI18">
        <v>2.5756800000000002</v>
      </c>
      <c r="FJ18">
        <v>2.4462899999999999</v>
      </c>
      <c r="FK18">
        <v>2.2888199999999999</v>
      </c>
      <c r="FL18">
        <v>32.886899999999997</v>
      </c>
      <c r="FM18">
        <v>24.14</v>
      </c>
      <c r="FN18">
        <v>19</v>
      </c>
      <c r="FO18">
        <v>867.25599999999997</v>
      </c>
      <c r="FP18">
        <v>574.47699999999998</v>
      </c>
      <c r="FQ18">
        <v>18.118300000000001</v>
      </c>
      <c r="FR18">
        <v>26.076599999999999</v>
      </c>
      <c r="FS18">
        <v>30</v>
      </c>
      <c r="FT18">
        <v>26.073</v>
      </c>
      <c r="FU18">
        <v>26.0733</v>
      </c>
      <c r="FV18">
        <v>23.315200000000001</v>
      </c>
      <c r="FW18">
        <v>31.6569</v>
      </c>
      <c r="FX18">
        <v>37.585099999999997</v>
      </c>
      <c r="FY18">
        <v>18.174199999999999</v>
      </c>
      <c r="FZ18">
        <v>375</v>
      </c>
      <c r="GA18">
        <v>13.1309</v>
      </c>
      <c r="GB18">
        <v>99.800799999999995</v>
      </c>
      <c r="GC18">
        <v>99.7547</v>
      </c>
    </row>
    <row r="19" spans="1:185" x14ac:dyDescent="0.2">
      <c r="A19">
        <v>4</v>
      </c>
      <c r="B19">
        <v>1771103158.0999999</v>
      </c>
      <c r="C19">
        <v>45</v>
      </c>
      <c r="D19" t="s">
        <v>300</v>
      </c>
      <c r="E19" t="s">
        <v>301</v>
      </c>
      <c r="F19">
        <v>15</v>
      </c>
      <c r="G19">
        <v>1771103150.03333</v>
      </c>
      <c r="H19">
        <f t="shared" si="0"/>
        <v>1.9688436884391851E-3</v>
      </c>
      <c r="I19">
        <v>0</v>
      </c>
      <c r="J19">
        <f t="shared" si="12"/>
        <v>-4.7892675200822188E-2</v>
      </c>
      <c r="K19">
        <f t="shared" si="1"/>
        <v>-0.85638110247643318</v>
      </c>
      <c r="L19">
        <f t="shared" si="2"/>
        <v>70.965095303674929</v>
      </c>
      <c r="M19">
        <f t="shared" si="3"/>
        <v>1.5592930211651272</v>
      </c>
      <c r="N19">
        <f t="shared" si="4"/>
        <v>2.1972675644168116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26248.245573476288</v>
      </c>
      <c r="T19">
        <f t="shared" si="8"/>
        <v>800.00173333333305</v>
      </c>
      <c r="U19">
        <f t="shared" si="9"/>
        <v>674.40162280034917</v>
      </c>
      <c r="V19">
        <f t="shared" si="10"/>
        <v>0.84300020199999914</v>
      </c>
      <c r="W19">
        <f t="shared" si="11"/>
        <v>0.15870050499999983</v>
      </c>
      <c r="X19">
        <v>1</v>
      </c>
      <c r="Y19">
        <v>1771103150.03333</v>
      </c>
      <c r="Z19">
        <v>375.15393333333299</v>
      </c>
      <c r="AA19">
        <v>375.00673333333299</v>
      </c>
      <c r="AB19">
        <v>15.592513333333301</v>
      </c>
      <c r="AC19">
        <v>13.169866666666699</v>
      </c>
      <c r="AD19">
        <v>375.85579999999999</v>
      </c>
      <c r="AE19">
        <v>15.5455133333333</v>
      </c>
      <c r="AF19">
        <v>800.01120000000003</v>
      </c>
      <c r="AG19">
        <v>99.9393933333333</v>
      </c>
      <c r="AH19">
        <v>6.3280246666666706E-2</v>
      </c>
      <c r="AI19">
        <v>18.942406666666699</v>
      </c>
      <c r="AJ19">
        <v>999.9</v>
      </c>
      <c r="AK19">
        <v>999.9</v>
      </c>
      <c r="AL19">
        <v>0</v>
      </c>
      <c r="AM19">
        <v>0</v>
      </c>
      <c r="AN19">
        <v>5006.0666666666702</v>
      </c>
      <c r="AO19">
        <v>0</v>
      </c>
      <c r="AP19">
        <v>1.63733</v>
      </c>
      <c r="AQ19">
        <v>0.147241226666667</v>
      </c>
      <c r="AR19">
        <v>381.100866666667</v>
      </c>
      <c r="AS19">
        <v>380.01153333333298</v>
      </c>
      <c r="AT19">
        <v>2.4341233333333299</v>
      </c>
      <c r="AU19">
        <v>375.00673333333299</v>
      </c>
      <c r="AV19">
        <v>13.169866666666699</v>
      </c>
      <c r="AW19">
        <v>1.5594539999999999</v>
      </c>
      <c r="AX19">
        <v>1.31619</v>
      </c>
      <c r="AY19">
        <v>13.563826666666699</v>
      </c>
      <c r="AZ19">
        <v>10.9849333333333</v>
      </c>
      <c r="BA19">
        <v>800.00173333333305</v>
      </c>
      <c r="BB19">
        <v>0.89999326666666601</v>
      </c>
      <c r="BC19">
        <v>0</v>
      </c>
      <c r="BD19">
        <v>0.100006733333333</v>
      </c>
      <c r="BE19">
        <v>0</v>
      </c>
      <c r="BF19">
        <v>25</v>
      </c>
      <c r="BG19">
        <v>13191.02</v>
      </c>
      <c r="BH19">
        <v>1771103183.0999999</v>
      </c>
      <c r="BI19" t="s">
        <v>302</v>
      </c>
      <c r="BJ19">
        <v>1771102570.0999999</v>
      </c>
      <c r="BK19">
        <v>1771103183.0999999</v>
      </c>
      <c r="BL19">
        <v>11</v>
      </c>
      <c r="BM19">
        <v>5.8999999999999997E-2</v>
      </c>
      <c r="BN19">
        <v>-1.2E-2</v>
      </c>
      <c r="BO19">
        <v>-0.70199999999999996</v>
      </c>
      <c r="BP19">
        <v>4.7E-2</v>
      </c>
      <c r="BQ19">
        <v>1000</v>
      </c>
      <c r="BR19">
        <v>13</v>
      </c>
      <c r="BS19">
        <v>0.32</v>
      </c>
      <c r="BT19">
        <v>0.03</v>
      </c>
      <c r="BU19">
        <v>0.19323731999999999</v>
      </c>
      <c r="BV19">
        <v>-0.98253255338345902</v>
      </c>
      <c r="BW19">
        <v>9.7790903830722406E-2</v>
      </c>
      <c r="BX19">
        <v>0</v>
      </c>
      <c r="BY19">
        <v>0</v>
      </c>
      <c r="BZ19">
        <v>0</v>
      </c>
      <c r="CA19">
        <v>0</v>
      </c>
      <c r="CB19">
        <v>-1</v>
      </c>
      <c r="CC19">
        <v>2.433487</v>
      </c>
      <c r="CD19">
        <v>-2.4049624060150598E-2</v>
      </c>
      <c r="CE19">
        <v>1.1733722810770701E-2</v>
      </c>
      <c r="CF19">
        <v>1</v>
      </c>
      <c r="CG19">
        <v>1</v>
      </c>
      <c r="CH19">
        <v>2</v>
      </c>
      <c r="CI19" t="s">
        <v>299</v>
      </c>
      <c r="CJ19">
        <v>3.5325199999999999</v>
      </c>
      <c r="CK19">
        <v>2.7011500000000002</v>
      </c>
      <c r="CL19">
        <v>9.1181300000000007E-2</v>
      </c>
      <c r="CM19">
        <v>8.9918200000000004E-2</v>
      </c>
      <c r="CN19">
        <v>8.7542800000000004E-2</v>
      </c>
      <c r="CO19">
        <v>7.6323600000000005E-2</v>
      </c>
      <c r="CP19">
        <v>31838.3</v>
      </c>
      <c r="CQ19">
        <v>28023.200000000001</v>
      </c>
      <c r="CR19">
        <v>32426.400000000001</v>
      </c>
      <c r="CS19">
        <v>30721.8</v>
      </c>
      <c r="CT19">
        <v>40073.699999999997</v>
      </c>
      <c r="CU19">
        <v>39920.800000000003</v>
      </c>
      <c r="CV19">
        <v>47366.8</v>
      </c>
      <c r="CW19">
        <v>46865</v>
      </c>
      <c r="CX19">
        <v>2.6151200000000001</v>
      </c>
      <c r="CY19">
        <v>2.11938</v>
      </c>
      <c r="CZ19">
        <v>0</v>
      </c>
      <c r="DA19">
        <v>0</v>
      </c>
      <c r="DB19">
        <v>999.9</v>
      </c>
      <c r="DC19">
        <v>999.9</v>
      </c>
      <c r="DD19">
        <v>46.234000000000002</v>
      </c>
      <c r="DE19">
        <v>28.591000000000001</v>
      </c>
      <c r="DF19">
        <v>18.1692</v>
      </c>
      <c r="DG19">
        <v>30.5181</v>
      </c>
      <c r="DH19">
        <v>17.023199999999999</v>
      </c>
      <c r="DI19">
        <v>2</v>
      </c>
      <c r="DJ19">
        <v>-7.3225600000000002E-2</v>
      </c>
      <c r="DK19">
        <v>2.0303100000000001</v>
      </c>
      <c r="DL19">
        <v>20.198799999999999</v>
      </c>
      <c r="DM19">
        <v>5.2502399999999998</v>
      </c>
      <c r="DN19">
        <v>12.033899999999999</v>
      </c>
      <c r="DO19">
        <v>4.9673999999999996</v>
      </c>
      <c r="DP19">
        <v>3.2909999999999999</v>
      </c>
      <c r="DQ19">
        <v>607.70000000000005</v>
      </c>
      <c r="DR19">
        <v>9999</v>
      </c>
      <c r="DS19">
        <v>9999</v>
      </c>
      <c r="DT19">
        <v>9999</v>
      </c>
      <c r="DU19">
        <v>1.87117</v>
      </c>
      <c r="DV19">
        <v>1.8761699999999999</v>
      </c>
      <c r="DW19">
        <v>1.87636</v>
      </c>
      <c r="DX19">
        <v>1.88289</v>
      </c>
      <c r="DY19">
        <v>1.87561</v>
      </c>
      <c r="DZ19">
        <v>1.87469</v>
      </c>
      <c r="EA19">
        <v>1.8708800000000001</v>
      </c>
      <c r="EB19">
        <v>1.8746799999999999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-0.70199999999999996</v>
      </c>
      <c r="EQ19">
        <v>4.7E-2</v>
      </c>
      <c r="ER19">
        <v>-0.70181818181811195</v>
      </c>
      <c r="ES19">
        <v>0</v>
      </c>
      <c r="ET19">
        <v>0</v>
      </c>
      <c r="EU19">
        <v>0</v>
      </c>
      <c r="EV19">
        <v>5.8479999999995903E-2</v>
      </c>
      <c r="EW19">
        <v>0</v>
      </c>
      <c r="EX19">
        <v>0</v>
      </c>
      <c r="EY19">
        <v>0</v>
      </c>
      <c r="EZ19">
        <v>-1</v>
      </c>
      <c r="FA19">
        <v>-1</v>
      </c>
      <c r="FB19">
        <v>-1</v>
      </c>
      <c r="FC19">
        <v>-1</v>
      </c>
      <c r="FD19">
        <v>9.8000000000000007</v>
      </c>
      <c r="FE19">
        <v>10.199999999999999</v>
      </c>
      <c r="FF19">
        <v>1.16211</v>
      </c>
      <c r="FG19">
        <v>2.5708000000000002</v>
      </c>
      <c r="FH19">
        <v>2.19604</v>
      </c>
      <c r="FI19">
        <v>2.5756800000000002</v>
      </c>
      <c r="FJ19">
        <v>2.4462899999999999</v>
      </c>
      <c r="FK19">
        <v>2.3156699999999999</v>
      </c>
      <c r="FL19">
        <v>32.886899999999997</v>
      </c>
      <c r="FM19">
        <v>24.14</v>
      </c>
      <c r="FN19">
        <v>19</v>
      </c>
      <c r="FO19">
        <v>867.274</v>
      </c>
      <c r="FP19">
        <v>574.42999999999995</v>
      </c>
      <c r="FQ19">
        <v>18.271799999999999</v>
      </c>
      <c r="FR19">
        <v>26.076599999999999</v>
      </c>
      <c r="FS19">
        <v>30.0002</v>
      </c>
      <c r="FT19">
        <v>26.073</v>
      </c>
      <c r="FU19">
        <v>26.0746</v>
      </c>
      <c r="FV19">
        <v>23.315999999999999</v>
      </c>
      <c r="FW19">
        <v>31.6569</v>
      </c>
      <c r="FX19">
        <v>37.210999999999999</v>
      </c>
      <c r="FY19">
        <v>18.294699999999999</v>
      </c>
      <c r="FZ19">
        <v>375</v>
      </c>
      <c r="GA19">
        <v>13.0723</v>
      </c>
      <c r="GB19">
        <v>99.799400000000006</v>
      </c>
      <c r="GC19">
        <v>99.754400000000004</v>
      </c>
    </row>
    <row r="20" spans="1:185" x14ac:dyDescent="0.2">
      <c r="A20">
        <v>5</v>
      </c>
      <c r="B20">
        <v>1771103185.0999999</v>
      </c>
      <c r="C20">
        <v>72</v>
      </c>
      <c r="D20" t="s">
        <v>303</v>
      </c>
      <c r="E20" t="s">
        <v>304</v>
      </c>
      <c r="F20">
        <v>15</v>
      </c>
      <c r="G20">
        <v>1771103184.0999999</v>
      </c>
      <c r="H20">
        <f t="shared" si="0"/>
        <v>-1.0538307948034735E-6</v>
      </c>
      <c r="I20">
        <v>0</v>
      </c>
      <c r="J20">
        <f t="shared" si="12"/>
        <v>6.0372518993970757E-4</v>
      </c>
      <c r="K20">
        <f t="shared" si="1"/>
        <v>1.0795363624717396E-2</v>
      </c>
      <c r="L20">
        <f t="shared" si="2"/>
        <v>59.404559840626128</v>
      </c>
      <c r="M20">
        <f t="shared" si="3"/>
        <v>1.3111390049053</v>
      </c>
      <c r="N20">
        <f t="shared" si="4"/>
        <v>2.2071352913360474</v>
      </c>
      <c r="O20">
        <v>470</v>
      </c>
      <c r="P20">
        <v>59</v>
      </c>
      <c r="Q20">
        <f t="shared" si="5"/>
        <v>1</v>
      </c>
      <c r="R20">
        <f t="shared" si="6"/>
        <v>0</v>
      </c>
      <c r="S20">
        <f t="shared" si="7"/>
        <v>26171.4737251843</v>
      </c>
      <c r="T20">
        <f t="shared" si="8"/>
        <v>800.00300000000004</v>
      </c>
      <c r="U20">
        <f t="shared" si="9"/>
        <v>674.40226499901007</v>
      </c>
      <c r="V20">
        <f t="shared" si="10"/>
        <v>0.84299966999999998</v>
      </c>
      <c r="W20">
        <f t="shared" si="11"/>
        <v>0.15870112380000001</v>
      </c>
      <c r="X20">
        <v>1</v>
      </c>
      <c r="Y20">
        <v>1771103184.0999999</v>
      </c>
      <c r="Z20">
        <v>375.02</v>
      </c>
      <c r="AA20">
        <v>375.03300000000002</v>
      </c>
      <c r="AB20">
        <v>13.109500000000001</v>
      </c>
      <c r="AC20">
        <v>13.110799999999999</v>
      </c>
      <c r="AD20">
        <v>375.72399999999999</v>
      </c>
      <c r="AE20">
        <v>13.0625</v>
      </c>
      <c r="AF20">
        <v>800.01199999999994</v>
      </c>
      <c r="AG20">
        <v>99.938500000000005</v>
      </c>
      <c r="AH20">
        <v>7.5917399999999996E-2</v>
      </c>
      <c r="AI20">
        <v>19.014199999999999</v>
      </c>
      <c r="AJ20">
        <v>999.9</v>
      </c>
      <c r="AK20">
        <v>999.9</v>
      </c>
      <c r="AL20">
        <v>0</v>
      </c>
      <c r="AM20">
        <v>0</v>
      </c>
      <c r="AN20">
        <v>4994.5</v>
      </c>
      <c r="AO20">
        <v>0</v>
      </c>
      <c r="AP20">
        <v>1.64863</v>
      </c>
      <c r="AQ20">
        <v>-1.16577E-2</v>
      </c>
      <c r="AR20">
        <v>380.00299999999999</v>
      </c>
      <c r="AS20">
        <v>380.01600000000002</v>
      </c>
      <c r="AT20">
        <v>-1.26362E-3</v>
      </c>
      <c r="AU20">
        <v>375.03300000000002</v>
      </c>
      <c r="AV20">
        <v>13.110799999999999</v>
      </c>
      <c r="AW20">
        <v>1.3101400000000001</v>
      </c>
      <c r="AX20">
        <v>1.31027</v>
      </c>
      <c r="AY20">
        <v>10.915699999999999</v>
      </c>
      <c r="AZ20">
        <v>10.917199999999999</v>
      </c>
      <c r="BA20">
        <v>800.00300000000004</v>
      </c>
      <c r="BB20">
        <v>0.89998199999999995</v>
      </c>
      <c r="BC20">
        <v>0</v>
      </c>
      <c r="BD20">
        <v>0.10001699999999999</v>
      </c>
      <c r="BE20">
        <v>0</v>
      </c>
      <c r="BF20">
        <v>25</v>
      </c>
      <c r="BG20">
        <v>13191</v>
      </c>
      <c r="BH20">
        <v>1771103205.0999999</v>
      </c>
      <c r="BI20" t="s">
        <v>305</v>
      </c>
      <c r="BJ20">
        <v>1771103205.0999999</v>
      </c>
      <c r="BK20">
        <v>1771103183.0999999</v>
      </c>
      <c r="BL20">
        <v>12</v>
      </c>
      <c r="BM20">
        <v>-2E-3</v>
      </c>
      <c r="BN20">
        <v>-1.2E-2</v>
      </c>
      <c r="BO20">
        <v>-0.70399999999999996</v>
      </c>
      <c r="BP20">
        <v>4.7E-2</v>
      </c>
      <c r="BQ20">
        <v>375</v>
      </c>
      <c r="BR20">
        <v>13</v>
      </c>
      <c r="BS20">
        <v>0.1</v>
      </c>
      <c r="BT20">
        <v>0.03</v>
      </c>
      <c r="BU20">
        <v>2.97822528571429E-2</v>
      </c>
      <c r="BV20">
        <v>-1.94591251948051E-2</v>
      </c>
      <c r="BW20">
        <v>2.00373239899404E-2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4.1431384761904798E-2</v>
      </c>
      <c r="CD20">
        <v>-0.48959167792207697</v>
      </c>
      <c r="CE20">
        <v>0.105164073356678</v>
      </c>
      <c r="CF20">
        <v>0</v>
      </c>
      <c r="CG20">
        <v>1</v>
      </c>
      <c r="CH20">
        <v>2</v>
      </c>
      <c r="CI20" t="s">
        <v>299</v>
      </c>
      <c r="CJ20">
        <v>3.5343300000000002</v>
      </c>
      <c r="CK20">
        <v>2.7120700000000002</v>
      </c>
      <c r="CL20">
        <v>9.1146400000000002E-2</v>
      </c>
      <c r="CM20">
        <v>8.9918899999999996E-2</v>
      </c>
      <c r="CN20">
        <v>7.7578400000000006E-2</v>
      </c>
      <c r="CO20">
        <v>7.6254600000000006E-2</v>
      </c>
      <c r="CP20">
        <v>31838.6</v>
      </c>
      <c r="CQ20">
        <v>28021.9</v>
      </c>
      <c r="CR20">
        <v>32425.7</v>
      </c>
      <c r="CS20">
        <v>30720.3</v>
      </c>
      <c r="CT20">
        <v>40522.6</v>
      </c>
      <c r="CU20">
        <v>39922.199999999997</v>
      </c>
      <c r="CV20">
        <v>47365.9</v>
      </c>
      <c r="CW20">
        <v>46863.1</v>
      </c>
      <c r="CX20">
        <v>1.69882</v>
      </c>
      <c r="CY20">
        <v>1.61202</v>
      </c>
      <c r="CZ20">
        <v>0</v>
      </c>
      <c r="DA20">
        <v>0</v>
      </c>
      <c r="DB20">
        <v>999.9</v>
      </c>
      <c r="DC20">
        <v>999.9</v>
      </c>
      <c r="DD20">
        <v>46.185000000000002</v>
      </c>
      <c r="DE20">
        <v>28.591000000000001</v>
      </c>
      <c r="DF20">
        <v>18.149100000000001</v>
      </c>
      <c r="DG20">
        <v>30.458100000000002</v>
      </c>
      <c r="DH20">
        <v>17.243600000000001</v>
      </c>
      <c r="DI20">
        <v>2</v>
      </c>
      <c r="DJ20">
        <v>-6.7168699999999998E-2</v>
      </c>
      <c r="DK20">
        <v>3.2117200000000001</v>
      </c>
      <c r="DL20">
        <v>20.1739</v>
      </c>
      <c r="DM20">
        <v>5.2431700000000001</v>
      </c>
      <c r="DN20">
        <v>12.033899999999999</v>
      </c>
      <c r="DO20">
        <v>4.9657999999999998</v>
      </c>
      <c r="DP20">
        <v>3.2898800000000001</v>
      </c>
      <c r="DQ20">
        <v>607.70000000000005</v>
      </c>
      <c r="DR20">
        <v>9999</v>
      </c>
      <c r="DS20">
        <v>9999</v>
      </c>
      <c r="DT20">
        <v>9999</v>
      </c>
      <c r="DU20">
        <v>1.87117</v>
      </c>
      <c r="DV20">
        <v>1.8761699999999999</v>
      </c>
      <c r="DW20">
        <v>1.8763700000000001</v>
      </c>
      <c r="DX20">
        <v>1.8828499999999999</v>
      </c>
      <c r="DY20">
        <v>1.8756200000000001</v>
      </c>
      <c r="DZ20">
        <v>1.87469</v>
      </c>
      <c r="EA20">
        <v>1.87087</v>
      </c>
      <c r="EB20">
        <v>1.8746700000000001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-0.70399999999999996</v>
      </c>
      <c r="EQ20">
        <v>4.7E-2</v>
      </c>
      <c r="ER20">
        <v>-0.70181818181811195</v>
      </c>
      <c r="ES20">
        <v>0</v>
      </c>
      <c r="ET20">
        <v>0</v>
      </c>
      <c r="EU20">
        <v>0</v>
      </c>
      <c r="EV20">
        <v>4.6972727272725799E-2</v>
      </c>
      <c r="EW20">
        <v>0</v>
      </c>
      <c r="EX20">
        <v>0</v>
      </c>
      <c r="EY20">
        <v>0</v>
      </c>
      <c r="EZ20">
        <v>-1</v>
      </c>
      <c r="FA20">
        <v>-1</v>
      </c>
      <c r="FB20">
        <v>-1</v>
      </c>
      <c r="FC20">
        <v>-1</v>
      </c>
      <c r="FD20">
        <v>10.199999999999999</v>
      </c>
      <c r="FE20">
        <v>0</v>
      </c>
      <c r="FF20">
        <v>1.16089</v>
      </c>
      <c r="FG20">
        <v>2.5854499999999998</v>
      </c>
      <c r="FH20">
        <v>2.19604</v>
      </c>
      <c r="FI20">
        <v>2.5756800000000002</v>
      </c>
      <c r="FJ20">
        <v>2.4462899999999999</v>
      </c>
      <c r="FK20">
        <v>2.2619600000000002</v>
      </c>
      <c r="FL20">
        <v>32.886899999999997</v>
      </c>
      <c r="FM20">
        <v>24.096299999999999</v>
      </c>
      <c r="FN20">
        <v>19</v>
      </c>
      <c r="FO20">
        <v>309.64400000000001</v>
      </c>
      <c r="FP20">
        <v>285.988</v>
      </c>
      <c r="FQ20">
        <v>17.738499999999998</v>
      </c>
      <c r="FR20">
        <v>26.075800000000001</v>
      </c>
      <c r="FS20">
        <v>30</v>
      </c>
      <c r="FT20">
        <v>26.0884</v>
      </c>
      <c r="FU20">
        <v>26.09</v>
      </c>
      <c r="FV20">
        <v>23.315999999999999</v>
      </c>
      <c r="FW20">
        <v>27.131599999999999</v>
      </c>
      <c r="FX20">
        <v>37.210999999999999</v>
      </c>
      <c r="FY20">
        <v>17.770700000000001</v>
      </c>
      <c r="FZ20">
        <v>375</v>
      </c>
      <c r="GA20">
        <v>14.241</v>
      </c>
      <c r="GB20">
        <v>99.797300000000007</v>
      </c>
      <c r="GC20">
        <v>99.75</v>
      </c>
    </row>
    <row r="21" spans="1:185" x14ac:dyDescent="0.2">
      <c r="A21">
        <v>6</v>
      </c>
      <c r="B21">
        <v>1771103207.0999999</v>
      </c>
      <c r="C21">
        <v>94</v>
      </c>
      <c r="D21" t="s">
        <v>306</v>
      </c>
      <c r="E21" t="s">
        <v>307</v>
      </c>
      <c r="F21">
        <v>15</v>
      </c>
      <c r="G21">
        <v>1771103206.0999999</v>
      </c>
      <c r="H21">
        <f t="shared" si="0"/>
        <v>-2.1579573722739213E-5</v>
      </c>
      <c r="I21">
        <v>0</v>
      </c>
      <c r="J21">
        <f t="shared" si="12"/>
        <v>8.1016636871571049E-4</v>
      </c>
      <c r="K21">
        <f t="shared" si="1"/>
        <v>1.4486790832226839E-2</v>
      </c>
      <c r="L21">
        <f t="shared" si="2"/>
        <v>63.177634514052983</v>
      </c>
      <c r="M21">
        <f t="shared" si="3"/>
        <v>1.3911391227975798</v>
      </c>
      <c r="N21">
        <f t="shared" si="4"/>
        <v>2.2019487331203265</v>
      </c>
      <c r="O21">
        <v>467</v>
      </c>
      <c r="P21">
        <v>58</v>
      </c>
      <c r="Q21">
        <f t="shared" si="5"/>
        <v>1</v>
      </c>
      <c r="R21">
        <f t="shared" si="6"/>
        <v>0</v>
      </c>
      <c r="S21">
        <f t="shared" si="7"/>
        <v>26165.708874583892</v>
      </c>
      <c r="T21">
        <f t="shared" si="8"/>
        <v>799.99599999999998</v>
      </c>
      <c r="U21">
        <f t="shared" si="9"/>
        <v>674.39703599795996</v>
      </c>
      <c r="V21">
        <f t="shared" si="10"/>
        <v>0.84300050999999998</v>
      </c>
      <c r="W21">
        <f t="shared" si="11"/>
        <v>0.158701275</v>
      </c>
      <c r="X21">
        <v>1</v>
      </c>
      <c r="Y21">
        <v>1771103206.0999999</v>
      </c>
      <c r="Z21">
        <v>374.75099999999998</v>
      </c>
      <c r="AA21">
        <v>374.75900000000001</v>
      </c>
      <c r="AB21">
        <v>13.9094</v>
      </c>
      <c r="AC21">
        <v>13.936</v>
      </c>
      <c r="AD21">
        <v>375.45499999999998</v>
      </c>
      <c r="AE21">
        <v>13.862399999999999</v>
      </c>
      <c r="AF21">
        <v>799.97799999999995</v>
      </c>
      <c r="AG21">
        <v>99.938299999999998</v>
      </c>
      <c r="AH21">
        <v>7.6015700000000005E-2</v>
      </c>
      <c r="AI21">
        <v>18.976500000000001</v>
      </c>
      <c r="AJ21">
        <v>999.9</v>
      </c>
      <c r="AK21">
        <v>999.9</v>
      </c>
      <c r="AL21">
        <v>0</v>
      </c>
      <c r="AM21">
        <v>0</v>
      </c>
      <c r="AN21">
        <v>4993</v>
      </c>
      <c r="AO21">
        <v>0</v>
      </c>
      <c r="AP21">
        <v>1.63733</v>
      </c>
      <c r="AQ21">
        <v>-7.9345700000000002E-3</v>
      </c>
      <c r="AR21">
        <v>380.03699999999998</v>
      </c>
      <c r="AS21">
        <v>380.05500000000001</v>
      </c>
      <c r="AT21">
        <v>-2.66418E-2</v>
      </c>
      <c r="AU21">
        <v>374.75900000000001</v>
      </c>
      <c r="AV21">
        <v>13.936</v>
      </c>
      <c r="AW21">
        <v>1.39008</v>
      </c>
      <c r="AX21">
        <v>1.3927400000000001</v>
      </c>
      <c r="AY21">
        <v>11.809900000000001</v>
      </c>
      <c r="AZ21">
        <v>11.838900000000001</v>
      </c>
      <c r="BA21">
        <v>799.99599999999998</v>
      </c>
      <c r="BB21">
        <v>0.89998299999999998</v>
      </c>
      <c r="BC21">
        <v>0</v>
      </c>
      <c r="BD21">
        <v>0.10001699999999999</v>
      </c>
      <c r="BE21">
        <v>0</v>
      </c>
      <c r="BF21">
        <v>25</v>
      </c>
      <c r="BG21">
        <v>13190.9</v>
      </c>
      <c r="BH21">
        <v>1771103205.0999999</v>
      </c>
      <c r="BI21" t="s">
        <v>305</v>
      </c>
      <c r="BJ21">
        <v>1771103205.0999999</v>
      </c>
      <c r="BK21">
        <v>1771103183.0999999</v>
      </c>
      <c r="BL21">
        <v>12</v>
      </c>
      <c r="BM21">
        <v>-2E-3</v>
      </c>
      <c r="BN21">
        <v>-1.2E-2</v>
      </c>
      <c r="BO21">
        <v>-0.70399999999999996</v>
      </c>
      <c r="BP21">
        <v>4.7E-2</v>
      </c>
      <c r="BQ21">
        <v>375</v>
      </c>
      <c r="BR21">
        <v>13</v>
      </c>
      <c r="BS21">
        <v>0.1</v>
      </c>
      <c r="BT21">
        <v>0.03</v>
      </c>
      <c r="BU21">
        <v>5.9759214714285698E-2</v>
      </c>
      <c r="BV21">
        <v>-0.64862130631168802</v>
      </c>
      <c r="BW21">
        <v>8.5044240428586798E-2</v>
      </c>
      <c r="BX21">
        <v>0</v>
      </c>
      <c r="BY21">
        <v>0</v>
      </c>
      <c r="BZ21">
        <v>0</v>
      </c>
      <c r="CA21">
        <v>0</v>
      </c>
      <c r="CB21">
        <v>-1</v>
      </c>
      <c r="CC21">
        <v>0.177730776190476</v>
      </c>
      <c r="CD21">
        <v>-2.56604378181818</v>
      </c>
      <c r="CE21">
        <v>0.33727464308938399</v>
      </c>
      <c r="CF21">
        <v>0</v>
      </c>
      <c r="CG21">
        <v>0</v>
      </c>
      <c r="CH21">
        <v>2</v>
      </c>
      <c r="CI21" t="s">
        <v>290</v>
      </c>
      <c r="CJ21">
        <v>3.5337900000000002</v>
      </c>
      <c r="CK21">
        <v>2.7122700000000002</v>
      </c>
      <c r="CL21">
        <v>9.1104199999999996E-2</v>
      </c>
      <c r="CM21">
        <v>8.98756E-2</v>
      </c>
      <c r="CN21">
        <v>8.1037499999999998E-2</v>
      </c>
      <c r="CO21">
        <v>7.9805899999999999E-2</v>
      </c>
      <c r="CP21">
        <v>31842.1</v>
      </c>
      <c r="CQ21">
        <v>28024.9</v>
      </c>
      <c r="CR21">
        <v>32427.599999999999</v>
      </c>
      <c r="CS21">
        <v>30722.1</v>
      </c>
      <c r="CT21">
        <v>40369</v>
      </c>
      <c r="CU21">
        <v>39767.300000000003</v>
      </c>
      <c r="CV21">
        <v>47368.7</v>
      </c>
      <c r="CW21">
        <v>46865.7</v>
      </c>
      <c r="CX21">
        <v>1.70536</v>
      </c>
      <c r="CY21">
        <v>1.60504</v>
      </c>
      <c r="CZ21">
        <v>0</v>
      </c>
      <c r="DA21">
        <v>0</v>
      </c>
      <c r="DB21">
        <v>999.9</v>
      </c>
      <c r="DC21">
        <v>999.9</v>
      </c>
      <c r="DD21">
        <v>46.16</v>
      </c>
      <c r="DE21">
        <v>28.591000000000001</v>
      </c>
      <c r="DF21">
        <v>18.14</v>
      </c>
      <c r="DG21">
        <v>30.618099999999998</v>
      </c>
      <c r="DH21">
        <v>17.560099999999998</v>
      </c>
      <c r="DI21">
        <v>2</v>
      </c>
      <c r="DJ21">
        <v>-7.0943099999999995E-2</v>
      </c>
      <c r="DK21">
        <v>2.67746</v>
      </c>
      <c r="DL21">
        <v>20.186199999999999</v>
      </c>
      <c r="DM21">
        <v>5.2437699999999996</v>
      </c>
      <c r="DN21">
        <v>12.033899999999999</v>
      </c>
      <c r="DO21">
        <v>4.9659199999999997</v>
      </c>
      <c r="DP21">
        <v>3.2899400000000001</v>
      </c>
      <c r="DQ21">
        <v>607.70000000000005</v>
      </c>
      <c r="DR21">
        <v>9999</v>
      </c>
      <c r="DS21">
        <v>9999</v>
      </c>
      <c r="DT21">
        <v>9999</v>
      </c>
      <c r="DU21">
        <v>1.8711899999999999</v>
      </c>
      <c r="DV21">
        <v>1.8762099999999999</v>
      </c>
      <c r="DW21">
        <v>1.8763700000000001</v>
      </c>
      <c r="DX21">
        <v>1.8829199999999999</v>
      </c>
      <c r="DY21">
        <v>1.8756200000000001</v>
      </c>
      <c r="DZ21">
        <v>1.87469</v>
      </c>
      <c r="EA21">
        <v>1.8708800000000001</v>
      </c>
      <c r="EB21">
        <v>1.87469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-0.70399999999999996</v>
      </c>
      <c r="EQ21">
        <v>4.7E-2</v>
      </c>
      <c r="ER21">
        <v>-0.704300000000046</v>
      </c>
      <c r="ES21">
        <v>0</v>
      </c>
      <c r="ET21">
        <v>0</v>
      </c>
      <c r="EU21">
        <v>0</v>
      </c>
      <c r="EV21">
        <v>4.6972727272725799E-2</v>
      </c>
      <c r="EW21">
        <v>0</v>
      </c>
      <c r="EX21">
        <v>0</v>
      </c>
      <c r="EY21">
        <v>0</v>
      </c>
      <c r="EZ21">
        <v>-1</v>
      </c>
      <c r="FA21">
        <v>-1</v>
      </c>
      <c r="FB21">
        <v>-1</v>
      </c>
      <c r="FC21">
        <v>-1</v>
      </c>
      <c r="FD21">
        <v>0</v>
      </c>
      <c r="FE21">
        <v>0.4</v>
      </c>
      <c r="FF21">
        <v>1.16211</v>
      </c>
      <c r="FG21">
        <v>2.5830099999999998</v>
      </c>
      <c r="FH21">
        <v>2.19604</v>
      </c>
      <c r="FI21">
        <v>2.5756800000000002</v>
      </c>
      <c r="FJ21">
        <v>2.4462899999999999</v>
      </c>
      <c r="FK21">
        <v>2.2656200000000002</v>
      </c>
      <c r="FL21">
        <v>32.909199999999998</v>
      </c>
      <c r="FM21">
        <v>24.096299999999999</v>
      </c>
      <c r="FN21">
        <v>19</v>
      </c>
      <c r="FO21">
        <v>311.98099999999999</v>
      </c>
      <c r="FP21">
        <v>282.92</v>
      </c>
      <c r="FQ21">
        <v>17.765499999999999</v>
      </c>
      <c r="FR21">
        <v>26.076599999999999</v>
      </c>
      <c r="FS21">
        <v>29.999700000000001</v>
      </c>
      <c r="FT21">
        <v>26.0928</v>
      </c>
      <c r="FU21">
        <v>26.092199999999998</v>
      </c>
      <c r="FV21">
        <v>23.320799999999998</v>
      </c>
      <c r="FW21">
        <v>29.093800000000002</v>
      </c>
      <c r="FX21">
        <v>37.210999999999999</v>
      </c>
      <c r="FY21">
        <v>17.790700000000001</v>
      </c>
      <c r="FZ21">
        <v>375</v>
      </c>
      <c r="GA21">
        <v>13.863799999999999</v>
      </c>
      <c r="GB21">
        <v>99.803200000000004</v>
      </c>
      <c r="GC21">
        <v>99.755700000000004</v>
      </c>
    </row>
    <row r="22" spans="1:185" x14ac:dyDescent="0.2">
      <c r="A22">
        <v>7</v>
      </c>
      <c r="B22">
        <v>1771103222.0999999</v>
      </c>
      <c r="C22">
        <v>109</v>
      </c>
      <c r="D22" t="s">
        <v>308</v>
      </c>
      <c r="E22" t="s">
        <v>309</v>
      </c>
      <c r="F22">
        <v>15</v>
      </c>
      <c r="G22">
        <v>1771103214.03333</v>
      </c>
      <c r="H22">
        <f t="shared" si="0"/>
        <v>1.479764120383961E-3</v>
      </c>
      <c r="I22">
        <v>0</v>
      </c>
      <c r="J22">
        <f t="shared" si="12"/>
        <v>-2.454846332824508E-2</v>
      </c>
      <c r="K22">
        <f t="shared" si="1"/>
        <v>-0.43895731447434172</v>
      </c>
      <c r="L22">
        <f t="shared" si="2"/>
        <v>69.505387747708156</v>
      </c>
      <c r="M22">
        <f t="shared" si="3"/>
        <v>1.530122152057833</v>
      </c>
      <c r="N22">
        <f t="shared" si="4"/>
        <v>2.2014439479309091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26247.643130943052</v>
      </c>
      <c r="T22">
        <f t="shared" si="8"/>
        <v>799.995</v>
      </c>
      <c r="U22">
        <f t="shared" si="9"/>
        <v>674.39583779966961</v>
      </c>
      <c r="V22">
        <f t="shared" si="10"/>
        <v>0.84300006599999944</v>
      </c>
      <c r="W22">
        <f t="shared" si="11"/>
        <v>0.15870042483999985</v>
      </c>
      <c r="X22">
        <v>1</v>
      </c>
      <c r="Y22">
        <v>1771103214.03333</v>
      </c>
      <c r="Z22">
        <v>374.81799999999998</v>
      </c>
      <c r="AA22">
        <v>374.962533333333</v>
      </c>
      <c r="AB22">
        <v>15.3005</v>
      </c>
      <c r="AC22">
        <v>13.4800133333333</v>
      </c>
      <c r="AD22">
        <v>375.52260000000001</v>
      </c>
      <c r="AE22">
        <v>15.253539999999999</v>
      </c>
      <c r="AF22">
        <v>800.40300000000002</v>
      </c>
      <c r="AG22">
        <v>99.939053333333305</v>
      </c>
      <c r="AH22">
        <v>6.5662333333333295E-2</v>
      </c>
      <c r="AI22">
        <v>18.972826666666698</v>
      </c>
      <c r="AJ22">
        <v>999.9</v>
      </c>
      <c r="AK22">
        <v>999.9</v>
      </c>
      <c r="AL22">
        <v>0</v>
      </c>
      <c r="AM22">
        <v>0</v>
      </c>
      <c r="AN22">
        <v>5006.4333333333298</v>
      </c>
      <c r="AO22">
        <v>0</v>
      </c>
      <c r="AP22">
        <v>1.6441826666666699</v>
      </c>
      <c r="AQ22">
        <v>-0.144354171333333</v>
      </c>
      <c r="AR22">
        <v>380.642333333333</v>
      </c>
      <c r="AS22">
        <v>380.08606666666702</v>
      </c>
      <c r="AT22">
        <v>1.82049194666667</v>
      </c>
      <c r="AU22">
        <v>374.962533333333</v>
      </c>
      <c r="AV22">
        <v>13.4800133333333</v>
      </c>
      <c r="AW22">
        <v>1.5291193333333299</v>
      </c>
      <c r="AX22">
        <v>1.34718</v>
      </c>
      <c r="AY22">
        <v>13.254339999999999</v>
      </c>
      <c r="AZ22">
        <v>11.3330133333333</v>
      </c>
      <c r="BA22">
        <v>799.995</v>
      </c>
      <c r="BB22">
        <v>0.899993933333333</v>
      </c>
      <c r="BC22">
        <v>0</v>
      </c>
      <c r="BD22">
        <v>0.10000593333333301</v>
      </c>
      <c r="BE22">
        <v>0</v>
      </c>
      <c r="BF22">
        <v>25</v>
      </c>
      <c r="BG22">
        <v>13190.92</v>
      </c>
      <c r="BH22">
        <v>1771103205.0999999</v>
      </c>
      <c r="BI22" t="s">
        <v>305</v>
      </c>
      <c r="BJ22">
        <v>1771103205.0999999</v>
      </c>
      <c r="BK22">
        <v>1771103183.0999999</v>
      </c>
      <c r="BL22">
        <v>12</v>
      </c>
      <c r="BM22">
        <v>-2E-3</v>
      </c>
      <c r="BN22">
        <v>-1.2E-2</v>
      </c>
      <c r="BO22">
        <v>-0.70399999999999996</v>
      </c>
      <c r="BP22">
        <v>4.7E-2</v>
      </c>
      <c r="BQ22">
        <v>375</v>
      </c>
      <c r="BR22">
        <v>13</v>
      </c>
      <c r="BS22">
        <v>0.1</v>
      </c>
      <c r="BT22">
        <v>0.03</v>
      </c>
      <c r="BU22">
        <v>-9.7983160999999999E-2</v>
      </c>
      <c r="BV22">
        <v>-0.592559870415585</v>
      </c>
      <c r="BW22">
        <v>9.0207837096519805E-2</v>
      </c>
      <c r="BX22">
        <v>0</v>
      </c>
      <c r="BY22">
        <v>0</v>
      </c>
      <c r="BZ22">
        <v>0</v>
      </c>
      <c r="CA22">
        <v>0</v>
      </c>
      <c r="CB22">
        <v>-1</v>
      </c>
      <c r="CC22">
        <v>1.1878304238095201</v>
      </c>
      <c r="CD22">
        <v>9.8189751350649406</v>
      </c>
      <c r="CE22">
        <v>1.0637358393857099</v>
      </c>
      <c r="CF22">
        <v>0</v>
      </c>
      <c r="CG22">
        <v>0</v>
      </c>
      <c r="CH22">
        <v>2</v>
      </c>
      <c r="CI22" t="s">
        <v>290</v>
      </c>
      <c r="CJ22">
        <v>3.5325500000000001</v>
      </c>
      <c r="CK22">
        <v>2.7015099999999999</v>
      </c>
      <c r="CL22">
        <v>9.1136099999999998E-2</v>
      </c>
      <c r="CM22">
        <v>8.9912699999999998E-2</v>
      </c>
      <c r="CN22">
        <v>8.75084E-2</v>
      </c>
      <c r="CO22">
        <v>7.6738100000000004E-2</v>
      </c>
      <c r="CP22">
        <v>31840.6</v>
      </c>
      <c r="CQ22">
        <v>28023.599999999999</v>
      </c>
      <c r="CR22">
        <v>32427.1</v>
      </c>
      <c r="CS22">
        <v>30721.9</v>
      </c>
      <c r="CT22">
        <v>40076</v>
      </c>
      <c r="CU22">
        <v>39903.1</v>
      </c>
      <c r="CV22">
        <v>47367.7</v>
      </c>
      <c r="CW22">
        <v>46865.7</v>
      </c>
      <c r="CX22">
        <v>2.6115599999999999</v>
      </c>
      <c r="CY22">
        <v>2.1182400000000001</v>
      </c>
      <c r="CZ22">
        <v>0</v>
      </c>
      <c r="DA22">
        <v>0</v>
      </c>
      <c r="DB22">
        <v>999.9</v>
      </c>
      <c r="DC22">
        <v>999.9</v>
      </c>
      <c r="DD22">
        <v>46.136000000000003</v>
      </c>
      <c r="DE22">
        <v>28.591000000000001</v>
      </c>
      <c r="DF22">
        <v>18.1312</v>
      </c>
      <c r="DG22">
        <v>30.5581</v>
      </c>
      <c r="DH22">
        <v>16.935099999999998</v>
      </c>
      <c r="DI22">
        <v>2</v>
      </c>
      <c r="DJ22">
        <v>-7.1258100000000005E-2</v>
      </c>
      <c r="DK22">
        <v>2.5842399999999999</v>
      </c>
      <c r="DL22">
        <v>20.189699999999998</v>
      </c>
      <c r="DM22">
        <v>5.2490399999999999</v>
      </c>
      <c r="DN22">
        <v>12.033899999999999</v>
      </c>
      <c r="DO22">
        <v>4.9671200000000004</v>
      </c>
      <c r="DP22">
        <v>3.2909999999999999</v>
      </c>
      <c r="DQ22">
        <v>607.70000000000005</v>
      </c>
      <c r="DR22">
        <v>9999</v>
      </c>
      <c r="DS22">
        <v>9999</v>
      </c>
      <c r="DT22">
        <v>9999</v>
      </c>
      <c r="DU22">
        <v>1.8711800000000001</v>
      </c>
      <c r="DV22">
        <v>1.8762000000000001</v>
      </c>
      <c r="DW22">
        <v>1.8763700000000001</v>
      </c>
      <c r="DX22">
        <v>1.8829</v>
      </c>
      <c r="DY22">
        <v>1.8756299999999999</v>
      </c>
      <c r="DZ22">
        <v>1.8747</v>
      </c>
      <c r="EA22">
        <v>1.8708800000000001</v>
      </c>
      <c r="EB22">
        <v>1.87469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-0.70399999999999996</v>
      </c>
      <c r="EQ22">
        <v>4.7E-2</v>
      </c>
      <c r="ER22">
        <v>-0.704300000000046</v>
      </c>
      <c r="ES22">
        <v>0</v>
      </c>
      <c r="ET22">
        <v>0</v>
      </c>
      <c r="EU22">
        <v>0</v>
      </c>
      <c r="EV22">
        <v>4.6972727272725799E-2</v>
      </c>
      <c r="EW22">
        <v>0</v>
      </c>
      <c r="EX22">
        <v>0</v>
      </c>
      <c r="EY22">
        <v>0</v>
      </c>
      <c r="EZ22">
        <v>-1</v>
      </c>
      <c r="FA22">
        <v>-1</v>
      </c>
      <c r="FB22">
        <v>-1</v>
      </c>
      <c r="FC22">
        <v>-1</v>
      </c>
      <c r="FD22">
        <v>0.3</v>
      </c>
      <c r="FE22">
        <v>0.7</v>
      </c>
      <c r="FF22">
        <v>1.16211</v>
      </c>
      <c r="FG22">
        <v>2.5769000000000002</v>
      </c>
      <c r="FH22">
        <v>2.19604</v>
      </c>
      <c r="FI22">
        <v>2.5756800000000002</v>
      </c>
      <c r="FJ22">
        <v>2.4462899999999999</v>
      </c>
      <c r="FK22">
        <v>2.3071299999999999</v>
      </c>
      <c r="FL22">
        <v>32.909199999999998</v>
      </c>
      <c r="FM22">
        <v>24.14</v>
      </c>
      <c r="FN22">
        <v>19</v>
      </c>
      <c r="FO22">
        <v>864.03700000000003</v>
      </c>
      <c r="FP22">
        <v>573.58000000000004</v>
      </c>
      <c r="FQ22">
        <v>17.822600000000001</v>
      </c>
      <c r="FR22">
        <v>26.076599999999999</v>
      </c>
      <c r="FS22">
        <v>30</v>
      </c>
      <c r="FT22">
        <v>26.078199999999999</v>
      </c>
      <c r="FU22">
        <v>26.076799999999999</v>
      </c>
      <c r="FV22">
        <v>23.3187</v>
      </c>
      <c r="FW22">
        <v>30.9392</v>
      </c>
      <c r="FX22">
        <v>36.839300000000001</v>
      </c>
      <c r="FY22">
        <v>17.848400000000002</v>
      </c>
      <c r="FZ22">
        <v>375</v>
      </c>
      <c r="GA22">
        <v>13.2379</v>
      </c>
      <c r="GB22">
        <v>99.801400000000001</v>
      </c>
      <c r="GC22">
        <v>99.755499999999998</v>
      </c>
    </row>
    <row r="23" spans="1:185" x14ac:dyDescent="0.2">
      <c r="A23">
        <v>8</v>
      </c>
      <c r="B23">
        <v>1771103237.0999999</v>
      </c>
      <c r="C23">
        <v>124</v>
      </c>
      <c r="D23" t="s">
        <v>310</v>
      </c>
      <c r="E23" t="s">
        <v>311</v>
      </c>
      <c r="F23">
        <v>15</v>
      </c>
      <c r="G23">
        <v>1771103229.03333</v>
      </c>
      <c r="H23">
        <f t="shared" si="0"/>
        <v>1.8263375629555482E-3</v>
      </c>
      <c r="I23">
        <v>0</v>
      </c>
      <c r="J23">
        <f t="shared" si="12"/>
        <v>-3.3196501566480845E-2</v>
      </c>
      <c r="K23">
        <f t="shared" si="1"/>
        <v>-0.59359508506585701</v>
      </c>
      <c r="L23">
        <f t="shared" si="2"/>
        <v>70.131870269552707</v>
      </c>
      <c r="M23">
        <f t="shared" si="3"/>
        <v>1.5437557825805874</v>
      </c>
      <c r="N23">
        <f t="shared" si="4"/>
        <v>2.2012186138016041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26217.477997693197</v>
      </c>
      <c r="T23">
        <f t="shared" si="8"/>
        <v>800.00173333333305</v>
      </c>
      <c r="U23">
        <f t="shared" si="9"/>
        <v>674.40160040030128</v>
      </c>
      <c r="V23">
        <f t="shared" si="10"/>
        <v>0.84300017399999994</v>
      </c>
      <c r="W23">
        <f t="shared" si="11"/>
        <v>0.158700435</v>
      </c>
      <c r="X23">
        <v>1</v>
      </c>
      <c r="Y23">
        <v>1771103229.03333</v>
      </c>
      <c r="Z23">
        <v>374.868066666667</v>
      </c>
      <c r="AA23">
        <v>374.98186666666697</v>
      </c>
      <c r="AB23">
        <v>15.437146666666701</v>
      </c>
      <c r="AC23">
        <v>13.18948</v>
      </c>
      <c r="AD23">
        <v>375.57233333333301</v>
      </c>
      <c r="AE23">
        <v>15.390180000000001</v>
      </c>
      <c r="AF23">
        <v>800.00480000000005</v>
      </c>
      <c r="AG23">
        <v>99.9389933333333</v>
      </c>
      <c r="AH23">
        <v>6.3670106666666698E-2</v>
      </c>
      <c r="AI23">
        <v>18.9711866666667</v>
      </c>
      <c r="AJ23">
        <v>999.9</v>
      </c>
      <c r="AK23">
        <v>999.9</v>
      </c>
      <c r="AL23">
        <v>0</v>
      </c>
      <c r="AM23">
        <v>0</v>
      </c>
      <c r="AN23">
        <v>5001.4333333333298</v>
      </c>
      <c r="AO23">
        <v>0</v>
      </c>
      <c r="AP23">
        <v>1.63733</v>
      </c>
      <c r="AQ23">
        <v>-0.1137695</v>
      </c>
      <c r="AR23">
        <v>380.74566666666698</v>
      </c>
      <c r="AS23">
        <v>379.99366666666702</v>
      </c>
      <c r="AT23">
        <v>2.2476799999999999</v>
      </c>
      <c r="AU23">
        <v>374.98186666666697</v>
      </c>
      <c r="AV23">
        <v>13.18948</v>
      </c>
      <c r="AW23">
        <v>1.5427740000000001</v>
      </c>
      <c r="AX23">
        <v>1.31814266666667</v>
      </c>
      <c r="AY23">
        <v>13.39874</v>
      </c>
      <c r="AZ23">
        <v>11.00732</v>
      </c>
      <c r="BA23">
        <v>800.00173333333305</v>
      </c>
      <c r="BB23">
        <v>0.89999419999999997</v>
      </c>
      <c r="BC23">
        <v>0</v>
      </c>
      <c r="BD23">
        <v>0.10000580000000001</v>
      </c>
      <c r="BE23">
        <v>0</v>
      </c>
      <c r="BF23">
        <v>25</v>
      </c>
      <c r="BG23">
        <v>13191.02</v>
      </c>
      <c r="BH23">
        <v>1771103205.0999999</v>
      </c>
      <c r="BI23" t="s">
        <v>305</v>
      </c>
      <c r="BJ23">
        <v>1771103205.0999999</v>
      </c>
      <c r="BK23">
        <v>1771103183.0999999</v>
      </c>
      <c r="BL23">
        <v>12</v>
      </c>
      <c r="BM23">
        <v>-2E-3</v>
      </c>
      <c r="BN23">
        <v>-1.2E-2</v>
      </c>
      <c r="BO23">
        <v>-0.70399999999999996</v>
      </c>
      <c r="BP23">
        <v>4.7E-2</v>
      </c>
      <c r="BQ23">
        <v>375</v>
      </c>
      <c r="BR23">
        <v>13</v>
      </c>
      <c r="BS23">
        <v>0.1</v>
      </c>
      <c r="BT23">
        <v>0.03</v>
      </c>
      <c r="BU23">
        <v>-0.114477475</v>
      </c>
      <c r="BV23">
        <v>-4.0068699248120399E-2</v>
      </c>
      <c r="BW23">
        <v>2.8967693684929002E-2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2.2703095000000002</v>
      </c>
      <c r="CD23">
        <v>-0.41906571428571499</v>
      </c>
      <c r="CE23">
        <v>4.1555078567486803E-2</v>
      </c>
      <c r="CF23">
        <v>0</v>
      </c>
      <c r="CG23">
        <v>1</v>
      </c>
      <c r="CH23">
        <v>2</v>
      </c>
      <c r="CI23" t="s">
        <v>299</v>
      </c>
      <c r="CJ23">
        <v>3.5325199999999999</v>
      </c>
      <c r="CK23">
        <v>2.7014200000000002</v>
      </c>
      <c r="CL23">
        <v>9.1139499999999998E-2</v>
      </c>
      <c r="CM23">
        <v>8.9920700000000006E-2</v>
      </c>
      <c r="CN23">
        <v>8.6960599999999999E-2</v>
      </c>
      <c r="CO23">
        <v>7.6627700000000007E-2</v>
      </c>
      <c r="CP23">
        <v>31839.5</v>
      </c>
      <c r="CQ23">
        <v>28023</v>
      </c>
      <c r="CR23">
        <v>32426.1</v>
      </c>
      <c r="CS23">
        <v>30721.599999999999</v>
      </c>
      <c r="CT23">
        <v>40099.5</v>
      </c>
      <c r="CU23">
        <v>39907.599999999999</v>
      </c>
      <c r="CV23">
        <v>47366.3</v>
      </c>
      <c r="CW23">
        <v>46865.3</v>
      </c>
      <c r="CX23">
        <v>2.6137600000000001</v>
      </c>
      <c r="CY23">
        <v>2.1187</v>
      </c>
      <c r="CZ23">
        <v>0</v>
      </c>
      <c r="DA23">
        <v>0</v>
      </c>
      <c r="DB23">
        <v>999.9</v>
      </c>
      <c r="DC23">
        <v>999.9</v>
      </c>
      <c r="DD23">
        <v>46.037999999999997</v>
      </c>
      <c r="DE23">
        <v>28.600999999999999</v>
      </c>
      <c r="DF23">
        <v>18.103899999999999</v>
      </c>
      <c r="DG23">
        <v>30.5581</v>
      </c>
      <c r="DH23">
        <v>17.099399999999999</v>
      </c>
      <c r="DI23">
        <v>2</v>
      </c>
      <c r="DJ23">
        <v>-7.1286600000000006E-2</v>
      </c>
      <c r="DK23">
        <v>2.52169</v>
      </c>
      <c r="DL23">
        <v>20.190899999999999</v>
      </c>
      <c r="DM23">
        <v>5.2472399999999997</v>
      </c>
      <c r="DN23">
        <v>12.033899999999999</v>
      </c>
      <c r="DO23">
        <v>4.9667199999999996</v>
      </c>
      <c r="DP23">
        <v>3.29074</v>
      </c>
      <c r="DQ23">
        <v>607.70000000000005</v>
      </c>
      <c r="DR23">
        <v>9999</v>
      </c>
      <c r="DS23">
        <v>9999</v>
      </c>
      <c r="DT23">
        <v>9999</v>
      </c>
      <c r="DU23">
        <v>1.8711899999999999</v>
      </c>
      <c r="DV23">
        <v>1.87622</v>
      </c>
      <c r="DW23">
        <v>1.8763799999999999</v>
      </c>
      <c r="DX23">
        <v>1.8829100000000001</v>
      </c>
      <c r="DY23">
        <v>1.8756900000000001</v>
      </c>
      <c r="DZ23">
        <v>1.8747</v>
      </c>
      <c r="EA23">
        <v>1.8708800000000001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-0.70399999999999996</v>
      </c>
      <c r="EQ23">
        <v>4.6899999999999997E-2</v>
      </c>
      <c r="ER23">
        <v>-0.704300000000046</v>
      </c>
      <c r="ES23">
        <v>0</v>
      </c>
      <c r="ET23">
        <v>0</v>
      </c>
      <c r="EU23">
        <v>0</v>
      </c>
      <c r="EV23">
        <v>4.6972727272725799E-2</v>
      </c>
      <c r="EW23">
        <v>0</v>
      </c>
      <c r="EX23">
        <v>0</v>
      </c>
      <c r="EY23">
        <v>0</v>
      </c>
      <c r="EZ23">
        <v>-1</v>
      </c>
      <c r="FA23">
        <v>-1</v>
      </c>
      <c r="FB23">
        <v>-1</v>
      </c>
      <c r="FC23">
        <v>-1</v>
      </c>
      <c r="FD23">
        <v>0.5</v>
      </c>
      <c r="FE23">
        <v>0.9</v>
      </c>
      <c r="FF23">
        <v>1.16211</v>
      </c>
      <c r="FG23">
        <v>2.5793499999999998</v>
      </c>
      <c r="FH23">
        <v>2.19604</v>
      </c>
      <c r="FI23">
        <v>2.5756800000000002</v>
      </c>
      <c r="FJ23">
        <v>2.4462899999999999</v>
      </c>
      <c r="FK23">
        <v>2.2924799999999999</v>
      </c>
      <c r="FL23">
        <v>32.909199999999998</v>
      </c>
      <c r="FM23">
        <v>24.1313</v>
      </c>
      <c r="FN23">
        <v>19</v>
      </c>
      <c r="FO23">
        <v>866.07399999999996</v>
      </c>
      <c r="FP23">
        <v>573.95100000000002</v>
      </c>
      <c r="FQ23">
        <v>17.885200000000001</v>
      </c>
      <c r="FR23">
        <v>26.077100000000002</v>
      </c>
      <c r="FS23">
        <v>30</v>
      </c>
      <c r="FT23">
        <v>26.077400000000001</v>
      </c>
      <c r="FU23">
        <v>26.078499999999998</v>
      </c>
      <c r="FV23">
        <v>23.319400000000002</v>
      </c>
      <c r="FW23">
        <v>30.360499999999998</v>
      </c>
      <c r="FX23">
        <v>36.839300000000001</v>
      </c>
      <c r="FY23">
        <v>17.9087</v>
      </c>
      <c r="FZ23">
        <v>375</v>
      </c>
      <c r="GA23">
        <v>13.277200000000001</v>
      </c>
      <c r="GB23">
        <v>99.798299999999998</v>
      </c>
      <c r="GC23">
        <v>99.754599999999996</v>
      </c>
    </row>
    <row r="24" spans="1:185" x14ac:dyDescent="0.2">
      <c r="A24">
        <v>9</v>
      </c>
      <c r="B24">
        <v>1771103252.0999999</v>
      </c>
      <c r="C24">
        <v>139</v>
      </c>
      <c r="D24" t="s">
        <v>312</v>
      </c>
      <c r="E24" t="s">
        <v>313</v>
      </c>
      <c r="F24">
        <v>15</v>
      </c>
      <c r="G24">
        <v>1771103244.03333</v>
      </c>
      <c r="H24">
        <f t="shared" si="0"/>
        <v>1.7297640773457398E-3</v>
      </c>
      <c r="I24">
        <v>0</v>
      </c>
      <c r="J24">
        <f t="shared" si="12"/>
        <v>-3.0469716990166137E-2</v>
      </c>
      <c r="K24">
        <f t="shared" si="1"/>
        <v>-0.54483675674344922</v>
      </c>
      <c r="L24">
        <f t="shared" si="2"/>
        <v>69.771893275734413</v>
      </c>
      <c r="M24">
        <f t="shared" si="3"/>
        <v>1.5364589482883442</v>
      </c>
      <c r="N24">
        <f t="shared" si="4"/>
        <v>2.2021173228256097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26177.96208882441</v>
      </c>
      <c r="T24">
        <f t="shared" si="8"/>
        <v>800.000133333333</v>
      </c>
      <c r="U24">
        <f t="shared" si="9"/>
        <v>674.40028680002877</v>
      </c>
      <c r="V24">
        <f t="shared" si="10"/>
        <v>0.84300021799999991</v>
      </c>
      <c r="W24">
        <f t="shared" si="11"/>
        <v>0.15870054500000003</v>
      </c>
      <c r="X24">
        <v>1</v>
      </c>
      <c r="Y24">
        <v>1771103244.03333</v>
      </c>
      <c r="Z24">
        <v>374.85533333333302</v>
      </c>
      <c r="AA24">
        <v>374.98480000000001</v>
      </c>
      <c r="AB24">
        <v>15.3641466666667</v>
      </c>
      <c r="AC24">
        <v>13.235186666666699</v>
      </c>
      <c r="AD24">
        <v>375.55953333333298</v>
      </c>
      <c r="AE24">
        <v>15.3171866666667</v>
      </c>
      <c r="AF24">
        <v>800.00926666666703</v>
      </c>
      <c r="AG24">
        <v>99.939220000000006</v>
      </c>
      <c r="AH24">
        <v>6.3662140000000006E-2</v>
      </c>
      <c r="AI24">
        <v>18.977726666666701</v>
      </c>
      <c r="AJ24">
        <v>999.9</v>
      </c>
      <c r="AK24">
        <v>999.9</v>
      </c>
      <c r="AL24">
        <v>0</v>
      </c>
      <c r="AM24">
        <v>0</v>
      </c>
      <c r="AN24">
        <v>4995</v>
      </c>
      <c r="AO24">
        <v>0</v>
      </c>
      <c r="AP24">
        <v>1.63733</v>
      </c>
      <c r="AQ24">
        <v>-0.1294902</v>
      </c>
      <c r="AR24">
        <v>380.70446666666697</v>
      </c>
      <c r="AS24">
        <v>380.01433333333301</v>
      </c>
      <c r="AT24">
        <v>2.1289586666666702</v>
      </c>
      <c r="AU24">
        <v>374.98480000000001</v>
      </c>
      <c r="AV24">
        <v>13.235186666666699</v>
      </c>
      <c r="AW24">
        <v>1.5354813333333299</v>
      </c>
      <c r="AX24">
        <v>1.322716</v>
      </c>
      <c r="AY24">
        <v>13.326133333333299</v>
      </c>
      <c r="AZ24">
        <v>11.0594533333333</v>
      </c>
      <c r="BA24">
        <v>800.000133333333</v>
      </c>
      <c r="BB24">
        <v>0.89999273333333296</v>
      </c>
      <c r="BC24">
        <v>0</v>
      </c>
      <c r="BD24">
        <v>0.100007266666667</v>
      </c>
      <c r="BE24">
        <v>0</v>
      </c>
      <c r="BF24">
        <v>25</v>
      </c>
      <c r="BG24">
        <v>13191.0133333333</v>
      </c>
      <c r="BH24">
        <v>1771103205.0999999</v>
      </c>
      <c r="BI24" t="s">
        <v>305</v>
      </c>
      <c r="BJ24">
        <v>1771103205.0999999</v>
      </c>
      <c r="BK24">
        <v>1771103183.0999999</v>
      </c>
      <c r="BL24">
        <v>12</v>
      </c>
      <c r="BM24">
        <v>-2E-3</v>
      </c>
      <c r="BN24">
        <v>-1.2E-2</v>
      </c>
      <c r="BO24">
        <v>-0.70399999999999996</v>
      </c>
      <c r="BP24">
        <v>4.7E-2</v>
      </c>
      <c r="BQ24">
        <v>375</v>
      </c>
      <c r="BR24">
        <v>13</v>
      </c>
      <c r="BS24">
        <v>0.1</v>
      </c>
      <c r="BT24">
        <v>0.03</v>
      </c>
      <c r="BU24">
        <v>-0.13569795000000001</v>
      </c>
      <c r="BV24">
        <v>9.3933067669173004E-2</v>
      </c>
      <c r="BW24">
        <v>1.65935349352541E-2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2.147856</v>
      </c>
      <c r="CD24">
        <v>-0.37450105263157801</v>
      </c>
      <c r="CE24">
        <v>3.9121273931200198E-2</v>
      </c>
      <c r="CF24">
        <v>0</v>
      </c>
      <c r="CG24">
        <v>1</v>
      </c>
      <c r="CH24">
        <v>2</v>
      </c>
      <c r="CI24" t="s">
        <v>299</v>
      </c>
      <c r="CJ24">
        <v>3.5325799999999998</v>
      </c>
      <c r="CK24">
        <v>2.7016399999999998</v>
      </c>
      <c r="CL24">
        <v>9.1140700000000005E-2</v>
      </c>
      <c r="CM24">
        <v>8.9918399999999996E-2</v>
      </c>
      <c r="CN24">
        <v>8.6871000000000004E-2</v>
      </c>
      <c r="CO24">
        <v>7.6798000000000005E-2</v>
      </c>
      <c r="CP24">
        <v>31839.599999999999</v>
      </c>
      <c r="CQ24">
        <v>28023.200000000001</v>
      </c>
      <c r="CR24">
        <v>32426.3</v>
      </c>
      <c r="CS24">
        <v>30721.7</v>
      </c>
      <c r="CT24">
        <v>40103.800000000003</v>
      </c>
      <c r="CU24">
        <v>39900.300000000003</v>
      </c>
      <c r="CV24">
        <v>47366.5</v>
      </c>
      <c r="CW24">
        <v>46865.5</v>
      </c>
      <c r="CX24">
        <v>2.6143200000000002</v>
      </c>
      <c r="CY24">
        <v>2.1188600000000002</v>
      </c>
      <c r="CZ24">
        <v>0</v>
      </c>
      <c r="DA24">
        <v>0</v>
      </c>
      <c r="DB24">
        <v>999.9</v>
      </c>
      <c r="DC24">
        <v>999.9</v>
      </c>
      <c r="DD24">
        <v>45.996000000000002</v>
      </c>
      <c r="DE24">
        <v>28.600999999999999</v>
      </c>
      <c r="DF24">
        <v>18.087</v>
      </c>
      <c r="DG24">
        <v>30.498100000000001</v>
      </c>
      <c r="DH24">
        <v>16.9511</v>
      </c>
      <c r="DI24">
        <v>2</v>
      </c>
      <c r="DJ24">
        <v>-7.1278499999999995E-2</v>
      </c>
      <c r="DK24">
        <v>2.4963700000000002</v>
      </c>
      <c r="DL24">
        <v>20.191500000000001</v>
      </c>
      <c r="DM24">
        <v>5.2501199999999999</v>
      </c>
      <c r="DN24">
        <v>12.033899999999999</v>
      </c>
      <c r="DO24">
        <v>4.9669600000000003</v>
      </c>
      <c r="DP24">
        <v>3.2909999999999999</v>
      </c>
      <c r="DQ24">
        <v>607.70000000000005</v>
      </c>
      <c r="DR24">
        <v>9999</v>
      </c>
      <c r="DS24">
        <v>9999</v>
      </c>
      <c r="DT24">
        <v>9999</v>
      </c>
      <c r="DU24">
        <v>1.8711899999999999</v>
      </c>
      <c r="DV24">
        <v>1.87622</v>
      </c>
      <c r="DW24">
        <v>1.8763700000000001</v>
      </c>
      <c r="DX24">
        <v>1.8829</v>
      </c>
      <c r="DY24">
        <v>1.8756600000000001</v>
      </c>
      <c r="DZ24">
        <v>1.8747</v>
      </c>
      <c r="EA24">
        <v>1.8708800000000001</v>
      </c>
      <c r="EB24">
        <v>1.87469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-0.70399999999999996</v>
      </c>
      <c r="EQ24">
        <v>4.7E-2</v>
      </c>
      <c r="ER24">
        <v>-0.704300000000046</v>
      </c>
      <c r="ES24">
        <v>0</v>
      </c>
      <c r="ET24">
        <v>0</v>
      </c>
      <c r="EU24">
        <v>0</v>
      </c>
      <c r="EV24">
        <v>4.6972727272725799E-2</v>
      </c>
      <c r="EW24">
        <v>0</v>
      </c>
      <c r="EX24">
        <v>0</v>
      </c>
      <c r="EY24">
        <v>0</v>
      </c>
      <c r="EZ24">
        <v>-1</v>
      </c>
      <c r="FA24">
        <v>-1</v>
      </c>
      <c r="FB24">
        <v>-1</v>
      </c>
      <c r="FC24">
        <v>-1</v>
      </c>
      <c r="FD24">
        <v>0.8</v>
      </c>
      <c r="FE24">
        <v>1.1000000000000001</v>
      </c>
      <c r="FF24">
        <v>1.16211</v>
      </c>
      <c r="FG24">
        <v>2.5781200000000002</v>
      </c>
      <c r="FH24">
        <v>2.19604</v>
      </c>
      <c r="FI24">
        <v>2.5756800000000002</v>
      </c>
      <c r="FJ24">
        <v>2.4462899999999999</v>
      </c>
      <c r="FK24">
        <v>2.3120099999999999</v>
      </c>
      <c r="FL24">
        <v>32.909199999999998</v>
      </c>
      <c r="FM24">
        <v>24.14</v>
      </c>
      <c r="FN24">
        <v>19</v>
      </c>
      <c r="FO24">
        <v>866.59699999999998</v>
      </c>
      <c r="FP24">
        <v>574.07899999999995</v>
      </c>
      <c r="FQ24">
        <v>17.9405</v>
      </c>
      <c r="FR24">
        <v>26.078800000000001</v>
      </c>
      <c r="FS24">
        <v>30.0001</v>
      </c>
      <c r="FT24">
        <v>26.077400000000001</v>
      </c>
      <c r="FU24">
        <v>26.079000000000001</v>
      </c>
      <c r="FV24">
        <v>23.322299999999998</v>
      </c>
      <c r="FW24">
        <v>30.360499999999998</v>
      </c>
      <c r="FX24">
        <v>36.466000000000001</v>
      </c>
      <c r="FY24">
        <v>17.953800000000001</v>
      </c>
      <c r="FZ24">
        <v>375</v>
      </c>
      <c r="GA24">
        <v>13.3019</v>
      </c>
      <c r="GB24">
        <v>99.798900000000003</v>
      </c>
      <c r="GC24">
        <v>99.754999999999995</v>
      </c>
    </row>
    <row r="25" spans="1:185" x14ac:dyDescent="0.2">
      <c r="A25">
        <v>10</v>
      </c>
      <c r="B25">
        <v>1771103267.0999999</v>
      </c>
      <c r="C25">
        <v>154</v>
      </c>
      <c r="D25" t="s">
        <v>314</v>
      </c>
      <c r="E25" t="s">
        <v>315</v>
      </c>
      <c r="F25">
        <v>15</v>
      </c>
      <c r="G25">
        <v>1771103259.03333</v>
      </c>
      <c r="H25">
        <f t="shared" si="0"/>
        <v>1.718943300884446E-3</v>
      </c>
      <c r="I25">
        <v>0</v>
      </c>
      <c r="J25">
        <f t="shared" si="12"/>
        <v>-2.9956731238083806E-2</v>
      </c>
      <c r="K25">
        <f t="shared" si="1"/>
        <v>-0.53566392807850494</v>
      </c>
      <c r="L25">
        <f t="shared" si="2"/>
        <v>69.644141970292694</v>
      </c>
      <c r="M25">
        <f t="shared" si="3"/>
        <v>1.534705339141857</v>
      </c>
      <c r="N25">
        <f t="shared" si="4"/>
        <v>2.2036388068310164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26251.246041074472</v>
      </c>
      <c r="T25">
        <f t="shared" si="8"/>
        <v>799.99940000000004</v>
      </c>
      <c r="U25">
        <f t="shared" si="9"/>
        <v>674.39956779994463</v>
      </c>
      <c r="V25">
        <f t="shared" si="10"/>
        <v>0.8430000919999997</v>
      </c>
      <c r="W25">
        <f t="shared" si="11"/>
        <v>0.15870035991999992</v>
      </c>
      <c r="X25">
        <v>1</v>
      </c>
      <c r="Y25">
        <v>1771103259.03333</v>
      </c>
      <c r="Z25">
        <v>374.85713333333302</v>
      </c>
      <c r="AA25">
        <v>374.99299999999999</v>
      </c>
      <c r="AB25">
        <v>15.346640000000001</v>
      </c>
      <c r="AC25">
        <v>13.2309533333333</v>
      </c>
      <c r="AD25">
        <v>375.56139999999999</v>
      </c>
      <c r="AE25">
        <v>15.299659999999999</v>
      </c>
      <c r="AF25">
        <v>800.00660000000005</v>
      </c>
      <c r="AG25">
        <v>99.939013333333307</v>
      </c>
      <c r="AH25">
        <v>6.3680360000000005E-2</v>
      </c>
      <c r="AI25">
        <v>18.988793333333302</v>
      </c>
      <c r="AJ25">
        <v>999.9</v>
      </c>
      <c r="AK25">
        <v>999.9</v>
      </c>
      <c r="AL25">
        <v>0</v>
      </c>
      <c r="AM25">
        <v>0</v>
      </c>
      <c r="AN25">
        <v>5007.2666666666701</v>
      </c>
      <c r="AO25">
        <v>0</v>
      </c>
      <c r="AP25">
        <v>1.63733</v>
      </c>
      <c r="AQ25">
        <v>-0.13586833333333301</v>
      </c>
      <c r="AR25">
        <v>380.69940000000003</v>
      </c>
      <c r="AS25">
        <v>380.02100000000002</v>
      </c>
      <c r="AT25">
        <v>2.115688</v>
      </c>
      <c r="AU25">
        <v>374.99299999999999</v>
      </c>
      <c r="AV25">
        <v>13.2309533333333</v>
      </c>
      <c r="AW25">
        <v>1.5337286666666701</v>
      </c>
      <c r="AX25">
        <v>1.3222893333333301</v>
      </c>
      <c r="AY25">
        <v>13.3086</v>
      </c>
      <c r="AZ25">
        <v>11.05458</v>
      </c>
      <c r="BA25">
        <v>799.99940000000004</v>
      </c>
      <c r="BB25">
        <v>0.89999499999999999</v>
      </c>
      <c r="BC25">
        <v>0</v>
      </c>
      <c r="BD25">
        <v>0.100004933333333</v>
      </c>
      <c r="BE25">
        <v>0</v>
      </c>
      <c r="BF25">
        <v>25</v>
      </c>
      <c r="BG25">
        <v>13191.0133333333</v>
      </c>
      <c r="BH25">
        <v>1771103205.0999999</v>
      </c>
      <c r="BI25" t="s">
        <v>305</v>
      </c>
      <c r="BJ25">
        <v>1771103205.0999999</v>
      </c>
      <c r="BK25">
        <v>1771103183.0999999</v>
      </c>
      <c r="BL25">
        <v>12</v>
      </c>
      <c r="BM25">
        <v>-2E-3</v>
      </c>
      <c r="BN25">
        <v>-1.2E-2</v>
      </c>
      <c r="BO25">
        <v>-0.70399999999999996</v>
      </c>
      <c r="BP25">
        <v>4.7E-2</v>
      </c>
      <c r="BQ25">
        <v>375</v>
      </c>
      <c r="BR25">
        <v>13</v>
      </c>
      <c r="BS25">
        <v>0.1</v>
      </c>
      <c r="BT25">
        <v>0.03</v>
      </c>
      <c r="BU25">
        <v>-0.132084476190476</v>
      </c>
      <c r="BV25">
        <v>5.58607792207764E-3</v>
      </c>
      <c r="BW25">
        <v>1.54281159440408E-2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2.1157390476190501</v>
      </c>
      <c r="CD25">
        <v>-0.129264935064936</v>
      </c>
      <c r="CE25">
        <v>2.68413939217843E-2</v>
      </c>
      <c r="CF25">
        <v>0</v>
      </c>
      <c r="CG25">
        <v>1</v>
      </c>
      <c r="CH25">
        <v>2</v>
      </c>
      <c r="CI25" t="s">
        <v>299</v>
      </c>
      <c r="CJ25">
        <v>3.5325600000000001</v>
      </c>
      <c r="CK25">
        <v>2.7014100000000001</v>
      </c>
      <c r="CL25">
        <v>9.1140399999999996E-2</v>
      </c>
      <c r="CM25">
        <v>8.9915900000000007E-2</v>
      </c>
      <c r="CN25">
        <v>8.6802900000000002E-2</v>
      </c>
      <c r="CO25">
        <v>7.7019699999999996E-2</v>
      </c>
      <c r="CP25">
        <v>31839.8</v>
      </c>
      <c r="CQ25">
        <v>28022.799999999999</v>
      </c>
      <c r="CR25">
        <v>32426.400000000001</v>
      </c>
      <c r="CS25">
        <v>30721.1</v>
      </c>
      <c r="CT25">
        <v>40107.1</v>
      </c>
      <c r="CU25">
        <v>39889.599999999999</v>
      </c>
      <c r="CV25">
        <v>47366.8</v>
      </c>
      <c r="CW25">
        <v>46864.5</v>
      </c>
      <c r="CX25">
        <v>2.6145200000000002</v>
      </c>
      <c r="CY25">
        <v>2.11904</v>
      </c>
      <c r="CZ25">
        <v>0</v>
      </c>
      <c r="DA25">
        <v>0</v>
      </c>
      <c r="DB25">
        <v>999.9</v>
      </c>
      <c r="DC25">
        <v>999.9</v>
      </c>
      <c r="DD25">
        <v>45.898000000000003</v>
      </c>
      <c r="DE25">
        <v>28.600999999999999</v>
      </c>
      <c r="DF25">
        <v>18.046700000000001</v>
      </c>
      <c r="DG25">
        <v>30.1982</v>
      </c>
      <c r="DH25">
        <v>17.083300000000001</v>
      </c>
      <c r="DI25">
        <v>2</v>
      </c>
      <c r="DJ25">
        <v>-7.1103700000000006E-2</v>
      </c>
      <c r="DK25">
        <v>2.5083899999999999</v>
      </c>
      <c r="DL25">
        <v>20.191199999999998</v>
      </c>
      <c r="DM25">
        <v>5.2490399999999999</v>
      </c>
      <c r="DN25">
        <v>12.033899999999999</v>
      </c>
      <c r="DO25">
        <v>4.9674800000000001</v>
      </c>
      <c r="DP25">
        <v>3.2909999999999999</v>
      </c>
      <c r="DQ25">
        <v>607.70000000000005</v>
      </c>
      <c r="DR25">
        <v>9999</v>
      </c>
      <c r="DS25">
        <v>9999</v>
      </c>
      <c r="DT25">
        <v>9999</v>
      </c>
      <c r="DU25">
        <v>1.8711899999999999</v>
      </c>
      <c r="DV25">
        <v>1.87622</v>
      </c>
      <c r="DW25">
        <v>1.8763700000000001</v>
      </c>
      <c r="DX25">
        <v>1.8828800000000001</v>
      </c>
      <c r="DY25">
        <v>1.8756299999999999</v>
      </c>
      <c r="DZ25">
        <v>1.8747</v>
      </c>
      <c r="EA25">
        <v>1.8708800000000001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-0.70399999999999996</v>
      </c>
      <c r="EQ25">
        <v>4.6899999999999997E-2</v>
      </c>
      <c r="ER25">
        <v>-0.704300000000046</v>
      </c>
      <c r="ES25">
        <v>0</v>
      </c>
      <c r="ET25">
        <v>0</v>
      </c>
      <c r="EU25">
        <v>0</v>
      </c>
      <c r="EV25">
        <v>4.6972727272725799E-2</v>
      </c>
      <c r="EW25">
        <v>0</v>
      </c>
      <c r="EX25">
        <v>0</v>
      </c>
      <c r="EY25">
        <v>0</v>
      </c>
      <c r="EZ25">
        <v>-1</v>
      </c>
      <c r="FA25">
        <v>-1</v>
      </c>
      <c r="FB25">
        <v>-1</v>
      </c>
      <c r="FC25">
        <v>-1</v>
      </c>
      <c r="FD25">
        <v>1</v>
      </c>
      <c r="FE25">
        <v>1.4</v>
      </c>
      <c r="FF25">
        <v>1.16211</v>
      </c>
      <c r="FG25">
        <v>2.5817899999999998</v>
      </c>
      <c r="FH25">
        <v>2.19604</v>
      </c>
      <c r="FI25">
        <v>2.5756800000000002</v>
      </c>
      <c r="FJ25">
        <v>2.4462899999999999</v>
      </c>
      <c r="FK25">
        <v>2.2802699999999998</v>
      </c>
      <c r="FL25">
        <v>32.909199999999998</v>
      </c>
      <c r="FM25">
        <v>24.1313</v>
      </c>
      <c r="FN25">
        <v>19</v>
      </c>
      <c r="FO25">
        <v>866.798</v>
      </c>
      <c r="FP25">
        <v>574.24199999999996</v>
      </c>
      <c r="FQ25">
        <v>17.972200000000001</v>
      </c>
      <c r="FR25">
        <v>26.078800000000001</v>
      </c>
      <c r="FS25">
        <v>30.0002</v>
      </c>
      <c r="FT25">
        <v>26.078299999999999</v>
      </c>
      <c r="FU25">
        <v>26.081199999999999</v>
      </c>
      <c r="FV25">
        <v>23.322500000000002</v>
      </c>
      <c r="FW25">
        <v>29.748999999999999</v>
      </c>
      <c r="FX25">
        <v>36.466000000000001</v>
      </c>
      <c r="FY25">
        <v>17.9758</v>
      </c>
      <c r="FZ25">
        <v>375</v>
      </c>
      <c r="GA25">
        <v>13.3363</v>
      </c>
      <c r="GB25">
        <v>99.799400000000006</v>
      </c>
      <c r="GC25">
        <v>99.752899999999997</v>
      </c>
    </row>
    <row r="26" spans="1:185" x14ac:dyDescent="0.2">
      <c r="A26">
        <v>11</v>
      </c>
      <c r="B26">
        <v>1771103282.0999999</v>
      </c>
      <c r="C26">
        <v>169</v>
      </c>
      <c r="D26" t="s">
        <v>316</v>
      </c>
      <c r="E26" t="s">
        <v>317</v>
      </c>
      <c r="F26">
        <v>15</v>
      </c>
      <c r="G26">
        <v>1771103274.03333</v>
      </c>
      <c r="H26">
        <f t="shared" si="0"/>
        <v>1.674763156882647E-3</v>
      </c>
      <c r="I26">
        <v>0</v>
      </c>
      <c r="J26">
        <f t="shared" si="12"/>
        <v>-2.8278039852807579E-2</v>
      </c>
      <c r="K26">
        <f t="shared" si="1"/>
        <v>-0.50564682059364541</v>
      </c>
      <c r="L26">
        <f t="shared" si="2"/>
        <v>69.61136810494763</v>
      </c>
      <c r="M26">
        <f t="shared" si="3"/>
        <v>1.5350052114345574</v>
      </c>
      <c r="N26">
        <f t="shared" si="4"/>
        <v>2.2051070869923857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26197.642629031394</v>
      </c>
      <c r="T26">
        <f t="shared" si="8"/>
        <v>800.000133333333</v>
      </c>
      <c r="U26">
        <f t="shared" si="9"/>
        <v>674.40023400001996</v>
      </c>
      <c r="V26">
        <f t="shared" si="10"/>
        <v>0.843000152</v>
      </c>
      <c r="W26">
        <f t="shared" si="11"/>
        <v>0.15870038000000003</v>
      </c>
      <c r="X26">
        <v>1</v>
      </c>
      <c r="Y26">
        <v>1771103274.03333</v>
      </c>
      <c r="Z26">
        <v>374.84806666666702</v>
      </c>
      <c r="AA26">
        <v>375.00073333333302</v>
      </c>
      <c r="AB26">
        <v>15.3497466666667</v>
      </c>
      <c r="AC26">
        <v>13.288453333333299</v>
      </c>
      <c r="AD26">
        <v>375.55239999999998</v>
      </c>
      <c r="AE26">
        <v>15.30278</v>
      </c>
      <c r="AF26">
        <v>800.01033333333305</v>
      </c>
      <c r="AG26">
        <v>99.938506666666697</v>
      </c>
      <c r="AH26">
        <v>6.3483253333333295E-2</v>
      </c>
      <c r="AI26">
        <v>18.999466666666699</v>
      </c>
      <c r="AJ26">
        <v>999.9</v>
      </c>
      <c r="AK26">
        <v>999.9</v>
      </c>
      <c r="AL26">
        <v>0</v>
      </c>
      <c r="AM26">
        <v>0</v>
      </c>
      <c r="AN26">
        <v>4998.6000000000004</v>
      </c>
      <c r="AO26">
        <v>0</v>
      </c>
      <c r="AP26">
        <v>1.63733</v>
      </c>
      <c r="AQ26">
        <v>-0.15278320000000001</v>
      </c>
      <c r="AR26">
        <v>380.691466666667</v>
      </c>
      <c r="AS26">
        <v>380.05113333333298</v>
      </c>
      <c r="AT26">
        <v>2.0613000000000001</v>
      </c>
      <c r="AU26">
        <v>375.00073333333302</v>
      </c>
      <c r="AV26">
        <v>13.288453333333299</v>
      </c>
      <c r="AW26">
        <v>1.53403133333333</v>
      </c>
      <c r="AX26">
        <v>1.3280273333333299</v>
      </c>
      <c r="AY26">
        <v>13.31162</v>
      </c>
      <c r="AZ26">
        <v>11.1198466666667</v>
      </c>
      <c r="BA26">
        <v>800.000133333333</v>
      </c>
      <c r="BB26">
        <v>0.89999493333333302</v>
      </c>
      <c r="BC26">
        <v>0</v>
      </c>
      <c r="BD26">
        <v>0.100005066666667</v>
      </c>
      <c r="BE26">
        <v>0</v>
      </c>
      <c r="BF26">
        <v>25</v>
      </c>
      <c r="BG26">
        <v>13191.0133333333</v>
      </c>
      <c r="BH26">
        <v>1771103205.0999999</v>
      </c>
      <c r="BI26" t="s">
        <v>305</v>
      </c>
      <c r="BJ26">
        <v>1771103205.0999999</v>
      </c>
      <c r="BK26">
        <v>1771103183.0999999</v>
      </c>
      <c r="BL26">
        <v>12</v>
      </c>
      <c r="BM26">
        <v>-2E-3</v>
      </c>
      <c r="BN26">
        <v>-1.2E-2</v>
      </c>
      <c r="BO26">
        <v>-0.70399999999999996</v>
      </c>
      <c r="BP26">
        <v>4.7E-2</v>
      </c>
      <c r="BQ26">
        <v>375</v>
      </c>
      <c r="BR26">
        <v>13</v>
      </c>
      <c r="BS26">
        <v>0.1</v>
      </c>
      <c r="BT26">
        <v>0.03</v>
      </c>
      <c r="BU26">
        <v>-0.14192709523809499</v>
      </c>
      <c r="BV26">
        <v>-0.171483896103896</v>
      </c>
      <c r="BW26">
        <v>1.96595646221829E-2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2.07021952380952</v>
      </c>
      <c r="CD26">
        <v>-0.12120857142857</v>
      </c>
      <c r="CE26">
        <v>1.93397078512898E-2</v>
      </c>
      <c r="CF26">
        <v>0</v>
      </c>
      <c r="CG26">
        <v>1</v>
      </c>
      <c r="CH26">
        <v>2</v>
      </c>
      <c r="CI26" t="s">
        <v>299</v>
      </c>
      <c r="CJ26">
        <v>3.5325700000000002</v>
      </c>
      <c r="CK26">
        <v>2.70112</v>
      </c>
      <c r="CL26">
        <v>9.1133900000000004E-2</v>
      </c>
      <c r="CM26">
        <v>8.9917899999999995E-2</v>
      </c>
      <c r="CN26">
        <v>8.6851100000000001E-2</v>
      </c>
      <c r="CO26">
        <v>7.7029E-2</v>
      </c>
      <c r="CP26">
        <v>31839.1</v>
      </c>
      <c r="CQ26">
        <v>28022.799999999999</v>
      </c>
      <c r="CR26">
        <v>32425.5</v>
      </c>
      <c r="CS26">
        <v>30721.3</v>
      </c>
      <c r="CT26">
        <v>40104</v>
      </c>
      <c r="CU26">
        <v>39889.5</v>
      </c>
      <c r="CV26">
        <v>47365.7</v>
      </c>
      <c r="CW26">
        <v>46864.9</v>
      </c>
      <c r="CX26">
        <v>2.6144400000000001</v>
      </c>
      <c r="CY26">
        <v>2.11896</v>
      </c>
      <c r="CZ26">
        <v>0</v>
      </c>
      <c r="DA26">
        <v>0</v>
      </c>
      <c r="DB26">
        <v>999.9</v>
      </c>
      <c r="DC26">
        <v>999.9</v>
      </c>
      <c r="DD26">
        <v>45.848999999999997</v>
      </c>
      <c r="DE26">
        <v>28.600999999999999</v>
      </c>
      <c r="DF26">
        <v>18.029399999999999</v>
      </c>
      <c r="DG26">
        <v>30.2882</v>
      </c>
      <c r="DH26">
        <v>16.975200000000001</v>
      </c>
      <c r="DI26">
        <v>2</v>
      </c>
      <c r="DJ26">
        <v>-6.9556900000000005E-2</v>
      </c>
      <c r="DK26">
        <v>2.9740199999999999</v>
      </c>
      <c r="DL26">
        <v>20.181999999999999</v>
      </c>
      <c r="DM26">
        <v>5.2503500000000001</v>
      </c>
      <c r="DN26">
        <v>12.033899999999999</v>
      </c>
      <c r="DO26">
        <v>4.9675599999999998</v>
      </c>
      <c r="DP26">
        <v>3.2910400000000002</v>
      </c>
      <c r="DQ26">
        <v>607.70000000000005</v>
      </c>
      <c r="DR26">
        <v>9999</v>
      </c>
      <c r="DS26">
        <v>9999</v>
      </c>
      <c r="DT26">
        <v>9999</v>
      </c>
      <c r="DU26">
        <v>1.87117</v>
      </c>
      <c r="DV26">
        <v>1.8761699999999999</v>
      </c>
      <c r="DW26">
        <v>1.87636</v>
      </c>
      <c r="DX26">
        <v>1.8828400000000001</v>
      </c>
      <c r="DY26">
        <v>1.8756200000000001</v>
      </c>
      <c r="DZ26">
        <v>1.87469</v>
      </c>
      <c r="EA26">
        <v>1.87087</v>
      </c>
      <c r="EB26">
        <v>1.8746799999999999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-0.70499999999999996</v>
      </c>
      <c r="EQ26">
        <v>4.7E-2</v>
      </c>
      <c r="ER26">
        <v>-0.704300000000046</v>
      </c>
      <c r="ES26">
        <v>0</v>
      </c>
      <c r="ET26">
        <v>0</v>
      </c>
      <c r="EU26">
        <v>0</v>
      </c>
      <c r="EV26">
        <v>4.6972727272725799E-2</v>
      </c>
      <c r="EW26">
        <v>0</v>
      </c>
      <c r="EX26">
        <v>0</v>
      </c>
      <c r="EY26">
        <v>0</v>
      </c>
      <c r="EZ26">
        <v>-1</v>
      </c>
      <c r="FA26">
        <v>-1</v>
      </c>
      <c r="FB26">
        <v>-1</v>
      </c>
      <c r="FC26">
        <v>-1</v>
      </c>
      <c r="FD26">
        <v>1.3</v>
      </c>
      <c r="FE26">
        <v>1.6</v>
      </c>
      <c r="FF26">
        <v>1.16211</v>
      </c>
      <c r="FG26">
        <v>2.5732400000000002</v>
      </c>
      <c r="FH26">
        <v>2.19604</v>
      </c>
      <c r="FI26">
        <v>2.5756800000000002</v>
      </c>
      <c r="FJ26">
        <v>2.4462899999999999</v>
      </c>
      <c r="FK26">
        <v>2.3144499999999999</v>
      </c>
      <c r="FL26">
        <v>32.909199999999998</v>
      </c>
      <c r="FM26">
        <v>24.14</v>
      </c>
      <c r="FN26">
        <v>19</v>
      </c>
      <c r="FO26">
        <v>866.74400000000003</v>
      </c>
      <c r="FP26">
        <v>574.17999999999995</v>
      </c>
      <c r="FQ26">
        <v>17.926300000000001</v>
      </c>
      <c r="FR26">
        <v>26.081</v>
      </c>
      <c r="FS26">
        <v>30.001000000000001</v>
      </c>
      <c r="FT26">
        <v>26.079599999999999</v>
      </c>
      <c r="FU26">
        <v>26.081199999999999</v>
      </c>
      <c r="FV26">
        <v>23.322700000000001</v>
      </c>
      <c r="FW26">
        <v>29.748999999999999</v>
      </c>
      <c r="FX26">
        <v>36.090499999999999</v>
      </c>
      <c r="FY26">
        <v>17.8673</v>
      </c>
      <c r="FZ26">
        <v>375</v>
      </c>
      <c r="GA26">
        <v>13.3536</v>
      </c>
      <c r="GB26">
        <v>99.796800000000005</v>
      </c>
      <c r="GC26">
        <v>99.753699999999995</v>
      </c>
    </row>
    <row r="27" spans="1:185" x14ac:dyDescent="0.2">
      <c r="A27">
        <v>12</v>
      </c>
      <c r="B27">
        <v>1771103297.0999999</v>
      </c>
      <c r="C27">
        <v>184</v>
      </c>
      <c r="D27" t="s">
        <v>318</v>
      </c>
      <c r="E27" t="s">
        <v>319</v>
      </c>
      <c r="F27">
        <v>15</v>
      </c>
      <c r="G27">
        <v>1771103289.03333</v>
      </c>
      <c r="H27">
        <f t="shared" si="0"/>
        <v>1.6657480151624699E-3</v>
      </c>
      <c r="I27">
        <v>0</v>
      </c>
      <c r="J27">
        <f t="shared" si="12"/>
        <v>-2.8081419173211681E-2</v>
      </c>
      <c r="K27">
        <f t="shared" si="1"/>
        <v>-0.50213099622893942</v>
      </c>
      <c r="L27">
        <f t="shared" si="2"/>
        <v>69.562925857245247</v>
      </c>
      <c r="M27">
        <f t="shared" si="3"/>
        <v>1.5340442203496201</v>
      </c>
      <c r="N27">
        <f t="shared" si="4"/>
        <v>2.2052612098256694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26188.57570758064</v>
      </c>
      <c r="T27">
        <f t="shared" si="8"/>
        <v>800.00066666666703</v>
      </c>
      <c r="U27">
        <f t="shared" si="9"/>
        <v>674.40069480011107</v>
      </c>
      <c r="V27">
        <f t="shared" si="10"/>
        <v>0.84300016600000005</v>
      </c>
      <c r="W27">
        <f t="shared" si="11"/>
        <v>0.15870041499999998</v>
      </c>
      <c r="X27">
        <v>1</v>
      </c>
      <c r="Y27">
        <v>1771103289.03333</v>
      </c>
      <c r="Z27">
        <v>374.83053333333299</v>
      </c>
      <c r="AA27">
        <v>374.98333333333301</v>
      </c>
      <c r="AB27">
        <v>15.3401866666667</v>
      </c>
      <c r="AC27">
        <v>13.28998</v>
      </c>
      <c r="AD27">
        <v>375.53480000000002</v>
      </c>
      <c r="AE27">
        <v>15.293200000000001</v>
      </c>
      <c r="AF27">
        <v>800.01453333333302</v>
      </c>
      <c r="AG27">
        <v>99.938206666666701</v>
      </c>
      <c r="AH27">
        <v>6.3459133333333306E-2</v>
      </c>
      <c r="AI27">
        <v>19.000586666666699</v>
      </c>
      <c r="AJ27">
        <v>999.9</v>
      </c>
      <c r="AK27">
        <v>999.9</v>
      </c>
      <c r="AL27">
        <v>0</v>
      </c>
      <c r="AM27">
        <v>0</v>
      </c>
      <c r="AN27">
        <v>4997.1333333333296</v>
      </c>
      <c r="AO27">
        <v>0</v>
      </c>
      <c r="AP27">
        <v>1.63733</v>
      </c>
      <c r="AQ27">
        <v>-0.152840066666667</v>
      </c>
      <c r="AR27">
        <v>380.67</v>
      </c>
      <c r="AS27">
        <v>380.03393333333298</v>
      </c>
      <c r="AT27">
        <v>2.0502113333333298</v>
      </c>
      <c r="AU27">
        <v>374.98333333333301</v>
      </c>
      <c r="AV27">
        <v>13.28998</v>
      </c>
      <c r="AW27">
        <v>1.5330699999999999</v>
      </c>
      <c r="AX27">
        <v>1.3281746666666701</v>
      </c>
      <c r="AY27">
        <v>13.3020333333333</v>
      </c>
      <c r="AZ27">
        <v>11.1215266666667</v>
      </c>
      <c r="BA27">
        <v>800.00066666666703</v>
      </c>
      <c r="BB27">
        <v>0.89999446666666705</v>
      </c>
      <c r="BC27">
        <v>0</v>
      </c>
      <c r="BD27">
        <v>0.10000553333333299</v>
      </c>
      <c r="BE27">
        <v>0</v>
      </c>
      <c r="BF27">
        <v>25</v>
      </c>
      <c r="BG27">
        <v>13191.02</v>
      </c>
      <c r="BH27">
        <v>1771103205.0999999</v>
      </c>
      <c r="BI27" t="s">
        <v>305</v>
      </c>
      <c r="BJ27">
        <v>1771103205.0999999</v>
      </c>
      <c r="BK27">
        <v>1771103183.0999999</v>
      </c>
      <c r="BL27">
        <v>12</v>
      </c>
      <c r="BM27">
        <v>-2E-3</v>
      </c>
      <c r="BN27">
        <v>-1.2E-2</v>
      </c>
      <c r="BO27">
        <v>-0.70399999999999996</v>
      </c>
      <c r="BP27">
        <v>4.7E-2</v>
      </c>
      <c r="BQ27">
        <v>375</v>
      </c>
      <c r="BR27">
        <v>13</v>
      </c>
      <c r="BS27">
        <v>0.1</v>
      </c>
      <c r="BT27">
        <v>0.03</v>
      </c>
      <c r="BU27">
        <v>-0.156152571428571</v>
      </c>
      <c r="BV27">
        <v>4.65140259740262E-2</v>
      </c>
      <c r="BW27">
        <v>1.6103783866418701E-2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2.0538719047619001</v>
      </c>
      <c r="CD27">
        <v>-0.13629272727272801</v>
      </c>
      <c r="CE27">
        <v>1.8098944883492299E-2</v>
      </c>
      <c r="CF27">
        <v>0</v>
      </c>
      <c r="CG27">
        <v>1</v>
      </c>
      <c r="CH27">
        <v>2</v>
      </c>
      <c r="CI27" t="s">
        <v>299</v>
      </c>
      <c r="CJ27">
        <v>3.5325199999999999</v>
      </c>
      <c r="CK27">
        <v>2.7011599999999998</v>
      </c>
      <c r="CL27">
        <v>9.1132199999999997E-2</v>
      </c>
      <c r="CM27">
        <v>8.9908199999999994E-2</v>
      </c>
      <c r="CN27">
        <v>8.6771100000000004E-2</v>
      </c>
      <c r="CO27">
        <v>7.71955E-2</v>
      </c>
      <c r="CP27">
        <v>31839.3</v>
      </c>
      <c r="CQ27">
        <v>28023.1</v>
      </c>
      <c r="CR27">
        <v>32425.599999999999</v>
      </c>
      <c r="CS27">
        <v>30721.3</v>
      </c>
      <c r="CT27">
        <v>40107.599999999999</v>
      </c>
      <c r="CU27">
        <v>39882.199999999997</v>
      </c>
      <c r="CV27">
        <v>47365.7</v>
      </c>
      <c r="CW27">
        <v>46864.9</v>
      </c>
      <c r="CX27">
        <v>2.6147200000000002</v>
      </c>
      <c r="CY27">
        <v>2.1192000000000002</v>
      </c>
      <c r="CZ27">
        <v>0</v>
      </c>
      <c r="DA27">
        <v>0</v>
      </c>
      <c r="DB27">
        <v>999.9</v>
      </c>
      <c r="DC27">
        <v>999.9</v>
      </c>
      <c r="DD27">
        <v>45.750999999999998</v>
      </c>
      <c r="DE27">
        <v>28.600999999999999</v>
      </c>
      <c r="DF27">
        <v>17.990600000000001</v>
      </c>
      <c r="DG27">
        <v>30.2882</v>
      </c>
      <c r="DH27">
        <v>17.075299999999999</v>
      </c>
      <c r="DI27">
        <v>2</v>
      </c>
      <c r="DJ27">
        <v>-7.0077200000000006E-2</v>
      </c>
      <c r="DK27">
        <v>2.6604999999999999</v>
      </c>
      <c r="DL27">
        <v>20.188199999999998</v>
      </c>
      <c r="DM27">
        <v>5.2509499999999996</v>
      </c>
      <c r="DN27">
        <v>12.033899999999999</v>
      </c>
      <c r="DO27">
        <v>4.9673999999999996</v>
      </c>
      <c r="DP27">
        <v>3.2909999999999999</v>
      </c>
      <c r="DQ27">
        <v>607.70000000000005</v>
      </c>
      <c r="DR27">
        <v>9999</v>
      </c>
      <c r="DS27">
        <v>9999</v>
      </c>
      <c r="DT27">
        <v>9999</v>
      </c>
      <c r="DU27">
        <v>1.8711800000000001</v>
      </c>
      <c r="DV27">
        <v>1.8762000000000001</v>
      </c>
      <c r="DW27">
        <v>1.87636</v>
      </c>
      <c r="DX27">
        <v>1.8828800000000001</v>
      </c>
      <c r="DY27">
        <v>1.8756200000000001</v>
      </c>
      <c r="DZ27">
        <v>1.87469</v>
      </c>
      <c r="EA27">
        <v>1.8708800000000001</v>
      </c>
      <c r="EB27">
        <v>1.8746799999999999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-0.70399999999999996</v>
      </c>
      <c r="EQ27">
        <v>4.6899999999999997E-2</v>
      </c>
      <c r="ER27">
        <v>-0.704300000000046</v>
      </c>
      <c r="ES27">
        <v>0</v>
      </c>
      <c r="ET27">
        <v>0</v>
      </c>
      <c r="EU27">
        <v>0</v>
      </c>
      <c r="EV27">
        <v>4.6972727272725799E-2</v>
      </c>
      <c r="EW27">
        <v>0</v>
      </c>
      <c r="EX27">
        <v>0</v>
      </c>
      <c r="EY27">
        <v>0</v>
      </c>
      <c r="EZ27">
        <v>-1</v>
      </c>
      <c r="FA27">
        <v>-1</v>
      </c>
      <c r="FB27">
        <v>-1</v>
      </c>
      <c r="FC27">
        <v>-1</v>
      </c>
      <c r="FD27">
        <v>1.5</v>
      </c>
      <c r="FE27">
        <v>1.9</v>
      </c>
      <c r="FF27">
        <v>1.16211</v>
      </c>
      <c r="FG27">
        <v>2.5793499999999998</v>
      </c>
      <c r="FH27">
        <v>2.19604</v>
      </c>
      <c r="FI27">
        <v>2.5756800000000002</v>
      </c>
      <c r="FJ27">
        <v>2.4462899999999999</v>
      </c>
      <c r="FK27">
        <v>2.2668499999999998</v>
      </c>
      <c r="FL27">
        <v>32.9315</v>
      </c>
      <c r="FM27">
        <v>24.14</v>
      </c>
      <c r="FN27">
        <v>19</v>
      </c>
      <c r="FO27">
        <v>867.005</v>
      </c>
      <c r="FP27">
        <v>574.36900000000003</v>
      </c>
      <c r="FQ27">
        <v>17.854299999999999</v>
      </c>
      <c r="FR27">
        <v>26.081</v>
      </c>
      <c r="FS27">
        <v>29.9999</v>
      </c>
      <c r="FT27">
        <v>26.079599999999999</v>
      </c>
      <c r="FU27">
        <v>26.081600000000002</v>
      </c>
      <c r="FV27">
        <v>23.325600000000001</v>
      </c>
      <c r="FW27">
        <v>29.168500000000002</v>
      </c>
      <c r="FX27">
        <v>36.090499999999999</v>
      </c>
      <c r="FY27">
        <v>17.862200000000001</v>
      </c>
      <c r="FZ27">
        <v>375</v>
      </c>
      <c r="GA27">
        <v>13.3963</v>
      </c>
      <c r="GB27">
        <v>99.7971</v>
      </c>
      <c r="GC27">
        <v>99.753699999999995</v>
      </c>
    </row>
    <row r="28" spans="1:185" x14ac:dyDescent="0.2">
      <c r="A28">
        <v>13</v>
      </c>
      <c r="B28">
        <v>1771103312.0999999</v>
      </c>
      <c r="C28">
        <v>199</v>
      </c>
      <c r="D28" t="s">
        <v>320</v>
      </c>
      <c r="E28" t="s">
        <v>321</v>
      </c>
      <c r="F28">
        <v>15</v>
      </c>
      <c r="G28">
        <v>1771103304.03333</v>
      </c>
      <c r="H28">
        <f t="shared" si="0"/>
        <v>1.6309078235996234E-3</v>
      </c>
      <c r="I28">
        <v>0</v>
      </c>
      <c r="J28">
        <f t="shared" si="12"/>
        <v>-2.6512000978612477E-2</v>
      </c>
      <c r="K28">
        <f t="shared" si="1"/>
        <v>-0.47406783045042039</v>
      </c>
      <c r="L28">
        <f t="shared" si="2"/>
        <v>69.607638383507108</v>
      </c>
      <c r="M28">
        <f t="shared" si="3"/>
        <v>1.5347799356221243</v>
      </c>
      <c r="N28">
        <f t="shared" si="4"/>
        <v>2.2049016045712828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26188.850271985521</v>
      </c>
      <c r="T28">
        <f t="shared" si="8"/>
        <v>800</v>
      </c>
      <c r="U28">
        <f t="shared" si="9"/>
        <v>674.40016960000003</v>
      </c>
      <c r="V28">
        <f t="shared" si="10"/>
        <v>0.84300021199999997</v>
      </c>
      <c r="W28">
        <f t="shared" si="11"/>
        <v>0.15870053000000003</v>
      </c>
      <c r="X28">
        <v>1</v>
      </c>
      <c r="Y28">
        <v>1771103304.03333</v>
      </c>
      <c r="Z28">
        <v>374.81966666666699</v>
      </c>
      <c r="AA28">
        <v>374.99119999999999</v>
      </c>
      <c r="AB28">
        <v>15.347533333333301</v>
      </c>
      <c r="AC28">
        <v>13.340213333333301</v>
      </c>
      <c r="AD28">
        <v>375.52393333333299</v>
      </c>
      <c r="AE28">
        <v>15.300560000000001</v>
      </c>
      <c r="AF28">
        <v>800.01066666666702</v>
      </c>
      <c r="AG28">
        <v>99.938360000000003</v>
      </c>
      <c r="AH28">
        <v>6.3373326666666702E-2</v>
      </c>
      <c r="AI28">
        <v>18.997973333333299</v>
      </c>
      <c r="AJ28">
        <v>999.9</v>
      </c>
      <c r="AK28">
        <v>999.9</v>
      </c>
      <c r="AL28">
        <v>0</v>
      </c>
      <c r="AM28">
        <v>0</v>
      </c>
      <c r="AN28">
        <v>4997.1333333333296</v>
      </c>
      <c r="AO28">
        <v>0</v>
      </c>
      <c r="AP28">
        <v>1.63733</v>
      </c>
      <c r="AQ28">
        <v>-0.171661333333333</v>
      </c>
      <c r="AR28">
        <v>380.66166666666697</v>
      </c>
      <c r="AS28">
        <v>380.06119999999999</v>
      </c>
      <c r="AT28">
        <v>2.00733466666667</v>
      </c>
      <c r="AU28">
        <v>374.99119999999999</v>
      </c>
      <c r="AV28">
        <v>13.340213333333301</v>
      </c>
      <c r="AW28">
        <v>1.5338066666666701</v>
      </c>
      <c r="AX28">
        <v>1.3331980000000001</v>
      </c>
      <c r="AY28">
        <v>13.3093866666667</v>
      </c>
      <c r="AZ28">
        <v>11.1784133333333</v>
      </c>
      <c r="BA28">
        <v>800</v>
      </c>
      <c r="BB28">
        <v>0.89999293333333297</v>
      </c>
      <c r="BC28">
        <v>0</v>
      </c>
      <c r="BD28">
        <v>0.100007066666667</v>
      </c>
      <c r="BE28">
        <v>0</v>
      </c>
      <c r="BF28">
        <v>25</v>
      </c>
      <c r="BG28">
        <v>13190.993333333299</v>
      </c>
      <c r="BH28">
        <v>1771103205.0999999</v>
      </c>
      <c r="BI28" t="s">
        <v>305</v>
      </c>
      <c r="BJ28">
        <v>1771103205.0999999</v>
      </c>
      <c r="BK28">
        <v>1771103183.0999999</v>
      </c>
      <c r="BL28">
        <v>12</v>
      </c>
      <c r="BM28">
        <v>-2E-3</v>
      </c>
      <c r="BN28">
        <v>-1.2E-2</v>
      </c>
      <c r="BO28">
        <v>-0.70399999999999996</v>
      </c>
      <c r="BP28">
        <v>4.7E-2</v>
      </c>
      <c r="BQ28">
        <v>375</v>
      </c>
      <c r="BR28">
        <v>13</v>
      </c>
      <c r="BS28">
        <v>0.1</v>
      </c>
      <c r="BT28">
        <v>0.03</v>
      </c>
      <c r="BU28">
        <v>-0.1659408</v>
      </c>
      <c r="BV28">
        <v>-8.7410436090225696E-2</v>
      </c>
      <c r="BW28">
        <v>2.63896053543815E-2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2.0116784999999999</v>
      </c>
      <c r="CD28">
        <v>-5.1409172932331298E-2</v>
      </c>
      <c r="CE28">
        <v>9.7839277772273098E-3</v>
      </c>
      <c r="CF28">
        <v>1</v>
      </c>
      <c r="CG28">
        <v>2</v>
      </c>
      <c r="CH28">
        <v>2</v>
      </c>
      <c r="CI28" t="s">
        <v>322</v>
      </c>
      <c r="CJ28">
        <v>3.5325199999999999</v>
      </c>
      <c r="CK28">
        <v>2.7012299999999998</v>
      </c>
      <c r="CL28">
        <v>9.1134900000000005E-2</v>
      </c>
      <c r="CM28">
        <v>8.9917200000000003E-2</v>
      </c>
      <c r="CN28">
        <v>8.6887900000000004E-2</v>
      </c>
      <c r="CO28">
        <v>7.7260899999999993E-2</v>
      </c>
      <c r="CP28">
        <v>31839.3</v>
      </c>
      <c r="CQ28">
        <v>28022.9</v>
      </c>
      <c r="CR28">
        <v>32425.8</v>
      </c>
      <c r="CS28">
        <v>30721.4</v>
      </c>
      <c r="CT28">
        <v>40102.5</v>
      </c>
      <c r="CU28">
        <v>39879.300000000003</v>
      </c>
      <c r="CV28">
        <v>47365.9</v>
      </c>
      <c r="CW28">
        <v>46865</v>
      </c>
      <c r="CX28">
        <v>2.6144599999999998</v>
      </c>
      <c r="CY28">
        <v>2.1190600000000002</v>
      </c>
      <c r="CZ28">
        <v>0</v>
      </c>
      <c r="DA28">
        <v>0</v>
      </c>
      <c r="DB28">
        <v>999.9</v>
      </c>
      <c r="DC28">
        <v>999.9</v>
      </c>
      <c r="DD28">
        <v>45.703000000000003</v>
      </c>
      <c r="DE28">
        <v>28.600999999999999</v>
      </c>
      <c r="DF28">
        <v>17.972899999999999</v>
      </c>
      <c r="DG28">
        <v>30.4682</v>
      </c>
      <c r="DH28">
        <v>16.9712</v>
      </c>
      <c r="DI28">
        <v>2</v>
      </c>
      <c r="DJ28">
        <v>-7.0563000000000001E-2</v>
      </c>
      <c r="DK28">
        <v>2.6365500000000002</v>
      </c>
      <c r="DL28">
        <v>20.188700000000001</v>
      </c>
      <c r="DM28">
        <v>5.2503500000000001</v>
      </c>
      <c r="DN28">
        <v>12.033899999999999</v>
      </c>
      <c r="DO28">
        <v>4.9674800000000001</v>
      </c>
      <c r="DP28">
        <v>3.2909999999999999</v>
      </c>
      <c r="DQ28">
        <v>607.70000000000005</v>
      </c>
      <c r="DR28">
        <v>9999</v>
      </c>
      <c r="DS28">
        <v>9999</v>
      </c>
      <c r="DT28">
        <v>9999</v>
      </c>
      <c r="DU28">
        <v>1.8711500000000001</v>
      </c>
      <c r="DV28">
        <v>1.8761699999999999</v>
      </c>
      <c r="DW28">
        <v>1.8763700000000001</v>
      </c>
      <c r="DX28">
        <v>1.88289</v>
      </c>
      <c r="DY28">
        <v>1.8756200000000001</v>
      </c>
      <c r="DZ28">
        <v>1.87469</v>
      </c>
      <c r="EA28">
        <v>1.87086</v>
      </c>
      <c r="EB28">
        <v>1.8746799999999999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-0.70399999999999996</v>
      </c>
      <c r="EQ28">
        <v>4.6899999999999997E-2</v>
      </c>
      <c r="ER28">
        <v>-0.704300000000046</v>
      </c>
      <c r="ES28">
        <v>0</v>
      </c>
      <c r="ET28">
        <v>0</v>
      </c>
      <c r="EU28">
        <v>0</v>
      </c>
      <c r="EV28">
        <v>4.6972727272725799E-2</v>
      </c>
      <c r="EW28">
        <v>0</v>
      </c>
      <c r="EX28">
        <v>0</v>
      </c>
      <c r="EY28">
        <v>0</v>
      </c>
      <c r="EZ28">
        <v>-1</v>
      </c>
      <c r="FA28">
        <v>-1</v>
      </c>
      <c r="FB28">
        <v>-1</v>
      </c>
      <c r="FC28">
        <v>-1</v>
      </c>
      <c r="FD28">
        <v>1.8</v>
      </c>
      <c r="FE28">
        <v>2.1</v>
      </c>
      <c r="FF28">
        <v>1.16211</v>
      </c>
      <c r="FG28">
        <v>2.5744600000000002</v>
      </c>
      <c r="FH28">
        <v>2.19604</v>
      </c>
      <c r="FI28">
        <v>2.5756800000000002</v>
      </c>
      <c r="FJ28">
        <v>2.4462899999999999</v>
      </c>
      <c r="FK28">
        <v>2.3022499999999999</v>
      </c>
      <c r="FL28">
        <v>32.9315</v>
      </c>
      <c r="FM28">
        <v>24.14</v>
      </c>
      <c r="FN28">
        <v>19</v>
      </c>
      <c r="FO28">
        <v>866.76300000000003</v>
      </c>
      <c r="FP28">
        <v>574.26499999999999</v>
      </c>
      <c r="FQ28">
        <v>17.862500000000001</v>
      </c>
      <c r="FR28">
        <v>26.080100000000002</v>
      </c>
      <c r="FS28">
        <v>30</v>
      </c>
      <c r="FT28">
        <v>26.079599999999999</v>
      </c>
      <c r="FU28">
        <v>26.082000000000001</v>
      </c>
      <c r="FV28">
        <v>23.3261</v>
      </c>
      <c r="FW28">
        <v>29.168500000000002</v>
      </c>
      <c r="FX28">
        <v>36.090499999999999</v>
      </c>
      <c r="FY28">
        <v>17.866900000000001</v>
      </c>
      <c r="FZ28">
        <v>375</v>
      </c>
      <c r="GA28">
        <v>13.398099999999999</v>
      </c>
      <c r="GB28">
        <v>99.797399999999996</v>
      </c>
      <c r="GC28">
        <v>99.753900000000002</v>
      </c>
    </row>
    <row r="29" spans="1:185" x14ac:dyDescent="0.2">
      <c r="A29">
        <v>14</v>
      </c>
      <c r="B29">
        <v>1771103327.0999999</v>
      </c>
      <c r="C29">
        <v>214</v>
      </c>
      <c r="D29" t="s">
        <v>323</v>
      </c>
      <c r="E29" t="s">
        <v>324</v>
      </c>
      <c r="F29">
        <v>15</v>
      </c>
      <c r="G29">
        <v>1771103319.03333</v>
      </c>
      <c r="H29">
        <f t="shared" si="0"/>
        <v>1.6296383235826569E-3</v>
      </c>
      <c r="I29">
        <v>0</v>
      </c>
      <c r="J29">
        <f t="shared" si="12"/>
        <v>-2.6372156666252426E-2</v>
      </c>
      <c r="K29">
        <f t="shared" si="1"/>
        <v>-0.47156723874424017</v>
      </c>
      <c r="L29">
        <f t="shared" si="2"/>
        <v>69.649399305063469</v>
      </c>
      <c r="M29">
        <f t="shared" si="3"/>
        <v>1.5354586001659734</v>
      </c>
      <c r="N29">
        <f t="shared" si="4"/>
        <v>2.2045539738838014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26225.943054400483</v>
      </c>
      <c r="T29">
        <f t="shared" si="8"/>
        <v>799.999866666667</v>
      </c>
      <c r="U29">
        <f t="shared" si="9"/>
        <v>674.40004439997415</v>
      </c>
      <c r="V29">
        <f t="shared" si="10"/>
        <v>0.84300019599999998</v>
      </c>
      <c r="W29">
        <f t="shared" si="11"/>
        <v>0.15870049</v>
      </c>
      <c r="X29">
        <v>1</v>
      </c>
      <c r="Y29">
        <v>1771103319.03333</v>
      </c>
      <c r="Z29">
        <v>374.82073333333301</v>
      </c>
      <c r="AA29">
        <v>374.9948</v>
      </c>
      <c r="AB29">
        <v>15.3542466666667</v>
      </c>
      <c r="AC29">
        <v>13.3485</v>
      </c>
      <c r="AD29">
        <v>375.52499999999998</v>
      </c>
      <c r="AE29">
        <v>15.3072866666667</v>
      </c>
      <c r="AF29">
        <v>800.00953333333302</v>
      </c>
      <c r="AG29">
        <v>99.938760000000002</v>
      </c>
      <c r="AH29">
        <v>6.3450039999999999E-2</v>
      </c>
      <c r="AI29">
        <v>18.995446666666702</v>
      </c>
      <c r="AJ29">
        <v>999.9</v>
      </c>
      <c r="AK29">
        <v>999.9</v>
      </c>
      <c r="AL29">
        <v>0</v>
      </c>
      <c r="AM29">
        <v>0</v>
      </c>
      <c r="AN29">
        <v>5003.2</v>
      </c>
      <c r="AO29">
        <v>0</v>
      </c>
      <c r="AP29">
        <v>1.63733</v>
      </c>
      <c r="AQ29">
        <v>-0.17404993333333299</v>
      </c>
      <c r="AR29">
        <v>380.66546666666699</v>
      </c>
      <c r="AS29">
        <v>380.06806666666699</v>
      </c>
      <c r="AT29">
        <v>2.0057459999999998</v>
      </c>
      <c r="AU29">
        <v>374.9948</v>
      </c>
      <c r="AV29">
        <v>13.3485</v>
      </c>
      <c r="AW29">
        <v>1.534484</v>
      </c>
      <c r="AX29">
        <v>1.3340320000000001</v>
      </c>
      <c r="AY29">
        <v>13.3161666666667</v>
      </c>
      <c r="AZ29">
        <v>11.187846666666699</v>
      </c>
      <c r="BA29">
        <v>799.999866666667</v>
      </c>
      <c r="BB29">
        <v>0.89999346666666702</v>
      </c>
      <c r="BC29">
        <v>0</v>
      </c>
      <c r="BD29">
        <v>0.10000653333333299</v>
      </c>
      <c r="BE29">
        <v>0</v>
      </c>
      <c r="BF29">
        <v>25</v>
      </c>
      <c r="BG29">
        <v>13190.993333333299</v>
      </c>
      <c r="BH29">
        <v>1771103205.0999999</v>
      </c>
      <c r="BI29" t="s">
        <v>305</v>
      </c>
      <c r="BJ29">
        <v>1771103205.0999999</v>
      </c>
      <c r="BK29">
        <v>1771103183.0999999</v>
      </c>
      <c r="BL29">
        <v>12</v>
      </c>
      <c r="BM29">
        <v>-2E-3</v>
      </c>
      <c r="BN29">
        <v>-1.2E-2</v>
      </c>
      <c r="BO29">
        <v>-0.70399999999999996</v>
      </c>
      <c r="BP29">
        <v>4.7E-2</v>
      </c>
      <c r="BQ29">
        <v>375</v>
      </c>
      <c r="BR29">
        <v>13</v>
      </c>
      <c r="BS29">
        <v>0.1</v>
      </c>
      <c r="BT29">
        <v>0.03</v>
      </c>
      <c r="BU29">
        <v>-0.171460857142857</v>
      </c>
      <c r="BV29">
        <v>-4.9348831168831299E-2</v>
      </c>
      <c r="BW29">
        <v>2.3585206330372799E-2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2.0071490476190501</v>
      </c>
      <c r="CD29">
        <v>-6.8428831168829904E-2</v>
      </c>
      <c r="CE29">
        <v>1.03352014769505E-2</v>
      </c>
      <c r="CF29">
        <v>1</v>
      </c>
      <c r="CG29">
        <v>2</v>
      </c>
      <c r="CH29">
        <v>2</v>
      </c>
      <c r="CI29" t="s">
        <v>322</v>
      </c>
      <c r="CJ29">
        <v>3.5325000000000002</v>
      </c>
      <c r="CK29">
        <v>2.7011400000000001</v>
      </c>
      <c r="CL29">
        <v>9.1130100000000006E-2</v>
      </c>
      <c r="CM29">
        <v>8.9923900000000001E-2</v>
      </c>
      <c r="CN29">
        <v>8.6863599999999999E-2</v>
      </c>
      <c r="CO29">
        <v>7.7360700000000004E-2</v>
      </c>
      <c r="CP29">
        <v>31839.8</v>
      </c>
      <c r="CQ29">
        <v>28023.599999999999</v>
      </c>
      <c r="CR29">
        <v>32426.1</v>
      </c>
      <c r="CS29">
        <v>30722.3</v>
      </c>
      <c r="CT29">
        <v>40104.199999999997</v>
      </c>
      <c r="CU29">
        <v>39876</v>
      </c>
      <c r="CV29">
        <v>47366.6</v>
      </c>
      <c r="CW29">
        <v>46866.3</v>
      </c>
      <c r="CX29">
        <v>2.6145999999999998</v>
      </c>
      <c r="CY29">
        <v>2.1191800000000001</v>
      </c>
      <c r="CZ29">
        <v>0</v>
      </c>
      <c r="DA29">
        <v>0</v>
      </c>
      <c r="DB29">
        <v>999.9</v>
      </c>
      <c r="DC29">
        <v>999.9</v>
      </c>
      <c r="DD29">
        <v>45.628999999999998</v>
      </c>
      <c r="DE29">
        <v>28.600999999999999</v>
      </c>
      <c r="DF29">
        <v>17.941800000000001</v>
      </c>
      <c r="DG29">
        <v>30.528199999999998</v>
      </c>
      <c r="DH29">
        <v>17.1554</v>
      </c>
      <c r="DI29">
        <v>2</v>
      </c>
      <c r="DJ29">
        <v>-7.0528499999999994E-2</v>
      </c>
      <c r="DK29">
        <v>2.61652</v>
      </c>
      <c r="DL29">
        <v>20.189399999999999</v>
      </c>
      <c r="DM29">
        <v>5.2497600000000002</v>
      </c>
      <c r="DN29">
        <v>12.033899999999999</v>
      </c>
      <c r="DO29">
        <v>4.9673999999999996</v>
      </c>
      <c r="DP29">
        <v>3.2909999999999999</v>
      </c>
      <c r="DQ29">
        <v>607.70000000000005</v>
      </c>
      <c r="DR29">
        <v>9999</v>
      </c>
      <c r="DS29">
        <v>9999</v>
      </c>
      <c r="DT29">
        <v>9999</v>
      </c>
      <c r="DU29">
        <v>1.8711899999999999</v>
      </c>
      <c r="DV29">
        <v>1.8762099999999999</v>
      </c>
      <c r="DW29">
        <v>1.8763700000000001</v>
      </c>
      <c r="DX29">
        <v>1.8829100000000001</v>
      </c>
      <c r="DY29">
        <v>1.8756299999999999</v>
      </c>
      <c r="DZ29">
        <v>1.87469</v>
      </c>
      <c r="EA29">
        <v>1.8708800000000001</v>
      </c>
      <c r="EB29">
        <v>1.87469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-0.70399999999999996</v>
      </c>
      <c r="EQ29">
        <v>4.7E-2</v>
      </c>
      <c r="ER29">
        <v>-0.704300000000046</v>
      </c>
      <c r="ES29">
        <v>0</v>
      </c>
      <c r="ET29">
        <v>0</v>
      </c>
      <c r="EU29">
        <v>0</v>
      </c>
      <c r="EV29">
        <v>4.6972727272725799E-2</v>
      </c>
      <c r="EW29">
        <v>0</v>
      </c>
      <c r="EX29">
        <v>0</v>
      </c>
      <c r="EY29">
        <v>0</v>
      </c>
      <c r="EZ29">
        <v>-1</v>
      </c>
      <c r="FA29">
        <v>-1</v>
      </c>
      <c r="FB29">
        <v>-1</v>
      </c>
      <c r="FC29">
        <v>-1</v>
      </c>
      <c r="FD29">
        <v>2</v>
      </c>
      <c r="FE29">
        <v>2.4</v>
      </c>
      <c r="FF29">
        <v>1.16211</v>
      </c>
      <c r="FG29">
        <v>2.5756800000000002</v>
      </c>
      <c r="FH29">
        <v>2.19604</v>
      </c>
      <c r="FI29">
        <v>2.5756800000000002</v>
      </c>
      <c r="FJ29">
        <v>2.4462899999999999</v>
      </c>
      <c r="FK29">
        <v>2.32056</v>
      </c>
      <c r="FL29">
        <v>32.9315</v>
      </c>
      <c r="FM29">
        <v>24.14</v>
      </c>
      <c r="FN29">
        <v>19</v>
      </c>
      <c r="FO29">
        <v>866.89300000000003</v>
      </c>
      <c r="FP29">
        <v>574.37300000000005</v>
      </c>
      <c r="FQ29">
        <v>17.872</v>
      </c>
      <c r="FR29">
        <v>26.078800000000001</v>
      </c>
      <c r="FS29">
        <v>30.0001</v>
      </c>
      <c r="FT29">
        <v>26.079599999999999</v>
      </c>
      <c r="FU29">
        <v>26.083300000000001</v>
      </c>
      <c r="FV29">
        <v>23.324999999999999</v>
      </c>
      <c r="FW29">
        <v>28.886099999999999</v>
      </c>
      <c r="FX29">
        <v>35.712699999999998</v>
      </c>
      <c r="FY29">
        <v>17.8764</v>
      </c>
      <c r="FZ29">
        <v>375</v>
      </c>
      <c r="GA29">
        <v>13.424099999999999</v>
      </c>
      <c r="GB29">
        <v>99.7988</v>
      </c>
      <c r="GC29">
        <v>99.756699999999995</v>
      </c>
    </row>
    <row r="30" spans="1:185" x14ac:dyDescent="0.2">
      <c r="A30">
        <v>15</v>
      </c>
      <c r="B30">
        <v>1771103342.0999999</v>
      </c>
      <c r="C30">
        <v>229</v>
      </c>
      <c r="D30" t="s">
        <v>325</v>
      </c>
      <c r="E30" t="s">
        <v>326</v>
      </c>
      <c r="F30">
        <v>15</v>
      </c>
      <c r="G30">
        <v>1771103334.03333</v>
      </c>
      <c r="H30">
        <f t="shared" si="0"/>
        <v>1.6195748416990511E-3</v>
      </c>
      <c r="I30">
        <v>0</v>
      </c>
      <c r="J30">
        <f t="shared" si="12"/>
        <v>-2.5101034544901583E-2</v>
      </c>
      <c r="K30">
        <f t="shared" si="1"/>
        <v>-0.44883798089635263</v>
      </c>
      <c r="L30">
        <f t="shared" si="2"/>
        <v>69.665133695503599</v>
      </c>
      <c r="M30">
        <f t="shared" si="3"/>
        <v>1.5360310358574518</v>
      </c>
      <c r="N30">
        <f t="shared" si="4"/>
        <v>2.2048777550205032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26190.55695512897</v>
      </c>
      <c r="T30">
        <f t="shared" si="8"/>
        <v>800.00086666666698</v>
      </c>
      <c r="U30">
        <f t="shared" si="9"/>
        <v>674.40093060021695</v>
      </c>
      <c r="V30">
        <f t="shared" si="10"/>
        <v>0.84300025000000001</v>
      </c>
      <c r="W30">
        <f t="shared" si="11"/>
        <v>0.15870062499999998</v>
      </c>
      <c r="X30">
        <v>1</v>
      </c>
      <c r="Y30">
        <v>1771103334.03333</v>
      </c>
      <c r="Z30">
        <v>374.80686666666702</v>
      </c>
      <c r="AA30">
        <v>375.00459999999998</v>
      </c>
      <c r="AB30">
        <v>15.360006666666701</v>
      </c>
      <c r="AC30">
        <v>13.366673333333299</v>
      </c>
      <c r="AD30">
        <v>375.51113333333302</v>
      </c>
      <c r="AE30">
        <v>15.3130466666667</v>
      </c>
      <c r="AF30">
        <v>800.01580000000001</v>
      </c>
      <c r="AG30">
        <v>99.938646666666699</v>
      </c>
      <c r="AH30">
        <v>6.3330493333333293E-2</v>
      </c>
      <c r="AI30">
        <v>18.997800000000002</v>
      </c>
      <c r="AJ30">
        <v>999.9</v>
      </c>
      <c r="AK30">
        <v>999.9</v>
      </c>
      <c r="AL30">
        <v>0</v>
      </c>
      <c r="AM30">
        <v>0</v>
      </c>
      <c r="AN30">
        <v>4997.3999999999996</v>
      </c>
      <c r="AO30">
        <v>0</v>
      </c>
      <c r="AP30">
        <v>1.63733</v>
      </c>
      <c r="AQ30">
        <v>-0.19788620000000001</v>
      </c>
      <c r="AR30">
        <v>380.65366666666699</v>
      </c>
      <c r="AS30">
        <v>380.08519999999999</v>
      </c>
      <c r="AT30">
        <v>1.99333266666667</v>
      </c>
      <c r="AU30">
        <v>375.00459999999998</v>
      </c>
      <c r="AV30">
        <v>13.366673333333299</v>
      </c>
      <c r="AW30">
        <v>1.5350586666666699</v>
      </c>
      <c r="AX30">
        <v>1.33584866666667</v>
      </c>
      <c r="AY30">
        <v>13.321906666666701</v>
      </c>
      <c r="AZ30">
        <v>11.208360000000001</v>
      </c>
      <c r="BA30">
        <v>800.00086666666698</v>
      </c>
      <c r="BB30">
        <v>0.89999166666666697</v>
      </c>
      <c r="BC30">
        <v>0</v>
      </c>
      <c r="BD30">
        <v>0.100008333333333</v>
      </c>
      <c r="BE30">
        <v>0</v>
      </c>
      <c r="BF30">
        <v>25</v>
      </c>
      <c r="BG30">
        <v>13191.026666666699</v>
      </c>
      <c r="BH30">
        <v>1771103205.0999999</v>
      </c>
      <c r="BI30" t="s">
        <v>305</v>
      </c>
      <c r="BJ30">
        <v>1771103205.0999999</v>
      </c>
      <c r="BK30">
        <v>1771103183.0999999</v>
      </c>
      <c r="BL30">
        <v>12</v>
      </c>
      <c r="BM30">
        <v>-2E-3</v>
      </c>
      <c r="BN30">
        <v>-1.2E-2</v>
      </c>
      <c r="BO30">
        <v>-0.70399999999999996</v>
      </c>
      <c r="BP30">
        <v>4.7E-2</v>
      </c>
      <c r="BQ30">
        <v>375</v>
      </c>
      <c r="BR30">
        <v>13</v>
      </c>
      <c r="BS30">
        <v>0.1</v>
      </c>
      <c r="BT30">
        <v>0.03</v>
      </c>
      <c r="BU30">
        <v>-0.1950501</v>
      </c>
      <c r="BV30">
        <v>-3.3248120300751798E-2</v>
      </c>
      <c r="BW30">
        <v>1.4466873894867499E-2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1.9929005</v>
      </c>
      <c r="CD30">
        <v>4.7003007518788597E-3</v>
      </c>
      <c r="CE30">
        <v>2.6582409127089701E-3</v>
      </c>
      <c r="CF30">
        <v>1</v>
      </c>
      <c r="CG30">
        <v>2</v>
      </c>
      <c r="CH30">
        <v>2</v>
      </c>
      <c r="CI30" t="s">
        <v>322</v>
      </c>
      <c r="CJ30">
        <v>3.5325899999999999</v>
      </c>
      <c r="CK30">
        <v>2.7010100000000001</v>
      </c>
      <c r="CL30">
        <v>9.1123300000000004E-2</v>
      </c>
      <c r="CM30">
        <v>8.99113E-2</v>
      </c>
      <c r="CN30">
        <v>8.6890700000000001E-2</v>
      </c>
      <c r="CO30">
        <v>7.7420199999999995E-2</v>
      </c>
      <c r="CP30">
        <v>31839.599999999999</v>
      </c>
      <c r="CQ30">
        <v>28022.7</v>
      </c>
      <c r="CR30">
        <v>32425.7</v>
      </c>
      <c r="CS30">
        <v>30720.9</v>
      </c>
      <c r="CT30">
        <v>40102.300000000003</v>
      </c>
      <c r="CU30">
        <v>39871.9</v>
      </c>
      <c r="CV30">
        <v>47365.8</v>
      </c>
      <c r="CW30">
        <v>46864.5</v>
      </c>
      <c r="CX30">
        <v>2.61456</v>
      </c>
      <c r="CY30">
        <v>2.1195200000000001</v>
      </c>
      <c r="CZ30">
        <v>0</v>
      </c>
      <c r="DA30">
        <v>0</v>
      </c>
      <c r="DB30">
        <v>999.9</v>
      </c>
      <c r="DC30">
        <v>999.9</v>
      </c>
      <c r="DD30">
        <v>45.555999999999997</v>
      </c>
      <c r="DE30">
        <v>28.600999999999999</v>
      </c>
      <c r="DF30">
        <v>17.9146</v>
      </c>
      <c r="DG30">
        <v>30.558199999999999</v>
      </c>
      <c r="DH30">
        <v>16.967099999999999</v>
      </c>
      <c r="DI30">
        <v>2</v>
      </c>
      <c r="DJ30">
        <v>-7.0418700000000001E-2</v>
      </c>
      <c r="DK30">
        <v>2.6257999999999999</v>
      </c>
      <c r="DL30">
        <v>20.189</v>
      </c>
      <c r="DM30">
        <v>5.2501199999999999</v>
      </c>
      <c r="DN30">
        <v>12.033899999999999</v>
      </c>
      <c r="DO30">
        <v>4.9672400000000003</v>
      </c>
      <c r="DP30">
        <v>3.2909999999999999</v>
      </c>
      <c r="DQ30">
        <v>607.70000000000005</v>
      </c>
      <c r="DR30">
        <v>9999</v>
      </c>
      <c r="DS30">
        <v>9999</v>
      </c>
      <c r="DT30">
        <v>9999</v>
      </c>
      <c r="DU30">
        <v>1.8711599999999999</v>
      </c>
      <c r="DV30">
        <v>1.87618</v>
      </c>
      <c r="DW30">
        <v>1.8763700000000001</v>
      </c>
      <c r="DX30">
        <v>1.8828800000000001</v>
      </c>
      <c r="DY30">
        <v>1.8756200000000001</v>
      </c>
      <c r="DZ30">
        <v>1.87469</v>
      </c>
      <c r="EA30">
        <v>1.8708800000000001</v>
      </c>
      <c r="EB30">
        <v>1.8746799999999999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-0.70499999999999996</v>
      </c>
      <c r="EQ30">
        <v>4.6899999999999997E-2</v>
      </c>
      <c r="ER30">
        <v>-0.704300000000046</v>
      </c>
      <c r="ES30">
        <v>0</v>
      </c>
      <c r="ET30">
        <v>0</v>
      </c>
      <c r="EU30">
        <v>0</v>
      </c>
      <c r="EV30">
        <v>4.6972727272725799E-2</v>
      </c>
      <c r="EW30">
        <v>0</v>
      </c>
      <c r="EX30">
        <v>0</v>
      </c>
      <c r="EY30">
        <v>0</v>
      </c>
      <c r="EZ30">
        <v>-1</v>
      </c>
      <c r="FA30">
        <v>-1</v>
      </c>
      <c r="FB30">
        <v>-1</v>
      </c>
      <c r="FC30">
        <v>-1</v>
      </c>
      <c r="FD30">
        <v>2.2999999999999998</v>
      </c>
      <c r="FE30">
        <v>2.6</v>
      </c>
      <c r="FF30">
        <v>1.16211</v>
      </c>
      <c r="FG30">
        <v>2.5805699999999998</v>
      </c>
      <c r="FH30">
        <v>2.19604</v>
      </c>
      <c r="FI30">
        <v>2.5756800000000002</v>
      </c>
      <c r="FJ30">
        <v>2.4462899999999999</v>
      </c>
      <c r="FK30">
        <v>2.2534200000000002</v>
      </c>
      <c r="FL30">
        <v>32.9315</v>
      </c>
      <c r="FM30">
        <v>24.1313</v>
      </c>
      <c r="FN30">
        <v>19</v>
      </c>
      <c r="FO30">
        <v>866.85599999999999</v>
      </c>
      <c r="FP30">
        <v>574.63300000000004</v>
      </c>
      <c r="FQ30">
        <v>17.880600000000001</v>
      </c>
      <c r="FR30">
        <v>26.078800000000001</v>
      </c>
      <c r="FS30">
        <v>30.0002</v>
      </c>
      <c r="FT30">
        <v>26.079599999999999</v>
      </c>
      <c r="FU30">
        <v>26.083300000000001</v>
      </c>
      <c r="FV30">
        <v>23.327000000000002</v>
      </c>
      <c r="FW30">
        <v>28.609100000000002</v>
      </c>
      <c r="FX30">
        <v>35.712699999999998</v>
      </c>
      <c r="FY30">
        <v>17.880500000000001</v>
      </c>
      <c r="FZ30">
        <v>375</v>
      </c>
      <c r="GA30">
        <v>13.4313</v>
      </c>
      <c r="GB30">
        <v>99.797200000000004</v>
      </c>
      <c r="GC30">
        <v>99.752700000000004</v>
      </c>
    </row>
    <row r="31" spans="1:185" x14ac:dyDescent="0.2">
      <c r="A31">
        <v>16</v>
      </c>
      <c r="B31">
        <v>1771103357.0999999</v>
      </c>
      <c r="C31">
        <v>244</v>
      </c>
      <c r="D31" t="s">
        <v>327</v>
      </c>
      <c r="E31" t="s">
        <v>328</v>
      </c>
      <c r="F31">
        <v>15</v>
      </c>
      <c r="G31">
        <v>1771103349.03333</v>
      </c>
      <c r="H31">
        <f t="shared" si="0"/>
        <v>1.6027110243558916E-3</v>
      </c>
      <c r="I31">
        <v>0</v>
      </c>
      <c r="J31">
        <f t="shared" si="12"/>
        <v>-2.5196695367764928E-2</v>
      </c>
      <c r="K31">
        <f t="shared" si="1"/>
        <v>-0.45054851639273075</v>
      </c>
      <c r="L31">
        <f t="shared" si="2"/>
        <v>69.727976279450516</v>
      </c>
      <c r="M31">
        <f t="shared" si="3"/>
        <v>1.5376661017077633</v>
      </c>
      <c r="N31">
        <f t="shared" si="4"/>
        <v>2.2052355220309581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26235.538288514428</v>
      </c>
      <c r="T31">
        <f t="shared" si="8"/>
        <v>799.99900000000002</v>
      </c>
      <c r="U31">
        <f t="shared" si="9"/>
        <v>674.39937299972996</v>
      </c>
      <c r="V31">
        <f t="shared" si="10"/>
        <v>0.84300027</v>
      </c>
      <c r="W31">
        <f t="shared" si="11"/>
        <v>0.15870067499999999</v>
      </c>
      <c r="X31">
        <v>1</v>
      </c>
      <c r="Y31">
        <v>1771103349.03333</v>
      </c>
      <c r="Z31">
        <v>374.79193333333302</v>
      </c>
      <c r="AA31">
        <v>374.9796</v>
      </c>
      <c r="AB31">
        <v>15.3763733333333</v>
      </c>
      <c r="AC31">
        <v>13.4038066666667</v>
      </c>
      <c r="AD31">
        <v>375.49633333333298</v>
      </c>
      <c r="AE31">
        <v>15.3293866666667</v>
      </c>
      <c r="AF31">
        <v>800.00699999999995</v>
      </c>
      <c r="AG31">
        <v>99.938540000000003</v>
      </c>
      <c r="AH31">
        <v>6.3330946666666693E-2</v>
      </c>
      <c r="AI31">
        <v>19.000399999999999</v>
      </c>
      <c r="AJ31">
        <v>999.9</v>
      </c>
      <c r="AK31">
        <v>999.9</v>
      </c>
      <c r="AL31">
        <v>0</v>
      </c>
      <c r="AM31">
        <v>0</v>
      </c>
      <c r="AN31">
        <v>5004.8666666666704</v>
      </c>
      <c r="AO31">
        <v>0</v>
      </c>
      <c r="AP31">
        <v>1.63733</v>
      </c>
      <c r="AQ31">
        <v>-0.187605733333333</v>
      </c>
      <c r="AR31">
        <v>380.64493333333297</v>
      </c>
      <c r="AS31">
        <v>380.07406666666702</v>
      </c>
      <c r="AT31">
        <v>1.97256533333333</v>
      </c>
      <c r="AU31">
        <v>374.9796</v>
      </c>
      <c r="AV31">
        <v>13.4038066666667</v>
      </c>
      <c r="AW31">
        <v>1.5366899999999999</v>
      </c>
      <c r="AX31">
        <v>1.3395566666666701</v>
      </c>
      <c r="AY31">
        <v>13.33822</v>
      </c>
      <c r="AZ31">
        <v>11.250166666666701</v>
      </c>
      <c r="BA31">
        <v>799.99900000000002</v>
      </c>
      <c r="BB31">
        <v>0.89999099999999999</v>
      </c>
      <c r="BC31">
        <v>0</v>
      </c>
      <c r="BD31">
        <v>0.100009</v>
      </c>
      <c r="BE31">
        <v>0</v>
      </c>
      <c r="BF31">
        <v>25</v>
      </c>
      <c r="BG31">
        <v>13190.9666666667</v>
      </c>
      <c r="BH31">
        <v>1771103205.0999999</v>
      </c>
      <c r="BI31" t="s">
        <v>305</v>
      </c>
      <c r="BJ31">
        <v>1771103205.0999999</v>
      </c>
      <c r="BK31">
        <v>1771103183.0999999</v>
      </c>
      <c r="BL31">
        <v>12</v>
      </c>
      <c r="BM31">
        <v>-2E-3</v>
      </c>
      <c r="BN31">
        <v>-1.2E-2</v>
      </c>
      <c r="BO31">
        <v>-0.70399999999999996</v>
      </c>
      <c r="BP31">
        <v>4.7E-2</v>
      </c>
      <c r="BQ31">
        <v>375</v>
      </c>
      <c r="BR31">
        <v>13</v>
      </c>
      <c r="BS31">
        <v>0.1</v>
      </c>
      <c r="BT31">
        <v>0.03</v>
      </c>
      <c r="BU31">
        <v>-0.189922476190476</v>
      </c>
      <c r="BV31">
        <v>-8.4540233766233805E-2</v>
      </c>
      <c r="BW31">
        <v>2.5071572290276799E-2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1.9781419047619</v>
      </c>
      <c r="CD31">
        <v>-7.5458181818181994E-2</v>
      </c>
      <c r="CE31">
        <v>1.01418443044494E-2</v>
      </c>
      <c r="CF31">
        <v>1</v>
      </c>
      <c r="CG31">
        <v>2</v>
      </c>
      <c r="CH31">
        <v>2</v>
      </c>
      <c r="CI31" t="s">
        <v>322</v>
      </c>
      <c r="CJ31">
        <v>3.5325000000000002</v>
      </c>
      <c r="CK31">
        <v>2.7013400000000001</v>
      </c>
      <c r="CL31">
        <v>9.1125300000000006E-2</v>
      </c>
      <c r="CM31">
        <v>8.9925400000000003E-2</v>
      </c>
      <c r="CN31">
        <v>8.6991200000000005E-2</v>
      </c>
      <c r="CO31">
        <v>7.75309E-2</v>
      </c>
      <c r="CP31">
        <v>31839.599999999999</v>
      </c>
      <c r="CQ31">
        <v>28022.6</v>
      </c>
      <c r="CR31">
        <v>32425.7</v>
      </c>
      <c r="CS31">
        <v>30721.200000000001</v>
      </c>
      <c r="CT31">
        <v>40098.1</v>
      </c>
      <c r="CU31">
        <v>39866.9</v>
      </c>
      <c r="CV31">
        <v>47366.2</v>
      </c>
      <c r="CW31">
        <v>46864.4</v>
      </c>
      <c r="CX31">
        <v>2.6145800000000001</v>
      </c>
      <c r="CY31">
        <v>2.1193200000000001</v>
      </c>
      <c r="CZ31">
        <v>0</v>
      </c>
      <c r="DA31">
        <v>0</v>
      </c>
      <c r="DB31">
        <v>999.9</v>
      </c>
      <c r="DC31">
        <v>999.9</v>
      </c>
      <c r="DD31">
        <v>45.531999999999996</v>
      </c>
      <c r="DE31">
        <v>28.600999999999999</v>
      </c>
      <c r="DF31">
        <v>17.905000000000001</v>
      </c>
      <c r="DG31">
        <v>30.588200000000001</v>
      </c>
      <c r="DH31">
        <v>17.035299999999999</v>
      </c>
      <c r="DI31">
        <v>2</v>
      </c>
      <c r="DJ31">
        <v>-7.0437E-2</v>
      </c>
      <c r="DK31">
        <v>2.6462500000000002</v>
      </c>
      <c r="DL31">
        <v>20.188500000000001</v>
      </c>
      <c r="DM31">
        <v>5.2508299999999997</v>
      </c>
      <c r="DN31">
        <v>12.033899999999999</v>
      </c>
      <c r="DO31">
        <v>4.9671599999999998</v>
      </c>
      <c r="DP31">
        <v>3.2909999999999999</v>
      </c>
      <c r="DQ31">
        <v>607.70000000000005</v>
      </c>
      <c r="DR31">
        <v>9999</v>
      </c>
      <c r="DS31">
        <v>9999</v>
      </c>
      <c r="DT31">
        <v>9999</v>
      </c>
      <c r="DU31">
        <v>1.87117</v>
      </c>
      <c r="DV31">
        <v>1.8761699999999999</v>
      </c>
      <c r="DW31">
        <v>1.8763700000000001</v>
      </c>
      <c r="DX31">
        <v>1.8829100000000001</v>
      </c>
      <c r="DY31">
        <v>1.87561</v>
      </c>
      <c r="DZ31">
        <v>1.87469</v>
      </c>
      <c r="EA31">
        <v>1.87087</v>
      </c>
      <c r="EB31">
        <v>1.87469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-0.70399999999999996</v>
      </c>
      <c r="EQ31">
        <v>4.7E-2</v>
      </c>
      <c r="ER31">
        <v>-0.704300000000046</v>
      </c>
      <c r="ES31">
        <v>0</v>
      </c>
      <c r="ET31">
        <v>0</v>
      </c>
      <c r="EU31">
        <v>0</v>
      </c>
      <c r="EV31">
        <v>4.6972727272725799E-2</v>
      </c>
      <c r="EW31">
        <v>0</v>
      </c>
      <c r="EX31">
        <v>0</v>
      </c>
      <c r="EY31">
        <v>0</v>
      </c>
      <c r="EZ31">
        <v>-1</v>
      </c>
      <c r="FA31">
        <v>-1</v>
      </c>
      <c r="FB31">
        <v>-1</v>
      </c>
      <c r="FC31">
        <v>-1</v>
      </c>
      <c r="FD31">
        <v>2.5</v>
      </c>
      <c r="FE31">
        <v>2.9</v>
      </c>
      <c r="FF31">
        <v>1.16211</v>
      </c>
      <c r="FG31">
        <v>2.5793499999999998</v>
      </c>
      <c r="FH31">
        <v>2.19604</v>
      </c>
      <c r="FI31">
        <v>2.5756800000000002</v>
      </c>
      <c r="FJ31">
        <v>2.4462899999999999</v>
      </c>
      <c r="FK31">
        <v>2.31934</v>
      </c>
      <c r="FL31">
        <v>32.9315</v>
      </c>
      <c r="FM31">
        <v>24.14</v>
      </c>
      <c r="FN31">
        <v>19</v>
      </c>
      <c r="FO31">
        <v>866.90300000000002</v>
      </c>
      <c r="FP31">
        <v>574.48</v>
      </c>
      <c r="FQ31">
        <v>17.8734</v>
      </c>
      <c r="FR31">
        <v>26.079699999999999</v>
      </c>
      <c r="FS31">
        <v>30.0001</v>
      </c>
      <c r="FT31">
        <v>26.081399999999999</v>
      </c>
      <c r="FU31">
        <v>26.083300000000001</v>
      </c>
      <c r="FV31">
        <v>23.326899999999998</v>
      </c>
      <c r="FW31">
        <v>28.609100000000002</v>
      </c>
      <c r="FX31">
        <v>35.3399</v>
      </c>
      <c r="FY31">
        <v>17.873799999999999</v>
      </c>
      <c r="FZ31">
        <v>375</v>
      </c>
      <c r="GA31">
        <v>13.424300000000001</v>
      </c>
      <c r="GB31">
        <v>99.797700000000006</v>
      </c>
      <c r="GC31">
        <v>99.752899999999997</v>
      </c>
    </row>
    <row r="32" spans="1:185" x14ac:dyDescent="0.2">
      <c r="A32">
        <v>17</v>
      </c>
      <c r="B32">
        <v>1771103372.0999999</v>
      </c>
      <c r="C32">
        <v>259</v>
      </c>
      <c r="D32" t="s">
        <v>329</v>
      </c>
      <c r="E32" t="s">
        <v>330</v>
      </c>
      <c r="F32">
        <v>15</v>
      </c>
      <c r="G32">
        <v>1771103364.03333</v>
      </c>
      <c r="H32">
        <f t="shared" si="0"/>
        <v>1.6369978510840232E-3</v>
      </c>
      <c r="I32">
        <v>0</v>
      </c>
      <c r="J32">
        <f t="shared" si="12"/>
        <v>-2.4160935606289027E-2</v>
      </c>
      <c r="K32">
        <f t="shared" si="1"/>
        <v>-0.43202783274509371</v>
      </c>
      <c r="L32">
        <f t="shared" si="2"/>
        <v>69.765664117950891</v>
      </c>
      <c r="M32">
        <f t="shared" si="3"/>
        <v>1.5387173954854476</v>
      </c>
      <c r="N32">
        <f t="shared" si="4"/>
        <v>2.2055511331247137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26185.841746859511</v>
      </c>
      <c r="T32">
        <f t="shared" si="8"/>
        <v>799.99879999999996</v>
      </c>
      <c r="U32">
        <f t="shared" si="9"/>
        <v>674.39916439973524</v>
      </c>
      <c r="V32">
        <f t="shared" si="10"/>
        <v>0.84300021999999908</v>
      </c>
      <c r="W32">
        <f t="shared" si="11"/>
        <v>0.15870054999999983</v>
      </c>
      <c r="X32">
        <v>1</v>
      </c>
      <c r="Y32">
        <v>1771103364.03333</v>
      </c>
      <c r="Z32">
        <v>374.78593333333299</v>
      </c>
      <c r="AA32">
        <v>375.01280000000003</v>
      </c>
      <c r="AB32">
        <v>15.386753333333299</v>
      </c>
      <c r="AC32">
        <v>13.372019999999999</v>
      </c>
      <c r="AD32">
        <v>375.49046666666698</v>
      </c>
      <c r="AE32">
        <v>15.3397666666667</v>
      </c>
      <c r="AF32">
        <v>800.01146666666705</v>
      </c>
      <c r="AG32">
        <v>99.939286666666703</v>
      </c>
      <c r="AH32">
        <v>6.3446993333333299E-2</v>
      </c>
      <c r="AI32">
        <v>19.002693333333301</v>
      </c>
      <c r="AJ32">
        <v>999.9</v>
      </c>
      <c r="AK32">
        <v>999.9</v>
      </c>
      <c r="AL32">
        <v>0</v>
      </c>
      <c r="AM32">
        <v>0</v>
      </c>
      <c r="AN32">
        <v>4996.6666666666697</v>
      </c>
      <c r="AO32">
        <v>0</v>
      </c>
      <c r="AP32">
        <v>1.63733</v>
      </c>
      <c r="AQ32">
        <v>-0.226845133333333</v>
      </c>
      <c r="AR32">
        <v>380.64280000000002</v>
      </c>
      <c r="AS32">
        <v>380.09553333333298</v>
      </c>
      <c r="AT32">
        <v>2.0147279999999999</v>
      </c>
      <c r="AU32">
        <v>375.01280000000003</v>
      </c>
      <c r="AV32">
        <v>13.372019999999999</v>
      </c>
      <c r="AW32">
        <v>1.53774266666667</v>
      </c>
      <c r="AX32">
        <v>1.33639</v>
      </c>
      <c r="AY32">
        <v>13.3486666666667</v>
      </c>
      <c r="AZ32">
        <v>11.2144733333333</v>
      </c>
      <c r="BA32">
        <v>799.99879999999996</v>
      </c>
      <c r="BB32">
        <v>0.899992666666666</v>
      </c>
      <c r="BC32">
        <v>0</v>
      </c>
      <c r="BD32">
        <v>0.100007333333333</v>
      </c>
      <c r="BE32">
        <v>0</v>
      </c>
      <c r="BF32">
        <v>25</v>
      </c>
      <c r="BG32">
        <v>13190.98</v>
      </c>
      <c r="BH32">
        <v>1771103205.0999999</v>
      </c>
      <c r="BI32" t="s">
        <v>305</v>
      </c>
      <c r="BJ32">
        <v>1771103205.0999999</v>
      </c>
      <c r="BK32">
        <v>1771103183.0999999</v>
      </c>
      <c r="BL32">
        <v>12</v>
      </c>
      <c r="BM32">
        <v>-2E-3</v>
      </c>
      <c r="BN32">
        <v>-1.2E-2</v>
      </c>
      <c r="BO32">
        <v>-0.70399999999999996</v>
      </c>
      <c r="BP32">
        <v>4.7E-2</v>
      </c>
      <c r="BQ32">
        <v>375</v>
      </c>
      <c r="BR32">
        <v>13</v>
      </c>
      <c r="BS32">
        <v>0.1</v>
      </c>
      <c r="BT32">
        <v>0.03</v>
      </c>
      <c r="BU32">
        <v>-0.22608329999999999</v>
      </c>
      <c r="BV32">
        <v>1.8645022556391399E-2</v>
      </c>
      <c r="BW32">
        <v>1.4656700140550099E-2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2.0047285000000001</v>
      </c>
      <c r="CD32">
        <v>0.18779774436090299</v>
      </c>
      <c r="CE32">
        <v>2.11492917789225E-2</v>
      </c>
      <c r="CF32">
        <v>0</v>
      </c>
      <c r="CG32">
        <v>1</v>
      </c>
      <c r="CH32">
        <v>2</v>
      </c>
      <c r="CI32" t="s">
        <v>299</v>
      </c>
      <c r="CJ32">
        <v>3.5325199999999999</v>
      </c>
      <c r="CK32">
        <v>2.7011799999999999</v>
      </c>
      <c r="CL32">
        <v>9.1118900000000003E-2</v>
      </c>
      <c r="CM32">
        <v>8.9916399999999994E-2</v>
      </c>
      <c r="CN32">
        <v>8.6966799999999997E-2</v>
      </c>
      <c r="CO32">
        <v>7.7348799999999995E-2</v>
      </c>
      <c r="CP32">
        <v>31839.5</v>
      </c>
      <c r="CQ32">
        <v>28022.1</v>
      </c>
      <c r="CR32">
        <v>32425.4</v>
      </c>
      <c r="CS32">
        <v>30720.400000000001</v>
      </c>
      <c r="CT32">
        <v>40098.699999999997</v>
      </c>
      <c r="CU32">
        <v>39874.1</v>
      </c>
      <c r="CV32">
        <v>47365.7</v>
      </c>
      <c r="CW32">
        <v>46863.4</v>
      </c>
      <c r="CX32">
        <v>2.6145999999999998</v>
      </c>
      <c r="CY32">
        <v>2.1191800000000001</v>
      </c>
      <c r="CZ32">
        <v>0</v>
      </c>
      <c r="DA32">
        <v>0</v>
      </c>
      <c r="DB32">
        <v>999.9</v>
      </c>
      <c r="DC32">
        <v>999.9</v>
      </c>
      <c r="DD32">
        <v>45.421999999999997</v>
      </c>
      <c r="DE32">
        <v>28.620999999999999</v>
      </c>
      <c r="DF32">
        <v>17.881699999999999</v>
      </c>
      <c r="DG32">
        <v>30.558199999999999</v>
      </c>
      <c r="DH32">
        <v>17.051300000000001</v>
      </c>
      <c r="DI32">
        <v>2</v>
      </c>
      <c r="DJ32">
        <v>-7.0150400000000002E-2</v>
      </c>
      <c r="DK32">
        <v>2.6647400000000001</v>
      </c>
      <c r="DL32">
        <v>20.188300000000002</v>
      </c>
      <c r="DM32">
        <v>5.2502399999999998</v>
      </c>
      <c r="DN32">
        <v>12.033899999999999</v>
      </c>
      <c r="DO32">
        <v>4.9674800000000001</v>
      </c>
      <c r="DP32">
        <v>3.2909999999999999</v>
      </c>
      <c r="DQ32">
        <v>607.70000000000005</v>
      </c>
      <c r="DR32">
        <v>9999</v>
      </c>
      <c r="DS32">
        <v>9999</v>
      </c>
      <c r="DT32">
        <v>9999</v>
      </c>
      <c r="DU32">
        <v>1.87117</v>
      </c>
      <c r="DV32">
        <v>1.8761699999999999</v>
      </c>
      <c r="DW32">
        <v>1.8763700000000001</v>
      </c>
      <c r="DX32">
        <v>1.8828800000000001</v>
      </c>
      <c r="DY32">
        <v>1.87561</v>
      </c>
      <c r="DZ32">
        <v>1.87469</v>
      </c>
      <c r="EA32">
        <v>1.8708800000000001</v>
      </c>
      <c r="EB32">
        <v>1.87469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-0.70499999999999996</v>
      </c>
      <c r="EQ32">
        <v>4.7E-2</v>
      </c>
      <c r="ER32">
        <v>-0.704300000000046</v>
      </c>
      <c r="ES32">
        <v>0</v>
      </c>
      <c r="ET32">
        <v>0</v>
      </c>
      <c r="EU32">
        <v>0</v>
      </c>
      <c r="EV32">
        <v>4.6972727272725799E-2</v>
      </c>
      <c r="EW32">
        <v>0</v>
      </c>
      <c r="EX32">
        <v>0</v>
      </c>
      <c r="EY32">
        <v>0</v>
      </c>
      <c r="EZ32">
        <v>-1</v>
      </c>
      <c r="FA32">
        <v>-1</v>
      </c>
      <c r="FB32">
        <v>-1</v>
      </c>
      <c r="FC32">
        <v>-1</v>
      </c>
      <c r="FD32">
        <v>2.8</v>
      </c>
      <c r="FE32">
        <v>3.1</v>
      </c>
      <c r="FF32">
        <v>1.16211</v>
      </c>
      <c r="FG32">
        <v>2.5854499999999998</v>
      </c>
      <c r="FH32">
        <v>2.19604</v>
      </c>
      <c r="FI32">
        <v>2.5756800000000002</v>
      </c>
      <c r="FJ32">
        <v>2.4462899999999999</v>
      </c>
      <c r="FK32">
        <v>2.2741699999999998</v>
      </c>
      <c r="FL32">
        <v>32.9315</v>
      </c>
      <c r="FM32">
        <v>24.1313</v>
      </c>
      <c r="FN32">
        <v>19</v>
      </c>
      <c r="FO32">
        <v>866.92899999999997</v>
      </c>
      <c r="FP32">
        <v>574.37300000000005</v>
      </c>
      <c r="FQ32">
        <v>17.870799999999999</v>
      </c>
      <c r="FR32">
        <v>26.081</v>
      </c>
      <c r="FS32">
        <v>30.0001</v>
      </c>
      <c r="FT32">
        <v>26.081800000000001</v>
      </c>
      <c r="FU32">
        <v>26.083300000000001</v>
      </c>
      <c r="FV32">
        <v>23.327100000000002</v>
      </c>
      <c r="FW32">
        <v>28.609100000000002</v>
      </c>
      <c r="FX32">
        <v>35.3399</v>
      </c>
      <c r="FY32">
        <v>17.865100000000002</v>
      </c>
      <c r="FZ32">
        <v>375</v>
      </c>
      <c r="GA32">
        <v>13.4298</v>
      </c>
      <c r="GB32">
        <v>99.796599999999998</v>
      </c>
      <c r="GC32">
        <v>99.750600000000006</v>
      </c>
    </row>
    <row r="33" spans="1:185" x14ac:dyDescent="0.2">
      <c r="A33">
        <v>18</v>
      </c>
      <c r="B33">
        <v>1771103387.0999999</v>
      </c>
      <c r="C33">
        <v>274</v>
      </c>
      <c r="D33" t="s">
        <v>331</v>
      </c>
      <c r="E33" t="s">
        <v>332</v>
      </c>
      <c r="F33">
        <v>15</v>
      </c>
      <c r="G33">
        <v>1771103379.03333</v>
      </c>
      <c r="H33">
        <f t="shared" si="0"/>
        <v>1.6094510242233475E-3</v>
      </c>
      <c r="I33">
        <v>0</v>
      </c>
      <c r="J33">
        <f t="shared" si="12"/>
        <v>-2.3499722471343278E-2</v>
      </c>
      <c r="K33">
        <f t="shared" si="1"/>
        <v>-0.42020451255881563</v>
      </c>
      <c r="L33">
        <f t="shared" si="2"/>
        <v>69.709919005003741</v>
      </c>
      <c r="M33">
        <f t="shared" si="3"/>
        <v>1.5376151956400941</v>
      </c>
      <c r="N33">
        <f t="shared" si="4"/>
        <v>2.2057337285526395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26198.137176324872</v>
      </c>
      <c r="T33">
        <f t="shared" si="8"/>
        <v>799.99966666666705</v>
      </c>
      <c r="U33">
        <f t="shared" si="9"/>
        <v>674.39975259998675</v>
      </c>
      <c r="V33">
        <f t="shared" si="10"/>
        <v>0.84300004200000056</v>
      </c>
      <c r="W33">
        <f t="shared" si="11"/>
        <v>0.15870023492000013</v>
      </c>
      <c r="X33">
        <v>1</v>
      </c>
      <c r="Y33">
        <v>1771103379.03333</v>
      </c>
      <c r="Z33">
        <v>374.74913333333302</v>
      </c>
      <c r="AA33">
        <v>374.9778</v>
      </c>
      <c r="AB33">
        <v>15.3757</v>
      </c>
      <c r="AC33">
        <v>13.3948466666667</v>
      </c>
      <c r="AD33">
        <v>375.45339999999999</v>
      </c>
      <c r="AE33">
        <v>15.328706666666699</v>
      </c>
      <c r="AF33">
        <v>800.01106666666703</v>
      </c>
      <c r="AG33">
        <v>99.939639999999997</v>
      </c>
      <c r="AH33">
        <v>6.3299419999999995E-2</v>
      </c>
      <c r="AI33">
        <v>19.004020000000001</v>
      </c>
      <c r="AJ33">
        <v>999.9</v>
      </c>
      <c r="AK33">
        <v>999.9</v>
      </c>
      <c r="AL33">
        <v>0</v>
      </c>
      <c r="AM33">
        <v>0</v>
      </c>
      <c r="AN33">
        <v>4998.7</v>
      </c>
      <c r="AO33">
        <v>0</v>
      </c>
      <c r="AP33">
        <v>1.63733</v>
      </c>
      <c r="AQ33">
        <v>-0.22862753333333299</v>
      </c>
      <c r="AR33">
        <v>380.601133333333</v>
      </c>
      <c r="AS33">
        <v>380.068733333333</v>
      </c>
      <c r="AT33">
        <v>1.980836</v>
      </c>
      <c r="AU33">
        <v>374.9778</v>
      </c>
      <c r="AV33">
        <v>13.3948466666667</v>
      </c>
      <c r="AW33">
        <v>1.53664133333333</v>
      </c>
      <c r="AX33">
        <v>1.3386773333333299</v>
      </c>
      <c r="AY33">
        <v>13.3377</v>
      </c>
      <c r="AZ33">
        <v>11.2402333333333</v>
      </c>
      <c r="BA33">
        <v>799.99966666666705</v>
      </c>
      <c r="BB33">
        <v>0.899996666666667</v>
      </c>
      <c r="BC33">
        <v>0</v>
      </c>
      <c r="BD33">
        <v>0.10000326666666701</v>
      </c>
      <c r="BE33">
        <v>0</v>
      </c>
      <c r="BF33">
        <v>25</v>
      </c>
      <c r="BG33">
        <v>13191.0133333333</v>
      </c>
      <c r="BH33">
        <v>1771103205.0999999</v>
      </c>
      <c r="BI33" t="s">
        <v>305</v>
      </c>
      <c r="BJ33">
        <v>1771103205.0999999</v>
      </c>
      <c r="BK33">
        <v>1771103183.0999999</v>
      </c>
      <c r="BL33">
        <v>12</v>
      </c>
      <c r="BM33">
        <v>-2E-3</v>
      </c>
      <c r="BN33">
        <v>-1.2E-2</v>
      </c>
      <c r="BO33">
        <v>-0.70399999999999996</v>
      </c>
      <c r="BP33">
        <v>4.7E-2</v>
      </c>
      <c r="BQ33">
        <v>375</v>
      </c>
      <c r="BR33">
        <v>13</v>
      </c>
      <c r="BS33">
        <v>0.1</v>
      </c>
      <c r="BT33">
        <v>0.03</v>
      </c>
      <c r="BU33">
        <v>-0.225850380952381</v>
      </c>
      <c r="BV33">
        <v>-6.7840987012987394E-2</v>
      </c>
      <c r="BW33">
        <v>1.9271418786517801E-2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1.9918428571428599</v>
      </c>
      <c r="CD33">
        <v>-0.26793506493506303</v>
      </c>
      <c r="CE33">
        <v>2.90455930831343E-2</v>
      </c>
      <c r="CF33">
        <v>0</v>
      </c>
      <c r="CG33">
        <v>1</v>
      </c>
      <c r="CH33">
        <v>2</v>
      </c>
      <c r="CI33" t="s">
        <v>299</v>
      </c>
      <c r="CJ33">
        <v>3.5325700000000002</v>
      </c>
      <c r="CK33">
        <v>2.70105</v>
      </c>
      <c r="CL33">
        <v>9.1122700000000001E-2</v>
      </c>
      <c r="CM33">
        <v>8.9922100000000005E-2</v>
      </c>
      <c r="CN33">
        <v>8.69814E-2</v>
      </c>
      <c r="CO33">
        <v>7.7634700000000001E-2</v>
      </c>
      <c r="CP33">
        <v>31840.1</v>
      </c>
      <c r="CQ33">
        <v>28022.6</v>
      </c>
      <c r="CR33">
        <v>32426.1</v>
      </c>
      <c r="CS33">
        <v>30721.200000000001</v>
      </c>
      <c r="CT33">
        <v>40099</v>
      </c>
      <c r="CU33">
        <v>39862.400000000001</v>
      </c>
      <c r="CV33">
        <v>47366.7</v>
      </c>
      <c r="CW33">
        <v>46864.6</v>
      </c>
      <c r="CX33">
        <v>2.6145</v>
      </c>
      <c r="CY33">
        <v>2.1191599999999999</v>
      </c>
      <c r="CZ33">
        <v>0</v>
      </c>
      <c r="DA33">
        <v>0</v>
      </c>
      <c r="DB33">
        <v>999.9</v>
      </c>
      <c r="DC33">
        <v>999.9</v>
      </c>
      <c r="DD33">
        <v>45.372999999999998</v>
      </c>
      <c r="DE33">
        <v>28.620999999999999</v>
      </c>
      <c r="DF33">
        <v>17.861899999999999</v>
      </c>
      <c r="DG33">
        <v>30.438199999999998</v>
      </c>
      <c r="DH33">
        <v>16.923100000000002</v>
      </c>
      <c r="DI33">
        <v>2</v>
      </c>
      <c r="DJ33">
        <v>-7.0054900000000003E-2</v>
      </c>
      <c r="DK33">
        <v>2.6831999999999998</v>
      </c>
      <c r="DL33">
        <v>20.187999999999999</v>
      </c>
      <c r="DM33">
        <v>5.2498800000000001</v>
      </c>
      <c r="DN33">
        <v>12.033899999999999</v>
      </c>
      <c r="DO33">
        <v>4.9672000000000001</v>
      </c>
      <c r="DP33">
        <v>3.2909999999999999</v>
      </c>
      <c r="DQ33">
        <v>607.70000000000005</v>
      </c>
      <c r="DR33">
        <v>9999</v>
      </c>
      <c r="DS33">
        <v>9999</v>
      </c>
      <c r="DT33">
        <v>9999</v>
      </c>
      <c r="DU33">
        <v>1.8711899999999999</v>
      </c>
      <c r="DV33">
        <v>1.8762000000000001</v>
      </c>
      <c r="DW33">
        <v>1.8763700000000001</v>
      </c>
      <c r="DX33">
        <v>1.88286</v>
      </c>
      <c r="DY33">
        <v>1.87561</v>
      </c>
      <c r="DZ33">
        <v>1.87469</v>
      </c>
      <c r="EA33">
        <v>1.8708800000000001</v>
      </c>
      <c r="EB33">
        <v>1.8746799999999999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-0.70499999999999996</v>
      </c>
      <c r="EQ33">
        <v>4.6899999999999997E-2</v>
      </c>
      <c r="ER33">
        <v>-0.704300000000046</v>
      </c>
      <c r="ES33">
        <v>0</v>
      </c>
      <c r="ET33">
        <v>0</v>
      </c>
      <c r="EU33">
        <v>0</v>
      </c>
      <c r="EV33">
        <v>4.6972727272725799E-2</v>
      </c>
      <c r="EW33">
        <v>0</v>
      </c>
      <c r="EX33">
        <v>0</v>
      </c>
      <c r="EY33">
        <v>0</v>
      </c>
      <c r="EZ33">
        <v>-1</v>
      </c>
      <c r="FA33">
        <v>-1</v>
      </c>
      <c r="FB33">
        <v>-1</v>
      </c>
      <c r="FC33">
        <v>-1</v>
      </c>
      <c r="FD33">
        <v>3</v>
      </c>
      <c r="FE33">
        <v>3.4</v>
      </c>
      <c r="FF33">
        <v>1.16211</v>
      </c>
      <c r="FG33">
        <v>2.5781200000000002</v>
      </c>
      <c r="FH33">
        <v>2.19604</v>
      </c>
      <c r="FI33">
        <v>2.5756800000000002</v>
      </c>
      <c r="FJ33">
        <v>2.4462899999999999</v>
      </c>
      <c r="FK33">
        <v>2.33765</v>
      </c>
      <c r="FL33">
        <v>32.9315</v>
      </c>
      <c r="FM33">
        <v>24.14</v>
      </c>
      <c r="FN33">
        <v>19</v>
      </c>
      <c r="FO33">
        <v>866.83500000000004</v>
      </c>
      <c r="FP33">
        <v>574.36099999999999</v>
      </c>
      <c r="FQ33">
        <v>17.857199999999999</v>
      </c>
      <c r="FR33">
        <v>26.081</v>
      </c>
      <c r="FS33">
        <v>30</v>
      </c>
      <c r="FT33">
        <v>26.081800000000001</v>
      </c>
      <c r="FU33">
        <v>26.0837</v>
      </c>
      <c r="FV33">
        <v>23.328600000000002</v>
      </c>
      <c r="FW33">
        <v>28.328900000000001</v>
      </c>
      <c r="FX33">
        <v>35.3399</v>
      </c>
      <c r="FY33">
        <v>17.853100000000001</v>
      </c>
      <c r="FZ33">
        <v>375</v>
      </c>
      <c r="GA33">
        <v>13.4298</v>
      </c>
      <c r="GB33">
        <v>99.798900000000003</v>
      </c>
      <c r="GC33">
        <v>99.753100000000003</v>
      </c>
    </row>
    <row r="34" spans="1:185" x14ac:dyDescent="0.2">
      <c r="A34">
        <v>19</v>
      </c>
      <c r="B34">
        <v>1771103402.0999999</v>
      </c>
      <c r="C34">
        <v>289</v>
      </c>
      <c r="D34" t="s">
        <v>333</v>
      </c>
      <c r="E34" t="s">
        <v>334</v>
      </c>
      <c r="F34">
        <v>15</v>
      </c>
      <c r="G34">
        <v>1771103394.03333</v>
      </c>
      <c r="H34">
        <f t="shared" si="0"/>
        <v>1.6081744542969442E-3</v>
      </c>
      <c r="I34">
        <v>0</v>
      </c>
      <c r="J34">
        <f t="shared" si="12"/>
        <v>-2.2396813225335228E-2</v>
      </c>
      <c r="K34">
        <f t="shared" si="1"/>
        <v>-0.40048311190480479</v>
      </c>
      <c r="L34">
        <f t="shared" si="2"/>
        <v>69.806203258682544</v>
      </c>
      <c r="M34">
        <f t="shared" si="3"/>
        <v>1.5395961351740077</v>
      </c>
      <c r="N34">
        <f t="shared" si="4"/>
        <v>2.2055291124610932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26234.74706791242</v>
      </c>
      <c r="T34">
        <f t="shared" si="8"/>
        <v>799.99966666666705</v>
      </c>
      <c r="U34">
        <f t="shared" si="9"/>
        <v>674.39985659994227</v>
      </c>
      <c r="V34">
        <f t="shared" si="10"/>
        <v>0.8430001719999991</v>
      </c>
      <c r="W34">
        <f t="shared" si="11"/>
        <v>0.15870042999999984</v>
      </c>
      <c r="X34">
        <v>1</v>
      </c>
      <c r="Y34">
        <v>1771103394.03333</v>
      </c>
      <c r="Z34">
        <v>374.75586666666698</v>
      </c>
      <c r="AA34">
        <v>375.0086</v>
      </c>
      <c r="AB34">
        <v>15.395533333333301</v>
      </c>
      <c r="AC34">
        <v>13.4162933333333</v>
      </c>
      <c r="AD34">
        <v>375.46019999999999</v>
      </c>
      <c r="AE34">
        <v>15.3485666666667</v>
      </c>
      <c r="AF34">
        <v>800.01199999999994</v>
      </c>
      <c r="AG34">
        <v>99.939333333333295</v>
      </c>
      <c r="AH34">
        <v>6.3446813333333296E-2</v>
      </c>
      <c r="AI34">
        <v>19.0025333333333</v>
      </c>
      <c r="AJ34">
        <v>999.9</v>
      </c>
      <c r="AK34">
        <v>999.9</v>
      </c>
      <c r="AL34">
        <v>0</v>
      </c>
      <c r="AM34">
        <v>0</v>
      </c>
      <c r="AN34">
        <v>5004.7333333333299</v>
      </c>
      <c r="AO34">
        <v>0</v>
      </c>
      <c r="AP34">
        <v>1.63733</v>
      </c>
      <c r="AQ34">
        <v>-0.25284240000000002</v>
      </c>
      <c r="AR34">
        <v>380.61559999999997</v>
      </c>
      <c r="AS34">
        <v>380.10820000000001</v>
      </c>
      <c r="AT34">
        <v>1.9792380000000001</v>
      </c>
      <c r="AU34">
        <v>375.0086</v>
      </c>
      <c r="AV34">
        <v>13.4162933333333</v>
      </c>
      <c r="AW34">
        <v>1.53861933333333</v>
      </c>
      <c r="AX34">
        <v>1.340816</v>
      </c>
      <c r="AY34">
        <v>13.357433333333301</v>
      </c>
      <c r="AZ34">
        <v>11.264340000000001</v>
      </c>
      <c r="BA34">
        <v>799.99966666666705</v>
      </c>
      <c r="BB34">
        <v>0.89999426666666604</v>
      </c>
      <c r="BC34">
        <v>0</v>
      </c>
      <c r="BD34">
        <v>0.100005733333333</v>
      </c>
      <c r="BE34">
        <v>0</v>
      </c>
      <c r="BF34">
        <v>25</v>
      </c>
      <c r="BG34">
        <v>13190.9866666667</v>
      </c>
      <c r="BH34">
        <v>1771103205.0999999</v>
      </c>
      <c r="BI34" t="s">
        <v>305</v>
      </c>
      <c r="BJ34">
        <v>1771103205.0999999</v>
      </c>
      <c r="BK34">
        <v>1771103183.0999999</v>
      </c>
      <c r="BL34">
        <v>12</v>
      </c>
      <c r="BM34">
        <v>-2E-3</v>
      </c>
      <c r="BN34">
        <v>-1.2E-2</v>
      </c>
      <c r="BO34">
        <v>-0.70399999999999996</v>
      </c>
      <c r="BP34">
        <v>4.7E-2</v>
      </c>
      <c r="BQ34">
        <v>375</v>
      </c>
      <c r="BR34">
        <v>13</v>
      </c>
      <c r="BS34">
        <v>0.1</v>
      </c>
      <c r="BT34">
        <v>0.03</v>
      </c>
      <c r="BU34">
        <v>-0.25114154999999999</v>
      </c>
      <c r="BV34">
        <v>-5.9978751879700101E-2</v>
      </c>
      <c r="BW34">
        <v>1.23498728150334E-2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1.972291</v>
      </c>
      <c r="CD34">
        <v>0.21872210526315899</v>
      </c>
      <c r="CE34">
        <v>2.2307587251874698E-2</v>
      </c>
      <c r="CF34">
        <v>0</v>
      </c>
      <c r="CG34">
        <v>1</v>
      </c>
      <c r="CH34">
        <v>2</v>
      </c>
      <c r="CI34" t="s">
        <v>299</v>
      </c>
      <c r="CJ34">
        <v>3.5325000000000002</v>
      </c>
      <c r="CK34">
        <v>2.7013600000000002</v>
      </c>
      <c r="CL34">
        <v>9.11188E-2</v>
      </c>
      <c r="CM34">
        <v>8.9917999999999998E-2</v>
      </c>
      <c r="CN34">
        <v>8.7039500000000006E-2</v>
      </c>
      <c r="CO34">
        <v>7.7438199999999999E-2</v>
      </c>
      <c r="CP34">
        <v>31840.5</v>
      </c>
      <c r="CQ34">
        <v>28022.5</v>
      </c>
      <c r="CR34">
        <v>32426.400000000001</v>
      </c>
      <c r="CS34">
        <v>30721</v>
      </c>
      <c r="CT34">
        <v>40096.5</v>
      </c>
      <c r="CU34">
        <v>39870.9</v>
      </c>
      <c r="CV34">
        <v>47366.9</v>
      </c>
      <c r="CW34">
        <v>46864.3</v>
      </c>
      <c r="CX34">
        <v>2.6145200000000002</v>
      </c>
      <c r="CY34">
        <v>2.1194000000000002</v>
      </c>
      <c r="CZ34">
        <v>0</v>
      </c>
      <c r="DA34">
        <v>0</v>
      </c>
      <c r="DB34">
        <v>999.9</v>
      </c>
      <c r="DC34">
        <v>999.9</v>
      </c>
      <c r="DD34">
        <v>45.3</v>
      </c>
      <c r="DE34">
        <v>28.631</v>
      </c>
      <c r="DF34">
        <v>17.845600000000001</v>
      </c>
      <c r="DG34">
        <v>30.408200000000001</v>
      </c>
      <c r="DH34">
        <v>17.0793</v>
      </c>
      <c r="DI34">
        <v>2</v>
      </c>
      <c r="DJ34">
        <v>-7.03516E-2</v>
      </c>
      <c r="DK34">
        <v>2.68438</v>
      </c>
      <c r="DL34">
        <v>20.188099999999999</v>
      </c>
      <c r="DM34">
        <v>5.25047</v>
      </c>
      <c r="DN34">
        <v>12.033899999999999</v>
      </c>
      <c r="DO34">
        <v>4.9674399999999999</v>
      </c>
      <c r="DP34">
        <v>3.2909999999999999</v>
      </c>
      <c r="DQ34">
        <v>607.70000000000005</v>
      </c>
      <c r="DR34">
        <v>9999</v>
      </c>
      <c r="DS34">
        <v>9999</v>
      </c>
      <c r="DT34">
        <v>9999</v>
      </c>
      <c r="DU34">
        <v>1.87114</v>
      </c>
      <c r="DV34">
        <v>1.8761399999999999</v>
      </c>
      <c r="DW34">
        <v>1.87636</v>
      </c>
      <c r="DX34">
        <v>1.88283</v>
      </c>
      <c r="DY34">
        <v>1.87561</v>
      </c>
      <c r="DZ34">
        <v>1.87469</v>
      </c>
      <c r="EA34">
        <v>1.8708499999999999</v>
      </c>
      <c r="EB34">
        <v>1.8746700000000001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-0.70499999999999996</v>
      </c>
      <c r="EQ34">
        <v>4.6899999999999997E-2</v>
      </c>
      <c r="ER34">
        <v>-0.704300000000046</v>
      </c>
      <c r="ES34">
        <v>0</v>
      </c>
      <c r="ET34">
        <v>0</v>
      </c>
      <c r="EU34">
        <v>0</v>
      </c>
      <c r="EV34">
        <v>4.6972727272725799E-2</v>
      </c>
      <c r="EW34">
        <v>0</v>
      </c>
      <c r="EX34">
        <v>0</v>
      </c>
      <c r="EY34">
        <v>0</v>
      </c>
      <c r="EZ34">
        <v>-1</v>
      </c>
      <c r="FA34">
        <v>-1</v>
      </c>
      <c r="FB34">
        <v>-1</v>
      </c>
      <c r="FC34">
        <v>-1</v>
      </c>
      <c r="FD34">
        <v>3.3</v>
      </c>
      <c r="FE34">
        <v>3.6</v>
      </c>
      <c r="FF34">
        <v>1.16211</v>
      </c>
      <c r="FG34">
        <v>2.5830099999999998</v>
      </c>
      <c r="FH34">
        <v>2.19604</v>
      </c>
      <c r="FI34">
        <v>2.5756800000000002</v>
      </c>
      <c r="FJ34">
        <v>2.4462899999999999</v>
      </c>
      <c r="FK34">
        <v>2.2851599999999999</v>
      </c>
      <c r="FL34">
        <v>32.9315</v>
      </c>
      <c r="FM34">
        <v>24.1313</v>
      </c>
      <c r="FN34">
        <v>19</v>
      </c>
      <c r="FO34">
        <v>866.85400000000004</v>
      </c>
      <c r="FP34">
        <v>574.56600000000003</v>
      </c>
      <c r="FQ34">
        <v>17.848199999999999</v>
      </c>
      <c r="FR34">
        <v>26.081</v>
      </c>
      <c r="FS34">
        <v>30.0001</v>
      </c>
      <c r="FT34">
        <v>26.081800000000001</v>
      </c>
      <c r="FU34">
        <v>26.085599999999999</v>
      </c>
      <c r="FV34">
        <v>23.3276</v>
      </c>
      <c r="FW34">
        <v>28.328900000000001</v>
      </c>
      <c r="FX34">
        <v>34.968899999999998</v>
      </c>
      <c r="FY34">
        <v>17.8459</v>
      </c>
      <c r="FZ34">
        <v>375</v>
      </c>
      <c r="GA34">
        <v>13.4298</v>
      </c>
      <c r="GB34">
        <v>99.799400000000006</v>
      </c>
      <c r="GC34">
        <v>99.752399999999994</v>
      </c>
    </row>
    <row r="35" spans="1:185" x14ac:dyDescent="0.2">
      <c r="A35">
        <v>20</v>
      </c>
      <c r="B35">
        <v>1771103516.0999999</v>
      </c>
      <c r="C35">
        <v>403</v>
      </c>
      <c r="D35" t="s">
        <v>335</v>
      </c>
      <c r="E35" t="s">
        <v>336</v>
      </c>
      <c r="F35">
        <v>15</v>
      </c>
      <c r="G35">
        <v>1771103508.0999999</v>
      </c>
      <c r="H35">
        <f t="shared" si="0"/>
        <v>-2.3983751962080376E-4</v>
      </c>
      <c r="I35">
        <v>0</v>
      </c>
      <c r="J35">
        <f t="shared" si="12"/>
        <v>-1.9501792840164285</v>
      </c>
      <c r="K35">
        <f t="shared" si="1"/>
        <v>-34.871651630853542</v>
      </c>
      <c r="L35">
        <f t="shared" si="2"/>
        <v>71.264105163758785</v>
      </c>
      <c r="M35">
        <f t="shared" si="3"/>
        <v>1.5695262108059476</v>
      </c>
      <c r="N35">
        <f t="shared" si="4"/>
        <v>2.2024078001110254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26201.066573079643</v>
      </c>
      <c r="T35">
        <f t="shared" si="8"/>
        <v>800.000133333333</v>
      </c>
      <c r="U35">
        <f t="shared" si="9"/>
        <v>674.40035400004001</v>
      </c>
      <c r="V35">
        <f t="shared" si="10"/>
        <v>0.84300030199999998</v>
      </c>
      <c r="W35">
        <f t="shared" si="11"/>
        <v>0.15870075500000003</v>
      </c>
      <c r="X35">
        <v>1</v>
      </c>
      <c r="Y35">
        <v>1771103508.0999999</v>
      </c>
      <c r="Z35">
        <v>193.647066666667</v>
      </c>
      <c r="AA35">
        <v>149.9992</v>
      </c>
      <c r="AB35">
        <v>15.694753333333299</v>
      </c>
      <c r="AC35">
        <v>15.989846666666701</v>
      </c>
      <c r="AD35">
        <v>194.35153333333301</v>
      </c>
      <c r="AE35">
        <v>15.647766666666699</v>
      </c>
      <c r="AF35">
        <v>799.99546666666697</v>
      </c>
      <c r="AG35">
        <v>99.940226666666703</v>
      </c>
      <c r="AH35">
        <v>6.3015020000000005E-2</v>
      </c>
      <c r="AI35">
        <v>18.979839999999999</v>
      </c>
      <c r="AJ35">
        <v>999.9</v>
      </c>
      <c r="AK35">
        <v>999.9</v>
      </c>
      <c r="AL35">
        <v>0</v>
      </c>
      <c r="AM35">
        <v>0</v>
      </c>
      <c r="AN35">
        <v>4998.8</v>
      </c>
      <c r="AO35">
        <v>0</v>
      </c>
      <c r="AP35">
        <v>1.5933693333333301</v>
      </c>
      <c r="AQ35">
        <v>43.648180000000004</v>
      </c>
      <c r="AR35">
        <v>196.73013333333299</v>
      </c>
      <c r="AS35">
        <v>152.436466666667</v>
      </c>
      <c r="AT35">
        <v>-0.29511065866666703</v>
      </c>
      <c r="AU35">
        <v>149.9992</v>
      </c>
      <c r="AV35">
        <v>15.989846666666701</v>
      </c>
      <c r="AW35">
        <v>1.5685359999999999</v>
      </c>
      <c r="AX35">
        <v>1.59802933333333</v>
      </c>
      <c r="AY35">
        <v>13.650366666666701</v>
      </c>
      <c r="AZ35">
        <v>13.939273333333301</v>
      </c>
      <c r="BA35">
        <v>800.000133333333</v>
      </c>
      <c r="BB35">
        <v>0.89998993333333299</v>
      </c>
      <c r="BC35">
        <v>0</v>
      </c>
      <c r="BD35">
        <v>0.10001006666666699</v>
      </c>
      <c r="BE35">
        <v>0</v>
      </c>
      <c r="BF35">
        <v>25</v>
      </c>
      <c r="BG35">
        <v>13190.9866666667</v>
      </c>
      <c r="BH35">
        <v>1771103205.0999999</v>
      </c>
      <c r="BI35" t="s">
        <v>305</v>
      </c>
      <c r="BJ35">
        <v>1771103205.0999999</v>
      </c>
      <c r="BK35">
        <v>1771103183.0999999</v>
      </c>
      <c r="BL35">
        <v>12</v>
      </c>
      <c r="BM35">
        <v>-2E-3</v>
      </c>
      <c r="BN35">
        <v>-1.2E-2</v>
      </c>
      <c r="BO35">
        <v>-0.70399999999999996</v>
      </c>
      <c r="BP35">
        <v>4.7E-2</v>
      </c>
      <c r="BQ35">
        <v>375</v>
      </c>
      <c r="BR35">
        <v>13</v>
      </c>
      <c r="BS35">
        <v>0.1</v>
      </c>
      <c r="BT35">
        <v>0.03</v>
      </c>
      <c r="BU35">
        <v>63.650480952381002</v>
      </c>
      <c r="BV35">
        <v>-293.12410129870102</v>
      </c>
      <c r="BW35">
        <v>30.263154901056701</v>
      </c>
      <c r="BX35">
        <v>0</v>
      </c>
      <c r="BY35">
        <v>0</v>
      </c>
      <c r="BZ35">
        <v>0</v>
      </c>
      <c r="CA35">
        <v>0</v>
      </c>
      <c r="CB35">
        <v>-1</v>
      </c>
      <c r="CC35">
        <v>-0.73179380380952397</v>
      </c>
      <c r="CD35">
        <v>6.5663594680519504</v>
      </c>
      <c r="CE35">
        <v>0.66714627840467799</v>
      </c>
      <c r="CF35">
        <v>0</v>
      </c>
      <c r="CG35">
        <v>0</v>
      </c>
      <c r="CH35">
        <v>2</v>
      </c>
      <c r="CI35" t="s">
        <v>290</v>
      </c>
      <c r="CJ35">
        <v>3.5324900000000001</v>
      </c>
      <c r="CK35">
        <v>2.7010000000000001</v>
      </c>
      <c r="CL35">
        <v>4.7391700000000002E-2</v>
      </c>
      <c r="CM35">
        <v>4.1311199999999999E-2</v>
      </c>
      <c r="CN35">
        <v>9.0132299999999999E-2</v>
      </c>
      <c r="CO35">
        <v>8.6858000000000005E-2</v>
      </c>
      <c r="CP35">
        <v>33372.5</v>
      </c>
      <c r="CQ35">
        <v>29521.200000000001</v>
      </c>
      <c r="CR35">
        <v>32426.400000000001</v>
      </c>
      <c r="CS35">
        <v>30723</v>
      </c>
      <c r="CT35">
        <v>39952.699999999997</v>
      </c>
      <c r="CU35">
        <v>39451.5</v>
      </c>
      <c r="CV35">
        <v>47367.3</v>
      </c>
      <c r="CW35">
        <v>46867.4</v>
      </c>
      <c r="CX35">
        <v>2.61286</v>
      </c>
      <c r="CY35">
        <v>2.1232799999999998</v>
      </c>
      <c r="CZ35">
        <v>0</v>
      </c>
      <c r="DA35">
        <v>0</v>
      </c>
      <c r="DB35">
        <v>999.9</v>
      </c>
      <c r="DC35">
        <v>999.9</v>
      </c>
      <c r="DD35">
        <v>46.16</v>
      </c>
      <c r="DE35">
        <v>28.631</v>
      </c>
      <c r="DF35">
        <v>18.183</v>
      </c>
      <c r="DG35">
        <v>30.348199999999999</v>
      </c>
      <c r="DH35">
        <v>17.039300000000001</v>
      </c>
      <c r="DI35">
        <v>2</v>
      </c>
      <c r="DJ35">
        <v>-7.0280499999999996E-2</v>
      </c>
      <c r="DK35">
        <v>2.8205200000000001</v>
      </c>
      <c r="DL35">
        <v>20.184799999999999</v>
      </c>
      <c r="DM35">
        <v>5.24688</v>
      </c>
      <c r="DN35">
        <v>12.033899999999999</v>
      </c>
      <c r="DO35">
        <v>4.9667199999999996</v>
      </c>
      <c r="DP35">
        <v>3.2906</v>
      </c>
      <c r="DQ35">
        <v>607.79999999999995</v>
      </c>
      <c r="DR35">
        <v>9999</v>
      </c>
      <c r="DS35">
        <v>9999</v>
      </c>
      <c r="DT35">
        <v>9999</v>
      </c>
      <c r="DU35">
        <v>1.8711800000000001</v>
      </c>
      <c r="DV35">
        <v>1.8761399999999999</v>
      </c>
      <c r="DW35">
        <v>1.8763700000000001</v>
      </c>
      <c r="DX35">
        <v>1.88287</v>
      </c>
      <c r="DY35">
        <v>1.8756299999999999</v>
      </c>
      <c r="DZ35">
        <v>1.87469</v>
      </c>
      <c r="EA35">
        <v>1.87086</v>
      </c>
      <c r="EB35">
        <v>1.8746799999999999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-0.70399999999999996</v>
      </c>
      <c r="EQ35">
        <v>4.7E-2</v>
      </c>
      <c r="ER35">
        <v>-0.704300000000046</v>
      </c>
      <c r="ES35">
        <v>0</v>
      </c>
      <c r="ET35">
        <v>0</v>
      </c>
      <c r="EU35">
        <v>0</v>
      </c>
      <c r="EV35">
        <v>4.6972727272725799E-2</v>
      </c>
      <c r="EW35">
        <v>0</v>
      </c>
      <c r="EX35">
        <v>0</v>
      </c>
      <c r="EY35">
        <v>0</v>
      </c>
      <c r="EZ35">
        <v>-1</v>
      </c>
      <c r="FA35">
        <v>-1</v>
      </c>
      <c r="FB35">
        <v>-1</v>
      </c>
      <c r="FC35">
        <v>-1</v>
      </c>
      <c r="FD35">
        <v>5.2</v>
      </c>
      <c r="FE35">
        <v>5.5</v>
      </c>
      <c r="FF35">
        <v>0.56884800000000002</v>
      </c>
      <c r="FG35">
        <v>2.5952099999999998</v>
      </c>
      <c r="FH35">
        <v>2.19604</v>
      </c>
      <c r="FI35">
        <v>2.5744600000000002</v>
      </c>
      <c r="FJ35">
        <v>2.4462899999999999</v>
      </c>
      <c r="FK35">
        <v>2.2973599999999998</v>
      </c>
      <c r="FL35">
        <v>32.9315</v>
      </c>
      <c r="FM35">
        <v>24.14</v>
      </c>
      <c r="FN35">
        <v>19</v>
      </c>
      <c r="FO35">
        <v>865.34</v>
      </c>
      <c r="FP35">
        <v>577.505</v>
      </c>
      <c r="FQ35">
        <v>17.4495</v>
      </c>
      <c r="FR35">
        <v>26.083200000000001</v>
      </c>
      <c r="FS35">
        <v>29.999400000000001</v>
      </c>
      <c r="FT35">
        <v>26.084</v>
      </c>
      <c r="FU35">
        <v>26.081600000000002</v>
      </c>
      <c r="FV35">
        <v>11.423500000000001</v>
      </c>
      <c r="FW35">
        <v>20.240500000000001</v>
      </c>
      <c r="FX35">
        <v>38.4223</v>
      </c>
      <c r="FY35">
        <v>17.477799999999998</v>
      </c>
      <c r="FZ35">
        <v>150</v>
      </c>
      <c r="GA35">
        <v>15.175700000000001</v>
      </c>
      <c r="GB35">
        <v>99.8</v>
      </c>
      <c r="GC35">
        <v>99.759</v>
      </c>
    </row>
    <row r="36" spans="1:185" x14ac:dyDescent="0.2">
      <c r="A36">
        <v>21</v>
      </c>
      <c r="B36">
        <v>1771103531.0999999</v>
      </c>
      <c r="C36">
        <v>418</v>
      </c>
      <c r="D36" t="s">
        <v>337</v>
      </c>
      <c r="E36" t="s">
        <v>338</v>
      </c>
      <c r="F36">
        <v>15</v>
      </c>
      <c r="G36">
        <v>1771103523.03333</v>
      </c>
      <c r="H36">
        <f t="shared" si="0"/>
        <v>7.581863109561109E-4</v>
      </c>
      <c r="I36">
        <v>0</v>
      </c>
      <c r="J36">
        <f t="shared" si="12"/>
        <v>-0.60915128986594558</v>
      </c>
      <c r="K36">
        <f t="shared" si="1"/>
        <v>-10.89238909714077</v>
      </c>
      <c r="L36">
        <f t="shared" si="2"/>
        <v>73.776825675860053</v>
      </c>
      <c r="M36">
        <f t="shared" si="3"/>
        <v>1.6203585464867822</v>
      </c>
      <c r="N36">
        <f t="shared" si="4"/>
        <v>2.1962974574236358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26226.694519015775</v>
      </c>
      <c r="T36">
        <f t="shared" si="8"/>
        <v>799.99959999999999</v>
      </c>
      <c r="U36">
        <f t="shared" si="9"/>
        <v>674.39990279988046</v>
      </c>
      <c r="V36">
        <f t="shared" si="10"/>
        <v>0.84300030000000059</v>
      </c>
      <c r="W36">
        <f t="shared" si="11"/>
        <v>0.15870087992000012</v>
      </c>
      <c r="X36">
        <v>1</v>
      </c>
      <c r="Y36">
        <v>1771103523.03333</v>
      </c>
      <c r="Z36">
        <v>163.54953333333299</v>
      </c>
      <c r="AA36">
        <v>150.089</v>
      </c>
      <c r="AB36">
        <v>16.203119999999998</v>
      </c>
      <c r="AC36">
        <v>15.27074</v>
      </c>
      <c r="AD36">
        <v>164.25386666666699</v>
      </c>
      <c r="AE36">
        <v>16.15616</v>
      </c>
      <c r="AF36">
        <v>799.99713333333295</v>
      </c>
      <c r="AG36">
        <v>99.939520000000002</v>
      </c>
      <c r="AH36">
        <v>6.3352686666666699E-2</v>
      </c>
      <c r="AI36">
        <v>18.9353333333333</v>
      </c>
      <c r="AJ36">
        <v>999.9</v>
      </c>
      <c r="AK36">
        <v>999.9</v>
      </c>
      <c r="AL36">
        <v>0</v>
      </c>
      <c r="AM36">
        <v>0</v>
      </c>
      <c r="AN36">
        <v>5002.3999999999996</v>
      </c>
      <c r="AO36">
        <v>0</v>
      </c>
      <c r="AP36">
        <v>1.63725533333333</v>
      </c>
      <c r="AQ36">
        <v>13.460456666666699</v>
      </c>
      <c r="AR36">
        <v>166.243066666667</v>
      </c>
      <c r="AS36">
        <v>152.41653333333301</v>
      </c>
      <c r="AT36">
        <v>0.93238560000000004</v>
      </c>
      <c r="AU36">
        <v>150.089</v>
      </c>
      <c r="AV36">
        <v>15.27074</v>
      </c>
      <c r="AW36">
        <v>1.6193340000000001</v>
      </c>
      <c r="AX36">
        <v>1.52614933333333</v>
      </c>
      <c r="AY36">
        <v>14.1439733333333</v>
      </c>
      <c r="AZ36">
        <v>13.23128</v>
      </c>
      <c r="BA36">
        <v>799.99959999999999</v>
      </c>
      <c r="BB36">
        <v>0.89998806666666697</v>
      </c>
      <c r="BC36">
        <v>0</v>
      </c>
      <c r="BD36">
        <v>0.100011866666667</v>
      </c>
      <c r="BE36">
        <v>0</v>
      </c>
      <c r="BF36">
        <v>25</v>
      </c>
      <c r="BG36">
        <v>13190.973333333301</v>
      </c>
      <c r="BH36">
        <v>1771103205.0999999</v>
      </c>
      <c r="BI36" t="s">
        <v>305</v>
      </c>
      <c r="BJ36">
        <v>1771103205.0999999</v>
      </c>
      <c r="BK36">
        <v>1771103183.0999999</v>
      </c>
      <c r="BL36">
        <v>12</v>
      </c>
      <c r="BM36">
        <v>-2E-3</v>
      </c>
      <c r="BN36">
        <v>-1.2E-2</v>
      </c>
      <c r="BO36">
        <v>-0.70399999999999996</v>
      </c>
      <c r="BP36">
        <v>4.7E-2</v>
      </c>
      <c r="BQ36">
        <v>375</v>
      </c>
      <c r="BR36">
        <v>13</v>
      </c>
      <c r="BS36">
        <v>0.1</v>
      </c>
      <c r="BT36">
        <v>0.03</v>
      </c>
      <c r="BU36">
        <v>18.317284999999998</v>
      </c>
      <c r="BV36">
        <v>-82.442043609022605</v>
      </c>
      <c r="BW36">
        <v>8.0942268606794698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0.68798830600000005</v>
      </c>
      <c r="CD36">
        <v>4.1761561786466199</v>
      </c>
      <c r="CE36">
        <v>0.40603663107918597</v>
      </c>
      <c r="CF36">
        <v>0</v>
      </c>
      <c r="CG36">
        <v>0</v>
      </c>
      <c r="CH36">
        <v>2</v>
      </c>
      <c r="CI36" t="s">
        <v>290</v>
      </c>
      <c r="CJ36">
        <v>3.5325199999999999</v>
      </c>
      <c r="CK36">
        <v>2.70126</v>
      </c>
      <c r="CL36">
        <v>4.3652099999999999E-2</v>
      </c>
      <c r="CM36">
        <v>4.1280200000000003E-2</v>
      </c>
      <c r="CN36">
        <v>9.0497900000000006E-2</v>
      </c>
      <c r="CO36">
        <v>8.3819699999999997E-2</v>
      </c>
      <c r="CP36">
        <v>33504.1</v>
      </c>
      <c r="CQ36">
        <v>29522.5</v>
      </c>
      <c r="CR36">
        <v>32426.9</v>
      </c>
      <c r="CS36">
        <v>30723.4</v>
      </c>
      <c r="CT36">
        <v>39936.300000000003</v>
      </c>
      <c r="CU36">
        <v>39587.1</v>
      </c>
      <c r="CV36">
        <v>47367.9</v>
      </c>
      <c r="CW36">
        <v>46868.2</v>
      </c>
      <c r="CX36">
        <v>2.6139399999999999</v>
      </c>
      <c r="CY36">
        <v>2.1221000000000001</v>
      </c>
      <c r="CZ36">
        <v>0</v>
      </c>
      <c r="DA36">
        <v>0</v>
      </c>
      <c r="DB36">
        <v>999.9</v>
      </c>
      <c r="DC36">
        <v>999.9</v>
      </c>
      <c r="DD36">
        <v>46.16</v>
      </c>
      <c r="DE36">
        <v>28.631</v>
      </c>
      <c r="DF36">
        <v>18.1813</v>
      </c>
      <c r="DG36">
        <v>30.648199999999999</v>
      </c>
      <c r="DH36">
        <v>17.063300000000002</v>
      </c>
      <c r="DI36">
        <v>2</v>
      </c>
      <c r="DJ36">
        <v>-7.1099599999999999E-2</v>
      </c>
      <c r="DK36">
        <v>2.6378400000000002</v>
      </c>
      <c r="DL36">
        <v>20.1891</v>
      </c>
      <c r="DM36">
        <v>5.2498800000000001</v>
      </c>
      <c r="DN36">
        <v>12.033899999999999</v>
      </c>
      <c r="DO36">
        <v>4.9671200000000004</v>
      </c>
      <c r="DP36">
        <v>3.2909999999999999</v>
      </c>
      <c r="DQ36">
        <v>607.79999999999995</v>
      </c>
      <c r="DR36">
        <v>9999</v>
      </c>
      <c r="DS36">
        <v>9999</v>
      </c>
      <c r="DT36">
        <v>9999</v>
      </c>
      <c r="DU36">
        <v>1.8710800000000001</v>
      </c>
      <c r="DV36">
        <v>1.8761099999999999</v>
      </c>
      <c r="DW36">
        <v>1.87635</v>
      </c>
      <c r="DX36">
        <v>1.8828199999999999</v>
      </c>
      <c r="DY36">
        <v>1.87561</v>
      </c>
      <c r="DZ36">
        <v>1.87469</v>
      </c>
      <c r="EA36">
        <v>1.87083</v>
      </c>
      <c r="EB36">
        <v>1.8746100000000001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-0.70499999999999996</v>
      </c>
      <c r="EQ36">
        <v>4.7E-2</v>
      </c>
      <c r="ER36">
        <v>-0.704300000000046</v>
      </c>
      <c r="ES36">
        <v>0</v>
      </c>
      <c r="ET36">
        <v>0</v>
      </c>
      <c r="EU36">
        <v>0</v>
      </c>
      <c r="EV36">
        <v>4.6972727272725799E-2</v>
      </c>
      <c r="EW36">
        <v>0</v>
      </c>
      <c r="EX36">
        <v>0</v>
      </c>
      <c r="EY36">
        <v>0</v>
      </c>
      <c r="EZ36">
        <v>-1</v>
      </c>
      <c r="FA36">
        <v>-1</v>
      </c>
      <c r="FB36">
        <v>-1</v>
      </c>
      <c r="FC36">
        <v>-1</v>
      </c>
      <c r="FD36">
        <v>5.4</v>
      </c>
      <c r="FE36">
        <v>5.8</v>
      </c>
      <c r="FF36">
        <v>0.56762699999999999</v>
      </c>
      <c r="FG36">
        <v>2.5976599999999999</v>
      </c>
      <c r="FH36">
        <v>2.19604</v>
      </c>
      <c r="FI36">
        <v>2.5744600000000002</v>
      </c>
      <c r="FJ36">
        <v>2.4462899999999999</v>
      </c>
      <c r="FK36">
        <v>2.2656200000000002</v>
      </c>
      <c r="FL36">
        <v>32.953699999999998</v>
      </c>
      <c r="FM36">
        <v>24.1313</v>
      </c>
      <c r="FN36">
        <v>19</v>
      </c>
      <c r="FO36">
        <v>866.31299999999999</v>
      </c>
      <c r="FP36">
        <v>576.56700000000001</v>
      </c>
      <c r="FQ36">
        <v>17.575600000000001</v>
      </c>
      <c r="FR36">
        <v>26.081</v>
      </c>
      <c r="FS36">
        <v>29.9998</v>
      </c>
      <c r="FT36">
        <v>26.081800000000001</v>
      </c>
      <c r="FU36">
        <v>26.079000000000001</v>
      </c>
      <c r="FV36">
        <v>11.4161</v>
      </c>
      <c r="FW36">
        <v>23.427800000000001</v>
      </c>
      <c r="FX36">
        <v>38.0518</v>
      </c>
      <c r="FY36">
        <v>17.6005</v>
      </c>
      <c r="FZ36">
        <v>150</v>
      </c>
      <c r="GA36">
        <v>14.6104</v>
      </c>
      <c r="GB36">
        <v>99.801400000000001</v>
      </c>
      <c r="GC36">
        <v>99.760599999999997</v>
      </c>
    </row>
    <row r="37" spans="1:185" x14ac:dyDescent="0.2">
      <c r="A37">
        <v>22</v>
      </c>
      <c r="B37">
        <v>1771103546.0999999</v>
      </c>
      <c r="C37">
        <v>433</v>
      </c>
      <c r="D37" t="s">
        <v>339</v>
      </c>
      <c r="E37" t="s">
        <v>340</v>
      </c>
      <c r="F37">
        <v>15</v>
      </c>
      <c r="G37">
        <v>1771103538.03333</v>
      </c>
      <c r="H37">
        <f t="shared" si="0"/>
        <v>1.207199186364137E-3</v>
      </c>
      <c r="I37">
        <v>0</v>
      </c>
      <c r="J37">
        <f t="shared" si="12"/>
        <v>-0.20660676927023708</v>
      </c>
      <c r="K37">
        <f t="shared" si="1"/>
        <v>-3.6943881732399486</v>
      </c>
      <c r="L37">
        <f t="shared" si="2"/>
        <v>73.664202465311149</v>
      </c>
      <c r="M37">
        <f t="shared" si="3"/>
        <v>1.6160044696932707</v>
      </c>
      <c r="N37">
        <f t="shared" si="4"/>
        <v>2.1937446081144443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26209.095542336712</v>
      </c>
      <c r="T37">
        <f t="shared" si="8"/>
        <v>800.00106666666704</v>
      </c>
      <c r="U37">
        <f t="shared" si="9"/>
        <v>674.4011424003246</v>
      </c>
      <c r="V37">
        <f t="shared" si="10"/>
        <v>0.84300030400000003</v>
      </c>
      <c r="W37">
        <f t="shared" si="11"/>
        <v>0.15870075999999997</v>
      </c>
      <c r="X37">
        <v>1</v>
      </c>
      <c r="Y37">
        <v>1771103538.03333</v>
      </c>
      <c r="Z37">
        <v>154.368866666667</v>
      </c>
      <c r="AA37">
        <v>149.98386666666701</v>
      </c>
      <c r="AB37">
        <v>16.159393333333298</v>
      </c>
      <c r="AC37">
        <v>14.6747933333333</v>
      </c>
      <c r="AD37">
        <v>155.073266666667</v>
      </c>
      <c r="AE37">
        <v>16.1124266666667</v>
      </c>
      <c r="AF37">
        <v>800.00779999999997</v>
      </c>
      <c r="AG37">
        <v>99.940759999999997</v>
      </c>
      <c r="AH37">
        <v>6.3270866666666703E-2</v>
      </c>
      <c r="AI37">
        <v>18.916706666666698</v>
      </c>
      <c r="AJ37">
        <v>999.9</v>
      </c>
      <c r="AK37">
        <v>999.9</v>
      </c>
      <c r="AL37">
        <v>0</v>
      </c>
      <c r="AM37">
        <v>0</v>
      </c>
      <c r="AN37">
        <v>4999.1666666666697</v>
      </c>
      <c r="AO37">
        <v>0</v>
      </c>
      <c r="AP37">
        <v>1.63733</v>
      </c>
      <c r="AQ37">
        <v>4.38500333333333</v>
      </c>
      <c r="AR37">
        <v>156.90446666666699</v>
      </c>
      <c r="AS37">
        <v>152.217733333333</v>
      </c>
      <c r="AT37">
        <v>1.4846026666666701</v>
      </c>
      <c r="AU37">
        <v>149.98386666666701</v>
      </c>
      <c r="AV37">
        <v>14.6747933333333</v>
      </c>
      <c r="AW37">
        <v>1.6149819999999999</v>
      </c>
      <c r="AX37">
        <v>1.4666106666666701</v>
      </c>
      <c r="AY37">
        <v>14.1024666666667</v>
      </c>
      <c r="AZ37">
        <v>12.623853333333299</v>
      </c>
      <c r="BA37">
        <v>800.00106666666704</v>
      </c>
      <c r="BB37">
        <v>0.89998986666666703</v>
      </c>
      <c r="BC37">
        <v>0</v>
      </c>
      <c r="BD37">
        <v>0.100010133333333</v>
      </c>
      <c r="BE37">
        <v>0</v>
      </c>
      <c r="BF37">
        <v>25</v>
      </c>
      <c r="BG37">
        <v>13191</v>
      </c>
      <c r="BH37">
        <v>1771103205.0999999</v>
      </c>
      <c r="BI37" t="s">
        <v>305</v>
      </c>
      <c r="BJ37">
        <v>1771103205.0999999</v>
      </c>
      <c r="BK37">
        <v>1771103183.0999999</v>
      </c>
      <c r="BL37">
        <v>12</v>
      </c>
      <c r="BM37">
        <v>-2E-3</v>
      </c>
      <c r="BN37">
        <v>-1.2E-2</v>
      </c>
      <c r="BO37">
        <v>-0.70399999999999996</v>
      </c>
      <c r="BP37">
        <v>4.7E-2</v>
      </c>
      <c r="BQ37">
        <v>375</v>
      </c>
      <c r="BR37">
        <v>13</v>
      </c>
      <c r="BS37">
        <v>0.1</v>
      </c>
      <c r="BT37">
        <v>0.03</v>
      </c>
      <c r="BU37">
        <v>5.4321599999999997</v>
      </c>
      <c r="BV37">
        <v>-22.964875488721798</v>
      </c>
      <c r="BW37">
        <v>2.2510681165015902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1.4159550000000001</v>
      </c>
      <c r="CD37">
        <v>1.55196902255639</v>
      </c>
      <c r="CE37">
        <v>0.150870264416153</v>
      </c>
      <c r="CF37">
        <v>0</v>
      </c>
      <c r="CG37">
        <v>0</v>
      </c>
      <c r="CH37">
        <v>2</v>
      </c>
      <c r="CI37" t="s">
        <v>290</v>
      </c>
      <c r="CJ37">
        <v>3.5325099999999998</v>
      </c>
      <c r="CK37">
        <v>2.7012999999999998</v>
      </c>
      <c r="CL37">
        <v>4.2497800000000002E-2</v>
      </c>
      <c r="CM37">
        <v>4.1270800000000003E-2</v>
      </c>
      <c r="CN37">
        <v>8.9980599999999994E-2</v>
      </c>
      <c r="CO37">
        <v>8.1914100000000004E-2</v>
      </c>
      <c r="CP37">
        <v>33544.699999999997</v>
      </c>
      <c r="CQ37">
        <v>29523.4</v>
      </c>
      <c r="CR37">
        <v>32427.1</v>
      </c>
      <c r="CS37">
        <v>30724</v>
      </c>
      <c r="CT37">
        <v>39959.800000000003</v>
      </c>
      <c r="CU37">
        <v>39672.5</v>
      </c>
      <c r="CV37">
        <v>47368.1</v>
      </c>
      <c r="CW37">
        <v>46869.2</v>
      </c>
      <c r="CX37">
        <v>2.6142599999999998</v>
      </c>
      <c r="CY37">
        <v>2.1211199999999999</v>
      </c>
      <c r="CZ37">
        <v>0</v>
      </c>
      <c r="DA37">
        <v>0</v>
      </c>
      <c r="DB37">
        <v>999.9</v>
      </c>
      <c r="DC37">
        <v>999.9</v>
      </c>
      <c r="DD37">
        <v>46.16</v>
      </c>
      <c r="DE37">
        <v>28.640999999999998</v>
      </c>
      <c r="DF37">
        <v>18.194600000000001</v>
      </c>
      <c r="DG37">
        <v>30.498200000000001</v>
      </c>
      <c r="DH37">
        <v>16.947099999999999</v>
      </c>
      <c r="DI37">
        <v>2</v>
      </c>
      <c r="DJ37">
        <v>-7.1939000000000003E-2</v>
      </c>
      <c r="DK37">
        <v>2.4173800000000001</v>
      </c>
      <c r="DL37">
        <v>20.193000000000001</v>
      </c>
      <c r="DM37">
        <v>5.2497600000000002</v>
      </c>
      <c r="DN37">
        <v>12.033899999999999</v>
      </c>
      <c r="DO37">
        <v>4.9672000000000001</v>
      </c>
      <c r="DP37">
        <v>3.2909999999999999</v>
      </c>
      <c r="DQ37">
        <v>607.79999999999995</v>
      </c>
      <c r="DR37">
        <v>9999</v>
      </c>
      <c r="DS37">
        <v>9999</v>
      </c>
      <c r="DT37">
        <v>9999</v>
      </c>
      <c r="DU37">
        <v>1.8711800000000001</v>
      </c>
      <c r="DV37">
        <v>1.87618</v>
      </c>
      <c r="DW37">
        <v>1.8763700000000001</v>
      </c>
      <c r="DX37">
        <v>1.88289</v>
      </c>
      <c r="DY37">
        <v>1.8756299999999999</v>
      </c>
      <c r="DZ37">
        <v>1.87469</v>
      </c>
      <c r="EA37">
        <v>1.87087</v>
      </c>
      <c r="EB37">
        <v>1.87469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-0.70399999999999996</v>
      </c>
      <c r="EQ37">
        <v>4.7E-2</v>
      </c>
      <c r="ER37">
        <v>-0.704300000000046</v>
      </c>
      <c r="ES37">
        <v>0</v>
      </c>
      <c r="ET37">
        <v>0</v>
      </c>
      <c r="EU37">
        <v>0</v>
      </c>
      <c r="EV37">
        <v>4.6972727272725799E-2</v>
      </c>
      <c r="EW37">
        <v>0</v>
      </c>
      <c r="EX37">
        <v>0</v>
      </c>
      <c r="EY37">
        <v>0</v>
      </c>
      <c r="EZ37">
        <v>-1</v>
      </c>
      <c r="FA37">
        <v>-1</v>
      </c>
      <c r="FB37">
        <v>-1</v>
      </c>
      <c r="FC37">
        <v>-1</v>
      </c>
      <c r="FD37">
        <v>5.7</v>
      </c>
      <c r="FE37">
        <v>6</v>
      </c>
      <c r="FF37">
        <v>0.56762699999999999</v>
      </c>
      <c r="FG37">
        <v>2.5866699999999998</v>
      </c>
      <c r="FH37">
        <v>2.19604</v>
      </c>
      <c r="FI37">
        <v>2.5756800000000002</v>
      </c>
      <c r="FJ37">
        <v>2.4462899999999999</v>
      </c>
      <c r="FK37">
        <v>2.3083499999999999</v>
      </c>
      <c r="FL37">
        <v>32.953699999999998</v>
      </c>
      <c r="FM37">
        <v>24.14</v>
      </c>
      <c r="FN37">
        <v>19</v>
      </c>
      <c r="FO37">
        <v>866.57600000000002</v>
      </c>
      <c r="FP37">
        <v>575.81399999999996</v>
      </c>
      <c r="FQ37">
        <v>17.744900000000001</v>
      </c>
      <c r="FR37">
        <v>26.081</v>
      </c>
      <c r="FS37">
        <v>29.9999</v>
      </c>
      <c r="FT37">
        <v>26.079599999999999</v>
      </c>
      <c r="FU37">
        <v>26.079000000000001</v>
      </c>
      <c r="FV37">
        <v>11.4199</v>
      </c>
      <c r="FW37">
        <v>25.896599999999999</v>
      </c>
      <c r="FX37">
        <v>38.0518</v>
      </c>
      <c r="FY37">
        <v>17.771999999999998</v>
      </c>
      <c r="FZ37">
        <v>150</v>
      </c>
      <c r="GA37">
        <v>14.2034</v>
      </c>
      <c r="GB37">
        <v>99.8018</v>
      </c>
      <c r="GC37">
        <v>99.762699999999995</v>
      </c>
    </row>
    <row r="38" spans="1:185" x14ac:dyDescent="0.2">
      <c r="A38">
        <v>23</v>
      </c>
      <c r="B38">
        <v>1771103561.0999999</v>
      </c>
      <c r="C38">
        <v>448</v>
      </c>
      <c r="D38" t="s">
        <v>341</v>
      </c>
      <c r="E38" t="s">
        <v>342</v>
      </c>
      <c r="F38">
        <v>15</v>
      </c>
      <c r="G38">
        <v>1771103553.03333</v>
      </c>
      <c r="H38">
        <f t="shared" si="0"/>
        <v>1.4261229277383264E-3</v>
      </c>
      <c r="I38">
        <v>0</v>
      </c>
      <c r="J38">
        <f t="shared" si="12"/>
        <v>-8.2288380151144286E-2</v>
      </c>
      <c r="K38">
        <f t="shared" si="1"/>
        <v>-1.471419448158682</v>
      </c>
      <c r="L38">
        <f t="shared" si="2"/>
        <v>73.022008409361121</v>
      </c>
      <c r="M38">
        <f t="shared" si="3"/>
        <v>1.6024179156491853</v>
      </c>
      <c r="N38">
        <f t="shared" si="4"/>
        <v>2.1944314468400217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26202.986630168303</v>
      </c>
      <c r="T38">
        <f t="shared" si="8"/>
        <v>800.00046666666697</v>
      </c>
      <c r="U38">
        <f t="shared" si="9"/>
        <v>674.40059500011751</v>
      </c>
      <c r="V38">
        <f t="shared" si="10"/>
        <v>0.84300025199999951</v>
      </c>
      <c r="W38">
        <f t="shared" si="11"/>
        <v>0.15870088983999989</v>
      </c>
      <c r="X38">
        <v>1</v>
      </c>
      <c r="Y38">
        <v>1771103553.03333</v>
      </c>
      <c r="Z38">
        <v>151.57159999999999</v>
      </c>
      <c r="AA38">
        <v>150.00253333333299</v>
      </c>
      <c r="AB38">
        <v>16.023720000000001</v>
      </c>
      <c r="AC38">
        <v>14.269640000000001</v>
      </c>
      <c r="AD38">
        <v>152.275933333333</v>
      </c>
      <c r="AE38">
        <v>15.976746666666701</v>
      </c>
      <c r="AF38">
        <v>800.00406666666697</v>
      </c>
      <c r="AG38">
        <v>99.939213333333299</v>
      </c>
      <c r="AH38">
        <v>6.3652146666666701E-2</v>
      </c>
      <c r="AI38">
        <v>18.921720000000001</v>
      </c>
      <c r="AJ38">
        <v>999.9</v>
      </c>
      <c r="AK38">
        <v>999.9</v>
      </c>
      <c r="AL38">
        <v>0</v>
      </c>
      <c r="AM38">
        <v>0</v>
      </c>
      <c r="AN38">
        <v>4998.3</v>
      </c>
      <c r="AO38">
        <v>0</v>
      </c>
      <c r="AP38">
        <v>1.63733</v>
      </c>
      <c r="AQ38">
        <v>1.56905093333333</v>
      </c>
      <c r="AR38">
        <v>154.04</v>
      </c>
      <c r="AS38">
        <v>152.174133333333</v>
      </c>
      <c r="AT38">
        <v>1.75408733333333</v>
      </c>
      <c r="AU38">
        <v>150.00253333333299</v>
      </c>
      <c r="AV38">
        <v>14.269640000000001</v>
      </c>
      <c r="AW38">
        <v>1.6013980000000001</v>
      </c>
      <c r="AX38">
        <v>1.4260966666666699</v>
      </c>
      <c r="AY38">
        <v>13.9722066666667</v>
      </c>
      <c r="AZ38">
        <v>12.197620000000001</v>
      </c>
      <c r="BA38">
        <v>800.00046666666697</v>
      </c>
      <c r="BB38">
        <v>0.89998773333333304</v>
      </c>
      <c r="BC38">
        <v>0</v>
      </c>
      <c r="BD38">
        <v>0.100012133333333</v>
      </c>
      <c r="BE38">
        <v>0</v>
      </c>
      <c r="BF38">
        <v>25</v>
      </c>
      <c r="BG38">
        <v>13190.993333333299</v>
      </c>
      <c r="BH38">
        <v>1771103205.0999999</v>
      </c>
      <c r="BI38" t="s">
        <v>305</v>
      </c>
      <c r="BJ38">
        <v>1771103205.0999999</v>
      </c>
      <c r="BK38">
        <v>1771103183.0999999</v>
      </c>
      <c r="BL38">
        <v>12</v>
      </c>
      <c r="BM38">
        <v>-2E-3</v>
      </c>
      <c r="BN38">
        <v>-1.2E-2</v>
      </c>
      <c r="BO38">
        <v>-0.70399999999999996</v>
      </c>
      <c r="BP38">
        <v>4.7E-2</v>
      </c>
      <c r="BQ38">
        <v>375</v>
      </c>
      <c r="BR38">
        <v>13</v>
      </c>
      <c r="BS38">
        <v>0.1</v>
      </c>
      <c r="BT38">
        <v>0.03</v>
      </c>
      <c r="BU38">
        <v>2.0290400000000002</v>
      </c>
      <c r="BV38">
        <v>-7.8381753383458701</v>
      </c>
      <c r="BW38">
        <v>0.76788288531520199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1.69902</v>
      </c>
      <c r="CD38">
        <v>0.96198586466165503</v>
      </c>
      <c r="CE38">
        <v>9.2835661736209996E-2</v>
      </c>
      <c r="CF38">
        <v>0</v>
      </c>
      <c r="CG38">
        <v>0</v>
      </c>
      <c r="CH38">
        <v>2</v>
      </c>
      <c r="CI38" t="s">
        <v>290</v>
      </c>
      <c r="CJ38">
        <v>3.5325000000000002</v>
      </c>
      <c r="CK38">
        <v>2.70147</v>
      </c>
      <c r="CL38">
        <v>4.2140299999999999E-2</v>
      </c>
      <c r="CM38">
        <v>4.1278099999999998E-2</v>
      </c>
      <c r="CN38">
        <v>8.9340299999999997E-2</v>
      </c>
      <c r="CO38">
        <v>8.0438099999999998E-2</v>
      </c>
      <c r="CP38">
        <v>33558</v>
      </c>
      <c r="CQ38">
        <v>29523.8</v>
      </c>
      <c r="CR38">
        <v>32427.8</v>
      </c>
      <c r="CS38">
        <v>30724.799999999999</v>
      </c>
      <c r="CT38">
        <v>39989.599999999999</v>
      </c>
      <c r="CU38">
        <v>39738.800000000003</v>
      </c>
      <c r="CV38">
        <v>47369.2</v>
      </c>
      <c r="CW38">
        <v>46870.2</v>
      </c>
      <c r="CX38">
        <v>2.6144400000000001</v>
      </c>
      <c r="CY38">
        <v>2.1205400000000001</v>
      </c>
      <c r="CZ38">
        <v>0</v>
      </c>
      <c r="DA38">
        <v>0</v>
      </c>
      <c r="DB38">
        <v>999.9</v>
      </c>
      <c r="DC38">
        <v>999.9</v>
      </c>
      <c r="DD38">
        <v>46.16</v>
      </c>
      <c r="DE38">
        <v>28.640999999999998</v>
      </c>
      <c r="DF38">
        <v>18.194299999999998</v>
      </c>
      <c r="DG38">
        <v>30.4682</v>
      </c>
      <c r="DH38">
        <v>17.099399999999999</v>
      </c>
      <c r="DI38">
        <v>2</v>
      </c>
      <c r="DJ38">
        <v>-7.2465399999999999E-2</v>
      </c>
      <c r="DK38">
        <v>2.27305</v>
      </c>
      <c r="DL38">
        <v>20.1952</v>
      </c>
      <c r="DM38">
        <v>5.2505899999999999</v>
      </c>
      <c r="DN38">
        <v>12.033899999999999</v>
      </c>
      <c r="DO38">
        <v>4.9674399999999999</v>
      </c>
      <c r="DP38">
        <v>3.2909999999999999</v>
      </c>
      <c r="DQ38">
        <v>607.79999999999995</v>
      </c>
      <c r="DR38">
        <v>9999</v>
      </c>
      <c r="DS38">
        <v>9999</v>
      </c>
      <c r="DT38">
        <v>9999</v>
      </c>
      <c r="DU38">
        <v>1.8711800000000001</v>
      </c>
      <c r="DV38">
        <v>1.87618</v>
      </c>
      <c r="DW38">
        <v>1.8763700000000001</v>
      </c>
      <c r="DX38">
        <v>1.8829</v>
      </c>
      <c r="DY38">
        <v>1.8756200000000001</v>
      </c>
      <c r="DZ38">
        <v>1.87469</v>
      </c>
      <c r="EA38">
        <v>1.87086</v>
      </c>
      <c r="EB38">
        <v>1.87469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-0.70499999999999996</v>
      </c>
      <c r="EQ38">
        <v>4.7E-2</v>
      </c>
      <c r="ER38">
        <v>-0.704300000000046</v>
      </c>
      <c r="ES38">
        <v>0</v>
      </c>
      <c r="ET38">
        <v>0</v>
      </c>
      <c r="EU38">
        <v>0</v>
      </c>
      <c r="EV38">
        <v>4.6972727272725799E-2</v>
      </c>
      <c r="EW38">
        <v>0</v>
      </c>
      <c r="EX38">
        <v>0</v>
      </c>
      <c r="EY38">
        <v>0</v>
      </c>
      <c r="EZ38">
        <v>-1</v>
      </c>
      <c r="FA38">
        <v>-1</v>
      </c>
      <c r="FB38">
        <v>-1</v>
      </c>
      <c r="FC38">
        <v>-1</v>
      </c>
      <c r="FD38">
        <v>5.9</v>
      </c>
      <c r="FE38">
        <v>6.3</v>
      </c>
      <c r="FF38">
        <v>0.56762699999999999</v>
      </c>
      <c r="FG38">
        <v>2.5952099999999998</v>
      </c>
      <c r="FH38">
        <v>2.19604</v>
      </c>
      <c r="FI38">
        <v>2.5756800000000002</v>
      </c>
      <c r="FJ38">
        <v>2.4462899999999999</v>
      </c>
      <c r="FK38">
        <v>2.3120099999999999</v>
      </c>
      <c r="FL38">
        <v>32.953699999999998</v>
      </c>
      <c r="FM38">
        <v>24.105</v>
      </c>
      <c r="FN38">
        <v>19</v>
      </c>
      <c r="FO38">
        <v>866.73699999999997</v>
      </c>
      <c r="FP38">
        <v>575.36800000000005</v>
      </c>
      <c r="FQ38">
        <v>17.921700000000001</v>
      </c>
      <c r="FR38">
        <v>26.081</v>
      </c>
      <c r="FS38">
        <v>30</v>
      </c>
      <c r="FT38">
        <v>26.0791</v>
      </c>
      <c r="FU38">
        <v>26.079000000000001</v>
      </c>
      <c r="FV38">
        <v>11.4193</v>
      </c>
      <c r="FW38">
        <v>27.369299999999999</v>
      </c>
      <c r="FX38">
        <v>37.681600000000003</v>
      </c>
      <c r="FY38">
        <v>17.941600000000001</v>
      </c>
      <c r="FZ38">
        <v>150</v>
      </c>
      <c r="GA38">
        <v>13.9254</v>
      </c>
      <c r="GB38">
        <v>99.804100000000005</v>
      </c>
      <c r="GC38">
        <v>99.764899999999997</v>
      </c>
    </row>
    <row r="39" spans="1:185" x14ac:dyDescent="0.2">
      <c r="A39">
        <v>24</v>
      </c>
      <c r="B39">
        <v>1771103576.0999999</v>
      </c>
      <c r="C39">
        <v>463</v>
      </c>
      <c r="D39" t="s">
        <v>343</v>
      </c>
      <c r="E39" t="s">
        <v>344</v>
      </c>
      <c r="F39">
        <v>15</v>
      </c>
      <c r="G39">
        <v>1771103568.03333</v>
      </c>
      <c r="H39">
        <f t="shared" si="0"/>
        <v>1.5330589628041772E-3</v>
      </c>
      <c r="I39">
        <v>0</v>
      </c>
      <c r="J39">
        <f t="shared" si="12"/>
        <v>-4.3069651129433069E-2</v>
      </c>
      <c r="K39">
        <f t="shared" si="1"/>
        <v>-0.77013938275191707</v>
      </c>
      <c r="L39">
        <f t="shared" si="2"/>
        <v>72.186383784512159</v>
      </c>
      <c r="M39">
        <f t="shared" si="3"/>
        <v>1.5860468000114634</v>
      </c>
      <c r="N39">
        <f t="shared" si="4"/>
        <v>2.1971550822466259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26211.131767992596</v>
      </c>
      <c r="T39">
        <f t="shared" si="8"/>
        <v>799.99953333333303</v>
      </c>
      <c r="U39">
        <f t="shared" si="9"/>
        <v>674.39990739982397</v>
      </c>
      <c r="V39">
        <f t="shared" si="10"/>
        <v>0.84300037599999966</v>
      </c>
      <c r="W39">
        <f t="shared" si="11"/>
        <v>0.15870106991999994</v>
      </c>
      <c r="X39">
        <v>1</v>
      </c>
      <c r="Y39">
        <v>1771103568.03333</v>
      </c>
      <c r="Z39">
        <v>150.672333333333</v>
      </c>
      <c r="AA39">
        <v>149.9984</v>
      </c>
      <c r="AB39">
        <v>15.8599</v>
      </c>
      <c r="AC39">
        <v>13.973979999999999</v>
      </c>
      <c r="AD39">
        <v>151.37673333333299</v>
      </c>
      <c r="AE39">
        <v>15.812946666666701</v>
      </c>
      <c r="AF39">
        <v>800.00466666666603</v>
      </c>
      <c r="AG39">
        <v>99.940093333333294</v>
      </c>
      <c r="AH39">
        <v>6.3488026666666697E-2</v>
      </c>
      <c r="AI39">
        <v>18.941586666666701</v>
      </c>
      <c r="AJ39">
        <v>999.9</v>
      </c>
      <c r="AK39">
        <v>999.9</v>
      </c>
      <c r="AL39">
        <v>0</v>
      </c>
      <c r="AM39">
        <v>0</v>
      </c>
      <c r="AN39">
        <v>4999.8999999999996</v>
      </c>
      <c r="AO39">
        <v>0</v>
      </c>
      <c r="AP39">
        <v>1.63733</v>
      </c>
      <c r="AQ39">
        <v>0.67411500000000002</v>
      </c>
      <c r="AR39">
        <v>153.100666666667</v>
      </c>
      <c r="AS39">
        <v>152.12406666666701</v>
      </c>
      <c r="AT39">
        <v>1.8859253333333299</v>
      </c>
      <c r="AU39">
        <v>149.9984</v>
      </c>
      <c r="AV39">
        <v>13.973979999999999</v>
      </c>
      <c r="AW39">
        <v>1.58504</v>
      </c>
      <c r="AX39">
        <v>1.3965620000000001</v>
      </c>
      <c r="AY39">
        <v>13.814066666666699</v>
      </c>
      <c r="AZ39">
        <v>11.880179999999999</v>
      </c>
      <c r="BA39">
        <v>799.99953333333303</v>
      </c>
      <c r="BB39">
        <v>0.89998553333333298</v>
      </c>
      <c r="BC39">
        <v>0</v>
      </c>
      <c r="BD39">
        <v>0.1000144</v>
      </c>
      <c r="BE39">
        <v>0</v>
      </c>
      <c r="BF39">
        <v>25</v>
      </c>
      <c r="BG39">
        <v>13190.9533333333</v>
      </c>
      <c r="BH39">
        <v>1771103205.0999999</v>
      </c>
      <c r="BI39" t="s">
        <v>305</v>
      </c>
      <c r="BJ39">
        <v>1771103205.0999999</v>
      </c>
      <c r="BK39">
        <v>1771103183.0999999</v>
      </c>
      <c r="BL39">
        <v>12</v>
      </c>
      <c r="BM39">
        <v>-2E-3</v>
      </c>
      <c r="BN39">
        <v>-1.2E-2</v>
      </c>
      <c r="BO39">
        <v>-0.70399999999999996</v>
      </c>
      <c r="BP39">
        <v>4.7E-2</v>
      </c>
      <c r="BQ39">
        <v>375</v>
      </c>
      <c r="BR39">
        <v>13</v>
      </c>
      <c r="BS39">
        <v>0.1</v>
      </c>
      <c r="BT39">
        <v>0.03</v>
      </c>
      <c r="BU39">
        <v>0.77822080000000005</v>
      </c>
      <c r="BV39">
        <v>-2.32975380451128</v>
      </c>
      <c r="BW39">
        <v>0.22820728866287299</v>
      </c>
      <c r="BX39">
        <v>0</v>
      </c>
      <c r="BY39">
        <v>0</v>
      </c>
      <c r="BZ39">
        <v>0</v>
      </c>
      <c r="CA39">
        <v>0</v>
      </c>
      <c r="CB39">
        <v>-1</v>
      </c>
      <c r="CC39">
        <v>1.8709795</v>
      </c>
      <c r="CD39">
        <v>0.322916842105263</v>
      </c>
      <c r="CE39">
        <v>3.2111316147894003E-2</v>
      </c>
      <c r="CF39">
        <v>0</v>
      </c>
      <c r="CG39">
        <v>0</v>
      </c>
      <c r="CH39">
        <v>2</v>
      </c>
      <c r="CI39" t="s">
        <v>290</v>
      </c>
      <c r="CJ39">
        <v>3.5325899999999999</v>
      </c>
      <c r="CK39">
        <v>2.70146</v>
      </c>
      <c r="CL39">
        <v>4.2020700000000001E-2</v>
      </c>
      <c r="CM39">
        <v>4.1279200000000002E-2</v>
      </c>
      <c r="CN39">
        <v>8.86763E-2</v>
      </c>
      <c r="CO39">
        <v>7.9542399999999999E-2</v>
      </c>
      <c r="CP39">
        <v>33561</v>
      </c>
      <c r="CQ39">
        <v>29523.5</v>
      </c>
      <c r="CR39">
        <v>32426.7</v>
      </c>
      <c r="CS39">
        <v>30724.400000000001</v>
      </c>
      <c r="CT39">
        <v>40018.1</v>
      </c>
      <c r="CU39">
        <v>39778.1</v>
      </c>
      <c r="CV39">
        <v>47367.3</v>
      </c>
      <c r="CW39">
        <v>46869.8</v>
      </c>
      <c r="CX39">
        <v>2.6147200000000002</v>
      </c>
      <c r="CY39">
        <v>2.11978</v>
      </c>
      <c r="CZ39">
        <v>0</v>
      </c>
      <c r="DA39">
        <v>0</v>
      </c>
      <c r="DB39">
        <v>999.9</v>
      </c>
      <c r="DC39">
        <v>999.9</v>
      </c>
      <c r="DD39">
        <v>46.136000000000003</v>
      </c>
      <c r="DE39">
        <v>28.640999999999998</v>
      </c>
      <c r="DF39">
        <v>18.183</v>
      </c>
      <c r="DG39">
        <v>30.438199999999998</v>
      </c>
      <c r="DH39">
        <v>16.979199999999999</v>
      </c>
      <c r="DI39">
        <v>2</v>
      </c>
      <c r="DJ39">
        <v>-7.2579299999999999E-2</v>
      </c>
      <c r="DK39">
        <v>2.2174900000000002</v>
      </c>
      <c r="DL39">
        <v>20.195900000000002</v>
      </c>
      <c r="DM39">
        <v>5.25</v>
      </c>
      <c r="DN39">
        <v>12.033899999999999</v>
      </c>
      <c r="DO39">
        <v>4.9672799999999997</v>
      </c>
      <c r="DP39">
        <v>3.2909999999999999</v>
      </c>
      <c r="DQ39">
        <v>607.79999999999995</v>
      </c>
      <c r="DR39">
        <v>9999</v>
      </c>
      <c r="DS39">
        <v>9999</v>
      </c>
      <c r="DT39">
        <v>9999</v>
      </c>
      <c r="DU39">
        <v>1.8711800000000001</v>
      </c>
      <c r="DV39">
        <v>1.87619</v>
      </c>
      <c r="DW39">
        <v>1.8763700000000001</v>
      </c>
      <c r="DX39">
        <v>1.8829100000000001</v>
      </c>
      <c r="DY39">
        <v>1.87561</v>
      </c>
      <c r="DZ39">
        <v>1.8747</v>
      </c>
      <c r="EA39">
        <v>1.87087</v>
      </c>
      <c r="EB39">
        <v>1.8746799999999999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-0.70399999999999996</v>
      </c>
      <c r="EQ39">
        <v>4.7E-2</v>
      </c>
      <c r="ER39">
        <v>-0.704300000000046</v>
      </c>
      <c r="ES39">
        <v>0</v>
      </c>
      <c r="ET39">
        <v>0</v>
      </c>
      <c r="EU39">
        <v>0</v>
      </c>
      <c r="EV39">
        <v>4.6972727272725799E-2</v>
      </c>
      <c r="EW39">
        <v>0</v>
      </c>
      <c r="EX39">
        <v>0</v>
      </c>
      <c r="EY39">
        <v>0</v>
      </c>
      <c r="EZ39">
        <v>-1</v>
      </c>
      <c r="FA39">
        <v>-1</v>
      </c>
      <c r="FB39">
        <v>-1</v>
      </c>
      <c r="FC39">
        <v>-1</v>
      </c>
      <c r="FD39">
        <v>6.2</v>
      </c>
      <c r="FE39">
        <v>6.5</v>
      </c>
      <c r="FF39">
        <v>0.56762699999999999</v>
      </c>
      <c r="FG39">
        <v>2.5964399999999999</v>
      </c>
      <c r="FH39">
        <v>2.19604</v>
      </c>
      <c r="FI39">
        <v>2.5756800000000002</v>
      </c>
      <c r="FJ39">
        <v>2.4462899999999999</v>
      </c>
      <c r="FK39">
        <v>2.2863799999999999</v>
      </c>
      <c r="FL39">
        <v>32.953699999999998</v>
      </c>
      <c r="FM39">
        <v>24.1313</v>
      </c>
      <c r="FN39">
        <v>19</v>
      </c>
      <c r="FO39">
        <v>866.97</v>
      </c>
      <c r="FP39">
        <v>574.78499999999997</v>
      </c>
      <c r="FQ39">
        <v>18.0623</v>
      </c>
      <c r="FR39">
        <v>26.0792</v>
      </c>
      <c r="FS39">
        <v>30.0002</v>
      </c>
      <c r="FT39">
        <v>26.077400000000001</v>
      </c>
      <c r="FU39">
        <v>26.079000000000001</v>
      </c>
      <c r="FV39">
        <v>11.418200000000001</v>
      </c>
      <c r="FW39">
        <v>28.2178</v>
      </c>
      <c r="FX39">
        <v>37.681600000000003</v>
      </c>
      <c r="FY39">
        <v>18.073899999999998</v>
      </c>
      <c r="FZ39">
        <v>150</v>
      </c>
      <c r="GA39">
        <v>13.7523</v>
      </c>
      <c r="GB39">
        <v>99.8005</v>
      </c>
      <c r="GC39">
        <v>99.763900000000007</v>
      </c>
    </row>
    <row r="40" spans="1:185" x14ac:dyDescent="0.2">
      <c r="A40">
        <v>25</v>
      </c>
      <c r="B40">
        <v>1771103591.0999999</v>
      </c>
      <c r="C40">
        <v>478</v>
      </c>
      <c r="D40" t="s">
        <v>345</v>
      </c>
      <c r="E40" t="s">
        <v>346</v>
      </c>
      <c r="F40">
        <v>15</v>
      </c>
      <c r="G40">
        <v>1771103583.03333</v>
      </c>
      <c r="H40">
        <f t="shared" si="0"/>
        <v>1.5593342718470994E-3</v>
      </c>
      <c r="I40">
        <v>0</v>
      </c>
      <c r="J40">
        <f t="shared" si="12"/>
        <v>-3.0132811555206095E-2</v>
      </c>
      <c r="K40">
        <f t="shared" si="1"/>
        <v>-0.53881246499921964</v>
      </c>
      <c r="L40">
        <f t="shared" si="2"/>
        <v>71.450914356002386</v>
      </c>
      <c r="M40">
        <f t="shared" si="3"/>
        <v>1.5725572011098612</v>
      </c>
      <c r="N40">
        <f t="shared" si="4"/>
        <v>2.200891640482912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26219.243851172076</v>
      </c>
      <c r="T40">
        <f t="shared" si="8"/>
        <v>800.00086666666698</v>
      </c>
      <c r="U40">
        <f t="shared" si="9"/>
        <v>674.40107940037808</v>
      </c>
      <c r="V40">
        <f t="shared" si="10"/>
        <v>0.84300043599999996</v>
      </c>
      <c r="W40">
        <f t="shared" si="11"/>
        <v>0.15870108999999996</v>
      </c>
      <c r="X40">
        <v>1</v>
      </c>
      <c r="Y40">
        <v>1771103583.03333</v>
      </c>
      <c r="Z40">
        <v>150.37880000000001</v>
      </c>
      <c r="AA40">
        <v>149.9984</v>
      </c>
      <c r="AB40">
        <v>15.725059999999999</v>
      </c>
      <c r="AC40">
        <v>13.8065533333333</v>
      </c>
      <c r="AD40">
        <v>151.083</v>
      </c>
      <c r="AE40">
        <v>15.6780733333333</v>
      </c>
      <c r="AF40">
        <v>800.00433333333297</v>
      </c>
      <c r="AG40">
        <v>99.939520000000002</v>
      </c>
      <c r="AH40">
        <v>6.3736020000000004E-2</v>
      </c>
      <c r="AI40">
        <v>18.968806666666701</v>
      </c>
      <c r="AJ40">
        <v>999.9</v>
      </c>
      <c r="AK40">
        <v>999.9</v>
      </c>
      <c r="AL40">
        <v>0</v>
      </c>
      <c r="AM40">
        <v>0</v>
      </c>
      <c r="AN40">
        <v>5001.6666666666697</v>
      </c>
      <c r="AO40">
        <v>0</v>
      </c>
      <c r="AP40">
        <v>1.63733</v>
      </c>
      <c r="AQ40">
        <v>0.38015646666666703</v>
      </c>
      <c r="AR40">
        <v>152.78126666666699</v>
      </c>
      <c r="AS40">
        <v>152.0984</v>
      </c>
      <c r="AT40">
        <v>1.91850533333333</v>
      </c>
      <c r="AU40">
        <v>149.9984</v>
      </c>
      <c r="AV40">
        <v>13.8065533333333</v>
      </c>
      <c r="AW40">
        <v>1.5715553333333301</v>
      </c>
      <c r="AX40">
        <v>1.37982133333333</v>
      </c>
      <c r="AY40">
        <v>13.682646666666701</v>
      </c>
      <c r="AZ40">
        <v>11.6976</v>
      </c>
      <c r="BA40">
        <v>800.00086666666698</v>
      </c>
      <c r="BB40">
        <v>0.89998546666666701</v>
      </c>
      <c r="BC40">
        <v>0</v>
      </c>
      <c r="BD40">
        <v>0.100014533333333</v>
      </c>
      <c r="BE40">
        <v>0</v>
      </c>
      <c r="BF40">
        <v>25</v>
      </c>
      <c r="BG40">
        <v>13190.973333333301</v>
      </c>
      <c r="BH40">
        <v>1771103205.0999999</v>
      </c>
      <c r="BI40" t="s">
        <v>305</v>
      </c>
      <c r="BJ40">
        <v>1771103205.0999999</v>
      </c>
      <c r="BK40">
        <v>1771103183.0999999</v>
      </c>
      <c r="BL40">
        <v>12</v>
      </c>
      <c r="BM40">
        <v>-2E-3</v>
      </c>
      <c r="BN40">
        <v>-1.2E-2</v>
      </c>
      <c r="BO40">
        <v>-0.70399999999999996</v>
      </c>
      <c r="BP40">
        <v>4.7E-2</v>
      </c>
      <c r="BQ40">
        <v>375</v>
      </c>
      <c r="BR40">
        <v>13</v>
      </c>
      <c r="BS40">
        <v>0.1</v>
      </c>
      <c r="BT40">
        <v>0.03</v>
      </c>
      <c r="BU40">
        <v>0.42206033333333298</v>
      </c>
      <c r="BV40">
        <v>-0.79759277922077898</v>
      </c>
      <c r="BW40">
        <v>8.16080317629473E-2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1.91414476190476</v>
      </c>
      <c r="CD40">
        <v>9.1609090909092902E-2</v>
      </c>
      <c r="CE40">
        <v>1.0197768485613301E-2</v>
      </c>
      <c r="CF40">
        <v>1</v>
      </c>
      <c r="CG40">
        <v>1</v>
      </c>
      <c r="CH40">
        <v>2</v>
      </c>
      <c r="CI40" t="s">
        <v>299</v>
      </c>
      <c r="CJ40">
        <v>3.53254</v>
      </c>
      <c r="CK40">
        <v>2.7013799999999999</v>
      </c>
      <c r="CL40">
        <v>4.1979099999999998E-2</v>
      </c>
      <c r="CM40">
        <v>4.1279400000000001E-2</v>
      </c>
      <c r="CN40">
        <v>8.8207099999999997E-2</v>
      </c>
      <c r="CO40">
        <v>7.8993499999999994E-2</v>
      </c>
      <c r="CP40">
        <v>33562.300000000003</v>
      </c>
      <c r="CQ40">
        <v>29523.200000000001</v>
      </c>
      <c r="CR40">
        <v>32426.5</v>
      </c>
      <c r="CS40">
        <v>30724.2</v>
      </c>
      <c r="CT40">
        <v>40039.199999999997</v>
      </c>
      <c r="CU40">
        <v>39802.1</v>
      </c>
      <c r="CV40">
        <v>47367.199999999997</v>
      </c>
      <c r="CW40">
        <v>46869.4</v>
      </c>
      <c r="CX40">
        <v>2.61476</v>
      </c>
      <c r="CY40">
        <v>2.1192799999999998</v>
      </c>
      <c r="CZ40">
        <v>0</v>
      </c>
      <c r="DA40">
        <v>0</v>
      </c>
      <c r="DB40">
        <v>999.9</v>
      </c>
      <c r="DC40">
        <v>999.9</v>
      </c>
      <c r="DD40">
        <v>46.112000000000002</v>
      </c>
      <c r="DE40">
        <v>28.661000000000001</v>
      </c>
      <c r="DF40">
        <v>18.193300000000001</v>
      </c>
      <c r="DG40">
        <v>30.6782</v>
      </c>
      <c r="DH40">
        <v>17.063300000000002</v>
      </c>
      <c r="DI40">
        <v>2</v>
      </c>
      <c r="DJ40">
        <v>-7.2591500000000003E-2</v>
      </c>
      <c r="DK40">
        <v>2.2384400000000002</v>
      </c>
      <c r="DL40">
        <v>20.196200000000001</v>
      </c>
      <c r="DM40">
        <v>5.2509499999999996</v>
      </c>
      <c r="DN40">
        <v>12.033899999999999</v>
      </c>
      <c r="DO40">
        <v>4.9672799999999997</v>
      </c>
      <c r="DP40">
        <v>3.2909999999999999</v>
      </c>
      <c r="DQ40">
        <v>607.79999999999995</v>
      </c>
      <c r="DR40">
        <v>9999</v>
      </c>
      <c r="DS40">
        <v>9999</v>
      </c>
      <c r="DT40">
        <v>9999</v>
      </c>
      <c r="DU40">
        <v>1.8711899999999999</v>
      </c>
      <c r="DV40">
        <v>1.8762000000000001</v>
      </c>
      <c r="DW40">
        <v>1.8763700000000001</v>
      </c>
      <c r="DX40">
        <v>1.88293</v>
      </c>
      <c r="DY40">
        <v>1.87564</v>
      </c>
      <c r="DZ40">
        <v>1.8747100000000001</v>
      </c>
      <c r="EA40">
        <v>1.8708800000000001</v>
      </c>
      <c r="EB40">
        <v>1.87469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-0.70399999999999996</v>
      </c>
      <c r="EQ40">
        <v>4.7E-2</v>
      </c>
      <c r="ER40">
        <v>-0.704300000000046</v>
      </c>
      <c r="ES40">
        <v>0</v>
      </c>
      <c r="ET40">
        <v>0</v>
      </c>
      <c r="EU40">
        <v>0</v>
      </c>
      <c r="EV40">
        <v>4.6972727272725799E-2</v>
      </c>
      <c r="EW40">
        <v>0</v>
      </c>
      <c r="EX40">
        <v>0</v>
      </c>
      <c r="EY40">
        <v>0</v>
      </c>
      <c r="EZ40">
        <v>-1</v>
      </c>
      <c r="FA40">
        <v>-1</v>
      </c>
      <c r="FB40">
        <v>-1</v>
      </c>
      <c r="FC40">
        <v>-1</v>
      </c>
      <c r="FD40">
        <v>6.4</v>
      </c>
      <c r="FE40">
        <v>6.8</v>
      </c>
      <c r="FF40">
        <v>0.56762699999999999</v>
      </c>
      <c r="FG40">
        <v>2.5927699999999998</v>
      </c>
      <c r="FH40">
        <v>2.19604</v>
      </c>
      <c r="FI40">
        <v>2.5756800000000002</v>
      </c>
      <c r="FJ40">
        <v>2.4462899999999999</v>
      </c>
      <c r="FK40">
        <v>2.3059099999999999</v>
      </c>
      <c r="FL40">
        <v>32.953699999999998</v>
      </c>
      <c r="FM40">
        <v>24.14</v>
      </c>
      <c r="FN40">
        <v>19</v>
      </c>
      <c r="FO40">
        <v>866.98699999999997</v>
      </c>
      <c r="FP40">
        <v>574.37699999999995</v>
      </c>
      <c r="FQ40">
        <v>18.150200000000002</v>
      </c>
      <c r="FR40">
        <v>26.078299999999999</v>
      </c>
      <c r="FS40">
        <v>30.0001</v>
      </c>
      <c r="FT40">
        <v>26.076000000000001</v>
      </c>
      <c r="FU40">
        <v>26.076799999999999</v>
      </c>
      <c r="FV40">
        <v>11.418900000000001</v>
      </c>
      <c r="FW40">
        <v>28.7852</v>
      </c>
      <c r="FX40">
        <v>37.681600000000003</v>
      </c>
      <c r="FY40">
        <v>18.151499999999999</v>
      </c>
      <c r="FZ40">
        <v>150</v>
      </c>
      <c r="GA40">
        <v>13.6465</v>
      </c>
      <c r="GB40">
        <v>99.8</v>
      </c>
      <c r="GC40">
        <v>99.763099999999994</v>
      </c>
    </row>
    <row r="41" spans="1:185" x14ac:dyDescent="0.2">
      <c r="A41">
        <v>26</v>
      </c>
      <c r="B41">
        <v>1771103606.0999999</v>
      </c>
      <c r="C41">
        <v>493</v>
      </c>
      <c r="D41" t="s">
        <v>347</v>
      </c>
      <c r="E41" t="s">
        <v>348</v>
      </c>
      <c r="F41">
        <v>15</v>
      </c>
      <c r="G41">
        <v>1771103598.03333</v>
      </c>
      <c r="H41">
        <f t="shared" si="0"/>
        <v>1.5833997965316008E-3</v>
      </c>
      <c r="I41">
        <v>0</v>
      </c>
      <c r="J41">
        <f t="shared" si="12"/>
        <v>-2.4502494146619432E-2</v>
      </c>
      <c r="K41">
        <f t="shared" si="1"/>
        <v>-0.43813532784955117</v>
      </c>
      <c r="L41">
        <f t="shared" si="2"/>
        <v>70.838461848632789</v>
      </c>
      <c r="M41">
        <f t="shared" si="3"/>
        <v>1.5620275512790571</v>
      </c>
      <c r="N41">
        <f t="shared" si="4"/>
        <v>2.2050557148132164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26220.021681785998</v>
      </c>
      <c r="T41">
        <f t="shared" si="8"/>
        <v>800.00166666666701</v>
      </c>
      <c r="U41">
        <f t="shared" si="9"/>
        <v>674.40176980076023</v>
      </c>
      <c r="V41">
        <f t="shared" si="10"/>
        <v>0.84300045599999995</v>
      </c>
      <c r="W41">
        <f t="shared" si="11"/>
        <v>0.15870114000000002</v>
      </c>
      <c r="X41">
        <v>1</v>
      </c>
      <c r="Y41">
        <v>1771103598.03333</v>
      </c>
      <c r="Z41">
        <v>150.25886666666699</v>
      </c>
      <c r="AA41">
        <v>150.0086</v>
      </c>
      <c r="AB41">
        <v>15.619873333333301</v>
      </c>
      <c r="AC41">
        <v>13.671559999999999</v>
      </c>
      <c r="AD41">
        <v>150.963066666667</v>
      </c>
      <c r="AE41">
        <v>15.572900000000001</v>
      </c>
      <c r="AF41">
        <v>800.00853333333305</v>
      </c>
      <c r="AG41">
        <v>99.9389933333334</v>
      </c>
      <c r="AH41">
        <v>6.3581460000000006E-2</v>
      </c>
      <c r="AI41">
        <v>18.999093333333299</v>
      </c>
      <c r="AJ41">
        <v>999.9</v>
      </c>
      <c r="AK41">
        <v>999.9</v>
      </c>
      <c r="AL41">
        <v>0</v>
      </c>
      <c r="AM41">
        <v>0</v>
      </c>
      <c r="AN41">
        <v>5002.2666666666701</v>
      </c>
      <c r="AO41">
        <v>0</v>
      </c>
      <c r="AP41">
        <v>1.63733</v>
      </c>
      <c r="AQ41">
        <v>0.25021153333333301</v>
      </c>
      <c r="AR41">
        <v>152.64306666666701</v>
      </c>
      <c r="AS41">
        <v>152.087866666667</v>
      </c>
      <c r="AT41">
        <v>1.94830866666667</v>
      </c>
      <c r="AU41">
        <v>150.0086</v>
      </c>
      <c r="AV41">
        <v>13.671559999999999</v>
      </c>
      <c r="AW41">
        <v>1.5610333333333299</v>
      </c>
      <c r="AX41">
        <v>1.36632333333333</v>
      </c>
      <c r="AY41">
        <v>13.5794333333333</v>
      </c>
      <c r="AZ41">
        <v>11.5488866666667</v>
      </c>
      <c r="BA41">
        <v>800.00166666666701</v>
      </c>
      <c r="BB41">
        <v>0.89998480000000003</v>
      </c>
      <c r="BC41">
        <v>0</v>
      </c>
      <c r="BD41">
        <v>0.1000152</v>
      </c>
      <c r="BE41">
        <v>0</v>
      </c>
      <c r="BF41">
        <v>25</v>
      </c>
      <c r="BG41">
        <v>13190.993333333299</v>
      </c>
      <c r="BH41">
        <v>1771103205.0999999</v>
      </c>
      <c r="BI41" t="s">
        <v>305</v>
      </c>
      <c r="BJ41">
        <v>1771103205.0999999</v>
      </c>
      <c r="BK41">
        <v>1771103183.0999999</v>
      </c>
      <c r="BL41">
        <v>12</v>
      </c>
      <c r="BM41">
        <v>-2E-3</v>
      </c>
      <c r="BN41">
        <v>-1.2E-2</v>
      </c>
      <c r="BO41">
        <v>-0.70399999999999996</v>
      </c>
      <c r="BP41">
        <v>4.7E-2</v>
      </c>
      <c r="BQ41">
        <v>375</v>
      </c>
      <c r="BR41">
        <v>13</v>
      </c>
      <c r="BS41">
        <v>0.1</v>
      </c>
      <c r="BT41">
        <v>0.03</v>
      </c>
      <c r="BU41">
        <v>0.26817930000000001</v>
      </c>
      <c r="BV41">
        <v>-0.401787338345865</v>
      </c>
      <c r="BW41">
        <v>3.9973327032034801E-2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1.943031</v>
      </c>
      <c r="CD41">
        <v>0.103659248120301</v>
      </c>
      <c r="CE41">
        <v>1.2489879062665099E-2</v>
      </c>
      <c r="CF41">
        <v>0</v>
      </c>
      <c r="CG41">
        <v>1</v>
      </c>
      <c r="CH41">
        <v>2</v>
      </c>
      <c r="CI41" t="s">
        <v>299</v>
      </c>
      <c r="CJ41">
        <v>3.5325299999999999</v>
      </c>
      <c r="CK41">
        <v>2.7015199999999999</v>
      </c>
      <c r="CL41">
        <v>4.1954600000000002E-2</v>
      </c>
      <c r="CM41">
        <v>4.1272099999999999E-2</v>
      </c>
      <c r="CN41">
        <v>8.7792700000000001E-2</v>
      </c>
      <c r="CO41">
        <v>7.8504099999999993E-2</v>
      </c>
      <c r="CP41">
        <v>33563.199999999997</v>
      </c>
      <c r="CQ41">
        <v>29523.4</v>
      </c>
      <c r="CR41">
        <v>32426.6</v>
      </c>
      <c r="CS41">
        <v>30724.1</v>
      </c>
      <c r="CT41">
        <v>40057.9</v>
      </c>
      <c r="CU41">
        <v>39823.800000000003</v>
      </c>
      <c r="CV41">
        <v>47367.199999999997</v>
      </c>
      <c r="CW41">
        <v>46869.5</v>
      </c>
      <c r="CX41">
        <v>2.6146600000000002</v>
      </c>
      <c r="CY41">
        <v>2.1192000000000002</v>
      </c>
      <c r="CZ41">
        <v>0</v>
      </c>
      <c r="DA41">
        <v>0</v>
      </c>
      <c r="DB41">
        <v>999.9</v>
      </c>
      <c r="DC41">
        <v>999.9</v>
      </c>
      <c r="DD41">
        <v>46.037999999999997</v>
      </c>
      <c r="DE41">
        <v>28.661000000000001</v>
      </c>
      <c r="DF41">
        <v>18.165800000000001</v>
      </c>
      <c r="DG41">
        <v>30.528199999999998</v>
      </c>
      <c r="DH41">
        <v>17.035299999999999</v>
      </c>
      <c r="DI41">
        <v>2</v>
      </c>
      <c r="DJ41">
        <v>-6.98516E-2</v>
      </c>
      <c r="DK41">
        <v>3.5512899999999998</v>
      </c>
      <c r="DL41">
        <v>20.165600000000001</v>
      </c>
      <c r="DM41">
        <v>5.2498800000000001</v>
      </c>
      <c r="DN41">
        <v>12.033899999999999</v>
      </c>
      <c r="DO41">
        <v>4.9672799999999997</v>
      </c>
      <c r="DP41">
        <v>3.2909999999999999</v>
      </c>
      <c r="DQ41">
        <v>607.79999999999995</v>
      </c>
      <c r="DR41">
        <v>9999</v>
      </c>
      <c r="DS41">
        <v>9999</v>
      </c>
      <c r="DT41">
        <v>9999</v>
      </c>
      <c r="DU41">
        <v>1.8711800000000001</v>
      </c>
      <c r="DV41">
        <v>1.8762000000000001</v>
      </c>
      <c r="DW41">
        <v>1.8763700000000001</v>
      </c>
      <c r="DX41">
        <v>1.8829199999999999</v>
      </c>
      <c r="DY41">
        <v>1.8756600000000001</v>
      </c>
      <c r="DZ41">
        <v>1.8747</v>
      </c>
      <c r="EA41">
        <v>1.8708800000000001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-0.70399999999999996</v>
      </c>
      <c r="EQ41">
        <v>4.7E-2</v>
      </c>
      <c r="ER41">
        <v>-0.704300000000046</v>
      </c>
      <c r="ES41">
        <v>0</v>
      </c>
      <c r="ET41">
        <v>0</v>
      </c>
      <c r="EU41">
        <v>0</v>
      </c>
      <c r="EV41">
        <v>4.6972727272725799E-2</v>
      </c>
      <c r="EW41">
        <v>0</v>
      </c>
      <c r="EX41">
        <v>0</v>
      </c>
      <c r="EY41">
        <v>0</v>
      </c>
      <c r="EZ41">
        <v>-1</v>
      </c>
      <c r="FA41">
        <v>-1</v>
      </c>
      <c r="FB41">
        <v>-1</v>
      </c>
      <c r="FC41">
        <v>-1</v>
      </c>
      <c r="FD41">
        <v>6.7</v>
      </c>
      <c r="FE41">
        <v>7</v>
      </c>
      <c r="FF41">
        <v>0.56884800000000002</v>
      </c>
      <c r="FG41">
        <v>2.5988799999999999</v>
      </c>
      <c r="FH41">
        <v>2.19604</v>
      </c>
      <c r="FI41">
        <v>2.5744600000000002</v>
      </c>
      <c r="FJ41">
        <v>2.4462899999999999</v>
      </c>
      <c r="FK41">
        <v>2.2680699999999998</v>
      </c>
      <c r="FL41">
        <v>32.953699999999998</v>
      </c>
      <c r="FM41">
        <v>24.122499999999999</v>
      </c>
      <c r="FN41">
        <v>19</v>
      </c>
      <c r="FO41">
        <v>866.88</v>
      </c>
      <c r="FP41">
        <v>574.31600000000003</v>
      </c>
      <c r="FQ41">
        <v>18.063500000000001</v>
      </c>
      <c r="FR41">
        <v>26.0761</v>
      </c>
      <c r="FS41">
        <v>30.002099999999999</v>
      </c>
      <c r="FT41">
        <v>26.075199999999999</v>
      </c>
      <c r="FU41">
        <v>26.076799999999999</v>
      </c>
      <c r="FV41">
        <v>11.418799999999999</v>
      </c>
      <c r="FW41">
        <v>28.7852</v>
      </c>
      <c r="FX41">
        <v>37.311300000000003</v>
      </c>
      <c r="FY41">
        <v>17.8155</v>
      </c>
      <c r="FZ41">
        <v>150</v>
      </c>
      <c r="GA41">
        <v>13.607200000000001</v>
      </c>
      <c r="GB41">
        <v>99.8001</v>
      </c>
      <c r="GC41">
        <v>99.763099999999994</v>
      </c>
    </row>
    <row r="42" spans="1:185" x14ac:dyDescent="0.2">
      <c r="A42">
        <v>27</v>
      </c>
      <c r="B42">
        <v>1771103621.0999999</v>
      </c>
      <c r="C42">
        <v>508</v>
      </c>
      <c r="D42" t="s">
        <v>349</v>
      </c>
      <c r="E42" t="s">
        <v>350</v>
      </c>
      <c r="F42">
        <v>15</v>
      </c>
      <c r="G42">
        <v>1771103613.03333</v>
      </c>
      <c r="H42">
        <f t="shared" si="0"/>
        <v>1.5550948225666065E-3</v>
      </c>
      <c r="I42">
        <v>0</v>
      </c>
      <c r="J42">
        <f t="shared" si="12"/>
        <v>-2.2568996535848939E-2</v>
      </c>
      <c r="K42">
        <f t="shared" si="1"/>
        <v>-0.40356196545949707</v>
      </c>
      <c r="L42">
        <f t="shared" si="2"/>
        <v>70.435954666132886</v>
      </c>
      <c r="M42">
        <f t="shared" si="3"/>
        <v>1.5542159174878887</v>
      </c>
      <c r="N42">
        <f t="shared" si="4"/>
        <v>2.2065661278460516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26174.130884897331</v>
      </c>
      <c r="T42">
        <f t="shared" si="8"/>
        <v>799.99900000000002</v>
      </c>
      <c r="U42">
        <f t="shared" si="9"/>
        <v>674.39942419966621</v>
      </c>
      <c r="V42">
        <f t="shared" si="10"/>
        <v>0.8430003340000003</v>
      </c>
      <c r="W42">
        <f t="shared" si="11"/>
        <v>0.15870109484000008</v>
      </c>
      <c r="X42">
        <v>1</v>
      </c>
      <c r="Y42">
        <v>1771103613.03333</v>
      </c>
      <c r="Z42">
        <v>150.208</v>
      </c>
      <c r="AA42">
        <v>149.99553333333299</v>
      </c>
      <c r="AB42">
        <v>15.541779999999999</v>
      </c>
      <c r="AC42">
        <v>13.628133333333301</v>
      </c>
      <c r="AD42">
        <v>150.912133333333</v>
      </c>
      <c r="AE42">
        <v>15.494820000000001</v>
      </c>
      <c r="AF42">
        <v>800.00446666666699</v>
      </c>
      <c r="AG42">
        <v>99.938746666666603</v>
      </c>
      <c r="AH42">
        <v>6.3693046666666697E-2</v>
      </c>
      <c r="AI42">
        <v>19.010066666666699</v>
      </c>
      <c r="AJ42">
        <v>999.9</v>
      </c>
      <c r="AK42">
        <v>999.9</v>
      </c>
      <c r="AL42">
        <v>0</v>
      </c>
      <c r="AM42">
        <v>0</v>
      </c>
      <c r="AN42">
        <v>4994.8666666666704</v>
      </c>
      <c r="AO42">
        <v>0</v>
      </c>
      <c r="AP42">
        <v>1.63733</v>
      </c>
      <c r="AQ42">
        <v>0.212170466666667</v>
      </c>
      <c r="AR42">
        <v>152.57919999999999</v>
      </c>
      <c r="AS42">
        <v>152.06813333333301</v>
      </c>
      <c r="AT42">
        <v>1.913648</v>
      </c>
      <c r="AU42">
        <v>149.99553333333299</v>
      </c>
      <c r="AV42">
        <v>13.628133333333301</v>
      </c>
      <c r="AW42">
        <v>1.553226</v>
      </c>
      <c r="AX42">
        <v>1.3619793333333301</v>
      </c>
      <c r="AY42">
        <v>13.502420000000001</v>
      </c>
      <c r="AZ42">
        <v>11.500826666666701</v>
      </c>
      <c r="BA42">
        <v>799.99900000000002</v>
      </c>
      <c r="BB42">
        <v>0.89998500000000003</v>
      </c>
      <c r="BC42">
        <v>0</v>
      </c>
      <c r="BD42">
        <v>0.10001486666666699</v>
      </c>
      <c r="BE42">
        <v>0</v>
      </c>
      <c r="BF42">
        <v>25</v>
      </c>
      <c r="BG42">
        <v>13190.9533333333</v>
      </c>
      <c r="BH42">
        <v>1771103205.0999999</v>
      </c>
      <c r="BI42" t="s">
        <v>305</v>
      </c>
      <c r="BJ42">
        <v>1771103205.0999999</v>
      </c>
      <c r="BK42">
        <v>1771103183.0999999</v>
      </c>
      <c r="BL42">
        <v>12</v>
      </c>
      <c r="BM42">
        <v>-2E-3</v>
      </c>
      <c r="BN42">
        <v>-1.2E-2</v>
      </c>
      <c r="BO42">
        <v>-0.70399999999999996</v>
      </c>
      <c r="BP42">
        <v>4.7E-2</v>
      </c>
      <c r="BQ42">
        <v>375</v>
      </c>
      <c r="BR42">
        <v>13</v>
      </c>
      <c r="BS42">
        <v>0.1</v>
      </c>
      <c r="BT42">
        <v>0.03</v>
      </c>
      <c r="BU42">
        <v>0.216145095238095</v>
      </c>
      <c r="BV42">
        <v>-7.9238649350648893E-2</v>
      </c>
      <c r="BW42">
        <v>1.39127603707455E-2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1.9244438095238099</v>
      </c>
      <c r="CD42">
        <v>-0.230314285714284</v>
      </c>
      <c r="CE42">
        <v>2.3392072013966099E-2</v>
      </c>
      <c r="CF42">
        <v>0</v>
      </c>
      <c r="CG42">
        <v>1</v>
      </c>
      <c r="CH42">
        <v>2</v>
      </c>
      <c r="CI42" t="s">
        <v>299</v>
      </c>
      <c r="CJ42">
        <v>3.5325299999999999</v>
      </c>
      <c r="CK42">
        <v>2.7018</v>
      </c>
      <c r="CL42">
        <v>4.1946400000000002E-2</v>
      </c>
      <c r="CM42">
        <v>4.12767E-2</v>
      </c>
      <c r="CN42">
        <v>8.7523299999999998E-2</v>
      </c>
      <c r="CO42">
        <v>7.8476400000000002E-2</v>
      </c>
      <c r="CP42">
        <v>33563.300000000003</v>
      </c>
      <c r="CQ42">
        <v>29522.6</v>
      </c>
      <c r="CR42">
        <v>32426.400000000001</v>
      </c>
      <c r="CS42">
        <v>30723.4</v>
      </c>
      <c r="CT42">
        <v>40069.5</v>
      </c>
      <c r="CU42">
        <v>39824.5</v>
      </c>
      <c r="CV42">
        <v>47366.5</v>
      </c>
      <c r="CW42">
        <v>46868.800000000003</v>
      </c>
      <c r="CX42">
        <v>2.6146400000000001</v>
      </c>
      <c r="CY42">
        <v>2.1190000000000002</v>
      </c>
      <c r="CZ42">
        <v>0</v>
      </c>
      <c r="DA42">
        <v>0</v>
      </c>
      <c r="DB42">
        <v>999.9</v>
      </c>
      <c r="DC42">
        <v>999.9</v>
      </c>
      <c r="DD42">
        <v>46.014000000000003</v>
      </c>
      <c r="DE42">
        <v>28.640999999999998</v>
      </c>
      <c r="DF42">
        <v>18.136700000000001</v>
      </c>
      <c r="DG42">
        <v>30.528199999999998</v>
      </c>
      <c r="DH42">
        <v>17.0793</v>
      </c>
      <c r="DI42">
        <v>2</v>
      </c>
      <c r="DJ42">
        <v>-7.0227600000000001E-2</v>
      </c>
      <c r="DK42">
        <v>2.8304399999999998</v>
      </c>
      <c r="DL42">
        <v>20.1846</v>
      </c>
      <c r="DM42">
        <v>5.2503500000000001</v>
      </c>
      <c r="DN42">
        <v>12.033899999999999</v>
      </c>
      <c r="DO42">
        <v>4.9671200000000004</v>
      </c>
      <c r="DP42">
        <v>3.2909999999999999</v>
      </c>
      <c r="DQ42">
        <v>607.79999999999995</v>
      </c>
      <c r="DR42">
        <v>9999</v>
      </c>
      <c r="DS42">
        <v>9999</v>
      </c>
      <c r="DT42">
        <v>9999</v>
      </c>
      <c r="DU42">
        <v>1.8711899999999999</v>
      </c>
      <c r="DV42">
        <v>1.8761699999999999</v>
      </c>
      <c r="DW42">
        <v>1.8763700000000001</v>
      </c>
      <c r="DX42">
        <v>1.8829</v>
      </c>
      <c r="DY42">
        <v>1.87564</v>
      </c>
      <c r="DZ42">
        <v>1.87469</v>
      </c>
      <c r="EA42">
        <v>1.8708800000000001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-0.70399999999999996</v>
      </c>
      <c r="EQ42">
        <v>4.7E-2</v>
      </c>
      <c r="ER42">
        <v>-0.704300000000046</v>
      </c>
      <c r="ES42">
        <v>0</v>
      </c>
      <c r="ET42">
        <v>0</v>
      </c>
      <c r="EU42">
        <v>0</v>
      </c>
      <c r="EV42">
        <v>4.6972727272725799E-2</v>
      </c>
      <c r="EW42">
        <v>0</v>
      </c>
      <c r="EX42">
        <v>0</v>
      </c>
      <c r="EY42">
        <v>0</v>
      </c>
      <c r="EZ42">
        <v>-1</v>
      </c>
      <c r="FA42">
        <v>-1</v>
      </c>
      <c r="FB42">
        <v>-1</v>
      </c>
      <c r="FC42">
        <v>-1</v>
      </c>
      <c r="FD42">
        <v>6.9</v>
      </c>
      <c r="FE42">
        <v>7.3</v>
      </c>
      <c r="FF42">
        <v>0.56884800000000002</v>
      </c>
      <c r="FG42">
        <v>2.5891099999999998</v>
      </c>
      <c r="FH42">
        <v>2.19604</v>
      </c>
      <c r="FI42">
        <v>2.5756800000000002</v>
      </c>
      <c r="FJ42">
        <v>2.4462899999999999</v>
      </c>
      <c r="FK42">
        <v>2.32666</v>
      </c>
      <c r="FL42">
        <v>32.953699999999998</v>
      </c>
      <c r="FM42">
        <v>24.14</v>
      </c>
      <c r="FN42">
        <v>19</v>
      </c>
      <c r="FO42">
        <v>866.85400000000004</v>
      </c>
      <c r="FP42">
        <v>574.16300000000001</v>
      </c>
      <c r="FQ42">
        <v>17.7502</v>
      </c>
      <c r="FR42">
        <v>26.073499999999999</v>
      </c>
      <c r="FS42">
        <v>29.999400000000001</v>
      </c>
      <c r="FT42">
        <v>26.0747</v>
      </c>
      <c r="FU42">
        <v>26.076799999999999</v>
      </c>
      <c r="FV42">
        <v>11.4184</v>
      </c>
      <c r="FW42">
        <v>28.7852</v>
      </c>
      <c r="FX42">
        <v>37.311300000000003</v>
      </c>
      <c r="FY42">
        <v>17.779399999999999</v>
      </c>
      <c r="FZ42">
        <v>150</v>
      </c>
      <c r="GA42">
        <v>13.5885</v>
      </c>
      <c r="GB42">
        <v>99.799099999999996</v>
      </c>
      <c r="GC42">
        <v>99.761399999999995</v>
      </c>
    </row>
    <row r="43" spans="1:185" x14ac:dyDescent="0.2">
      <c r="A43">
        <v>28</v>
      </c>
      <c r="B43">
        <v>1771103636.0999999</v>
      </c>
      <c r="C43">
        <v>523</v>
      </c>
      <c r="D43" t="s">
        <v>351</v>
      </c>
      <c r="E43" t="s">
        <v>352</v>
      </c>
      <c r="F43">
        <v>15</v>
      </c>
      <c r="G43">
        <v>1771103628.03333</v>
      </c>
      <c r="H43">
        <f t="shared" si="0"/>
        <v>1.5325840338469747E-3</v>
      </c>
      <c r="I43">
        <v>0</v>
      </c>
      <c r="J43">
        <f t="shared" si="12"/>
        <v>-1.9616134157829073E-2</v>
      </c>
      <c r="K43">
        <f t="shared" si="1"/>
        <v>-0.35076108248216814</v>
      </c>
      <c r="L43">
        <f t="shared" si="2"/>
        <v>70.320797754982365</v>
      </c>
      <c r="M43">
        <f t="shared" si="3"/>
        <v>1.5500355095965708</v>
      </c>
      <c r="N43">
        <f t="shared" si="4"/>
        <v>2.2042348196863961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26207.903544437646</v>
      </c>
      <c r="T43">
        <f t="shared" si="8"/>
        <v>800.00019999999995</v>
      </c>
      <c r="U43">
        <f t="shared" si="9"/>
        <v>674.40039580005703</v>
      </c>
      <c r="V43">
        <f t="shared" si="10"/>
        <v>0.84300028400000027</v>
      </c>
      <c r="W43">
        <f t="shared" si="11"/>
        <v>0.15870096984000007</v>
      </c>
      <c r="X43">
        <v>1</v>
      </c>
      <c r="Y43">
        <v>1771103628.03333</v>
      </c>
      <c r="Z43">
        <v>150.15166666666701</v>
      </c>
      <c r="AA43">
        <v>150.00086666666701</v>
      </c>
      <c r="AB43">
        <v>15.500019999999999</v>
      </c>
      <c r="AC43">
        <v>13.614000000000001</v>
      </c>
      <c r="AD43">
        <v>150.85599999999999</v>
      </c>
      <c r="AE43">
        <v>15.453053333333299</v>
      </c>
      <c r="AF43">
        <v>800.00686666666695</v>
      </c>
      <c r="AG43">
        <v>99.938493333333298</v>
      </c>
      <c r="AH43">
        <v>6.3668573333333298E-2</v>
      </c>
      <c r="AI43">
        <v>18.993126666666701</v>
      </c>
      <c r="AJ43">
        <v>999.9</v>
      </c>
      <c r="AK43">
        <v>999.9</v>
      </c>
      <c r="AL43">
        <v>0</v>
      </c>
      <c r="AM43">
        <v>0</v>
      </c>
      <c r="AN43">
        <v>5000.2</v>
      </c>
      <c r="AO43">
        <v>0</v>
      </c>
      <c r="AP43">
        <v>1.63733</v>
      </c>
      <c r="AQ43">
        <v>0.15077599999999999</v>
      </c>
      <c r="AR43">
        <v>152.515533333333</v>
      </c>
      <c r="AS43">
        <v>152.07106666666701</v>
      </c>
      <c r="AT43">
        <v>1.88604333333333</v>
      </c>
      <c r="AU43">
        <v>150.00086666666701</v>
      </c>
      <c r="AV43">
        <v>13.614000000000001</v>
      </c>
      <c r="AW43">
        <v>1.549048</v>
      </c>
      <c r="AX43">
        <v>1.3605606666666701</v>
      </c>
      <c r="AY43">
        <v>13.4610933333333</v>
      </c>
      <c r="AZ43">
        <v>11.485060000000001</v>
      </c>
      <c r="BA43">
        <v>800.00019999999995</v>
      </c>
      <c r="BB43">
        <v>0.89998666666666705</v>
      </c>
      <c r="BC43">
        <v>0</v>
      </c>
      <c r="BD43">
        <v>0.1000132</v>
      </c>
      <c r="BE43">
        <v>0</v>
      </c>
      <c r="BF43">
        <v>25</v>
      </c>
      <c r="BG43">
        <v>13190.98</v>
      </c>
      <c r="BH43">
        <v>1771103205.0999999</v>
      </c>
      <c r="BI43" t="s">
        <v>305</v>
      </c>
      <c r="BJ43">
        <v>1771103205.0999999</v>
      </c>
      <c r="BK43">
        <v>1771103183.0999999</v>
      </c>
      <c r="BL43">
        <v>12</v>
      </c>
      <c r="BM43">
        <v>-2E-3</v>
      </c>
      <c r="BN43">
        <v>-1.2E-2</v>
      </c>
      <c r="BO43">
        <v>-0.70399999999999996</v>
      </c>
      <c r="BP43">
        <v>4.7E-2</v>
      </c>
      <c r="BQ43">
        <v>375</v>
      </c>
      <c r="BR43">
        <v>13</v>
      </c>
      <c r="BS43">
        <v>0.1</v>
      </c>
      <c r="BT43">
        <v>0.03</v>
      </c>
      <c r="BU43">
        <v>0.16458195</v>
      </c>
      <c r="BV43">
        <v>-0.27366681203007498</v>
      </c>
      <c r="BW43">
        <v>3.03223083380454E-2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1.887678</v>
      </c>
      <c r="CD43">
        <v>5.2800000000000798E-3</v>
      </c>
      <c r="CE43">
        <v>8.9004402138321299E-3</v>
      </c>
      <c r="CF43">
        <v>1</v>
      </c>
      <c r="CG43">
        <v>2</v>
      </c>
      <c r="CH43">
        <v>2</v>
      </c>
      <c r="CI43" t="s">
        <v>322</v>
      </c>
      <c r="CJ43">
        <v>3.5325099999999998</v>
      </c>
      <c r="CK43">
        <v>2.7014300000000002</v>
      </c>
      <c r="CL43">
        <v>4.1935300000000002E-2</v>
      </c>
      <c r="CM43">
        <v>4.1269100000000003E-2</v>
      </c>
      <c r="CN43">
        <v>8.7425000000000003E-2</v>
      </c>
      <c r="CO43">
        <v>7.8279600000000005E-2</v>
      </c>
      <c r="CP43">
        <v>33564</v>
      </c>
      <c r="CQ43">
        <v>29524</v>
      </c>
      <c r="CR43">
        <v>32426.7</v>
      </c>
      <c r="CS43">
        <v>30724.7</v>
      </c>
      <c r="CT43">
        <v>40074.800000000003</v>
      </c>
      <c r="CU43">
        <v>39834.800000000003</v>
      </c>
      <c r="CV43">
        <v>47367.5</v>
      </c>
      <c r="CW43">
        <v>46870.7</v>
      </c>
      <c r="CX43">
        <v>2.6145800000000001</v>
      </c>
      <c r="CY43">
        <v>2.1187800000000001</v>
      </c>
      <c r="CZ43">
        <v>0</v>
      </c>
      <c r="DA43">
        <v>0</v>
      </c>
      <c r="DB43">
        <v>999.9</v>
      </c>
      <c r="DC43">
        <v>999.9</v>
      </c>
      <c r="DD43">
        <v>45.947000000000003</v>
      </c>
      <c r="DE43">
        <v>28.640999999999998</v>
      </c>
      <c r="DF43">
        <v>18.110600000000002</v>
      </c>
      <c r="DG43">
        <v>30.588200000000001</v>
      </c>
      <c r="DH43">
        <v>17.159500000000001</v>
      </c>
      <c r="DI43">
        <v>2</v>
      </c>
      <c r="DJ43">
        <v>-7.1437E-2</v>
      </c>
      <c r="DK43">
        <v>2.6677399999999998</v>
      </c>
      <c r="DL43">
        <v>20.187999999999999</v>
      </c>
      <c r="DM43">
        <v>5.2501199999999999</v>
      </c>
      <c r="DN43">
        <v>12.033899999999999</v>
      </c>
      <c r="DO43">
        <v>4.9672799999999997</v>
      </c>
      <c r="DP43">
        <v>3.2909999999999999</v>
      </c>
      <c r="DQ43">
        <v>607.79999999999995</v>
      </c>
      <c r="DR43">
        <v>9999</v>
      </c>
      <c r="DS43">
        <v>9999</v>
      </c>
      <c r="DT43">
        <v>9999</v>
      </c>
      <c r="DU43">
        <v>1.8711800000000001</v>
      </c>
      <c r="DV43">
        <v>1.87618</v>
      </c>
      <c r="DW43">
        <v>1.8763700000000001</v>
      </c>
      <c r="DX43">
        <v>1.8828800000000001</v>
      </c>
      <c r="DY43">
        <v>1.8756200000000001</v>
      </c>
      <c r="DZ43">
        <v>1.87469</v>
      </c>
      <c r="EA43">
        <v>1.8708800000000001</v>
      </c>
      <c r="EB43">
        <v>1.8746799999999999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-0.70499999999999996</v>
      </c>
      <c r="EQ43">
        <v>4.6899999999999997E-2</v>
      </c>
      <c r="ER43">
        <v>-0.704300000000046</v>
      </c>
      <c r="ES43">
        <v>0</v>
      </c>
      <c r="ET43">
        <v>0</v>
      </c>
      <c r="EU43">
        <v>0</v>
      </c>
      <c r="EV43">
        <v>4.6972727272725799E-2</v>
      </c>
      <c r="EW43">
        <v>0</v>
      </c>
      <c r="EX43">
        <v>0</v>
      </c>
      <c r="EY43">
        <v>0</v>
      </c>
      <c r="EZ43">
        <v>-1</v>
      </c>
      <c r="FA43">
        <v>-1</v>
      </c>
      <c r="FB43">
        <v>-1</v>
      </c>
      <c r="FC43">
        <v>-1</v>
      </c>
      <c r="FD43">
        <v>7.2</v>
      </c>
      <c r="FE43">
        <v>7.5</v>
      </c>
      <c r="FF43">
        <v>0.56884800000000002</v>
      </c>
      <c r="FG43">
        <v>2.5964399999999999</v>
      </c>
      <c r="FH43">
        <v>2.19604</v>
      </c>
      <c r="FI43">
        <v>2.5756800000000002</v>
      </c>
      <c r="FJ43">
        <v>2.4462899999999999</v>
      </c>
      <c r="FK43">
        <v>2.2839399999999999</v>
      </c>
      <c r="FL43">
        <v>32.953699999999998</v>
      </c>
      <c r="FM43">
        <v>24.1313</v>
      </c>
      <c r="FN43">
        <v>19</v>
      </c>
      <c r="FO43">
        <v>866.77</v>
      </c>
      <c r="FP43">
        <v>573.971</v>
      </c>
      <c r="FQ43">
        <v>17.784400000000002</v>
      </c>
      <c r="FR43">
        <v>26.072199999999999</v>
      </c>
      <c r="FS43">
        <v>29.9998</v>
      </c>
      <c r="FT43">
        <v>26.073</v>
      </c>
      <c r="FU43">
        <v>26.0747</v>
      </c>
      <c r="FV43">
        <v>11.4194</v>
      </c>
      <c r="FW43">
        <v>28.7852</v>
      </c>
      <c r="FX43">
        <v>36.937800000000003</v>
      </c>
      <c r="FY43">
        <v>17.793800000000001</v>
      </c>
      <c r="FZ43">
        <v>150</v>
      </c>
      <c r="GA43">
        <v>13.5816</v>
      </c>
      <c r="GB43">
        <v>99.800700000000006</v>
      </c>
      <c r="GC43">
        <v>99.7654</v>
      </c>
    </row>
    <row r="44" spans="1:185" x14ac:dyDescent="0.2">
      <c r="A44">
        <v>29</v>
      </c>
      <c r="B44">
        <v>1771103651.0999999</v>
      </c>
      <c r="C44">
        <v>538</v>
      </c>
      <c r="D44" t="s">
        <v>353</v>
      </c>
      <c r="E44" t="s">
        <v>354</v>
      </c>
      <c r="F44">
        <v>15</v>
      </c>
      <c r="G44">
        <v>1771103643.03333</v>
      </c>
      <c r="H44">
        <f t="shared" si="0"/>
        <v>1.5393807049756745E-3</v>
      </c>
      <c r="I44">
        <v>0</v>
      </c>
      <c r="J44">
        <f t="shared" si="12"/>
        <v>-1.8829756509322691E-2</v>
      </c>
      <c r="K44">
        <f t="shared" si="1"/>
        <v>-0.3366996638045337</v>
      </c>
      <c r="L44">
        <f t="shared" si="2"/>
        <v>70.21430483419924</v>
      </c>
      <c r="M44">
        <f t="shared" si="3"/>
        <v>1.5469446061046837</v>
      </c>
      <c r="N44">
        <f t="shared" si="4"/>
        <v>2.2031758482229029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26221.082766547941</v>
      </c>
      <c r="T44">
        <f t="shared" si="8"/>
        <v>800.00066666666703</v>
      </c>
      <c r="U44">
        <f t="shared" si="9"/>
        <v>674.40087240025866</v>
      </c>
      <c r="V44">
        <f t="shared" si="10"/>
        <v>0.84300038799999966</v>
      </c>
      <c r="W44">
        <f t="shared" si="11"/>
        <v>0.15870109991999995</v>
      </c>
      <c r="X44">
        <v>1</v>
      </c>
      <c r="Y44">
        <v>1771103643.03333</v>
      </c>
      <c r="Z44">
        <v>150.12413333333299</v>
      </c>
      <c r="AA44">
        <v>149.99213333333299</v>
      </c>
      <c r="AB44">
        <v>15.4691733333333</v>
      </c>
      <c r="AC44">
        <v>13.57474</v>
      </c>
      <c r="AD44">
        <v>150.828466666667</v>
      </c>
      <c r="AE44">
        <v>15.4222133333333</v>
      </c>
      <c r="AF44">
        <v>800.01113333333296</v>
      </c>
      <c r="AG44">
        <v>99.938360000000003</v>
      </c>
      <c r="AH44">
        <v>6.3403039999999994E-2</v>
      </c>
      <c r="AI44">
        <v>18.985426666666701</v>
      </c>
      <c r="AJ44">
        <v>999.9</v>
      </c>
      <c r="AK44">
        <v>999.9</v>
      </c>
      <c r="AL44">
        <v>0</v>
      </c>
      <c r="AM44">
        <v>0</v>
      </c>
      <c r="AN44">
        <v>5002.2666666666701</v>
      </c>
      <c r="AO44">
        <v>0</v>
      </c>
      <c r="AP44">
        <v>1.63733</v>
      </c>
      <c r="AQ44">
        <v>0.13194366666666699</v>
      </c>
      <c r="AR44">
        <v>152.48293333333299</v>
      </c>
      <c r="AS44">
        <v>152.05633333333299</v>
      </c>
      <c r="AT44">
        <v>1.8944399999999999</v>
      </c>
      <c r="AU44">
        <v>149.99213333333299</v>
      </c>
      <c r="AV44">
        <v>13.57474</v>
      </c>
      <c r="AW44">
        <v>1.54596466666667</v>
      </c>
      <c r="AX44">
        <v>1.356638</v>
      </c>
      <c r="AY44">
        <v>13.430493333333301</v>
      </c>
      <c r="AZ44">
        <v>11.4414266666667</v>
      </c>
      <c r="BA44">
        <v>800.00066666666703</v>
      </c>
      <c r="BB44">
        <v>0.89998513333333297</v>
      </c>
      <c r="BC44">
        <v>0</v>
      </c>
      <c r="BD44">
        <v>0.1000148</v>
      </c>
      <c r="BE44">
        <v>0</v>
      </c>
      <c r="BF44">
        <v>25</v>
      </c>
      <c r="BG44">
        <v>13190.973333333301</v>
      </c>
      <c r="BH44">
        <v>1771103205.0999999</v>
      </c>
      <c r="BI44" t="s">
        <v>305</v>
      </c>
      <c r="BJ44">
        <v>1771103205.0999999</v>
      </c>
      <c r="BK44">
        <v>1771103183.0999999</v>
      </c>
      <c r="BL44">
        <v>12</v>
      </c>
      <c r="BM44">
        <v>-2E-3</v>
      </c>
      <c r="BN44">
        <v>-1.2E-2</v>
      </c>
      <c r="BO44">
        <v>-0.70399999999999996</v>
      </c>
      <c r="BP44">
        <v>4.7E-2</v>
      </c>
      <c r="BQ44">
        <v>375</v>
      </c>
      <c r="BR44">
        <v>13</v>
      </c>
      <c r="BS44">
        <v>0.1</v>
      </c>
      <c r="BT44">
        <v>0.03</v>
      </c>
      <c r="BU44">
        <v>0.13258642857142899</v>
      </c>
      <c r="BV44">
        <v>-3.7360285714285797E-2</v>
      </c>
      <c r="BW44">
        <v>1.3876692619440001E-2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1.8939366666666699</v>
      </c>
      <c r="CD44">
        <v>-2.0652467532468799E-2</v>
      </c>
      <c r="CE44">
        <v>8.7376625038820301E-3</v>
      </c>
      <c r="CF44">
        <v>1</v>
      </c>
      <c r="CG44">
        <v>2</v>
      </c>
      <c r="CH44">
        <v>2</v>
      </c>
      <c r="CI44" t="s">
        <v>322</v>
      </c>
      <c r="CJ44">
        <v>3.5325500000000001</v>
      </c>
      <c r="CK44">
        <v>2.7009599999999998</v>
      </c>
      <c r="CL44">
        <v>4.19367E-2</v>
      </c>
      <c r="CM44">
        <v>4.1275600000000003E-2</v>
      </c>
      <c r="CN44">
        <v>8.7278300000000003E-2</v>
      </c>
      <c r="CO44">
        <v>7.8251200000000007E-2</v>
      </c>
      <c r="CP44">
        <v>33564.1</v>
      </c>
      <c r="CQ44">
        <v>29524.3</v>
      </c>
      <c r="CR44">
        <v>32426.9</v>
      </c>
      <c r="CS44">
        <v>30725.200000000001</v>
      </c>
      <c r="CT44">
        <v>40081.699999999997</v>
      </c>
      <c r="CU44">
        <v>39836.699999999997</v>
      </c>
      <c r="CV44">
        <v>47367.9</v>
      </c>
      <c r="CW44">
        <v>46871.4</v>
      </c>
      <c r="CX44">
        <v>2.6145399999999999</v>
      </c>
      <c r="CY44">
        <v>2.1188400000000001</v>
      </c>
      <c r="CZ44">
        <v>0</v>
      </c>
      <c r="DA44">
        <v>0</v>
      </c>
      <c r="DB44">
        <v>999.9</v>
      </c>
      <c r="DC44">
        <v>999.9</v>
      </c>
      <c r="DD44">
        <v>45.921999999999997</v>
      </c>
      <c r="DE44">
        <v>28.640999999999998</v>
      </c>
      <c r="DF44">
        <v>18.099</v>
      </c>
      <c r="DG44">
        <v>30.438199999999998</v>
      </c>
      <c r="DH44">
        <v>16.975200000000001</v>
      </c>
      <c r="DI44">
        <v>2</v>
      </c>
      <c r="DJ44">
        <v>-7.1766300000000005E-2</v>
      </c>
      <c r="DK44">
        <v>2.6374599999999999</v>
      </c>
      <c r="DL44">
        <v>20.188300000000002</v>
      </c>
      <c r="DM44">
        <v>5.24688</v>
      </c>
      <c r="DN44">
        <v>12.033899999999999</v>
      </c>
      <c r="DO44">
        <v>4.9667599999999998</v>
      </c>
      <c r="DP44">
        <v>3.2905600000000002</v>
      </c>
      <c r="DQ44">
        <v>607.79999999999995</v>
      </c>
      <c r="DR44">
        <v>9999</v>
      </c>
      <c r="DS44">
        <v>9999</v>
      </c>
      <c r="DT44">
        <v>9999</v>
      </c>
      <c r="DU44">
        <v>1.8711800000000001</v>
      </c>
      <c r="DV44">
        <v>1.87616</v>
      </c>
      <c r="DW44">
        <v>1.8763700000000001</v>
      </c>
      <c r="DX44">
        <v>1.8829100000000001</v>
      </c>
      <c r="DY44">
        <v>1.8756200000000001</v>
      </c>
      <c r="DZ44">
        <v>1.87469</v>
      </c>
      <c r="EA44">
        <v>1.8708800000000001</v>
      </c>
      <c r="EB44">
        <v>1.8746799999999999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-0.70499999999999996</v>
      </c>
      <c r="EQ44">
        <v>4.7E-2</v>
      </c>
      <c r="ER44">
        <v>-0.704300000000046</v>
      </c>
      <c r="ES44">
        <v>0</v>
      </c>
      <c r="ET44">
        <v>0</v>
      </c>
      <c r="EU44">
        <v>0</v>
      </c>
      <c r="EV44">
        <v>4.6972727272725799E-2</v>
      </c>
      <c r="EW44">
        <v>0</v>
      </c>
      <c r="EX44">
        <v>0</v>
      </c>
      <c r="EY44">
        <v>0</v>
      </c>
      <c r="EZ44">
        <v>-1</v>
      </c>
      <c r="FA44">
        <v>-1</v>
      </c>
      <c r="FB44">
        <v>-1</v>
      </c>
      <c r="FC44">
        <v>-1</v>
      </c>
      <c r="FD44">
        <v>7.4</v>
      </c>
      <c r="FE44">
        <v>7.8</v>
      </c>
      <c r="FF44">
        <v>0.56762699999999999</v>
      </c>
      <c r="FG44">
        <v>2.5891099999999998</v>
      </c>
      <c r="FH44">
        <v>2.19604</v>
      </c>
      <c r="FI44">
        <v>2.5744600000000002</v>
      </c>
      <c r="FJ44">
        <v>2.4462899999999999</v>
      </c>
      <c r="FK44">
        <v>2.2924799999999999</v>
      </c>
      <c r="FL44">
        <v>32.953699999999998</v>
      </c>
      <c r="FM44">
        <v>24.14</v>
      </c>
      <c r="FN44">
        <v>19</v>
      </c>
      <c r="FO44">
        <v>866.73299999999995</v>
      </c>
      <c r="FP44">
        <v>574.01599999999996</v>
      </c>
      <c r="FQ44">
        <v>17.817299999999999</v>
      </c>
      <c r="FR44">
        <v>26.07</v>
      </c>
      <c r="FS44">
        <v>30.0001</v>
      </c>
      <c r="FT44">
        <v>26.073</v>
      </c>
      <c r="FU44">
        <v>26.0746</v>
      </c>
      <c r="FV44">
        <v>11.4201</v>
      </c>
      <c r="FW44">
        <v>28.7852</v>
      </c>
      <c r="FX44">
        <v>36.937800000000003</v>
      </c>
      <c r="FY44">
        <v>17.822299999999998</v>
      </c>
      <c r="FZ44">
        <v>150</v>
      </c>
      <c r="GA44">
        <v>13.5905</v>
      </c>
      <c r="GB44">
        <v>99.801299999999998</v>
      </c>
      <c r="GC44">
        <v>99.767099999999999</v>
      </c>
    </row>
    <row r="45" spans="1:185" x14ac:dyDescent="0.2">
      <c r="A45">
        <v>30</v>
      </c>
      <c r="B45">
        <v>1771103666.0999999</v>
      </c>
      <c r="C45">
        <v>553</v>
      </c>
      <c r="D45" t="s">
        <v>355</v>
      </c>
      <c r="E45" t="s">
        <v>356</v>
      </c>
      <c r="F45">
        <v>15</v>
      </c>
      <c r="G45">
        <v>1771103658.03333</v>
      </c>
      <c r="H45">
        <f t="shared" si="0"/>
        <v>1.5274896995976098E-3</v>
      </c>
      <c r="I45">
        <v>0</v>
      </c>
      <c r="J45">
        <f t="shared" si="12"/>
        <v>-1.8380139678033865E-2</v>
      </c>
      <c r="K45">
        <f t="shared" si="1"/>
        <v>-0.32865995092450495</v>
      </c>
      <c r="L45">
        <f t="shared" si="2"/>
        <v>70.140123401275773</v>
      </c>
      <c r="M45">
        <f t="shared" si="3"/>
        <v>1.5449965269364356</v>
      </c>
      <c r="N45">
        <f t="shared" si="4"/>
        <v>2.202728555376813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26218.280524391237</v>
      </c>
      <c r="T45">
        <f t="shared" si="8"/>
        <v>799.99973333333298</v>
      </c>
      <c r="U45">
        <f t="shared" si="9"/>
        <v>674.40014959987491</v>
      </c>
      <c r="V45">
        <f t="shared" si="10"/>
        <v>0.84300046800000006</v>
      </c>
      <c r="W45">
        <f t="shared" si="11"/>
        <v>0.15870117</v>
      </c>
      <c r="X45">
        <v>1</v>
      </c>
      <c r="Y45">
        <v>1771103658.03333</v>
      </c>
      <c r="Z45">
        <v>150.11473333333299</v>
      </c>
      <c r="AA45">
        <v>149.99053333333299</v>
      </c>
      <c r="AB45">
        <v>15.4494666666667</v>
      </c>
      <c r="AC45">
        <v>13.5696266666667</v>
      </c>
      <c r="AD45">
        <v>150.81913333333301</v>
      </c>
      <c r="AE45">
        <v>15.4024933333333</v>
      </c>
      <c r="AF45">
        <v>800.01</v>
      </c>
      <c r="AG45">
        <v>99.939653333333297</v>
      </c>
      <c r="AH45">
        <v>6.3573980000000002E-2</v>
      </c>
      <c r="AI45">
        <v>18.9821733333333</v>
      </c>
      <c r="AJ45">
        <v>999.9</v>
      </c>
      <c r="AK45">
        <v>999.9</v>
      </c>
      <c r="AL45">
        <v>0</v>
      </c>
      <c r="AM45">
        <v>0</v>
      </c>
      <c r="AN45">
        <v>5001.7</v>
      </c>
      <c r="AO45">
        <v>0</v>
      </c>
      <c r="AP45">
        <v>1.63733</v>
      </c>
      <c r="AQ45">
        <v>0.124418153333333</v>
      </c>
      <c r="AR45">
        <v>152.47046666666699</v>
      </c>
      <c r="AS45">
        <v>152.05373333333301</v>
      </c>
      <c r="AT45">
        <v>1.8798239999999999</v>
      </c>
      <c r="AU45">
        <v>149.99053333333299</v>
      </c>
      <c r="AV45">
        <v>13.5696266666667</v>
      </c>
      <c r="AW45">
        <v>1.544014</v>
      </c>
      <c r="AX45">
        <v>1.3561460000000001</v>
      </c>
      <c r="AY45">
        <v>13.41112</v>
      </c>
      <c r="AZ45">
        <v>11.4359533333333</v>
      </c>
      <c r="BA45">
        <v>799.99973333333298</v>
      </c>
      <c r="BB45">
        <v>0.89998440000000002</v>
      </c>
      <c r="BC45">
        <v>0</v>
      </c>
      <c r="BD45">
        <v>0.1000156</v>
      </c>
      <c r="BE45">
        <v>0</v>
      </c>
      <c r="BF45">
        <v>25</v>
      </c>
      <c r="BG45">
        <v>13190.9666666667</v>
      </c>
      <c r="BH45">
        <v>1771103205.0999999</v>
      </c>
      <c r="BI45" t="s">
        <v>305</v>
      </c>
      <c r="BJ45">
        <v>1771103205.0999999</v>
      </c>
      <c r="BK45">
        <v>1771103183.0999999</v>
      </c>
      <c r="BL45">
        <v>12</v>
      </c>
      <c r="BM45">
        <v>-2E-3</v>
      </c>
      <c r="BN45">
        <v>-1.2E-2</v>
      </c>
      <c r="BO45">
        <v>-0.70399999999999996</v>
      </c>
      <c r="BP45">
        <v>4.7E-2</v>
      </c>
      <c r="BQ45">
        <v>375</v>
      </c>
      <c r="BR45">
        <v>13</v>
      </c>
      <c r="BS45">
        <v>0.1</v>
      </c>
      <c r="BT45">
        <v>0.03</v>
      </c>
      <c r="BU45">
        <v>0.124125665</v>
      </c>
      <c r="BV45">
        <v>2.2161171428571401E-2</v>
      </c>
      <c r="BW45">
        <v>1.7776115363100999E-2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1.8815139999999999</v>
      </c>
      <c r="CD45">
        <v>-2.9146466165414098E-2</v>
      </c>
      <c r="CE45">
        <v>3.53116609634834E-3</v>
      </c>
      <c r="CF45">
        <v>1</v>
      </c>
      <c r="CG45">
        <v>2</v>
      </c>
      <c r="CH45">
        <v>2</v>
      </c>
      <c r="CI45" t="s">
        <v>322</v>
      </c>
      <c r="CJ45">
        <v>3.5325099999999998</v>
      </c>
      <c r="CK45">
        <v>2.7015500000000001</v>
      </c>
      <c r="CL45">
        <v>4.1925299999999999E-2</v>
      </c>
      <c r="CM45">
        <v>4.1272200000000002E-2</v>
      </c>
      <c r="CN45">
        <v>8.7243100000000004E-2</v>
      </c>
      <c r="CO45">
        <v>7.8211900000000001E-2</v>
      </c>
      <c r="CP45">
        <v>33564.5</v>
      </c>
      <c r="CQ45">
        <v>29524.2</v>
      </c>
      <c r="CR45">
        <v>32426.799999999999</v>
      </c>
      <c r="CS45">
        <v>30724.9</v>
      </c>
      <c r="CT45">
        <v>40083.4</v>
      </c>
      <c r="CU45">
        <v>39837.9</v>
      </c>
      <c r="CV45">
        <v>47368</v>
      </c>
      <c r="CW45">
        <v>46870.8</v>
      </c>
      <c r="CX45">
        <v>2.6146199999999999</v>
      </c>
      <c r="CY45">
        <v>2.1188799999999999</v>
      </c>
      <c r="CZ45">
        <v>0</v>
      </c>
      <c r="DA45">
        <v>0</v>
      </c>
      <c r="DB45">
        <v>999.9</v>
      </c>
      <c r="DC45">
        <v>999.9</v>
      </c>
      <c r="DD45">
        <v>45.874000000000002</v>
      </c>
      <c r="DE45">
        <v>28.661000000000001</v>
      </c>
      <c r="DF45">
        <v>18.101600000000001</v>
      </c>
      <c r="DG45">
        <v>30.408200000000001</v>
      </c>
      <c r="DH45">
        <v>17.127400000000002</v>
      </c>
      <c r="DI45">
        <v>2</v>
      </c>
      <c r="DJ45">
        <v>-7.2213399999999997E-2</v>
      </c>
      <c r="DK45">
        <v>2.5891600000000001</v>
      </c>
      <c r="DL45">
        <v>20.189800000000002</v>
      </c>
      <c r="DM45">
        <v>5.2502399999999998</v>
      </c>
      <c r="DN45">
        <v>12.033899999999999</v>
      </c>
      <c r="DO45">
        <v>4.9672799999999997</v>
      </c>
      <c r="DP45">
        <v>3.2909999999999999</v>
      </c>
      <c r="DQ45">
        <v>607.79999999999995</v>
      </c>
      <c r="DR45">
        <v>9999</v>
      </c>
      <c r="DS45">
        <v>9999</v>
      </c>
      <c r="DT45">
        <v>9999</v>
      </c>
      <c r="DU45">
        <v>1.8711899999999999</v>
      </c>
      <c r="DV45">
        <v>1.87616</v>
      </c>
      <c r="DW45">
        <v>1.8763700000000001</v>
      </c>
      <c r="DX45">
        <v>1.8829100000000001</v>
      </c>
      <c r="DY45">
        <v>1.8756299999999999</v>
      </c>
      <c r="DZ45">
        <v>1.87469</v>
      </c>
      <c r="EA45">
        <v>1.8708800000000001</v>
      </c>
      <c r="EB45">
        <v>1.8746799999999999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-0.70399999999999996</v>
      </c>
      <c r="EQ45">
        <v>4.6899999999999997E-2</v>
      </c>
      <c r="ER45">
        <v>-0.704300000000046</v>
      </c>
      <c r="ES45">
        <v>0</v>
      </c>
      <c r="ET45">
        <v>0</v>
      </c>
      <c r="EU45">
        <v>0</v>
      </c>
      <c r="EV45">
        <v>4.6972727272725799E-2</v>
      </c>
      <c r="EW45">
        <v>0</v>
      </c>
      <c r="EX45">
        <v>0</v>
      </c>
      <c r="EY45">
        <v>0</v>
      </c>
      <c r="EZ45">
        <v>-1</v>
      </c>
      <c r="FA45">
        <v>-1</v>
      </c>
      <c r="FB45">
        <v>-1</v>
      </c>
      <c r="FC45">
        <v>-1</v>
      </c>
      <c r="FD45">
        <v>7.7</v>
      </c>
      <c r="FE45">
        <v>8.1</v>
      </c>
      <c r="FF45">
        <v>0.56884800000000002</v>
      </c>
      <c r="FG45">
        <v>2.5952099999999998</v>
      </c>
      <c r="FH45">
        <v>2.19604</v>
      </c>
      <c r="FI45">
        <v>2.5756800000000002</v>
      </c>
      <c r="FJ45">
        <v>2.4462899999999999</v>
      </c>
      <c r="FK45">
        <v>2.3059099999999999</v>
      </c>
      <c r="FL45">
        <v>32.975999999999999</v>
      </c>
      <c r="FM45">
        <v>24.14</v>
      </c>
      <c r="FN45">
        <v>19</v>
      </c>
      <c r="FO45">
        <v>866.77300000000002</v>
      </c>
      <c r="FP45">
        <v>574.024</v>
      </c>
      <c r="FQ45">
        <v>17.853999999999999</v>
      </c>
      <c r="FR45">
        <v>26.07</v>
      </c>
      <c r="FS45">
        <v>29.9999</v>
      </c>
      <c r="FT45">
        <v>26.070799999999998</v>
      </c>
      <c r="FU45">
        <v>26.072500000000002</v>
      </c>
      <c r="FV45">
        <v>11.4207</v>
      </c>
      <c r="FW45">
        <v>28.7852</v>
      </c>
      <c r="FX45">
        <v>36.564900000000002</v>
      </c>
      <c r="FY45">
        <v>17.859100000000002</v>
      </c>
      <c r="FZ45">
        <v>150</v>
      </c>
      <c r="GA45">
        <v>13.5907</v>
      </c>
      <c r="GB45">
        <v>99.801400000000001</v>
      </c>
      <c r="GC45">
        <v>99.765900000000002</v>
      </c>
    </row>
    <row r="46" spans="1:185" x14ac:dyDescent="0.2">
      <c r="A46">
        <v>31</v>
      </c>
      <c r="B46">
        <v>1771103681.0999999</v>
      </c>
      <c r="C46">
        <v>568</v>
      </c>
      <c r="D46" t="s">
        <v>357</v>
      </c>
      <c r="E46" t="s">
        <v>358</v>
      </c>
      <c r="F46">
        <v>15</v>
      </c>
      <c r="G46">
        <v>1771103673.03333</v>
      </c>
      <c r="H46">
        <f t="shared" si="0"/>
        <v>1.5421372819833059E-3</v>
      </c>
      <c r="I46">
        <v>0</v>
      </c>
      <c r="J46">
        <f t="shared" si="12"/>
        <v>-1.7138516933301019E-2</v>
      </c>
      <c r="K46">
        <f t="shared" si="1"/>
        <v>-0.30645817893044697</v>
      </c>
      <c r="L46">
        <f t="shared" si="2"/>
        <v>70.043069097650346</v>
      </c>
      <c r="M46">
        <f t="shared" si="3"/>
        <v>1.5430609087519582</v>
      </c>
      <c r="N46">
        <f t="shared" si="4"/>
        <v>2.2030172701323298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26181.877321462554</v>
      </c>
      <c r="T46">
        <f t="shared" si="8"/>
        <v>800.00146666666706</v>
      </c>
      <c r="U46">
        <f t="shared" si="9"/>
        <v>674.40162200070733</v>
      </c>
      <c r="V46">
        <f t="shared" si="10"/>
        <v>0.84300048200000011</v>
      </c>
      <c r="W46">
        <f t="shared" si="11"/>
        <v>0.15870120500000004</v>
      </c>
      <c r="X46">
        <v>1</v>
      </c>
      <c r="Y46">
        <v>1771103673.03333</v>
      </c>
      <c r="Z46">
        <v>150.09733333333301</v>
      </c>
      <c r="AA46">
        <v>150.00360000000001</v>
      </c>
      <c r="AB46">
        <v>15.4301266666667</v>
      </c>
      <c r="AC46">
        <v>13.532220000000001</v>
      </c>
      <c r="AD46">
        <v>150.801533333333</v>
      </c>
      <c r="AE46">
        <v>15.3831466666667</v>
      </c>
      <c r="AF46">
        <v>800.008733333333</v>
      </c>
      <c r="AG46">
        <v>99.939440000000005</v>
      </c>
      <c r="AH46">
        <v>6.3686486666666695E-2</v>
      </c>
      <c r="AI46">
        <v>18.984273333333299</v>
      </c>
      <c r="AJ46">
        <v>999.9</v>
      </c>
      <c r="AK46">
        <v>999.9</v>
      </c>
      <c r="AL46">
        <v>0</v>
      </c>
      <c r="AM46">
        <v>0</v>
      </c>
      <c r="AN46">
        <v>4995.7333333333299</v>
      </c>
      <c r="AO46">
        <v>0</v>
      </c>
      <c r="AP46">
        <v>1.63733</v>
      </c>
      <c r="AQ46">
        <v>9.3697106666666696E-2</v>
      </c>
      <c r="AR46">
        <v>152.4496</v>
      </c>
      <c r="AS46">
        <v>152.061266666667</v>
      </c>
      <c r="AT46">
        <v>1.89790066666667</v>
      </c>
      <c r="AU46">
        <v>150.00360000000001</v>
      </c>
      <c r="AV46">
        <v>13.532220000000001</v>
      </c>
      <c r="AW46">
        <v>1.54207933333333</v>
      </c>
      <c r="AX46">
        <v>1.35240266666667</v>
      </c>
      <c r="AY46">
        <v>13.39188</v>
      </c>
      <c r="AZ46">
        <v>11.394206666666699</v>
      </c>
      <c r="BA46">
        <v>800.00146666666706</v>
      </c>
      <c r="BB46">
        <v>0.89998393333333304</v>
      </c>
      <c r="BC46">
        <v>0</v>
      </c>
      <c r="BD46">
        <v>0.100016066666667</v>
      </c>
      <c r="BE46">
        <v>0</v>
      </c>
      <c r="BF46">
        <v>25</v>
      </c>
      <c r="BG46">
        <v>13190.993333333299</v>
      </c>
      <c r="BH46">
        <v>1771103205.0999999</v>
      </c>
      <c r="BI46" t="s">
        <v>305</v>
      </c>
      <c r="BJ46">
        <v>1771103205.0999999</v>
      </c>
      <c r="BK46">
        <v>1771103183.0999999</v>
      </c>
      <c r="BL46">
        <v>12</v>
      </c>
      <c r="BM46">
        <v>-2E-3</v>
      </c>
      <c r="BN46">
        <v>-1.2E-2</v>
      </c>
      <c r="BO46">
        <v>-0.70399999999999996</v>
      </c>
      <c r="BP46">
        <v>4.7E-2</v>
      </c>
      <c r="BQ46">
        <v>375</v>
      </c>
      <c r="BR46">
        <v>13</v>
      </c>
      <c r="BS46">
        <v>0.1</v>
      </c>
      <c r="BT46">
        <v>0.03</v>
      </c>
      <c r="BU46">
        <v>0.10516353000000001</v>
      </c>
      <c r="BV46">
        <v>-0.175954177443609</v>
      </c>
      <c r="BW46">
        <v>2.3022795398671698E-2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1.8944319999999999</v>
      </c>
      <c r="CD46">
        <v>7.0695338345866804E-2</v>
      </c>
      <c r="CE46">
        <v>1.5465124183141899E-2</v>
      </c>
      <c r="CF46">
        <v>1</v>
      </c>
      <c r="CG46">
        <v>2</v>
      </c>
      <c r="CH46">
        <v>2</v>
      </c>
      <c r="CI46" t="s">
        <v>322</v>
      </c>
      <c r="CJ46">
        <v>3.5325500000000001</v>
      </c>
      <c r="CK46">
        <v>2.70119</v>
      </c>
      <c r="CL46">
        <v>4.1929500000000001E-2</v>
      </c>
      <c r="CM46">
        <v>4.1273600000000001E-2</v>
      </c>
      <c r="CN46">
        <v>8.7152099999999996E-2</v>
      </c>
      <c r="CO46">
        <v>7.8241400000000003E-2</v>
      </c>
      <c r="CP46">
        <v>33564</v>
      </c>
      <c r="CQ46">
        <v>29524.400000000001</v>
      </c>
      <c r="CR46">
        <v>32426.5</v>
      </c>
      <c r="CS46">
        <v>30725.200000000001</v>
      </c>
      <c r="CT46">
        <v>40087.1</v>
      </c>
      <c r="CU46">
        <v>39837.599999999999</v>
      </c>
      <c r="CV46">
        <v>47367.4</v>
      </c>
      <c r="CW46">
        <v>46872</v>
      </c>
      <c r="CX46">
        <v>2.61476</v>
      </c>
      <c r="CY46">
        <v>2.1188199999999999</v>
      </c>
      <c r="CZ46">
        <v>0</v>
      </c>
      <c r="DA46">
        <v>0</v>
      </c>
      <c r="DB46">
        <v>999.9</v>
      </c>
      <c r="DC46">
        <v>999.9</v>
      </c>
      <c r="DD46">
        <v>45.776000000000003</v>
      </c>
      <c r="DE46">
        <v>28.640999999999998</v>
      </c>
      <c r="DF46">
        <v>18.042300000000001</v>
      </c>
      <c r="DG46">
        <v>30.648199999999999</v>
      </c>
      <c r="DH46">
        <v>17.031199999999998</v>
      </c>
      <c r="DI46">
        <v>2</v>
      </c>
      <c r="DJ46">
        <v>-7.2410600000000006E-2</v>
      </c>
      <c r="DK46">
        <v>2.56338</v>
      </c>
      <c r="DL46">
        <v>20.189299999999999</v>
      </c>
      <c r="DM46">
        <v>5.2467600000000001</v>
      </c>
      <c r="DN46">
        <v>12.033899999999999</v>
      </c>
      <c r="DO46">
        <v>4.9666399999999999</v>
      </c>
      <c r="DP46">
        <v>3.29054</v>
      </c>
      <c r="DQ46">
        <v>607.79999999999995</v>
      </c>
      <c r="DR46">
        <v>9999</v>
      </c>
      <c r="DS46">
        <v>9999</v>
      </c>
      <c r="DT46">
        <v>9999</v>
      </c>
      <c r="DU46">
        <v>1.8711899999999999</v>
      </c>
      <c r="DV46">
        <v>1.87619</v>
      </c>
      <c r="DW46">
        <v>1.8763700000000001</v>
      </c>
      <c r="DX46">
        <v>1.8829199999999999</v>
      </c>
      <c r="DY46">
        <v>1.8756600000000001</v>
      </c>
      <c r="DZ46">
        <v>1.87469</v>
      </c>
      <c r="EA46">
        <v>1.87087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-0.70499999999999996</v>
      </c>
      <c r="EQ46">
        <v>4.7E-2</v>
      </c>
      <c r="ER46">
        <v>-0.704300000000046</v>
      </c>
      <c r="ES46">
        <v>0</v>
      </c>
      <c r="ET46">
        <v>0</v>
      </c>
      <c r="EU46">
        <v>0</v>
      </c>
      <c r="EV46">
        <v>4.6972727272725799E-2</v>
      </c>
      <c r="EW46">
        <v>0</v>
      </c>
      <c r="EX46">
        <v>0</v>
      </c>
      <c r="EY46">
        <v>0</v>
      </c>
      <c r="EZ46">
        <v>-1</v>
      </c>
      <c r="FA46">
        <v>-1</v>
      </c>
      <c r="FB46">
        <v>-1</v>
      </c>
      <c r="FC46">
        <v>-1</v>
      </c>
      <c r="FD46">
        <v>7.9</v>
      </c>
      <c r="FE46">
        <v>8.3000000000000007</v>
      </c>
      <c r="FF46">
        <v>0.56762699999999999</v>
      </c>
      <c r="FG46">
        <v>2.5939899999999998</v>
      </c>
      <c r="FH46">
        <v>2.19604</v>
      </c>
      <c r="FI46">
        <v>2.5756800000000002</v>
      </c>
      <c r="FJ46">
        <v>2.4462899999999999</v>
      </c>
      <c r="FK46">
        <v>2.2668499999999998</v>
      </c>
      <c r="FL46">
        <v>32.953699999999998</v>
      </c>
      <c r="FM46">
        <v>24.1313</v>
      </c>
      <c r="FN46">
        <v>19</v>
      </c>
      <c r="FO46">
        <v>866.90300000000002</v>
      </c>
      <c r="FP46">
        <v>573.97699999999998</v>
      </c>
      <c r="FQ46">
        <v>17.8904</v>
      </c>
      <c r="FR46">
        <v>26.067799999999998</v>
      </c>
      <c r="FS46">
        <v>30</v>
      </c>
      <c r="FT46">
        <v>26.070799999999998</v>
      </c>
      <c r="FU46">
        <v>26.072399999999998</v>
      </c>
      <c r="FV46">
        <v>11.42</v>
      </c>
      <c r="FW46">
        <v>28.504300000000001</v>
      </c>
      <c r="FX46">
        <v>36.564900000000002</v>
      </c>
      <c r="FY46">
        <v>17.893699999999999</v>
      </c>
      <c r="FZ46">
        <v>150</v>
      </c>
      <c r="GA46">
        <v>13.5907</v>
      </c>
      <c r="GB46">
        <v>99.800299999999993</v>
      </c>
      <c r="GC46">
        <v>99.767799999999994</v>
      </c>
    </row>
    <row r="47" spans="1:185" x14ac:dyDescent="0.2">
      <c r="A47">
        <v>32</v>
      </c>
      <c r="B47">
        <v>1771103696.0999999</v>
      </c>
      <c r="C47">
        <v>583</v>
      </c>
      <c r="D47" t="s">
        <v>359</v>
      </c>
      <c r="E47" t="s">
        <v>360</v>
      </c>
      <c r="F47">
        <v>15</v>
      </c>
      <c r="G47">
        <v>1771103688.03333</v>
      </c>
      <c r="H47">
        <f t="shared" si="0"/>
        <v>1.5084726539574018E-3</v>
      </c>
      <c r="I47">
        <v>0</v>
      </c>
      <c r="J47">
        <f t="shared" si="12"/>
        <v>-1.6150762336618833E-2</v>
      </c>
      <c r="K47">
        <f t="shared" si="1"/>
        <v>-0.28879588784029847</v>
      </c>
      <c r="L47">
        <f t="shared" si="2"/>
        <v>69.991009073749737</v>
      </c>
      <c r="M47">
        <f t="shared" si="3"/>
        <v>1.5428047042932318</v>
      </c>
      <c r="N47">
        <f t="shared" si="4"/>
        <v>2.2042898433819893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26214.944890746159</v>
      </c>
      <c r="T47">
        <f t="shared" si="8"/>
        <v>799.99866666666696</v>
      </c>
      <c r="U47">
        <f t="shared" si="9"/>
        <v>674.39929999929336</v>
      </c>
      <c r="V47">
        <f t="shared" si="10"/>
        <v>0.84300052999999975</v>
      </c>
      <c r="W47">
        <f t="shared" si="11"/>
        <v>0.15870145491999993</v>
      </c>
      <c r="X47">
        <v>1</v>
      </c>
      <c r="Y47">
        <v>1771103688.03333</v>
      </c>
      <c r="Z47">
        <v>150.08240000000001</v>
      </c>
      <c r="AA47">
        <v>150.0044</v>
      </c>
      <c r="AB47">
        <v>15.4276533333333</v>
      </c>
      <c r="AC47">
        <v>13.5711733333333</v>
      </c>
      <c r="AD47">
        <v>150.78659999999999</v>
      </c>
      <c r="AE47">
        <v>15.38068</v>
      </c>
      <c r="AF47">
        <v>800.00886666666702</v>
      </c>
      <c r="AG47">
        <v>99.939293333333296</v>
      </c>
      <c r="AH47">
        <v>6.3258640000000005E-2</v>
      </c>
      <c r="AI47">
        <v>18.9935266666667</v>
      </c>
      <c r="AJ47">
        <v>999.9</v>
      </c>
      <c r="AK47">
        <v>999.9</v>
      </c>
      <c r="AL47">
        <v>0</v>
      </c>
      <c r="AM47">
        <v>0</v>
      </c>
      <c r="AN47">
        <v>5001.3333333333303</v>
      </c>
      <c r="AO47">
        <v>0</v>
      </c>
      <c r="AP47">
        <v>1.63733</v>
      </c>
      <c r="AQ47">
        <v>7.7864606666666697E-2</v>
      </c>
      <c r="AR47">
        <v>152.43393333333299</v>
      </c>
      <c r="AS47">
        <v>152.06813333333301</v>
      </c>
      <c r="AT47">
        <v>1.8564860000000001</v>
      </c>
      <c r="AU47">
        <v>150.0044</v>
      </c>
      <c r="AV47">
        <v>13.5711733333333</v>
      </c>
      <c r="AW47">
        <v>1.5418286666666701</v>
      </c>
      <c r="AX47">
        <v>1.35629333333333</v>
      </c>
      <c r="AY47">
        <v>13.3894066666667</v>
      </c>
      <c r="AZ47">
        <v>11.4375933333333</v>
      </c>
      <c r="BA47">
        <v>799.99866666666696</v>
      </c>
      <c r="BB47">
        <v>0.89998040000000001</v>
      </c>
      <c r="BC47">
        <v>0</v>
      </c>
      <c r="BD47">
        <v>0.10001953333333299</v>
      </c>
      <c r="BE47">
        <v>0</v>
      </c>
      <c r="BF47">
        <v>25</v>
      </c>
      <c r="BG47">
        <v>13190.946666666699</v>
      </c>
      <c r="BH47">
        <v>1771103205.0999999</v>
      </c>
      <c r="BI47" t="s">
        <v>305</v>
      </c>
      <c r="BJ47">
        <v>1771103205.0999999</v>
      </c>
      <c r="BK47">
        <v>1771103183.0999999</v>
      </c>
      <c r="BL47">
        <v>12</v>
      </c>
      <c r="BM47">
        <v>-2E-3</v>
      </c>
      <c r="BN47">
        <v>-1.2E-2</v>
      </c>
      <c r="BO47">
        <v>-0.70399999999999996</v>
      </c>
      <c r="BP47">
        <v>4.7E-2</v>
      </c>
      <c r="BQ47">
        <v>375</v>
      </c>
      <c r="BR47">
        <v>13</v>
      </c>
      <c r="BS47">
        <v>0.1</v>
      </c>
      <c r="BT47">
        <v>0.03</v>
      </c>
      <c r="BU47">
        <v>8.3122285000000004E-2</v>
      </c>
      <c r="BV47">
        <v>-0.10789905112782</v>
      </c>
      <c r="BW47">
        <v>1.9834787757127E-2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1.862722</v>
      </c>
      <c r="CD47">
        <v>-8.1558496240599701E-2</v>
      </c>
      <c r="CE47">
        <v>1.4195097604454801E-2</v>
      </c>
      <c r="CF47">
        <v>1</v>
      </c>
      <c r="CG47">
        <v>2</v>
      </c>
      <c r="CH47">
        <v>2</v>
      </c>
      <c r="CI47" t="s">
        <v>322</v>
      </c>
      <c r="CJ47">
        <v>3.53254</v>
      </c>
      <c r="CK47">
        <v>2.7013699999999998</v>
      </c>
      <c r="CL47">
        <v>4.1919400000000002E-2</v>
      </c>
      <c r="CM47">
        <v>4.1280600000000001E-2</v>
      </c>
      <c r="CN47">
        <v>8.7190699999999996E-2</v>
      </c>
      <c r="CO47">
        <v>7.8248600000000001E-2</v>
      </c>
      <c r="CP47">
        <v>33564.699999999997</v>
      </c>
      <c r="CQ47">
        <v>29524.7</v>
      </c>
      <c r="CR47">
        <v>32426.799999999999</v>
      </c>
      <c r="CS47">
        <v>30725.7</v>
      </c>
      <c r="CT47">
        <v>40085.599999999999</v>
      </c>
      <c r="CU47">
        <v>39837.699999999997</v>
      </c>
      <c r="CV47">
        <v>47367.8</v>
      </c>
      <c r="CW47">
        <v>46872.4</v>
      </c>
      <c r="CX47">
        <v>2.6147800000000001</v>
      </c>
      <c r="CY47">
        <v>2.1186600000000002</v>
      </c>
      <c r="CZ47">
        <v>0</v>
      </c>
      <c r="DA47">
        <v>0</v>
      </c>
      <c r="DB47">
        <v>999.9</v>
      </c>
      <c r="DC47">
        <v>999.9</v>
      </c>
      <c r="DD47">
        <v>45.750999999999998</v>
      </c>
      <c r="DE47">
        <v>28.661000000000001</v>
      </c>
      <c r="DF47">
        <v>18.0533</v>
      </c>
      <c r="DG47">
        <v>30.438199999999998</v>
      </c>
      <c r="DH47">
        <v>17.063300000000002</v>
      </c>
      <c r="DI47">
        <v>2</v>
      </c>
      <c r="DJ47">
        <v>-7.2351600000000002E-2</v>
      </c>
      <c r="DK47">
        <v>2.57707</v>
      </c>
      <c r="DL47">
        <v>20.189900000000002</v>
      </c>
      <c r="DM47">
        <v>5.2501199999999999</v>
      </c>
      <c r="DN47">
        <v>12.033899999999999</v>
      </c>
      <c r="DO47">
        <v>4.9672400000000003</v>
      </c>
      <c r="DP47">
        <v>3.2909999999999999</v>
      </c>
      <c r="DQ47">
        <v>607.79999999999995</v>
      </c>
      <c r="DR47">
        <v>9999</v>
      </c>
      <c r="DS47">
        <v>9999</v>
      </c>
      <c r="DT47">
        <v>9999</v>
      </c>
      <c r="DU47">
        <v>1.8711800000000001</v>
      </c>
      <c r="DV47">
        <v>1.87619</v>
      </c>
      <c r="DW47">
        <v>1.8763700000000001</v>
      </c>
      <c r="DX47">
        <v>1.8829199999999999</v>
      </c>
      <c r="DY47">
        <v>1.87564</v>
      </c>
      <c r="DZ47">
        <v>1.8747</v>
      </c>
      <c r="EA47">
        <v>1.8708800000000001</v>
      </c>
      <c r="EB47">
        <v>1.87469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-0.70499999999999996</v>
      </c>
      <c r="EQ47">
        <v>4.7E-2</v>
      </c>
      <c r="ER47">
        <v>-0.704300000000046</v>
      </c>
      <c r="ES47">
        <v>0</v>
      </c>
      <c r="ET47">
        <v>0</v>
      </c>
      <c r="EU47">
        <v>0</v>
      </c>
      <c r="EV47">
        <v>4.6972727272725799E-2</v>
      </c>
      <c r="EW47">
        <v>0</v>
      </c>
      <c r="EX47">
        <v>0</v>
      </c>
      <c r="EY47">
        <v>0</v>
      </c>
      <c r="EZ47">
        <v>-1</v>
      </c>
      <c r="FA47">
        <v>-1</v>
      </c>
      <c r="FB47">
        <v>-1</v>
      </c>
      <c r="FC47">
        <v>-1</v>
      </c>
      <c r="FD47">
        <v>8.1999999999999993</v>
      </c>
      <c r="FE47">
        <v>8.6</v>
      </c>
      <c r="FF47">
        <v>0.56884800000000002</v>
      </c>
      <c r="FG47">
        <v>2.5891099999999998</v>
      </c>
      <c r="FH47">
        <v>2.19604</v>
      </c>
      <c r="FI47">
        <v>2.5756800000000002</v>
      </c>
      <c r="FJ47">
        <v>2.4462899999999999</v>
      </c>
      <c r="FK47">
        <v>2.31812</v>
      </c>
      <c r="FL47">
        <v>32.953699999999998</v>
      </c>
      <c r="FM47">
        <v>24.14</v>
      </c>
      <c r="FN47">
        <v>19</v>
      </c>
      <c r="FO47">
        <v>866.92200000000003</v>
      </c>
      <c r="FP47">
        <v>573.85500000000002</v>
      </c>
      <c r="FQ47">
        <v>17.912500000000001</v>
      </c>
      <c r="FR47">
        <v>26.067799999999998</v>
      </c>
      <c r="FS47">
        <v>30.0001</v>
      </c>
      <c r="FT47">
        <v>26.070799999999998</v>
      </c>
      <c r="FU47">
        <v>26.072399999999998</v>
      </c>
      <c r="FV47">
        <v>11.419</v>
      </c>
      <c r="FW47">
        <v>28.504300000000001</v>
      </c>
      <c r="FX47">
        <v>36.564900000000002</v>
      </c>
      <c r="FY47">
        <v>17.911999999999999</v>
      </c>
      <c r="FZ47">
        <v>150</v>
      </c>
      <c r="GA47">
        <v>13.5907</v>
      </c>
      <c r="GB47">
        <v>99.801199999999994</v>
      </c>
      <c r="GC47">
        <v>99.769000000000005</v>
      </c>
    </row>
    <row r="48" spans="1:185" x14ac:dyDescent="0.2">
      <c r="A48">
        <v>33</v>
      </c>
      <c r="B48">
        <v>1771103711.0999999</v>
      </c>
      <c r="C48">
        <v>598</v>
      </c>
      <c r="D48" t="s">
        <v>361</v>
      </c>
      <c r="E48" t="s">
        <v>362</v>
      </c>
      <c r="F48">
        <v>15</v>
      </c>
      <c r="G48">
        <v>1771103703.03333</v>
      </c>
      <c r="H48">
        <f t="shared" si="0"/>
        <v>1.5237273627497303E-3</v>
      </c>
      <c r="I48">
        <v>0</v>
      </c>
      <c r="J48">
        <f t="shared" si="12"/>
        <v>-1.5155155137198862E-2</v>
      </c>
      <c r="K48">
        <f t="shared" si="1"/>
        <v>-0.27099318236398984</v>
      </c>
      <c r="L48">
        <f t="shared" si="2"/>
        <v>69.975891231126525</v>
      </c>
      <c r="M48">
        <f t="shared" si="3"/>
        <v>1.5429919824623979</v>
      </c>
      <c r="N48">
        <f t="shared" si="4"/>
        <v>2.2050336984862113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26200.651183443541</v>
      </c>
      <c r="T48">
        <f t="shared" si="8"/>
        <v>799.99973333333298</v>
      </c>
      <c r="U48">
        <f t="shared" si="9"/>
        <v>674.40009039989502</v>
      </c>
      <c r="V48">
        <f t="shared" si="10"/>
        <v>0.84300039400000049</v>
      </c>
      <c r="W48">
        <f t="shared" si="11"/>
        <v>0.15870111492000008</v>
      </c>
      <c r="X48">
        <v>1</v>
      </c>
      <c r="Y48">
        <v>1771103703.03333</v>
      </c>
      <c r="Z48">
        <v>150.05719999999999</v>
      </c>
      <c r="AA48">
        <v>150.00426666666701</v>
      </c>
      <c r="AB48">
        <v>15.4295066666667</v>
      </c>
      <c r="AC48">
        <v>13.5542466666667</v>
      </c>
      <c r="AD48">
        <v>150.76126666666701</v>
      </c>
      <c r="AE48">
        <v>15.382566666666699</v>
      </c>
      <c r="AF48">
        <v>800.00480000000005</v>
      </c>
      <c r="AG48">
        <v>99.939013333333307</v>
      </c>
      <c r="AH48">
        <v>6.3664380000000007E-2</v>
      </c>
      <c r="AI48">
        <v>18.998933333333301</v>
      </c>
      <c r="AJ48">
        <v>999.9</v>
      </c>
      <c r="AK48">
        <v>999.9</v>
      </c>
      <c r="AL48">
        <v>0</v>
      </c>
      <c r="AM48">
        <v>0</v>
      </c>
      <c r="AN48">
        <v>4999.0666666666702</v>
      </c>
      <c r="AO48">
        <v>0</v>
      </c>
      <c r="AP48">
        <v>1.63733</v>
      </c>
      <c r="AQ48">
        <v>5.2736406666666701E-2</v>
      </c>
      <c r="AR48">
        <v>152.40866666666699</v>
      </c>
      <c r="AS48">
        <v>152.065333333333</v>
      </c>
      <c r="AT48">
        <v>1.8752866666666701</v>
      </c>
      <c r="AU48">
        <v>150.00426666666701</v>
      </c>
      <c r="AV48">
        <v>13.5542466666667</v>
      </c>
      <c r="AW48">
        <v>1.5420119999999999</v>
      </c>
      <c r="AX48">
        <v>1.354598</v>
      </c>
      <c r="AY48">
        <v>13.391220000000001</v>
      </c>
      <c r="AZ48">
        <v>11.41868</v>
      </c>
      <c r="BA48">
        <v>799.99973333333298</v>
      </c>
      <c r="BB48">
        <v>0.89998493333333396</v>
      </c>
      <c r="BC48">
        <v>0</v>
      </c>
      <c r="BD48">
        <v>0.10001500000000001</v>
      </c>
      <c r="BE48">
        <v>0</v>
      </c>
      <c r="BF48">
        <v>25</v>
      </c>
      <c r="BG48">
        <v>13190.9666666667</v>
      </c>
      <c r="BH48">
        <v>1771103205.0999999</v>
      </c>
      <c r="BI48" t="s">
        <v>305</v>
      </c>
      <c r="BJ48">
        <v>1771103205.0999999</v>
      </c>
      <c r="BK48">
        <v>1771103183.0999999</v>
      </c>
      <c r="BL48">
        <v>12</v>
      </c>
      <c r="BM48">
        <v>-2E-3</v>
      </c>
      <c r="BN48">
        <v>-1.2E-2</v>
      </c>
      <c r="BO48">
        <v>-0.70399999999999996</v>
      </c>
      <c r="BP48">
        <v>4.7E-2</v>
      </c>
      <c r="BQ48">
        <v>375</v>
      </c>
      <c r="BR48">
        <v>13</v>
      </c>
      <c r="BS48">
        <v>0.1</v>
      </c>
      <c r="BT48">
        <v>0.03</v>
      </c>
      <c r="BU48">
        <v>5.9078390476190498E-2</v>
      </c>
      <c r="BV48">
        <v>-5.76674805194805E-2</v>
      </c>
      <c r="BW48">
        <v>2.3203071057572699E-2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1.87075142857143</v>
      </c>
      <c r="CD48">
        <v>0.15017064935065</v>
      </c>
      <c r="CE48">
        <v>1.8789983219464401E-2</v>
      </c>
      <c r="CF48">
        <v>0</v>
      </c>
      <c r="CG48">
        <v>1</v>
      </c>
      <c r="CH48">
        <v>2</v>
      </c>
      <c r="CI48" t="s">
        <v>299</v>
      </c>
      <c r="CJ48">
        <v>3.5325299999999999</v>
      </c>
      <c r="CK48">
        <v>2.7012900000000002</v>
      </c>
      <c r="CL48">
        <v>4.1908800000000003E-2</v>
      </c>
      <c r="CM48">
        <v>4.1275199999999998E-2</v>
      </c>
      <c r="CN48">
        <v>8.7138900000000005E-2</v>
      </c>
      <c r="CO48">
        <v>7.7994499999999994E-2</v>
      </c>
      <c r="CP48">
        <v>33565.300000000003</v>
      </c>
      <c r="CQ48">
        <v>29525.1</v>
      </c>
      <c r="CR48">
        <v>32427</v>
      </c>
      <c r="CS48">
        <v>30726</v>
      </c>
      <c r="CT48">
        <v>40088.199999999997</v>
      </c>
      <c r="CU48">
        <v>39849.4</v>
      </c>
      <c r="CV48">
        <v>47368.1</v>
      </c>
      <c r="CW48">
        <v>46873</v>
      </c>
      <c r="CX48">
        <v>2.6149200000000001</v>
      </c>
      <c r="CY48">
        <v>2.1185800000000001</v>
      </c>
      <c r="CZ48">
        <v>0</v>
      </c>
      <c r="DA48">
        <v>0</v>
      </c>
      <c r="DB48">
        <v>999.9</v>
      </c>
      <c r="DC48">
        <v>999.9</v>
      </c>
      <c r="DD48">
        <v>45.654000000000003</v>
      </c>
      <c r="DE48">
        <v>28.661000000000001</v>
      </c>
      <c r="DF48">
        <v>18.014399999999998</v>
      </c>
      <c r="DG48">
        <v>30.4682</v>
      </c>
      <c r="DH48">
        <v>17.1234</v>
      </c>
      <c r="DI48">
        <v>2</v>
      </c>
      <c r="DJ48">
        <v>-7.2193099999999996E-2</v>
      </c>
      <c r="DK48">
        <v>2.5914999999999999</v>
      </c>
      <c r="DL48">
        <v>20.189499999999999</v>
      </c>
      <c r="DM48">
        <v>5.2497600000000002</v>
      </c>
      <c r="DN48">
        <v>12.033899999999999</v>
      </c>
      <c r="DO48">
        <v>4.9673999999999996</v>
      </c>
      <c r="DP48">
        <v>3.2909999999999999</v>
      </c>
      <c r="DQ48">
        <v>607.79999999999995</v>
      </c>
      <c r="DR48">
        <v>9999</v>
      </c>
      <c r="DS48">
        <v>9999</v>
      </c>
      <c r="DT48">
        <v>9999</v>
      </c>
      <c r="DU48">
        <v>1.8711800000000001</v>
      </c>
      <c r="DV48">
        <v>1.8761699999999999</v>
      </c>
      <c r="DW48">
        <v>1.8763700000000001</v>
      </c>
      <c r="DX48">
        <v>1.88293</v>
      </c>
      <c r="DY48">
        <v>1.87561</v>
      </c>
      <c r="DZ48">
        <v>1.87469</v>
      </c>
      <c r="EA48">
        <v>1.8708800000000001</v>
      </c>
      <c r="EB48">
        <v>1.8746799999999999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-0.70399999999999996</v>
      </c>
      <c r="EQ48">
        <v>4.7E-2</v>
      </c>
      <c r="ER48">
        <v>-0.704300000000046</v>
      </c>
      <c r="ES48">
        <v>0</v>
      </c>
      <c r="ET48">
        <v>0</v>
      </c>
      <c r="EU48">
        <v>0</v>
      </c>
      <c r="EV48">
        <v>4.6972727272725799E-2</v>
      </c>
      <c r="EW48">
        <v>0</v>
      </c>
      <c r="EX48">
        <v>0</v>
      </c>
      <c r="EY48">
        <v>0</v>
      </c>
      <c r="EZ48">
        <v>-1</v>
      </c>
      <c r="FA48">
        <v>-1</v>
      </c>
      <c r="FB48">
        <v>-1</v>
      </c>
      <c r="FC48">
        <v>-1</v>
      </c>
      <c r="FD48">
        <v>8.4</v>
      </c>
      <c r="FE48">
        <v>8.8000000000000007</v>
      </c>
      <c r="FF48">
        <v>0.56762699999999999</v>
      </c>
      <c r="FG48">
        <v>2.5988799999999999</v>
      </c>
      <c r="FH48">
        <v>2.19604</v>
      </c>
      <c r="FI48">
        <v>2.5744600000000002</v>
      </c>
      <c r="FJ48">
        <v>2.4462899999999999</v>
      </c>
      <c r="FK48">
        <v>2.2827099999999998</v>
      </c>
      <c r="FL48">
        <v>32.953699999999998</v>
      </c>
      <c r="FM48">
        <v>24.1313</v>
      </c>
      <c r="FN48">
        <v>19</v>
      </c>
      <c r="FO48">
        <v>867.04600000000005</v>
      </c>
      <c r="FP48">
        <v>573.79300000000001</v>
      </c>
      <c r="FQ48">
        <v>17.916899999999998</v>
      </c>
      <c r="FR48">
        <v>26.0656</v>
      </c>
      <c r="FS48">
        <v>30.0002</v>
      </c>
      <c r="FT48">
        <v>26.070399999999999</v>
      </c>
      <c r="FU48">
        <v>26.072399999999998</v>
      </c>
      <c r="FV48">
        <v>11.418900000000001</v>
      </c>
      <c r="FW48">
        <v>28.504300000000001</v>
      </c>
      <c r="FX48">
        <v>36.190600000000003</v>
      </c>
      <c r="FY48">
        <v>17.915800000000001</v>
      </c>
      <c r="FZ48">
        <v>150</v>
      </c>
      <c r="GA48">
        <v>13.5907</v>
      </c>
      <c r="GB48">
        <v>99.8018</v>
      </c>
      <c r="GC48">
        <v>99.770099999999999</v>
      </c>
    </row>
    <row r="49" spans="1:185" x14ac:dyDescent="0.2">
      <c r="A49">
        <v>34</v>
      </c>
      <c r="B49">
        <v>1771103726.0999999</v>
      </c>
      <c r="C49">
        <v>613</v>
      </c>
      <c r="D49" t="s">
        <v>363</v>
      </c>
      <c r="E49" t="s">
        <v>364</v>
      </c>
      <c r="F49">
        <v>15</v>
      </c>
      <c r="G49">
        <v>1771103718.03333</v>
      </c>
      <c r="H49">
        <f t="shared" si="0"/>
        <v>1.5252045705005963E-3</v>
      </c>
      <c r="I49">
        <v>0</v>
      </c>
      <c r="J49">
        <f t="shared" si="12"/>
        <v>-1.4039964034533659E-2</v>
      </c>
      <c r="K49">
        <f t="shared" si="1"/>
        <v>-0.25105216670830266</v>
      </c>
      <c r="L49">
        <f t="shared" si="2"/>
        <v>69.849051738606789</v>
      </c>
      <c r="M49">
        <f t="shared" si="3"/>
        <v>1.5407930553770528</v>
      </c>
      <c r="N49">
        <f t="shared" si="4"/>
        <v>2.2058897250933325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26239.087132197481</v>
      </c>
      <c r="T49">
        <f t="shared" si="8"/>
        <v>800.00113333333297</v>
      </c>
      <c r="U49">
        <f t="shared" si="9"/>
        <v>674.40136660058226</v>
      </c>
      <c r="V49">
        <f t="shared" si="10"/>
        <v>0.84300051399999998</v>
      </c>
      <c r="W49">
        <f t="shared" si="11"/>
        <v>0.15870128499999997</v>
      </c>
      <c r="X49">
        <v>1</v>
      </c>
      <c r="Y49">
        <v>1771103718.03333</v>
      </c>
      <c r="Z49">
        <v>150.0204</v>
      </c>
      <c r="AA49">
        <v>149.99260000000001</v>
      </c>
      <c r="AB49">
        <v>15.407633333333299</v>
      </c>
      <c r="AC49">
        <v>13.530533333333301</v>
      </c>
      <c r="AD49">
        <v>150.72479999999999</v>
      </c>
      <c r="AE49">
        <v>15.360666666666701</v>
      </c>
      <c r="AF49">
        <v>800.01319999999998</v>
      </c>
      <c r="AG49">
        <v>99.938299999999998</v>
      </c>
      <c r="AH49">
        <v>6.3629046666666703E-2</v>
      </c>
      <c r="AI49">
        <v>19.0051533333333</v>
      </c>
      <c r="AJ49">
        <v>999.9</v>
      </c>
      <c r="AK49">
        <v>999.9</v>
      </c>
      <c r="AL49">
        <v>0</v>
      </c>
      <c r="AM49">
        <v>0</v>
      </c>
      <c r="AN49">
        <v>5005.5333333333301</v>
      </c>
      <c r="AO49">
        <v>0</v>
      </c>
      <c r="AP49">
        <v>1.63733</v>
      </c>
      <c r="AQ49">
        <v>2.78981466666667E-2</v>
      </c>
      <c r="AR49">
        <v>152.36793333333301</v>
      </c>
      <c r="AS49">
        <v>152.04973333333299</v>
      </c>
      <c r="AT49">
        <v>1.8771053333333301</v>
      </c>
      <c r="AU49">
        <v>149.99260000000001</v>
      </c>
      <c r="AV49">
        <v>13.530533333333301</v>
      </c>
      <c r="AW49">
        <v>1.5398133333333299</v>
      </c>
      <c r="AX49">
        <v>1.35221866666667</v>
      </c>
      <c r="AY49">
        <v>13.3693333333333</v>
      </c>
      <c r="AZ49">
        <v>11.392153333333299</v>
      </c>
      <c r="BA49">
        <v>800.00113333333297</v>
      </c>
      <c r="BB49">
        <v>0.89998286666666705</v>
      </c>
      <c r="BC49">
        <v>0</v>
      </c>
      <c r="BD49">
        <v>0.10001713333333299</v>
      </c>
      <c r="BE49">
        <v>0</v>
      </c>
      <c r="BF49">
        <v>25</v>
      </c>
      <c r="BG49">
        <v>13190.993333333299</v>
      </c>
      <c r="BH49">
        <v>1771103205.0999999</v>
      </c>
      <c r="BI49" t="s">
        <v>305</v>
      </c>
      <c r="BJ49">
        <v>1771103205.0999999</v>
      </c>
      <c r="BK49">
        <v>1771103183.0999999</v>
      </c>
      <c r="BL49">
        <v>12</v>
      </c>
      <c r="BM49">
        <v>-2E-3</v>
      </c>
      <c r="BN49">
        <v>-1.2E-2</v>
      </c>
      <c r="BO49">
        <v>-0.70399999999999996</v>
      </c>
      <c r="BP49">
        <v>4.7E-2</v>
      </c>
      <c r="BQ49">
        <v>375</v>
      </c>
      <c r="BR49">
        <v>13</v>
      </c>
      <c r="BS49">
        <v>0.1</v>
      </c>
      <c r="BT49">
        <v>0.03</v>
      </c>
      <c r="BU49">
        <v>3.9566761904761903E-2</v>
      </c>
      <c r="BV49">
        <v>-0.13704377922077901</v>
      </c>
      <c r="BW49">
        <v>2.2366887985878499E-2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1.8835680952381</v>
      </c>
      <c r="CD49">
        <v>-0.118997142857142</v>
      </c>
      <c r="CE49">
        <v>1.86965475853158E-2</v>
      </c>
      <c r="CF49">
        <v>0</v>
      </c>
      <c r="CG49">
        <v>1</v>
      </c>
      <c r="CH49">
        <v>2</v>
      </c>
      <c r="CI49" t="s">
        <v>299</v>
      </c>
      <c r="CJ49">
        <v>3.5326</v>
      </c>
      <c r="CK49">
        <v>2.7014800000000001</v>
      </c>
      <c r="CL49">
        <v>4.1908000000000001E-2</v>
      </c>
      <c r="CM49">
        <v>4.1281199999999997E-2</v>
      </c>
      <c r="CN49">
        <v>8.70504E-2</v>
      </c>
      <c r="CO49">
        <v>7.8125600000000003E-2</v>
      </c>
      <c r="CP49">
        <v>33565.300000000003</v>
      </c>
      <c r="CQ49">
        <v>29524.400000000001</v>
      </c>
      <c r="CR49">
        <v>32427</v>
      </c>
      <c r="CS49">
        <v>30725.4</v>
      </c>
      <c r="CT49">
        <v>40092.199999999997</v>
      </c>
      <c r="CU49">
        <v>39842.699999999997</v>
      </c>
      <c r="CV49">
        <v>47368</v>
      </c>
      <c r="CW49">
        <v>46871.9</v>
      </c>
      <c r="CX49">
        <v>2.6146600000000002</v>
      </c>
      <c r="CY49">
        <v>2.1187399999999998</v>
      </c>
      <c r="CZ49">
        <v>0</v>
      </c>
      <c r="DA49">
        <v>0</v>
      </c>
      <c r="DB49">
        <v>999.9</v>
      </c>
      <c r="DC49">
        <v>999.9</v>
      </c>
      <c r="DD49">
        <v>45.604999999999997</v>
      </c>
      <c r="DE49">
        <v>28.661000000000001</v>
      </c>
      <c r="DF49">
        <v>17.996300000000002</v>
      </c>
      <c r="DG49">
        <v>30.348199999999999</v>
      </c>
      <c r="DH49">
        <v>16.955100000000002</v>
      </c>
      <c r="DI49">
        <v>2</v>
      </c>
      <c r="DJ49">
        <v>-7.1459400000000006E-2</v>
      </c>
      <c r="DK49">
        <v>2.7336499999999999</v>
      </c>
      <c r="DL49">
        <v>20.186199999999999</v>
      </c>
      <c r="DM49">
        <v>5.2477200000000002</v>
      </c>
      <c r="DN49">
        <v>12.033899999999999</v>
      </c>
      <c r="DO49">
        <v>4.9668799999999997</v>
      </c>
      <c r="DP49">
        <v>3.29074</v>
      </c>
      <c r="DQ49">
        <v>607.79999999999995</v>
      </c>
      <c r="DR49">
        <v>9999</v>
      </c>
      <c r="DS49">
        <v>9999</v>
      </c>
      <c r="DT49">
        <v>9999</v>
      </c>
      <c r="DU49">
        <v>1.87114</v>
      </c>
      <c r="DV49">
        <v>1.8761000000000001</v>
      </c>
      <c r="DW49">
        <v>1.87636</v>
      </c>
      <c r="DX49">
        <v>1.8828499999999999</v>
      </c>
      <c r="DY49">
        <v>1.8756200000000001</v>
      </c>
      <c r="DZ49">
        <v>1.8746799999999999</v>
      </c>
      <c r="EA49">
        <v>1.87086</v>
      </c>
      <c r="EB49">
        <v>1.8746499999999999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-0.70499999999999996</v>
      </c>
      <c r="EQ49">
        <v>4.7E-2</v>
      </c>
      <c r="ER49">
        <v>-0.704300000000046</v>
      </c>
      <c r="ES49">
        <v>0</v>
      </c>
      <c r="ET49">
        <v>0</v>
      </c>
      <c r="EU49">
        <v>0</v>
      </c>
      <c r="EV49">
        <v>4.6972727272725799E-2</v>
      </c>
      <c r="EW49">
        <v>0</v>
      </c>
      <c r="EX49">
        <v>0</v>
      </c>
      <c r="EY49">
        <v>0</v>
      </c>
      <c r="EZ49">
        <v>-1</v>
      </c>
      <c r="FA49">
        <v>-1</v>
      </c>
      <c r="FB49">
        <v>-1</v>
      </c>
      <c r="FC49">
        <v>-1</v>
      </c>
      <c r="FD49">
        <v>8.6999999999999993</v>
      </c>
      <c r="FE49">
        <v>9.1</v>
      </c>
      <c r="FF49">
        <v>0.56762699999999999</v>
      </c>
      <c r="FG49">
        <v>2.5866699999999998</v>
      </c>
      <c r="FH49">
        <v>2.19604</v>
      </c>
      <c r="FI49">
        <v>2.5756800000000002</v>
      </c>
      <c r="FJ49">
        <v>2.4462899999999999</v>
      </c>
      <c r="FK49">
        <v>2.3278799999999999</v>
      </c>
      <c r="FL49">
        <v>32.953699999999998</v>
      </c>
      <c r="FM49">
        <v>24.14</v>
      </c>
      <c r="FN49">
        <v>19</v>
      </c>
      <c r="FO49">
        <v>866.77499999999998</v>
      </c>
      <c r="FP49">
        <v>573.91600000000005</v>
      </c>
      <c r="FQ49">
        <v>17.839099999999998</v>
      </c>
      <c r="FR49">
        <v>26.0656</v>
      </c>
      <c r="FS49">
        <v>30</v>
      </c>
      <c r="FT49">
        <v>26.0686</v>
      </c>
      <c r="FU49">
        <v>26.072399999999998</v>
      </c>
      <c r="FV49">
        <v>11.418799999999999</v>
      </c>
      <c r="FW49">
        <v>28.215800000000002</v>
      </c>
      <c r="FX49">
        <v>36.190600000000003</v>
      </c>
      <c r="FY49">
        <v>17.841899999999999</v>
      </c>
      <c r="FZ49">
        <v>150</v>
      </c>
      <c r="GA49">
        <v>13.5908</v>
      </c>
      <c r="GB49">
        <v>99.801699999999997</v>
      </c>
      <c r="GC49">
        <v>99.767899999999997</v>
      </c>
    </row>
    <row r="50" spans="1:185" x14ac:dyDescent="0.2">
      <c r="A50">
        <v>35</v>
      </c>
      <c r="B50">
        <v>1771103741.0999999</v>
      </c>
      <c r="C50">
        <v>628</v>
      </c>
      <c r="D50" t="s">
        <v>365</v>
      </c>
      <c r="E50" t="s">
        <v>366</v>
      </c>
      <c r="F50">
        <v>15</v>
      </c>
      <c r="G50">
        <v>1771103733.03333</v>
      </c>
      <c r="H50">
        <f t="shared" si="0"/>
        <v>1.5063269432909765E-3</v>
      </c>
      <c r="I50">
        <v>0</v>
      </c>
      <c r="J50">
        <f t="shared" si="12"/>
        <v>-1.3078782033541965E-2</v>
      </c>
      <c r="K50">
        <f t="shared" si="1"/>
        <v>-0.23386502695805461</v>
      </c>
      <c r="L50">
        <f t="shared" si="2"/>
        <v>69.793682600237389</v>
      </c>
      <c r="M50">
        <f t="shared" si="3"/>
        <v>1.5395953706199212</v>
      </c>
      <c r="N50">
        <f t="shared" si="4"/>
        <v>2.2059236785632583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26179.954538595459</v>
      </c>
      <c r="T50">
        <f t="shared" si="8"/>
        <v>800.00053333333301</v>
      </c>
      <c r="U50">
        <f t="shared" si="9"/>
        <v>674.40094560033037</v>
      </c>
      <c r="V50">
        <f t="shared" si="10"/>
        <v>0.84300061999999998</v>
      </c>
      <c r="W50">
        <f t="shared" si="11"/>
        <v>0.15870155000000002</v>
      </c>
      <c r="X50">
        <v>1</v>
      </c>
      <c r="Y50">
        <v>1771103733.03333</v>
      </c>
      <c r="Z50">
        <v>150.01499999999999</v>
      </c>
      <c r="AA50">
        <v>150.00513333333299</v>
      </c>
      <c r="AB50">
        <v>15.395633333333301</v>
      </c>
      <c r="AC50">
        <v>13.541726666666699</v>
      </c>
      <c r="AD50">
        <v>150.719333333333</v>
      </c>
      <c r="AE50">
        <v>15.348660000000001</v>
      </c>
      <c r="AF50">
        <v>800.00580000000002</v>
      </c>
      <c r="AG50">
        <v>99.938559999999995</v>
      </c>
      <c r="AH50">
        <v>6.3520933333333293E-2</v>
      </c>
      <c r="AI50">
        <v>19.005400000000002</v>
      </c>
      <c r="AJ50">
        <v>999.9</v>
      </c>
      <c r="AK50">
        <v>999.9</v>
      </c>
      <c r="AL50">
        <v>0</v>
      </c>
      <c r="AM50">
        <v>0</v>
      </c>
      <c r="AN50">
        <v>4995.7666666666701</v>
      </c>
      <c r="AO50">
        <v>0</v>
      </c>
      <c r="AP50">
        <v>1.63733</v>
      </c>
      <c r="AQ50">
        <v>9.8704033333333295E-3</v>
      </c>
      <c r="AR50">
        <v>152.36060000000001</v>
      </c>
      <c r="AS50">
        <v>152.06426666666701</v>
      </c>
      <c r="AT50">
        <v>1.8539019999999999</v>
      </c>
      <c r="AU50">
        <v>150.00513333333299</v>
      </c>
      <c r="AV50">
        <v>13.541726666666699</v>
      </c>
      <c r="AW50">
        <v>1.538618</v>
      </c>
      <c r="AX50">
        <v>1.35334133333333</v>
      </c>
      <c r="AY50">
        <v>13.3574133333333</v>
      </c>
      <c r="AZ50">
        <v>11.4047</v>
      </c>
      <c r="BA50">
        <v>800.00053333333301</v>
      </c>
      <c r="BB50">
        <v>0.89997933333333302</v>
      </c>
      <c r="BC50">
        <v>0</v>
      </c>
      <c r="BD50">
        <v>0.10002066666666699</v>
      </c>
      <c r="BE50">
        <v>0</v>
      </c>
      <c r="BF50">
        <v>25</v>
      </c>
      <c r="BG50">
        <v>13190.973333333301</v>
      </c>
      <c r="BH50">
        <v>1771103205.0999999</v>
      </c>
      <c r="BI50" t="s">
        <v>305</v>
      </c>
      <c r="BJ50">
        <v>1771103205.0999999</v>
      </c>
      <c r="BK50">
        <v>1771103183.0999999</v>
      </c>
      <c r="BL50">
        <v>12</v>
      </c>
      <c r="BM50">
        <v>-2E-3</v>
      </c>
      <c r="BN50">
        <v>-1.2E-2</v>
      </c>
      <c r="BO50">
        <v>-0.70399999999999996</v>
      </c>
      <c r="BP50">
        <v>4.7E-2</v>
      </c>
      <c r="BQ50">
        <v>375</v>
      </c>
      <c r="BR50">
        <v>13</v>
      </c>
      <c r="BS50">
        <v>0.1</v>
      </c>
      <c r="BT50">
        <v>0.03</v>
      </c>
      <c r="BU50">
        <v>1.6051516190476199E-2</v>
      </c>
      <c r="BV50">
        <v>-0.121031468571429</v>
      </c>
      <c r="BW50">
        <v>1.821301613575E-2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1.8559509523809501</v>
      </c>
      <c r="CD50">
        <v>-4.0751688311687503E-2</v>
      </c>
      <c r="CE50">
        <v>4.4197564086743803E-3</v>
      </c>
      <c r="CF50">
        <v>1</v>
      </c>
      <c r="CG50">
        <v>2</v>
      </c>
      <c r="CH50">
        <v>2</v>
      </c>
      <c r="CI50" t="s">
        <v>322</v>
      </c>
      <c r="CJ50">
        <v>3.5325000000000002</v>
      </c>
      <c r="CK50">
        <v>2.7012800000000001</v>
      </c>
      <c r="CL50">
        <v>4.1903700000000002E-2</v>
      </c>
      <c r="CM50">
        <v>4.12748E-2</v>
      </c>
      <c r="CN50">
        <v>8.7026199999999998E-2</v>
      </c>
      <c r="CO50">
        <v>7.8119599999999997E-2</v>
      </c>
      <c r="CP50">
        <v>33565.1</v>
      </c>
      <c r="CQ50">
        <v>29524.7</v>
      </c>
      <c r="CR50">
        <v>32426.7</v>
      </c>
      <c r="CS50">
        <v>30725.5</v>
      </c>
      <c r="CT50">
        <v>40093</v>
      </c>
      <c r="CU50">
        <v>39843.199999999997</v>
      </c>
      <c r="CV50">
        <v>47367.7</v>
      </c>
      <c r="CW50">
        <v>46872.2</v>
      </c>
      <c r="CX50">
        <v>2.6146799999999999</v>
      </c>
      <c r="CY50">
        <v>2.1186600000000002</v>
      </c>
      <c r="CZ50">
        <v>0</v>
      </c>
      <c r="DA50">
        <v>0</v>
      </c>
      <c r="DB50">
        <v>999.9</v>
      </c>
      <c r="DC50">
        <v>999.9</v>
      </c>
      <c r="DD50">
        <v>45.555999999999997</v>
      </c>
      <c r="DE50">
        <v>28.670999999999999</v>
      </c>
      <c r="DF50">
        <v>17.986499999999999</v>
      </c>
      <c r="DG50">
        <v>30.6782</v>
      </c>
      <c r="DH50">
        <v>17.115400000000001</v>
      </c>
      <c r="DI50">
        <v>2</v>
      </c>
      <c r="DJ50">
        <v>-7.1520299999999995E-2</v>
      </c>
      <c r="DK50">
        <v>2.7242199999999999</v>
      </c>
      <c r="DL50">
        <v>20.186800000000002</v>
      </c>
      <c r="DM50">
        <v>5.2495200000000004</v>
      </c>
      <c r="DN50">
        <v>12.033899999999999</v>
      </c>
      <c r="DO50">
        <v>4.9672400000000003</v>
      </c>
      <c r="DP50">
        <v>3.2909999999999999</v>
      </c>
      <c r="DQ50">
        <v>607.79999999999995</v>
      </c>
      <c r="DR50">
        <v>9999</v>
      </c>
      <c r="DS50">
        <v>9999</v>
      </c>
      <c r="DT50">
        <v>9999</v>
      </c>
      <c r="DU50">
        <v>1.8711899999999999</v>
      </c>
      <c r="DV50">
        <v>1.87618</v>
      </c>
      <c r="DW50">
        <v>1.8763700000000001</v>
      </c>
      <c r="DX50">
        <v>1.8829199999999999</v>
      </c>
      <c r="DY50">
        <v>1.87564</v>
      </c>
      <c r="DZ50">
        <v>1.8747</v>
      </c>
      <c r="EA50">
        <v>1.8708800000000001</v>
      </c>
      <c r="EB50">
        <v>1.87469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-0.70399999999999996</v>
      </c>
      <c r="EQ50">
        <v>4.7E-2</v>
      </c>
      <c r="ER50">
        <v>-0.704300000000046</v>
      </c>
      <c r="ES50">
        <v>0</v>
      </c>
      <c r="ET50">
        <v>0</v>
      </c>
      <c r="EU50">
        <v>0</v>
      </c>
      <c r="EV50">
        <v>4.6972727272725799E-2</v>
      </c>
      <c r="EW50">
        <v>0</v>
      </c>
      <c r="EX50">
        <v>0</v>
      </c>
      <c r="EY50">
        <v>0</v>
      </c>
      <c r="EZ50">
        <v>-1</v>
      </c>
      <c r="FA50">
        <v>-1</v>
      </c>
      <c r="FB50">
        <v>-1</v>
      </c>
      <c r="FC50">
        <v>-1</v>
      </c>
      <c r="FD50">
        <v>8.9</v>
      </c>
      <c r="FE50">
        <v>9.3000000000000007</v>
      </c>
      <c r="FF50">
        <v>0.56762699999999999</v>
      </c>
      <c r="FG50">
        <v>2.5964399999999999</v>
      </c>
      <c r="FH50">
        <v>2.19604</v>
      </c>
      <c r="FI50">
        <v>2.5756800000000002</v>
      </c>
      <c r="FJ50">
        <v>2.4462899999999999</v>
      </c>
      <c r="FK50">
        <v>2.3132299999999999</v>
      </c>
      <c r="FL50">
        <v>32.953699999999998</v>
      </c>
      <c r="FM50">
        <v>24.105</v>
      </c>
      <c r="FN50">
        <v>19</v>
      </c>
      <c r="FO50">
        <v>866.79399999999998</v>
      </c>
      <c r="FP50">
        <v>573.85500000000002</v>
      </c>
      <c r="FQ50">
        <v>17.825099999999999</v>
      </c>
      <c r="FR50">
        <v>26.0656</v>
      </c>
      <c r="FS50">
        <v>30.0002</v>
      </c>
      <c r="FT50">
        <v>26.0686</v>
      </c>
      <c r="FU50">
        <v>26.072399999999998</v>
      </c>
      <c r="FV50">
        <v>11.4193</v>
      </c>
      <c r="FW50">
        <v>28.215800000000002</v>
      </c>
      <c r="FX50">
        <v>35.819600000000001</v>
      </c>
      <c r="FY50">
        <v>17.823699999999999</v>
      </c>
      <c r="FZ50">
        <v>150</v>
      </c>
      <c r="GA50">
        <v>13.5951</v>
      </c>
      <c r="GB50">
        <v>99.800899999999999</v>
      </c>
      <c r="GC50">
        <v>99.7684</v>
      </c>
    </row>
    <row r="51" spans="1:185" x14ac:dyDescent="0.2">
      <c r="A51">
        <v>36</v>
      </c>
      <c r="B51">
        <v>1771103756.0999999</v>
      </c>
      <c r="C51">
        <v>643</v>
      </c>
      <c r="D51" t="s">
        <v>367</v>
      </c>
      <c r="E51" t="s">
        <v>368</v>
      </c>
      <c r="F51">
        <v>15</v>
      </c>
      <c r="G51">
        <v>1771103748.03333</v>
      </c>
      <c r="H51">
        <f t="shared" si="0"/>
        <v>1.519592296613305E-3</v>
      </c>
      <c r="I51">
        <v>0</v>
      </c>
      <c r="J51">
        <f t="shared" si="12"/>
        <v>-1.312054847129066E-2</v>
      </c>
      <c r="K51">
        <f t="shared" si="1"/>
        <v>-0.23461186325098998</v>
      </c>
      <c r="L51">
        <f t="shared" si="2"/>
        <v>69.77654100077531</v>
      </c>
      <c r="M51">
        <f t="shared" si="3"/>
        <v>1.5388759844047393</v>
      </c>
      <c r="N51">
        <f t="shared" si="4"/>
        <v>2.2054346093017712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26191.577600461489</v>
      </c>
      <c r="T51">
        <f t="shared" si="8"/>
        <v>799.99860000000001</v>
      </c>
      <c r="U51">
        <f t="shared" si="9"/>
        <v>674.39933019910688</v>
      </c>
      <c r="V51">
        <f t="shared" si="10"/>
        <v>0.84300063800000002</v>
      </c>
      <c r="W51">
        <f t="shared" si="11"/>
        <v>0.15870159500000003</v>
      </c>
      <c r="X51">
        <v>1</v>
      </c>
      <c r="Y51">
        <v>1771103748.03333</v>
      </c>
      <c r="Z51">
        <v>150.00413333333299</v>
      </c>
      <c r="AA51">
        <v>149.9958</v>
      </c>
      <c r="AB51">
        <v>15.38856</v>
      </c>
      <c r="AC51">
        <v>13.518319999999999</v>
      </c>
      <c r="AD51">
        <v>150.70853333333301</v>
      </c>
      <c r="AE51">
        <v>15.3415866666667</v>
      </c>
      <c r="AF51">
        <v>800.00853333333305</v>
      </c>
      <c r="AG51">
        <v>99.937759999999997</v>
      </c>
      <c r="AH51">
        <v>6.3538653333333306E-2</v>
      </c>
      <c r="AI51">
        <v>19.001846666666701</v>
      </c>
      <c r="AJ51">
        <v>999.9</v>
      </c>
      <c r="AK51">
        <v>999.9</v>
      </c>
      <c r="AL51">
        <v>0</v>
      </c>
      <c r="AM51">
        <v>0</v>
      </c>
      <c r="AN51">
        <v>4997.6666666666697</v>
      </c>
      <c r="AO51">
        <v>0</v>
      </c>
      <c r="AP51">
        <v>1.63733</v>
      </c>
      <c r="AQ51">
        <v>8.3984326666666706E-3</v>
      </c>
      <c r="AR51">
        <v>152.34866666666699</v>
      </c>
      <c r="AS51">
        <v>152.0514</v>
      </c>
      <c r="AT51">
        <v>1.8702253333333301</v>
      </c>
      <c r="AU51">
        <v>149.9958</v>
      </c>
      <c r="AV51">
        <v>13.518319999999999</v>
      </c>
      <c r="AW51">
        <v>1.5378986666666701</v>
      </c>
      <c r="AX51">
        <v>1.350992</v>
      </c>
      <c r="AY51">
        <v>13.3502333333333</v>
      </c>
      <c r="AZ51">
        <v>11.3784333333333</v>
      </c>
      <c r="BA51">
        <v>799.99860000000001</v>
      </c>
      <c r="BB51">
        <v>0.899978733333333</v>
      </c>
      <c r="BC51">
        <v>0</v>
      </c>
      <c r="BD51">
        <v>0.100021266666667</v>
      </c>
      <c r="BE51">
        <v>0</v>
      </c>
      <c r="BF51">
        <v>25</v>
      </c>
      <c r="BG51">
        <v>13190.926666666701</v>
      </c>
      <c r="BH51">
        <v>1771103205.0999999</v>
      </c>
      <c r="BI51" t="s">
        <v>305</v>
      </c>
      <c r="BJ51">
        <v>1771103205.0999999</v>
      </c>
      <c r="BK51">
        <v>1771103183.0999999</v>
      </c>
      <c r="BL51">
        <v>12</v>
      </c>
      <c r="BM51">
        <v>-2E-3</v>
      </c>
      <c r="BN51">
        <v>-1.2E-2</v>
      </c>
      <c r="BO51">
        <v>-0.70399999999999996</v>
      </c>
      <c r="BP51">
        <v>4.7E-2</v>
      </c>
      <c r="BQ51">
        <v>375</v>
      </c>
      <c r="BR51">
        <v>13</v>
      </c>
      <c r="BS51">
        <v>0.1</v>
      </c>
      <c r="BT51">
        <v>0.03</v>
      </c>
      <c r="BU51">
        <v>5.9153223809523797E-3</v>
      </c>
      <c r="BV51">
        <v>2.0573167792207799E-2</v>
      </c>
      <c r="BW51">
        <v>1.7647957115688201E-2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1.8643614285714301</v>
      </c>
      <c r="CD51">
        <v>8.4674025974026401E-2</v>
      </c>
      <c r="CE51">
        <v>1.6500912899915898E-2</v>
      </c>
      <c r="CF51">
        <v>1</v>
      </c>
      <c r="CG51">
        <v>2</v>
      </c>
      <c r="CH51">
        <v>2</v>
      </c>
      <c r="CI51" t="s">
        <v>322</v>
      </c>
      <c r="CJ51">
        <v>3.5325500000000001</v>
      </c>
      <c r="CK51">
        <v>2.7009599999999998</v>
      </c>
      <c r="CL51">
        <v>4.1900600000000003E-2</v>
      </c>
      <c r="CM51">
        <v>4.1275399999999997E-2</v>
      </c>
      <c r="CN51">
        <v>8.6982100000000007E-2</v>
      </c>
      <c r="CO51">
        <v>7.8059199999999995E-2</v>
      </c>
      <c r="CP51">
        <v>33565.5</v>
      </c>
      <c r="CQ51">
        <v>29524.6</v>
      </c>
      <c r="CR51">
        <v>32426.9</v>
      </c>
      <c r="CS51">
        <v>30725.5</v>
      </c>
      <c r="CT51">
        <v>40095.1</v>
      </c>
      <c r="CU51">
        <v>39845.599999999999</v>
      </c>
      <c r="CV51">
        <v>47367.8</v>
      </c>
      <c r="CW51">
        <v>46871.9</v>
      </c>
      <c r="CX51">
        <v>2.6146400000000001</v>
      </c>
      <c r="CY51">
        <v>2.1185999999999998</v>
      </c>
      <c r="CZ51">
        <v>0</v>
      </c>
      <c r="DA51">
        <v>0</v>
      </c>
      <c r="DB51">
        <v>999.9</v>
      </c>
      <c r="DC51">
        <v>999.9</v>
      </c>
      <c r="DD51">
        <v>45.396999999999998</v>
      </c>
      <c r="DE51">
        <v>28.670999999999999</v>
      </c>
      <c r="DF51">
        <v>17.923500000000001</v>
      </c>
      <c r="DG51">
        <v>30.6782</v>
      </c>
      <c r="DH51">
        <v>17.019200000000001</v>
      </c>
      <c r="DI51">
        <v>2</v>
      </c>
      <c r="DJ51">
        <v>-7.1410600000000005E-2</v>
      </c>
      <c r="DK51">
        <v>2.7151200000000002</v>
      </c>
      <c r="DL51">
        <v>20.186800000000002</v>
      </c>
      <c r="DM51">
        <v>5.2490399999999999</v>
      </c>
      <c r="DN51">
        <v>12.033899999999999</v>
      </c>
      <c r="DO51">
        <v>4.9668000000000001</v>
      </c>
      <c r="DP51">
        <v>3.2907999999999999</v>
      </c>
      <c r="DQ51">
        <v>607.79999999999995</v>
      </c>
      <c r="DR51">
        <v>9999</v>
      </c>
      <c r="DS51">
        <v>9999</v>
      </c>
      <c r="DT51">
        <v>9999</v>
      </c>
      <c r="DU51">
        <v>1.8711800000000001</v>
      </c>
      <c r="DV51">
        <v>1.8761699999999999</v>
      </c>
      <c r="DW51">
        <v>1.8763700000000001</v>
      </c>
      <c r="DX51">
        <v>1.8829</v>
      </c>
      <c r="DY51">
        <v>1.8756200000000001</v>
      </c>
      <c r="DZ51">
        <v>1.87469</v>
      </c>
      <c r="EA51">
        <v>1.87087</v>
      </c>
      <c r="EB51">
        <v>1.8746799999999999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-0.70499999999999996</v>
      </c>
      <c r="EQ51">
        <v>4.7E-2</v>
      </c>
      <c r="ER51">
        <v>-0.704300000000046</v>
      </c>
      <c r="ES51">
        <v>0</v>
      </c>
      <c r="ET51">
        <v>0</v>
      </c>
      <c r="EU51">
        <v>0</v>
      </c>
      <c r="EV51">
        <v>4.6972727272725799E-2</v>
      </c>
      <c r="EW51">
        <v>0</v>
      </c>
      <c r="EX51">
        <v>0</v>
      </c>
      <c r="EY51">
        <v>0</v>
      </c>
      <c r="EZ51">
        <v>-1</v>
      </c>
      <c r="FA51">
        <v>-1</v>
      </c>
      <c r="FB51">
        <v>-1</v>
      </c>
      <c r="FC51">
        <v>-1</v>
      </c>
      <c r="FD51">
        <v>9.1999999999999993</v>
      </c>
      <c r="FE51">
        <v>9.6</v>
      </c>
      <c r="FF51">
        <v>0.56884800000000002</v>
      </c>
      <c r="FG51">
        <v>2.6000999999999999</v>
      </c>
      <c r="FH51">
        <v>2.19604</v>
      </c>
      <c r="FI51">
        <v>2.5756800000000002</v>
      </c>
      <c r="FJ51">
        <v>2.4462899999999999</v>
      </c>
      <c r="FK51">
        <v>2.2436500000000001</v>
      </c>
      <c r="FL51">
        <v>32.975999999999999</v>
      </c>
      <c r="FM51">
        <v>24.1313</v>
      </c>
      <c r="FN51">
        <v>19</v>
      </c>
      <c r="FO51">
        <v>866.75599999999997</v>
      </c>
      <c r="FP51">
        <v>573.80899999999997</v>
      </c>
      <c r="FQ51">
        <v>17.8154</v>
      </c>
      <c r="FR51">
        <v>26.0656</v>
      </c>
      <c r="FS51">
        <v>30.0002</v>
      </c>
      <c r="FT51">
        <v>26.0686</v>
      </c>
      <c r="FU51">
        <v>26.072399999999998</v>
      </c>
      <c r="FV51">
        <v>11.4206</v>
      </c>
      <c r="FW51">
        <v>27.627199999999998</v>
      </c>
      <c r="FX51">
        <v>35.819600000000001</v>
      </c>
      <c r="FY51">
        <v>17.8155</v>
      </c>
      <c r="FZ51">
        <v>150</v>
      </c>
      <c r="GA51">
        <v>13.6004</v>
      </c>
      <c r="GB51">
        <v>99.801299999999998</v>
      </c>
      <c r="GC51">
        <v>99.768000000000001</v>
      </c>
    </row>
    <row r="52" spans="1:185" x14ac:dyDescent="0.2">
      <c r="A52">
        <v>37</v>
      </c>
      <c r="B52">
        <v>1771103771.0999999</v>
      </c>
      <c r="C52">
        <v>658</v>
      </c>
      <c r="D52" t="s">
        <v>369</v>
      </c>
      <c r="E52" t="s">
        <v>370</v>
      </c>
      <c r="F52">
        <v>15</v>
      </c>
      <c r="G52">
        <v>1771103763.03333</v>
      </c>
      <c r="H52">
        <f t="shared" si="0"/>
        <v>1.4978500585503941E-3</v>
      </c>
      <c r="I52">
        <v>0</v>
      </c>
      <c r="J52">
        <f t="shared" si="12"/>
        <v>-1.2217687772638455E-2</v>
      </c>
      <c r="K52">
        <f t="shared" si="1"/>
        <v>-0.2184675815366717</v>
      </c>
      <c r="L52">
        <f t="shared" si="2"/>
        <v>69.827354725413343</v>
      </c>
      <c r="M52">
        <f t="shared" si="3"/>
        <v>1.5395476037321165</v>
      </c>
      <c r="N52">
        <f t="shared" si="4"/>
        <v>2.2047915316084645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26208.327292690006</v>
      </c>
      <c r="T52">
        <f t="shared" si="8"/>
        <v>799.99919999999997</v>
      </c>
      <c r="U52">
        <f t="shared" si="9"/>
        <v>674.39974799957793</v>
      </c>
      <c r="V52">
        <f t="shared" si="10"/>
        <v>0.84300052800000047</v>
      </c>
      <c r="W52">
        <f t="shared" si="11"/>
        <v>0.15870144992000013</v>
      </c>
      <c r="X52">
        <v>1</v>
      </c>
      <c r="Y52">
        <v>1771103763.03333</v>
      </c>
      <c r="Z52">
        <v>149.98453333333299</v>
      </c>
      <c r="AA52">
        <v>149.99226666666701</v>
      </c>
      <c r="AB52">
        <v>15.3951933333333</v>
      </c>
      <c r="AC52">
        <v>13.551733333333299</v>
      </c>
      <c r="AD52">
        <v>150.68866666666699</v>
      </c>
      <c r="AE52">
        <v>15.34822</v>
      </c>
      <c r="AF52">
        <v>800.01213333333305</v>
      </c>
      <c r="AG52">
        <v>99.938413333333301</v>
      </c>
      <c r="AH52">
        <v>6.3422980000000004E-2</v>
      </c>
      <c r="AI52">
        <v>18.997173333333301</v>
      </c>
      <c r="AJ52">
        <v>999.9</v>
      </c>
      <c r="AK52">
        <v>999.9</v>
      </c>
      <c r="AL52">
        <v>0</v>
      </c>
      <c r="AM52">
        <v>0</v>
      </c>
      <c r="AN52">
        <v>5000.3333333333303</v>
      </c>
      <c r="AO52">
        <v>0</v>
      </c>
      <c r="AP52">
        <v>1.63733</v>
      </c>
      <c r="AQ52">
        <v>-7.86539666666667E-3</v>
      </c>
      <c r="AR52">
        <v>152.32966666666701</v>
      </c>
      <c r="AS52">
        <v>152.05293333333299</v>
      </c>
      <c r="AT52">
        <v>1.8434493333333299</v>
      </c>
      <c r="AU52">
        <v>149.99226666666701</v>
      </c>
      <c r="AV52">
        <v>13.551733333333299</v>
      </c>
      <c r="AW52">
        <v>1.5385706666666701</v>
      </c>
      <c r="AX52">
        <v>1.35434066666667</v>
      </c>
      <c r="AY52">
        <v>13.356953333333299</v>
      </c>
      <c r="AZ52">
        <v>11.4158266666667</v>
      </c>
      <c r="BA52">
        <v>799.99919999999997</v>
      </c>
      <c r="BB52">
        <v>0.89998046666666698</v>
      </c>
      <c r="BC52">
        <v>0</v>
      </c>
      <c r="BD52">
        <v>0.100019466666667</v>
      </c>
      <c r="BE52">
        <v>0</v>
      </c>
      <c r="BF52">
        <v>25</v>
      </c>
      <c r="BG52">
        <v>13190.94</v>
      </c>
      <c r="BH52">
        <v>1771103205.0999999</v>
      </c>
      <c r="BI52" t="s">
        <v>305</v>
      </c>
      <c r="BJ52">
        <v>1771103205.0999999</v>
      </c>
      <c r="BK52">
        <v>1771103183.0999999</v>
      </c>
      <c r="BL52">
        <v>12</v>
      </c>
      <c r="BM52">
        <v>-2E-3</v>
      </c>
      <c r="BN52">
        <v>-1.2E-2</v>
      </c>
      <c r="BO52">
        <v>-0.70399999999999996</v>
      </c>
      <c r="BP52">
        <v>4.7E-2</v>
      </c>
      <c r="BQ52">
        <v>375</v>
      </c>
      <c r="BR52">
        <v>13</v>
      </c>
      <c r="BS52">
        <v>0.1</v>
      </c>
      <c r="BT52">
        <v>0.03</v>
      </c>
      <c r="BU52">
        <v>-6.7254919047619096E-3</v>
      </c>
      <c r="BV52">
        <v>-0.116572877142857</v>
      </c>
      <c r="BW52">
        <v>2.2764544895064898E-2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1.8489238095238101</v>
      </c>
      <c r="CD52">
        <v>-7.6644155844154904E-2</v>
      </c>
      <c r="CE52">
        <v>1.1525061915417001E-2</v>
      </c>
      <c r="CF52">
        <v>1</v>
      </c>
      <c r="CG52">
        <v>2</v>
      </c>
      <c r="CH52">
        <v>2</v>
      </c>
      <c r="CI52" t="s">
        <v>322</v>
      </c>
      <c r="CJ52">
        <v>3.53254</v>
      </c>
      <c r="CK52">
        <v>2.7015099999999999</v>
      </c>
      <c r="CL52">
        <v>4.1895300000000003E-2</v>
      </c>
      <c r="CM52">
        <v>4.1277800000000003E-2</v>
      </c>
      <c r="CN52">
        <v>8.7105600000000005E-2</v>
      </c>
      <c r="CO52">
        <v>7.8198000000000004E-2</v>
      </c>
      <c r="CP52">
        <v>33566</v>
      </c>
      <c r="CQ52">
        <v>29524.2</v>
      </c>
      <c r="CR52">
        <v>32427.3</v>
      </c>
      <c r="CS52">
        <v>30725.1</v>
      </c>
      <c r="CT52">
        <v>40089.9</v>
      </c>
      <c r="CU52">
        <v>39839.1</v>
      </c>
      <c r="CV52">
        <v>47368.4</v>
      </c>
      <c r="CW52">
        <v>46871.4</v>
      </c>
      <c r="CX52">
        <v>2.6145999999999998</v>
      </c>
      <c r="CY52">
        <v>2.1186400000000001</v>
      </c>
      <c r="CZ52">
        <v>0</v>
      </c>
      <c r="DA52">
        <v>0</v>
      </c>
      <c r="DB52">
        <v>999.9</v>
      </c>
      <c r="DC52">
        <v>999.9</v>
      </c>
      <c r="DD52">
        <v>45.372999999999998</v>
      </c>
      <c r="DE52">
        <v>28.661000000000001</v>
      </c>
      <c r="DF52">
        <v>17.904</v>
      </c>
      <c r="DG52">
        <v>30.588200000000001</v>
      </c>
      <c r="DH52">
        <v>16.999199999999998</v>
      </c>
      <c r="DI52">
        <v>2</v>
      </c>
      <c r="DJ52">
        <v>-7.1778499999999995E-2</v>
      </c>
      <c r="DK52">
        <v>2.6536599999999999</v>
      </c>
      <c r="DL52">
        <v>20.188300000000002</v>
      </c>
      <c r="DM52">
        <v>5.25</v>
      </c>
      <c r="DN52">
        <v>12.033899999999999</v>
      </c>
      <c r="DO52">
        <v>4.9671599999999998</v>
      </c>
      <c r="DP52">
        <v>3.2909999999999999</v>
      </c>
      <c r="DQ52">
        <v>607.79999999999995</v>
      </c>
      <c r="DR52">
        <v>9999</v>
      </c>
      <c r="DS52">
        <v>9999</v>
      </c>
      <c r="DT52">
        <v>9999</v>
      </c>
      <c r="DU52">
        <v>1.8711800000000001</v>
      </c>
      <c r="DV52">
        <v>1.87619</v>
      </c>
      <c r="DW52">
        <v>1.8763700000000001</v>
      </c>
      <c r="DX52">
        <v>1.8829199999999999</v>
      </c>
      <c r="DY52">
        <v>1.87565</v>
      </c>
      <c r="DZ52">
        <v>1.87469</v>
      </c>
      <c r="EA52">
        <v>1.8708800000000001</v>
      </c>
      <c r="EB52">
        <v>1.87469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-0.70399999999999996</v>
      </c>
      <c r="EQ52">
        <v>4.7E-2</v>
      </c>
      <c r="ER52">
        <v>-0.704300000000046</v>
      </c>
      <c r="ES52">
        <v>0</v>
      </c>
      <c r="ET52">
        <v>0</v>
      </c>
      <c r="EU52">
        <v>0</v>
      </c>
      <c r="EV52">
        <v>4.6972727272725799E-2</v>
      </c>
      <c r="EW52">
        <v>0</v>
      </c>
      <c r="EX52">
        <v>0</v>
      </c>
      <c r="EY52">
        <v>0</v>
      </c>
      <c r="EZ52">
        <v>-1</v>
      </c>
      <c r="FA52">
        <v>-1</v>
      </c>
      <c r="FB52">
        <v>-1</v>
      </c>
      <c r="FC52">
        <v>-1</v>
      </c>
      <c r="FD52">
        <v>9.4</v>
      </c>
      <c r="FE52">
        <v>9.8000000000000007</v>
      </c>
      <c r="FF52">
        <v>0.56762699999999999</v>
      </c>
      <c r="FG52">
        <v>2.5927699999999998</v>
      </c>
      <c r="FH52">
        <v>2.19604</v>
      </c>
      <c r="FI52">
        <v>2.5756800000000002</v>
      </c>
      <c r="FJ52">
        <v>2.4462899999999999</v>
      </c>
      <c r="FK52">
        <v>2.3083499999999999</v>
      </c>
      <c r="FL52">
        <v>32.975999999999999</v>
      </c>
      <c r="FM52">
        <v>24.14</v>
      </c>
      <c r="FN52">
        <v>19</v>
      </c>
      <c r="FO52">
        <v>866.71900000000005</v>
      </c>
      <c r="FP52">
        <v>573.83900000000006</v>
      </c>
      <c r="FQ52">
        <v>17.837299999999999</v>
      </c>
      <c r="FR52">
        <v>26.0656</v>
      </c>
      <c r="FS52">
        <v>30</v>
      </c>
      <c r="FT52">
        <v>26.0686</v>
      </c>
      <c r="FU52">
        <v>26.072399999999998</v>
      </c>
      <c r="FV52">
        <v>11.4199</v>
      </c>
      <c r="FW52">
        <v>27.627199999999998</v>
      </c>
      <c r="FX52">
        <v>35.819600000000001</v>
      </c>
      <c r="FY52">
        <v>17.837700000000002</v>
      </c>
      <c r="FZ52">
        <v>150</v>
      </c>
      <c r="GA52">
        <v>13.5976</v>
      </c>
      <c r="GB52">
        <v>99.802499999999995</v>
      </c>
      <c r="GC52">
        <v>99.766999999999996</v>
      </c>
    </row>
    <row r="53" spans="1:185" x14ac:dyDescent="0.2">
      <c r="A53">
        <v>38</v>
      </c>
      <c r="B53">
        <v>1771103786.0999999</v>
      </c>
      <c r="C53">
        <v>673</v>
      </c>
      <c r="D53" t="s">
        <v>371</v>
      </c>
      <c r="E53" t="s">
        <v>372</v>
      </c>
      <c r="F53">
        <v>15</v>
      </c>
      <c r="G53">
        <v>1771103778.03333</v>
      </c>
      <c r="H53">
        <f t="shared" si="0"/>
        <v>1.5124999811897361E-3</v>
      </c>
      <c r="I53">
        <v>0</v>
      </c>
      <c r="J53">
        <f t="shared" si="12"/>
        <v>-1.1507020980038305E-2</v>
      </c>
      <c r="K53">
        <f t="shared" si="1"/>
        <v>-0.20575996792376877</v>
      </c>
      <c r="L53">
        <f t="shared" si="2"/>
        <v>69.94633753975225</v>
      </c>
      <c r="M53">
        <f t="shared" si="3"/>
        <v>1.5421125433887357</v>
      </c>
      <c r="N53">
        <f t="shared" si="4"/>
        <v>2.2047080628236104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26217.967399455338</v>
      </c>
      <c r="T53">
        <f t="shared" si="8"/>
        <v>800</v>
      </c>
      <c r="U53">
        <f t="shared" si="9"/>
        <v>674.40035360000024</v>
      </c>
      <c r="V53">
        <f t="shared" si="10"/>
        <v>0.84300044200000035</v>
      </c>
      <c r="W53">
        <f t="shared" si="11"/>
        <v>0.15870136484000008</v>
      </c>
      <c r="X53">
        <v>1</v>
      </c>
      <c r="Y53">
        <v>1771103778.03333</v>
      </c>
      <c r="Z53">
        <v>149.9682</v>
      </c>
      <c r="AA53">
        <v>149.99453333333301</v>
      </c>
      <c r="AB53">
        <v>15.420766666666699</v>
      </c>
      <c r="AC53">
        <v>13.55932</v>
      </c>
      <c r="AD53">
        <v>150.67253333333301</v>
      </c>
      <c r="AE53">
        <v>15.3617666666667</v>
      </c>
      <c r="AF53">
        <v>800.01006666666694</v>
      </c>
      <c r="AG53">
        <v>99.938766666666695</v>
      </c>
      <c r="AH53">
        <v>6.3559853333333305E-2</v>
      </c>
      <c r="AI53">
        <v>18.996566666666698</v>
      </c>
      <c r="AJ53">
        <v>999.9</v>
      </c>
      <c r="AK53">
        <v>999.9</v>
      </c>
      <c r="AL53">
        <v>0</v>
      </c>
      <c r="AM53">
        <v>0</v>
      </c>
      <c r="AN53">
        <v>5001.8999999999996</v>
      </c>
      <c r="AO53">
        <v>0</v>
      </c>
      <c r="AP53">
        <v>1.63733</v>
      </c>
      <c r="AQ53">
        <v>-2.6389566666666701E-2</v>
      </c>
      <c r="AR53">
        <v>152.3152</v>
      </c>
      <c r="AS53">
        <v>152.05633333333299</v>
      </c>
      <c r="AT53">
        <v>1.84941</v>
      </c>
      <c r="AU53">
        <v>149.99453333333301</v>
      </c>
      <c r="AV53">
        <v>13.55932</v>
      </c>
      <c r="AW53">
        <v>1.5399286666666701</v>
      </c>
      <c r="AX53">
        <v>1.355102</v>
      </c>
      <c r="AY53">
        <v>13.3704933333333</v>
      </c>
      <c r="AZ53">
        <v>11.424333333333299</v>
      </c>
      <c r="BA53">
        <v>800</v>
      </c>
      <c r="BB53">
        <v>0.89998140000000004</v>
      </c>
      <c r="BC53">
        <v>0</v>
      </c>
      <c r="BD53">
        <v>0.100018466666667</v>
      </c>
      <c r="BE53">
        <v>0</v>
      </c>
      <c r="BF53">
        <v>25</v>
      </c>
      <c r="BG53">
        <v>13190.9666666667</v>
      </c>
      <c r="BH53">
        <v>1771103812.0999999</v>
      </c>
      <c r="BI53" t="s">
        <v>373</v>
      </c>
      <c r="BJ53">
        <v>1771103205.0999999</v>
      </c>
      <c r="BK53">
        <v>1771103812.0999999</v>
      </c>
      <c r="BL53">
        <v>13</v>
      </c>
      <c r="BM53">
        <v>-2E-3</v>
      </c>
      <c r="BN53">
        <v>1.2E-2</v>
      </c>
      <c r="BO53">
        <v>-0.70399999999999996</v>
      </c>
      <c r="BP53">
        <v>5.8999999999999997E-2</v>
      </c>
      <c r="BQ53">
        <v>375</v>
      </c>
      <c r="BR53">
        <v>13</v>
      </c>
      <c r="BS53">
        <v>0.1</v>
      </c>
      <c r="BT53">
        <v>0.04</v>
      </c>
      <c r="BU53">
        <v>-2.9451749999999999E-2</v>
      </c>
      <c r="BV53">
        <v>5.5302658646616598E-2</v>
      </c>
      <c r="BW53">
        <v>1.01058804223828E-2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1.8489640000000001</v>
      </c>
      <c r="CD53">
        <v>1.9578947368433098E-3</v>
      </c>
      <c r="CE53">
        <v>3.6576473312773198E-3</v>
      </c>
      <c r="CF53">
        <v>1</v>
      </c>
      <c r="CG53">
        <v>2</v>
      </c>
      <c r="CH53">
        <v>2</v>
      </c>
      <c r="CI53" t="s">
        <v>322</v>
      </c>
      <c r="CJ53">
        <v>3.5324800000000001</v>
      </c>
      <c r="CK53">
        <v>2.7012999999999998</v>
      </c>
      <c r="CL53">
        <v>4.1896000000000003E-2</v>
      </c>
      <c r="CM53">
        <v>4.1272000000000003E-2</v>
      </c>
      <c r="CN53">
        <v>8.7081000000000006E-2</v>
      </c>
      <c r="CO53">
        <v>7.8193200000000004E-2</v>
      </c>
      <c r="CP53">
        <v>33566.6</v>
      </c>
      <c r="CQ53">
        <v>29524.9</v>
      </c>
      <c r="CR53">
        <v>32427.9</v>
      </c>
      <c r="CS53">
        <v>30725.599999999999</v>
      </c>
      <c r="CT53">
        <v>40092.1</v>
      </c>
      <c r="CU53">
        <v>39839.800000000003</v>
      </c>
      <c r="CV53">
        <v>47369.599999999999</v>
      </c>
      <c r="CW53">
        <v>46872</v>
      </c>
      <c r="CX53">
        <v>2.6146199999999999</v>
      </c>
      <c r="CY53">
        <v>2.1187200000000002</v>
      </c>
      <c r="CZ53">
        <v>0</v>
      </c>
      <c r="DA53">
        <v>0</v>
      </c>
      <c r="DB53">
        <v>999.9</v>
      </c>
      <c r="DC53">
        <v>999.9</v>
      </c>
      <c r="DD53">
        <v>45.323999999999998</v>
      </c>
      <c r="DE53">
        <v>28.670999999999999</v>
      </c>
      <c r="DF53">
        <v>17.8948</v>
      </c>
      <c r="DG53">
        <v>30.588200000000001</v>
      </c>
      <c r="DH53">
        <v>17.183499999999999</v>
      </c>
      <c r="DI53">
        <v>2</v>
      </c>
      <c r="DJ53">
        <v>-7.18496E-2</v>
      </c>
      <c r="DK53">
        <v>2.66011</v>
      </c>
      <c r="DL53">
        <v>20.188199999999998</v>
      </c>
      <c r="DM53">
        <v>5.2497600000000002</v>
      </c>
      <c r="DN53">
        <v>12.033899999999999</v>
      </c>
      <c r="DO53">
        <v>4.9669600000000003</v>
      </c>
      <c r="DP53">
        <v>3.2909999999999999</v>
      </c>
      <c r="DQ53">
        <v>607.79999999999995</v>
      </c>
      <c r="DR53">
        <v>9999</v>
      </c>
      <c r="DS53">
        <v>9999</v>
      </c>
      <c r="DT53">
        <v>9999</v>
      </c>
      <c r="DU53">
        <v>1.8711899999999999</v>
      </c>
      <c r="DV53">
        <v>1.8762099999999999</v>
      </c>
      <c r="DW53">
        <v>1.8763700000000001</v>
      </c>
      <c r="DX53">
        <v>1.88293</v>
      </c>
      <c r="DY53">
        <v>1.8756699999999999</v>
      </c>
      <c r="DZ53">
        <v>1.8747</v>
      </c>
      <c r="EA53">
        <v>1.8708800000000001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-0.70399999999999996</v>
      </c>
      <c r="EQ53">
        <v>5.8999999999999997E-2</v>
      </c>
      <c r="ER53">
        <v>-0.704300000000046</v>
      </c>
      <c r="ES53">
        <v>0</v>
      </c>
      <c r="ET53">
        <v>0</v>
      </c>
      <c r="EU53">
        <v>0</v>
      </c>
      <c r="EV53">
        <v>4.6972727272725799E-2</v>
      </c>
      <c r="EW53">
        <v>0</v>
      </c>
      <c r="EX53">
        <v>0</v>
      </c>
      <c r="EY53">
        <v>0</v>
      </c>
      <c r="EZ53">
        <v>-1</v>
      </c>
      <c r="FA53">
        <v>-1</v>
      </c>
      <c r="FB53">
        <v>-1</v>
      </c>
      <c r="FC53">
        <v>-1</v>
      </c>
      <c r="FD53">
        <v>9.6999999999999993</v>
      </c>
      <c r="FE53">
        <v>10.1</v>
      </c>
      <c r="FF53">
        <v>0.56884800000000002</v>
      </c>
      <c r="FG53">
        <v>2.5964399999999999</v>
      </c>
      <c r="FH53">
        <v>2.19604</v>
      </c>
      <c r="FI53">
        <v>2.5744600000000002</v>
      </c>
      <c r="FJ53">
        <v>2.4462899999999999</v>
      </c>
      <c r="FK53">
        <v>2.3083499999999999</v>
      </c>
      <c r="FL53">
        <v>32.953699999999998</v>
      </c>
      <c r="FM53">
        <v>24.14</v>
      </c>
      <c r="FN53">
        <v>19</v>
      </c>
      <c r="FO53">
        <v>866.73800000000006</v>
      </c>
      <c r="FP53">
        <v>573.87699999999995</v>
      </c>
      <c r="FQ53">
        <v>17.843900000000001</v>
      </c>
      <c r="FR53">
        <v>26.0656</v>
      </c>
      <c r="FS53">
        <v>30.0001</v>
      </c>
      <c r="FT53">
        <v>26.0686</v>
      </c>
      <c r="FU53">
        <v>26.0702</v>
      </c>
      <c r="FV53">
        <v>11.4224</v>
      </c>
      <c r="FW53">
        <v>27.627199999999998</v>
      </c>
      <c r="FX53">
        <v>35.447000000000003</v>
      </c>
      <c r="FY53">
        <v>17.8444</v>
      </c>
      <c r="FZ53">
        <v>150</v>
      </c>
      <c r="GA53">
        <v>13.5976</v>
      </c>
      <c r="GB53">
        <v>99.8048</v>
      </c>
      <c r="GC53">
        <v>99.7684</v>
      </c>
    </row>
    <row r="54" spans="1:185" x14ac:dyDescent="0.2">
      <c r="A54">
        <v>39</v>
      </c>
      <c r="B54">
        <v>1771103814.0999999</v>
      </c>
      <c r="C54">
        <v>701</v>
      </c>
      <c r="D54" t="s">
        <v>374</v>
      </c>
      <c r="E54" t="s">
        <v>375</v>
      </c>
      <c r="F54">
        <v>15</v>
      </c>
      <c r="G54">
        <v>1771103813.0999999</v>
      </c>
      <c r="H54">
        <f t="shared" si="0"/>
        <v>-4.055159515551838E-7</v>
      </c>
      <c r="I54">
        <v>0</v>
      </c>
      <c r="J54">
        <f t="shared" si="12"/>
        <v>-3.0980796736055038E-4</v>
      </c>
      <c r="K54">
        <f t="shared" si="1"/>
        <v>-5.5397550362702693E-3</v>
      </c>
      <c r="L54">
        <f t="shared" si="2"/>
        <v>61.209364789108676</v>
      </c>
      <c r="M54">
        <f t="shared" si="3"/>
        <v>1.34992858407275</v>
      </c>
      <c r="N54">
        <f t="shared" si="4"/>
        <v>2.2054281868857921</v>
      </c>
      <c r="O54">
        <v>470</v>
      </c>
      <c r="P54">
        <v>59</v>
      </c>
      <c r="Q54">
        <f t="shared" si="5"/>
        <v>1</v>
      </c>
      <c r="R54">
        <f t="shared" si="6"/>
        <v>0</v>
      </c>
      <c r="S54">
        <f t="shared" si="7"/>
        <v>26244.929667058081</v>
      </c>
      <c r="T54">
        <f t="shared" si="8"/>
        <v>800.00099999999998</v>
      </c>
      <c r="U54">
        <f t="shared" si="9"/>
        <v>674.40086700002996</v>
      </c>
      <c r="V54">
        <f t="shared" si="10"/>
        <v>0.84300003000000001</v>
      </c>
      <c r="W54">
        <f t="shared" si="11"/>
        <v>0.158700075</v>
      </c>
      <c r="X54">
        <v>1</v>
      </c>
      <c r="Y54">
        <v>1771103813.0999999</v>
      </c>
      <c r="Z54">
        <v>150.03100000000001</v>
      </c>
      <c r="AA54">
        <v>150.024</v>
      </c>
      <c r="AB54">
        <v>13.4975</v>
      </c>
      <c r="AC54">
        <v>13.497999999999999</v>
      </c>
      <c r="AD54">
        <v>150.47399999999999</v>
      </c>
      <c r="AE54">
        <v>13.4382</v>
      </c>
      <c r="AF54">
        <v>800.08500000000004</v>
      </c>
      <c r="AG54">
        <v>99.937100000000001</v>
      </c>
      <c r="AH54">
        <v>7.6130900000000001E-2</v>
      </c>
      <c r="AI54">
        <v>19.001799999999999</v>
      </c>
      <c r="AJ54">
        <v>999.9</v>
      </c>
      <c r="AK54">
        <v>999.9</v>
      </c>
      <c r="AL54">
        <v>0</v>
      </c>
      <c r="AM54">
        <v>0</v>
      </c>
      <c r="AN54">
        <v>5006.5</v>
      </c>
      <c r="AO54">
        <v>0</v>
      </c>
      <c r="AP54">
        <v>1.63733</v>
      </c>
      <c r="AQ54">
        <v>-0.25428800000000001</v>
      </c>
      <c r="AR54">
        <v>151.81899999999999</v>
      </c>
      <c r="AS54">
        <v>152.077</v>
      </c>
      <c r="AT54">
        <v>-4.4250499999999999E-4</v>
      </c>
      <c r="AU54">
        <v>150.024</v>
      </c>
      <c r="AV54">
        <v>13.497999999999999</v>
      </c>
      <c r="AW54">
        <v>1.3489</v>
      </c>
      <c r="AX54">
        <v>1.3489500000000001</v>
      </c>
      <c r="AY54">
        <v>11.3551</v>
      </c>
      <c r="AZ54">
        <v>11.355600000000001</v>
      </c>
      <c r="BA54">
        <v>800.00099999999998</v>
      </c>
      <c r="BB54">
        <v>0.89999899999999999</v>
      </c>
      <c r="BC54">
        <v>0</v>
      </c>
      <c r="BD54">
        <v>0.10000100000000001</v>
      </c>
      <c r="BE54">
        <v>0</v>
      </c>
      <c r="BF54">
        <v>25</v>
      </c>
      <c r="BG54">
        <v>13191</v>
      </c>
      <c r="BH54">
        <v>1771103835.0999999</v>
      </c>
      <c r="BI54" t="s">
        <v>376</v>
      </c>
      <c r="BJ54">
        <v>1771103835.0999999</v>
      </c>
      <c r="BK54">
        <v>1771103812.0999999</v>
      </c>
      <c r="BL54">
        <v>14</v>
      </c>
      <c r="BM54">
        <v>0.26200000000000001</v>
      </c>
      <c r="BN54">
        <v>1.2E-2</v>
      </c>
      <c r="BO54">
        <v>-0.443</v>
      </c>
      <c r="BP54">
        <v>5.8999999999999997E-2</v>
      </c>
      <c r="BQ54">
        <v>150</v>
      </c>
      <c r="BR54">
        <v>13</v>
      </c>
      <c r="BS54">
        <v>0.18</v>
      </c>
      <c r="BT54">
        <v>0.04</v>
      </c>
      <c r="BU54">
        <v>-0.23541645</v>
      </c>
      <c r="BV54">
        <v>-2.2703909774442698E-3</v>
      </c>
      <c r="BW54">
        <v>1.09481639349939E-2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-9.4729917499999997E-3</v>
      </c>
      <c r="CD54">
        <v>-2.0315991203007502E-2</v>
      </c>
      <c r="CE54">
        <v>4.0088918652001803E-3</v>
      </c>
      <c r="CF54">
        <v>1</v>
      </c>
      <c r="CG54">
        <v>2</v>
      </c>
      <c r="CH54">
        <v>2</v>
      </c>
      <c r="CI54" t="s">
        <v>322</v>
      </c>
      <c r="CJ54">
        <v>3.5342699999999998</v>
      </c>
      <c r="CK54">
        <v>2.7124000000000001</v>
      </c>
      <c r="CL54">
        <v>4.1838599999999997E-2</v>
      </c>
      <c r="CM54">
        <v>4.1277899999999999E-2</v>
      </c>
      <c r="CN54">
        <v>7.9173199999999999E-2</v>
      </c>
      <c r="CO54">
        <v>7.7931600000000004E-2</v>
      </c>
      <c r="CP54">
        <v>33567.699999999997</v>
      </c>
      <c r="CQ54">
        <v>29524.7</v>
      </c>
      <c r="CR54">
        <v>32427.1</v>
      </c>
      <c r="CS54">
        <v>30725.599999999999</v>
      </c>
      <c r="CT54">
        <v>40448.1</v>
      </c>
      <c r="CU54">
        <v>39851.5</v>
      </c>
      <c r="CV54">
        <v>47368.4</v>
      </c>
      <c r="CW54">
        <v>46872.2</v>
      </c>
      <c r="CX54">
        <v>1.6987399999999999</v>
      </c>
      <c r="CY54">
        <v>1.6105</v>
      </c>
      <c r="CZ54">
        <v>0</v>
      </c>
      <c r="DA54">
        <v>0</v>
      </c>
      <c r="DB54">
        <v>999.9</v>
      </c>
      <c r="DC54">
        <v>999.9</v>
      </c>
      <c r="DD54">
        <v>45.152999999999999</v>
      </c>
      <c r="DE54">
        <v>28.670999999999999</v>
      </c>
      <c r="DF54">
        <v>17.826499999999999</v>
      </c>
      <c r="DG54">
        <v>30.478200000000001</v>
      </c>
      <c r="DH54">
        <v>17.2837</v>
      </c>
      <c r="DI54">
        <v>2</v>
      </c>
      <c r="DJ54">
        <v>-7.1963399999999997E-2</v>
      </c>
      <c r="DK54">
        <v>2.6842899999999998</v>
      </c>
      <c r="DL54">
        <v>20.1858</v>
      </c>
      <c r="DM54">
        <v>5.2419700000000002</v>
      </c>
      <c r="DN54">
        <v>12.033899999999999</v>
      </c>
      <c r="DO54">
        <v>4.9654400000000001</v>
      </c>
      <c r="DP54">
        <v>3.2896999999999998</v>
      </c>
      <c r="DQ54">
        <v>607.79999999999995</v>
      </c>
      <c r="DR54">
        <v>9999</v>
      </c>
      <c r="DS54">
        <v>9999</v>
      </c>
      <c r="DT54">
        <v>9999</v>
      </c>
      <c r="DU54">
        <v>1.8712</v>
      </c>
      <c r="DV54">
        <v>1.87622</v>
      </c>
      <c r="DW54">
        <v>1.8763799999999999</v>
      </c>
      <c r="DX54">
        <v>1.88293</v>
      </c>
      <c r="DY54">
        <v>1.87568</v>
      </c>
      <c r="DZ54">
        <v>1.87473</v>
      </c>
      <c r="EA54">
        <v>1.8708899999999999</v>
      </c>
      <c r="EB54">
        <v>1.8747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-0.443</v>
      </c>
      <c r="EQ54">
        <v>5.9299999999999999E-2</v>
      </c>
      <c r="ER54">
        <v>-0.704300000000046</v>
      </c>
      <c r="ES54">
        <v>0</v>
      </c>
      <c r="ET54">
        <v>0</v>
      </c>
      <c r="EU54">
        <v>0</v>
      </c>
      <c r="EV54">
        <v>5.9279999999997599E-2</v>
      </c>
      <c r="EW54">
        <v>0</v>
      </c>
      <c r="EX54">
        <v>0</v>
      </c>
      <c r="EY54">
        <v>0</v>
      </c>
      <c r="EZ54">
        <v>-1</v>
      </c>
      <c r="FA54">
        <v>-1</v>
      </c>
      <c r="FB54">
        <v>-1</v>
      </c>
      <c r="FC54">
        <v>-1</v>
      </c>
      <c r="FD54">
        <v>10.199999999999999</v>
      </c>
      <c r="FE54">
        <v>0</v>
      </c>
      <c r="FF54">
        <v>0.56884800000000002</v>
      </c>
      <c r="FG54">
        <v>2.5903299999999998</v>
      </c>
      <c r="FH54">
        <v>2.19604</v>
      </c>
      <c r="FI54">
        <v>2.5744600000000002</v>
      </c>
      <c r="FJ54">
        <v>2.4462899999999999</v>
      </c>
      <c r="FK54">
        <v>2.2973599999999998</v>
      </c>
      <c r="FL54">
        <v>32.953699999999998</v>
      </c>
      <c r="FM54">
        <v>24.105</v>
      </c>
      <c r="FN54">
        <v>19</v>
      </c>
      <c r="FO54">
        <v>309.51499999999999</v>
      </c>
      <c r="FP54">
        <v>285.26400000000001</v>
      </c>
      <c r="FQ54">
        <v>17.839300000000001</v>
      </c>
      <c r="FR54">
        <v>26.0656</v>
      </c>
      <c r="FS54">
        <v>30.0001</v>
      </c>
      <c r="FT54">
        <v>26.081800000000001</v>
      </c>
      <c r="FU54">
        <v>26.083300000000001</v>
      </c>
      <c r="FV54">
        <v>11.4217</v>
      </c>
      <c r="FW54">
        <v>23.625299999999999</v>
      </c>
      <c r="FX54">
        <v>35.447000000000003</v>
      </c>
      <c r="FY54">
        <v>17.838699999999999</v>
      </c>
      <c r="FZ54">
        <v>150</v>
      </c>
      <c r="GA54">
        <v>14.470700000000001</v>
      </c>
      <c r="GB54">
        <v>99.802300000000002</v>
      </c>
      <c r="GC54">
        <v>99.768600000000006</v>
      </c>
    </row>
    <row r="55" spans="1:185" x14ac:dyDescent="0.2">
      <c r="A55">
        <v>40</v>
      </c>
      <c r="B55">
        <v>1771103837.0999999</v>
      </c>
      <c r="C55">
        <v>724</v>
      </c>
      <c r="D55" t="s">
        <v>377</v>
      </c>
      <c r="E55" t="s">
        <v>378</v>
      </c>
      <c r="F55">
        <v>15</v>
      </c>
      <c r="G55">
        <v>1771103836.0999999</v>
      </c>
      <c r="H55">
        <f t="shared" si="0"/>
        <v>-1.7123775520586482E-5</v>
      </c>
      <c r="I55">
        <v>0</v>
      </c>
      <c r="J55">
        <f t="shared" si="12"/>
        <v>-5.2754929555044749E-4</v>
      </c>
      <c r="K55">
        <f t="shared" si="1"/>
        <v>-9.4332430886300122E-3</v>
      </c>
      <c r="L55">
        <f t="shared" si="2"/>
        <v>64.322397514478695</v>
      </c>
      <c r="M55">
        <f t="shared" si="3"/>
        <v>1.4185311726797099</v>
      </c>
      <c r="N55">
        <f t="shared" si="4"/>
        <v>2.2053456144267702</v>
      </c>
      <c r="O55">
        <v>472</v>
      </c>
      <c r="P55">
        <v>59</v>
      </c>
      <c r="Q55">
        <f t="shared" si="5"/>
        <v>1</v>
      </c>
      <c r="R55">
        <f t="shared" si="6"/>
        <v>0</v>
      </c>
      <c r="S55">
        <f t="shared" si="7"/>
        <v>26266.764116504699</v>
      </c>
      <c r="T55">
        <f t="shared" si="8"/>
        <v>800</v>
      </c>
      <c r="U55">
        <f t="shared" si="9"/>
        <v>674.40001440000003</v>
      </c>
      <c r="V55">
        <f t="shared" si="10"/>
        <v>0.84300001800000002</v>
      </c>
      <c r="W55">
        <f t="shared" si="11"/>
        <v>0.15869926548000002</v>
      </c>
      <c r="X55">
        <v>1</v>
      </c>
      <c r="Y55">
        <v>1771103836.0999999</v>
      </c>
      <c r="Z55">
        <v>149.93199999999999</v>
      </c>
      <c r="AA55">
        <v>149.917</v>
      </c>
      <c r="AB55">
        <v>14.1831</v>
      </c>
      <c r="AC55">
        <v>14.2042</v>
      </c>
      <c r="AD55">
        <v>150.374</v>
      </c>
      <c r="AE55">
        <v>14.123799999999999</v>
      </c>
      <c r="AF55">
        <v>800.04300000000001</v>
      </c>
      <c r="AG55">
        <v>99.939300000000003</v>
      </c>
      <c r="AH55">
        <v>7.6294100000000004E-2</v>
      </c>
      <c r="AI55">
        <v>19.001200000000001</v>
      </c>
      <c r="AJ55">
        <v>999.9</v>
      </c>
      <c r="AK55">
        <v>999.9</v>
      </c>
      <c r="AL55">
        <v>0</v>
      </c>
      <c r="AM55">
        <v>0</v>
      </c>
      <c r="AN55">
        <v>5010</v>
      </c>
      <c r="AO55">
        <v>0</v>
      </c>
      <c r="AP55">
        <v>1.63733</v>
      </c>
      <c r="AQ55">
        <v>1.4251700000000001E-2</v>
      </c>
      <c r="AR55">
        <v>152.089</v>
      </c>
      <c r="AS55">
        <v>152.077</v>
      </c>
      <c r="AT55">
        <v>-2.1069500000000001E-2</v>
      </c>
      <c r="AU55">
        <v>149.917</v>
      </c>
      <c r="AV55">
        <v>14.2042</v>
      </c>
      <c r="AW55">
        <v>1.4174500000000001</v>
      </c>
      <c r="AX55">
        <v>1.4195500000000001</v>
      </c>
      <c r="AY55">
        <v>12.105600000000001</v>
      </c>
      <c r="AZ55">
        <v>12.1281</v>
      </c>
      <c r="BA55">
        <v>800</v>
      </c>
      <c r="BB55">
        <v>0.90001100000000001</v>
      </c>
      <c r="BC55">
        <v>0</v>
      </c>
      <c r="BD55">
        <v>9.9989400000000006E-2</v>
      </c>
      <c r="BE55">
        <v>0</v>
      </c>
      <c r="BF55">
        <v>25</v>
      </c>
      <c r="BG55">
        <v>13191.1</v>
      </c>
      <c r="BH55">
        <v>1771103835.0999999</v>
      </c>
      <c r="BI55" t="s">
        <v>376</v>
      </c>
      <c r="BJ55">
        <v>1771103835.0999999</v>
      </c>
      <c r="BK55">
        <v>1771103812.0999999</v>
      </c>
      <c r="BL55">
        <v>14</v>
      </c>
      <c r="BM55">
        <v>0.26200000000000001</v>
      </c>
      <c r="BN55">
        <v>1.2E-2</v>
      </c>
      <c r="BO55">
        <v>-0.443</v>
      </c>
      <c r="BP55">
        <v>5.8999999999999997E-2</v>
      </c>
      <c r="BQ55">
        <v>150</v>
      </c>
      <c r="BR55">
        <v>13</v>
      </c>
      <c r="BS55">
        <v>0.18</v>
      </c>
      <c r="BT55">
        <v>0.04</v>
      </c>
      <c r="BU55">
        <v>-0.208195257142857</v>
      </c>
      <c r="BV55">
        <v>-0.30991401038960997</v>
      </c>
      <c r="BW55">
        <v>8.1121024964676006E-2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0.12804744285714301</v>
      </c>
      <c r="CD55">
        <v>-2.0241696311688302</v>
      </c>
      <c r="CE55">
        <v>0.277658775669897</v>
      </c>
      <c r="CF55">
        <v>0</v>
      </c>
      <c r="CG55">
        <v>1</v>
      </c>
      <c r="CH55">
        <v>2</v>
      </c>
      <c r="CI55" t="s">
        <v>299</v>
      </c>
      <c r="CJ55">
        <v>3.53383</v>
      </c>
      <c r="CK55">
        <v>2.71252</v>
      </c>
      <c r="CL55">
        <v>4.1817899999999998E-2</v>
      </c>
      <c r="CM55">
        <v>4.1258700000000002E-2</v>
      </c>
      <c r="CN55">
        <v>8.2106100000000001E-2</v>
      </c>
      <c r="CO55">
        <v>8.0944600000000005E-2</v>
      </c>
      <c r="CP55">
        <v>33568.699999999997</v>
      </c>
      <c r="CQ55">
        <v>29525.200000000001</v>
      </c>
      <c r="CR55">
        <v>32427.3</v>
      </c>
      <c r="CS55">
        <v>30725.4</v>
      </c>
      <c r="CT55">
        <v>40316.1</v>
      </c>
      <c r="CU55">
        <v>39717.599999999999</v>
      </c>
      <c r="CV55">
        <v>47368.800000000003</v>
      </c>
      <c r="CW55">
        <v>46871.6</v>
      </c>
      <c r="CX55">
        <v>1.69408</v>
      </c>
      <c r="CY55">
        <v>1.6094999999999999</v>
      </c>
      <c r="CZ55">
        <v>0</v>
      </c>
      <c r="DA55">
        <v>0</v>
      </c>
      <c r="DB55">
        <v>999.9</v>
      </c>
      <c r="DC55">
        <v>999.9</v>
      </c>
      <c r="DD55">
        <v>45.103999999999999</v>
      </c>
      <c r="DE55">
        <v>28.690999999999999</v>
      </c>
      <c r="DF55">
        <v>17.8276</v>
      </c>
      <c r="DG55">
        <v>30.438199999999998</v>
      </c>
      <c r="DH55">
        <v>17.4239</v>
      </c>
      <c r="DI55">
        <v>2</v>
      </c>
      <c r="DJ55">
        <v>-7.2241899999999998E-2</v>
      </c>
      <c r="DK55">
        <v>2.7073200000000002</v>
      </c>
      <c r="DL55">
        <v>20.185500000000001</v>
      </c>
      <c r="DM55">
        <v>5.2423299999999999</v>
      </c>
      <c r="DN55">
        <v>12.033899999999999</v>
      </c>
      <c r="DO55">
        <v>4.9654400000000001</v>
      </c>
      <c r="DP55">
        <v>3.2896999999999998</v>
      </c>
      <c r="DQ55">
        <v>607.79999999999995</v>
      </c>
      <c r="DR55">
        <v>9999</v>
      </c>
      <c r="DS55">
        <v>9999</v>
      </c>
      <c r="DT55">
        <v>9999</v>
      </c>
      <c r="DU55">
        <v>1.8711899999999999</v>
      </c>
      <c r="DV55">
        <v>1.8762000000000001</v>
      </c>
      <c r="DW55">
        <v>1.8763700000000001</v>
      </c>
      <c r="DX55">
        <v>1.8829100000000001</v>
      </c>
      <c r="DY55">
        <v>1.8756200000000001</v>
      </c>
      <c r="DZ55">
        <v>1.87469</v>
      </c>
      <c r="EA55">
        <v>1.8708800000000001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-0.443</v>
      </c>
      <c r="EQ55">
        <v>5.9299999999999999E-2</v>
      </c>
      <c r="ER55">
        <v>-0.442636363636353</v>
      </c>
      <c r="ES55">
        <v>0</v>
      </c>
      <c r="ET55">
        <v>0</v>
      </c>
      <c r="EU55">
        <v>0</v>
      </c>
      <c r="EV55">
        <v>5.9279999999997599E-2</v>
      </c>
      <c r="EW55">
        <v>0</v>
      </c>
      <c r="EX55">
        <v>0</v>
      </c>
      <c r="EY55">
        <v>0</v>
      </c>
      <c r="EZ55">
        <v>-1</v>
      </c>
      <c r="FA55">
        <v>-1</v>
      </c>
      <c r="FB55">
        <v>-1</v>
      </c>
      <c r="FC55">
        <v>-1</v>
      </c>
      <c r="FD55">
        <v>0</v>
      </c>
      <c r="FE55">
        <v>0.4</v>
      </c>
      <c r="FF55">
        <v>0.56884800000000002</v>
      </c>
      <c r="FG55">
        <v>2.5903299999999998</v>
      </c>
      <c r="FH55">
        <v>2.19604</v>
      </c>
      <c r="FI55">
        <v>2.5744600000000002</v>
      </c>
      <c r="FJ55">
        <v>2.4462899999999999</v>
      </c>
      <c r="FK55">
        <v>2.31812</v>
      </c>
      <c r="FL55">
        <v>32.975999999999999</v>
      </c>
      <c r="FM55">
        <v>24.105</v>
      </c>
      <c r="FN55">
        <v>19</v>
      </c>
      <c r="FO55">
        <v>307.20400000000001</v>
      </c>
      <c r="FP55">
        <v>284.35300000000001</v>
      </c>
      <c r="FQ55">
        <v>17.828299999999999</v>
      </c>
      <c r="FR55">
        <v>26.063400000000001</v>
      </c>
      <c r="FS55">
        <v>30</v>
      </c>
      <c r="FT55">
        <v>26.084</v>
      </c>
      <c r="FU55">
        <v>26.083300000000001</v>
      </c>
      <c r="FV55">
        <v>11.422800000000001</v>
      </c>
      <c r="FW55">
        <v>25.252099999999999</v>
      </c>
      <c r="FX55">
        <v>35.447000000000003</v>
      </c>
      <c r="FY55">
        <v>17.825800000000001</v>
      </c>
      <c r="FZ55">
        <v>150</v>
      </c>
      <c r="GA55">
        <v>14.183999999999999</v>
      </c>
      <c r="GB55">
        <v>99.802999999999997</v>
      </c>
      <c r="GC55">
        <v>99.767600000000002</v>
      </c>
    </row>
    <row r="56" spans="1:185" x14ac:dyDescent="0.2">
      <c r="A56">
        <v>41</v>
      </c>
      <c r="B56">
        <v>1771103852.0999999</v>
      </c>
      <c r="C56">
        <v>739</v>
      </c>
      <c r="D56" t="s">
        <v>379</v>
      </c>
      <c r="E56" t="s">
        <v>380</v>
      </c>
      <c r="F56">
        <v>15</v>
      </c>
      <c r="G56">
        <v>1771103844.03333</v>
      </c>
      <c r="H56">
        <f t="shared" si="0"/>
        <v>1.260209428288315E-3</v>
      </c>
      <c r="I56">
        <v>0</v>
      </c>
      <c r="J56">
        <f t="shared" si="12"/>
        <v>-1.6108608653880283E-2</v>
      </c>
      <c r="K56">
        <f t="shared" si="1"/>
        <v>-0.28804212712123844</v>
      </c>
      <c r="L56">
        <f t="shared" si="2"/>
        <v>69.809569040613454</v>
      </c>
      <c r="M56">
        <f t="shared" si="3"/>
        <v>1.5395070436491081</v>
      </c>
      <c r="N56">
        <f t="shared" si="4"/>
        <v>2.2052951548138933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26213.965407430762</v>
      </c>
      <c r="T56">
        <f t="shared" si="8"/>
        <v>799.99779999999998</v>
      </c>
      <c r="U56">
        <f t="shared" si="9"/>
        <v>674.39852731894962</v>
      </c>
      <c r="V56">
        <f t="shared" si="10"/>
        <v>0.84300047739999995</v>
      </c>
      <c r="W56">
        <f t="shared" si="11"/>
        <v>0.15870115452399999</v>
      </c>
      <c r="X56">
        <v>1</v>
      </c>
      <c r="Y56">
        <v>1771103844.03333</v>
      </c>
      <c r="Z56">
        <v>150.148333333333</v>
      </c>
      <c r="AA56">
        <v>150.02486666666701</v>
      </c>
      <c r="AB56">
        <v>15.394273333333301</v>
      </c>
      <c r="AC56">
        <v>13.844053333333299</v>
      </c>
      <c r="AD56">
        <v>150.59086666666701</v>
      </c>
      <c r="AE56">
        <v>15.3349933333333</v>
      </c>
      <c r="AF56">
        <v>800.40859999999998</v>
      </c>
      <c r="AG56">
        <v>99.939599999999999</v>
      </c>
      <c r="AH56">
        <v>6.5577919999999998E-2</v>
      </c>
      <c r="AI56">
        <v>19.000833333333301</v>
      </c>
      <c r="AJ56">
        <v>999.9</v>
      </c>
      <c r="AK56">
        <v>999.9</v>
      </c>
      <c r="AL56">
        <v>0</v>
      </c>
      <c r="AM56">
        <v>0</v>
      </c>
      <c r="AN56">
        <v>5001.2666666666701</v>
      </c>
      <c r="AO56">
        <v>0</v>
      </c>
      <c r="AP56">
        <v>1.63733</v>
      </c>
      <c r="AQ56">
        <v>0.123377373333333</v>
      </c>
      <c r="AR56">
        <v>152.49600000000001</v>
      </c>
      <c r="AS56">
        <v>152.130866666667</v>
      </c>
      <c r="AT56">
        <v>1.5502137</v>
      </c>
      <c r="AU56">
        <v>150.02486666666701</v>
      </c>
      <c r="AV56">
        <v>13.844053333333299</v>
      </c>
      <c r="AW56">
        <v>1.5384973333333301</v>
      </c>
      <c r="AX56">
        <v>1.3835679999999999</v>
      </c>
      <c r="AY56">
        <v>13.3500666666667</v>
      </c>
      <c r="AZ56">
        <v>11.7370466666667</v>
      </c>
      <c r="BA56">
        <v>799.99779999999998</v>
      </c>
      <c r="BB56">
        <v>0.89998466666666699</v>
      </c>
      <c r="BC56">
        <v>0</v>
      </c>
      <c r="BD56">
        <v>0.100015353333333</v>
      </c>
      <c r="BE56">
        <v>0</v>
      </c>
      <c r="BF56">
        <v>25</v>
      </c>
      <c r="BG56">
        <v>13190.9333333333</v>
      </c>
      <c r="BH56">
        <v>1771103835.0999999</v>
      </c>
      <c r="BI56" t="s">
        <v>376</v>
      </c>
      <c r="BJ56">
        <v>1771103835.0999999</v>
      </c>
      <c r="BK56">
        <v>1771103812.0999999</v>
      </c>
      <c r="BL56">
        <v>14</v>
      </c>
      <c r="BM56">
        <v>0.26200000000000001</v>
      </c>
      <c r="BN56">
        <v>1.2E-2</v>
      </c>
      <c r="BO56">
        <v>-0.443</v>
      </c>
      <c r="BP56">
        <v>5.8999999999999997E-2</v>
      </c>
      <c r="BQ56">
        <v>150</v>
      </c>
      <c r="BR56">
        <v>13</v>
      </c>
      <c r="BS56">
        <v>0.18</v>
      </c>
      <c r="BT56">
        <v>0.04</v>
      </c>
      <c r="BU56">
        <v>4.0315185000000003E-2</v>
      </c>
      <c r="BV56">
        <v>1.51900218496241</v>
      </c>
      <c r="BW56">
        <v>0.1626383562906</v>
      </c>
      <c r="BX56">
        <v>0</v>
      </c>
      <c r="BY56">
        <v>0</v>
      </c>
      <c r="BZ56">
        <v>0</v>
      </c>
      <c r="CA56">
        <v>0</v>
      </c>
      <c r="CB56">
        <v>-1</v>
      </c>
      <c r="CC56">
        <v>1.16200167</v>
      </c>
      <c r="CD56">
        <v>8.4617152240601499</v>
      </c>
      <c r="CE56">
        <v>0.87992759084268701</v>
      </c>
      <c r="CF56">
        <v>0</v>
      </c>
      <c r="CG56">
        <v>0</v>
      </c>
      <c r="CH56">
        <v>2</v>
      </c>
      <c r="CI56" t="s">
        <v>290</v>
      </c>
      <c r="CJ56">
        <v>3.53254</v>
      </c>
      <c r="CK56">
        <v>2.7014100000000001</v>
      </c>
      <c r="CL56">
        <v>4.1889799999999998E-2</v>
      </c>
      <c r="CM56">
        <v>4.1269899999999998E-2</v>
      </c>
      <c r="CN56">
        <v>8.7807300000000005E-2</v>
      </c>
      <c r="CO56">
        <v>7.8406299999999998E-2</v>
      </c>
      <c r="CP56">
        <v>33566.300000000003</v>
      </c>
      <c r="CQ56">
        <v>29525.3</v>
      </c>
      <c r="CR56">
        <v>32427.3</v>
      </c>
      <c r="CS56">
        <v>30725.9</v>
      </c>
      <c r="CT56">
        <v>40058.400000000001</v>
      </c>
      <c r="CU56">
        <v>39830.800000000003</v>
      </c>
      <c r="CV56">
        <v>47368.6</v>
      </c>
      <c r="CW56">
        <v>46872.6</v>
      </c>
      <c r="CX56">
        <v>2.6115599999999999</v>
      </c>
      <c r="CY56">
        <v>2.1176400000000002</v>
      </c>
      <c r="CZ56">
        <v>0</v>
      </c>
      <c r="DA56">
        <v>0</v>
      </c>
      <c r="DB56">
        <v>999.9</v>
      </c>
      <c r="DC56">
        <v>999.9</v>
      </c>
      <c r="DD56">
        <v>45.103999999999999</v>
      </c>
      <c r="DE56">
        <v>28.690999999999999</v>
      </c>
      <c r="DF56">
        <v>17.8293</v>
      </c>
      <c r="DG56">
        <v>30.558199999999999</v>
      </c>
      <c r="DH56">
        <v>17.139399999999998</v>
      </c>
      <c r="DI56">
        <v>2</v>
      </c>
      <c r="DJ56">
        <v>-7.1981699999999996E-2</v>
      </c>
      <c r="DK56">
        <v>2.6970399999999999</v>
      </c>
      <c r="DL56">
        <v>20.1877</v>
      </c>
      <c r="DM56">
        <v>5.2505899999999999</v>
      </c>
      <c r="DN56">
        <v>12.033899999999999</v>
      </c>
      <c r="DO56">
        <v>4.9672400000000003</v>
      </c>
      <c r="DP56">
        <v>3.2909999999999999</v>
      </c>
      <c r="DQ56">
        <v>607.9</v>
      </c>
      <c r="DR56">
        <v>9999</v>
      </c>
      <c r="DS56">
        <v>9999</v>
      </c>
      <c r="DT56">
        <v>9999</v>
      </c>
      <c r="DU56">
        <v>1.8711899999999999</v>
      </c>
      <c r="DV56">
        <v>1.8762000000000001</v>
      </c>
      <c r="DW56">
        <v>1.8763700000000001</v>
      </c>
      <c r="DX56">
        <v>1.8829199999999999</v>
      </c>
      <c r="DY56">
        <v>1.8756699999999999</v>
      </c>
      <c r="DZ56">
        <v>1.87469</v>
      </c>
      <c r="EA56">
        <v>1.8708800000000001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-0.442</v>
      </c>
      <c r="EQ56">
        <v>5.9299999999999999E-2</v>
      </c>
      <c r="ER56">
        <v>-0.442636363636353</v>
      </c>
      <c r="ES56">
        <v>0</v>
      </c>
      <c r="ET56">
        <v>0</v>
      </c>
      <c r="EU56">
        <v>0</v>
      </c>
      <c r="EV56">
        <v>5.9279999999997599E-2</v>
      </c>
      <c r="EW56">
        <v>0</v>
      </c>
      <c r="EX56">
        <v>0</v>
      </c>
      <c r="EY56">
        <v>0</v>
      </c>
      <c r="EZ56">
        <v>-1</v>
      </c>
      <c r="FA56">
        <v>-1</v>
      </c>
      <c r="FB56">
        <v>-1</v>
      </c>
      <c r="FC56">
        <v>-1</v>
      </c>
      <c r="FD56">
        <v>0.3</v>
      </c>
      <c r="FE56">
        <v>0.7</v>
      </c>
      <c r="FF56">
        <v>0.56884800000000002</v>
      </c>
      <c r="FG56">
        <v>2.5952099999999998</v>
      </c>
      <c r="FH56">
        <v>2.19604</v>
      </c>
      <c r="FI56">
        <v>2.5756800000000002</v>
      </c>
      <c r="FJ56">
        <v>2.4462899999999999</v>
      </c>
      <c r="FK56">
        <v>2.3120099999999999</v>
      </c>
      <c r="FL56">
        <v>32.953699999999998</v>
      </c>
      <c r="FM56">
        <v>24.14</v>
      </c>
      <c r="FN56">
        <v>19</v>
      </c>
      <c r="FO56">
        <v>863.87099999999998</v>
      </c>
      <c r="FP56">
        <v>573.00300000000004</v>
      </c>
      <c r="FQ56">
        <v>17.822500000000002</v>
      </c>
      <c r="FR56">
        <v>26.063400000000001</v>
      </c>
      <c r="FS56">
        <v>30.0001</v>
      </c>
      <c r="FT56">
        <v>26.067699999999999</v>
      </c>
      <c r="FU56">
        <v>26.065899999999999</v>
      </c>
      <c r="FV56">
        <v>11.4194</v>
      </c>
      <c r="FW56">
        <v>27.369800000000001</v>
      </c>
      <c r="FX56">
        <v>35.447000000000003</v>
      </c>
      <c r="FY56">
        <v>17.831600000000002</v>
      </c>
      <c r="FZ56">
        <v>150</v>
      </c>
      <c r="GA56">
        <v>13.5623</v>
      </c>
      <c r="GB56">
        <v>99.802800000000005</v>
      </c>
      <c r="GC56">
        <v>99.769499999999994</v>
      </c>
    </row>
    <row r="57" spans="1:185" x14ac:dyDescent="0.2">
      <c r="A57">
        <v>42</v>
      </c>
      <c r="B57">
        <v>1771103867.0999999</v>
      </c>
      <c r="C57">
        <v>754</v>
      </c>
      <c r="D57" t="s">
        <v>381</v>
      </c>
      <c r="E57" t="s">
        <v>382</v>
      </c>
      <c r="F57">
        <v>15</v>
      </c>
      <c r="G57">
        <v>1771103859.03333</v>
      </c>
      <c r="H57">
        <f t="shared" si="0"/>
        <v>1.578393390687684E-3</v>
      </c>
      <c r="I57">
        <v>0</v>
      </c>
      <c r="J57">
        <f t="shared" si="12"/>
        <v>-2.3435013104115113E-2</v>
      </c>
      <c r="K57">
        <f t="shared" si="1"/>
        <v>-0.41904742791037958</v>
      </c>
      <c r="L57">
        <f t="shared" si="2"/>
        <v>70.417001136403968</v>
      </c>
      <c r="M57">
        <f t="shared" si="3"/>
        <v>1.5527541329739871</v>
      </c>
      <c r="N57">
        <f t="shared" si="4"/>
        <v>2.2050841528541736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26240.099721066224</v>
      </c>
      <c r="T57">
        <f t="shared" si="8"/>
        <v>799.99980000000005</v>
      </c>
      <c r="U57">
        <f t="shared" si="9"/>
        <v>674.40032899987568</v>
      </c>
      <c r="V57">
        <f t="shared" si="10"/>
        <v>0.84300062200000003</v>
      </c>
      <c r="W57">
        <f t="shared" si="11"/>
        <v>0.15870155499999999</v>
      </c>
      <c r="X57">
        <v>1</v>
      </c>
      <c r="Y57">
        <v>1771103859.03333</v>
      </c>
      <c r="Z57">
        <v>150.19900000000001</v>
      </c>
      <c r="AA57">
        <v>149.97153333333301</v>
      </c>
      <c r="AB57">
        <v>15.526953333333299</v>
      </c>
      <c r="AC57">
        <v>13.5846066666667</v>
      </c>
      <c r="AD57">
        <v>150.641866666667</v>
      </c>
      <c r="AE57">
        <v>15.46768</v>
      </c>
      <c r="AF57">
        <v>800.00433333333297</v>
      </c>
      <c r="AG57">
        <v>99.940153333333399</v>
      </c>
      <c r="AH57">
        <v>6.3633606666666703E-2</v>
      </c>
      <c r="AI57">
        <v>18.999300000000002</v>
      </c>
      <c r="AJ57">
        <v>999.9</v>
      </c>
      <c r="AK57">
        <v>999.9</v>
      </c>
      <c r="AL57">
        <v>0</v>
      </c>
      <c r="AM57">
        <v>0</v>
      </c>
      <c r="AN57">
        <v>5005.5333333333301</v>
      </c>
      <c r="AO57">
        <v>0</v>
      </c>
      <c r="AP57">
        <v>1.63733</v>
      </c>
      <c r="AQ57">
        <v>0.2275228</v>
      </c>
      <c r="AR57">
        <v>152.56813333333301</v>
      </c>
      <c r="AS57">
        <v>152.03700000000001</v>
      </c>
      <c r="AT57">
        <v>1.9423506666666699</v>
      </c>
      <c r="AU57">
        <v>149.97153333333301</v>
      </c>
      <c r="AV57">
        <v>13.5846066666667</v>
      </c>
      <c r="AW57">
        <v>1.5517666666666701</v>
      </c>
      <c r="AX57">
        <v>1.357648</v>
      </c>
      <c r="AY57">
        <v>13.487959999999999</v>
      </c>
      <c r="AZ57">
        <v>11.452666666666699</v>
      </c>
      <c r="BA57">
        <v>799.99980000000005</v>
      </c>
      <c r="BB57">
        <v>0.89997926666666705</v>
      </c>
      <c r="BC57">
        <v>0</v>
      </c>
      <c r="BD57">
        <v>0.100020733333333</v>
      </c>
      <c r="BE57">
        <v>0</v>
      </c>
      <c r="BF57">
        <v>25</v>
      </c>
      <c r="BG57">
        <v>13190.96</v>
      </c>
      <c r="BH57">
        <v>1771103835.0999999</v>
      </c>
      <c r="BI57" t="s">
        <v>376</v>
      </c>
      <c r="BJ57">
        <v>1771103835.0999999</v>
      </c>
      <c r="BK57">
        <v>1771103812.0999999</v>
      </c>
      <c r="BL57">
        <v>14</v>
      </c>
      <c r="BM57">
        <v>0.26200000000000001</v>
      </c>
      <c r="BN57">
        <v>1.2E-2</v>
      </c>
      <c r="BO57">
        <v>-0.443</v>
      </c>
      <c r="BP57">
        <v>5.8999999999999997E-2</v>
      </c>
      <c r="BQ57">
        <v>150</v>
      </c>
      <c r="BR57">
        <v>13</v>
      </c>
      <c r="BS57">
        <v>0.18</v>
      </c>
      <c r="BT57">
        <v>0.04</v>
      </c>
      <c r="BU57">
        <v>0.21540104761904799</v>
      </c>
      <c r="BV57">
        <v>9.0605922077922202E-2</v>
      </c>
      <c r="BW57">
        <v>3.2180372335701798E-2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1.95336523809524</v>
      </c>
      <c r="CD57">
        <v>-0.26971246753246397</v>
      </c>
      <c r="CE57">
        <v>2.83953726309072E-2</v>
      </c>
      <c r="CF57">
        <v>0</v>
      </c>
      <c r="CG57">
        <v>1</v>
      </c>
      <c r="CH57">
        <v>2</v>
      </c>
      <c r="CI57" t="s">
        <v>299</v>
      </c>
      <c r="CJ57">
        <v>3.5325799999999998</v>
      </c>
      <c r="CK57">
        <v>2.70139</v>
      </c>
      <c r="CL57">
        <v>4.1879100000000002E-2</v>
      </c>
      <c r="CM57">
        <v>4.1279000000000003E-2</v>
      </c>
      <c r="CN57">
        <v>8.7313199999999994E-2</v>
      </c>
      <c r="CO57">
        <v>7.8271900000000005E-2</v>
      </c>
      <c r="CP57">
        <v>33566.199999999997</v>
      </c>
      <c r="CQ57">
        <v>29524.7</v>
      </c>
      <c r="CR57">
        <v>32427</v>
      </c>
      <c r="CS57">
        <v>30725.7</v>
      </c>
      <c r="CT57">
        <v>40080.800000000003</v>
      </c>
      <c r="CU57">
        <v>39836.400000000001</v>
      </c>
      <c r="CV57">
        <v>47368.6</v>
      </c>
      <c r="CW57">
        <v>46872.1</v>
      </c>
      <c r="CX57">
        <v>2.6137999999999999</v>
      </c>
      <c r="CY57">
        <v>2.1183800000000002</v>
      </c>
      <c r="CZ57">
        <v>0</v>
      </c>
      <c r="DA57">
        <v>0</v>
      </c>
      <c r="DB57">
        <v>999.9</v>
      </c>
      <c r="DC57">
        <v>999.9</v>
      </c>
      <c r="DD57">
        <v>45.08</v>
      </c>
      <c r="DE57">
        <v>28.670999999999999</v>
      </c>
      <c r="DF57">
        <v>17.8</v>
      </c>
      <c r="DG57">
        <v>30.348199999999999</v>
      </c>
      <c r="DH57">
        <v>16.963100000000001</v>
      </c>
      <c r="DI57">
        <v>2</v>
      </c>
      <c r="DJ57">
        <v>-7.22825E-2</v>
      </c>
      <c r="DK57">
        <v>2.6770200000000002</v>
      </c>
      <c r="DL57">
        <v>20.1877</v>
      </c>
      <c r="DM57">
        <v>5.2483199999999997</v>
      </c>
      <c r="DN57">
        <v>12.033899999999999</v>
      </c>
      <c r="DO57">
        <v>4.9668799999999997</v>
      </c>
      <c r="DP57">
        <v>3.2907199999999999</v>
      </c>
      <c r="DQ57">
        <v>607.9</v>
      </c>
      <c r="DR57">
        <v>9999</v>
      </c>
      <c r="DS57">
        <v>9999</v>
      </c>
      <c r="DT57">
        <v>9999</v>
      </c>
      <c r="DU57">
        <v>1.8711899999999999</v>
      </c>
      <c r="DV57">
        <v>1.87619</v>
      </c>
      <c r="DW57">
        <v>1.8763700000000001</v>
      </c>
      <c r="DX57">
        <v>1.8829100000000001</v>
      </c>
      <c r="DY57">
        <v>1.8756200000000001</v>
      </c>
      <c r="DZ57">
        <v>1.87469</v>
      </c>
      <c r="EA57">
        <v>1.8708800000000001</v>
      </c>
      <c r="EB57">
        <v>1.87469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-0.443</v>
      </c>
      <c r="EQ57">
        <v>5.9299999999999999E-2</v>
      </c>
      <c r="ER57">
        <v>-0.442636363636353</v>
      </c>
      <c r="ES57">
        <v>0</v>
      </c>
      <c r="ET57">
        <v>0</v>
      </c>
      <c r="EU57">
        <v>0</v>
      </c>
      <c r="EV57">
        <v>5.9279999999997599E-2</v>
      </c>
      <c r="EW57">
        <v>0</v>
      </c>
      <c r="EX57">
        <v>0</v>
      </c>
      <c r="EY57">
        <v>0</v>
      </c>
      <c r="EZ57">
        <v>-1</v>
      </c>
      <c r="FA57">
        <v>-1</v>
      </c>
      <c r="FB57">
        <v>-1</v>
      </c>
      <c r="FC57">
        <v>-1</v>
      </c>
      <c r="FD57">
        <v>0.5</v>
      </c>
      <c r="FE57">
        <v>0.9</v>
      </c>
      <c r="FF57">
        <v>0.56884800000000002</v>
      </c>
      <c r="FG57">
        <v>2.5964399999999999</v>
      </c>
      <c r="FH57">
        <v>2.19604</v>
      </c>
      <c r="FI57">
        <v>2.5744600000000002</v>
      </c>
      <c r="FJ57">
        <v>2.4462899999999999</v>
      </c>
      <c r="FK57">
        <v>2.2558600000000002</v>
      </c>
      <c r="FL57">
        <v>32.953699999999998</v>
      </c>
      <c r="FM57">
        <v>24.1313</v>
      </c>
      <c r="FN57">
        <v>19</v>
      </c>
      <c r="FO57">
        <v>865.93</v>
      </c>
      <c r="FP57">
        <v>573.56799999999998</v>
      </c>
      <c r="FQ57">
        <v>17.8339</v>
      </c>
      <c r="FR57">
        <v>26.063400000000001</v>
      </c>
      <c r="FS57">
        <v>30.0001</v>
      </c>
      <c r="FT57">
        <v>26.065899999999999</v>
      </c>
      <c r="FU57">
        <v>26.065899999999999</v>
      </c>
      <c r="FV57">
        <v>11.4215</v>
      </c>
      <c r="FW57">
        <v>27.369800000000001</v>
      </c>
      <c r="FX57">
        <v>35.447000000000003</v>
      </c>
      <c r="FY57">
        <v>17.832799999999999</v>
      </c>
      <c r="FZ57">
        <v>150</v>
      </c>
      <c r="GA57">
        <v>13.601800000000001</v>
      </c>
      <c r="GB57">
        <v>99.802400000000006</v>
      </c>
      <c r="GC57">
        <v>99.768500000000003</v>
      </c>
    </row>
    <row r="58" spans="1:185" x14ac:dyDescent="0.2">
      <c r="A58">
        <v>43</v>
      </c>
      <c r="B58">
        <v>1771103882.0999999</v>
      </c>
      <c r="C58">
        <v>769</v>
      </c>
      <c r="D58" t="s">
        <v>383</v>
      </c>
      <c r="E58" t="s">
        <v>384</v>
      </c>
      <c r="F58">
        <v>15</v>
      </c>
      <c r="G58">
        <v>1771103874.03333</v>
      </c>
      <c r="H58">
        <f t="shared" si="0"/>
        <v>1.5217537024952684E-3</v>
      </c>
      <c r="I58">
        <v>0</v>
      </c>
      <c r="J58">
        <f t="shared" si="12"/>
        <v>-2.0475704937085525E-2</v>
      </c>
      <c r="K58">
        <f t="shared" si="1"/>
        <v>-0.36613128614085894</v>
      </c>
      <c r="L58">
        <f t="shared" si="2"/>
        <v>70.051440990725538</v>
      </c>
      <c r="M58">
        <f t="shared" si="3"/>
        <v>1.5447651995848668</v>
      </c>
      <c r="N58">
        <f t="shared" si="4"/>
        <v>2.2051868994235049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26175.044766491053</v>
      </c>
      <c r="T58">
        <f t="shared" si="8"/>
        <v>799.99900000000002</v>
      </c>
      <c r="U58">
        <f t="shared" si="9"/>
        <v>674.39966099936998</v>
      </c>
      <c r="V58">
        <f t="shared" si="10"/>
        <v>0.84300062999999992</v>
      </c>
      <c r="W58">
        <f t="shared" si="11"/>
        <v>0.15870157499999998</v>
      </c>
      <c r="X58">
        <v>1</v>
      </c>
      <c r="Y58">
        <v>1771103874.03333</v>
      </c>
      <c r="Z58">
        <v>150.17553333333299</v>
      </c>
      <c r="AA58">
        <v>150.003533333333</v>
      </c>
      <c r="AB58">
        <v>15.44726</v>
      </c>
      <c r="AC58">
        <v>13.5744666666667</v>
      </c>
      <c r="AD58">
        <v>150.61846666666699</v>
      </c>
      <c r="AE58">
        <v>15.3879866666667</v>
      </c>
      <c r="AF58">
        <v>800.00646666666603</v>
      </c>
      <c r="AG58">
        <v>99.938806666666693</v>
      </c>
      <c r="AH58">
        <v>6.3730973333333302E-2</v>
      </c>
      <c r="AI58">
        <v>19.000046666666702</v>
      </c>
      <c r="AJ58">
        <v>999.9</v>
      </c>
      <c r="AK58">
        <v>999.9</v>
      </c>
      <c r="AL58">
        <v>0</v>
      </c>
      <c r="AM58">
        <v>0</v>
      </c>
      <c r="AN58">
        <v>4994.8666666666704</v>
      </c>
      <c r="AO58">
        <v>0</v>
      </c>
      <c r="AP58">
        <v>1.63733</v>
      </c>
      <c r="AQ58">
        <v>0.17228806666666699</v>
      </c>
      <c r="AR58">
        <v>152.53186666666701</v>
      </c>
      <c r="AS58">
        <v>152.0676</v>
      </c>
      <c r="AT58">
        <v>1.87279666666667</v>
      </c>
      <c r="AU58">
        <v>150.003533333333</v>
      </c>
      <c r="AV58">
        <v>13.5744666666667</v>
      </c>
      <c r="AW58">
        <v>1.5437813333333299</v>
      </c>
      <c r="AX58">
        <v>1.35661533333333</v>
      </c>
      <c r="AY58">
        <v>13.4087866666667</v>
      </c>
      <c r="AZ58">
        <v>11.441193333333301</v>
      </c>
      <c r="BA58">
        <v>799.99900000000002</v>
      </c>
      <c r="BB58">
        <v>0.89997899999999997</v>
      </c>
      <c r="BC58">
        <v>0</v>
      </c>
      <c r="BD58">
        <v>0.100021</v>
      </c>
      <c r="BE58">
        <v>0</v>
      </c>
      <c r="BF58">
        <v>25</v>
      </c>
      <c r="BG58">
        <v>13190.94</v>
      </c>
      <c r="BH58">
        <v>1771103835.0999999</v>
      </c>
      <c r="BI58" t="s">
        <v>376</v>
      </c>
      <c r="BJ58">
        <v>1771103835.0999999</v>
      </c>
      <c r="BK58">
        <v>1771103812.0999999</v>
      </c>
      <c r="BL58">
        <v>14</v>
      </c>
      <c r="BM58">
        <v>0.26200000000000001</v>
      </c>
      <c r="BN58">
        <v>1.2E-2</v>
      </c>
      <c r="BO58">
        <v>-0.443</v>
      </c>
      <c r="BP58">
        <v>5.8999999999999997E-2</v>
      </c>
      <c r="BQ58">
        <v>150</v>
      </c>
      <c r="BR58">
        <v>13</v>
      </c>
      <c r="BS58">
        <v>0.18</v>
      </c>
      <c r="BT58">
        <v>0.04</v>
      </c>
      <c r="BU58">
        <v>0.18111345000000001</v>
      </c>
      <c r="BV58">
        <v>-7.0518631578947499E-2</v>
      </c>
      <c r="BW58">
        <v>2.4574654946662E-2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1.882684</v>
      </c>
      <c r="CD58">
        <v>-0.223181052631585</v>
      </c>
      <c r="CE58">
        <v>2.16574214531647E-2</v>
      </c>
      <c r="CF58">
        <v>0</v>
      </c>
      <c r="CG58">
        <v>1</v>
      </c>
      <c r="CH58">
        <v>2</v>
      </c>
      <c r="CI58" t="s">
        <v>299</v>
      </c>
      <c r="CJ58">
        <v>3.53254</v>
      </c>
      <c r="CK58">
        <v>2.7014999999999998</v>
      </c>
      <c r="CL58">
        <v>4.1879300000000001E-2</v>
      </c>
      <c r="CM58">
        <v>4.1272499999999997E-2</v>
      </c>
      <c r="CN58">
        <v>8.7090699999999993E-2</v>
      </c>
      <c r="CO58">
        <v>7.8255199999999997E-2</v>
      </c>
      <c r="CP58">
        <v>33565.9</v>
      </c>
      <c r="CQ58">
        <v>29525.3</v>
      </c>
      <c r="CR58">
        <v>32426.6</v>
      </c>
      <c r="CS58">
        <v>30726.1</v>
      </c>
      <c r="CT58">
        <v>40090</v>
      </c>
      <c r="CU58">
        <v>39837.800000000003</v>
      </c>
      <c r="CV58">
        <v>47367.6</v>
      </c>
      <c r="CW58">
        <v>46873</v>
      </c>
      <c r="CX58">
        <v>2.6145200000000002</v>
      </c>
      <c r="CY58">
        <v>2.1185399999999999</v>
      </c>
      <c r="CZ58">
        <v>0</v>
      </c>
      <c r="DA58">
        <v>0</v>
      </c>
      <c r="DB58">
        <v>999.9</v>
      </c>
      <c r="DC58">
        <v>999.9</v>
      </c>
      <c r="DD58">
        <v>45.055999999999997</v>
      </c>
      <c r="DE58">
        <v>28.670999999999999</v>
      </c>
      <c r="DF58">
        <v>17.788399999999999</v>
      </c>
      <c r="DG58">
        <v>30.528199999999998</v>
      </c>
      <c r="DH58">
        <v>17.007200000000001</v>
      </c>
      <c r="DI58">
        <v>2</v>
      </c>
      <c r="DJ58">
        <v>-7.2207300000000002E-2</v>
      </c>
      <c r="DK58">
        <v>2.6862200000000001</v>
      </c>
      <c r="DL58">
        <v>20.187799999999999</v>
      </c>
      <c r="DM58">
        <v>5.2503500000000001</v>
      </c>
      <c r="DN58">
        <v>12.033899999999999</v>
      </c>
      <c r="DO58">
        <v>4.9671200000000004</v>
      </c>
      <c r="DP58">
        <v>3.2909999999999999</v>
      </c>
      <c r="DQ58">
        <v>607.9</v>
      </c>
      <c r="DR58">
        <v>9999</v>
      </c>
      <c r="DS58">
        <v>9999</v>
      </c>
      <c r="DT58">
        <v>9999</v>
      </c>
      <c r="DU58">
        <v>1.8712</v>
      </c>
      <c r="DV58">
        <v>1.87622</v>
      </c>
      <c r="DW58">
        <v>1.8763799999999999</v>
      </c>
      <c r="DX58">
        <v>1.88293</v>
      </c>
      <c r="DY58">
        <v>1.8756600000000001</v>
      </c>
      <c r="DZ58">
        <v>1.8747100000000001</v>
      </c>
      <c r="EA58">
        <v>1.8708800000000001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-0.442</v>
      </c>
      <c r="EQ58">
        <v>5.9299999999999999E-2</v>
      </c>
      <c r="ER58">
        <v>-0.442636363636353</v>
      </c>
      <c r="ES58">
        <v>0</v>
      </c>
      <c r="ET58">
        <v>0</v>
      </c>
      <c r="EU58">
        <v>0</v>
      </c>
      <c r="EV58">
        <v>5.9279999999997599E-2</v>
      </c>
      <c r="EW58">
        <v>0</v>
      </c>
      <c r="EX58">
        <v>0</v>
      </c>
      <c r="EY58">
        <v>0</v>
      </c>
      <c r="EZ58">
        <v>-1</v>
      </c>
      <c r="FA58">
        <v>-1</v>
      </c>
      <c r="FB58">
        <v>-1</v>
      </c>
      <c r="FC58">
        <v>-1</v>
      </c>
      <c r="FD58">
        <v>0.8</v>
      </c>
      <c r="FE58">
        <v>1.2</v>
      </c>
      <c r="FF58">
        <v>0.56762699999999999</v>
      </c>
      <c r="FG58">
        <v>2.5866699999999998</v>
      </c>
      <c r="FH58">
        <v>2.19604</v>
      </c>
      <c r="FI58">
        <v>2.5744600000000002</v>
      </c>
      <c r="FJ58">
        <v>2.4462899999999999</v>
      </c>
      <c r="FK58">
        <v>2.3059099999999999</v>
      </c>
      <c r="FL58">
        <v>32.975999999999999</v>
      </c>
      <c r="FM58">
        <v>24.14</v>
      </c>
      <c r="FN58">
        <v>19</v>
      </c>
      <c r="FO58">
        <v>866.57399999999996</v>
      </c>
      <c r="FP58">
        <v>573.69100000000003</v>
      </c>
      <c r="FQ58">
        <v>17.8324</v>
      </c>
      <c r="FR58">
        <v>26.063400000000001</v>
      </c>
      <c r="FS58">
        <v>30</v>
      </c>
      <c r="FT58">
        <v>26.0642</v>
      </c>
      <c r="FU58">
        <v>26.065899999999999</v>
      </c>
      <c r="FV58">
        <v>11.422700000000001</v>
      </c>
      <c r="FW58">
        <v>27.369800000000001</v>
      </c>
      <c r="FX58">
        <v>35.074100000000001</v>
      </c>
      <c r="FY58">
        <v>17.832599999999999</v>
      </c>
      <c r="FZ58">
        <v>150</v>
      </c>
      <c r="GA58">
        <v>13.6021</v>
      </c>
      <c r="GB58">
        <v>99.800700000000006</v>
      </c>
      <c r="GC58">
        <v>99.770200000000003</v>
      </c>
    </row>
    <row r="59" spans="1:185" x14ac:dyDescent="0.2">
      <c r="A59">
        <v>44</v>
      </c>
      <c r="B59">
        <v>1771103897.0999999</v>
      </c>
      <c r="C59">
        <v>784</v>
      </c>
      <c r="D59" t="s">
        <v>385</v>
      </c>
      <c r="E59" t="s">
        <v>386</v>
      </c>
      <c r="F59">
        <v>15</v>
      </c>
      <c r="G59">
        <v>1771103889.03333</v>
      </c>
      <c r="H59">
        <f t="shared" si="0"/>
        <v>1.5182342713881238E-3</v>
      </c>
      <c r="I59">
        <v>0</v>
      </c>
      <c r="J59">
        <f t="shared" si="12"/>
        <v>-2.0601045992588374E-2</v>
      </c>
      <c r="K59">
        <f t="shared" si="1"/>
        <v>-0.36837254142357173</v>
      </c>
      <c r="L59">
        <f t="shared" si="2"/>
        <v>69.885323801118417</v>
      </c>
      <c r="M59">
        <f t="shared" si="3"/>
        <v>1.5409487823747163</v>
      </c>
      <c r="N59">
        <f t="shared" si="4"/>
        <v>2.2049676506615192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26222.079603320461</v>
      </c>
      <c r="T59">
        <f t="shared" si="8"/>
        <v>800.00033333333295</v>
      </c>
      <c r="U59">
        <f t="shared" si="9"/>
        <v>674.40078020020769</v>
      </c>
      <c r="V59">
        <f t="shared" si="10"/>
        <v>0.84300062399999998</v>
      </c>
      <c r="W59">
        <f t="shared" si="11"/>
        <v>0.15870155999999999</v>
      </c>
      <c r="X59">
        <v>1</v>
      </c>
      <c r="Y59">
        <v>1771103889.03333</v>
      </c>
      <c r="Z59">
        <v>150.17246666666699</v>
      </c>
      <c r="AA59">
        <v>149.99700000000001</v>
      </c>
      <c r="AB59">
        <v>15.409086666666701</v>
      </c>
      <c r="AC59">
        <v>13.540566666666701</v>
      </c>
      <c r="AD59">
        <v>150.61506666666699</v>
      </c>
      <c r="AE59">
        <v>15.349819999999999</v>
      </c>
      <c r="AF59">
        <v>800.01266666666697</v>
      </c>
      <c r="AG59">
        <v>99.938919999999996</v>
      </c>
      <c r="AH59">
        <v>6.3683379999999998E-2</v>
      </c>
      <c r="AI59">
        <v>18.998453333333298</v>
      </c>
      <c r="AJ59">
        <v>999.9</v>
      </c>
      <c r="AK59">
        <v>999.9</v>
      </c>
      <c r="AL59">
        <v>0</v>
      </c>
      <c r="AM59">
        <v>0</v>
      </c>
      <c r="AN59">
        <v>5002.6000000000004</v>
      </c>
      <c r="AO59">
        <v>0</v>
      </c>
      <c r="AP59">
        <v>1.63733</v>
      </c>
      <c r="AQ59">
        <v>0.17550766666666701</v>
      </c>
      <c r="AR59">
        <v>152.52266666666699</v>
      </c>
      <c r="AS59">
        <v>152.05586666666699</v>
      </c>
      <c r="AT59">
        <v>1.8685339999999999</v>
      </c>
      <c r="AU59">
        <v>149.99700000000001</v>
      </c>
      <c r="AV59">
        <v>13.540566666666701</v>
      </c>
      <c r="AW59">
        <v>1.5399673333333299</v>
      </c>
      <c r="AX59">
        <v>1.3532299999999999</v>
      </c>
      <c r="AY59">
        <v>13.370886666666699</v>
      </c>
      <c r="AZ59">
        <v>11.4034266666667</v>
      </c>
      <c r="BA59">
        <v>800.00033333333295</v>
      </c>
      <c r="BB59">
        <v>0.89997919999999998</v>
      </c>
      <c r="BC59">
        <v>0</v>
      </c>
      <c r="BD59">
        <v>0.10002080000000001</v>
      </c>
      <c r="BE59">
        <v>0</v>
      </c>
      <c r="BF59">
        <v>25</v>
      </c>
      <c r="BG59">
        <v>13190.9533333333</v>
      </c>
      <c r="BH59">
        <v>1771103835.0999999</v>
      </c>
      <c r="BI59" t="s">
        <v>376</v>
      </c>
      <c r="BJ59">
        <v>1771103835.0999999</v>
      </c>
      <c r="BK59">
        <v>1771103812.0999999</v>
      </c>
      <c r="BL59">
        <v>14</v>
      </c>
      <c r="BM59">
        <v>0.26200000000000001</v>
      </c>
      <c r="BN59">
        <v>1.2E-2</v>
      </c>
      <c r="BO59">
        <v>-0.443</v>
      </c>
      <c r="BP59">
        <v>5.8999999999999997E-2</v>
      </c>
      <c r="BQ59">
        <v>150</v>
      </c>
      <c r="BR59">
        <v>13</v>
      </c>
      <c r="BS59">
        <v>0.18</v>
      </c>
      <c r="BT59">
        <v>0.04</v>
      </c>
      <c r="BU59">
        <v>0.17892757142857099</v>
      </c>
      <c r="BV59">
        <v>-8.6592389610389606E-2</v>
      </c>
      <c r="BW59">
        <v>1.73980991916644E-2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1.8655900000000001</v>
      </c>
      <c r="CD59">
        <v>3.06553246753236E-2</v>
      </c>
      <c r="CE59">
        <v>1.32165747309599E-2</v>
      </c>
      <c r="CF59">
        <v>1</v>
      </c>
      <c r="CG59">
        <v>2</v>
      </c>
      <c r="CH59">
        <v>2</v>
      </c>
      <c r="CI59" t="s">
        <v>322</v>
      </c>
      <c r="CJ59">
        <v>3.5324800000000001</v>
      </c>
      <c r="CK59">
        <v>2.70153</v>
      </c>
      <c r="CL59">
        <v>4.1880399999999998E-2</v>
      </c>
      <c r="CM59">
        <v>4.1284099999999997E-2</v>
      </c>
      <c r="CN59">
        <v>8.6977700000000005E-2</v>
      </c>
      <c r="CO59">
        <v>7.8156900000000001E-2</v>
      </c>
      <c r="CP59">
        <v>33565.9</v>
      </c>
      <c r="CQ59">
        <v>29525.3</v>
      </c>
      <c r="CR59">
        <v>32426.6</v>
      </c>
      <c r="CS59">
        <v>30726.400000000001</v>
      </c>
      <c r="CT59">
        <v>40094.9</v>
      </c>
      <c r="CU59">
        <v>39842.6</v>
      </c>
      <c r="CV59">
        <v>47367.4</v>
      </c>
      <c r="CW59">
        <v>46873.5</v>
      </c>
      <c r="CX59">
        <v>2.6144799999999999</v>
      </c>
      <c r="CY59">
        <v>2.11876</v>
      </c>
      <c r="CZ59">
        <v>0</v>
      </c>
      <c r="DA59">
        <v>0</v>
      </c>
      <c r="DB59">
        <v>999.9</v>
      </c>
      <c r="DC59">
        <v>999.9</v>
      </c>
      <c r="DD59">
        <v>44.957999999999998</v>
      </c>
      <c r="DE59">
        <v>28.690999999999999</v>
      </c>
      <c r="DF59">
        <v>17.7712</v>
      </c>
      <c r="DG59">
        <v>30.438199999999998</v>
      </c>
      <c r="DH59">
        <v>17.1234</v>
      </c>
      <c r="DI59">
        <v>2</v>
      </c>
      <c r="DJ59">
        <v>-7.2341500000000003E-2</v>
      </c>
      <c r="DK59">
        <v>2.6804600000000001</v>
      </c>
      <c r="DL59">
        <v>20.187899999999999</v>
      </c>
      <c r="DM59">
        <v>5.25</v>
      </c>
      <c r="DN59">
        <v>12.033899999999999</v>
      </c>
      <c r="DO59">
        <v>4.9675200000000004</v>
      </c>
      <c r="DP59">
        <v>3.2909999999999999</v>
      </c>
      <c r="DQ59">
        <v>607.9</v>
      </c>
      <c r="DR59">
        <v>9999</v>
      </c>
      <c r="DS59">
        <v>9999</v>
      </c>
      <c r="DT59">
        <v>9999</v>
      </c>
      <c r="DU59">
        <v>1.8711800000000001</v>
      </c>
      <c r="DV59">
        <v>1.8762099999999999</v>
      </c>
      <c r="DW59">
        <v>1.8763700000000001</v>
      </c>
      <c r="DX59">
        <v>1.88289</v>
      </c>
      <c r="DY59">
        <v>1.87564</v>
      </c>
      <c r="DZ59">
        <v>1.87469</v>
      </c>
      <c r="EA59">
        <v>1.8708800000000001</v>
      </c>
      <c r="EB59">
        <v>1.87469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-0.442</v>
      </c>
      <c r="EQ59">
        <v>5.9299999999999999E-2</v>
      </c>
      <c r="ER59">
        <v>-0.442636363636353</v>
      </c>
      <c r="ES59">
        <v>0</v>
      </c>
      <c r="ET59">
        <v>0</v>
      </c>
      <c r="EU59">
        <v>0</v>
      </c>
      <c r="EV59">
        <v>5.9279999999997599E-2</v>
      </c>
      <c r="EW59">
        <v>0</v>
      </c>
      <c r="EX59">
        <v>0</v>
      </c>
      <c r="EY59">
        <v>0</v>
      </c>
      <c r="EZ59">
        <v>-1</v>
      </c>
      <c r="FA59">
        <v>-1</v>
      </c>
      <c r="FB59">
        <v>-1</v>
      </c>
      <c r="FC59">
        <v>-1</v>
      </c>
      <c r="FD59">
        <v>1</v>
      </c>
      <c r="FE59">
        <v>1.4</v>
      </c>
      <c r="FF59">
        <v>0.56762699999999999</v>
      </c>
      <c r="FG59">
        <v>2.5964399999999999</v>
      </c>
      <c r="FH59">
        <v>2.19604</v>
      </c>
      <c r="FI59">
        <v>2.5744600000000002</v>
      </c>
      <c r="FJ59">
        <v>2.4462899999999999</v>
      </c>
      <c r="FK59">
        <v>2.32544</v>
      </c>
      <c r="FL59">
        <v>32.975999999999999</v>
      </c>
      <c r="FM59">
        <v>24.14</v>
      </c>
      <c r="FN59">
        <v>19</v>
      </c>
      <c r="FO59">
        <v>866.53700000000003</v>
      </c>
      <c r="FP59">
        <v>573.85900000000004</v>
      </c>
      <c r="FQ59">
        <v>17.834099999999999</v>
      </c>
      <c r="FR59">
        <v>26.061299999999999</v>
      </c>
      <c r="FS59">
        <v>30</v>
      </c>
      <c r="FT59">
        <v>26.0642</v>
      </c>
      <c r="FU59">
        <v>26.065899999999999</v>
      </c>
      <c r="FV59">
        <v>11.4215</v>
      </c>
      <c r="FW59">
        <v>27.082000000000001</v>
      </c>
      <c r="FX59">
        <v>35.074100000000001</v>
      </c>
      <c r="FY59">
        <v>17.835899999999999</v>
      </c>
      <c r="FZ59">
        <v>150</v>
      </c>
      <c r="GA59">
        <v>13.614000000000001</v>
      </c>
      <c r="GB59">
        <v>99.8005</v>
      </c>
      <c r="GC59">
        <v>99.771199999999993</v>
      </c>
    </row>
    <row r="60" spans="1:185" x14ac:dyDescent="0.2">
      <c r="A60">
        <v>45</v>
      </c>
      <c r="B60">
        <v>1771103912.0999999</v>
      </c>
      <c r="C60">
        <v>799</v>
      </c>
      <c r="D60" t="s">
        <v>387</v>
      </c>
      <c r="E60" t="s">
        <v>388</v>
      </c>
      <c r="F60">
        <v>15</v>
      </c>
      <c r="G60">
        <v>1771103904.03333</v>
      </c>
      <c r="H60">
        <f t="shared" si="0"/>
        <v>1.4869045158321704E-3</v>
      </c>
      <c r="I60">
        <v>0</v>
      </c>
      <c r="J60">
        <f t="shared" si="12"/>
        <v>-1.9390809588427434E-2</v>
      </c>
      <c r="K60">
        <f t="shared" si="1"/>
        <v>-0.34673199656558329</v>
      </c>
      <c r="L60">
        <f t="shared" si="2"/>
        <v>69.780777178887547</v>
      </c>
      <c r="M60">
        <f t="shared" si="3"/>
        <v>1.5389009071549684</v>
      </c>
      <c r="N60">
        <f t="shared" si="4"/>
        <v>2.205336439876409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26186.523023944632</v>
      </c>
      <c r="T60">
        <f t="shared" si="8"/>
        <v>799.99966666666705</v>
      </c>
      <c r="U60">
        <f t="shared" si="9"/>
        <v>674.40021339979432</v>
      </c>
      <c r="V60">
        <f t="shared" si="10"/>
        <v>0.84300061800000003</v>
      </c>
      <c r="W60">
        <f t="shared" si="11"/>
        <v>0.158701545</v>
      </c>
      <c r="X60">
        <v>1</v>
      </c>
      <c r="Y60">
        <v>1771103904.03333</v>
      </c>
      <c r="Z60">
        <v>150.152533333333</v>
      </c>
      <c r="AA60">
        <v>149.9982</v>
      </c>
      <c r="AB60">
        <v>15.3886066666667</v>
      </c>
      <c r="AC60">
        <v>13.558619999999999</v>
      </c>
      <c r="AD60">
        <v>150.59506666666701</v>
      </c>
      <c r="AE60">
        <v>15.329333333333301</v>
      </c>
      <c r="AF60">
        <v>800.018466666667</v>
      </c>
      <c r="AG60">
        <v>99.939040000000006</v>
      </c>
      <c r="AH60">
        <v>6.3574953333333295E-2</v>
      </c>
      <c r="AI60">
        <v>19.0011333333333</v>
      </c>
      <c r="AJ60">
        <v>999.9</v>
      </c>
      <c r="AK60">
        <v>999.9</v>
      </c>
      <c r="AL60">
        <v>0</v>
      </c>
      <c r="AM60">
        <v>0</v>
      </c>
      <c r="AN60">
        <v>4996.7666666666701</v>
      </c>
      <c r="AO60">
        <v>0</v>
      </c>
      <c r="AP60">
        <v>1.63733</v>
      </c>
      <c r="AQ60">
        <v>0.15422259999999999</v>
      </c>
      <c r="AR60">
        <v>152.4992</v>
      </c>
      <c r="AS60">
        <v>152.05993333333299</v>
      </c>
      <c r="AT60">
        <v>1.8299840000000001</v>
      </c>
      <c r="AU60">
        <v>149.9982</v>
      </c>
      <c r="AV60">
        <v>13.558619999999999</v>
      </c>
      <c r="AW60">
        <v>1.5379226666666701</v>
      </c>
      <c r="AX60">
        <v>1.35503533333333</v>
      </c>
      <c r="AY60">
        <v>13.350486666666701</v>
      </c>
      <c r="AZ60">
        <v>11.4235666666667</v>
      </c>
      <c r="BA60">
        <v>799.99966666666705</v>
      </c>
      <c r="BB60">
        <v>0.89997939999999998</v>
      </c>
      <c r="BC60">
        <v>0</v>
      </c>
      <c r="BD60">
        <v>0.1000206</v>
      </c>
      <c r="BE60">
        <v>0</v>
      </c>
      <c r="BF60">
        <v>25</v>
      </c>
      <c r="BG60">
        <v>13190.9533333333</v>
      </c>
      <c r="BH60">
        <v>1771103835.0999999</v>
      </c>
      <c r="BI60" t="s">
        <v>376</v>
      </c>
      <c r="BJ60">
        <v>1771103835.0999999</v>
      </c>
      <c r="BK60">
        <v>1771103812.0999999</v>
      </c>
      <c r="BL60">
        <v>14</v>
      </c>
      <c r="BM60">
        <v>0.26200000000000001</v>
      </c>
      <c r="BN60">
        <v>1.2E-2</v>
      </c>
      <c r="BO60">
        <v>-0.443</v>
      </c>
      <c r="BP60">
        <v>5.8999999999999997E-2</v>
      </c>
      <c r="BQ60">
        <v>150</v>
      </c>
      <c r="BR60">
        <v>13</v>
      </c>
      <c r="BS60">
        <v>0.18</v>
      </c>
      <c r="BT60">
        <v>0.04</v>
      </c>
      <c r="BU60">
        <v>0.15855715000000001</v>
      </c>
      <c r="BV60">
        <v>-8.7308977443609104E-2</v>
      </c>
      <c r="BW60">
        <v>1.41836697940801E-2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1.8374465</v>
      </c>
      <c r="CD60">
        <v>-0.215378796992481</v>
      </c>
      <c r="CE60">
        <v>2.30862600425015E-2</v>
      </c>
      <c r="CF60">
        <v>0</v>
      </c>
      <c r="CG60">
        <v>1</v>
      </c>
      <c r="CH60">
        <v>2</v>
      </c>
      <c r="CI60" t="s">
        <v>299</v>
      </c>
      <c r="CJ60">
        <v>3.53254</v>
      </c>
      <c r="CK60">
        <v>2.7013600000000002</v>
      </c>
      <c r="CL60">
        <v>4.1869900000000002E-2</v>
      </c>
      <c r="CM60">
        <v>4.1266200000000003E-2</v>
      </c>
      <c r="CN60">
        <v>8.6932700000000002E-2</v>
      </c>
      <c r="CO60">
        <v>7.8399200000000002E-2</v>
      </c>
      <c r="CP60">
        <v>33566.6</v>
      </c>
      <c r="CQ60">
        <v>29525.4</v>
      </c>
      <c r="CR60">
        <v>32427</v>
      </c>
      <c r="CS60">
        <v>30725.9</v>
      </c>
      <c r="CT60">
        <v>40097.5</v>
      </c>
      <c r="CU60">
        <v>39831.599999999999</v>
      </c>
      <c r="CV60">
        <v>47368</v>
      </c>
      <c r="CW60">
        <v>46873.1</v>
      </c>
      <c r="CX60">
        <v>2.6145200000000002</v>
      </c>
      <c r="CY60">
        <v>2.1188400000000001</v>
      </c>
      <c r="CZ60">
        <v>0</v>
      </c>
      <c r="DA60">
        <v>0</v>
      </c>
      <c r="DB60">
        <v>999.9</v>
      </c>
      <c r="DC60">
        <v>999.9</v>
      </c>
      <c r="DD60">
        <v>44.933</v>
      </c>
      <c r="DE60">
        <v>28.690999999999999</v>
      </c>
      <c r="DF60">
        <v>17.7606</v>
      </c>
      <c r="DG60">
        <v>30.648199999999999</v>
      </c>
      <c r="DH60">
        <v>16.9071</v>
      </c>
      <c r="DI60">
        <v>2</v>
      </c>
      <c r="DJ60">
        <v>-7.2424799999999998E-2</v>
      </c>
      <c r="DK60">
        <v>2.6930399999999999</v>
      </c>
      <c r="DL60">
        <v>20.187999999999999</v>
      </c>
      <c r="DM60">
        <v>5.25</v>
      </c>
      <c r="DN60">
        <v>12.033899999999999</v>
      </c>
      <c r="DO60">
        <v>4.9674399999999999</v>
      </c>
      <c r="DP60">
        <v>3.2909999999999999</v>
      </c>
      <c r="DQ60">
        <v>607.9</v>
      </c>
      <c r="DR60">
        <v>9999</v>
      </c>
      <c r="DS60">
        <v>9999</v>
      </c>
      <c r="DT60">
        <v>9999</v>
      </c>
      <c r="DU60">
        <v>1.8711899999999999</v>
      </c>
      <c r="DV60">
        <v>1.87622</v>
      </c>
      <c r="DW60">
        <v>1.8763700000000001</v>
      </c>
      <c r="DX60">
        <v>1.8829199999999999</v>
      </c>
      <c r="DY60">
        <v>1.8756600000000001</v>
      </c>
      <c r="DZ60">
        <v>1.8747100000000001</v>
      </c>
      <c r="EA60">
        <v>1.8708800000000001</v>
      </c>
      <c r="EB60">
        <v>1.87469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-0.443</v>
      </c>
      <c r="EQ60">
        <v>5.9200000000000003E-2</v>
      </c>
      <c r="ER60">
        <v>-0.442636363636353</v>
      </c>
      <c r="ES60">
        <v>0</v>
      </c>
      <c r="ET60">
        <v>0</v>
      </c>
      <c r="EU60">
        <v>0</v>
      </c>
      <c r="EV60">
        <v>5.9279999999997599E-2</v>
      </c>
      <c r="EW60">
        <v>0</v>
      </c>
      <c r="EX60">
        <v>0</v>
      </c>
      <c r="EY60">
        <v>0</v>
      </c>
      <c r="EZ60">
        <v>-1</v>
      </c>
      <c r="FA60">
        <v>-1</v>
      </c>
      <c r="FB60">
        <v>-1</v>
      </c>
      <c r="FC60">
        <v>-1</v>
      </c>
      <c r="FD60">
        <v>1.3</v>
      </c>
      <c r="FE60">
        <v>1.7</v>
      </c>
      <c r="FF60">
        <v>0.56884800000000002</v>
      </c>
      <c r="FG60">
        <v>2.6025399999999999</v>
      </c>
      <c r="FH60">
        <v>2.19604</v>
      </c>
      <c r="FI60">
        <v>2.5744600000000002</v>
      </c>
      <c r="FJ60">
        <v>2.4462899999999999</v>
      </c>
      <c r="FK60">
        <v>2.2924799999999999</v>
      </c>
      <c r="FL60">
        <v>32.975999999999999</v>
      </c>
      <c r="FM60">
        <v>24.14</v>
      </c>
      <c r="FN60">
        <v>19</v>
      </c>
      <c r="FO60">
        <v>866.54</v>
      </c>
      <c r="FP60">
        <v>573.92100000000005</v>
      </c>
      <c r="FQ60">
        <v>17.836200000000002</v>
      </c>
      <c r="FR60">
        <v>26.061299999999999</v>
      </c>
      <c r="FS60">
        <v>30</v>
      </c>
      <c r="FT60">
        <v>26.062000000000001</v>
      </c>
      <c r="FU60">
        <v>26.065899999999999</v>
      </c>
      <c r="FV60">
        <v>11.4229</v>
      </c>
      <c r="FW60">
        <v>26.7956</v>
      </c>
      <c r="FX60">
        <v>35.074100000000001</v>
      </c>
      <c r="FY60">
        <v>17.831399999999999</v>
      </c>
      <c r="FZ60">
        <v>150</v>
      </c>
      <c r="GA60">
        <v>13.6319</v>
      </c>
      <c r="GB60">
        <v>99.801699999999997</v>
      </c>
      <c r="GC60">
        <v>99.770200000000003</v>
      </c>
    </row>
    <row r="61" spans="1:185" x14ac:dyDescent="0.2">
      <c r="A61">
        <v>46</v>
      </c>
      <c r="B61">
        <v>1771103927.0999999</v>
      </c>
      <c r="C61">
        <v>814</v>
      </c>
      <c r="D61" t="s">
        <v>389</v>
      </c>
      <c r="E61" t="s">
        <v>390</v>
      </c>
      <c r="F61">
        <v>15</v>
      </c>
      <c r="G61">
        <v>1771103919.03333</v>
      </c>
      <c r="H61">
        <f t="shared" si="0"/>
        <v>1.4529194489522009E-3</v>
      </c>
      <c r="I61">
        <v>0</v>
      </c>
      <c r="J61">
        <f t="shared" si="12"/>
        <v>-1.8645686162499106E-2</v>
      </c>
      <c r="K61">
        <f t="shared" si="1"/>
        <v>-0.333408255131182</v>
      </c>
      <c r="L61">
        <f t="shared" si="2"/>
        <v>69.811215777913731</v>
      </c>
      <c r="M61">
        <f t="shared" si="3"/>
        <v>1.5397009229447378</v>
      </c>
      <c r="N61">
        <f t="shared" si="4"/>
        <v>2.2055208547619292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26226.805176610087</v>
      </c>
      <c r="T61">
        <f t="shared" si="8"/>
        <v>799.99946666666699</v>
      </c>
      <c r="U61">
        <f t="shared" si="9"/>
        <v>674.39997119971952</v>
      </c>
      <c r="V61">
        <f t="shared" si="10"/>
        <v>0.84300052599999975</v>
      </c>
      <c r="W61">
        <f t="shared" si="11"/>
        <v>0.15870144491999996</v>
      </c>
      <c r="X61">
        <v>1</v>
      </c>
      <c r="Y61">
        <v>1771103919.03333</v>
      </c>
      <c r="Z61">
        <v>150.14906666666701</v>
      </c>
      <c r="AA61">
        <v>150.005</v>
      </c>
      <c r="AB61">
        <v>15.3967266666667</v>
      </c>
      <c r="AC61">
        <v>13.608546666666699</v>
      </c>
      <c r="AD61">
        <v>150.5916</v>
      </c>
      <c r="AE61">
        <v>15.33746</v>
      </c>
      <c r="AF61">
        <v>800.00293333333298</v>
      </c>
      <c r="AG61">
        <v>99.938293333333306</v>
      </c>
      <c r="AH61">
        <v>6.3541879999999995E-2</v>
      </c>
      <c r="AI61">
        <v>19.002473333333299</v>
      </c>
      <c r="AJ61">
        <v>999.9</v>
      </c>
      <c r="AK61">
        <v>999.9</v>
      </c>
      <c r="AL61">
        <v>0</v>
      </c>
      <c r="AM61">
        <v>0</v>
      </c>
      <c r="AN61">
        <v>5003.4666666666699</v>
      </c>
      <c r="AO61">
        <v>0</v>
      </c>
      <c r="AP61">
        <v>1.6366526666666701</v>
      </c>
      <c r="AQ61">
        <v>0.14399925999999999</v>
      </c>
      <c r="AR61">
        <v>152.49686666666699</v>
      </c>
      <c r="AS61">
        <v>152.07453333333299</v>
      </c>
      <c r="AT61">
        <v>1.788192</v>
      </c>
      <c r="AU61">
        <v>150.005</v>
      </c>
      <c r="AV61">
        <v>13.608546666666699</v>
      </c>
      <c r="AW61">
        <v>1.53872266666667</v>
      </c>
      <c r="AX61">
        <v>1.36001333333333</v>
      </c>
      <c r="AY61">
        <v>13.358473333333301</v>
      </c>
      <c r="AZ61">
        <v>11.479006666666701</v>
      </c>
      <c r="BA61">
        <v>799.99946666666699</v>
      </c>
      <c r="BB61">
        <v>0.89998053333333305</v>
      </c>
      <c r="BC61">
        <v>0</v>
      </c>
      <c r="BD61">
        <v>0.10001939999999999</v>
      </c>
      <c r="BE61">
        <v>0</v>
      </c>
      <c r="BF61">
        <v>25</v>
      </c>
      <c r="BG61">
        <v>13190.9533333333</v>
      </c>
      <c r="BH61">
        <v>1771103835.0999999</v>
      </c>
      <c r="BI61" t="s">
        <v>376</v>
      </c>
      <c r="BJ61">
        <v>1771103835.0999999</v>
      </c>
      <c r="BK61">
        <v>1771103812.0999999</v>
      </c>
      <c r="BL61">
        <v>14</v>
      </c>
      <c r="BM61">
        <v>0.26200000000000001</v>
      </c>
      <c r="BN61">
        <v>1.2E-2</v>
      </c>
      <c r="BO61">
        <v>-0.443</v>
      </c>
      <c r="BP61">
        <v>5.8999999999999997E-2</v>
      </c>
      <c r="BQ61">
        <v>150</v>
      </c>
      <c r="BR61">
        <v>13</v>
      </c>
      <c r="BS61">
        <v>0.18</v>
      </c>
      <c r="BT61">
        <v>0.04</v>
      </c>
      <c r="BU61">
        <v>0.14677575714285701</v>
      </c>
      <c r="BV61">
        <v>-0.124594519480519</v>
      </c>
      <c r="BW61">
        <v>2.0525562734088901E-2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1.79387428571429</v>
      </c>
      <c r="CD61">
        <v>-5.7972467532466501E-2</v>
      </c>
      <c r="CE61">
        <v>1.48977548872396E-2</v>
      </c>
      <c r="CF61">
        <v>1</v>
      </c>
      <c r="CG61">
        <v>2</v>
      </c>
      <c r="CH61">
        <v>2</v>
      </c>
      <c r="CI61" t="s">
        <v>322</v>
      </c>
      <c r="CJ61">
        <v>3.5325600000000001</v>
      </c>
      <c r="CK61">
        <v>2.7012299999999998</v>
      </c>
      <c r="CL61">
        <v>4.1871100000000001E-2</v>
      </c>
      <c r="CM61">
        <v>4.1282699999999999E-2</v>
      </c>
      <c r="CN61">
        <v>8.7018499999999999E-2</v>
      </c>
      <c r="CO61">
        <v>7.8412800000000005E-2</v>
      </c>
      <c r="CP61">
        <v>33566.9</v>
      </c>
      <c r="CQ61">
        <v>29526.3</v>
      </c>
      <c r="CR61">
        <v>32427.3</v>
      </c>
      <c r="CS61">
        <v>30727.4</v>
      </c>
      <c r="CT61">
        <v>40094</v>
      </c>
      <c r="CU61">
        <v>39832.800000000003</v>
      </c>
      <c r="CV61">
        <v>47368.6</v>
      </c>
      <c r="CW61">
        <v>46875.199999999997</v>
      </c>
      <c r="CX61">
        <v>2.6145200000000002</v>
      </c>
      <c r="CY61">
        <v>2.1185200000000002</v>
      </c>
      <c r="CZ61">
        <v>0</v>
      </c>
      <c r="DA61">
        <v>0</v>
      </c>
      <c r="DB61">
        <v>999.9</v>
      </c>
      <c r="DC61">
        <v>999.9</v>
      </c>
      <c r="DD61">
        <v>44.884999999999998</v>
      </c>
      <c r="DE61">
        <v>28.690999999999999</v>
      </c>
      <c r="DF61">
        <v>17.743600000000001</v>
      </c>
      <c r="DG61">
        <v>30.588200000000001</v>
      </c>
      <c r="DH61">
        <v>16.963100000000001</v>
      </c>
      <c r="DI61">
        <v>2</v>
      </c>
      <c r="DJ61">
        <v>-7.2109800000000002E-2</v>
      </c>
      <c r="DK61">
        <v>2.7187800000000002</v>
      </c>
      <c r="DL61">
        <v>20.1874</v>
      </c>
      <c r="DM61">
        <v>5.2513100000000001</v>
      </c>
      <c r="DN61">
        <v>12.033899999999999</v>
      </c>
      <c r="DO61">
        <v>4.9675599999999998</v>
      </c>
      <c r="DP61">
        <v>3.2909999999999999</v>
      </c>
      <c r="DQ61">
        <v>607.9</v>
      </c>
      <c r="DR61">
        <v>9999</v>
      </c>
      <c r="DS61">
        <v>9999</v>
      </c>
      <c r="DT61">
        <v>9999</v>
      </c>
      <c r="DU61">
        <v>1.8711899999999999</v>
      </c>
      <c r="DV61">
        <v>1.8762099999999999</v>
      </c>
      <c r="DW61">
        <v>1.8763799999999999</v>
      </c>
      <c r="DX61">
        <v>1.88293</v>
      </c>
      <c r="DY61">
        <v>1.8756600000000001</v>
      </c>
      <c r="DZ61">
        <v>1.8747100000000001</v>
      </c>
      <c r="EA61">
        <v>1.8708899999999999</v>
      </c>
      <c r="EB61">
        <v>1.87469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-0.443</v>
      </c>
      <c r="EQ61">
        <v>5.9299999999999999E-2</v>
      </c>
      <c r="ER61">
        <v>-0.442636363636353</v>
      </c>
      <c r="ES61">
        <v>0</v>
      </c>
      <c r="ET61">
        <v>0</v>
      </c>
      <c r="EU61">
        <v>0</v>
      </c>
      <c r="EV61">
        <v>5.9279999999997599E-2</v>
      </c>
      <c r="EW61">
        <v>0</v>
      </c>
      <c r="EX61">
        <v>0</v>
      </c>
      <c r="EY61">
        <v>0</v>
      </c>
      <c r="EZ61">
        <v>-1</v>
      </c>
      <c r="FA61">
        <v>-1</v>
      </c>
      <c r="FB61">
        <v>-1</v>
      </c>
      <c r="FC61">
        <v>-1</v>
      </c>
      <c r="FD61">
        <v>1.5</v>
      </c>
      <c r="FE61">
        <v>1.9</v>
      </c>
      <c r="FF61">
        <v>0.56884800000000002</v>
      </c>
      <c r="FG61">
        <v>2.5964399999999999</v>
      </c>
      <c r="FH61">
        <v>2.19604</v>
      </c>
      <c r="FI61">
        <v>2.5744600000000002</v>
      </c>
      <c r="FJ61">
        <v>2.4462899999999999</v>
      </c>
      <c r="FK61">
        <v>2.2460900000000001</v>
      </c>
      <c r="FL61">
        <v>32.975999999999999</v>
      </c>
      <c r="FM61">
        <v>24.1313</v>
      </c>
      <c r="FN61">
        <v>19</v>
      </c>
      <c r="FO61">
        <v>866.53899999999999</v>
      </c>
      <c r="FP61">
        <v>573.67600000000004</v>
      </c>
      <c r="FQ61">
        <v>17.8261</v>
      </c>
      <c r="FR61">
        <v>26.061299999999999</v>
      </c>
      <c r="FS61">
        <v>30.0001</v>
      </c>
      <c r="FT61">
        <v>26.062000000000001</v>
      </c>
      <c r="FU61">
        <v>26.065899999999999</v>
      </c>
      <c r="FV61">
        <v>11.421200000000001</v>
      </c>
      <c r="FW61">
        <v>26.7956</v>
      </c>
      <c r="FX61">
        <v>35.074100000000001</v>
      </c>
      <c r="FY61">
        <v>17.824200000000001</v>
      </c>
      <c r="FZ61">
        <v>150</v>
      </c>
      <c r="GA61">
        <v>13.622</v>
      </c>
      <c r="GB61">
        <v>99.802800000000005</v>
      </c>
      <c r="GC61">
        <v>99.774799999999999</v>
      </c>
    </row>
    <row r="62" spans="1:185" x14ac:dyDescent="0.2">
      <c r="A62">
        <v>47</v>
      </c>
      <c r="B62">
        <v>1771104073.0999999</v>
      </c>
      <c r="C62">
        <v>960</v>
      </c>
      <c r="D62" t="s">
        <v>391</v>
      </c>
      <c r="E62" t="s">
        <v>392</v>
      </c>
      <c r="F62">
        <v>15</v>
      </c>
      <c r="G62">
        <v>1771104065.0999999</v>
      </c>
      <c r="H62">
        <f t="shared" si="0"/>
        <v>3.7416792037360324E-4</v>
      </c>
      <c r="I62">
        <v>0</v>
      </c>
      <c r="J62">
        <f t="shared" si="12"/>
        <v>-1.2036941058136328</v>
      </c>
      <c r="K62">
        <f t="shared" si="1"/>
        <v>-21.52356035779281</v>
      </c>
      <c r="L62">
        <f t="shared" si="2"/>
        <v>72.909187731247741</v>
      </c>
      <c r="M62">
        <f t="shared" si="3"/>
        <v>1.6021232864866457</v>
      </c>
      <c r="N62">
        <f t="shared" si="4"/>
        <v>2.1974230358898934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26206.020310251632</v>
      </c>
      <c r="T62">
        <f t="shared" si="8"/>
        <v>799.99779999999998</v>
      </c>
      <c r="U62">
        <f t="shared" si="9"/>
        <v>674.39770572120881</v>
      </c>
      <c r="V62">
        <f t="shared" si="10"/>
        <v>0.84299945039999968</v>
      </c>
      <c r="W62">
        <f t="shared" si="11"/>
        <v>0.15869865198399996</v>
      </c>
      <c r="X62">
        <v>1</v>
      </c>
      <c r="Y62">
        <v>1771104065.0999999</v>
      </c>
      <c r="Z62">
        <v>76.948599999999999</v>
      </c>
      <c r="AA62">
        <v>50.0799533333333</v>
      </c>
      <c r="AB62">
        <v>16.020793333333302</v>
      </c>
      <c r="AC62">
        <v>15.5605733333333</v>
      </c>
      <c r="AD62">
        <v>77.391233333333304</v>
      </c>
      <c r="AE62">
        <v>15.96152</v>
      </c>
      <c r="AF62">
        <v>799.99446666666699</v>
      </c>
      <c r="AG62">
        <v>99.939760000000007</v>
      </c>
      <c r="AH62">
        <v>6.2983506666666703E-2</v>
      </c>
      <c r="AI62">
        <v>18.943539999999999</v>
      </c>
      <c r="AJ62">
        <v>999.9</v>
      </c>
      <c r="AK62">
        <v>999.9</v>
      </c>
      <c r="AL62">
        <v>0</v>
      </c>
      <c r="AM62">
        <v>0</v>
      </c>
      <c r="AN62">
        <v>4999.1000000000004</v>
      </c>
      <c r="AO62">
        <v>0</v>
      </c>
      <c r="AP62">
        <v>1.6349973333333301</v>
      </c>
      <c r="AQ62">
        <v>26.868639999999999</v>
      </c>
      <c r="AR62">
        <v>78.200400000000002</v>
      </c>
      <c r="AS62">
        <v>50.871553333333303</v>
      </c>
      <c r="AT62">
        <v>0.46022195333333299</v>
      </c>
      <c r="AU62">
        <v>50.0799533333333</v>
      </c>
      <c r="AV62">
        <v>15.5605733333333</v>
      </c>
      <c r="AW62">
        <v>1.6011153333333299</v>
      </c>
      <c r="AX62">
        <v>1.5551219999999999</v>
      </c>
      <c r="AY62">
        <v>13.969186666666699</v>
      </c>
      <c r="AZ62">
        <v>13.519586666666701</v>
      </c>
      <c r="BA62">
        <v>799.99779999999998</v>
      </c>
      <c r="BB62">
        <v>0.90001793333333302</v>
      </c>
      <c r="BC62">
        <v>0</v>
      </c>
      <c r="BD62">
        <v>9.9982053333333307E-2</v>
      </c>
      <c r="BE62">
        <v>0</v>
      </c>
      <c r="BF62">
        <v>25</v>
      </c>
      <c r="BG62">
        <v>13191.06</v>
      </c>
      <c r="BH62">
        <v>1771103835.0999999</v>
      </c>
      <c r="BI62" t="s">
        <v>376</v>
      </c>
      <c r="BJ62">
        <v>1771103835.0999999</v>
      </c>
      <c r="BK62">
        <v>1771103812.0999999</v>
      </c>
      <c r="BL62">
        <v>14</v>
      </c>
      <c r="BM62">
        <v>0.26200000000000001</v>
      </c>
      <c r="BN62">
        <v>1.2E-2</v>
      </c>
      <c r="BO62">
        <v>-0.443</v>
      </c>
      <c r="BP62">
        <v>5.8999999999999997E-2</v>
      </c>
      <c r="BQ62">
        <v>150</v>
      </c>
      <c r="BR62">
        <v>13</v>
      </c>
      <c r="BS62">
        <v>0.18</v>
      </c>
      <c r="BT62">
        <v>0.04</v>
      </c>
      <c r="BU62">
        <v>35.914766666666701</v>
      </c>
      <c r="BV62">
        <v>-162.09416883116899</v>
      </c>
      <c r="BW62">
        <v>16.731160163807701</v>
      </c>
      <c r="BX62">
        <v>0</v>
      </c>
      <c r="BY62">
        <v>0</v>
      </c>
      <c r="BZ62">
        <v>0</v>
      </c>
      <c r="CA62">
        <v>0</v>
      </c>
      <c r="CB62">
        <v>-1</v>
      </c>
      <c r="CC62">
        <v>0.17419615714285699</v>
      </c>
      <c r="CD62">
        <v>5.4195020571428598</v>
      </c>
      <c r="CE62">
        <v>0.55049248175776899</v>
      </c>
      <c r="CF62">
        <v>0</v>
      </c>
      <c r="CG62">
        <v>0</v>
      </c>
      <c r="CH62">
        <v>2</v>
      </c>
      <c r="CI62" t="s">
        <v>290</v>
      </c>
      <c r="CJ62">
        <v>3.53247</v>
      </c>
      <c r="CK62">
        <v>2.7008299999999998</v>
      </c>
      <c r="CL62">
        <v>1.85635E-2</v>
      </c>
      <c r="CM62">
        <v>1.43745E-2</v>
      </c>
      <c r="CN62">
        <v>9.0186799999999998E-2</v>
      </c>
      <c r="CO62">
        <v>8.4878499999999996E-2</v>
      </c>
      <c r="CP62">
        <v>34383.9</v>
      </c>
      <c r="CQ62">
        <v>30354.6</v>
      </c>
      <c r="CR62">
        <v>32427.5</v>
      </c>
      <c r="CS62">
        <v>30726.799999999999</v>
      </c>
      <c r="CT62">
        <v>39948.800000000003</v>
      </c>
      <c r="CU62">
        <v>39543.4</v>
      </c>
      <c r="CV62">
        <v>47368.9</v>
      </c>
      <c r="CW62">
        <v>46874.8</v>
      </c>
      <c r="CX62">
        <v>2.6136200000000001</v>
      </c>
      <c r="CY62">
        <v>2.12216</v>
      </c>
      <c r="CZ62">
        <v>0</v>
      </c>
      <c r="DA62">
        <v>0</v>
      </c>
      <c r="DB62">
        <v>999.9</v>
      </c>
      <c r="DC62">
        <v>999.9</v>
      </c>
      <c r="DD62">
        <v>45.996000000000002</v>
      </c>
      <c r="DE62">
        <v>28.701000000000001</v>
      </c>
      <c r="DF62">
        <v>18.191500000000001</v>
      </c>
      <c r="DG62">
        <v>30.368200000000002</v>
      </c>
      <c r="DH62">
        <v>17.055299999999999</v>
      </c>
      <c r="DI62">
        <v>2</v>
      </c>
      <c r="DJ62">
        <v>-7.1754100000000001E-2</v>
      </c>
      <c r="DK62">
        <v>2.7744800000000001</v>
      </c>
      <c r="DL62">
        <v>20.186800000000002</v>
      </c>
      <c r="DM62">
        <v>5.25251</v>
      </c>
      <c r="DN62">
        <v>12.033899999999999</v>
      </c>
      <c r="DO62">
        <v>4.9678800000000001</v>
      </c>
      <c r="DP62">
        <v>3.2909999999999999</v>
      </c>
      <c r="DQ62">
        <v>607.9</v>
      </c>
      <c r="DR62">
        <v>9999</v>
      </c>
      <c r="DS62">
        <v>9999</v>
      </c>
      <c r="DT62">
        <v>9999</v>
      </c>
      <c r="DU62">
        <v>1.8711800000000001</v>
      </c>
      <c r="DV62">
        <v>1.8762000000000001</v>
      </c>
      <c r="DW62">
        <v>1.8763799999999999</v>
      </c>
      <c r="DX62">
        <v>1.8829199999999999</v>
      </c>
      <c r="DY62">
        <v>1.8756299999999999</v>
      </c>
      <c r="DZ62">
        <v>1.8747100000000001</v>
      </c>
      <c r="EA62">
        <v>1.8708800000000001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-0.443</v>
      </c>
      <c r="EQ62">
        <v>5.9299999999999999E-2</v>
      </c>
      <c r="ER62">
        <v>-0.442636363636353</v>
      </c>
      <c r="ES62">
        <v>0</v>
      </c>
      <c r="ET62">
        <v>0</v>
      </c>
      <c r="EU62">
        <v>0</v>
      </c>
      <c r="EV62">
        <v>5.9279999999997599E-2</v>
      </c>
      <c r="EW62">
        <v>0</v>
      </c>
      <c r="EX62">
        <v>0</v>
      </c>
      <c r="EY62">
        <v>0</v>
      </c>
      <c r="EZ62">
        <v>-1</v>
      </c>
      <c r="FA62">
        <v>-1</v>
      </c>
      <c r="FB62">
        <v>-1</v>
      </c>
      <c r="FC62">
        <v>-1</v>
      </c>
      <c r="FD62">
        <v>4</v>
      </c>
      <c r="FE62">
        <v>4.3</v>
      </c>
      <c r="FF62">
        <v>0.28930699999999998</v>
      </c>
      <c r="FG62">
        <v>2.6159699999999999</v>
      </c>
      <c r="FH62">
        <v>2.19604</v>
      </c>
      <c r="FI62">
        <v>2.5744600000000002</v>
      </c>
      <c r="FJ62">
        <v>2.4462899999999999</v>
      </c>
      <c r="FK62">
        <v>2.2949199999999998</v>
      </c>
      <c r="FL62">
        <v>32.9983</v>
      </c>
      <c r="FM62">
        <v>24.105</v>
      </c>
      <c r="FN62">
        <v>19</v>
      </c>
      <c r="FO62">
        <v>865.80499999999995</v>
      </c>
      <c r="FP62">
        <v>576.46900000000005</v>
      </c>
      <c r="FQ62">
        <v>17.412099999999999</v>
      </c>
      <c r="FR62">
        <v>26.070900000000002</v>
      </c>
      <c r="FS62">
        <v>29.999700000000001</v>
      </c>
      <c r="FT62">
        <v>26.0686</v>
      </c>
      <c r="FU62">
        <v>26.065899999999999</v>
      </c>
      <c r="FV62">
        <v>5.8346999999999998</v>
      </c>
      <c r="FW62">
        <v>22.4636</v>
      </c>
      <c r="FX62">
        <v>38.798299999999998</v>
      </c>
      <c r="FY62">
        <v>17.462199999999999</v>
      </c>
      <c r="FZ62">
        <v>50</v>
      </c>
      <c r="GA62">
        <v>14.814399999999999</v>
      </c>
      <c r="GB62">
        <v>99.803399999999996</v>
      </c>
      <c r="GC62">
        <v>99.773499999999999</v>
      </c>
    </row>
    <row r="63" spans="1:185" x14ac:dyDescent="0.2">
      <c r="A63">
        <v>48</v>
      </c>
      <c r="B63">
        <v>1771104088.0999999</v>
      </c>
      <c r="C63">
        <v>975</v>
      </c>
      <c r="D63" t="s">
        <v>393</v>
      </c>
      <c r="E63" t="s">
        <v>394</v>
      </c>
      <c r="F63">
        <v>15</v>
      </c>
      <c r="G63">
        <v>1771104080.03333</v>
      </c>
      <c r="H63">
        <f t="shared" si="0"/>
        <v>1.0170189690928248E-3</v>
      </c>
      <c r="I63">
        <v>0</v>
      </c>
      <c r="J63">
        <f t="shared" si="12"/>
        <v>-0.3933813621464593</v>
      </c>
      <c r="K63">
        <f t="shared" si="1"/>
        <v>-7.0341521578415067</v>
      </c>
      <c r="L63">
        <f t="shared" si="2"/>
        <v>73.620665245378135</v>
      </c>
      <c r="M63">
        <f t="shared" si="3"/>
        <v>1.6142683022126152</v>
      </c>
      <c r="N63">
        <f t="shared" si="4"/>
        <v>2.192683666783299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26230.05939158444</v>
      </c>
      <c r="T63">
        <f t="shared" si="8"/>
        <v>800.00086666666698</v>
      </c>
      <c r="U63">
        <f t="shared" si="9"/>
        <v>674.40025811948806</v>
      </c>
      <c r="V63">
        <f t="shared" si="10"/>
        <v>0.84299940939999962</v>
      </c>
      <c r="W63">
        <f t="shared" si="11"/>
        <v>0.15869861444399996</v>
      </c>
      <c r="X63">
        <v>1</v>
      </c>
      <c r="Y63">
        <v>1771104080.03333</v>
      </c>
      <c r="Z63">
        <v>58.735413333333298</v>
      </c>
      <c r="AA63">
        <v>50.017433333333301</v>
      </c>
      <c r="AB63">
        <v>16.142160000000001</v>
      </c>
      <c r="AC63">
        <v>14.891413333333301</v>
      </c>
      <c r="AD63">
        <v>59.178033333333303</v>
      </c>
      <c r="AE63">
        <v>16.082886666666699</v>
      </c>
      <c r="AF63">
        <v>800.00379999999996</v>
      </c>
      <c r="AG63">
        <v>99.940233333333296</v>
      </c>
      <c r="AH63">
        <v>6.30067666666667E-2</v>
      </c>
      <c r="AI63">
        <v>18.90896</v>
      </c>
      <c r="AJ63">
        <v>999.9</v>
      </c>
      <c r="AK63">
        <v>999.9</v>
      </c>
      <c r="AL63">
        <v>0</v>
      </c>
      <c r="AM63">
        <v>0</v>
      </c>
      <c r="AN63">
        <v>5002.5333333333301</v>
      </c>
      <c r="AO63">
        <v>0</v>
      </c>
      <c r="AP63">
        <v>1.63733</v>
      </c>
      <c r="AQ63">
        <v>8.7179900000000004</v>
      </c>
      <c r="AR63">
        <v>59.699120000000001</v>
      </c>
      <c r="AS63">
        <v>50.773526666666697</v>
      </c>
      <c r="AT63">
        <v>1.2507368000000001</v>
      </c>
      <c r="AU63">
        <v>50.017433333333301</v>
      </c>
      <c r="AV63">
        <v>14.891413333333301</v>
      </c>
      <c r="AW63">
        <v>1.6132506666666699</v>
      </c>
      <c r="AX63">
        <v>1.4882519999999999</v>
      </c>
      <c r="AY63">
        <v>14.0859533333333</v>
      </c>
      <c r="AZ63">
        <v>12.847253333333301</v>
      </c>
      <c r="BA63">
        <v>800.00086666666698</v>
      </c>
      <c r="BB63">
        <v>0.90001833333333303</v>
      </c>
      <c r="BC63">
        <v>0</v>
      </c>
      <c r="BD63">
        <v>9.9981619999999993E-2</v>
      </c>
      <c r="BE63">
        <v>0</v>
      </c>
      <c r="BF63">
        <v>25</v>
      </c>
      <c r="BG63">
        <v>13191.1133333333</v>
      </c>
      <c r="BH63">
        <v>1771103835.0999999</v>
      </c>
      <c r="BI63" t="s">
        <v>376</v>
      </c>
      <c r="BJ63">
        <v>1771103835.0999999</v>
      </c>
      <c r="BK63">
        <v>1771103812.0999999</v>
      </c>
      <c r="BL63">
        <v>14</v>
      </c>
      <c r="BM63">
        <v>0.26200000000000001</v>
      </c>
      <c r="BN63">
        <v>1.2E-2</v>
      </c>
      <c r="BO63">
        <v>-0.443</v>
      </c>
      <c r="BP63">
        <v>5.8999999999999997E-2</v>
      </c>
      <c r="BQ63">
        <v>150</v>
      </c>
      <c r="BR63">
        <v>13</v>
      </c>
      <c r="BS63">
        <v>0.18</v>
      </c>
      <c r="BT63">
        <v>0.04</v>
      </c>
      <c r="BU63">
        <v>12.207959047618999</v>
      </c>
      <c r="BV63">
        <v>-52.135750129870097</v>
      </c>
      <c r="BW63">
        <v>5.3840884723395899</v>
      </c>
      <c r="BX63">
        <v>0</v>
      </c>
      <c r="BY63">
        <v>0</v>
      </c>
      <c r="BZ63">
        <v>0</v>
      </c>
      <c r="CA63">
        <v>0</v>
      </c>
      <c r="CB63">
        <v>-1</v>
      </c>
      <c r="CC63">
        <v>1.0860889047619</v>
      </c>
      <c r="CD63">
        <v>2.4686194285714298</v>
      </c>
      <c r="CE63">
        <v>0.25262536668108498</v>
      </c>
      <c r="CF63">
        <v>0</v>
      </c>
      <c r="CG63">
        <v>0</v>
      </c>
      <c r="CH63">
        <v>2</v>
      </c>
      <c r="CI63" t="s">
        <v>290</v>
      </c>
      <c r="CJ63">
        <v>3.5325199999999999</v>
      </c>
      <c r="CK63">
        <v>2.7010100000000001</v>
      </c>
      <c r="CL63">
        <v>1.5982099999999999E-2</v>
      </c>
      <c r="CM63">
        <v>1.4350699999999999E-2</v>
      </c>
      <c r="CN63">
        <v>8.9945300000000006E-2</v>
      </c>
      <c r="CO63">
        <v>8.2697900000000005E-2</v>
      </c>
      <c r="CP63">
        <v>34474.5</v>
      </c>
      <c r="CQ63">
        <v>30355.5</v>
      </c>
      <c r="CR63">
        <v>32427.7</v>
      </c>
      <c r="CS63">
        <v>30727.1</v>
      </c>
      <c r="CT63">
        <v>39959.599999999999</v>
      </c>
      <c r="CU63">
        <v>39640.6</v>
      </c>
      <c r="CV63">
        <v>47369.1</v>
      </c>
      <c r="CW63">
        <v>46875.3</v>
      </c>
      <c r="CX63">
        <v>2.6142799999999999</v>
      </c>
      <c r="CY63">
        <v>2.1210399999999998</v>
      </c>
      <c r="CZ63">
        <v>0</v>
      </c>
      <c r="DA63">
        <v>0</v>
      </c>
      <c r="DB63">
        <v>999.9</v>
      </c>
      <c r="DC63">
        <v>999.9</v>
      </c>
      <c r="DD63">
        <v>46.014000000000003</v>
      </c>
      <c r="DE63">
        <v>28.701000000000001</v>
      </c>
      <c r="DF63">
        <v>18.1982</v>
      </c>
      <c r="DG63">
        <v>30.638200000000001</v>
      </c>
      <c r="DH63">
        <v>16.915099999999999</v>
      </c>
      <c r="DI63">
        <v>2</v>
      </c>
      <c r="DJ63">
        <v>-7.1973599999999999E-2</v>
      </c>
      <c r="DK63">
        <v>2.56732</v>
      </c>
      <c r="DL63">
        <v>20.1906</v>
      </c>
      <c r="DM63">
        <v>5.2520300000000004</v>
      </c>
      <c r="DN63">
        <v>12.033899999999999</v>
      </c>
      <c r="DO63">
        <v>4.9676</v>
      </c>
      <c r="DP63">
        <v>3.2909999999999999</v>
      </c>
      <c r="DQ63">
        <v>607.9</v>
      </c>
      <c r="DR63">
        <v>9999</v>
      </c>
      <c r="DS63">
        <v>9999</v>
      </c>
      <c r="DT63">
        <v>9999</v>
      </c>
      <c r="DU63">
        <v>1.8711899999999999</v>
      </c>
      <c r="DV63">
        <v>1.87622</v>
      </c>
      <c r="DW63">
        <v>1.8763799999999999</v>
      </c>
      <c r="DX63">
        <v>1.88293</v>
      </c>
      <c r="DY63">
        <v>1.8756299999999999</v>
      </c>
      <c r="DZ63">
        <v>1.8747100000000001</v>
      </c>
      <c r="EA63">
        <v>1.8708899999999999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-0.443</v>
      </c>
      <c r="EQ63">
        <v>5.9299999999999999E-2</v>
      </c>
      <c r="ER63">
        <v>-0.442636363636353</v>
      </c>
      <c r="ES63">
        <v>0</v>
      </c>
      <c r="ET63">
        <v>0</v>
      </c>
      <c r="EU63">
        <v>0</v>
      </c>
      <c r="EV63">
        <v>5.9279999999997599E-2</v>
      </c>
      <c r="EW63">
        <v>0</v>
      </c>
      <c r="EX63">
        <v>0</v>
      </c>
      <c r="EY63">
        <v>0</v>
      </c>
      <c r="EZ63">
        <v>-1</v>
      </c>
      <c r="FA63">
        <v>-1</v>
      </c>
      <c r="FB63">
        <v>-1</v>
      </c>
      <c r="FC63">
        <v>-1</v>
      </c>
      <c r="FD63">
        <v>4.2</v>
      </c>
      <c r="FE63">
        <v>4.5999999999999996</v>
      </c>
      <c r="FF63">
        <v>0.28930699999999998</v>
      </c>
      <c r="FG63">
        <v>2.6196299999999999</v>
      </c>
      <c r="FH63">
        <v>2.19604</v>
      </c>
      <c r="FI63">
        <v>2.5756800000000002</v>
      </c>
      <c r="FJ63">
        <v>2.4462899999999999</v>
      </c>
      <c r="FK63">
        <v>2.2619600000000002</v>
      </c>
      <c r="FL63">
        <v>32.9983</v>
      </c>
      <c r="FM63">
        <v>24.105</v>
      </c>
      <c r="FN63">
        <v>19</v>
      </c>
      <c r="FO63">
        <v>866.42</v>
      </c>
      <c r="FP63">
        <v>575.63199999999995</v>
      </c>
      <c r="FQ63">
        <v>17.5822</v>
      </c>
      <c r="FR63">
        <v>26.0731</v>
      </c>
      <c r="FS63">
        <v>29.9999</v>
      </c>
      <c r="FT63">
        <v>26.0686</v>
      </c>
      <c r="FU63">
        <v>26.068000000000001</v>
      </c>
      <c r="FV63">
        <v>5.8354400000000002</v>
      </c>
      <c r="FW63">
        <v>25.1861</v>
      </c>
      <c r="FX63">
        <v>38.798299999999998</v>
      </c>
      <c r="FY63">
        <v>17.653600000000001</v>
      </c>
      <c r="FZ63">
        <v>50</v>
      </c>
      <c r="GA63">
        <v>14.365</v>
      </c>
      <c r="GB63">
        <v>99.803899999999999</v>
      </c>
      <c r="GC63">
        <v>99.774500000000003</v>
      </c>
    </row>
    <row r="64" spans="1:185" x14ac:dyDescent="0.2">
      <c r="A64">
        <v>49</v>
      </c>
      <c r="B64">
        <v>1771104103.0999999</v>
      </c>
      <c r="C64">
        <v>990</v>
      </c>
      <c r="D64" t="s">
        <v>395</v>
      </c>
      <c r="E64" t="s">
        <v>396</v>
      </c>
      <c r="F64">
        <v>15</v>
      </c>
      <c r="G64">
        <v>1771104095.03333</v>
      </c>
      <c r="H64">
        <f t="shared" si="0"/>
        <v>1.2989530284168692E-3</v>
      </c>
      <c r="I64">
        <v>0</v>
      </c>
      <c r="J64">
        <f t="shared" si="12"/>
        <v>-0.14543470232486044</v>
      </c>
      <c r="K64">
        <f t="shared" si="1"/>
        <v>-2.6005548905557423</v>
      </c>
      <c r="L64">
        <f t="shared" si="2"/>
        <v>73.107409032894878</v>
      </c>
      <c r="M64">
        <f t="shared" si="3"/>
        <v>1.6021515353921636</v>
      </c>
      <c r="N64">
        <f t="shared" si="4"/>
        <v>2.1915036472859697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26229.56400326623</v>
      </c>
      <c r="T64">
        <f t="shared" si="8"/>
        <v>799.99973333333298</v>
      </c>
      <c r="U64">
        <f t="shared" si="9"/>
        <v>674.3993352001462</v>
      </c>
      <c r="V64">
        <f t="shared" si="10"/>
        <v>0.84299944999999976</v>
      </c>
      <c r="W64">
        <f t="shared" si="11"/>
        <v>0.15869862499999998</v>
      </c>
      <c r="X64">
        <v>1</v>
      </c>
      <c r="Y64">
        <v>1771104095.03333</v>
      </c>
      <c r="Z64">
        <v>53.153126666666701</v>
      </c>
      <c r="AA64">
        <v>49.988759999999999</v>
      </c>
      <c r="AB64">
        <v>16.0210066666667</v>
      </c>
      <c r="AC64">
        <v>14.42334</v>
      </c>
      <c r="AD64">
        <v>53.595766666666698</v>
      </c>
      <c r="AE64">
        <v>15.961733333333299</v>
      </c>
      <c r="AF64">
        <v>800.00573333333296</v>
      </c>
      <c r="AG64">
        <v>99.940013333333297</v>
      </c>
      <c r="AH64">
        <v>6.3161793333333299E-2</v>
      </c>
      <c r="AI64">
        <v>18.90034</v>
      </c>
      <c r="AJ64">
        <v>999.9</v>
      </c>
      <c r="AK64">
        <v>999.9</v>
      </c>
      <c r="AL64">
        <v>0</v>
      </c>
      <c r="AM64">
        <v>0</v>
      </c>
      <c r="AN64">
        <v>5002.3333333333303</v>
      </c>
      <c r="AO64">
        <v>0</v>
      </c>
      <c r="AP64">
        <v>1.63733</v>
      </c>
      <c r="AQ64">
        <v>3.16436933333333</v>
      </c>
      <c r="AR64">
        <v>54.0185933333333</v>
      </c>
      <c r="AS64">
        <v>50.720313333333301</v>
      </c>
      <c r="AT64">
        <v>1.5976733333333299</v>
      </c>
      <c r="AU64">
        <v>49.988759999999999</v>
      </c>
      <c r="AV64">
        <v>14.42334</v>
      </c>
      <c r="AW64">
        <v>1.60114133333333</v>
      </c>
      <c r="AX64">
        <v>1.44147</v>
      </c>
      <c r="AY64">
        <v>13.9697266666667</v>
      </c>
      <c r="AZ64">
        <v>12.360613333333299</v>
      </c>
      <c r="BA64">
        <v>799.99973333333298</v>
      </c>
      <c r="BB64">
        <v>0.90001833333333303</v>
      </c>
      <c r="BC64">
        <v>0</v>
      </c>
      <c r="BD64">
        <v>9.9981666666666705E-2</v>
      </c>
      <c r="BE64">
        <v>0</v>
      </c>
      <c r="BF64">
        <v>25</v>
      </c>
      <c r="BG64">
        <v>13191.086666666701</v>
      </c>
      <c r="BH64">
        <v>1771103835.0999999</v>
      </c>
      <c r="BI64" t="s">
        <v>376</v>
      </c>
      <c r="BJ64">
        <v>1771103835.0999999</v>
      </c>
      <c r="BK64">
        <v>1771103812.0999999</v>
      </c>
      <c r="BL64">
        <v>14</v>
      </c>
      <c r="BM64">
        <v>0.26200000000000001</v>
      </c>
      <c r="BN64">
        <v>1.2E-2</v>
      </c>
      <c r="BO64">
        <v>-0.443</v>
      </c>
      <c r="BP64">
        <v>5.8999999999999997E-2</v>
      </c>
      <c r="BQ64">
        <v>150</v>
      </c>
      <c r="BR64">
        <v>13</v>
      </c>
      <c r="BS64">
        <v>0.18</v>
      </c>
      <c r="BT64">
        <v>0.04</v>
      </c>
      <c r="BU64">
        <v>4.0643700000000003</v>
      </c>
      <c r="BV64">
        <v>-15.2915034586466</v>
      </c>
      <c r="BW64">
        <v>1.4999195170708299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1.5324150000000001</v>
      </c>
      <c r="CD64">
        <v>1.1286739849624099</v>
      </c>
      <c r="CE64">
        <v>0.10980524160986101</v>
      </c>
      <c r="CF64">
        <v>0</v>
      </c>
      <c r="CG64">
        <v>0</v>
      </c>
      <c r="CH64">
        <v>2</v>
      </c>
      <c r="CI64" t="s">
        <v>290</v>
      </c>
      <c r="CJ64">
        <v>3.5324800000000001</v>
      </c>
      <c r="CK64">
        <v>2.7009799999999999</v>
      </c>
      <c r="CL64">
        <v>1.519E-2</v>
      </c>
      <c r="CM64">
        <v>1.43506E-2</v>
      </c>
      <c r="CN64">
        <v>8.9287000000000005E-2</v>
      </c>
      <c r="CO64">
        <v>8.1107499999999999E-2</v>
      </c>
      <c r="CP64">
        <v>34502.300000000003</v>
      </c>
      <c r="CQ64">
        <v>30355.5</v>
      </c>
      <c r="CR64">
        <v>32427.7</v>
      </c>
      <c r="CS64">
        <v>30727.1</v>
      </c>
      <c r="CT64">
        <v>39989.5</v>
      </c>
      <c r="CU64">
        <v>39710.800000000003</v>
      </c>
      <c r="CV64">
        <v>47369.2</v>
      </c>
      <c r="CW64">
        <v>46875</v>
      </c>
      <c r="CX64">
        <v>2.6146400000000001</v>
      </c>
      <c r="CY64">
        <v>2.1201599999999998</v>
      </c>
      <c r="CZ64">
        <v>0</v>
      </c>
      <c r="DA64">
        <v>0</v>
      </c>
      <c r="DB64">
        <v>999.9</v>
      </c>
      <c r="DC64">
        <v>999.9</v>
      </c>
      <c r="DD64">
        <v>45.982999999999997</v>
      </c>
      <c r="DE64">
        <v>28.710999999999999</v>
      </c>
      <c r="DF64">
        <v>18.1967</v>
      </c>
      <c r="DG64">
        <v>30.638200000000001</v>
      </c>
      <c r="DH64">
        <v>17.071300000000001</v>
      </c>
      <c r="DI64">
        <v>2</v>
      </c>
      <c r="DJ64">
        <v>-7.2589399999999998E-2</v>
      </c>
      <c r="DK64">
        <v>2.3310599999999999</v>
      </c>
      <c r="DL64">
        <v>20.194500000000001</v>
      </c>
      <c r="DM64">
        <v>5.2516699999999998</v>
      </c>
      <c r="DN64">
        <v>12.033899999999999</v>
      </c>
      <c r="DO64">
        <v>4.9676400000000003</v>
      </c>
      <c r="DP64">
        <v>3.2909999999999999</v>
      </c>
      <c r="DQ64">
        <v>607.9</v>
      </c>
      <c r="DR64">
        <v>9999</v>
      </c>
      <c r="DS64">
        <v>9999</v>
      </c>
      <c r="DT64">
        <v>9999</v>
      </c>
      <c r="DU64">
        <v>1.8711899999999999</v>
      </c>
      <c r="DV64">
        <v>1.87622</v>
      </c>
      <c r="DW64">
        <v>1.87639</v>
      </c>
      <c r="DX64">
        <v>1.8829199999999999</v>
      </c>
      <c r="DY64">
        <v>1.87564</v>
      </c>
      <c r="DZ64">
        <v>1.8747100000000001</v>
      </c>
      <c r="EA64">
        <v>1.8708800000000001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-0.443</v>
      </c>
      <c r="EQ64">
        <v>5.9299999999999999E-2</v>
      </c>
      <c r="ER64">
        <v>-0.442636363636353</v>
      </c>
      <c r="ES64">
        <v>0</v>
      </c>
      <c r="ET64">
        <v>0</v>
      </c>
      <c r="EU64">
        <v>0</v>
      </c>
      <c r="EV64">
        <v>5.9279999999997599E-2</v>
      </c>
      <c r="EW64">
        <v>0</v>
      </c>
      <c r="EX64">
        <v>0</v>
      </c>
      <c r="EY64">
        <v>0</v>
      </c>
      <c r="EZ64">
        <v>-1</v>
      </c>
      <c r="FA64">
        <v>-1</v>
      </c>
      <c r="FB64">
        <v>-1</v>
      </c>
      <c r="FC64">
        <v>-1</v>
      </c>
      <c r="FD64">
        <v>4.5</v>
      </c>
      <c r="FE64">
        <v>4.8</v>
      </c>
      <c r="FF64">
        <v>0.28930699999999998</v>
      </c>
      <c r="FG64">
        <v>2.6110799999999998</v>
      </c>
      <c r="FH64">
        <v>2.19604</v>
      </c>
      <c r="FI64">
        <v>2.5756800000000002</v>
      </c>
      <c r="FJ64">
        <v>2.4462899999999999</v>
      </c>
      <c r="FK64">
        <v>2.2961399999999998</v>
      </c>
      <c r="FL64">
        <v>32.975999999999999</v>
      </c>
      <c r="FM64">
        <v>24.113800000000001</v>
      </c>
      <c r="FN64">
        <v>19</v>
      </c>
      <c r="FO64">
        <v>866.75599999999997</v>
      </c>
      <c r="FP64">
        <v>574.95699999999999</v>
      </c>
      <c r="FQ64">
        <v>17.793600000000001</v>
      </c>
      <c r="FR64">
        <v>26.075299999999999</v>
      </c>
      <c r="FS64">
        <v>29.9999</v>
      </c>
      <c r="FT64">
        <v>26.0686</v>
      </c>
      <c r="FU64">
        <v>26.068000000000001</v>
      </c>
      <c r="FV64">
        <v>5.8361499999999999</v>
      </c>
      <c r="FW64">
        <v>26.726400000000002</v>
      </c>
      <c r="FX64">
        <v>38.426400000000001</v>
      </c>
      <c r="FY64">
        <v>17.863</v>
      </c>
      <c r="FZ64">
        <v>50</v>
      </c>
      <c r="GA64">
        <v>14.0633</v>
      </c>
      <c r="GB64">
        <v>99.804100000000005</v>
      </c>
      <c r="GC64">
        <v>99.774000000000001</v>
      </c>
    </row>
    <row r="65" spans="1:185" x14ac:dyDescent="0.2">
      <c r="A65">
        <v>50</v>
      </c>
      <c r="B65">
        <v>1771104118.0999999</v>
      </c>
      <c r="C65">
        <v>1005</v>
      </c>
      <c r="D65" t="s">
        <v>397</v>
      </c>
      <c r="E65" t="s">
        <v>398</v>
      </c>
      <c r="F65">
        <v>15</v>
      </c>
      <c r="G65">
        <v>1771104110.03333</v>
      </c>
      <c r="H65">
        <f t="shared" si="0"/>
        <v>1.4200770713516271E-3</v>
      </c>
      <c r="I65">
        <v>0</v>
      </c>
      <c r="J65">
        <f t="shared" si="12"/>
        <v>-6.823746091616005E-2</v>
      </c>
      <c r="K65">
        <f t="shared" si="1"/>
        <v>-1.2201713887256491</v>
      </c>
      <c r="L65">
        <f t="shared" si="2"/>
        <v>72.344183267500966</v>
      </c>
      <c r="M65">
        <f t="shared" si="3"/>
        <v>1.5869362921111954</v>
      </c>
      <c r="N65">
        <f t="shared" si="4"/>
        <v>2.1935921043483417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26219.122045536838</v>
      </c>
      <c r="T65">
        <f t="shared" si="8"/>
        <v>799.99926666666704</v>
      </c>
      <c r="U65">
        <f t="shared" si="9"/>
        <v>674.39884996048772</v>
      </c>
      <c r="V65">
        <f t="shared" si="10"/>
        <v>0.84299933519999992</v>
      </c>
      <c r="W65">
        <f t="shared" si="11"/>
        <v>0.15869841595199999</v>
      </c>
      <c r="X65">
        <v>1</v>
      </c>
      <c r="Y65">
        <v>1771104110.03333</v>
      </c>
      <c r="Z65">
        <v>51.433999999999997</v>
      </c>
      <c r="AA65">
        <v>50.000086666666697</v>
      </c>
      <c r="AB65">
        <v>15.868966666666701</v>
      </c>
      <c r="AC65">
        <v>14.12204</v>
      </c>
      <c r="AD65">
        <v>51.876640000000002</v>
      </c>
      <c r="AE65">
        <v>15.8096866666667</v>
      </c>
      <c r="AF65">
        <v>800.00033333333397</v>
      </c>
      <c r="AG65">
        <v>99.939319999999995</v>
      </c>
      <c r="AH65">
        <v>6.3177040000000004E-2</v>
      </c>
      <c r="AI65">
        <v>18.915593333333302</v>
      </c>
      <c r="AJ65">
        <v>999.9</v>
      </c>
      <c r="AK65">
        <v>999.9</v>
      </c>
      <c r="AL65">
        <v>0</v>
      </c>
      <c r="AM65">
        <v>0</v>
      </c>
      <c r="AN65">
        <v>5000.8666666666704</v>
      </c>
      <c r="AO65">
        <v>0</v>
      </c>
      <c r="AP65">
        <v>1.63733</v>
      </c>
      <c r="AQ65">
        <v>1.4339153333333301</v>
      </c>
      <c r="AR65">
        <v>52.263386666666698</v>
      </c>
      <c r="AS65">
        <v>50.716313333333296</v>
      </c>
      <c r="AT65">
        <v>1.7469413333333299</v>
      </c>
      <c r="AU65">
        <v>50.000086666666697</v>
      </c>
      <c r="AV65">
        <v>14.12204</v>
      </c>
      <c r="AW65">
        <v>1.58593466666667</v>
      </c>
      <c r="AX65">
        <v>1.4113466666666701</v>
      </c>
      <c r="AY65">
        <v>13.822760000000001</v>
      </c>
      <c r="AZ65">
        <v>12.0399266666667</v>
      </c>
      <c r="BA65">
        <v>799.99926666666704</v>
      </c>
      <c r="BB65">
        <v>0.90002099999999996</v>
      </c>
      <c r="BC65">
        <v>0</v>
      </c>
      <c r="BD65">
        <v>9.9978960000000006E-2</v>
      </c>
      <c r="BE65">
        <v>0</v>
      </c>
      <c r="BF65">
        <v>25</v>
      </c>
      <c r="BG65">
        <v>13191.1</v>
      </c>
      <c r="BH65">
        <v>1771103835.0999999</v>
      </c>
      <c r="BI65" t="s">
        <v>376</v>
      </c>
      <c r="BJ65">
        <v>1771103835.0999999</v>
      </c>
      <c r="BK65">
        <v>1771103812.0999999</v>
      </c>
      <c r="BL65">
        <v>14</v>
      </c>
      <c r="BM65">
        <v>0.26200000000000001</v>
      </c>
      <c r="BN65">
        <v>1.2E-2</v>
      </c>
      <c r="BO65">
        <v>-0.443</v>
      </c>
      <c r="BP65">
        <v>5.8999999999999997E-2</v>
      </c>
      <c r="BQ65">
        <v>150</v>
      </c>
      <c r="BR65">
        <v>13</v>
      </c>
      <c r="BS65">
        <v>0.18</v>
      </c>
      <c r="BT65">
        <v>0.04</v>
      </c>
      <c r="BU65">
        <v>1.7699276190476201</v>
      </c>
      <c r="BV65">
        <v>-4.9901345454545396</v>
      </c>
      <c r="BW65">
        <v>0.51553264301898505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1.71577047619048</v>
      </c>
      <c r="CD65">
        <v>0.46091922077922298</v>
      </c>
      <c r="CE65">
        <v>4.6976048149809699E-2</v>
      </c>
      <c r="CF65">
        <v>0</v>
      </c>
      <c r="CG65">
        <v>0</v>
      </c>
      <c r="CH65">
        <v>2</v>
      </c>
      <c r="CI65" t="s">
        <v>290</v>
      </c>
      <c r="CJ65">
        <v>3.53254</v>
      </c>
      <c r="CK65">
        <v>2.7008700000000001</v>
      </c>
      <c r="CL65">
        <v>1.49385E-2</v>
      </c>
      <c r="CM65">
        <v>1.4344600000000001E-2</v>
      </c>
      <c r="CN65">
        <v>8.8706999999999994E-2</v>
      </c>
      <c r="CO65">
        <v>8.0063200000000001E-2</v>
      </c>
      <c r="CP65">
        <v>34510.5</v>
      </c>
      <c r="CQ65">
        <v>30355.5</v>
      </c>
      <c r="CR65">
        <v>32427.1</v>
      </c>
      <c r="CS65">
        <v>30726.9</v>
      </c>
      <c r="CT65">
        <v>40015</v>
      </c>
      <c r="CU65">
        <v>39757</v>
      </c>
      <c r="CV65">
        <v>47368.4</v>
      </c>
      <c r="CW65">
        <v>46874.9</v>
      </c>
      <c r="CX65">
        <v>2.61476</v>
      </c>
      <c r="CY65">
        <v>2.1194999999999999</v>
      </c>
      <c r="CZ65">
        <v>0</v>
      </c>
      <c r="DA65">
        <v>0</v>
      </c>
      <c r="DB65">
        <v>999.9</v>
      </c>
      <c r="DC65">
        <v>999.9</v>
      </c>
      <c r="DD65">
        <v>45.970999999999997</v>
      </c>
      <c r="DE65">
        <v>28.701000000000001</v>
      </c>
      <c r="DF65">
        <v>18.183</v>
      </c>
      <c r="DG65">
        <v>30.6082</v>
      </c>
      <c r="DH65">
        <v>16.979199999999999</v>
      </c>
      <c r="DI65">
        <v>2</v>
      </c>
      <c r="DJ65">
        <v>-7.2839399999999999E-2</v>
      </c>
      <c r="DK65">
        <v>2.2084100000000002</v>
      </c>
      <c r="DL65">
        <v>20.1965</v>
      </c>
      <c r="DM65">
        <v>5.2519099999999996</v>
      </c>
      <c r="DN65">
        <v>12.033899999999999</v>
      </c>
      <c r="DO65">
        <v>4.9676400000000003</v>
      </c>
      <c r="DP65">
        <v>3.2909999999999999</v>
      </c>
      <c r="DQ65">
        <v>607.9</v>
      </c>
      <c r="DR65">
        <v>9999</v>
      </c>
      <c r="DS65">
        <v>9999</v>
      </c>
      <c r="DT65">
        <v>9999</v>
      </c>
      <c r="DU65">
        <v>1.8712</v>
      </c>
      <c r="DV65">
        <v>1.87622</v>
      </c>
      <c r="DW65">
        <v>1.87639</v>
      </c>
      <c r="DX65">
        <v>1.8829199999999999</v>
      </c>
      <c r="DY65">
        <v>1.87568</v>
      </c>
      <c r="DZ65">
        <v>1.8747100000000001</v>
      </c>
      <c r="EA65">
        <v>1.8708899999999999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-0.443</v>
      </c>
      <c r="EQ65">
        <v>5.9299999999999999E-2</v>
      </c>
      <c r="ER65">
        <v>-0.442636363636353</v>
      </c>
      <c r="ES65">
        <v>0</v>
      </c>
      <c r="ET65">
        <v>0</v>
      </c>
      <c r="EU65">
        <v>0</v>
      </c>
      <c r="EV65">
        <v>5.9279999999997599E-2</v>
      </c>
      <c r="EW65">
        <v>0</v>
      </c>
      <c r="EX65">
        <v>0</v>
      </c>
      <c r="EY65">
        <v>0</v>
      </c>
      <c r="EZ65">
        <v>-1</v>
      </c>
      <c r="FA65">
        <v>-1</v>
      </c>
      <c r="FB65">
        <v>-1</v>
      </c>
      <c r="FC65">
        <v>-1</v>
      </c>
      <c r="FD65">
        <v>4.7</v>
      </c>
      <c r="FE65">
        <v>5.0999999999999996</v>
      </c>
      <c r="FF65">
        <v>0.28930699999999998</v>
      </c>
      <c r="FG65">
        <v>2.6147499999999999</v>
      </c>
      <c r="FH65">
        <v>2.19604</v>
      </c>
      <c r="FI65">
        <v>2.5756800000000002</v>
      </c>
      <c r="FJ65">
        <v>2.4462899999999999</v>
      </c>
      <c r="FK65">
        <v>2.2839399999999999</v>
      </c>
      <c r="FL65">
        <v>33.020600000000002</v>
      </c>
      <c r="FM65">
        <v>24.14</v>
      </c>
      <c r="FN65">
        <v>19</v>
      </c>
      <c r="FO65">
        <v>866.86800000000005</v>
      </c>
      <c r="FP65">
        <v>574.47400000000005</v>
      </c>
      <c r="FQ65">
        <v>17.9909</v>
      </c>
      <c r="FR65">
        <v>26.076599999999999</v>
      </c>
      <c r="FS65">
        <v>30</v>
      </c>
      <c r="FT65">
        <v>26.0686</v>
      </c>
      <c r="FU65">
        <v>26.0702</v>
      </c>
      <c r="FV65">
        <v>5.8371599999999999</v>
      </c>
      <c r="FW65">
        <v>27.687100000000001</v>
      </c>
      <c r="FX65">
        <v>38.426400000000001</v>
      </c>
      <c r="FY65">
        <v>18.040099999999999</v>
      </c>
      <c r="FZ65">
        <v>50</v>
      </c>
      <c r="GA65">
        <v>13.853300000000001</v>
      </c>
      <c r="GB65">
        <v>99.802300000000002</v>
      </c>
      <c r="GC65">
        <v>99.773600000000002</v>
      </c>
    </row>
    <row r="66" spans="1:185" x14ac:dyDescent="0.2">
      <c r="A66">
        <v>51</v>
      </c>
      <c r="B66">
        <v>1771104133.0999999</v>
      </c>
      <c r="C66">
        <v>1020</v>
      </c>
      <c r="D66" t="s">
        <v>399</v>
      </c>
      <c r="E66" t="s">
        <v>400</v>
      </c>
      <c r="F66">
        <v>15</v>
      </c>
      <c r="G66">
        <v>1771104125.03333</v>
      </c>
      <c r="H66">
        <f t="shared" si="0"/>
        <v>1.4885285740736315E-3</v>
      </c>
      <c r="I66">
        <v>0</v>
      </c>
      <c r="J66">
        <f t="shared" si="12"/>
        <v>-4.4798184729558113E-2</v>
      </c>
      <c r="K66">
        <f t="shared" si="1"/>
        <v>-0.80104773155338949</v>
      </c>
      <c r="L66">
        <f t="shared" si="2"/>
        <v>71.607130557935918</v>
      </c>
      <c r="M66">
        <f t="shared" si="3"/>
        <v>1.5739792380155722</v>
      </c>
      <c r="N66">
        <f t="shared" si="4"/>
        <v>2.1980761214025977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26205.126056091704</v>
      </c>
      <c r="T66">
        <f t="shared" si="8"/>
        <v>800.00033333333295</v>
      </c>
      <c r="U66">
        <f t="shared" si="9"/>
        <v>674.39984499981813</v>
      </c>
      <c r="V66">
        <f t="shared" si="10"/>
        <v>0.84299945500000018</v>
      </c>
      <c r="W66">
        <f t="shared" si="11"/>
        <v>0.15869844262000005</v>
      </c>
      <c r="X66">
        <v>1</v>
      </c>
      <c r="Y66">
        <v>1771104125.03333</v>
      </c>
      <c r="Z66">
        <v>50.897073333333303</v>
      </c>
      <c r="AA66">
        <v>49.990473333333298</v>
      </c>
      <c r="AB66">
        <v>15.73936</v>
      </c>
      <c r="AC66">
        <v>13.907999999999999</v>
      </c>
      <c r="AD66">
        <v>51.3397066666667</v>
      </c>
      <c r="AE66">
        <v>15.6800866666667</v>
      </c>
      <c r="AF66">
        <v>800.00660000000005</v>
      </c>
      <c r="AG66">
        <v>99.939520000000002</v>
      </c>
      <c r="AH66">
        <v>6.3227126666666703E-2</v>
      </c>
      <c r="AI66">
        <v>18.9483</v>
      </c>
      <c r="AJ66">
        <v>999.9</v>
      </c>
      <c r="AK66">
        <v>999.9</v>
      </c>
      <c r="AL66">
        <v>0</v>
      </c>
      <c r="AM66">
        <v>0</v>
      </c>
      <c r="AN66">
        <v>4999.0333333333301</v>
      </c>
      <c r="AO66">
        <v>0</v>
      </c>
      <c r="AP66">
        <v>1.63733</v>
      </c>
      <c r="AQ66">
        <v>0.90660839999999998</v>
      </c>
      <c r="AR66">
        <v>51.710979999999999</v>
      </c>
      <c r="AS66">
        <v>50.695540000000001</v>
      </c>
      <c r="AT66">
        <v>1.83136066666667</v>
      </c>
      <c r="AU66">
        <v>49.990473333333298</v>
      </c>
      <c r="AV66">
        <v>13.907999999999999</v>
      </c>
      <c r="AW66">
        <v>1.57298266666667</v>
      </c>
      <c r="AX66">
        <v>1.3899586666666699</v>
      </c>
      <c r="AY66">
        <v>13.696626666666701</v>
      </c>
      <c r="AZ66">
        <v>11.8084333333333</v>
      </c>
      <c r="BA66">
        <v>800.00033333333295</v>
      </c>
      <c r="BB66">
        <v>0.90002106666666704</v>
      </c>
      <c r="BC66">
        <v>0</v>
      </c>
      <c r="BD66">
        <v>9.99790333333333E-2</v>
      </c>
      <c r="BE66">
        <v>0</v>
      </c>
      <c r="BF66">
        <v>25</v>
      </c>
      <c r="BG66">
        <v>13191.106666666699</v>
      </c>
      <c r="BH66">
        <v>1771103835.0999999</v>
      </c>
      <c r="BI66" t="s">
        <v>376</v>
      </c>
      <c r="BJ66">
        <v>1771103835.0999999</v>
      </c>
      <c r="BK66">
        <v>1771103812.0999999</v>
      </c>
      <c r="BL66">
        <v>14</v>
      </c>
      <c r="BM66">
        <v>0.26200000000000001</v>
      </c>
      <c r="BN66">
        <v>1.2E-2</v>
      </c>
      <c r="BO66">
        <v>-0.443</v>
      </c>
      <c r="BP66">
        <v>5.8999999999999997E-2</v>
      </c>
      <c r="BQ66">
        <v>150</v>
      </c>
      <c r="BR66">
        <v>13</v>
      </c>
      <c r="BS66">
        <v>0.18</v>
      </c>
      <c r="BT66">
        <v>0.04</v>
      </c>
      <c r="BU66">
        <v>0.99491799999999997</v>
      </c>
      <c r="BV66">
        <v>-1.5222779548872201</v>
      </c>
      <c r="BW66">
        <v>0.14803396477092701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1.8126914999999999</v>
      </c>
      <c r="CD66">
        <v>0.29412045112782098</v>
      </c>
      <c r="CE66">
        <v>2.9376062750988301E-2</v>
      </c>
      <c r="CF66">
        <v>0</v>
      </c>
      <c r="CG66">
        <v>0</v>
      </c>
      <c r="CH66">
        <v>2</v>
      </c>
      <c r="CI66" t="s">
        <v>290</v>
      </c>
      <c r="CJ66">
        <v>3.5325199999999999</v>
      </c>
      <c r="CK66">
        <v>2.7009400000000001</v>
      </c>
      <c r="CL66">
        <v>1.48574E-2</v>
      </c>
      <c r="CM66">
        <v>1.4353899999999999E-2</v>
      </c>
      <c r="CN66">
        <v>8.8158299999999995E-2</v>
      </c>
      <c r="CO66">
        <v>7.92041E-2</v>
      </c>
      <c r="CP66">
        <v>34513.300000000003</v>
      </c>
      <c r="CQ66">
        <v>30354.5</v>
      </c>
      <c r="CR66">
        <v>32427.1</v>
      </c>
      <c r="CS66">
        <v>30726.3</v>
      </c>
      <c r="CT66">
        <v>40040</v>
      </c>
      <c r="CU66">
        <v>39794.1</v>
      </c>
      <c r="CV66">
        <v>47368.6</v>
      </c>
      <c r="CW66">
        <v>46873.8</v>
      </c>
      <c r="CX66">
        <v>2.6147999999999998</v>
      </c>
      <c r="CY66">
        <v>2.11944</v>
      </c>
      <c r="CZ66">
        <v>0</v>
      </c>
      <c r="DA66">
        <v>0</v>
      </c>
      <c r="DB66">
        <v>999.9</v>
      </c>
      <c r="DC66">
        <v>999.9</v>
      </c>
      <c r="DD66">
        <v>45.935000000000002</v>
      </c>
      <c r="DE66">
        <v>28.710999999999999</v>
      </c>
      <c r="DF66">
        <v>18.1784</v>
      </c>
      <c r="DG66">
        <v>30.668199999999999</v>
      </c>
      <c r="DH66">
        <v>17.083300000000001</v>
      </c>
      <c r="DI66">
        <v>2</v>
      </c>
      <c r="DJ66">
        <v>-7.2424799999999998E-2</v>
      </c>
      <c r="DK66">
        <v>2.1982400000000002</v>
      </c>
      <c r="DL66">
        <v>20.196100000000001</v>
      </c>
      <c r="DM66">
        <v>5.2521500000000003</v>
      </c>
      <c r="DN66">
        <v>12.033899999999999</v>
      </c>
      <c r="DO66">
        <v>4.9676</v>
      </c>
      <c r="DP66">
        <v>3.2909999999999999</v>
      </c>
      <c r="DQ66">
        <v>607.9</v>
      </c>
      <c r="DR66">
        <v>9999</v>
      </c>
      <c r="DS66">
        <v>9999</v>
      </c>
      <c r="DT66">
        <v>9999</v>
      </c>
      <c r="DU66">
        <v>1.8711899999999999</v>
      </c>
      <c r="DV66">
        <v>1.87622</v>
      </c>
      <c r="DW66">
        <v>1.8763799999999999</v>
      </c>
      <c r="DX66">
        <v>1.88293</v>
      </c>
      <c r="DY66">
        <v>1.8756699999999999</v>
      </c>
      <c r="DZ66">
        <v>1.8747100000000001</v>
      </c>
      <c r="EA66">
        <v>1.8708899999999999</v>
      </c>
      <c r="EB66">
        <v>1.87469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-0.443</v>
      </c>
      <c r="EQ66">
        <v>5.9299999999999999E-2</v>
      </c>
      <c r="ER66">
        <v>-0.442636363636353</v>
      </c>
      <c r="ES66">
        <v>0</v>
      </c>
      <c r="ET66">
        <v>0</v>
      </c>
      <c r="EU66">
        <v>0</v>
      </c>
      <c r="EV66">
        <v>5.9279999999997599E-2</v>
      </c>
      <c r="EW66">
        <v>0</v>
      </c>
      <c r="EX66">
        <v>0</v>
      </c>
      <c r="EY66">
        <v>0</v>
      </c>
      <c r="EZ66">
        <v>-1</v>
      </c>
      <c r="FA66">
        <v>-1</v>
      </c>
      <c r="FB66">
        <v>-1</v>
      </c>
      <c r="FC66">
        <v>-1</v>
      </c>
      <c r="FD66">
        <v>5</v>
      </c>
      <c r="FE66">
        <v>5.3</v>
      </c>
      <c r="FF66">
        <v>0.28930699999999998</v>
      </c>
      <c r="FG66">
        <v>2.6110799999999998</v>
      </c>
      <c r="FH66">
        <v>2.19604</v>
      </c>
      <c r="FI66">
        <v>2.5756800000000002</v>
      </c>
      <c r="FJ66">
        <v>2.4462899999999999</v>
      </c>
      <c r="FK66">
        <v>2.2912599999999999</v>
      </c>
      <c r="FL66">
        <v>32.9983</v>
      </c>
      <c r="FM66">
        <v>24.14</v>
      </c>
      <c r="FN66">
        <v>19</v>
      </c>
      <c r="FO66">
        <v>866.94100000000003</v>
      </c>
      <c r="FP66">
        <v>574.428</v>
      </c>
      <c r="FQ66">
        <v>18.127199999999998</v>
      </c>
      <c r="FR66">
        <v>26.078800000000001</v>
      </c>
      <c r="FS66">
        <v>30.0001</v>
      </c>
      <c r="FT66">
        <v>26.070799999999998</v>
      </c>
      <c r="FU66">
        <v>26.0702</v>
      </c>
      <c r="FV66">
        <v>5.8374899999999998</v>
      </c>
      <c r="FW66">
        <v>28.2637</v>
      </c>
      <c r="FX66">
        <v>38.052700000000002</v>
      </c>
      <c r="FY66">
        <v>18.148399999999999</v>
      </c>
      <c r="FZ66">
        <v>50</v>
      </c>
      <c r="GA66">
        <v>13.74</v>
      </c>
      <c r="GB66">
        <v>99.802499999999995</v>
      </c>
      <c r="GC66">
        <v>99.771500000000003</v>
      </c>
    </row>
    <row r="67" spans="1:185" x14ac:dyDescent="0.2">
      <c r="A67">
        <v>52</v>
      </c>
      <c r="B67">
        <v>1771104148.0999999</v>
      </c>
      <c r="C67">
        <v>1035</v>
      </c>
      <c r="D67" t="s">
        <v>401</v>
      </c>
      <c r="E67" t="s">
        <v>402</v>
      </c>
      <c r="F67">
        <v>15</v>
      </c>
      <c r="G67">
        <v>1771104140.03333</v>
      </c>
      <c r="H67">
        <f t="shared" si="0"/>
        <v>1.5041583100963659E-3</v>
      </c>
      <c r="I67">
        <v>0</v>
      </c>
      <c r="J67">
        <f t="shared" si="12"/>
        <v>-3.5552859626143053E-2</v>
      </c>
      <c r="K67">
        <f t="shared" si="1"/>
        <v>-0.6357297226592088</v>
      </c>
      <c r="L67">
        <f t="shared" si="2"/>
        <v>70.927239984246299</v>
      </c>
      <c r="M67">
        <f t="shared" si="3"/>
        <v>1.5625451972099762</v>
      </c>
      <c r="N67">
        <f t="shared" si="4"/>
        <v>2.2030255196128232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26208.037746814185</v>
      </c>
      <c r="T67">
        <f t="shared" si="8"/>
        <v>799.99873333333301</v>
      </c>
      <c r="U67">
        <f t="shared" si="9"/>
        <v>674.39847076073045</v>
      </c>
      <c r="V67">
        <f t="shared" si="10"/>
        <v>0.8429994232000001</v>
      </c>
      <c r="W67">
        <f t="shared" si="11"/>
        <v>0.158698506032</v>
      </c>
      <c r="X67">
        <v>1</v>
      </c>
      <c r="Y67">
        <v>1771104140.03333</v>
      </c>
      <c r="Z67">
        <v>50.701513333333303</v>
      </c>
      <c r="AA67">
        <v>50.002180000000003</v>
      </c>
      <c r="AB67">
        <v>15.624973333333299</v>
      </c>
      <c r="AC67">
        <v>13.774153333333301</v>
      </c>
      <c r="AD67">
        <v>51.1441466666667</v>
      </c>
      <c r="AE67">
        <v>15.565713333333299</v>
      </c>
      <c r="AF67">
        <v>799.99993333333305</v>
      </c>
      <c r="AG67">
        <v>99.939846666666696</v>
      </c>
      <c r="AH67">
        <v>6.3216626666666706E-2</v>
      </c>
      <c r="AI67">
        <v>18.9843333333333</v>
      </c>
      <c r="AJ67">
        <v>999.9</v>
      </c>
      <c r="AK67">
        <v>999.9</v>
      </c>
      <c r="AL67">
        <v>0</v>
      </c>
      <c r="AM67">
        <v>0</v>
      </c>
      <c r="AN67">
        <v>5000.0333333333301</v>
      </c>
      <c r="AO67">
        <v>0</v>
      </c>
      <c r="AP67">
        <v>1.63733</v>
      </c>
      <c r="AQ67">
        <v>0.69932986666666697</v>
      </c>
      <c r="AR67">
        <v>51.506300000000003</v>
      </c>
      <c r="AS67">
        <v>50.700546666666703</v>
      </c>
      <c r="AT67">
        <v>1.8508306666666701</v>
      </c>
      <c r="AU67">
        <v>50.002180000000003</v>
      </c>
      <c r="AV67">
        <v>13.774153333333301</v>
      </c>
      <c r="AW67">
        <v>1.561558</v>
      </c>
      <c r="AX67">
        <v>1.37658666666667</v>
      </c>
      <c r="AY67">
        <v>13.584573333333299</v>
      </c>
      <c r="AZ67">
        <v>11.6621733333333</v>
      </c>
      <c r="BA67">
        <v>799.99873333333301</v>
      </c>
      <c r="BB67">
        <v>0.90002000000000004</v>
      </c>
      <c r="BC67">
        <v>0</v>
      </c>
      <c r="BD67">
        <v>9.9980026666666694E-2</v>
      </c>
      <c r="BE67">
        <v>0</v>
      </c>
      <c r="BF67">
        <v>25</v>
      </c>
      <c r="BG67">
        <v>13191.086666666701</v>
      </c>
      <c r="BH67">
        <v>1771103835.0999999</v>
      </c>
      <c r="BI67" t="s">
        <v>376</v>
      </c>
      <c r="BJ67">
        <v>1771103835.0999999</v>
      </c>
      <c r="BK67">
        <v>1771103812.0999999</v>
      </c>
      <c r="BL67">
        <v>14</v>
      </c>
      <c r="BM67">
        <v>0.26200000000000001</v>
      </c>
      <c r="BN67">
        <v>1.2E-2</v>
      </c>
      <c r="BO67">
        <v>-0.443</v>
      </c>
      <c r="BP67">
        <v>5.8999999999999997E-2</v>
      </c>
      <c r="BQ67">
        <v>150</v>
      </c>
      <c r="BR67">
        <v>13</v>
      </c>
      <c r="BS67">
        <v>0.18</v>
      </c>
      <c r="BT67">
        <v>0.04</v>
      </c>
      <c r="BU67">
        <v>0.7255838</v>
      </c>
      <c r="BV67">
        <v>-0.50455506766917202</v>
      </c>
      <c r="BW67">
        <v>5.2981684226343702E-2</v>
      </c>
      <c r="BX67">
        <v>0</v>
      </c>
      <c r="BY67">
        <v>0</v>
      </c>
      <c r="BZ67">
        <v>0</v>
      </c>
      <c r="CA67">
        <v>0</v>
      </c>
      <c r="CB67">
        <v>-1</v>
      </c>
      <c r="CC67">
        <v>1.852004</v>
      </c>
      <c r="CD67">
        <v>-0.11517924812029801</v>
      </c>
      <c r="CE67">
        <v>1.81136565607279E-2</v>
      </c>
      <c r="CF67">
        <v>0</v>
      </c>
      <c r="CG67">
        <v>0</v>
      </c>
      <c r="CH67">
        <v>2</v>
      </c>
      <c r="CI67" t="s">
        <v>290</v>
      </c>
      <c r="CJ67">
        <v>3.5325299999999999</v>
      </c>
      <c r="CK67">
        <v>2.7011099999999999</v>
      </c>
      <c r="CL67">
        <v>1.48293E-2</v>
      </c>
      <c r="CM67">
        <v>1.43517E-2</v>
      </c>
      <c r="CN67">
        <v>8.7787900000000002E-2</v>
      </c>
      <c r="CO67">
        <v>7.9047699999999999E-2</v>
      </c>
      <c r="CP67">
        <v>34514</v>
      </c>
      <c r="CQ67">
        <v>30354.7</v>
      </c>
      <c r="CR67">
        <v>32426.9</v>
      </c>
      <c r="CS67">
        <v>30726.3</v>
      </c>
      <c r="CT67">
        <v>40056.6</v>
      </c>
      <c r="CU67">
        <v>39801.1</v>
      </c>
      <c r="CV67">
        <v>47368.5</v>
      </c>
      <c r="CW67">
        <v>46873.8</v>
      </c>
      <c r="CX67">
        <v>2.6147</v>
      </c>
      <c r="CY67">
        <v>2.1188600000000002</v>
      </c>
      <c r="CZ67">
        <v>0</v>
      </c>
      <c r="DA67">
        <v>0</v>
      </c>
      <c r="DB67">
        <v>999.9</v>
      </c>
      <c r="DC67">
        <v>999.9</v>
      </c>
      <c r="DD67">
        <v>45.898000000000003</v>
      </c>
      <c r="DE67">
        <v>28.701000000000001</v>
      </c>
      <c r="DF67">
        <v>18.1523</v>
      </c>
      <c r="DG67">
        <v>30.368200000000002</v>
      </c>
      <c r="DH67">
        <v>17.095400000000001</v>
      </c>
      <c r="DI67">
        <v>2</v>
      </c>
      <c r="DJ67">
        <v>-7.2284500000000002E-2</v>
      </c>
      <c r="DK67">
        <v>2.2801</v>
      </c>
      <c r="DL67">
        <v>20.197099999999999</v>
      </c>
      <c r="DM67">
        <v>5.2517899999999997</v>
      </c>
      <c r="DN67">
        <v>12.033899999999999</v>
      </c>
      <c r="DO67">
        <v>4.9676</v>
      </c>
      <c r="DP67">
        <v>3.2909999999999999</v>
      </c>
      <c r="DQ67">
        <v>607.9</v>
      </c>
      <c r="DR67">
        <v>9999</v>
      </c>
      <c r="DS67">
        <v>9999</v>
      </c>
      <c r="DT67">
        <v>9999</v>
      </c>
      <c r="DU67">
        <v>1.8711899999999999</v>
      </c>
      <c r="DV67">
        <v>1.87622</v>
      </c>
      <c r="DW67">
        <v>1.8763799999999999</v>
      </c>
      <c r="DX67">
        <v>1.8829199999999999</v>
      </c>
      <c r="DY67">
        <v>1.8756699999999999</v>
      </c>
      <c r="DZ67">
        <v>1.87469</v>
      </c>
      <c r="EA67">
        <v>1.8708899999999999</v>
      </c>
      <c r="EB67">
        <v>1.87469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-0.443</v>
      </c>
      <c r="EQ67">
        <v>5.9299999999999999E-2</v>
      </c>
      <c r="ER67">
        <v>-0.442636363636353</v>
      </c>
      <c r="ES67">
        <v>0</v>
      </c>
      <c r="ET67">
        <v>0</v>
      </c>
      <c r="EU67">
        <v>0</v>
      </c>
      <c r="EV67">
        <v>5.9279999999997599E-2</v>
      </c>
      <c r="EW67">
        <v>0</v>
      </c>
      <c r="EX67">
        <v>0</v>
      </c>
      <c r="EY67">
        <v>0</v>
      </c>
      <c r="EZ67">
        <v>-1</v>
      </c>
      <c r="FA67">
        <v>-1</v>
      </c>
      <c r="FB67">
        <v>-1</v>
      </c>
      <c r="FC67">
        <v>-1</v>
      </c>
      <c r="FD67">
        <v>5.2</v>
      </c>
      <c r="FE67">
        <v>5.6</v>
      </c>
      <c r="FF67">
        <v>0.28930699999999998</v>
      </c>
      <c r="FG67">
        <v>2.6184099999999999</v>
      </c>
      <c r="FH67">
        <v>2.19604</v>
      </c>
      <c r="FI67">
        <v>2.5756800000000002</v>
      </c>
      <c r="FJ67">
        <v>2.4462899999999999</v>
      </c>
      <c r="FK67">
        <v>2.2522000000000002</v>
      </c>
      <c r="FL67">
        <v>32.9983</v>
      </c>
      <c r="FM67">
        <v>24.14</v>
      </c>
      <c r="FN67">
        <v>19</v>
      </c>
      <c r="FO67">
        <v>866.84699999999998</v>
      </c>
      <c r="FP67">
        <v>574.00800000000004</v>
      </c>
      <c r="FQ67">
        <v>18.183800000000002</v>
      </c>
      <c r="FR67">
        <v>26.078800000000001</v>
      </c>
      <c r="FS67">
        <v>30.0002</v>
      </c>
      <c r="FT67">
        <v>26.070799999999998</v>
      </c>
      <c r="FU67">
        <v>26.072399999999998</v>
      </c>
      <c r="FV67">
        <v>5.8369099999999996</v>
      </c>
      <c r="FW67">
        <v>28.540700000000001</v>
      </c>
      <c r="FX67">
        <v>38.052700000000002</v>
      </c>
      <c r="FY67">
        <v>18.180900000000001</v>
      </c>
      <c r="FZ67">
        <v>50</v>
      </c>
      <c r="GA67">
        <v>13.664</v>
      </c>
      <c r="GB67">
        <v>99.802099999999996</v>
      </c>
      <c r="GC67">
        <v>99.771600000000007</v>
      </c>
    </row>
    <row r="68" spans="1:185" x14ac:dyDescent="0.2">
      <c r="A68">
        <v>53</v>
      </c>
      <c r="B68">
        <v>1771104163.0999999</v>
      </c>
      <c r="C68">
        <v>1050</v>
      </c>
      <c r="D68" t="s">
        <v>403</v>
      </c>
      <c r="E68" t="s">
        <v>404</v>
      </c>
      <c r="F68">
        <v>15</v>
      </c>
      <c r="G68">
        <v>1771104155.03333</v>
      </c>
      <c r="H68">
        <f t="shared" si="0"/>
        <v>1.4892384953564327E-3</v>
      </c>
      <c r="I68">
        <v>0</v>
      </c>
      <c r="J68">
        <f t="shared" si="12"/>
        <v>-3.1915834726423335E-2</v>
      </c>
      <c r="K68">
        <f t="shared" si="1"/>
        <v>-0.57069515567593154</v>
      </c>
      <c r="L68">
        <f t="shared" si="2"/>
        <v>70.455926083128887</v>
      </c>
      <c r="M68">
        <f t="shared" si="3"/>
        <v>1.5546760016041141</v>
      </c>
      <c r="N68">
        <f t="shared" si="4"/>
        <v>2.206593665052103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26217.323164585407</v>
      </c>
      <c r="T68">
        <f t="shared" si="8"/>
        <v>800.00139999999999</v>
      </c>
      <c r="U68">
        <f t="shared" si="9"/>
        <v>674.40066259909418</v>
      </c>
      <c r="V68">
        <f t="shared" si="10"/>
        <v>0.84299935299999995</v>
      </c>
      <c r="W68">
        <f t="shared" si="11"/>
        <v>0.15869844746</v>
      </c>
      <c r="X68">
        <v>1</v>
      </c>
      <c r="Y68">
        <v>1771104155.03333</v>
      </c>
      <c r="Z68">
        <v>50.626653333333302</v>
      </c>
      <c r="AA68">
        <v>50.007539999999999</v>
      </c>
      <c r="AB68">
        <v>15.5463466666667</v>
      </c>
      <c r="AC68">
        <v>13.7137733333333</v>
      </c>
      <c r="AD68">
        <v>51.069279999999999</v>
      </c>
      <c r="AE68">
        <v>15.48706</v>
      </c>
      <c r="AF68">
        <v>800.01506666666705</v>
      </c>
      <c r="AG68">
        <v>99.939459999999997</v>
      </c>
      <c r="AH68">
        <v>6.3198820000000003E-2</v>
      </c>
      <c r="AI68">
        <v>19.010266666666698</v>
      </c>
      <c r="AJ68">
        <v>999.9</v>
      </c>
      <c r="AK68">
        <v>999.9</v>
      </c>
      <c r="AL68">
        <v>0</v>
      </c>
      <c r="AM68">
        <v>0</v>
      </c>
      <c r="AN68">
        <v>5001.9666666666699</v>
      </c>
      <c r="AO68">
        <v>0</v>
      </c>
      <c r="AP68">
        <v>1.63733</v>
      </c>
      <c r="AQ68">
        <v>0.61911893333333301</v>
      </c>
      <c r="AR68">
        <v>51.426126666666697</v>
      </c>
      <c r="AS68">
        <v>50.702853333333302</v>
      </c>
      <c r="AT68">
        <v>1.832568</v>
      </c>
      <c r="AU68">
        <v>50.007539999999999</v>
      </c>
      <c r="AV68">
        <v>13.7137733333333</v>
      </c>
      <c r="AW68">
        <v>1.55369466666667</v>
      </c>
      <c r="AX68">
        <v>1.37054733333333</v>
      </c>
      <c r="AY68">
        <v>13.507013333333299</v>
      </c>
      <c r="AZ68">
        <v>11.59558</v>
      </c>
      <c r="BA68">
        <v>800.00139999999999</v>
      </c>
      <c r="BB68">
        <v>0.90002059999999995</v>
      </c>
      <c r="BC68">
        <v>0</v>
      </c>
      <c r="BD68">
        <v>9.9979366666666694E-2</v>
      </c>
      <c r="BE68">
        <v>0</v>
      </c>
      <c r="BF68">
        <v>25</v>
      </c>
      <c r="BG68">
        <v>13191.12</v>
      </c>
      <c r="BH68">
        <v>1771103835.0999999</v>
      </c>
      <c r="BI68" t="s">
        <v>376</v>
      </c>
      <c r="BJ68">
        <v>1771103835.0999999</v>
      </c>
      <c r="BK68">
        <v>1771103812.0999999</v>
      </c>
      <c r="BL68">
        <v>14</v>
      </c>
      <c r="BM68">
        <v>0.26200000000000001</v>
      </c>
      <c r="BN68">
        <v>1.2E-2</v>
      </c>
      <c r="BO68">
        <v>-0.443</v>
      </c>
      <c r="BP68">
        <v>5.8999999999999997E-2</v>
      </c>
      <c r="BQ68">
        <v>150</v>
      </c>
      <c r="BR68">
        <v>13</v>
      </c>
      <c r="BS68">
        <v>0.18</v>
      </c>
      <c r="BT68">
        <v>0.04</v>
      </c>
      <c r="BU68">
        <v>0.63556428571428603</v>
      </c>
      <c r="BV68">
        <v>-0.31015145454545501</v>
      </c>
      <c r="BW68">
        <v>3.4159830395953002E-2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1.83217428571429</v>
      </c>
      <c r="CD68">
        <v>2.4425454545455399E-2</v>
      </c>
      <c r="CE68">
        <v>8.5586940322349998E-3</v>
      </c>
      <c r="CF68">
        <v>1</v>
      </c>
      <c r="CG68">
        <v>2</v>
      </c>
      <c r="CH68">
        <v>2</v>
      </c>
      <c r="CI68" t="s">
        <v>322</v>
      </c>
      <c r="CJ68">
        <v>3.5324499999999999</v>
      </c>
      <c r="CK68">
        <v>2.7009300000000001</v>
      </c>
      <c r="CL68">
        <v>1.4813099999999999E-2</v>
      </c>
      <c r="CM68">
        <v>1.43544E-2</v>
      </c>
      <c r="CN68">
        <v>8.7394799999999995E-2</v>
      </c>
      <c r="CO68">
        <v>7.8515199999999993E-2</v>
      </c>
      <c r="CP68">
        <v>34513.4</v>
      </c>
      <c r="CQ68">
        <v>30353.9</v>
      </c>
      <c r="CR68">
        <v>32425.8</v>
      </c>
      <c r="CS68">
        <v>30725.599999999999</v>
      </c>
      <c r="CT68">
        <v>40072.800000000003</v>
      </c>
      <c r="CU68">
        <v>39823.699999999997</v>
      </c>
      <c r="CV68">
        <v>47366.6</v>
      </c>
      <c r="CW68">
        <v>46872.7</v>
      </c>
      <c r="CX68">
        <v>2.6145999999999998</v>
      </c>
      <c r="CY68">
        <v>2.1186400000000001</v>
      </c>
      <c r="CZ68">
        <v>0</v>
      </c>
      <c r="DA68">
        <v>0</v>
      </c>
      <c r="DB68">
        <v>999.9</v>
      </c>
      <c r="DC68">
        <v>999.9</v>
      </c>
      <c r="DD68">
        <v>45.886000000000003</v>
      </c>
      <c r="DE68">
        <v>28.710999999999999</v>
      </c>
      <c r="DF68">
        <v>18.159099999999999</v>
      </c>
      <c r="DG68">
        <v>30.398199999999999</v>
      </c>
      <c r="DH68">
        <v>17.135400000000001</v>
      </c>
      <c r="DI68">
        <v>2</v>
      </c>
      <c r="DJ68">
        <v>-6.7028500000000005E-2</v>
      </c>
      <c r="DK68">
        <v>3.2867099999999998</v>
      </c>
      <c r="DL68">
        <v>20.173999999999999</v>
      </c>
      <c r="DM68">
        <v>5.2519099999999996</v>
      </c>
      <c r="DN68">
        <v>12.033899999999999</v>
      </c>
      <c r="DO68">
        <v>4.9674399999999999</v>
      </c>
      <c r="DP68">
        <v>3.2909999999999999</v>
      </c>
      <c r="DQ68">
        <v>607.9</v>
      </c>
      <c r="DR68">
        <v>9999</v>
      </c>
      <c r="DS68">
        <v>9999</v>
      </c>
      <c r="DT68">
        <v>9999</v>
      </c>
      <c r="DU68">
        <v>1.8711800000000001</v>
      </c>
      <c r="DV68">
        <v>1.8762099999999999</v>
      </c>
      <c r="DW68">
        <v>1.8763700000000001</v>
      </c>
      <c r="DX68">
        <v>1.8829199999999999</v>
      </c>
      <c r="DY68">
        <v>1.87565</v>
      </c>
      <c r="DZ68">
        <v>1.87469</v>
      </c>
      <c r="EA68">
        <v>1.8708800000000001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-0.443</v>
      </c>
      <c r="EQ68">
        <v>5.9299999999999999E-2</v>
      </c>
      <c r="ER68">
        <v>-0.442636363636353</v>
      </c>
      <c r="ES68">
        <v>0</v>
      </c>
      <c r="ET68">
        <v>0</v>
      </c>
      <c r="EU68">
        <v>0</v>
      </c>
      <c r="EV68">
        <v>5.9279999999997599E-2</v>
      </c>
      <c r="EW68">
        <v>0</v>
      </c>
      <c r="EX68">
        <v>0</v>
      </c>
      <c r="EY68">
        <v>0</v>
      </c>
      <c r="EZ68">
        <v>-1</v>
      </c>
      <c r="FA68">
        <v>-1</v>
      </c>
      <c r="FB68">
        <v>-1</v>
      </c>
      <c r="FC68">
        <v>-1</v>
      </c>
      <c r="FD68">
        <v>5.5</v>
      </c>
      <c r="FE68">
        <v>5.8</v>
      </c>
      <c r="FF68">
        <v>0.28930699999999998</v>
      </c>
      <c r="FG68">
        <v>2.6098599999999998</v>
      </c>
      <c r="FH68">
        <v>2.19604</v>
      </c>
      <c r="FI68">
        <v>2.5756800000000002</v>
      </c>
      <c r="FJ68">
        <v>2.4462899999999999</v>
      </c>
      <c r="FK68">
        <v>2.2912599999999999</v>
      </c>
      <c r="FL68">
        <v>32.9983</v>
      </c>
      <c r="FM68">
        <v>24.14</v>
      </c>
      <c r="FN68">
        <v>19</v>
      </c>
      <c r="FO68">
        <v>866.75400000000002</v>
      </c>
      <c r="FP68">
        <v>573.83900000000006</v>
      </c>
      <c r="FQ68">
        <v>17.734200000000001</v>
      </c>
      <c r="FR68">
        <v>26.078800000000001</v>
      </c>
      <c r="FS68">
        <v>30.000699999999998</v>
      </c>
      <c r="FT68">
        <v>26.070799999999998</v>
      </c>
      <c r="FU68">
        <v>26.072399999999998</v>
      </c>
      <c r="FV68">
        <v>5.8362100000000003</v>
      </c>
      <c r="FW68">
        <v>28.826799999999999</v>
      </c>
      <c r="FX68">
        <v>37.678899999999999</v>
      </c>
      <c r="FY68">
        <v>17.738</v>
      </c>
      <c r="FZ68">
        <v>50</v>
      </c>
      <c r="GA68">
        <v>13.66</v>
      </c>
      <c r="GB68">
        <v>99.798400000000001</v>
      </c>
      <c r="GC68">
        <v>99.769300000000001</v>
      </c>
    </row>
    <row r="69" spans="1:185" x14ac:dyDescent="0.2">
      <c r="A69">
        <v>54</v>
      </c>
      <c r="B69">
        <v>1771104178.0999999</v>
      </c>
      <c r="C69">
        <v>1065</v>
      </c>
      <c r="D69" t="s">
        <v>405</v>
      </c>
      <c r="E69" t="s">
        <v>406</v>
      </c>
      <c r="F69">
        <v>15</v>
      </c>
      <c r="G69">
        <v>1771104170.03333</v>
      </c>
      <c r="H69">
        <f t="shared" si="0"/>
        <v>1.4917137273746941E-3</v>
      </c>
      <c r="I69">
        <v>0</v>
      </c>
      <c r="J69">
        <f t="shared" si="12"/>
        <v>-2.9998439767935835E-2</v>
      </c>
      <c r="K69">
        <f t="shared" si="1"/>
        <v>-0.53640972890561633</v>
      </c>
      <c r="L69">
        <f t="shared" si="2"/>
        <v>70.089087154391834</v>
      </c>
      <c r="M69">
        <f t="shared" si="3"/>
        <v>1.5455021358329584</v>
      </c>
      <c r="N69">
        <f t="shared" si="4"/>
        <v>2.2050538801119428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26186.987149040691</v>
      </c>
      <c r="T69">
        <f t="shared" si="8"/>
        <v>800.00026666666599</v>
      </c>
      <c r="U69">
        <f t="shared" si="9"/>
        <v>674.39970047982445</v>
      </c>
      <c r="V69">
        <f t="shared" si="10"/>
        <v>0.8429993445999997</v>
      </c>
      <c r="W69">
        <f t="shared" si="11"/>
        <v>0.15869853039599996</v>
      </c>
      <c r="X69">
        <v>1</v>
      </c>
      <c r="Y69">
        <v>1771104170.03333</v>
      </c>
      <c r="Z69">
        <v>50.5760133333333</v>
      </c>
      <c r="AA69">
        <v>49.9998066666667</v>
      </c>
      <c r="AB69">
        <v>15.45478</v>
      </c>
      <c r="AC69">
        <v>13.6189533333333</v>
      </c>
      <c r="AD69">
        <v>51.018653333333297</v>
      </c>
      <c r="AE69">
        <v>15.395493333333301</v>
      </c>
      <c r="AF69">
        <v>799.99906666666698</v>
      </c>
      <c r="AG69">
        <v>99.938566666666702</v>
      </c>
      <c r="AH69">
        <v>6.2995040000000002E-2</v>
      </c>
      <c r="AI69">
        <v>18.999079999999999</v>
      </c>
      <c r="AJ69">
        <v>999.9</v>
      </c>
      <c r="AK69">
        <v>999.9</v>
      </c>
      <c r="AL69">
        <v>0</v>
      </c>
      <c r="AM69">
        <v>0</v>
      </c>
      <c r="AN69">
        <v>4996.8333333333303</v>
      </c>
      <c r="AO69">
        <v>0</v>
      </c>
      <c r="AP69">
        <v>1.63733</v>
      </c>
      <c r="AQ69">
        <v>0.57619673333333299</v>
      </c>
      <c r="AR69">
        <v>51.36992</v>
      </c>
      <c r="AS69">
        <v>50.690173333333298</v>
      </c>
      <c r="AT69">
        <v>1.83581533333333</v>
      </c>
      <c r="AU69">
        <v>49.9998066666667</v>
      </c>
      <c r="AV69">
        <v>13.6189533333333</v>
      </c>
      <c r="AW69">
        <v>1.54453066666667</v>
      </c>
      <c r="AX69">
        <v>1.3610599999999999</v>
      </c>
      <c r="AY69">
        <v>13.4162266666667</v>
      </c>
      <c r="AZ69">
        <v>11.490593333333299</v>
      </c>
      <c r="BA69">
        <v>800.00026666666599</v>
      </c>
      <c r="BB69">
        <v>0.90001933333333295</v>
      </c>
      <c r="BC69">
        <v>0</v>
      </c>
      <c r="BD69">
        <v>9.9980579999999999E-2</v>
      </c>
      <c r="BE69">
        <v>0</v>
      </c>
      <c r="BF69">
        <v>25</v>
      </c>
      <c r="BG69">
        <v>13191.1</v>
      </c>
      <c r="BH69">
        <v>1771103835.0999999</v>
      </c>
      <c r="BI69" t="s">
        <v>376</v>
      </c>
      <c r="BJ69">
        <v>1771103835.0999999</v>
      </c>
      <c r="BK69">
        <v>1771103812.0999999</v>
      </c>
      <c r="BL69">
        <v>14</v>
      </c>
      <c r="BM69">
        <v>0.26200000000000001</v>
      </c>
      <c r="BN69">
        <v>1.2E-2</v>
      </c>
      <c r="BO69">
        <v>-0.443</v>
      </c>
      <c r="BP69">
        <v>5.8999999999999997E-2</v>
      </c>
      <c r="BQ69">
        <v>150</v>
      </c>
      <c r="BR69">
        <v>13</v>
      </c>
      <c r="BS69">
        <v>0.18</v>
      </c>
      <c r="BT69">
        <v>0.04</v>
      </c>
      <c r="BU69">
        <v>0.58315104761904801</v>
      </c>
      <c r="BV69">
        <v>-0.103114051948051</v>
      </c>
      <c r="BW69">
        <v>1.9801781378442601E-2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1.83634571428571</v>
      </c>
      <c r="CD69">
        <v>-3.3647532467533901E-2</v>
      </c>
      <c r="CE69">
        <v>1.35033394710623E-2</v>
      </c>
      <c r="CF69">
        <v>1</v>
      </c>
      <c r="CG69">
        <v>2</v>
      </c>
      <c r="CH69">
        <v>2</v>
      </c>
      <c r="CI69" t="s">
        <v>322</v>
      </c>
      <c r="CJ69">
        <v>3.5326200000000001</v>
      </c>
      <c r="CK69">
        <v>2.7010000000000001</v>
      </c>
      <c r="CL69">
        <v>1.47993E-2</v>
      </c>
      <c r="CM69">
        <v>1.43518E-2</v>
      </c>
      <c r="CN69">
        <v>8.7122599999999994E-2</v>
      </c>
      <c r="CO69">
        <v>7.8430200000000005E-2</v>
      </c>
      <c r="CP69">
        <v>34514.300000000003</v>
      </c>
      <c r="CQ69">
        <v>30354.799999999999</v>
      </c>
      <c r="CR69">
        <v>32426.2</v>
      </c>
      <c r="CS69">
        <v>30726.5</v>
      </c>
      <c r="CT69">
        <v>40085.800000000003</v>
      </c>
      <c r="CU69">
        <v>39828.5</v>
      </c>
      <c r="CV69">
        <v>47367.4</v>
      </c>
      <c r="CW69">
        <v>46874</v>
      </c>
      <c r="CX69">
        <v>2.6146600000000002</v>
      </c>
      <c r="CY69">
        <v>2.1183000000000001</v>
      </c>
      <c r="CZ69">
        <v>0</v>
      </c>
      <c r="DA69">
        <v>0</v>
      </c>
      <c r="DB69">
        <v>999.9</v>
      </c>
      <c r="DC69">
        <v>999.9</v>
      </c>
      <c r="DD69">
        <v>45.860999999999997</v>
      </c>
      <c r="DE69">
        <v>28.710999999999999</v>
      </c>
      <c r="DF69">
        <v>18.1494</v>
      </c>
      <c r="DG69">
        <v>30.5182</v>
      </c>
      <c r="DH69">
        <v>16.9391</v>
      </c>
      <c r="DI69">
        <v>2</v>
      </c>
      <c r="DJ69">
        <v>-7.0306900000000006E-2</v>
      </c>
      <c r="DK69">
        <v>2.77895</v>
      </c>
      <c r="DL69">
        <v>20.186</v>
      </c>
      <c r="DM69">
        <v>5.2516699999999998</v>
      </c>
      <c r="DN69">
        <v>12.033899999999999</v>
      </c>
      <c r="DO69">
        <v>4.9673600000000002</v>
      </c>
      <c r="DP69">
        <v>3.2910200000000001</v>
      </c>
      <c r="DQ69">
        <v>607.9</v>
      </c>
      <c r="DR69">
        <v>9999</v>
      </c>
      <c r="DS69">
        <v>9999</v>
      </c>
      <c r="DT69">
        <v>9999</v>
      </c>
      <c r="DU69">
        <v>1.8711899999999999</v>
      </c>
      <c r="DV69">
        <v>1.87622</v>
      </c>
      <c r="DW69">
        <v>1.8763799999999999</v>
      </c>
      <c r="DX69">
        <v>1.8829100000000001</v>
      </c>
      <c r="DY69">
        <v>1.8756600000000001</v>
      </c>
      <c r="DZ69">
        <v>1.87469</v>
      </c>
      <c r="EA69">
        <v>1.8708899999999999</v>
      </c>
      <c r="EB69">
        <v>1.87469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-0.443</v>
      </c>
      <c r="EQ69">
        <v>5.9299999999999999E-2</v>
      </c>
      <c r="ER69">
        <v>-0.442636363636353</v>
      </c>
      <c r="ES69">
        <v>0</v>
      </c>
      <c r="ET69">
        <v>0</v>
      </c>
      <c r="EU69">
        <v>0</v>
      </c>
      <c r="EV69">
        <v>5.9279999999997599E-2</v>
      </c>
      <c r="EW69">
        <v>0</v>
      </c>
      <c r="EX69">
        <v>0</v>
      </c>
      <c r="EY69">
        <v>0</v>
      </c>
      <c r="EZ69">
        <v>-1</v>
      </c>
      <c r="FA69">
        <v>-1</v>
      </c>
      <c r="FB69">
        <v>-1</v>
      </c>
      <c r="FC69">
        <v>-1</v>
      </c>
      <c r="FD69">
        <v>5.7</v>
      </c>
      <c r="FE69">
        <v>6.1</v>
      </c>
      <c r="FF69">
        <v>0.28930699999999998</v>
      </c>
      <c r="FG69">
        <v>2.6159699999999999</v>
      </c>
      <c r="FH69">
        <v>2.19604</v>
      </c>
      <c r="FI69">
        <v>2.5756800000000002</v>
      </c>
      <c r="FJ69">
        <v>2.4462899999999999</v>
      </c>
      <c r="FK69">
        <v>2.2949199999999998</v>
      </c>
      <c r="FL69">
        <v>32.9983</v>
      </c>
      <c r="FM69">
        <v>24.1313</v>
      </c>
      <c r="FN69">
        <v>19</v>
      </c>
      <c r="FO69">
        <v>866.81</v>
      </c>
      <c r="FP69">
        <v>573.57899999999995</v>
      </c>
      <c r="FQ69">
        <v>17.708200000000001</v>
      </c>
      <c r="FR69">
        <v>26.077000000000002</v>
      </c>
      <c r="FS69">
        <v>29.999400000000001</v>
      </c>
      <c r="FT69">
        <v>26.070799999999998</v>
      </c>
      <c r="FU69">
        <v>26.072399999999998</v>
      </c>
      <c r="FV69">
        <v>5.8359699999999997</v>
      </c>
      <c r="FW69">
        <v>28.826799999999999</v>
      </c>
      <c r="FX69">
        <v>37.678899999999999</v>
      </c>
      <c r="FY69">
        <v>17.736799999999999</v>
      </c>
      <c r="FZ69">
        <v>50</v>
      </c>
      <c r="GA69">
        <v>13.6793</v>
      </c>
      <c r="GB69">
        <v>99.799899999999994</v>
      </c>
      <c r="GC69">
        <v>99.772000000000006</v>
      </c>
    </row>
    <row r="70" spans="1:185" x14ac:dyDescent="0.2">
      <c r="A70">
        <v>55</v>
      </c>
      <c r="B70">
        <v>1771104193.0999999</v>
      </c>
      <c r="C70">
        <v>1080</v>
      </c>
      <c r="D70" t="s">
        <v>407</v>
      </c>
      <c r="E70" t="s">
        <v>408</v>
      </c>
      <c r="F70">
        <v>15</v>
      </c>
      <c r="G70">
        <v>1771104185.03333</v>
      </c>
      <c r="H70">
        <f t="shared" si="0"/>
        <v>1.4627706891443422E-3</v>
      </c>
      <c r="I70">
        <v>0</v>
      </c>
      <c r="J70">
        <f t="shared" si="12"/>
        <v>-2.8589607521962566E-2</v>
      </c>
      <c r="K70">
        <f t="shared" si="1"/>
        <v>-0.51121804130512449</v>
      </c>
      <c r="L70">
        <f t="shared" si="2"/>
        <v>70.00898926243616</v>
      </c>
      <c r="M70">
        <f t="shared" si="3"/>
        <v>1.5421086394483603</v>
      </c>
      <c r="N70">
        <f t="shared" si="4"/>
        <v>2.2027294718791062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26249.048912295046</v>
      </c>
      <c r="T70">
        <f t="shared" si="8"/>
        <v>799.99953333333303</v>
      </c>
      <c r="U70">
        <f t="shared" si="9"/>
        <v>674.39913220027643</v>
      </c>
      <c r="V70">
        <f t="shared" si="10"/>
        <v>0.84299940699999998</v>
      </c>
      <c r="W70">
        <f t="shared" si="11"/>
        <v>0.15869858245999999</v>
      </c>
      <c r="X70">
        <v>1</v>
      </c>
      <c r="Y70">
        <v>1771104185.03333</v>
      </c>
      <c r="Z70">
        <v>50.54354</v>
      </c>
      <c r="AA70">
        <v>49.996946666666702</v>
      </c>
      <c r="AB70">
        <v>15.420866666666701</v>
      </c>
      <c r="AC70">
        <v>13.62064</v>
      </c>
      <c r="AD70">
        <v>50.986186666666697</v>
      </c>
      <c r="AE70">
        <v>15.3615866666667</v>
      </c>
      <c r="AF70">
        <v>800.01786666666703</v>
      </c>
      <c r="AG70">
        <v>99.938379999999995</v>
      </c>
      <c r="AH70">
        <v>6.3044873333333307E-2</v>
      </c>
      <c r="AI70">
        <v>18.98218</v>
      </c>
      <c r="AJ70">
        <v>999.9</v>
      </c>
      <c r="AK70">
        <v>999.9</v>
      </c>
      <c r="AL70">
        <v>0</v>
      </c>
      <c r="AM70">
        <v>0</v>
      </c>
      <c r="AN70">
        <v>5006.8333333333303</v>
      </c>
      <c r="AO70">
        <v>0</v>
      </c>
      <c r="AP70">
        <v>1.63733</v>
      </c>
      <c r="AQ70">
        <v>0.54658393333333299</v>
      </c>
      <c r="AR70">
        <v>51.335180000000001</v>
      </c>
      <c r="AS70">
        <v>50.687346666666699</v>
      </c>
      <c r="AT70">
        <v>1.800224</v>
      </c>
      <c r="AU70">
        <v>49.996946666666702</v>
      </c>
      <c r="AV70">
        <v>13.62064</v>
      </c>
      <c r="AW70">
        <v>1.54113733333333</v>
      </c>
      <c r="AX70">
        <v>1.3612246666666701</v>
      </c>
      <c r="AY70">
        <v>13.3825</v>
      </c>
      <c r="AZ70">
        <v>11.492433333333301</v>
      </c>
      <c r="BA70">
        <v>799.99953333333303</v>
      </c>
      <c r="BB70">
        <v>0.90001880000000001</v>
      </c>
      <c r="BC70">
        <v>0</v>
      </c>
      <c r="BD70">
        <v>9.9981166666666593E-2</v>
      </c>
      <c r="BE70">
        <v>0</v>
      </c>
      <c r="BF70">
        <v>25</v>
      </c>
      <c r="BG70">
        <v>13191.0933333333</v>
      </c>
      <c r="BH70">
        <v>1771103835.0999999</v>
      </c>
      <c r="BI70" t="s">
        <v>376</v>
      </c>
      <c r="BJ70">
        <v>1771103835.0999999</v>
      </c>
      <c r="BK70">
        <v>1771103812.0999999</v>
      </c>
      <c r="BL70">
        <v>14</v>
      </c>
      <c r="BM70">
        <v>0.26200000000000001</v>
      </c>
      <c r="BN70">
        <v>1.2E-2</v>
      </c>
      <c r="BO70">
        <v>-0.443</v>
      </c>
      <c r="BP70">
        <v>5.8999999999999997E-2</v>
      </c>
      <c r="BQ70">
        <v>150</v>
      </c>
      <c r="BR70">
        <v>13</v>
      </c>
      <c r="BS70">
        <v>0.18</v>
      </c>
      <c r="BT70">
        <v>0.04</v>
      </c>
      <c r="BU70">
        <v>0.55039923809523805</v>
      </c>
      <c r="BV70">
        <v>-0.13230397402597399</v>
      </c>
      <c r="BW70">
        <v>1.6609565499620001E-2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1.80650523809524</v>
      </c>
      <c r="CD70">
        <v>-0.145969090909087</v>
      </c>
      <c r="CE70">
        <v>1.5815896951228599E-2</v>
      </c>
      <c r="CF70">
        <v>0</v>
      </c>
      <c r="CG70">
        <v>1</v>
      </c>
      <c r="CH70">
        <v>2</v>
      </c>
      <c r="CI70" t="s">
        <v>299</v>
      </c>
      <c r="CJ70">
        <v>3.5325899999999999</v>
      </c>
      <c r="CK70">
        <v>2.70105</v>
      </c>
      <c r="CL70">
        <v>1.47923E-2</v>
      </c>
      <c r="CM70">
        <v>1.43544E-2</v>
      </c>
      <c r="CN70">
        <v>8.70586E-2</v>
      </c>
      <c r="CO70">
        <v>7.8548000000000007E-2</v>
      </c>
      <c r="CP70">
        <v>34515.300000000003</v>
      </c>
      <c r="CQ70">
        <v>30355.7</v>
      </c>
      <c r="CR70">
        <v>32426.9</v>
      </c>
      <c r="CS70">
        <v>30727.4</v>
      </c>
      <c r="CT70">
        <v>40089.4</v>
      </c>
      <c r="CU70">
        <v>39824.400000000001</v>
      </c>
      <c r="CV70">
        <v>47368.3</v>
      </c>
      <c r="CW70">
        <v>46875.3</v>
      </c>
      <c r="CX70">
        <v>2.61456</v>
      </c>
      <c r="CY70">
        <v>2.1184400000000001</v>
      </c>
      <c r="CZ70">
        <v>0</v>
      </c>
      <c r="DA70">
        <v>0</v>
      </c>
      <c r="DB70">
        <v>999.9</v>
      </c>
      <c r="DC70">
        <v>999.9</v>
      </c>
      <c r="DD70">
        <v>45.837000000000003</v>
      </c>
      <c r="DE70">
        <v>28.710999999999999</v>
      </c>
      <c r="DF70">
        <v>18.139399999999998</v>
      </c>
      <c r="DG70">
        <v>30.368200000000002</v>
      </c>
      <c r="DH70">
        <v>17.0032</v>
      </c>
      <c r="DI70">
        <v>2</v>
      </c>
      <c r="DJ70">
        <v>-7.1006100000000003E-2</v>
      </c>
      <c r="DK70">
        <v>2.6920700000000002</v>
      </c>
      <c r="DL70">
        <v>20.187899999999999</v>
      </c>
      <c r="DM70">
        <v>5.2513100000000001</v>
      </c>
      <c r="DN70">
        <v>12.033899999999999</v>
      </c>
      <c r="DO70">
        <v>4.9676</v>
      </c>
      <c r="DP70">
        <v>3.2909999999999999</v>
      </c>
      <c r="DQ70">
        <v>607.9</v>
      </c>
      <c r="DR70">
        <v>9999</v>
      </c>
      <c r="DS70">
        <v>9999</v>
      </c>
      <c r="DT70">
        <v>9999</v>
      </c>
      <c r="DU70">
        <v>1.8711899999999999</v>
      </c>
      <c r="DV70">
        <v>1.87622</v>
      </c>
      <c r="DW70">
        <v>1.8763700000000001</v>
      </c>
      <c r="DX70">
        <v>1.8829199999999999</v>
      </c>
      <c r="DY70">
        <v>1.87565</v>
      </c>
      <c r="DZ70">
        <v>1.8747</v>
      </c>
      <c r="EA70">
        <v>1.8708800000000001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-0.443</v>
      </c>
      <c r="EQ70">
        <v>5.9299999999999999E-2</v>
      </c>
      <c r="ER70">
        <v>-0.442636363636353</v>
      </c>
      <c r="ES70">
        <v>0</v>
      </c>
      <c r="ET70">
        <v>0</v>
      </c>
      <c r="EU70">
        <v>0</v>
      </c>
      <c r="EV70">
        <v>5.9279999999997599E-2</v>
      </c>
      <c r="EW70">
        <v>0</v>
      </c>
      <c r="EX70">
        <v>0</v>
      </c>
      <c r="EY70">
        <v>0</v>
      </c>
      <c r="EZ70">
        <v>-1</v>
      </c>
      <c r="FA70">
        <v>-1</v>
      </c>
      <c r="FB70">
        <v>-1</v>
      </c>
      <c r="FC70">
        <v>-1</v>
      </c>
      <c r="FD70">
        <v>6</v>
      </c>
      <c r="FE70">
        <v>6.3</v>
      </c>
      <c r="FF70">
        <v>0.28930699999999998</v>
      </c>
      <c r="FG70">
        <v>2.6110799999999998</v>
      </c>
      <c r="FH70">
        <v>2.19604</v>
      </c>
      <c r="FI70">
        <v>2.5756800000000002</v>
      </c>
      <c r="FJ70">
        <v>2.4462899999999999</v>
      </c>
      <c r="FK70">
        <v>2.3132299999999999</v>
      </c>
      <c r="FL70">
        <v>32.9983</v>
      </c>
      <c r="FM70">
        <v>24.14</v>
      </c>
      <c r="FN70">
        <v>19</v>
      </c>
      <c r="FO70">
        <v>866.71699999999998</v>
      </c>
      <c r="FP70">
        <v>573.68600000000004</v>
      </c>
      <c r="FQ70">
        <v>17.757200000000001</v>
      </c>
      <c r="FR70">
        <v>26.076599999999999</v>
      </c>
      <c r="FS70">
        <v>29.9999</v>
      </c>
      <c r="FT70">
        <v>26.070799999999998</v>
      </c>
      <c r="FU70">
        <v>26.072399999999998</v>
      </c>
      <c r="FV70">
        <v>5.8366100000000003</v>
      </c>
      <c r="FW70">
        <v>28.548500000000001</v>
      </c>
      <c r="FX70">
        <v>37.678899999999999</v>
      </c>
      <c r="FY70">
        <v>17.7742</v>
      </c>
      <c r="FZ70">
        <v>50</v>
      </c>
      <c r="GA70">
        <v>13.6793</v>
      </c>
      <c r="GB70">
        <v>99.801900000000003</v>
      </c>
      <c r="GC70">
        <v>99.774900000000002</v>
      </c>
    </row>
    <row r="71" spans="1:185" x14ac:dyDescent="0.2">
      <c r="A71">
        <v>56</v>
      </c>
      <c r="B71">
        <v>1771104208.0999999</v>
      </c>
      <c r="C71">
        <v>1095</v>
      </c>
      <c r="D71" t="s">
        <v>409</v>
      </c>
      <c r="E71" t="s">
        <v>410</v>
      </c>
      <c r="F71">
        <v>15</v>
      </c>
      <c r="G71">
        <v>1771104200.03333</v>
      </c>
      <c r="H71">
        <f t="shared" si="0"/>
        <v>1.4493660546136429E-3</v>
      </c>
      <c r="I71">
        <v>0</v>
      </c>
      <c r="J71">
        <f t="shared" si="12"/>
        <v>-2.7513059945370313E-2</v>
      </c>
      <c r="K71">
        <f t="shared" si="1"/>
        <v>-0.49196802036466591</v>
      </c>
      <c r="L71">
        <f t="shared" si="2"/>
        <v>69.981370437403783</v>
      </c>
      <c r="M71">
        <f t="shared" si="3"/>
        <v>1.5409276115149426</v>
      </c>
      <c r="N71">
        <f t="shared" si="4"/>
        <v>2.2019111684776962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26173.892497780977</v>
      </c>
      <c r="T71">
        <f t="shared" si="8"/>
        <v>800.00066666666703</v>
      </c>
      <c r="U71">
        <f t="shared" si="9"/>
        <v>674.40025031974062</v>
      </c>
      <c r="V71">
        <f t="shared" si="10"/>
        <v>0.84299961040000004</v>
      </c>
      <c r="W71">
        <f t="shared" si="11"/>
        <v>0.158698662224</v>
      </c>
      <c r="X71">
        <v>1</v>
      </c>
      <c r="Y71">
        <v>1771104200.03333</v>
      </c>
      <c r="Z71">
        <v>50.5189466666667</v>
      </c>
      <c r="AA71">
        <v>49.995513333333299</v>
      </c>
      <c r="AB71">
        <v>15.40924</v>
      </c>
      <c r="AC71">
        <v>13.625453333333301</v>
      </c>
      <c r="AD71">
        <v>50.961573333333298</v>
      </c>
      <c r="AE71">
        <v>15.3499466666667</v>
      </c>
      <c r="AF71">
        <v>800.00173333333305</v>
      </c>
      <c r="AG71">
        <v>99.937053333333296</v>
      </c>
      <c r="AH71">
        <v>6.3181039999999994E-2</v>
      </c>
      <c r="AI71">
        <v>18.976226666666701</v>
      </c>
      <c r="AJ71">
        <v>999.9</v>
      </c>
      <c r="AK71">
        <v>999.9</v>
      </c>
      <c r="AL71">
        <v>0</v>
      </c>
      <c r="AM71">
        <v>0</v>
      </c>
      <c r="AN71">
        <v>4994.3999999999996</v>
      </c>
      <c r="AO71">
        <v>0</v>
      </c>
      <c r="AP71">
        <v>1.63733</v>
      </c>
      <c r="AQ71">
        <v>0.52342886666666699</v>
      </c>
      <c r="AR71">
        <v>51.309579999999997</v>
      </c>
      <c r="AS71">
        <v>50.686126666666702</v>
      </c>
      <c r="AT71">
        <v>1.7837873333333301</v>
      </c>
      <c r="AU71">
        <v>49.995513333333299</v>
      </c>
      <c r="AV71">
        <v>13.625453333333301</v>
      </c>
      <c r="AW71">
        <v>1.5399546666666699</v>
      </c>
      <c r="AX71">
        <v>1.36168666666667</v>
      </c>
      <c r="AY71">
        <v>13.3707333333333</v>
      </c>
      <c r="AZ71">
        <v>11.497586666666701</v>
      </c>
      <c r="BA71">
        <v>800.00066666666703</v>
      </c>
      <c r="BB71">
        <v>0.9000184</v>
      </c>
      <c r="BC71">
        <v>0</v>
      </c>
      <c r="BD71">
        <v>9.9981786666666697E-2</v>
      </c>
      <c r="BE71">
        <v>0</v>
      </c>
      <c r="BF71">
        <v>25</v>
      </c>
      <c r="BG71">
        <v>13191.106666666699</v>
      </c>
      <c r="BH71">
        <v>1771103835.0999999</v>
      </c>
      <c r="BI71" t="s">
        <v>376</v>
      </c>
      <c r="BJ71">
        <v>1771103835.0999999</v>
      </c>
      <c r="BK71">
        <v>1771103812.0999999</v>
      </c>
      <c r="BL71">
        <v>14</v>
      </c>
      <c r="BM71">
        <v>0.26200000000000001</v>
      </c>
      <c r="BN71">
        <v>1.2E-2</v>
      </c>
      <c r="BO71">
        <v>-0.443</v>
      </c>
      <c r="BP71">
        <v>5.8999999999999997E-2</v>
      </c>
      <c r="BQ71">
        <v>150</v>
      </c>
      <c r="BR71">
        <v>13</v>
      </c>
      <c r="BS71">
        <v>0.18</v>
      </c>
      <c r="BT71">
        <v>0.04</v>
      </c>
      <c r="BU71">
        <v>0.52757561904761896</v>
      </c>
      <c r="BV71">
        <v>-6.1156753246753598E-2</v>
      </c>
      <c r="BW71">
        <v>1.02650413608806E-2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1.7848947619047599</v>
      </c>
      <c r="CD71">
        <v>6.1496103896118599E-3</v>
      </c>
      <c r="CE71">
        <v>1.15641011093435E-2</v>
      </c>
      <c r="CF71">
        <v>1</v>
      </c>
      <c r="CG71">
        <v>2</v>
      </c>
      <c r="CH71">
        <v>2</v>
      </c>
      <c r="CI71" t="s">
        <v>322</v>
      </c>
      <c r="CJ71">
        <v>3.5325500000000001</v>
      </c>
      <c r="CK71">
        <v>2.7008999999999999</v>
      </c>
      <c r="CL71">
        <v>1.47852E-2</v>
      </c>
      <c r="CM71">
        <v>1.43537E-2</v>
      </c>
      <c r="CN71">
        <v>8.6992200000000006E-2</v>
      </c>
      <c r="CO71">
        <v>7.8392400000000001E-2</v>
      </c>
      <c r="CP71">
        <v>34514.800000000003</v>
      </c>
      <c r="CQ71">
        <v>30355.7</v>
      </c>
      <c r="CR71">
        <v>32426.2</v>
      </c>
      <c r="CS71">
        <v>30727.5</v>
      </c>
      <c r="CT71">
        <v>40091.800000000003</v>
      </c>
      <c r="CU71">
        <v>39831.699999999997</v>
      </c>
      <c r="CV71">
        <v>47367.5</v>
      </c>
      <c r="CW71">
        <v>46875.8</v>
      </c>
      <c r="CX71">
        <v>2.6144599999999998</v>
      </c>
      <c r="CY71">
        <v>2.1185</v>
      </c>
      <c r="CZ71">
        <v>0</v>
      </c>
      <c r="DA71">
        <v>0</v>
      </c>
      <c r="DB71">
        <v>999.9</v>
      </c>
      <c r="DC71">
        <v>999.9</v>
      </c>
      <c r="DD71">
        <v>45.764000000000003</v>
      </c>
      <c r="DE71">
        <v>28.710999999999999</v>
      </c>
      <c r="DF71">
        <v>18.111499999999999</v>
      </c>
      <c r="DG71">
        <v>30.578199999999999</v>
      </c>
      <c r="DH71">
        <v>17.071300000000001</v>
      </c>
      <c r="DI71">
        <v>2</v>
      </c>
      <c r="DJ71">
        <v>-7.1274400000000002E-2</v>
      </c>
      <c r="DK71">
        <v>2.6293899999999999</v>
      </c>
      <c r="DL71">
        <v>20.189299999999999</v>
      </c>
      <c r="DM71">
        <v>5.2498800000000001</v>
      </c>
      <c r="DN71">
        <v>12.033899999999999</v>
      </c>
      <c r="DO71">
        <v>4.9675599999999998</v>
      </c>
      <c r="DP71">
        <v>3.2909999999999999</v>
      </c>
      <c r="DQ71">
        <v>608</v>
      </c>
      <c r="DR71">
        <v>9999</v>
      </c>
      <c r="DS71">
        <v>9999</v>
      </c>
      <c r="DT71">
        <v>9999</v>
      </c>
      <c r="DU71">
        <v>1.8711800000000001</v>
      </c>
      <c r="DV71">
        <v>1.87622</v>
      </c>
      <c r="DW71">
        <v>1.8763799999999999</v>
      </c>
      <c r="DX71">
        <v>1.8829100000000001</v>
      </c>
      <c r="DY71">
        <v>1.87564</v>
      </c>
      <c r="DZ71">
        <v>1.8747</v>
      </c>
      <c r="EA71">
        <v>1.8708800000000001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-0.443</v>
      </c>
      <c r="EQ71">
        <v>5.9200000000000003E-2</v>
      </c>
      <c r="ER71">
        <v>-0.442636363636353</v>
      </c>
      <c r="ES71">
        <v>0</v>
      </c>
      <c r="ET71">
        <v>0</v>
      </c>
      <c r="EU71">
        <v>0</v>
      </c>
      <c r="EV71">
        <v>5.9279999999997599E-2</v>
      </c>
      <c r="EW71">
        <v>0</v>
      </c>
      <c r="EX71">
        <v>0</v>
      </c>
      <c r="EY71">
        <v>0</v>
      </c>
      <c r="EZ71">
        <v>-1</v>
      </c>
      <c r="FA71">
        <v>-1</v>
      </c>
      <c r="FB71">
        <v>-1</v>
      </c>
      <c r="FC71">
        <v>-1</v>
      </c>
      <c r="FD71">
        <v>6.2</v>
      </c>
      <c r="FE71">
        <v>6.6</v>
      </c>
      <c r="FF71">
        <v>0.28930699999999998</v>
      </c>
      <c r="FG71">
        <v>2.6184099999999999</v>
      </c>
      <c r="FH71">
        <v>2.19604</v>
      </c>
      <c r="FI71">
        <v>2.5744600000000002</v>
      </c>
      <c r="FJ71">
        <v>2.4462899999999999</v>
      </c>
      <c r="FK71">
        <v>2.2997999999999998</v>
      </c>
      <c r="FL71">
        <v>32.9983</v>
      </c>
      <c r="FM71">
        <v>24.14</v>
      </c>
      <c r="FN71">
        <v>19</v>
      </c>
      <c r="FO71">
        <v>866.62400000000002</v>
      </c>
      <c r="FP71">
        <v>573.73199999999997</v>
      </c>
      <c r="FQ71">
        <v>17.8063</v>
      </c>
      <c r="FR71">
        <v>26.076599999999999</v>
      </c>
      <c r="FS71">
        <v>30</v>
      </c>
      <c r="FT71">
        <v>26.070799999999998</v>
      </c>
      <c r="FU71">
        <v>26.072399999999998</v>
      </c>
      <c r="FV71">
        <v>5.8372000000000002</v>
      </c>
      <c r="FW71">
        <v>28.274000000000001</v>
      </c>
      <c r="FX71">
        <v>37.301299999999998</v>
      </c>
      <c r="FY71">
        <v>17.824200000000001</v>
      </c>
      <c r="FZ71">
        <v>50</v>
      </c>
      <c r="GA71">
        <v>13.6793</v>
      </c>
      <c r="GB71">
        <v>99.8001</v>
      </c>
      <c r="GC71">
        <v>99.775599999999997</v>
      </c>
    </row>
    <row r="72" spans="1:185" x14ac:dyDescent="0.2">
      <c r="A72">
        <v>57</v>
      </c>
      <c r="B72">
        <v>1771104223.0999999</v>
      </c>
      <c r="C72">
        <v>1110</v>
      </c>
      <c r="D72" t="s">
        <v>411</v>
      </c>
      <c r="E72" t="s">
        <v>412</v>
      </c>
      <c r="F72">
        <v>15</v>
      </c>
      <c r="G72">
        <v>1771104215.03333</v>
      </c>
      <c r="H72">
        <f t="shared" si="0"/>
        <v>1.4288086676082848E-3</v>
      </c>
      <c r="I72">
        <v>0</v>
      </c>
      <c r="J72">
        <f t="shared" si="12"/>
        <v>-2.608819717113979E-2</v>
      </c>
      <c r="K72">
        <f t="shared" si="1"/>
        <v>-0.46648968681247766</v>
      </c>
      <c r="L72">
        <f t="shared" si="2"/>
        <v>69.961884050595984</v>
      </c>
      <c r="M72">
        <f t="shared" si="3"/>
        <v>1.5406626405965371</v>
      </c>
      <c r="N72">
        <f t="shared" si="4"/>
        <v>2.2021457276398388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26215.58243784793</v>
      </c>
      <c r="T72">
        <f t="shared" si="8"/>
        <v>799.99933333333297</v>
      </c>
      <c r="U72">
        <f t="shared" si="9"/>
        <v>674.39897400038603</v>
      </c>
      <c r="V72">
        <f t="shared" si="10"/>
        <v>0.84299941999999961</v>
      </c>
      <c r="W72">
        <f t="shared" si="11"/>
        <v>0.15869854999999994</v>
      </c>
      <c r="X72">
        <v>1</v>
      </c>
      <c r="Y72">
        <v>1771104215.03333</v>
      </c>
      <c r="Z72">
        <v>50.500673333333303</v>
      </c>
      <c r="AA72">
        <v>50.007759999999998</v>
      </c>
      <c r="AB72">
        <v>15.4066666666667</v>
      </c>
      <c r="AC72">
        <v>13.6481866666667</v>
      </c>
      <c r="AD72">
        <v>50.9433333333333</v>
      </c>
      <c r="AE72">
        <v>15.347379999999999</v>
      </c>
      <c r="AF72">
        <v>800.00653333333298</v>
      </c>
      <c r="AG72">
        <v>99.936386666666706</v>
      </c>
      <c r="AH72">
        <v>6.3352013333333304E-2</v>
      </c>
      <c r="AI72">
        <v>18.977933333333301</v>
      </c>
      <c r="AJ72">
        <v>999.9</v>
      </c>
      <c r="AK72">
        <v>999.9</v>
      </c>
      <c r="AL72">
        <v>0</v>
      </c>
      <c r="AM72">
        <v>0</v>
      </c>
      <c r="AN72">
        <v>5001.3333333333303</v>
      </c>
      <c r="AO72">
        <v>0</v>
      </c>
      <c r="AP72">
        <v>1.63733</v>
      </c>
      <c r="AQ72">
        <v>0.49293773333333302</v>
      </c>
      <c r="AR72">
        <v>51.2909133333333</v>
      </c>
      <c r="AS72">
        <v>50.6997133333333</v>
      </c>
      <c r="AT72">
        <v>1.7584586666666699</v>
      </c>
      <c r="AU72">
        <v>50.007759999999998</v>
      </c>
      <c r="AV72">
        <v>13.6481866666667</v>
      </c>
      <c r="AW72">
        <v>1.53968533333333</v>
      </c>
      <c r="AX72">
        <v>1.36395133333333</v>
      </c>
      <c r="AY72">
        <v>13.36806</v>
      </c>
      <c r="AZ72">
        <v>11.5226666666667</v>
      </c>
      <c r="BA72">
        <v>799.99933333333297</v>
      </c>
      <c r="BB72">
        <v>0.90001933333333295</v>
      </c>
      <c r="BC72">
        <v>0</v>
      </c>
      <c r="BD72">
        <v>9.9980666666666607E-2</v>
      </c>
      <c r="BE72">
        <v>0</v>
      </c>
      <c r="BF72">
        <v>25</v>
      </c>
      <c r="BG72">
        <v>13191.0933333333</v>
      </c>
      <c r="BH72">
        <v>1771103835.0999999</v>
      </c>
      <c r="BI72" t="s">
        <v>376</v>
      </c>
      <c r="BJ72">
        <v>1771103835.0999999</v>
      </c>
      <c r="BK72">
        <v>1771103812.0999999</v>
      </c>
      <c r="BL72">
        <v>14</v>
      </c>
      <c r="BM72">
        <v>0.26200000000000001</v>
      </c>
      <c r="BN72">
        <v>1.2E-2</v>
      </c>
      <c r="BO72">
        <v>-0.443</v>
      </c>
      <c r="BP72">
        <v>5.8999999999999997E-2</v>
      </c>
      <c r="BQ72">
        <v>150</v>
      </c>
      <c r="BR72">
        <v>13</v>
      </c>
      <c r="BS72">
        <v>0.18</v>
      </c>
      <c r="BT72">
        <v>0.04</v>
      </c>
      <c r="BU72">
        <v>0.498608</v>
      </c>
      <c r="BV72">
        <v>-9.8453454545455094E-2</v>
      </c>
      <c r="BW72">
        <v>1.7019000367936101E-2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1.76894523809524</v>
      </c>
      <c r="CD72">
        <v>-0.21836649350649301</v>
      </c>
      <c r="CE72">
        <v>2.39047872509826E-2</v>
      </c>
      <c r="CF72">
        <v>0</v>
      </c>
      <c r="CG72">
        <v>1</v>
      </c>
      <c r="CH72">
        <v>2</v>
      </c>
      <c r="CI72" t="s">
        <v>299</v>
      </c>
      <c r="CJ72">
        <v>3.5325700000000002</v>
      </c>
      <c r="CK72">
        <v>2.7013199999999999</v>
      </c>
      <c r="CL72">
        <v>1.47812E-2</v>
      </c>
      <c r="CM72">
        <v>1.43512E-2</v>
      </c>
      <c r="CN72">
        <v>8.7054000000000006E-2</v>
      </c>
      <c r="CO72">
        <v>7.8658800000000001E-2</v>
      </c>
      <c r="CP72">
        <v>34515.599999999999</v>
      </c>
      <c r="CQ72">
        <v>30356.1</v>
      </c>
      <c r="CR72">
        <v>32426.799999999999</v>
      </c>
      <c r="CS72">
        <v>30727.8</v>
      </c>
      <c r="CT72">
        <v>40089.699999999997</v>
      </c>
      <c r="CU72">
        <v>39820.1</v>
      </c>
      <c r="CV72">
        <v>47368.4</v>
      </c>
      <c r="CW72">
        <v>46876</v>
      </c>
      <c r="CX72">
        <v>2.6144599999999998</v>
      </c>
      <c r="CY72">
        <v>2.1181999999999999</v>
      </c>
      <c r="CZ72">
        <v>0</v>
      </c>
      <c r="DA72">
        <v>0</v>
      </c>
      <c r="DB72">
        <v>999.9</v>
      </c>
      <c r="DC72">
        <v>999.9</v>
      </c>
      <c r="DD72">
        <v>45.738999999999997</v>
      </c>
      <c r="DE72">
        <v>28.710999999999999</v>
      </c>
      <c r="DF72">
        <v>18.101099999999999</v>
      </c>
      <c r="DG72">
        <v>30.548200000000001</v>
      </c>
      <c r="DH72">
        <v>17.039300000000001</v>
      </c>
      <c r="DI72">
        <v>2</v>
      </c>
      <c r="DJ72">
        <v>-7.1652400000000005E-2</v>
      </c>
      <c r="DK72">
        <v>2.5855299999999999</v>
      </c>
      <c r="DL72">
        <v>20.189900000000002</v>
      </c>
      <c r="DM72">
        <v>5.2497600000000002</v>
      </c>
      <c r="DN72">
        <v>12.033899999999999</v>
      </c>
      <c r="DO72">
        <v>4.9676400000000003</v>
      </c>
      <c r="DP72">
        <v>3.2909999999999999</v>
      </c>
      <c r="DQ72">
        <v>608</v>
      </c>
      <c r="DR72">
        <v>9999</v>
      </c>
      <c r="DS72">
        <v>9999</v>
      </c>
      <c r="DT72">
        <v>9999</v>
      </c>
      <c r="DU72">
        <v>1.87117</v>
      </c>
      <c r="DV72">
        <v>1.8762099999999999</v>
      </c>
      <c r="DW72">
        <v>1.8763700000000001</v>
      </c>
      <c r="DX72">
        <v>1.8829</v>
      </c>
      <c r="DY72">
        <v>1.8756200000000001</v>
      </c>
      <c r="DZ72">
        <v>1.8747</v>
      </c>
      <c r="EA72">
        <v>1.8708800000000001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-0.443</v>
      </c>
      <c r="EQ72">
        <v>5.9299999999999999E-2</v>
      </c>
      <c r="ER72">
        <v>-0.442636363636353</v>
      </c>
      <c r="ES72">
        <v>0</v>
      </c>
      <c r="ET72">
        <v>0</v>
      </c>
      <c r="EU72">
        <v>0</v>
      </c>
      <c r="EV72">
        <v>5.9279999999997599E-2</v>
      </c>
      <c r="EW72">
        <v>0</v>
      </c>
      <c r="EX72">
        <v>0</v>
      </c>
      <c r="EY72">
        <v>0</v>
      </c>
      <c r="EZ72">
        <v>-1</v>
      </c>
      <c r="FA72">
        <v>-1</v>
      </c>
      <c r="FB72">
        <v>-1</v>
      </c>
      <c r="FC72">
        <v>-1</v>
      </c>
      <c r="FD72">
        <v>6.5</v>
      </c>
      <c r="FE72">
        <v>6.8</v>
      </c>
      <c r="FF72">
        <v>0.28930699999999998</v>
      </c>
      <c r="FG72">
        <v>2.6196299999999999</v>
      </c>
      <c r="FH72">
        <v>2.19604</v>
      </c>
      <c r="FI72">
        <v>2.5744600000000002</v>
      </c>
      <c r="FJ72">
        <v>2.4462899999999999</v>
      </c>
      <c r="FK72">
        <v>2.2705099999999998</v>
      </c>
      <c r="FL72">
        <v>32.9983</v>
      </c>
      <c r="FM72">
        <v>24.1313</v>
      </c>
      <c r="FN72">
        <v>19</v>
      </c>
      <c r="FO72">
        <v>866.62300000000005</v>
      </c>
      <c r="FP72">
        <v>573.50199999999995</v>
      </c>
      <c r="FQ72">
        <v>17.857199999999999</v>
      </c>
      <c r="FR72">
        <v>26.076599999999999</v>
      </c>
      <c r="FS72">
        <v>30</v>
      </c>
      <c r="FT72">
        <v>26.070799999999998</v>
      </c>
      <c r="FU72">
        <v>26.072399999999998</v>
      </c>
      <c r="FV72">
        <v>5.8358100000000004</v>
      </c>
      <c r="FW72">
        <v>28.274000000000001</v>
      </c>
      <c r="FX72">
        <v>37.301299999999998</v>
      </c>
      <c r="FY72">
        <v>17.8706</v>
      </c>
      <c r="FZ72">
        <v>50</v>
      </c>
      <c r="GA72">
        <v>13.6793</v>
      </c>
      <c r="GB72">
        <v>99.801900000000003</v>
      </c>
      <c r="GC72">
        <v>99.776300000000006</v>
      </c>
    </row>
    <row r="73" spans="1:185" x14ac:dyDescent="0.2">
      <c r="A73">
        <v>58</v>
      </c>
      <c r="B73">
        <v>1771104238.0999999</v>
      </c>
      <c r="C73">
        <v>1125</v>
      </c>
      <c r="D73" t="s">
        <v>413</v>
      </c>
      <c r="E73" t="s">
        <v>414</v>
      </c>
      <c r="F73">
        <v>15</v>
      </c>
      <c r="G73">
        <v>1771104230.03333</v>
      </c>
      <c r="H73">
        <f t="shared" si="0"/>
        <v>1.4224136899095555E-3</v>
      </c>
      <c r="I73">
        <v>0</v>
      </c>
      <c r="J73">
        <f t="shared" si="12"/>
        <v>-2.5522510292376205E-2</v>
      </c>
      <c r="K73">
        <f t="shared" si="1"/>
        <v>-0.45637449590153656</v>
      </c>
      <c r="L73">
        <f t="shared" si="2"/>
        <v>69.975619504459019</v>
      </c>
      <c r="M73">
        <f t="shared" si="3"/>
        <v>1.5416987774576232</v>
      </c>
      <c r="N73">
        <f t="shared" si="4"/>
        <v>2.2031941815954661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26199.915627324917</v>
      </c>
      <c r="T73">
        <f t="shared" si="8"/>
        <v>799.99919999999997</v>
      </c>
      <c r="U73">
        <f t="shared" si="9"/>
        <v>674.39878512054042</v>
      </c>
      <c r="V73">
        <f t="shared" si="10"/>
        <v>0.84299932440000003</v>
      </c>
      <c r="W73">
        <f t="shared" si="11"/>
        <v>0.158698466904</v>
      </c>
      <c r="X73">
        <v>1</v>
      </c>
      <c r="Y73">
        <v>1771104230.03333</v>
      </c>
      <c r="Z73">
        <v>50.484886666666704</v>
      </c>
      <c r="AA73">
        <v>50.004186666666698</v>
      </c>
      <c r="AB73">
        <v>15.4170466666667</v>
      </c>
      <c r="AC73">
        <v>13.666460000000001</v>
      </c>
      <c r="AD73">
        <v>50.92754</v>
      </c>
      <c r="AE73">
        <v>15.357753333333299</v>
      </c>
      <c r="AF73">
        <v>800.00853333333305</v>
      </c>
      <c r="AG73">
        <v>99.936253333333298</v>
      </c>
      <c r="AH73">
        <v>6.3364673333333302E-2</v>
      </c>
      <c r="AI73">
        <v>18.98556</v>
      </c>
      <c r="AJ73">
        <v>999.9</v>
      </c>
      <c r="AK73">
        <v>999.9</v>
      </c>
      <c r="AL73">
        <v>0</v>
      </c>
      <c r="AM73">
        <v>0</v>
      </c>
      <c r="AN73">
        <v>4998.8666666666704</v>
      </c>
      <c r="AO73">
        <v>0</v>
      </c>
      <c r="AP73">
        <v>1.63733</v>
      </c>
      <c r="AQ73">
        <v>0.48070886666666701</v>
      </c>
      <c r="AR73">
        <v>51.275413333333297</v>
      </c>
      <c r="AS73">
        <v>50.697033333333302</v>
      </c>
      <c r="AT73">
        <v>1.750586</v>
      </c>
      <c r="AU73">
        <v>50.004186666666698</v>
      </c>
      <c r="AV73">
        <v>13.666460000000001</v>
      </c>
      <c r="AW73">
        <v>1.54072066666667</v>
      </c>
      <c r="AX73">
        <v>1.36577333333333</v>
      </c>
      <c r="AY73">
        <v>13.3783733333333</v>
      </c>
      <c r="AZ73">
        <v>11.542873333333301</v>
      </c>
      <c r="BA73">
        <v>799.99919999999997</v>
      </c>
      <c r="BB73">
        <v>0.90002020000000005</v>
      </c>
      <c r="BC73">
        <v>0</v>
      </c>
      <c r="BD73">
        <v>9.9979719999999994E-2</v>
      </c>
      <c r="BE73">
        <v>0</v>
      </c>
      <c r="BF73">
        <v>25</v>
      </c>
      <c r="BG73">
        <v>13191.086666666701</v>
      </c>
      <c r="BH73">
        <v>1771103835.0999999</v>
      </c>
      <c r="BI73" t="s">
        <v>376</v>
      </c>
      <c r="BJ73">
        <v>1771103835.0999999</v>
      </c>
      <c r="BK73">
        <v>1771103812.0999999</v>
      </c>
      <c r="BL73">
        <v>14</v>
      </c>
      <c r="BM73">
        <v>0.26200000000000001</v>
      </c>
      <c r="BN73">
        <v>1.2E-2</v>
      </c>
      <c r="BO73">
        <v>-0.443</v>
      </c>
      <c r="BP73">
        <v>5.8999999999999997E-2</v>
      </c>
      <c r="BQ73">
        <v>150</v>
      </c>
      <c r="BR73">
        <v>13</v>
      </c>
      <c r="BS73">
        <v>0.18</v>
      </c>
      <c r="BT73">
        <v>0.04</v>
      </c>
      <c r="BU73">
        <v>0.48392795</v>
      </c>
      <c r="BV73">
        <v>-0.15394795488721799</v>
      </c>
      <c r="BW73">
        <v>1.9113828953077401E-2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1.748972</v>
      </c>
      <c r="CD73">
        <v>5.1415037593984303E-2</v>
      </c>
      <c r="CE73">
        <v>5.40878507615156E-3</v>
      </c>
      <c r="CF73">
        <v>1</v>
      </c>
      <c r="CG73">
        <v>2</v>
      </c>
      <c r="CH73">
        <v>2</v>
      </c>
      <c r="CI73" t="s">
        <v>322</v>
      </c>
      <c r="CJ73">
        <v>3.5325099999999998</v>
      </c>
      <c r="CK73">
        <v>2.70126</v>
      </c>
      <c r="CL73">
        <v>1.4777E-2</v>
      </c>
      <c r="CM73">
        <v>1.4360700000000001E-2</v>
      </c>
      <c r="CN73">
        <v>8.7107900000000002E-2</v>
      </c>
      <c r="CO73">
        <v>7.8617000000000006E-2</v>
      </c>
      <c r="CP73">
        <v>34515.5</v>
      </c>
      <c r="CQ73">
        <v>30356</v>
      </c>
      <c r="CR73">
        <v>32426.6</v>
      </c>
      <c r="CS73">
        <v>30727.9</v>
      </c>
      <c r="CT73">
        <v>40086.800000000003</v>
      </c>
      <c r="CU73">
        <v>39822.300000000003</v>
      </c>
      <c r="CV73">
        <v>47367.9</v>
      </c>
      <c r="CW73">
        <v>46876.4</v>
      </c>
      <c r="CX73">
        <v>2.6145</v>
      </c>
      <c r="CY73">
        <v>2.1183000000000001</v>
      </c>
      <c r="CZ73">
        <v>0</v>
      </c>
      <c r="DA73">
        <v>0</v>
      </c>
      <c r="DB73">
        <v>999.9</v>
      </c>
      <c r="DC73">
        <v>999.9</v>
      </c>
      <c r="DD73">
        <v>45.715000000000003</v>
      </c>
      <c r="DE73">
        <v>28.731999999999999</v>
      </c>
      <c r="DF73">
        <v>18.1142</v>
      </c>
      <c r="DG73">
        <v>30.638200000000001</v>
      </c>
      <c r="DH73">
        <v>17.139399999999998</v>
      </c>
      <c r="DI73">
        <v>2</v>
      </c>
      <c r="DJ73">
        <v>-7.1540599999999996E-2</v>
      </c>
      <c r="DK73">
        <v>2.58378</v>
      </c>
      <c r="DL73">
        <v>20.190000000000001</v>
      </c>
      <c r="DM73">
        <v>5.2511900000000002</v>
      </c>
      <c r="DN73">
        <v>12.033899999999999</v>
      </c>
      <c r="DO73">
        <v>4.9676</v>
      </c>
      <c r="DP73">
        <v>3.2909999999999999</v>
      </c>
      <c r="DQ73">
        <v>608</v>
      </c>
      <c r="DR73">
        <v>9999</v>
      </c>
      <c r="DS73">
        <v>9999</v>
      </c>
      <c r="DT73">
        <v>9999</v>
      </c>
      <c r="DU73">
        <v>1.8711899999999999</v>
      </c>
      <c r="DV73">
        <v>1.8762099999999999</v>
      </c>
      <c r="DW73">
        <v>1.8763700000000001</v>
      </c>
      <c r="DX73">
        <v>1.8829199999999999</v>
      </c>
      <c r="DY73">
        <v>1.8756200000000001</v>
      </c>
      <c r="DZ73">
        <v>1.87469</v>
      </c>
      <c r="EA73">
        <v>1.8708800000000001</v>
      </c>
      <c r="EB73">
        <v>1.87469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-0.443</v>
      </c>
      <c r="EQ73">
        <v>5.9299999999999999E-2</v>
      </c>
      <c r="ER73">
        <v>-0.442636363636353</v>
      </c>
      <c r="ES73">
        <v>0</v>
      </c>
      <c r="ET73">
        <v>0</v>
      </c>
      <c r="EU73">
        <v>0</v>
      </c>
      <c r="EV73">
        <v>5.9279999999997599E-2</v>
      </c>
      <c r="EW73">
        <v>0</v>
      </c>
      <c r="EX73">
        <v>0</v>
      </c>
      <c r="EY73">
        <v>0</v>
      </c>
      <c r="EZ73">
        <v>-1</v>
      </c>
      <c r="FA73">
        <v>-1</v>
      </c>
      <c r="FB73">
        <v>-1</v>
      </c>
      <c r="FC73">
        <v>-1</v>
      </c>
      <c r="FD73">
        <v>6.7</v>
      </c>
      <c r="FE73">
        <v>7.1</v>
      </c>
      <c r="FF73">
        <v>0.28930699999999998</v>
      </c>
      <c r="FG73">
        <v>2.6074199999999998</v>
      </c>
      <c r="FH73">
        <v>2.19604</v>
      </c>
      <c r="FI73">
        <v>2.5744600000000002</v>
      </c>
      <c r="FJ73">
        <v>2.4462899999999999</v>
      </c>
      <c r="FK73">
        <v>2.3107899999999999</v>
      </c>
      <c r="FL73">
        <v>32.9983</v>
      </c>
      <c r="FM73">
        <v>24.14</v>
      </c>
      <c r="FN73">
        <v>19</v>
      </c>
      <c r="FO73">
        <v>866.66099999999994</v>
      </c>
      <c r="FP73">
        <v>573.57899999999995</v>
      </c>
      <c r="FQ73">
        <v>17.8949</v>
      </c>
      <c r="FR73">
        <v>26.076599999999999</v>
      </c>
      <c r="FS73">
        <v>30</v>
      </c>
      <c r="FT73">
        <v>26.070799999999998</v>
      </c>
      <c r="FU73">
        <v>26.072399999999998</v>
      </c>
      <c r="FV73">
        <v>5.835</v>
      </c>
      <c r="FW73">
        <v>28.274000000000001</v>
      </c>
      <c r="FX73">
        <v>36.925600000000003</v>
      </c>
      <c r="FY73">
        <v>17.9009</v>
      </c>
      <c r="FZ73">
        <v>50</v>
      </c>
      <c r="GA73">
        <v>13.6755</v>
      </c>
      <c r="GB73">
        <v>99.801000000000002</v>
      </c>
      <c r="GC73">
        <v>99.776899999999998</v>
      </c>
    </row>
    <row r="74" spans="1:185" x14ac:dyDescent="0.2">
      <c r="A74">
        <v>59</v>
      </c>
      <c r="B74">
        <v>1771104253.0999999</v>
      </c>
      <c r="C74">
        <v>1140</v>
      </c>
      <c r="D74" t="s">
        <v>415</v>
      </c>
      <c r="E74" t="s">
        <v>416</v>
      </c>
      <c r="F74">
        <v>15</v>
      </c>
      <c r="G74">
        <v>1771104245.03333</v>
      </c>
      <c r="H74">
        <f t="shared" si="0"/>
        <v>1.4523019889207183E-3</v>
      </c>
      <c r="I74">
        <v>0</v>
      </c>
      <c r="J74">
        <f t="shared" si="12"/>
        <v>-2.4769090577266773E-2</v>
      </c>
      <c r="K74">
        <f t="shared" si="1"/>
        <v>-0.44290240641087014</v>
      </c>
      <c r="L74">
        <f t="shared" si="2"/>
        <v>69.963806164654898</v>
      </c>
      <c r="M74">
        <f t="shared" si="3"/>
        <v>1.5424675147566815</v>
      </c>
      <c r="N74">
        <f t="shared" si="4"/>
        <v>2.2046649536570277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26205.274561500522</v>
      </c>
      <c r="T74">
        <f t="shared" si="8"/>
        <v>800.00059999999996</v>
      </c>
      <c r="U74">
        <f t="shared" si="9"/>
        <v>674.40001363963052</v>
      </c>
      <c r="V74">
        <f t="shared" si="10"/>
        <v>0.84299938479999958</v>
      </c>
      <c r="W74">
        <f t="shared" si="11"/>
        <v>0.15869851396799994</v>
      </c>
      <c r="X74">
        <v>1</v>
      </c>
      <c r="Y74">
        <v>1771104245.03333</v>
      </c>
      <c r="Z74">
        <v>50.471026666666702</v>
      </c>
      <c r="AA74">
        <v>50.009026666666699</v>
      </c>
      <c r="AB74">
        <v>15.424806666666701</v>
      </c>
      <c r="AC74">
        <v>13.637446666666699</v>
      </c>
      <c r="AD74">
        <v>50.9136733333333</v>
      </c>
      <c r="AE74">
        <v>15.365553333333301</v>
      </c>
      <c r="AF74">
        <v>800.00699999999995</v>
      </c>
      <c r="AG74">
        <v>99.935699999999997</v>
      </c>
      <c r="AH74">
        <v>6.3447353333333303E-2</v>
      </c>
      <c r="AI74">
        <v>18.9962533333333</v>
      </c>
      <c r="AJ74">
        <v>999.9</v>
      </c>
      <c r="AK74">
        <v>999.9</v>
      </c>
      <c r="AL74">
        <v>0</v>
      </c>
      <c r="AM74">
        <v>0</v>
      </c>
      <c r="AN74">
        <v>4999.9333333333298</v>
      </c>
      <c r="AO74">
        <v>0</v>
      </c>
      <c r="AP74">
        <v>1.63733</v>
      </c>
      <c r="AQ74">
        <v>0.46202126666666699</v>
      </c>
      <c r="AR74">
        <v>51.261733333333297</v>
      </c>
      <c r="AS74">
        <v>50.700426666666701</v>
      </c>
      <c r="AT74">
        <v>1.787388</v>
      </c>
      <c r="AU74">
        <v>50.009026666666699</v>
      </c>
      <c r="AV74">
        <v>13.637446666666699</v>
      </c>
      <c r="AW74">
        <v>1.54149</v>
      </c>
      <c r="AX74">
        <v>1.362868</v>
      </c>
      <c r="AY74">
        <v>13.3860266666667</v>
      </c>
      <c r="AZ74">
        <v>11.5106466666667</v>
      </c>
      <c r="BA74">
        <v>800.00059999999996</v>
      </c>
      <c r="BB74">
        <v>0.90001973333333296</v>
      </c>
      <c r="BC74">
        <v>0</v>
      </c>
      <c r="BD74">
        <v>9.9980239999999998E-2</v>
      </c>
      <c r="BE74">
        <v>0</v>
      </c>
      <c r="BF74">
        <v>25</v>
      </c>
      <c r="BG74">
        <v>13191.1133333333</v>
      </c>
      <c r="BH74">
        <v>1771103835.0999999</v>
      </c>
      <c r="BI74" t="s">
        <v>376</v>
      </c>
      <c r="BJ74">
        <v>1771103835.0999999</v>
      </c>
      <c r="BK74">
        <v>1771103812.0999999</v>
      </c>
      <c r="BL74">
        <v>14</v>
      </c>
      <c r="BM74">
        <v>0.26200000000000001</v>
      </c>
      <c r="BN74">
        <v>1.2E-2</v>
      </c>
      <c r="BO74">
        <v>-0.443</v>
      </c>
      <c r="BP74">
        <v>5.8999999999999997E-2</v>
      </c>
      <c r="BQ74">
        <v>150</v>
      </c>
      <c r="BR74">
        <v>13</v>
      </c>
      <c r="BS74">
        <v>0.18</v>
      </c>
      <c r="BT74">
        <v>0.04</v>
      </c>
      <c r="BU74">
        <v>0.46166533333333298</v>
      </c>
      <c r="BV74">
        <v>3.03498701298742E-3</v>
      </c>
      <c r="BW74">
        <v>9.3836474801510996E-3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1.7788247619047599</v>
      </c>
      <c r="CD74">
        <v>0.121235844155847</v>
      </c>
      <c r="CE74">
        <v>1.5722644760874201E-2</v>
      </c>
      <c r="CF74">
        <v>0</v>
      </c>
      <c r="CG74">
        <v>1</v>
      </c>
      <c r="CH74">
        <v>2</v>
      </c>
      <c r="CI74" t="s">
        <v>299</v>
      </c>
      <c r="CJ74">
        <v>3.5325700000000002</v>
      </c>
      <c r="CK74">
        <v>2.70126</v>
      </c>
      <c r="CL74">
        <v>1.4765800000000001E-2</v>
      </c>
      <c r="CM74">
        <v>1.43462E-2</v>
      </c>
      <c r="CN74">
        <v>8.7050100000000005E-2</v>
      </c>
      <c r="CO74">
        <v>7.8503199999999995E-2</v>
      </c>
      <c r="CP74">
        <v>34515.599999999999</v>
      </c>
      <c r="CQ74">
        <v>30355.4</v>
      </c>
      <c r="CR74">
        <v>32426.3</v>
      </c>
      <c r="CS74">
        <v>30726.9</v>
      </c>
      <c r="CT74">
        <v>40089.1</v>
      </c>
      <c r="CU74">
        <v>39825.800000000003</v>
      </c>
      <c r="CV74">
        <v>47367.5</v>
      </c>
      <c r="CW74">
        <v>46874.6</v>
      </c>
      <c r="CX74">
        <v>2.6142799999999999</v>
      </c>
      <c r="CY74">
        <v>2.1183000000000001</v>
      </c>
      <c r="CZ74">
        <v>0</v>
      </c>
      <c r="DA74">
        <v>0</v>
      </c>
      <c r="DB74">
        <v>999.9</v>
      </c>
      <c r="DC74">
        <v>999.9</v>
      </c>
      <c r="DD74">
        <v>45.665999999999997</v>
      </c>
      <c r="DE74">
        <v>28.731999999999999</v>
      </c>
      <c r="DF74">
        <v>18.0946</v>
      </c>
      <c r="DG74">
        <v>30.488199999999999</v>
      </c>
      <c r="DH74">
        <v>16.979199999999999</v>
      </c>
      <c r="DI74">
        <v>2</v>
      </c>
      <c r="DJ74">
        <v>-7.1187E-2</v>
      </c>
      <c r="DK74">
        <v>2.6097600000000001</v>
      </c>
      <c r="DL74">
        <v>20.189399999999999</v>
      </c>
      <c r="DM74">
        <v>5.2511900000000002</v>
      </c>
      <c r="DN74">
        <v>12.033899999999999</v>
      </c>
      <c r="DO74">
        <v>4.9676799999999997</v>
      </c>
      <c r="DP74">
        <v>3.2909999999999999</v>
      </c>
      <c r="DQ74">
        <v>608</v>
      </c>
      <c r="DR74">
        <v>9999</v>
      </c>
      <c r="DS74">
        <v>9999</v>
      </c>
      <c r="DT74">
        <v>9999</v>
      </c>
      <c r="DU74">
        <v>1.8711800000000001</v>
      </c>
      <c r="DV74">
        <v>1.87618</v>
      </c>
      <c r="DW74">
        <v>1.8763700000000001</v>
      </c>
      <c r="DX74">
        <v>1.8829100000000001</v>
      </c>
      <c r="DY74">
        <v>1.8756200000000001</v>
      </c>
      <c r="DZ74">
        <v>1.87469</v>
      </c>
      <c r="EA74">
        <v>1.8708800000000001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-0.443</v>
      </c>
      <c r="EQ74">
        <v>5.9299999999999999E-2</v>
      </c>
      <c r="ER74">
        <v>-0.442636363636353</v>
      </c>
      <c r="ES74">
        <v>0</v>
      </c>
      <c r="ET74">
        <v>0</v>
      </c>
      <c r="EU74">
        <v>0</v>
      </c>
      <c r="EV74">
        <v>5.9279999999997599E-2</v>
      </c>
      <c r="EW74">
        <v>0</v>
      </c>
      <c r="EX74">
        <v>0</v>
      </c>
      <c r="EY74">
        <v>0</v>
      </c>
      <c r="EZ74">
        <v>-1</v>
      </c>
      <c r="FA74">
        <v>-1</v>
      </c>
      <c r="FB74">
        <v>-1</v>
      </c>
      <c r="FC74">
        <v>-1</v>
      </c>
      <c r="FD74">
        <v>7</v>
      </c>
      <c r="FE74">
        <v>7.3</v>
      </c>
      <c r="FF74">
        <v>0.28930699999999998</v>
      </c>
      <c r="FG74">
        <v>2.6184099999999999</v>
      </c>
      <c r="FH74">
        <v>2.19604</v>
      </c>
      <c r="FI74">
        <v>2.5744600000000002</v>
      </c>
      <c r="FJ74">
        <v>2.4462899999999999</v>
      </c>
      <c r="FK74">
        <v>2.2814899999999998</v>
      </c>
      <c r="FL74">
        <v>32.9983</v>
      </c>
      <c r="FM74">
        <v>24.1313</v>
      </c>
      <c r="FN74">
        <v>19</v>
      </c>
      <c r="FO74">
        <v>866.45500000000004</v>
      </c>
      <c r="FP74">
        <v>573.60299999999995</v>
      </c>
      <c r="FQ74">
        <v>17.910399999999999</v>
      </c>
      <c r="FR74">
        <v>26.076599999999999</v>
      </c>
      <c r="FS74">
        <v>30.0001</v>
      </c>
      <c r="FT74">
        <v>26.070799999999998</v>
      </c>
      <c r="FU74">
        <v>26.0746</v>
      </c>
      <c r="FV74">
        <v>5.8355899999999998</v>
      </c>
      <c r="FW74">
        <v>28.274000000000001</v>
      </c>
      <c r="FX74">
        <v>36.925600000000003</v>
      </c>
      <c r="FY74">
        <v>17.9085</v>
      </c>
      <c r="FZ74">
        <v>50</v>
      </c>
      <c r="GA74">
        <v>13.6776</v>
      </c>
      <c r="GB74">
        <v>99.8001</v>
      </c>
      <c r="GC74">
        <v>99.773300000000006</v>
      </c>
    </row>
    <row r="75" spans="1:185" x14ac:dyDescent="0.2">
      <c r="A75">
        <v>60</v>
      </c>
      <c r="B75">
        <v>1771104268.0999999</v>
      </c>
      <c r="C75">
        <v>1155</v>
      </c>
      <c r="D75" t="s">
        <v>417</v>
      </c>
      <c r="E75" t="s">
        <v>418</v>
      </c>
      <c r="F75">
        <v>15</v>
      </c>
      <c r="G75">
        <v>1771104260.03333</v>
      </c>
      <c r="H75">
        <f t="shared" si="0"/>
        <v>1.4443727446831311E-3</v>
      </c>
      <c r="I75">
        <v>0</v>
      </c>
      <c r="J75">
        <f t="shared" si="12"/>
        <v>-2.415438616045891E-2</v>
      </c>
      <c r="K75">
        <f t="shared" si="1"/>
        <v>-0.43191072043894069</v>
      </c>
      <c r="L75">
        <f t="shared" si="2"/>
        <v>69.856456238055259</v>
      </c>
      <c r="M75">
        <f t="shared" si="3"/>
        <v>1.5407249897675417</v>
      </c>
      <c r="N75">
        <f t="shared" si="4"/>
        <v>2.2055584733887641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26209.60737237697</v>
      </c>
      <c r="T75">
        <f t="shared" si="8"/>
        <v>800.00080000000003</v>
      </c>
      <c r="U75">
        <f t="shared" si="9"/>
        <v>674.40017215949774</v>
      </c>
      <c r="V75">
        <f t="shared" si="10"/>
        <v>0.84299937219999999</v>
      </c>
      <c r="W75">
        <f t="shared" si="11"/>
        <v>0.158698573412</v>
      </c>
      <c r="X75">
        <v>1</v>
      </c>
      <c r="Y75">
        <v>1771104260.03333</v>
      </c>
      <c r="Z75">
        <v>50.441966666666701</v>
      </c>
      <c r="AA75">
        <v>49.993153333333296</v>
      </c>
      <c r="AB75">
        <v>15.4073733333333</v>
      </c>
      <c r="AC75">
        <v>13.62974</v>
      </c>
      <c r="AD75">
        <v>50.884593333333299</v>
      </c>
      <c r="AE75">
        <v>15.348093333333299</v>
      </c>
      <c r="AF75">
        <v>800.0068</v>
      </c>
      <c r="AG75">
        <v>99.935959999999994</v>
      </c>
      <c r="AH75">
        <v>6.3238853333333303E-2</v>
      </c>
      <c r="AI75">
        <v>19.002746666666699</v>
      </c>
      <c r="AJ75">
        <v>999.9</v>
      </c>
      <c r="AK75">
        <v>999.9</v>
      </c>
      <c r="AL75">
        <v>0</v>
      </c>
      <c r="AM75">
        <v>0</v>
      </c>
      <c r="AN75">
        <v>5000.7333333333299</v>
      </c>
      <c r="AO75">
        <v>0</v>
      </c>
      <c r="AP75">
        <v>1.63733</v>
      </c>
      <c r="AQ75">
        <v>0.44882133333333302</v>
      </c>
      <c r="AR75">
        <v>51.231293333333298</v>
      </c>
      <c r="AS75">
        <v>50.683966666666699</v>
      </c>
      <c r="AT75">
        <v>1.7776160000000001</v>
      </c>
      <c r="AU75">
        <v>49.993153333333296</v>
      </c>
      <c r="AV75">
        <v>13.62974</v>
      </c>
      <c r="AW75">
        <v>1.53975</v>
      </c>
      <c r="AX75">
        <v>1.36210266666667</v>
      </c>
      <c r="AY75">
        <v>13.3687066666667</v>
      </c>
      <c r="AZ75">
        <v>11.502179999999999</v>
      </c>
      <c r="BA75">
        <v>800.00080000000003</v>
      </c>
      <c r="BB75">
        <v>0.90001880000000001</v>
      </c>
      <c r="BC75">
        <v>0</v>
      </c>
      <c r="BD75">
        <v>9.9981126666666698E-2</v>
      </c>
      <c r="BE75">
        <v>0</v>
      </c>
      <c r="BF75">
        <v>25</v>
      </c>
      <c r="BG75">
        <v>13191.1266666667</v>
      </c>
      <c r="BH75">
        <v>1771103835.0999999</v>
      </c>
      <c r="BI75" t="s">
        <v>376</v>
      </c>
      <c r="BJ75">
        <v>1771103835.0999999</v>
      </c>
      <c r="BK75">
        <v>1771103812.0999999</v>
      </c>
      <c r="BL75">
        <v>14</v>
      </c>
      <c r="BM75">
        <v>0.26200000000000001</v>
      </c>
      <c r="BN75">
        <v>1.2E-2</v>
      </c>
      <c r="BO75">
        <v>-0.443</v>
      </c>
      <c r="BP75">
        <v>5.8999999999999997E-2</v>
      </c>
      <c r="BQ75">
        <v>150</v>
      </c>
      <c r="BR75">
        <v>13</v>
      </c>
      <c r="BS75">
        <v>0.18</v>
      </c>
      <c r="BT75">
        <v>0.04</v>
      </c>
      <c r="BU75">
        <v>0.455177619047619</v>
      </c>
      <c r="BV75">
        <v>-7.0492363636363395E-2</v>
      </c>
      <c r="BW75">
        <v>1.48885913705002E-2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1.7813033333333299</v>
      </c>
      <c r="CD75">
        <v>-5.1945974025972098E-2</v>
      </c>
      <c r="CE75">
        <v>5.4314448953104097E-3</v>
      </c>
      <c r="CF75">
        <v>1</v>
      </c>
      <c r="CG75">
        <v>2</v>
      </c>
      <c r="CH75">
        <v>2</v>
      </c>
      <c r="CI75" t="s">
        <v>322</v>
      </c>
      <c r="CJ75">
        <v>3.53254</v>
      </c>
      <c r="CK75">
        <v>2.7010800000000001</v>
      </c>
      <c r="CL75">
        <v>1.47701E-2</v>
      </c>
      <c r="CM75">
        <v>1.43652E-2</v>
      </c>
      <c r="CN75">
        <v>8.6976600000000001E-2</v>
      </c>
      <c r="CO75">
        <v>7.8498200000000004E-2</v>
      </c>
      <c r="CP75">
        <v>34515.9</v>
      </c>
      <c r="CQ75">
        <v>30354.1</v>
      </c>
      <c r="CR75">
        <v>32426.7</v>
      </c>
      <c r="CS75">
        <v>30726.2</v>
      </c>
      <c r="CT75">
        <v>40092.9</v>
      </c>
      <c r="CU75">
        <v>39825.199999999997</v>
      </c>
      <c r="CV75">
        <v>47368</v>
      </c>
      <c r="CW75">
        <v>46873.599999999999</v>
      </c>
      <c r="CX75">
        <v>2.6145</v>
      </c>
      <c r="CY75">
        <v>2.11816</v>
      </c>
      <c r="CZ75">
        <v>0</v>
      </c>
      <c r="DA75">
        <v>0</v>
      </c>
      <c r="DB75">
        <v>999.9</v>
      </c>
      <c r="DC75">
        <v>999.9</v>
      </c>
      <c r="DD75">
        <v>45.642000000000003</v>
      </c>
      <c r="DE75">
        <v>28.742000000000001</v>
      </c>
      <c r="DF75">
        <v>18.094999999999999</v>
      </c>
      <c r="DG75">
        <v>30.6082</v>
      </c>
      <c r="DH75">
        <v>17.0473</v>
      </c>
      <c r="DI75">
        <v>2</v>
      </c>
      <c r="DJ75">
        <v>-7.0380100000000001E-2</v>
      </c>
      <c r="DK75">
        <v>2.8239999999999998</v>
      </c>
      <c r="DL75">
        <v>20.184999999999999</v>
      </c>
      <c r="DM75">
        <v>5.2501199999999999</v>
      </c>
      <c r="DN75">
        <v>12.033899999999999</v>
      </c>
      <c r="DO75">
        <v>4.9673600000000002</v>
      </c>
      <c r="DP75">
        <v>3.2909999999999999</v>
      </c>
      <c r="DQ75">
        <v>608</v>
      </c>
      <c r="DR75">
        <v>9999</v>
      </c>
      <c r="DS75">
        <v>9999</v>
      </c>
      <c r="DT75">
        <v>9999</v>
      </c>
      <c r="DU75">
        <v>1.8711899999999999</v>
      </c>
      <c r="DV75">
        <v>1.8762000000000001</v>
      </c>
      <c r="DW75">
        <v>1.8763700000000001</v>
      </c>
      <c r="DX75">
        <v>1.8829</v>
      </c>
      <c r="DY75">
        <v>1.87561</v>
      </c>
      <c r="DZ75">
        <v>1.87469</v>
      </c>
      <c r="EA75">
        <v>1.8708800000000001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-0.443</v>
      </c>
      <c r="EQ75">
        <v>5.9299999999999999E-2</v>
      </c>
      <c r="ER75">
        <v>-0.442636363636353</v>
      </c>
      <c r="ES75">
        <v>0</v>
      </c>
      <c r="ET75">
        <v>0</v>
      </c>
      <c r="EU75">
        <v>0</v>
      </c>
      <c r="EV75">
        <v>5.9279999999997599E-2</v>
      </c>
      <c r="EW75">
        <v>0</v>
      </c>
      <c r="EX75">
        <v>0</v>
      </c>
      <c r="EY75">
        <v>0</v>
      </c>
      <c r="EZ75">
        <v>-1</v>
      </c>
      <c r="FA75">
        <v>-1</v>
      </c>
      <c r="FB75">
        <v>-1</v>
      </c>
      <c r="FC75">
        <v>-1</v>
      </c>
      <c r="FD75">
        <v>7.2</v>
      </c>
      <c r="FE75">
        <v>7.6</v>
      </c>
      <c r="FF75">
        <v>0.28930699999999998</v>
      </c>
      <c r="FG75">
        <v>2.6135299999999999</v>
      </c>
      <c r="FH75">
        <v>2.19604</v>
      </c>
      <c r="FI75">
        <v>2.5744600000000002</v>
      </c>
      <c r="FJ75">
        <v>2.4462899999999999</v>
      </c>
      <c r="FK75">
        <v>2.2729499999999998</v>
      </c>
      <c r="FL75">
        <v>32.9983</v>
      </c>
      <c r="FM75">
        <v>24.1313</v>
      </c>
      <c r="FN75">
        <v>19</v>
      </c>
      <c r="FO75">
        <v>866.69500000000005</v>
      </c>
      <c r="FP75">
        <v>573.495</v>
      </c>
      <c r="FQ75">
        <v>17.8142</v>
      </c>
      <c r="FR75">
        <v>26.076599999999999</v>
      </c>
      <c r="FS75">
        <v>30.0002</v>
      </c>
      <c r="FT75">
        <v>26.073</v>
      </c>
      <c r="FU75">
        <v>26.0746</v>
      </c>
      <c r="FV75">
        <v>5.83371</v>
      </c>
      <c r="FW75">
        <v>28.274000000000001</v>
      </c>
      <c r="FX75">
        <v>36.925600000000003</v>
      </c>
      <c r="FY75">
        <v>17.814800000000002</v>
      </c>
      <c r="FZ75">
        <v>50</v>
      </c>
      <c r="GA75">
        <v>13.6776</v>
      </c>
      <c r="GB75">
        <v>99.801299999999998</v>
      </c>
      <c r="GC75">
        <v>99.771199999999993</v>
      </c>
    </row>
    <row r="76" spans="1:185" x14ac:dyDescent="0.2">
      <c r="A76">
        <v>61</v>
      </c>
      <c r="B76">
        <v>1771104283.0999999</v>
      </c>
      <c r="C76">
        <v>1170</v>
      </c>
      <c r="D76" t="s">
        <v>419</v>
      </c>
      <c r="E76" t="s">
        <v>420</v>
      </c>
      <c r="F76">
        <v>15</v>
      </c>
      <c r="G76">
        <v>1771104275.03333</v>
      </c>
      <c r="H76">
        <f t="shared" si="0"/>
        <v>1.44682027201948E-3</v>
      </c>
      <c r="I76">
        <v>0</v>
      </c>
      <c r="J76">
        <f t="shared" si="12"/>
        <v>-2.3942449808416116E-2</v>
      </c>
      <c r="K76">
        <f t="shared" si="1"/>
        <v>-0.42812103264104284</v>
      </c>
      <c r="L76">
        <f t="shared" si="2"/>
        <v>69.804975588206631</v>
      </c>
      <c r="M76">
        <f t="shared" si="3"/>
        <v>1.5395351135834188</v>
      </c>
      <c r="N76">
        <f t="shared" si="4"/>
        <v>2.2054804841784361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26213.077719621826</v>
      </c>
      <c r="T76">
        <f t="shared" si="8"/>
        <v>800.00046666666697</v>
      </c>
      <c r="U76">
        <f t="shared" si="9"/>
        <v>674.39998523976215</v>
      </c>
      <c r="V76">
        <f t="shared" si="10"/>
        <v>0.84299948979999995</v>
      </c>
      <c r="W76">
        <f t="shared" si="11"/>
        <v>0.15869871150799997</v>
      </c>
      <c r="X76">
        <v>1</v>
      </c>
      <c r="Y76">
        <v>1771104275.03333</v>
      </c>
      <c r="Z76">
        <v>50.450413333333302</v>
      </c>
      <c r="AA76">
        <v>50.006506666666702</v>
      </c>
      <c r="AB76">
        <v>15.395713333333299</v>
      </c>
      <c r="AC76">
        <v>13.6150466666667</v>
      </c>
      <c r="AD76">
        <v>50.8930333333333</v>
      </c>
      <c r="AE76">
        <v>15.3364333333333</v>
      </c>
      <c r="AF76">
        <v>800.0068</v>
      </c>
      <c r="AG76">
        <v>99.934366666666705</v>
      </c>
      <c r="AH76">
        <v>6.3280746666666707E-2</v>
      </c>
      <c r="AI76">
        <v>19.002179999999999</v>
      </c>
      <c r="AJ76">
        <v>999.9</v>
      </c>
      <c r="AK76">
        <v>999.9</v>
      </c>
      <c r="AL76">
        <v>0</v>
      </c>
      <c r="AM76">
        <v>0</v>
      </c>
      <c r="AN76">
        <v>5001.3666666666704</v>
      </c>
      <c r="AO76">
        <v>0</v>
      </c>
      <c r="AP76">
        <v>1.63733</v>
      </c>
      <c r="AQ76">
        <v>0.44390733333333299</v>
      </c>
      <c r="AR76">
        <v>51.239273333333301</v>
      </c>
      <c r="AS76">
        <v>50.696733333333299</v>
      </c>
      <c r="AT76">
        <v>1.7806726666666699</v>
      </c>
      <c r="AU76">
        <v>50.006506666666702</v>
      </c>
      <c r="AV76">
        <v>13.6150466666667</v>
      </c>
      <c r="AW76">
        <v>1.53856066666667</v>
      </c>
      <c r="AX76">
        <v>1.3606100000000001</v>
      </c>
      <c r="AY76">
        <v>13.356859999999999</v>
      </c>
      <c r="AZ76">
        <v>11.4856266666667</v>
      </c>
      <c r="BA76">
        <v>800.00046666666697</v>
      </c>
      <c r="BB76">
        <v>0.90001719999999996</v>
      </c>
      <c r="BC76">
        <v>0</v>
      </c>
      <c r="BD76">
        <v>9.9982806666666604E-2</v>
      </c>
      <c r="BE76">
        <v>0</v>
      </c>
      <c r="BF76">
        <v>25</v>
      </c>
      <c r="BG76">
        <v>13191.1133333333</v>
      </c>
      <c r="BH76">
        <v>1771103835.0999999</v>
      </c>
      <c r="BI76" t="s">
        <v>376</v>
      </c>
      <c r="BJ76">
        <v>1771103835.0999999</v>
      </c>
      <c r="BK76">
        <v>1771103812.0999999</v>
      </c>
      <c r="BL76">
        <v>14</v>
      </c>
      <c r="BM76">
        <v>0.26200000000000001</v>
      </c>
      <c r="BN76">
        <v>1.2E-2</v>
      </c>
      <c r="BO76">
        <v>-0.443</v>
      </c>
      <c r="BP76">
        <v>5.8999999999999997E-2</v>
      </c>
      <c r="BQ76">
        <v>150</v>
      </c>
      <c r="BR76">
        <v>13</v>
      </c>
      <c r="BS76">
        <v>0.18</v>
      </c>
      <c r="BT76">
        <v>0.04</v>
      </c>
      <c r="BU76">
        <v>0.44159785714285699</v>
      </c>
      <c r="BV76">
        <v>0.13235968831168801</v>
      </c>
      <c r="BW76">
        <v>2.4409711922152001E-2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1.7785390476190499</v>
      </c>
      <c r="CD76">
        <v>9.6674025974025996E-2</v>
      </c>
      <c r="CE76">
        <v>1.46924904384331E-2</v>
      </c>
      <c r="CF76">
        <v>1</v>
      </c>
      <c r="CG76">
        <v>2</v>
      </c>
      <c r="CH76">
        <v>2</v>
      </c>
      <c r="CI76" t="s">
        <v>322</v>
      </c>
      <c r="CJ76">
        <v>3.5325500000000001</v>
      </c>
      <c r="CK76">
        <v>2.70113</v>
      </c>
      <c r="CL76">
        <v>1.4760000000000001E-2</v>
      </c>
      <c r="CM76">
        <v>1.4336E-2</v>
      </c>
      <c r="CN76">
        <v>8.6957499999999993E-2</v>
      </c>
      <c r="CO76">
        <v>7.8302999999999998E-2</v>
      </c>
      <c r="CP76">
        <v>34515.4</v>
      </c>
      <c r="CQ76">
        <v>30355.1</v>
      </c>
      <c r="CR76">
        <v>32425.9</v>
      </c>
      <c r="CS76">
        <v>30726.2</v>
      </c>
      <c r="CT76">
        <v>40092.9</v>
      </c>
      <c r="CU76">
        <v>39834.400000000001</v>
      </c>
      <c r="CV76">
        <v>47367</v>
      </c>
      <c r="CW76">
        <v>46874.2</v>
      </c>
      <c r="CX76">
        <v>2.6144799999999999</v>
      </c>
      <c r="CY76">
        <v>2.1177999999999999</v>
      </c>
      <c r="CZ76">
        <v>0</v>
      </c>
      <c r="DA76">
        <v>0</v>
      </c>
      <c r="DB76">
        <v>999.9</v>
      </c>
      <c r="DC76">
        <v>999.9</v>
      </c>
      <c r="DD76">
        <v>45.543999999999997</v>
      </c>
      <c r="DE76">
        <v>28.731999999999999</v>
      </c>
      <c r="DF76">
        <v>18.048200000000001</v>
      </c>
      <c r="DG76">
        <v>30.458200000000001</v>
      </c>
      <c r="DH76">
        <v>16.963100000000001</v>
      </c>
      <c r="DI76">
        <v>2</v>
      </c>
      <c r="DJ76">
        <v>-7.0556900000000006E-2</v>
      </c>
      <c r="DK76">
        <v>2.7307700000000001</v>
      </c>
      <c r="DL76">
        <v>20.187200000000001</v>
      </c>
      <c r="DM76">
        <v>5.2501199999999999</v>
      </c>
      <c r="DN76">
        <v>12.033899999999999</v>
      </c>
      <c r="DO76">
        <v>4.96732</v>
      </c>
      <c r="DP76">
        <v>3.2909999999999999</v>
      </c>
      <c r="DQ76">
        <v>608</v>
      </c>
      <c r="DR76">
        <v>9999</v>
      </c>
      <c r="DS76">
        <v>9999</v>
      </c>
      <c r="DT76">
        <v>9999</v>
      </c>
      <c r="DU76">
        <v>1.8711800000000001</v>
      </c>
      <c r="DV76">
        <v>1.8762099999999999</v>
      </c>
      <c r="DW76">
        <v>1.8763700000000001</v>
      </c>
      <c r="DX76">
        <v>1.8829100000000001</v>
      </c>
      <c r="DY76">
        <v>1.8756200000000001</v>
      </c>
      <c r="DZ76">
        <v>1.8747</v>
      </c>
      <c r="EA76">
        <v>1.8708800000000001</v>
      </c>
      <c r="EB76">
        <v>1.87469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-0.443</v>
      </c>
      <c r="EQ76">
        <v>5.9299999999999999E-2</v>
      </c>
      <c r="ER76">
        <v>-0.442636363636353</v>
      </c>
      <c r="ES76">
        <v>0</v>
      </c>
      <c r="ET76">
        <v>0</v>
      </c>
      <c r="EU76">
        <v>0</v>
      </c>
      <c r="EV76">
        <v>5.9279999999997599E-2</v>
      </c>
      <c r="EW76">
        <v>0</v>
      </c>
      <c r="EX76">
        <v>0</v>
      </c>
      <c r="EY76">
        <v>0</v>
      </c>
      <c r="EZ76">
        <v>-1</v>
      </c>
      <c r="FA76">
        <v>-1</v>
      </c>
      <c r="FB76">
        <v>-1</v>
      </c>
      <c r="FC76">
        <v>-1</v>
      </c>
      <c r="FD76">
        <v>7.5</v>
      </c>
      <c r="FE76">
        <v>7.8</v>
      </c>
      <c r="FF76">
        <v>0.28930699999999998</v>
      </c>
      <c r="FG76">
        <v>2.6122999999999998</v>
      </c>
      <c r="FH76">
        <v>2.19604</v>
      </c>
      <c r="FI76">
        <v>2.5744600000000002</v>
      </c>
      <c r="FJ76">
        <v>2.4462899999999999</v>
      </c>
      <c r="FK76">
        <v>2.32178</v>
      </c>
      <c r="FL76">
        <v>33.020600000000002</v>
      </c>
      <c r="FM76">
        <v>24.14</v>
      </c>
      <c r="FN76">
        <v>19</v>
      </c>
      <c r="FO76">
        <v>866.67700000000002</v>
      </c>
      <c r="FP76">
        <v>573.23800000000006</v>
      </c>
      <c r="FQ76">
        <v>17.804600000000001</v>
      </c>
      <c r="FR76">
        <v>26.076599999999999</v>
      </c>
      <c r="FS76">
        <v>30</v>
      </c>
      <c r="FT76">
        <v>26.073</v>
      </c>
      <c r="FU76">
        <v>26.0763</v>
      </c>
      <c r="FV76">
        <v>5.8367000000000004</v>
      </c>
      <c r="FW76">
        <v>28.002500000000001</v>
      </c>
      <c r="FX76">
        <v>36.549399999999999</v>
      </c>
      <c r="FY76">
        <v>17.8123</v>
      </c>
      <c r="FZ76">
        <v>50</v>
      </c>
      <c r="GA76">
        <v>13.6776</v>
      </c>
      <c r="GB76">
        <v>99.799000000000007</v>
      </c>
      <c r="GC76">
        <v>99.772000000000006</v>
      </c>
    </row>
    <row r="77" spans="1:185" x14ac:dyDescent="0.2">
      <c r="A77">
        <v>62</v>
      </c>
      <c r="B77">
        <v>1771104298.0999999</v>
      </c>
      <c r="C77">
        <v>1185</v>
      </c>
      <c r="D77" t="s">
        <v>421</v>
      </c>
      <c r="E77" t="s">
        <v>422</v>
      </c>
      <c r="F77">
        <v>15</v>
      </c>
      <c r="G77">
        <v>1771104290.03333</v>
      </c>
      <c r="H77">
        <f t="shared" si="0"/>
        <v>1.4384182276425946E-3</v>
      </c>
      <c r="I77">
        <v>0</v>
      </c>
      <c r="J77">
        <f t="shared" si="12"/>
        <v>-2.3612639210256279E-2</v>
      </c>
      <c r="K77">
        <f t="shared" si="1"/>
        <v>-0.4222236054775737</v>
      </c>
      <c r="L77">
        <f t="shared" si="2"/>
        <v>69.786609660110358</v>
      </c>
      <c r="M77">
        <f t="shared" si="3"/>
        <v>1.5390212096337015</v>
      </c>
      <c r="N77">
        <f t="shared" si="4"/>
        <v>2.2053245130109791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26195.851623254675</v>
      </c>
      <c r="T77">
        <f t="shared" si="8"/>
        <v>799.99893333333296</v>
      </c>
      <c r="U77">
        <f t="shared" si="9"/>
        <v>674.39858496068734</v>
      </c>
      <c r="V77">
        <f t="shared" si="10"/>
        <v>0.84299935519999991</v>
      </c>
      <c r="W77">
        <f t="shared" si="11"/>
        <v>0.15869859587199997</v>
      </c>
      <c r="X77">
        <v>1</v>
      </c>
      <c r="Y77">
        <v>1771104290.03333</v>
      </c>
      <c r="Z77">
        <v>50.421333333333301</v>
      </c>
      <c r="AA77">
        <v>49.984220000000001</v>
      </c>
      <c r="AB77">
        <v>15.39054</v>
      </c>
      <c r="AC77">
        <v>13.62022</v>
      </c>
      <c r="AD77">
        <v>50.863953333333299</v>
      </c>
      <c r="AE77">
        <v>15.33126</v>
      </c>
      <c r="AF77">
        <v>800.01366666666604</v>
      </c>
      <c r="AG77">
        <v>99.934526666666699</v>
      </c>
      <c r="AH77">
        <v>6.3342780000000001E-2</v>
      </c>
      <c r="AI77">
        <v>19.001046666666699</v>
      </c>
      <c r="AJ77">
        <v>999.9</v>
      </c>
      <c r="AK77">
        <v>999.9</v>
      </c>
      <c r="AL77">
        <v>0</v>
      </c>
      <c r="AM77">
        <v>0</v>
      </c>
      <c r="AN77">
        <v>4998.5</v>
      </c>
      <c r="AO77">
        <v>0</v>
      </c>
      <c r="AP77">
        <v>1.63733</v>
      </c>
      <c r="AQ77">
        <v>0.43710386666666701</v>
      </c>
      <c r="AR77">
        <v>51.20946</v>
      </c>
      <c r="AS77">
        <v>50.674419999999998</v>
      </c>
      <c r="AT77">
        <v>1.7703246666666701</v>
      </c>
      <c r="AU77">
        <v>49.984220000000001</v>
      </c>
      <c r="AV77">
        <v>13.62022</v>
      </c>
      <c r="AW77">
        <v>1.5380466666666699</v>
      </c>
      <c r="AX77">
        <v>1.36112866666667</v>
      </c>
      <c r="AY77">
        <v>13.3517266666667</v>
      </c>
      <c r="AZ77">
        <v>11.491353333333301</v>
      </c>
      <c r="BA77">
        <v>799.99893333333296</v>
      </c>
      <c r="BB77">
        <v>0.9000184</v>
      </c>
      <c r="BC77">
        <v>0</v>
      </c>
      <c r="BD77">
        <v>9.9981493333333296E-2</v>
      </c>
      <c r="BE77">
        <v>0</v>
      </c>
      <c r="BF77">
        <v>25</v>
      </c>
      <c r="BG77">
        <v>13191.086666666701</v>
      </c>
      <c r="BH77">
        <v>1771103835.0999999</v>
      </c>
      <c r="BI77" t="s">
        <v>376</v>
      </c>
      <c r="BJ77">
        <v>1771103835.0999999</v>
      </c>
      <c r="BK77">
        <v>1771103812.0999999</v>
      </c>
      <c r="BL77">
        <v>14</v>
      </c>
      <c r="BM77">
        <v>0.26200000000000001</v>
      </c>
      <c r="BN77">
        <v>1.2E-2</v>
      </c>
      <c r="BO77">
        <v>-0.443</v>
      </c>
      <c r="BP77">
        <v>5.8999999999999997E-2</v>
      </c>
      <c r="BQ77">
        <v>150</v>
      </c>
      <c r="BR77">
        <v>13</v>
      </c>
      <c r="BS77">
        <v>0.18</v>
      </c>
      <c r="BT77">
        <v>0.04</v>
      </c>
      <c r="BU77">
        <v>0.44577509999999998</v>
      </c>
      <c r="BV77">
        <v>-0.207733353383458</v>
      </c>
      <c r="BW77">
        <v>2.1961293937061199E-2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1.778065</v>
      </c>
      <c r="CD77">
        <v>-0.269731127819551</v>
      </c>
      <c r="CE77">
        <v>3.00272200677985E-2</v>
      </c>
      <c r="CF77">
        <v>0</v>
      </c>
      <c r="CG77">
        <v>1</v>
      </c>
      <c r="CH77">
        <v>2</v>
      </c>
      <c r="CI77" t="s">
        <v>299</v>
      </c>
      <c r="CJ77">
        <v>3.5325600000000001</v>
      </c>
      <c r="CK77">
        <v>2.70119</v>
      </c>
      <c r="CL77">
        <v>1.47575E-2</v>
      </c>
      <c r="CM77">
        <v>1.4348100000000001E-2</v>
      </c>
      <c r="CN77">
        <v>8.6955699999999997E-2</v>
      </c>
      <c r="CO77">
        <v>7.8663800000000006E-2</v>
      </c>
      <c r="CP77">
        <v>34515.1</v>
      </c>
      <c r="CQ77">
        <v>30355.200000000001</v>
      </c>
      <c r="CR77">
        <v>32425.599999999999</v>
      </c>
      <c r="CS77">
        <v>30726.799999999999</v>
      </c>
      <c r="CT77">
        <v>40092.400000000001</v>
      </c>
      <c r="CU77">
        <v>39818.800000000003</v>
      </c>
      <c r="CV77">
        <v>47366.3</v>
      </c>
      <c r="CW77">
        <v>46874.8</v>
      </c>
      <c r="CX77">
        <v>2.6144599999999998</v>
      </c>
      <c r="CY77">
        <v>2.1177600000000001</v>
      </c>
      <c r="CZ77">
        <v>0</v>
      </c>
      <c r="DA77">
        <v>0</v>
      </c>
      <c r="DB77">
        <v>999.9</v>
      </c>
      <c r="DC77">
        <v>999.9</v>
      </c>
      <c r="DD77">
        <v>45.488999999999997</v>
      </c>
      <c r="DE77">
        <v>28.731999999999999</v>
      </c>
      <c r="DF77">
        <v>18.023099999999999</v>
      </c>
      <c r="DG77">
        <v>30.488199999999999</v>
      </c>
      <c r="DH77">
        <v>17.0152</v>
      </c>
      <c r="DI77">
        <v>2</v>
      </c>
      <c r="DJ77">
        <v>-7.0485800000000001E-2</v>
      </c>
      <c r="DK77">
        <v>2.7332299999999998</v>
      </c>
      <c r="DL77">
        <v>20.186900000000001</v>
      </c>
      <c r="DM77">
        <v>5.2501199999999999</v>
      </c>
      <c r="DN77">
        <v>12.033899999999999</v>
      </c>
      <c r="DO77">
        <v>4.9673600000000002</v>
      </c>
      <c r="DP77">
        <v>3.2909999999999999</v>
      </c>
      <c r="DQ77">
        <v>608</v>
      </c>
      <c r="DR77">
        <v>9999</v>
      </c>
      <c r="DS77">
        <v>9999</v>
      </c>
      <c r="DT77">
        <v>9999</v>
      </c>
      <c r="DU77">
        <v>1.87117</v>
      </c>
      <c r="DV77">
        <v>1.87618</v>
      </c>
      <c r="DW77">
        <v>1.8763700000000001</v>
      </c>
      <c r="DX77">
        <v>1.8828800000000001</v>
      </c>
      <c r="DY77">
        <v>1.87561</v>
      </c>
      <c r="DZ77">
        <v>1.87469</v>
      </c>
      <c r="EA77">
        <v>1.87087</v>
      </c>
      <c r="EB77">
        <v>1.8746799999999999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-0.443</v>
      </c>
      <c r="EQ77">
        <v>5.9299999999999999E-2</v>
      </c>
      <c r="ER77">
        <v>-0.442636363636353</v>
      </c>
      <c r="ES77">
        <v>0</v>
      </c>
      <c r="ET77">
        <v>0</v>
      </c>
      <c r="EU77">
        <v>0</v>
      </c>
      <c r="EV77">
        <v>5.9279999999997599E-2</v>
      </c>
      <c r="EW77">
        <v>0</v>
      </c>
      <c r="EX77">
        <v>0</v>
      </c>
      <c r="EY77">
        <v>0</v>
      </c>
      <c r="EZ77">
        <v>-1</v>
      </c>
      <c r="FA77">
        <v>-1</v>
      </c>
      <c r="FB77">
        <v>-1</v>
      </c>
      <c r="FC77">
        <v>-1</v>
      </c>
      <c r="FD77">
        <v>7.7</v>
      </c>
      <c r="FE77">
        <v>8.1</v>
      </c>
      <c r="FF77">
        <v>0.28930699999999998</v>
      </c>
      <c r="FG77">
        <v>2.6171899999999999</v>
      </c>
      <c r="FH77">
        <v>2.19604</v>
      </c>
      <c r="FI77">
        <v>2.5744600000000002</v>
      </c>
      <c r="FJ77">
        <v>2.4462899999999999</v>
      </c>
      <c r="FK77">
        <v>2.2900399999999999</v>
      </c>
      <c r="FL77">
        <v>33.020600000000002</v>
      </c>
      <c r="FM77">
        <v>24.14</v>
      </c>
      <c r="FN77">
        <v>19</v>
      </c>
      <c r="FO77">
        <v>866.67200000000003</v>
      </c>
      <c r="FP77">
        <v>573.21299999999997</v>
      </c>
      <c r="FQ77">
        <v>17.808</v>
      </c>
      <c r="FR77">
        <v>26.078800000000001</v>
      </c>
      <c r="FS77">
        <v>30.0001</v>
      </c>
      <c r="FT77">
        <v>26.073899999999998</v>
      </c>
      <c r="FU77">
        <v>26.076799999999999</v>
      </c>
      <c r="FV77">
        <v>5.8371399999999998</v>
      </c>
      <c r="FW77">
        <v>27.722100000000001</v>
      </c>
      <c r="FX77">
        <v>36.549399999999999</v>
      </c>
      <c r="FY77">
        <v>17.806799999999999</v>
      </c>
      <c r="FZ77">
        <v>50</v>
      </c>
      <c r="GA77">
        <v>13.6776</v>
      </c>
      <c r="GB77">
        <v>99.797799999999995</v>
      </c>
      <c r="GC77">
        <v>99.773300000000006</v>
      </c>
    </row>
    <row r="78" spans="1:185" x14ac:dyDescent="0.2">
      <c r="A78">
        <v>63</v>
      </c>
      <c r="B78">
        <v>1771104313.0999999</v>
      </c>
      <c r="C78">
        <v>1200</v>
      </c>
      <c r="D78" t="s">
        <v>423</v>
      </c>
      <c r="E78" t="s">
        <v>424</v>
      </c>
      <c r="F78">
        <v>15</v>
      </c>
      <c r="G78">
        <v>1771104305.03333</v>
      </c>
      <c r="H78">
        <f t="shared" si="0"/>
        <v>1.4053476064508927E-3</v>
      </c>
      <c r="I78">
        <v>0</v>
      </c>
      <c r="J78">
        <f t="shared" si="12"/>
        <v>-2.2708878846157597E-2</v>
      </c>
      <c r="K78">
        <f t="shared" si="1"/>
        <v>-0.40606323661665772</v>
      </c>
      <c r="L78">
        <f t="shared" si="2"/>
        <v>69.83761331573865</v>
      </c>
      <c r="M78">
        <f t="shared" si="3"/>
        <v>1.5398589846307718</v>
      </c>
      <c r="N78">
        <f t="shared" si="4"/>
        <v>2.2049135294314932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26223.591151955872</v>
      </c>
      <c r="T78">
        <f t="shared" si="8"/>
        <v>800</v>
      </c>
      <c r="U78">
        <f t="shared" si="9"/>
        <v>674.39942096000016</v>
      </c>
      <c r="V78">
        <f t="shared" si="10"/>
        <v>0.84299927620000026</v>
      </c>
      <c r="W78">
        <f t="shared" si="11"/>
        <v>0.15869846333200005</v>
      </c>
      <c r="X78">
        <v>1</v>
      </c>
      <c r="Y78">
        <v>1771104305.03333</v>
      </c>
      <c r="Z78">
        <v>50.416499999999999</v>
      </c>
      <c r="AA78">
        <v>49.997493333333303</v>
      </c>
      <c r="AB78">
        <v>15.398913333333301</v>
      </c>
      <c r="AC78">
        <v>13.669306666666699</v>
      </c>
      <c r="AD78">
        <v>50.859126666666697</v>
      </c>
      <c r="AE78">
        <v>15.3396333333333</v>
      </c>
      <c r="AF78">
        <v>800.01239999999996</v>
      </c>
      <c r="AG78">
        <v>99.934539999999998</v>
      </c>
      <c r="AH78">
        <v>6.3359286666666695E-2</v>
      </c>
      <c r="AI78">
        <v>18.998059999999999</v>
      </c>
      <c r="AJ78">
        <v>999.9</v>
      </c>
      <c r="AK78">
        <v>999.9</v>
      </c>
      <c r="AL78">
        <v>0</v>
      </c>
      <c r="AM78">
        <v>0</v>
      </c>
      <c r="AN78">
        <v>5003.0333333333301</v>
      </c>
      <c r="AO78">
        <v>0</v>
      </c>
      <c r="AP78">
        <v>1.63733</v>
      </c>
      <c r="AQ78">
        <v>0.41899773333333301</v>
      </c>
      <c r="AR78">
        <v>51.204986666666699</v>
      </c>
      <c r="AS78">
        <v>50.690406666666703</v>
      </c>
      <c r="AT78">
        <v>1.7296273333333301</v>
      </c>
      <c r="AU78">
        <v>49.997493333333303</v>
      </c>
      <c r="AV78">
        <v>13.669306666666699</v>
      </c>
      <c r="AW78">
        <v>1.53888466666667</v>
      </c>
      <c r="AX78">
        <v>1.3660346666666701</v>
      </c>
      <c r="AY78">
        <v>13.3600866666667</v>
      </c>
      <c r="AZ78">
        <v>11.5457533333333</v>
      </c>
      <c r="BA78">
        <v>800</v>
      </c>
      <c r="BB78">
        <v>0.90002006666666701</v>
      </c>
      <c r="BC78">
        <v>0</v>
      </c>
      <c r="BD78">
        <v>9.9979793333333303E-2</v>
      </c>
      <c r="BE78">
        <v>0</v>
      </c>
      <c r="BF78">
        <v>25</v>
      </c>
      <c r="BG78">
        <v>13191.1</v>
      </c>
      <c r="BH78">
        <v>1771103835.0999999</v>
      </c>
      <c r="BI78" t="s">
        <v>376</v>
      </c>
      <c r="BJ78">
        <v>1771103835.0999999</v>
      </c>
      <c r="BK78">
        <v>1771103812.0999999</v>
      </c>
      <c r="BL78">
        <v>14</v>
      </c>
      <c r="BM78">
        <v>0.26200000000000001</v>
      </c>
      <c r="BN78">
        <v>1.2E-2</v>
      </c>
      <c r="BO78">
        <v>-0.443</v>
      </c>
      <c r="BP78">
        <v>5.8999999999999997E-2</v>
      </c>
      <c r="BQ78">
        <v>150</v>
      </c>
      <c r="BR78">
        <v>13</v>
      </c>
      <c r="BS78">
        <v>0.18</v>
      </c>
      <c r="BT78">
        <v>0.04</v>
      </c>
      <c r="BU78">
        <v>0.42010214285714298</v>
      </c>
      <c r="BV78">
        <v>4.8672467532466504E-3</v>
      </c>
      <c r="BW78">
        <v>1.23994253948499E-2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1.7316152380952401</v>
      </c>
      <c r="CD78">
        <v>-1.9304415584417301E-2</v>
      </c>
      <c r="CE78">
        <v>9.7672044150907394E-3</v>
      </c>
      <c r="CF78">
        <v>1</v>
      </c>
      <c r="CG78">
        <v>2</v>
      </c>
      <c r="CH78">
        <v>2</v>
      </c>
      <c r="CI78" t="s">
        <v>322</v>
      </c>
      <c r="CJ78">
        <v>3.5325700000000002</v>
      </c>
      <c r="CK78">
        <v>2.7011099999999999</v>
      </c>
      <c r="CL78">
        <v>1.47575E-2</v>
      </c>
      <c r="CM78">
        <v>1.4352500000000001E-2</v>
      </c>
      <c r="CN78">
        <v>8.70282E-2</v>
      </c>
      <c r="CO78">
        <v>7.8665499999999999E-2</v>
      </c>
      <c r="CP78">
        <v>34515.199999999997</v>
      </c>
      <c r="CQ78">
        <v>30355</v>
      </c>
      <c r="CR78">
        <v>32425.7</v>
      </c>
      <c r="CS78">
        <v>30726.7</v>
      </c>
      <c r="CT78">
        <v>40089.4</v>
      </c>
      <c r="CU78">
        <v>39818.800000000003</v>
      </c>
      <c r="CV78">
        <v>47366.7</v>
      </c>
      <c r="CW78">
        <v>46874.8</v>
      </c>
      <c r="CX78">
        <v>2.6143000000000001</v>
      </c>
      <c r="CY78">
        <v>2.1181000000000001</v>
      </c>
      <c r="CZ78">
        <v>0</v>
      </c>
      <c r="DA78">
        <v>0</v>
      </c>
      <c r="DB78">
        <v>999.9</v>
      </c>
      <c r="DC78">
        <v>999.9</v>
      </c>
      <c r="DD78">
        <v>45.465000000000003</v>
      </c>
      <c r="DE78">
        <v>28.731999999999999</v>
      </c>
      <c r="DF78">
        <v>18.0154</v>
      </c>
      <c r="DG78">
        <v>30.578199999999999</v>
      </c>
      <c r="DH78">
        <v>16.979199999999999</v>
      </c>
      <c r="DI78">
        <v>2</v>
      </c>
      <c r="DJ78">
        <v>-7.0501999999999995E-2</v>
      </c>
      <c r="DK78">
        <v>2.71706</v>
      </c>
      <c r="DL78">
        <v>20.1874</v>
      </c>
      <c r="DM78">
        <v>5.2502399999999998</v>
      </c>
      <c r="DN78">
        <v>12.033899999999999</v>
      </c>
      <c r="DO78">
        <v>4.9672400000000003</v>
      </c>
      <c r="DP78">
        <v>3.2910200000000001</v>
      </c>
      <c r="DQ78">
        <v>608</v>
      </c>
      <c r="DR78">
        <v>9999</v>
      </c>
      <c r="DS78">
        <v>9999</v>
      </c>
      <c r="DT78">
        <v>9999</v>
      </c>
      <c r="DU78">
        <v>1.8711800000000001</v>
      </c>
      <c r="DV78">
        <v>1.87619</v>
      </c>
      <c r="DW78">
        <v>1.8763700000000001</v>
      </c>
      <c r="DX78">
        <v>1.8828800000000001</v>
      </c>
      <c r="DY78">
        <v>1.87561</v>
      </c>
      <c r="DZ78">
        <v>1.87469</v>
      </c>
      <c r="EA78">
        <v>1.8708800000000001</v>
      </c>
      <c r="EB78">
        <v>1.87469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-0.443</v>
      </c>
      <c r="EQ78">
        <v>5.9200000000000003E-2</v>
      </c>
      <c r="ER78">
        <v>-0.442636363636353</v>
      </c>
      <c r="ES78">
        <v>0</v>
      </c>
      <c r="ET78">
        <v>0</v>
      </c>
      <c r="EU78">
        <v>0</v>
      </c>
      <c r="EV78">
        <v>5.9279999999997599E-2</v>
      </c>
      <c r="EW78">
        <v>0</v>
      </c>
      <c r="EX78">
        <v>0</v>
      </c>
      <c r="EY78">
        <v>0</v>
      </c>
      <c r="EZ78">
        <v>-1</v>
      </c>
      <c r="FA78">
        <v>-1</v>
      </c>
      <c r="FB78">
        <v>-1</v>
      </c>
      <c r="FC78">
        <v>-1</v>
      </c>
      <c r="FD78">
        <v>8</v>
      </c>
      <c r="FE78">
        <v>8.3000000000000007</v>
      </c>
      <c r="FF78">
        <v>0.28930699999999998</v>
      </c>
      <c r="FG78">
        <v>2.6208499999999999</v>
      </c>
      <c r="FH78">
        <v>2.19604</v>
      </c>
      <c r="FI78">
        <v>2.5744600000000002</v>
      </c>
      <c r="FJ78">
        <v>2.4462899999999999</v>
      </c>
      <c r="FK78">
        <v>2.2607400000000002</v>
      </c>
      <c r="FL78">
        <v>33.020600000000002</v>
      </c>
      <c r="FM78">
        <v>24.1313</v>
      </c>
      <c r="FN78">
        <v>19</v>
      </c>
      <c r="FO78">
        <v>866.54399999999998</v>
      </c>
      <c r="FP78">
        <v>573.47299999999996</v>
      </c>
      <c r="FQ78">
        <v>17.808599999999998</v>
      </c>
      <c r="FR78">
        <v>26.078800000000001</v>
      </c>
      <c r="FS78">
        <v>30.0001</v>
      </c>
      <c r="FT78">
        <v>26.075199999999999</v>
      </c>
      <c r="FU78">
        <v>26.076799999999999</v>
      </c>
      <c r="FV78">
        <v>5.8372700000000002</v>
      </c>
      <c r="FW78">
        <v>27.722100000000001</v>
      </c>
      <c r="FX78">
        <v>36.549399999999999</v>
      </c>
      <c r="FY78">
        <v>17.811599999999999</v>
      </c>
      <c r="FZ78">
        <v>50</v>
      </c>
      <c r="GA78">
        <v>13.6776</v>
      </c>
      <c r="GB78">
        <v>99.798299999999998</v>
      </c>
      <c r="GC78">
        <v>99.773300000000006</v>
      </c>
    </row>
    <row r="79" spans="1:185" x14ac:dyDescent="0.2">
      <c r="A79">
        <v>64</v>
      </c>
      <c r="B79">
        <v>1771104328.0999999</v>
      </c>
      <c r="C79">
        <v>1215</v>
      </c>
      <c r="D79" t="s">
        <v>425</v>
      </c>
      <c r="E79" t="s">
        <v>426</v>
      </c>
      <c r="F79">
        <v>15</v>
      </c>
      <c r="G79">
        <v>1771104320.03333</v>
      </c>
      <c r="H79">
        <f t="shared" si="0"/>
        <v>1.4418707361037418E-3</v>
      </c>
      <c r="I79">
        <v>0</v>
      </c>
      <c r="J79">
        <f t="shared" si="12"/>
        <v>-2.248919082558665E-2</v>
      </c>
      <c r="K79">
        <f t="shared" si="1"/>
        <v>-0.40213493926286564</v>
      </c>
      <c r="L79">
        <f t="shared" si="2"/>
        <v>69.872105928018698</v>
      </c>
      <c r="M79">
        <f t="shared" si="3"/>
        <v>1.5405733701045226</v>
      </c>
      <c r="N79">
        <f t="shared" si="4"/>
        <v>2.2048474847625181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26190.371336195196</v>
      </c>
      <c r="T79">
        <f t="shared" si="8"/>
        <v>800.00033333333295</v>
      </c>
      <c r="U79">
        <f t="shared" si="9"/>
        <v>674.39972195976668</v>
      </c>
      <c r="V79">
        <f t="shared" si="10"/>
        <v>0.8429993012</v>
      </c>
      <c r="W79">
        <f t="shared" si="11"/>
        <v>0.15869846087199999</v>
      </c>
      <c r="X79">
        <v>1</v>
      </c>
      <c r="Y79">
        <v>1771104320.03333</v>
      </c>
      <c r="Z79">
        <v>50.413899999999998</v>
      </c>
      <c r="AA79">
        <v>50.002099999999999</v>
      </c>
      <c r="AB79">
        <v>15.4060466666667</v>
      </c>
      <c r="AC79">
        <v>13.631500000000001</v>
      </c>
      <c r="AD79">
        <v>50.856520000000003</v>
      </c>
      <c r="AE79">
        <v>15.346780000000001</v>
      </c>
      <c r="AF79">
        <v>800.01120000000003</v>
      </c>
      <c r="AG79">
        <v>99.934780000000003</v>
      </c>
      <c r="AH79">
        <v>6.31885533333333E-2</v>
      </c>
      <c r="AI79">
        <v>18.997579999999999</v>
      </c>
      <c r="AJ79">
        <v>999.9</v>
      </c>
      <c r="AK79">
        <v>999.9</v>
      </c>
      <c r="AL79">
        <v>0</v>
      </c>
      <c r="AM79">
        <v>0</v>
      </c>
      <c r="AN79">
        <v>4997.5333333333301</v>
      </c>
      <c r="AO79">
        <v>0</v>
      </c>
      <c r="AP79">
        <v>1.63733</v>
      </c>
      <c r="AQ79">
        <v>0.4117944</v>
      </c>
      <c r="AR79">
        <v>51.202719999999999</v>
      </c>
      <c r="AS79">
        <v>50.6931266666667</v>
      </c>
      <c r="AT79">
        <v>1.77456533333333</v>
      </c>
      <c r="AU79">
        <v>50.002099999999999</v>
      </c>
      <c r="AV79">
        <v>13.631500000000001</v>
      </c>
      <c r="AW79">
        <v>1.5396006666666699</v>
      </c>
      <c r="AX79">
        <v>1.36226</v>
      </c>
      <c r="AY79">
        <v>13.3672133333333</v>
      </c>
      <c r="AZ79">
        <v>11.5038933333333</v>
      </c>
      <c r="BA79">
        <v>800.00033333333295</v>
      </c>
      <c r="BB79">
        <v>0.90002020000000005</v>
      </c>
      <c r="BC79">
        <v>0</v>
      </c>
      <c r="BD79">
        <v>9.99796933333333E-2</v>
      </c>
      <c r="BE79">
        <v>0</v>
      </c>
      <c r="BF79">
        <v>25</v>
      </c>
      <c r="BG79">
        <v>13191.106666666699</v>
      </c>
      <c r="BH79">
        <v>1771103835.0999999</v>
      </c>
      <c r="BI79" t="s">
        <v>376</v>
      </c>
      <c r="BJ79">
        <v>1771103835.0999999</v>
      </c>
      <c r="BK79">
        <v>1771103812.0999999</v>
      </c>
      <c r="BL79">
        <v>14</v>
      </c>
      <c r="BM79">
        <v>0.26200000000000001</v>
      </c>
      <c r="BN79">
        <v>1.2E-2</v>
      </c>
      <c r="BO79">
        <v>-0.443</v>
      </c>
      <c r="BP79">
        <v>5.8999999999999997E-2</v>
      </c>
      <c r="BQ79">
        <v>150</v>
      </c>
      <c r="BR79">
        <v>13</v>
      </c>
      <c r="BS79">
        <v>0.18</v>
      </c>
      <c r="BT79">
        <v>0.04</v>
      </c>
      <c r="BU79">
        <v>0.41518349999999998</v>
      </c>
      <c r="BV79">
        <v>-8.5956270676691496E-2</v>
      </c>
      <c r="BW79">
        <v>1.5929337822081599E-2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1.7641905</v>
      </c>
      <c r="CD79">
        <v>0.288439849624058</v>
      </c>
      <c r="CE79">
        <v>2.9888661474713099E-2</v>
      </c>
      <c r="CF79">
        <v>0</v>
      </c>
      <c r="CG79">
        <v>1</v>
      </c>
      <c r="CH79">
        <v>2</v>
      </c>
      <c r="CI79" t="s">
        <v>299</v>
      </c>
      <c r="CJ79">
        <v>3.5324900000000001</v>
      </c>
      <c r="CK79">
        <v>2.7008700000000001</v>
      </c>
      <c r="CL79">
        <v>1.47543E-2</v>
      </c>
      <c r="CM79">
        <v>1.43518E-2</v>
      </c>
      <c r="CN79">
        <v>8.6937299999999995E-2</v>
      </c>
      <c r="CO79">
        <v>7.8390000000000001E-2</v>
      </c>
      <c r="CP79">
        <v>34515.699999999997</v>
      </c>
      <c r="CQ79">
        <v>30354.6</v>
      </c>
      <c r="CR79">
        <v>32426</v>
      </c>
      <c r="CS79">
        <v>30726.2</v>
      </c>
      <c r="CT79">
        <v>40094</v>
      </c>
      <c r="CU79">
        <v>39830.5</v>
      </c>
      <c r="CV79">
        <v>47367.199999999997</v>
      </c>
      <c r="CW79">
        <v>46874.2</v>
      </c>
      <c r="CX79">
        <v>2.6144599999999998</v>
      </c>
      <c r="CY79">
        <v>2.1179999999999999</v>
      </c>
      <c r="CZ79">
        <v>0</v>
      </c>
      <c r="DA79">
        <v>0</v>
      </c>
      <c r="DB79">
        <v>999.9</v>
      </c>
      <c r="DC79">
        <v>999.9</v>
      </c>
      <c r="DD79">
        <v>45.335999999999999</v>
      </c>
      <c r="DE79">
        <v>28.731999999999999</v>
      </c>
      <c r="DF79">
        <v>17.9636</v>
      </c>
      <c r="DG79">
        <v>30.578199999999999</v>
      </c>
      <c r="DH79">
        <v>17.011199999999999</v>
      </c>
      <c r="DI79">
        <v>2</v>
      </c>
      <c r="DJ79">
        <v>-7.0475599999999999E-2</v>
      </c>
      <c r="DK79">
        <v>2.7096800000000001</v>
      </c>
      <c r="DL79">
        <v>20.1876</v>
      </c>
      <c r="DM79">
        <v>5.2492799999999997</v>
      </c>
      <c r="DN79">
        <v>12.033899999999999</v>
      </c>
      <c r="DO79">
        <v>4.9673600000000002</v>
      </c>
      <c r="DP79">
        <v>3.2909999999999999</v>
      </c>
      <c r="DQ79">
        <v>608</v>
      </c>
      <c r="DR79">
        <v>9999</v>
      </c>
      <c r="DS79">
        <v>9999</v>
      </c>
      <c r="DT79">
        <v>9999</v>
      </c>
      <c r="DU79">
        <v>1.87117</v>
      </c>
      <c r="DV79">
        <v>1.87619</v>
      </c>
      <c r="DW79">
        <v>1.8763700000000001</v>
      </c>
      <c r="DX79">
        <v>1.88289</v>
      </c>
      <c r="DY79">
        <v>1.87561</v>
      </c>
      <c r="DZ79">
        <v>1.87469</v>
      </c>
      <c r="EA79">
        <v>1.8708800000000001</v>
      </c>
      <c r="EB79">
        <v>1.87469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-0.443</v>
      </c>
      <c r="EQ79">
        <v>5.9299999999999999E-2</v>
      </c>
      <c r="ER79">
        <v>-0.442636363636353</v>
      </c>
      <c r="ES79">
        <v>0</v>
      </c>
      <c r="ET79">
        <v>0</v>
      </c>
      <c r="EU79">
        <v>0</v>
      </c>
      <c r="EV79">
        <v>5.9279999999997599E-2</v>
      </c>
      <c r="EW79">
        <v>0</v>
      </c>
      <c r="EX79">
        <v>0</v>
      </c>
      <c r="EY79">
        <v>0</v>
      </c>
      <c r="EZ79">
        <v>-1</v>
      </c>
      <c r="FA79">
        <v>-1</v>
      </c>
      <c r="FB79">
        <v>-1</v>
      </c>
      <c r="FC79">
        <v>-1</v>
      </c>
      <c r="FD79">
        <v>8.1999999999999993</v>
      </c>
      <c r="FE79">
        <v>8.6</v>
      </c>
      <c r="FF79">
        <v>0.28930699999999998</v>
      </c>
      <c r="FG79">
        <v>2.6110799999999998</v>
      </c>
      <c r="FH79">
        <v>2.19604</v>
      </c>
      <c r="FI79">
        <v>2.5744600000000002</v>
      </c>
      <c r="FJ79">
        <v>2.4462899999999999</v>
      </c>
      <c r="FK79">
        <v>2.3034699999999999</v>
      </c>
      <c r="FL79">
        <v>32.9983</v>
      </c>
      <c r="FM79">
        <v>24.14</v>
      </c>
      <c r="FN79">
        <v>19</v>
      </c>
      <c r="FO79">
        <v>866.69299999999998</v>
      </c>
      <c r="FP79">
        <v>573.42100000000005</v>
      </c>
      <c r="FQ79">
        <v>17.815100000000001</v>
      </c>
      <c r="FR79">
        <v>26.078800000000001</v>
      </c>
      <c r="FS79">
        <v>30.0001</v>
      </c>
      <c r="FT79">
        <v>26.075199999999999</v>
      </c>
      <c r="FU79">
        <v>26.079000000000001</v>
      </c>
      <c r="FV79">
        <v>5.8371199999999996</v>
      </c>
      <c r="FW79">
        <v>27.4434</v>
      </c>
      <c r="FX79">
        <v>36.179299999999998</v>
      </c>
      <c r="FY79">
        <v>17.816600000000001</v>
      </c>
      <c r="FZ79">
        <v>50</v>
      </c>
      <c r="GA79">
        <v>13.6776</v>
      </c>
      <c r="GB79">
        <v>99.799400000000006</v>
      </c>
      <c r="GC79">
        <v>99.771900000000002</v>
      </c>
    </row>
    <row r="80" spans="1:185" x14ac:dyDescent="0.2">
      <c r="A80">
        <v>65</v>
      </c>
      <c r="B80">
        <v>1771104343.0999999</v>
      </c>
      <c r="C80">
        <v>1230</v>
      </c>
      <c r="D80" t="s">
        <v>427</v>
      </c>
      <c r="E80" t="s">
        <v>428</v>
      </c>
      <c r="F80">
        <v>15</v>
      </c>
      <c r="G80">
        <v>1771104335.03333</v>
      </c>
      <c r="H80">
        <f t="shared" ref="H80:H143" si="13">AF80*Q80*(AB80-AC80)/(1000*X80*(1000-Q80*AB80))</f>
        <v>1.4311440824240648E-3</v>
      </c>
      <c r="I80">
        <v>0</v>
      </c>
      <c r="J80">
        <f t="shared" si="12"/>
        <v>-2.187356235495436E-2</v>
      </c>
      <c r="K80">
        <f t="shared" ref="K80:K143" si="14">AF80*Q80*(AA80-Z80*(1000-Q80*AC80)/(1000-Q80*AB80))/(1000*X80)</f>
        <v>-0.39112673004955129</v>
      </c>
      <c r="L80">
        <f t="shared" ref="L80:L143" si="15">(M80/N80*100)</f>
        <v>69.752974768036921</v>
      </c>
      <c r="M80">
        <f t="shared" ref="M80:M143" si="16">AB80*(AG80+AH80)/1000</f>
        <v>1.5379479893737926</v>
      </c>
      <c r="N80">
        <f t="shared" ref="N80:N143" si="17">0.61365*EXP(17.502*AI80/(240.97+AI80))</f>
        <v>2.2048493193132321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26203.261480619851</v>
      </c>
      <c r="T80">
        <f t="shared" ref="T80:T143" si="21">$B$11*AO80+$C$11*AP80+$D$11*BA80</f>
        <v>800.00073333333296</v>
      </c>
      <c r="U80">
        <f t="shared" ref="U80:U143" si="22">T80*V80</f>
        <v>674.40010251952674</v>
      </c>
      <c r="V80">
        <f t="shared" ref="V80:V143" si="23">($B$11*$D$9+$C$11*$D$9+$D$11*(BB80*$E$9+BC80*$F$9+BD80*$G$9+BE80*$H$9))/($B$11+$C$11+$D$11)</f>
        <v>0.84299935539999971</v>
      </c>
      <c r="W80">
        <f t="shared" ref="W80:W143" si="24">($B$11*$L$9+$C$11*$L$9+$D$11*(BB80*$M$9+BC80*$N$9+BD80*$O$9+BE80*$P$9))/($B$11+$C$11+$D$11)</f>
        <v>0.15869847944399995</v>
      </c>
      <c r="X80">
        <v>1</v>
      </c>
      <c r="Y80">
        <v>1771104335.03333</v>
      </c>
      <c r="Z80">
        <v>50.396880000000003</v>
      </c>
      <c r="AA80">
        <v>49.9981333333333</v>
      </c>
      <c r="AB80">
        <v>15.379906666666701</v>
      </c>
      <c r="AC80">
        <v>13.618513333333301</v>
      </c>
      <c r="AD80">
        <v>50.83952</v>
      </c>
      <c r="AE80">
        <v>15.320626666666699</v>
      </c>
      <c r="AF80">
        <v>800.010533333333</v>
      </c>
      <c r="AG80">
        <v>99.933873333333395</v>
      </c>
      <c r="AH80">
        <v>6.3351793333333295E-2</v>
      </c>
      <c r="AI80">
        <v>18.997593333333299</v>
      </c>
      <c r="AJ80">
        <v>999.9</v>
      </c>
      <c r="AK80">
        <v>999.9</v>
      </c>
      <c r="AL80">
        <v>0</v>
      </c>
      <c r="AM80">
        <v>0</v>
      </c>
      <c r="AN80">
        <v>4999.7</v>
      </c>
      <c r="AO80">
        <v>0</v>
      </c>
      <c r="AP80">
        <v>1.63733</v>
      </c>
      <c r="AQ80">
        <v>0.39875060000000001</v>
      </c>
      <c r="AR80">
        <v>51.184093333333301</v>
      </c>
      <c r="AS80">
        <v>50.6884333333333</v>
      </c>
      <c r="AT80">
        <v>1.76140133333333</v>
      </c>
      <c r="AU80">
        <v>49.9981333333333</v>
      </c>
      <c r="AV80">
        <v>13.618513333333301</v>
      </c>
      <c r="AW80">
        <v>1.53697333333333</v>
      </c>
      <c r="AX80">
        <v>1.36095066666667</v>
      </c>
      <c r="AY80">
        <v>13.34102</v>
      </c>
      <c r="AZ80">
        <v>11.4894</v>
      </c>
      <c r="BA80">
        <v>800.00073333333296</v>
      </c>
      <c r="BB80">
        <v>0.90002013333333297</v>
      </c>
      <c r="BC80">
        <v>0</v>
      </c>
      <c r="BD80">
        <v>9.9979819999999997E-2</v>
      </c>
      <c r="BE80">
        <v>0</v>
      </c>
      <c r="BF80">
        <v>25</v>
      </c>
      <c r="BG80">
        <v>13191.1133333333</v>
      </c>
      <c r="BH80">
        <v>1771103835.0999999</v>
      </c>
      <c r="BI80" t="s">
        <v>376</v>
      </c>
      <c r="BJ80">
        <v>1771103835.0999999</v>
      </c>
      <c r="BK80">
        <v>1771103812.0999999</v>
      </c>
      <c r="BL80">
        <v>14</v>
      </c>
      <c r="BM80">
        <v>0.26200000000000001</v>
      </c>
      <c r="BN80">
        <v>1.2E-2</v>
      </c>
      <c r="BO80">
        <v>-0.443</v>
      </c>
      <c r="BP80">
        <v>5.8999999999999997E-2</v>
      </c>
      <c r="BQ80">
        <v>150</v>
      </c>
      <c r="BR80">
        <v>13</v>
      </c>
      <c r="BS80">
        <v>0.18</v>
      </c>
      <c r="BT80">
        <v>0.04</v>
      </c>
      <c r="BU80">
        <v>0.40160919047619098</v>
      </c>
      <c r="BV80">
        <v>-2.17394805194796E-2</v>
      </c>
      <c r="BW80">
        <v>1.6745383894471999E-2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1.77281904761905</v>
      </c>
      <c r="CD80">
        <v>-0.19186363636363199</v>
      </c>
      <c r="CE80">
        <v>2.0619819846971098E-2</v>
      </c>
      <c r="CF80">
        <v>0</v>
      </c>
      <c r="CG80">
        <v>1</v>
      </c>
      <c r="CH80">
        <v>2</v>
      </c>
      <c r="CI80" t="s">
        <v>299</v>
      </c>
      <c r="CJ80">
        <v>3.5325600000000001</v>
      </c>
      <c r="CK80">
        <v>2.70139</v>
      </c>
      <c r="CL80">
        <v>1.4752400000000001E-2</v>
      </c>
      <c r="CM80">
        <v>1.4349900000000001E-2</v>
      </c>
      <c r="CN80">
        <v>8.6857400000000001E-2</v>
      </c>
      <c r="CO80">
        <v>7.8452999999999995E-2</v>
      </c>
      <c r="CP80">
        <v>34515.699999999997</v>
      </c>
      <c r="CQ80">
        <v>30355.200000000001</v>
      </c>
      <c r="CR80">
        <v>32426</v>
      </c>
      <c r="CS80">
        <v>30726.799999999999</v>
      </c>
      <c r="CT80">
        <v>40097.599999999999</v>
      </c>
      <c r="CU80">
        <v>39828.5</v>
      </c>
      <c r="CV80">
        <v>47367.3</v>
      </c>
      <c r="CW80">
        <v>46875.1</v>
      </c>
      <c r="CX80">
        <v>2.61422</v>
      </c>
      <c r="CY80">
        <v>2.1178599999999999</v>
      </c>
      <c r="CZ80">
        <v>0</v>
      </c>
      <c r="DA80">
        <v>0</v>
      </c>
      <c r="DB80">
        <v>999.9</v>
      </c>
      <c r="DC80">
        <v>999.9</v>
      </c>
      <c r="DD80">
        <v>45.262999999999998</v>
      </c>
      <c r="DE80">
        <v>28.742000000000001</v>
      </c>
      <c r="DF80">
        <v>17.945599999999999</v>
      </c>
      <c r="DG80">
        <v>30.068200000000001</v>
      </c>
      <c r="DH80">
        <v>16.975200000000001</v>
      </c>
      <c r="DI80">
        <v>2</v>
      </c>
      <c r="DJ80">
        <v>-7.03516E-2</v>
      </c>
      <c r="DK80">
        <v>2.70452</v>
      </c>
      <c r="DL80">
        <v>20.1875</v>
      </c>
      <c r="DM80">
        <v>5.2505899999999999</v>
      </c>
      <c r="DN80">
        <v>12.033899999999999</v>
      </c>
      <c r="DO80">
        <v>4.9677199999999999</v>
      </c>
      <c r="DP80">
        <v>3.2909999999999999</v>
      </c>
      <c r="DQ80">
        <v>608</v>
      </c>
      <c r="DR80">
        <v>9999</v>
      </c>
      <c r="DS80">
        <v>9999</v>
      </c>
      <c r="DT80">
        <v>9999</v>
      </c>
      <c r="DU80">
        <v>1.8711800000000001</v>
      </c>
      <c r="DV80">
        <v>1.8762000000000001</v>
      </c>
      <c r="DW80">
        <v>1.8763700000000001</v>
      </c>
      <c r="DX80">
        <v>1.8829</v>
      </c>
      <c r="DY80">
        <v>1.87561</v>
      </c>
      <c r="DZ80">
        <v>1.87469</v>
      </c>
      <c r="EA80">
        <v>1.87087</v>
      </c>
      <c r="EB80">
        <v>1.87469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-0.443</v>
      </c>
      <c r="EQ80">
        <v>5.9299999999999999E-2</v>
      </c>
      <c r="ER80">
        <v>-0.442636363636353</v>
      </c>
      <c r="ES80">
        <v>0</v>
      </c>
      <c r="ET80">
        <v>0</v>
      </c>
      <c r="EU80">
        <v>0</v>
      </c>
      <c r="EV80">
        <v>5.9279999999997599E-2</v>
      </c>
      <c r="EW80">
        <v>0</v>
      </c>
      <c r="EX80">
        <v>0</v>
      </c>
      <c r="EY80">
        <v>0</v>
      </c>
      <c r="EZ80">
        <v>-1</v>
      </c>
      <c r="FA80">
        <v>-1</v>
      </c>
      <c r="FB80">
        <v>-1</v>
      </c>
      <c r="FC80">
        <v>-1</v>
      </c>
      <c r="FD80">
        <v>8.5</v>
      </c>
      <c r="FE80">
        <v>8.8000000000000007</v>
      </c>
      <c r="FF80">
        <v>0.28930699999999998</v>
      </c>
      <c r="FG80">
        <v>2.6098599999999998</v>
      </c>
      <c r="FH80">
        <v>2.19604</v>
      </c>
      <c r="FI80">
        <v>2.5744600000000002</v>
      </c>
      <c r="FJ80">
        <v>2.4462899999999999</v>
      </c>
      <c r="FK80">
        <v>2.32056</v>
      </c>
      <c r="FL80">
        <v>32.9983</v>
      </c>
      <c r="FM80">
        <v>24.14</v>
      </c>
      <c r="FN80">
        <v>19</v>
      </c>
      <c r="FO80">
        <v>866.50400000000002</v>
      </c>
      <c r="FP80">
        <v>573.31299999999999</v>
      </c>
      <c r="FQ80">
        <v>17.82</v>
      </c>
      <c r="FR80">
        <v>26.081</v>
      </c>
      <c r="FS80">
        <v>30.0001</v>
      </c>
      <c r="FT80">
        <v>26.077400000000001</v>
      </c>
      <c r="FU80">
        <v>26.079000000000001</v>
      </c>
      <c r="FV80">
        <v>5.8371700000000004</v>
      </c>
      <c r="FW80">
        <v>27.4434</v>
      </c>
      <c r="FX80">
        <v>36.179299999999998</v>
      </c>
      <c r="FY80">
        <v>17.8217</v>
      </c>
      <c r="FZ80">
        <v>50</v>
      </c>
      <c r="GA80">
        <v>13.6778</v>
      </c>
      <c r="GB80">
        <v>99.799499999999995</v>
      </c>
      <c r="GC80">
        <v>99.773799999999994</v>
      </c>
    </row>
    <row r="81" spans="1:185" x14ac:dyDescent="0.2">
      <c r="A81">
        <v>66</v>
      </c>
      <c r="B81">
        <v>1771104358.0999999</v>
      </c>
      <c r="C81">
        <v>1245</v>
      </c>
      <c r="D81" t="s">
        <v>429</v>
      </c>
      <c r="E81" t="s">
        <v>430</v>
      </c>
      <c r="F81">
        <v>15</v>
      </c>
      <c r="G81">
        <v>1771104350.03333</v>
      </c>
      <c r="H81">
        <f t="shared" si="13"/>
        <v>1.4251654793098136E-3</v>
      </c>
      <c r="I81">
        <v>0</v>
      </c>
      <c r="J81">
        <f t="shared" ref="J81:J144" si="25">K81*(0.0007335/0.0131159)</f>
        <v>-2.177159430653252E-2</v>
      </c>
      <c r="K81">
        <f t="shared" si="14"/>
        <v>-0.38930341344928404</v>
      </c>
      <c r="L81">
        <f t="shared" si="15"/>
        <v>69.709945947953926</v>
      </c>
      <c r="M81">
        <f t="shared" si="16"/>
        <v>1.5373273282337876</v>
      </c>
      <c r="N81">
        <f t="shared" si="17"/>
        <v>2.2053199257700902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26186.772563390379</v>
      </c>
      <c r="T81">
        <f t="shared" si="21"/>
        <v>799.99980000000005</v>
      </c>
      <c r="U81">
        <f t="shared" si="22"/>
        <v>674.39936868011591</v>
      </c>
      <c r="V81">
        <f t="shared" si="23"/>
        <v>0.8429994216000003</v>
      </c>
      <c r="W81">
        <f t="shared" si="24"/>
        <v>0.15869852801600007</v>
      </c>
      <c r="X81">
        <v>1</v>
      </c>
      <c r="Y81">
        <v>1771104350.03333</v>
      </c>
      <c r="Z81">
        <v>50.39472</v>
      </c>
      <c r="AA81">
        <v>49.997873333333303</v>
      </c>
      <c r="AB81">
        <v>15.373799999999999</v>
      </c>
      <c r="AC81">
        <v>13.619759999999999</v>
      </c>
      <c r="AD81">
        <v>50.837359999999997</v>
      </c>
      <c r="AE81">
        <v>15.3145133333333</v>
      </c>
      <c r="AF81">
        <v>800.01326666666705</v>
      </c>
      <c r="AG81">
        <v>99.933013333333307</v>
      </c>
      <c r="AH81">
        <v>6.3560593333333304E-2</v>
      </c>
      <c r="AI81">
        <v>19.001013333333301</v>
      </c>
      <c r="AJ81">
        <v>999.9</v>
      </c>
      <c r="AK81">
        <v>999.9</v>
      </c>
      <c r="AL81">
        <v>0</v>
      </c>
      <c r="AM81">
        <v>0</v>
      </c>
      <c r="AN81">
        <v>4997.0666666666702</v>
      </c>
      <c r="AO81">
        <v>0</v>
      </c>
      <c r="AP81">
        <v>1.63733</v>
      </c>
      <c r="AQ81">
        <v>0.39684560000000002</v>
      </c>
      <c r="AR81">
        <v>51.181559999999998</v>
      </c>
      <c r="AS81">
        <v>50.68824</v>
      </c>
      <c r="AT81">
        <v>1.75402866666667</v>
      </c>
      <c r="AU81">
        <v>49.997873333333303</v>
      </c>
      <c r="AV81">
        <v>13.619759999999999</v>
      </c>
      <c r="AW81">
        <v>1.5363500000000001</v>
      </c>
      <c r="AX81">
        <v>1.3610660000000001</v>
      </c>
      <c r="AY81">
        <v>13.3348</v>
      </c>
      <c r="AZ81">
        <v>11.4906666666667</v>
      </c>
      <c r="BA81">
        <v>799.99980000000005</v>
      </c>
      <c r="BB81">
        <v>0.900019666666667</v>
      </c>
      <c r="BC81">
        <v>0</v>
      </c>
      <c r="BD81">
        <v>9.9980346666666706E-2</v>
      </c>
      <c r="BE81">
        <v>0</v>
      </c>
      <c r="BF81">
        <v>25</v>
      </c>
      <c r="BG81">
        <v>13191.106666666699</v>
      </c>
      <c r="BH81">
        <v>1771103835.0999999</v>
      </c>
      <c r="BI81" t="s">
        <v>376</v>
      </c>
      <c r="BJ81">
        <v>1771103835.0999999</v>
      </c>
      <c r="BK81">
        <v>1771103812.0999999</v>
      </c>
      <c r="BL81">
        <v>14</v>
      </c>
      <c r="BM81">
        <v>0.26200000000000001</v>
      </c>
      <c r="BN81">
        <v>1.2E-2</v>
      </c>
      <c r="BO81">
        <v>-0.443</v>
      </c>
      <c r="BP81">
        <v>5.8999999999999997E-2</v>
      </c>
      <c r="BQ81">
        <v>150</v>
      </c>
      <c r="BR81">
        <v>13</v>
      </c>
      <c r="BS81">
        <v>0.18</v>
      </c>
      <c r="BT81">
        <v>0.04</v>
      </c>
      <c r="BU81">
        <v>0.40060030000000002</v>
      </c>
      <c r="BV81">
        <v>-1.8425503759398599E-2</v>
      </c>
      <c r="BW81">
        <v>1.2296397188201099E-2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1.7535095000000001</v>
      </c>
      <c r="CD81">
        <v>1.6658796992484001E-2</v>
      </c>
      <c r="CE81">
        <v>3.4756718415293502E-3</v>
      </c>
      <c r="CF81">
        <v>1</v>
      </c>
      <c r="CG81">
        <v>2</v>
      </c>
      <c r="CH81">
        <v>2</v>
      </c>
      <c r="CI81" t="s">
        <v>322</v>
      </c>
      <c r="CJ81">
        <v>3.5325700000000002</v>
      </c>
      <c r="CK81">
        <v>2.70133</v>
      </c>
      <c r="CL81">
        <v>1.4749399999999999E-2</v>
      </c>
      <c r="CM81">
        <v>1.43476E-2</v>
      </c>
      <c r="CN81">
        <v>8.6891999999999997E-2</v>
      </c>
      <c r="CO81">
        <v>7.8528600000000004E-2</v>
      </c>
      <c r="CP81">
        <v>34516.199999999997</v>
      </c>
      <c r="CQ81">
        <v>30355.1</v>
      </c>
      <c r="CR81">
        <v>32426.3</v>
      </c>
      <c r="CS81">
        <v>30726.6</v>
      </c>
      <c r="CT81">
        <v>40096.400000000001</v>
      </c>
      <c r="CU81">
        <v>39824.800000000003</v>
      </c>
      <c r="CV81">
        <v>47367.6</v>
      </c>
      <c r="CW81">
        <v>46874.7</v>
      </c>
      <c r="CX81">
        <v>2.61442</v>
      </c>
      <c r="CY81">
        <v>2.1178599999999999</v>
      </c>
      <c r="CZ81">
        <v>0</v>
      </c>
      <c r="DA81">
        <v>0</v>
      </c>
      <c r="DB81">
        <v>999.9</v>
      </c>
      <c r="DC81">
        <v>999.9</v>
      </c>
      <c r="DD81">
        <v>45.238999999999997</v>
      </c>
      <c r="DE81">
        <v>28.751999999999999</v>
      </c>
      <c r="DF81">
        <v>17.946400000000001</v>
      </c>
      <c r="DG81">
        <v>30.6082</v>
      </c>
      <c r="DH81">
        <v>17.055299999999999</v>
      </c>
      <c r="DI81">
        <v>2</v>
      </c>
      <c r="DJ81">
        <v>-7.0203299999999996E-2</v>
      </c>
      <c r="DK81">
        <v>2.7405499999999998</v>
      </c>
      <c r="DL81">
        <v>20.186900000000001</v>
      </c>
      <c r="DM81">
        <v>5.2495200000000004</v>
      </c>
      <c r="DN81">
        <v>12.033899999999999</v>
      </c>
      <c r="DO81">
        <v>4.9677600000000002</v>
      </c>
      <c r="DP81">
        <v>3.2909999999999999</v>
      </c>
      <c r="DQ81">
        <v>608</v>
      </c>
      <c r="DR81">
        <v>9999</v>
      </c>
      <c r="DS81">
        <v>9999</v>
      </c>
      <c r="DT81">
        <v>9999</v>
      </c>
      <c r="DU81">
        <v>1.8711800000000001</v>
      </c>
      <c r="DV81">
        <v>1.87616</v>
      </c>
      <c r="DW81">
        <v>1.8763700000000001</v>
      </c>
      <c r="DX81">
        <v>1.88286</v>
      </c>
      <c r="DY81">
        <v>1.87561</v>
      </c>
      <c r="DZ81">
        <v>1.87469</v>
      </c>
      <c r="EA81">
        <v>1.8708800000000001</v>
      </c>
      <c r="EB81">
        <v>1.8746799999999999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-0.443</v>
      </c>
      <c r="EQ81">
        <v>5.9299999999999999E-2</v>
      </c>
      <c r="ER81">
        <v>-0.442636363636353</v>
      </c>
      <c r="ES81">
        <v>0</v>
      </c>
      <c r="ET81">
        <v>0</v>
      </c>
      <c r="EU81">
        <v>0</v>
      </c>
      <c r="EV81">
        <v>5.9279999999997599E-2</v>
      </c>
      <c r="EW81">
        <v>0</v>
      </c>
      <c r="EX81">
        <v>0</v>
      </c>
      <c r="EY81">
        <v>0</v>
      </c>
      <c r="EZ81">
        <v>-1</v>
      </c>
      <c r="FA81">
        <v>-1</v>
      </c>
      <c r="FB81">
        <v>-1</v>
      </c>
      <c r="FC81">
        <v>-1</v>
      </c>
      <c r="FD81">
        <v>8.6999999999999993</v>
      </c>
      <c r="FE81">
        <v>9.1</v>
      </c>
      <c r="FF81">
        <v>0.28930699999999998</v>
      </c>
      <c r="FG81">
        <v>2.6232899999999999</v>
      </c>
      <c r="FH81">
        <v>2.19604</v>
      </c>
      <c r="FI81">
        <v>2.5744600000000002</v>
      </c>
      <c r="FJ81">
        <v>2.4462899999999999</v>
      </c>
      <c r="FK81">
        <v>2.3010299999999999</v>
      </c>
      <c r="FL81">
        <v>33.020600000000002</v>
      </c>
      <c r="FM81">
        <v>24.14</v>
      </c>
      <c r="FN81">
        <v>19</v>
      </c>
      <c r="FO81">
        <v>866.69</v>
      </c>
      <c r="FP81">
        <v>573.327</v>
      </c>
      <c r="FQ81">
        <v>17.8185</v>
      </c>
      <c r="FR81">
        <v>26.081</v>
      </c>
      <c r="FS81">
        <v>30.0001</v>
      </c>
      <c r="FT81">
        <v>26.077400000000001</v>
      </c>
      <c r="FU81">
        <v>26.080200000000001</v>
      </c>
      <c r="FV81">
        <v>5.8372099999999998</v>
      </c>
      <c r="FW81">
        <v>27.168500000000002</v>
      </c>
      <c r="FX81">
        <v>36.179299999999998</v>
      </c>
      <c r="FY81">
        <v>17.812899999999999</v>
      </c>
      <c r="FZ81">
        <v>50</v>
      </c>
      <c r="GA81">
        <v>13.677899999999999</v>
      </c>
      <c r="GB81">
        <v>99.800299999999993</v>
      </c>
      <c r="GC81">
        <v>99.773099999999999</v>
      </c>
    </row>
    <row r="82" spans="1:185" x14ac:dyDescent="0.2">
      <c r="A82">
        <v>67</v>
      </c>
      <c r="B82">
        <v>1771104373.0999999</v>
      </c>
      <c r="C82">
        <v>1260</v>
      </c>
      <c r="D82" t="s">
        <v>431</v>
      </c>
      <c r="E82" t="s">
        <v>432</v>
      </c>
      <c r="F82">
        <v>15</v>
      </c>
      <c r="G82">
        <v>1771104365.03333</v>
      </c>
      <c r="H82">
        <f t="shared" si="13"/>
        <v>1.4193865510681569E-3</v>
      </c>
      <c r="I82">
        <v>0</v>
      </c>
      <c r="J82">
        <f t="shared" si="25"/>
        <v>-2.1301461709959255E-2</v>
      </c>
      <c r="K82">
        <f t="shared" si="14"/>
        <v>-0.38089685295385767</v>
      </c>
      <c r="L82">
        <f t="shared" si="15"/>
        <v>69.760933918349309</v>
      </c>
      <c r="M82">
        <f t="shared" si="16"/>
        <v>1.5385413811688542</v>
      </c>
      <c r="N82">
        <f t="shared" si="17"/>
        <v>2.2054483716769302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26211.425243513346</v>
      </c>
      <c r="T82">
        <f t="shared" si="21"/>
        <v>800.000133333333</v>
      </c>
      <c r="U82">
        <f t="shared" si="22"/>
        <v>674.39972183993461</v>
      </c>
      <c r="V82">
        <f t="shared" si="23"/>
        <v>0.84299951179999999</v>
      </c>
      <c r="W82">
        <f t="shared" si="24"/>
        <v>0.15869863658800001</v>
      </c>
      <c r="X82">
        <v>1</v>
      </c>
      <c r="Y82">
        <v>1771104365.03333</v>
      </c>
      <c r="Z82">
        <v>50.386713333333297</v>
      </c>
      <c r="AA82">
        <v>49.9999933333333</v>
      </c>
      <c r="AB82">
        <v>15.3859933333333</v>
      </c>
      <c r="AC82">
        <v>13.6390733333333</v>
      </c>
      <c r="AD82">
        <v>50.829340000000002</v>
      </c>
      <c r="AE82">
        <v>15.32672</v>
      </c>
      <c r="AF82">
        <v>800.0068</v>
      </c>
      <c r="AG82">
        <v>99.9326066666667</v>
      </c>
      <c r="AH82">
        <v>6.3626779999999994E-2</v>
      </c>
      <c r="AI82">
        <v>19.001946666666701</v>
      </c>
      <c r="AJ82">
        <v>999.9</v>
      </c>
      <c r="AK82">
        <v>999.9</v>
      </c>
      <c r="AL82">
        <v>0</v>
      </c>
      <c r="AM82">
        <v>0</v>
      </c>
      <c r="AN82">
        <v>5001.1666666666697</v>
      </c>
      <c r="AO82">
        <v>0</v>
      </c>
      <c r="AP82">
        <v>1.63733</v>
      </c>
      <c r="AQ82">
        <v>0.38670559999999998</v>
      </c>
      <c r="AR82">
        <v>51.174066666666697</v>
      </c>
      <c r="AS82">
        <v>50.691386666666702</v>
      </c>
      <c r="AT82">
        <v>1.7469206666666699</v>
      </c>
      <c r="AU82">
        <v>49.9999933333333</v>
      </c>
      <c r="AV82">
        <v>13.6390733333333</v>
      </c>
      <c r="AW82">
        <v>1.53756266666667</v>
      </c>
      <c r="AX82">
        <v>1.36298866666667</v>
      </c>
      <c r="AY82">
        <v>13.346913333333299</v>
      </c>
      <c r="AZ82">
        <v>11.512</v>
      </c>
      <c r="BA82">
        <v>800.000133333333</v>
      </c>
      <c r="BB82">
        <v>0.9000184</v>
      </c>
      <c r="BC82">
        <v>0</v>
      </c>
      <c r="BD82">
        <v>9.9981673333333396E-2</v>
      </c>
      <c r="BE82">
        <v>0</v>
      </c>
      <c r="BF82">
        <v>25</v>
      </c>
      <c r="BG82">
        <v>13191.1133333333</v>
      </c>
      <c r="BH82">
        <v>1771103835.0999999</v>
      </c>
      <c r="BI82" t="s">
        <v>376</v>
      </c>
      <c r="BJ82">
        <v>1771103835.0999999</v>
      </c>
      <c r="BK82">
        <v>1771103812.0999999</v>
      </c>
      <c r="BL82">
        <v>14</v>
      </c>
      <c r="BM82">
        <v>0.26200000000000001</v>
      </c>
      <c r="BN82">
        <v>1.2E-2</v>
      </c>
      <c r="BO82">
        <v>-0.443</v>
      </c>
      <c r="BP82">
        <v>5.8999999999999997E-2</v>
      </c>
      <c r="BQ82">
        <v>150</v>
      </c>
      <c r="BR82">
        <v>13</v>
      </c>
      <c r="BS82">
        <v>0.18</v>
      </c>
      <c r="BT82">
        <v>0.04</v>
      </c>
      <c r="BU82">
        <v>0.39153271428571401</v>
      </c>
      <c r="BV82">
        <v>-9.43397922077919E-2</v>
      </c>
      <c r="BW82">
        <v>1.26175013266451E-2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1.74894333333333</v>
      </c>
      <c r="CD82">
        <v>6.9688051948054594E-2</v>
      </c>
      <c r="CE82">
        <v>2.0915568212477399E-2</v>
      </c>
      <c r="CF82">
        <v>1</v>
      </c>
      <c r="CG82">
        <v>2</v>
      </c>
      <c r="CH82">
        <v>2</v>
      </c>
      <c r="CI82" t="s">
        <v>322</v>
      </c>
      <c r="CJ82">
        <v>3.5324800000000001</v>
      </c>
      <c r="CK82">
        <v>2.7014200000000002</v>
      </c>
      <c r="CL82">
        <v>1.47478E-2</v>
      </c>
      <c r="CM82">
        <v>1.43517E-2</v>
      </c>
      <c r="CN82">
        <v>8.6935100000000001E-2</v>
      </c>
      <c r="CO82">
        <v>7.8426800000000005E-2</v>
      </c>
      <c r="CP82">
        <v>34516.9</v>
      </c>
      <c r="CQ82">
        <v>30354.5</v>
      </c>
      <c r="CR82">
        <v>32427</v>
      </c>
      <c r="CS82">
        <v>30726.2</v>
      </c>
      <c r="CT82">
        <v>40095.4</v>
      </c>
      <c r="CU82">
        <v>39828.9</v>
      </c>
      <c r="CV82">
        <v>47368.800000000003</v>
      </c>
      <c r="CW82">
        <v>46874.2</v>
      </c>
      <c r="CX82">
        <v>2.6143999999999998</v>
      </c>
      <c r="CY82">
        <v>2.1175799999999998</v>
      </c>
      <c r="CZ82">
        <v>0</v>
      </c>
      <c r="DA82">
        <v>0</v>
      </c>
      <c r="DB82">
        <v>999.9</v>
      </c>
      <c r="DC82">
        <v>999.9</v>
      </c>
      <c r="DD82">
        <v>45.091999999999999</v>
      </c>
      <c r="DE82">
        <v>28.742000000000001</v>
      </c>
      <c r="DF82">
        <v>17.877099999999999</v>
      </c>
      <c r="DG82">
        <v>30.6082</v>
      </c>
      <c r="DH82">
        <v>17.163499999999999</v>
      </c>
      <c r="DI82">
        <v>2</v>
      </c>
      <c r="DJ82">
        <v>-6.9975599999999999E-2</v>
      </c>
      <c r="DK82">
        <v>2.7441300000000002</v>
      </c>
      <c r="DL82">
        <v>20.186900000000001</v>
      </c>
      <c r="DM82">
        <v>5.2510700000000003</v>
      </c>
      <c r="DN82">
        <v>12.033899999999999</v>
      </c>
      <c r="DO82">
        <v>4.9678000000000004</v>
      </c>
      <c r="DP82">
        <v>3.2909999999999999</v>
      </c>
      <c r="DQ82">
        <v>608</v>
      </c>
      <c r="DR82">
        <v>9999</v>
      </c>
      <c r="DS82">
        <v>9999</v>
      </c>
      <c r="DT82">
        <v>9999</v>
      </c>
      <c r="DU82">
        <v>1.8711800000000001</v>
      </c>
      <c r="DV82">
        <v>1.8761699999999999</v>
      </c>
      <c r="DW82">
        <v>1.8763700000000001</v>
      </c>
      <c r="DX82">
        <v>1.88287</v>
      </c>
      <c r="DY82">
        <v>1.87561</v>
      </c>
      <c r="DZ82">
        <v>1.8746799999999999</v>
      </c>
      <c r="EA82">
        <v>1.8708800000000001</v>
      </c>
      <c r="EB82">
        <v>1.8746799999999999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-0.443</v>
      </c>
      <c r="EQ82">
        <v>5.9299999999999999E-2</v>
      </c>
      <c r="ER82">
        <v>-0.442636363636353</v>
      </c>
      <c r="ES82">
        <v>0</v>
      </c>
      <c r="ET82">
        <v>0</v>
      </c>
      <c r="EU82">
        <v>0</v>
      </c>
      <c r="EV82">
        <v>5.9279999999997599E-2</v>
      </c>
      <c r="EW82">
        <v>0</v>
      </c>
      <c r="EX82">
        <v>0</v>
      </c>
      <c r="EY82">
        <v>0</v>
      </c>
      <c r="EZ82">
        <v>-1</v>
      </c>
      <c r="FA82">
        <v>-1</v>
      </c>
      <c r="FB82">
        <v>-1</v>
      </c>
      <c r="FC82">
        <v>-1</v>
      </c>
      <c r="FD82">
        <v>9</v>
      </c>
      <c r="FE82">
        <v>9.3000000000000007</v>
      </c>
      <c r="FF82">
        <v>0.28930699999999998</v>
      </c>
      <c r="FG82">
        <v>2.6196299999999999</v>
      </c>
      <c r="FH82">
        <v>2.19604</v>
      </c>
      <c r="FI82">
        <v>2.5744600000000002</v>
      </c>
      <c r="FJ82">
        <v>2.4462899999999999</v>
      </c>
      <c r="FK82">
        <v>2.2558600000000002</v>
      </c>
      <c r="FL82">
        <v>33.020600000000002</v>
      </c>
      <c r="FM82">
        <v>24.1313</v>
      </c>
      <c r="FN82">
        <v>19</v>
      </c>
      <c r="FO82">
        <v>866.7</v>
      </c>
      <c r="FP82">
        <v>573.12300000000005</v>
      </c>
      <c r="FQ82">
        <v>17.808</v>
      </c>
      <c r="FR82">
        <v>26.083300000000001</v>
      </c>
      <c r="FS82">
        <v>30.0001</v>
      </c>
      <c r="FT82">
        <v>26.0792</v>
      </c>
      <c r="FU82">
        <v>26.081199999999999</v>
      </c>
      <c r="FV82">
        <v>5.8375700000000004</v>
      </c>
      <c r="FW82">
        <v>27.168500000000002</v>
      </c>
      <c r="FX82">
        <v>35.808100000000003</v>
      </c>
      <c r="FY82">
        <v>17.806999999999999</v>
      </c>
      <c r="FZ82">
        <v>50</v>
      </c>
      <c r="GA82">
        <v>13.677899999999999</v>
      </c>
      <c r="GB82">
        <v>99.802599999999998</v>
      </c>
      <c r="GC82">
        <v>99.771900000000002</v>
      </c>
    </row>
    <row r="83" spans="1:185" x14ac:dyDescent="0.2">
      <c r="A83">
        <v>68</v>
      </c>
      <c r="B83">
        <v>1771104388.0999999</v>
      </c>
      <c r="C83">
        <v>1275</v>
      </c>
      <c r="D83" t="s">
        <v>433</v>
      </c>
      <c r="E83" t="s">
        <v>434</v>
      </c>
      <c r="F83">
        <v>15</v>
      </c>
      <c r="G83">
        <v>1771104380.03333</v>
      </c>
      <c r="H83">
        <f t="shared" si="13"/>
        <v>1.4364014330974038E-3</v>
      </c>
      <c r="I83">
        <v>0</v>
      </c>
      <c r="J83">
        <f t="shared" si="25"/>
        <v>-2.0584351752909642E-2</v>
      </c>
      <c r="K83">
        <f t="shared" si="14"/>
        <v>-0.36807402747919232</v>
      </c>
      <c r="L83">
        <f t="shared" si="15"/>
        <v>69.769073732428922</v>
      </c>
      <c r="M83">
        <f t="shared" si="16"/>
        <v>1.5387247413333083</v>
      </c>
      <c r="N83">
        <f t="shared" si="17"/>
        <v>2.2054538766480762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26209.302321863473</v>
      </c>
      <c r="T83">
        <f t="shared" si="21"/>
        <v>799.99940000000004</v>
      </c>
      <c r="U83">
        <f t="shared" si="22"/>
        <v>674.39896044040006</v>
      </c>
      <c r="V83">
        <f t="shared" si="23"/>
        <v>0.84299933279999961</v>
      </c>
      <c r="W83">
        <f t="shared" si="24"/>
        <v>0.15869851388799994</v>
      </c>
      <c r="X83">
        <v>1</v>
      </c>
      <c r="Y83">
        <v>1771104380.03333</v>
      </c>
      <c r="Z83">
        <v>50.3705</v>
      </c>
      <c r="AA83">
        <v>50.000853333333303</v>
      </c>
      <c r="AB83">
        <v>15.38768</v>
      </c>
      <c r="AC83">
        <v>13.6198333333333</v>
      </c>
      <c r="AD83">
        <v>50.813153333333297</v>
      </c>
      <c r="AE83">
        <v>15.328393333333301</v>
      </c>
      <c r="AF83">
        <v>800.01199999999994</v>
      </c>
      <c r="AG83">
        <v>99.933766666666699</v>
      </c>
      <c r="AH83">
        <v>6.3422080000000006E-2</v>
      </c>
      <c r="AI83">
        <v>19.001986666666699</v>
      </c>
      <c r="AJ83">
        <v>999.9</v>
      </c>
      <c r="AK83">
        <v>999.9</v>
      </c>
      <c r="AL83">
        <v>0</v>
      </c>
      <c r="AM83">
        <v>0</v>
      </c>
      <c r="AN83">
        <v>5000.7666666666701</v>
      </c>
      <c r="AO83">
        <v>0</v>
      </c>
      <c r="AP83">
        <v>1.63733</v>
      </c>
      <c r="AQ83">
        <v>0.36965686666666703</v>
      </c>
      <c r="AR83">
        <v>51.157706666666698</v>
      </c>
      <c r="AS83">
        <v>50.6912533333333</v>
      </c>
      <c r="AT83">
        <v>1.76785066666667</v>
      </c>
      <c r="AU83">
        <v>50.000853333333303</v>
      </c>
      <c r="AV83">
        <v>13.6198333333333</v>
      </c>
      <c r="AW83">
        <v>1.5377479999999999</v>
      </c>
      <c r="AX83">
        <v>1.36108133333333</v>
      </c>
      <c r="AY83">
        <v>13.348746666666701</v>
      </c>
      <c r="AZ83">
        <v>11.490833333333301</v>
      </c>
      <c r="BA83">
        <v>799.99940000000004</v>
      </c>
      <c r="BB83">
        <v>0.90001953333333296</v>
      </c>
      <c r="BC83">
        <v>0</v>
      </c>
      <c r="BD83">
        <v>9.9980373333333303E-2</v>
      </c>
      <c r="BE83">
        <v>0</v>
      </c>
      <c r="BF83">
        <v>25</v>
      </c>
      <c r="BG83">
        <v>13191.0933333333</v>
      </c>
      <c r="BH83">
        <v>1771103835.0999999</v>
      </c>
      <c r="BI83" t="s">
        <v>376</v>
      </c>
      <c r="BJ83">
        <v>1771103835.0999999</v>
      </c>
      <c r="BK83">
        <v>1771103812.0999999</v>
      </c>
      <c r="BL83">
        <v>14</v>
      </c>
      <c r="BM83">
        <v>0.26200000000000001</v>
      </c>
      <c r="BN83">
        <v>1.2E-2</v>
      </c>
      <c r="BO83">
        <v>-0.443</v>
      </c>
      <c r="BP83">
        <v>5.8999999999999997E-2</v>
      </c>
      <c r="BQ83">
        <v>150</v>
      </c>
      <c r="BR83">
        <v>13</v>
      </c>
      <c r="BS83">
        <v>0.18</v>
      </c>
      <c r="BT83">
        <v>0.04</v>
      </c>
      <c r="BU83">
        <v>0.37360035000000003</v>
      </c>
      <c r="BV83">
        <v>-6.0907984962405799E-2</v>
      </c>
      <c r="BW83">
        <v>1.2267115371084601E-2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1.7688889999999999</v>
      </c>
      <c r="CD83">
        <v>-6.1399398496240203E-2</v>
      </c>
      <c r="CE83">
        <v>9.7878153333621695E-3</v>
      </c>
      <c r="CF83">
        <v>1</v>
      </c>
      <c r="CG83">
        <v>2</v>
      </c>
      <c r="CH83">
        <v>2</v>
      </c>
      <c r="CI83" t="s">
        <v>322</v>
      </c>
      <c r="CJ83">
        <v>3.5325600000000001</v>
      </c>
      <c r="CK83">
        <v>2.70119</v>
      </c>
      <c r="CL83">
        <v>1.474E-2</v>
      </c>
      <c r="CM83">
        <v>1.4344900000000001E-2</v>
      </c>
      <c r="CN83">
        <v>8.6949299999999993E-2</v>
      </c>
      <c r="CO83">
        <v>7.8557399999999999E-2</v>
      </c>
      <c r="CP83">
        <v>34516.5</v>
      </c>
      <c r="CQ83">
        <v>30354.9</v>
      </c>
      <c r="CR83">
        <v>32426.3</v>
      </c>
      <c r="CS83">
        <v>30726.400000000001</v>
      </c>
      <c r="CT83">
        <v>40093.9</v>
      </c>
      <c r="CU83">
        <v>39823.300000000003</v>
      </c>
      <c r="CV83">
        <v>47367.7</v>
      </c>
      <c r="CW83">
        <v>46874.5</v>
      </c>
      <c r="CX83">
        <v>2.6143200000000002</v>
      </c>
      <c r="CY83">
        <v>2.11774</v>
      </c>
      <c r="CZ83">
        <v>0</v>
      </c>
      <c r="DA83">
        <v>0</v>
      </c>
      <c r="DB83">
        <v>999.9</v>
      </c>
      <c r="DC83">
        <v>999.9</v>
      </c>
      <c r="DD83">
        <v>45.042999999999999</v>
      </c>
      <c r="DE83">
        <v>28.742000000000001</v>
      </c>
      <c r="DF83">
        <v>17.857500000000002</v>
      </c>
      <c r="DG83">
        <v>30.578199999999999</v>
      </c>
      <c r="DH83">
        <v>17.023199999999999</v>
      </c>
      <c r="DI83">
        <v>2</v>
      </c>
      <c r="DJ83">
        <v>-6.9886199999999996E-2</v>
      </c>
      <c r="DK83">
        <v>2.75143</v>
      </c>
      <c r="DL83">
        <v>20.186599999999999</v>
      </c>
      <c r="DM83">
        <v>5.25143</v>
      </c>
      <c r="DN83">
        <v>12.033899999999999</v>
      </c>
      <c r="DO83">
        <v>4.9676799999999997</v>
      </c>
      <c r="DP83">
        <v>3.2909999999999999</v>
      </c>
      <c r="DQ83">
        <v>608</v>
      </c>
      <c r="DR83">
        <v>9999</v>
      </c>
      <c r="DS83">
        <v>9999</v>
      </c>
      <c r="DT83">
        <v>9999</v>
      </c>
      <c r="DU83">
        <v>1.87117</v>
      </c>
      <c r="DV83">
        <v>1.8761699999999999</v>
      </c>
      <c r="DW83">
        <v>1.8763700000000001</v>
      </c>
      <c r="DX83">
        <v>1.88287</v>
      </c>
      <c r="DY83">
        <v>1.87561</v>
      </c>
      <c r="DZ83">
        <v>1.87469</v>
      </c>
      <c r="EA83">
        <v>1.87086</v>
      </c>
      <c r="EB83">
        <v>1.8746799999999999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-0.443</v>
      </c>
      <c r="EQ83">
        <v>5.9200000000000003E-2</v>
      </c>
      <c r="ER83">
        <v>-0.442636363636353</v>
      </c>
      <c r="ES83">
        <v>0</v>
      </c>
      <c r="ET83">
        <v>0</v>
      </c>
      <c r="EU83">
        <v>0</v>
      </c>
      <c r="EV83">
        <v>5.9279999999997599E-2</v>
      </c>
      <c r="EW83">
        <v>0</v>
      </c>
      <c r="EX83">
        <v>0</v>
      </c>
      <c r="EY83">
        <v>0</v>
      </c>
      <c r="EZ83">
        <v>-1</v>
      </c>
      <c r="FA83">
        <v>-1</v>
      </c>
      <c r="FB83">
        <v>-1</v>
      </c>
      <c r="FC83">
        <v>-1</v>
      </c>
      <c r="FD83">
        <v>9.1999999999999993</v>
      </c>
      <c r="FE83">
        <v>9.6</v>
      </c>
      <c r="FF83">
        <v>0.28930699999999998</v>
      </c>
      <c r="FG83">
        <v>2.6159699999999999</v>
      </c>
      <c r="FH83">
        <v>2.19604</v>
      </c>
      <c r="FI83">
        <v>2.5744600000000002</v>
      </c>
      <c r="FJ83">
        <v>2.4462899999999999</v>
      </c>
      <c r="FK83">
        <v>2.2802699999999998</v>
      </c>
      <c r="FL83">
        <v>33.020600000000002</v>
      </c>
      <c r="FM83">
        <v>24.14</v>
      </c>
      <c r="FN83">
        <v>19</v>
      </c>
      <c r="FO83">
        <v>866.63199999999995</v>
      </c>
      <c r="FP83">
        <v>573.26900000000001</v>
      </c>
      <c r="FQ83">
        <v>17.803799999999999</v>
      </c>
      <c r="FR83">
        <v>26.084599999999998</v>
      </c>
      <c r="FS83">
        <v>30.0002</v>
      </c>
      <c r="FT83">
        <v>26.079599999999999</v>
      </c>
      <c r="FU83">
        <v>26.083300000000001</v>
      </c>
      <c r="FV83">
        <v>5.8376700000000001</v>
      </c>
      <c r="FW83">
        <v>26.888000000000002</v>
      </c>
      <c r="FX83">
        <v>35.808100000000003</v>
      </c>
      <c r="FY83">
        <v>17.800999999999998</v>
      </c>
      <c r="FZ83">
        <v>50</v>
      </c>
      <c r="GA83">
        <v>13.677899999999999</v>
      </c>
      <c r="GB83">
        <v>99.800399999999996</v>
      </c>
      <c r="GC83">
        <v>99.772599999999997</v>
      </c>
    </row>
    <row r="84" spans="1:185" x14ac:dyDescent="0.2">
      <c r="A84">
        <v>69</v>
      </c>
      <c r="B84">
        <v>1771104403.0999999</v>
      </c>
      <c r="C84">
        <v>1290</v>
      </c>
      <c r="D84" t="s">
        <v>435</v>
      </c>
      <c r="E84" t="s">
        <v>436</v>
      </c>
      <c r="F84">
        <v>15</v>
      </c>
      <c r="G84">
        <v>1771104395.03333</v>
      </c>
      <c r="H84">
        <f t="shared" si="13"/>
        <v>1.4235128990711251E-3</v>
      </c>
      <c r="I84">
        <v>0</v>
      </c>
      <c r="J84">
        <f t="shared" si="25"/>
        <v>-1.992239326028207E-2</v>
      </c>
      <c r="K84">
        <f t="shared" si="14"/>
        <v>-0.35623737936269068</v>
      </c>
      <c r="L84">
        <f t="shared" si="15"/>
        <v>69.808081213244478</v>
      </c>
      <c r="M84">
        <f t="shared" si="16"/>
        <v>1.539613855459657</v>
      </c>
      <c r="N84">
        <f t="shared" si="17"/>
        <v>2.2054951643156619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26197.255874362058</v>
      </c>
      <c r="T84">
        <f t="shared" si="21"/>
        <v>800.00153333333299</v>
      </c>
      <c r="U84">
        <f t="shared" si="22"/>
        <v>674.40083179911676</v>
      </c>
      <c r="V84">
        <f t="shared" si="23"/>
        <v>0.84299942400000027</v>
      </c>
      <c r="W84">
        <f t="shared" si="24"/>
        <v>0.15869868992000005</v>
      </c>
      <c r="X84">
        <v>1</v>
      </c>
      <c r="Y84">
        <v>1771104395.03333</v>
      </c>
      <c r="Z84">
        <v>50.3537933333333</v>
      </c>
      <c r="AA84">
        <v>49.998100000000001</v>
      </c>
      <c r="AB84">
        <v>15.3966266666667</v>
      </c>
      <c r="AC84">
        <v>13.6446533333333</v>
      </c>
      <c r="AD84">
        <v>50.796433333333297</v>
      </c>
      <c r="AE84">
        <v>15.3373733333333</v>
      </c>
      <c r="AF84">
        <v>800.00966666666704</v>
      </c>
      <c r="AG84">
        <v>99.933373333333293</v>
      </c>
      <c r="AH84">
        <v>6.3456413333333295E-2</v>
      </c>
      <c r="AI84">
        <v>19.002286666666699</v>
      </c>
      <c r="AJ84">
        <v>999.9</v>
      </c>
      <c r="AK84">
        <v>999.9</v>
      </c>
      <c r="AL84">
        <v>0</v>
      </c>
      <c r="AM84">
        <v>0</v>
      </c>
      <c r="AN84">
        <v>4998.8</v>
      </c>
      <c r="AO84">
        <v>0</v>
      </c>
      <c r="AP84">
        <v>1.63733</v>
      </c>
      <c r="AQ84">
        <v>0.35567953333333302</v>
      </c>
      <c r="AR84">
        <v>51.141186666666698</v>
      </c>
      <c r="AS84">
        <v>50.689733333333301</v>
      </c>
      <c r="AT84">
        <v>1.751976</v>
      </c>
      <c r="AU84">
        <v>49.998100000000001</v>
      </c>
      <c r="AV84">
        <v>13.6446533333333</v>
      </c>
      <c r="AW84">
        <v>1.53863666666667</v>
      </c>
      <c r="AX84">
        <v>1.363558</v>
      </c>
      <c r="AY84">
        <v>13.3576333333333</v>
      </c>
      <c r="AZ84">
        <v>11.5183133333333</v>
      </c>
      <c r="BA84">
        <v>800.00153333333299</v>
      </c>
      <c r="BB84">
        <v>0.90001726666666704</v>
      </c>
      <c r="BC84">
        <v>0</v>
      </c>
      <c r="BD84">
        <v>9.9982666666666706E-2</v>
      </c>
      <c r="BE84">
        <v>0</v>
      </c>
      <c r="BF84">
        <v>25</v>
      </c>
      <c r="BG84">
        <v>13191.1266666667</v>
      </c>
      <c r="BH84">
        <v>1771103835.0999999</v>
      </c>
      <c r="BI84" t="s">
        <v>376</v>
      </c>
      <c r="BJ84">
        <v>1771103835.0999999</v>
      </c>
      <c r="BK84">
        <v>1771103812.0999999</v>
      </c>
      <c r="BL84">
        <v>14</v>
      </c>
      <c r="BM84">
        <v>0.26200000000000001</v>
      </c>
      <c r="BN84">
        <v>1.2E-2</v>
      </c>
      <c r="BO84">
        <v>-0.443</v>
      </c>
      <c r="BP84">
        <v>5.8999999999999997E-2</v>
      </c>
      <c r="BQ84">
        <v>150</v>
      </c>
      <c r="BR84">
        <v>13</v>
      </c>
      <c r="BS84">
        <v>0.18</v>
      </c>
      <c r="BT84">
        <v>0.04</v>
      </c>
      <c r="BU84">
        <v>0.35893304761904798</v>
      </c>
      <c r="BV84">
        <v>-7.6312363636363401E-2</v>
      </c>
      <c r="BW84">
        <v>1.64831399357219E-2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1.7536571428571399</v>
      </c>
      <c r="CD84">
        <v>-1.8284415584413901E-2</v>
      </c>
      <c r="CE84">
        <v>6.7419356714996303E-3</v>
      </c>
      <c r="CF84">
        <v>1</v>
      </c>
      <c r="CG84">
        <v>2</v>
      </c>
      <c r="CH84">
        <v>2</v>
      </c>
      <c r="CI84" t="s">
        <v>322</v>
      </c>
      <c r="CJ84">
        <v>3.5325299999999999</v>
      </c>
      <c r="CK84">
        <v>2.7013099999999999</v>
      </c>
      <c r="CL84">
        <v>1.4745299999999999E-2</v>
      </c>
      <c r="CM84">
        <v>1.43491E-2</v>
      </c>
      <c r="CN84">
        <v>8.6990399999999996E-2</v>
      </c>
      <c r="CO84">
        <v>7.8557799999999997E-2</v>
      </c>
      <c r="CP84">
        <v>34516.1</v>
      </c>
      <c r="CQ84">
        <v>30355.200000000001</v>
      </c>
      <c r="CR84">
        <v>32426.2</v>
      </c>
      <c r="CS84">
        <v>30726.9</v>
      </c>
      <c r="CT84">
        <v>40091.800000000003</v>
      </c>
      <c r="CU84">
        <v>39823.699999999997</v>
      </c>
      <c r="CV84">
        <v>47367.5</v>
      </c>
      <c r="CW84">
        <v>46874.9</v>
      </c>
      <c r="CX84">
        <v>2.6142400000000001</v>
      </c>
      <c r="CY84">
        <v>2.11774</v>
      </c>
      <c r="CZ84">
        <v>0</v>
      </c>
      <c r="DA84">
        <v>0</v>
      </c>
      <c r="DB84">
        <v>999.9</v>
      </c>
      <c r="DC84">
        <v>999.9</v>
      </c>
      <c r="DD84">
        <v>45.018999999999998</v>
      </c>
      <c r="DE84">
        <v>28.742000000000001</v>
      </c>
      <c r="DF84">
        <v>17.849900000000002</v>
      </c>
      <c r="DG84">
        <v>30.6082</v>
      </c>
      <c r="DH84">
        <v>17.131399999999999</v>
      </c>
      <c r="DI84">
        <v>2</v>
      </c>
      <c r="DJ84">
        <v>-6.9719500000000004E-2</v>
      </c>
      <c r="DK84">
        <v>2.7609400000000002</v>
      </c>
      <c r="DL84">
        <v>20.186499999999999</v>
      </c>
      <c r="DM84">
        <v>5.2508299999999997</v>
      </c>
      <c r="DN84">
        <v>12.033899999999999</v>
      </c>
      <c r="DO84">
        <v>4.9678399999999998</v>
      </c>
      <c r="DP84">
        <v>3.2909999999999999</v>
      </c>
      <c r="DQ84">
        <v>608</v>
      </c>
      <c r="DR84">
        <v>9999</v>
      </c>
      <c r="DS84">
        <v>9999</v>
      </c>
      <c r="DT84">
        <v>9999</v>
      </c>
      <c r="DU84">
        <v>1.8711800000000001</v>
      </c>
      <c r="DV84">
        <v>1.87618</v>
      </c>
      <c r="DW84">
        <v>1.87636</v>
      </c>
      <c r="DX84">
        <v>1.8828800000000001</v>
      </c>
      <c r="DY84">
        <v>1.87561</v>
      </c>
      <c r="DZ84">
        <v>1.87469</v>
      </c>
      <c r="EA84">
        <v>1.8708800000000001</v>
      </c>
      <c r="EB84">
        <v>1.8746799999999999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-0.443</v>
      </c>
      <c r="EQ84">
        <v>5.9299999999999999E-2</v>
      </c>
      <c r="ER84">
        <v>-0.442636363636353</v>
      </c>
      <c r="ES84">
        <v>0</v>
      </c>
      <c r="ET84">
        <v>0</v>
      </c>
      <c r="EU84">
        <v>0</v>
      </c>
      <c r="EV84">
        <v>5.9279999999997599E-2</v>
      </c>
      <c r="EW84">
        <v>0</v>
      </c>
      <c r="EX84">
        <v>0</v>
      </c>
      <c r="EY84">
        <v>0</v>
      </c>
      <c r="EZ84">
        <v>-1</v>
      </c>
      <c r="FA84">
        <v>-1</v>
      </c>
      <c r="FB84">
        <v>-1</v>
      </c>
      <c r="FC84">
        <v>-1</v>
      </c>
      <c r="FD84">
        <v>9.5</v>
      </c>
      <c r="FE84">
        <v>9.8000000000000007</v>
      </c>
      <c r="FF84">
        <v>0.28930699999999998</v>
      </c>
      <c r="FG84">
        <v>2.6110799999999998</v>
      </c>
      <c r="FH84">
        <v>2.19604</v>
      </c>
      <c r="FI84">
        <v>2.5744600000000002</v>
      </c>
      <c r="FJ84">
        <v>2.4462899999999999</v>
      </c>
      <c r="FK84">
        <v>2.3132299999999999</v>
      </c>
      <c r="FL84">
        <v>33.020600000000002</v>
      </c>
      <c r="FM84">
        <v>24.14</v>
      </c>
      <c r="FN84">
        <v>19</v>
      </c>
      <c r="FO84">
        <v>866.59299999999996</v>
      </c>
      <c r="FP84">
        <v>573.26900000000001</v>
      </c>
      <c r="FQ84">
        <v>17.796199999999999</v>
      </c>
      <c r="FR84">
        <v>26.0854</v>
      </c>
      <c r="FS84">
        <v>30.0002</v>
      </c>
      <c r="FT84">
        <v>26.081800000000001</v>
      </c>
      <c r="FU84">
        <v>26.083300000000001</v>
      </c>
      <c r="FV84">
        <v>5.8370800000000003</v>
      </c>
      <c r="FW84">
        <v>26.888000000000002</v>
      </c>
      <c r="FX84">
        <v>35.808100000000003</v>
      </c>
      <c r="FY84">
        <v>17.7941</v>
      </c>
      <c r="FZ84">
        <v>50</v>
      </c>
      <c r="GA84">
        <v>13.677899999999999</v>
      </c>
      <c r="GB84">
        <v>99.799899999999994</v>
      </c>
      <c r="GC84">
        <v>99.773700000000005</v>
      </c>
    </row>
    <row r="85" spans="1:185" x14ac:dyDescent="0.2">
      <c r="A85">
        <v>70</v>
      </c>
      <c r="B85">
        <v>1771104418.0999999</v>
      </c>
      <c r="C85">
        <v>1305</v>
      </c>
      <c r="D85" t="s">
        <v>437</v>
      </c>
      <c r="E85" t="s">
        <v>438</v>
      </c>
      <c r="F85">
        <v>15</v>
      </c>
      <c r="G85">
        <v>1771104410.03333</v>
      </c>
      <c r="H85">
        <f t="shared" si="13"/>
        <v>1.4414568182927821E-3</v>
      </c>
      <c r="I85">
        <v>0</v>
      </c>
      <c r="J85">
        <f t="shared" si="25"/>
        <v>-2.0003286228549702E-2</v>
      </c>
      <c r="K85">
        <f t="shared" si="14"/>
        <v>-0.3576838470961623</v>
      </c>
      <c r="L85">
        <f t="shared" si="15"/>
        <v>69.842524705165204</v>
      </c>
      <c r="M85">
        <f t="shared" si="16"/>
        <v>1.5403049393527437</v>
      </c>
      <c r="N85">
        <f t="shared" si="17"/>
        <v>2.2053969925271479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26215.714821933725</v>
      </c>
      <c r="T85">
        <f t="shared" si="21"/>
        <v>800</v>
      </c>
      <c r="U85">
        <f t="shared" si="22"/>
        <v>674.39962607999973</v>
      </c>
      <c r="V85">
        <f t="shared" si="23"/>
        <v>0.84299953259999971</v>
      </c>
      <c r="W85">
        <f t="shared" si="24"/>
        <v>0.15869874055599995</v>
      </c>
      <c r="X85">
        <v>1</v>
      </c>
      <c r="Y85">
        <v>1771104410.03333</v>
      </c>
      <c r="Z85">
        <v>50.356906666666703</v>
      </c>
      <c r="AA85">
        <v>50.000540000000001</v>
      </c>
      <c r="AB85">
        <v>15.4035266666667</v>
      </c>
      <c r="AC85">
        <v>13.629479999999999</v>
      </c>
      <c r="AD85">
        <v>50.799533333333301</v>
      </c>
      <c r="AE85">
        <v>15.340526666666699</v>
      </c>
      <c r="AF85">
        <v>800.00900000000001</v>
      </c>
      <c r="AG85">
        <v>99.933433333333298</v>
      </c>
      <c r="AH85">
        <v>6.3468200000000002E-2</v>
      </c>
      <c r="AI85">
        <v>19.001573333333301</v>
      </c>
      <c r="AJ85">
        <v>999.9</v>
      </c>
      <c r="AK85">
        <v>999.9</v>
      </c>
      <c r="AL85">
        <v>0</v>
      </c>
      <c r="AM85">
        <v>0</v>
      </c>
      <c r="AN85">
        <v>5001.8333333333303</v>
      </c>
      <c r="AO85">
        <v>0</v>
      </c>
      <c r="AP85">
        <v>1.63733</v>
      </c>
      <c r="AQ85">
        <v>0.35636246666666699</v>
      </c>
      <c r="AR85">
        <v>51.1445133333333</v>
      </c>
      <c r="AS85">
        <v>50.69144</v>
      </c>
      <c r="AT85">
        <v>1.7703233333333299</v>
      </c>
      <c r="AU85">
        <v>50.000540000000001</v>
      </c>
      <c r="AV85">
        <v>13.629479999999999</v>
      </c>
      <c r="AW85">
        <v>1.5389553333333299</v>
      </c>
      <c r="AX85">
        <v>1.36204066666667</v>
      </c>
      <c r="AY85">
        <v>13.36078</v>
      </c>
      <c r="AZ85">
        <v>11.501473333333299</v>
      </c>
      <c r="BA85">
        <v>800</v>
      </c>
      <c r="BB85">
        <v>0.90001693333333299</v>
      </c>
      <c r="BC85">
        <v>0</v>
      </c>
      <c r="BD85">
        <v>9.9983113333333304E-2</v>
      </c>
      <c r="BE85">
        <v>0</v>
      </c>
      <c r="BF85">
        <v>25</v>
      </c>
      <c r="BG85">
        <v>13191.086666666701</v>
      </c>
      <c r="BH85">
        <v>1771104442.0999999</v>
      </c>
      <c r="BI85" t="s">
        <v>439</v>
      </c>
      <c r="BJ85">
        <v>1771103835.0999999</v>
      </c>
      <c r="BK85">
        <v>1771104442.0999999</v>
      </c>
      <c r="BL85">
        <v>15</v>
      </c>
      <c r="BM85">
        <v>0.26200000000000001</v>
      </c>
      <c r="BN85">
        <v>3.0000000000000001E-3</v>
      </c>
      <c r="BO85">
        <v>-0.443</v>
      </c>
      <c r="BP85">
        <v>6.3E-2</v>
      </c>
      <c r="BQ85">
        <v>150</v>
      </c>
      <c r="BR85">
        <v>14</v>
      </c>
      <c r="BS85">
        <v>0.18</v>
      </c>
      <c r="BT85">
        <v>0.04</v>
      </c>
      <c r="BU85">
        <v>0.35322609999999999</v>
      </c>
      <c r="BV85">
        <v>1.9340751879698598E-2</v>
      </c>
      <c r="BW85">
        <v>1.4533996786500299E-2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1.7662279999999999</v>
      </c>
      <c r="CD85">
        <v>0.15500481203007399</v>
      </c>
      <c r="CE85">
        <v>1.8561624013000599E-2</v>
      </c>
      <c r="CF85">
        <v>0</v>
      </c>
      <c r="CG85">
        <v>1</v>
      </c>
      <c r="CH85">
        <v>2</v>
      </c>
      <c r="CI85" t="s">
        <v>299</v>
      </c>
      <c r="CJ85">
        <v>3.5325199999999999</v>
      </c>
      <c r="CK85">
        <v>2.7012299999999998</v>
      </c>
      <c r="CL85">
        <v>1.47347E-2</v>
      </c>
      <c r="CM85">
        <v>1.43448E-2</v>
      </c>
      <c r="CN85">
        <v>8.6965600000000004E-2</v>
      </c>
      <c r="CO85">
        <v>7.8330800000000006E-2</v>
      </c>
      <c r="CP85">
        <v>34516.800000000003</v>
      </c>
      <c r="CQ85">
        <v>30355.1</v>
      </c>
      <c r="CR85">
        <v>32426.400000000001</v>
      </c>
      <c r="CS85">
        <v>30726.6</v>
      </c>
      <c r="CT85">
        <v>40093.300000000003</v>
      </c>
      <c r="CU85">
        <v>39833.5</v>
      </c>
      <c r="CV85">
        <v>47367.8</v>
      </c>
      <c r="CW85">
        <v>46874.7</v>
      </c>
      <c r="CX85">
        <v>2.6141999999999999</v>
      </c>
      <c r="CY85">
        <v>2.1179999999999999</v>
      </c>
      <c r="CZ85">
        <v>0</v>
      </c>
      <c r="DA85">
        <v>0</v>
      </c>
      <c r="DB85">
        <v>999.9</v>
      </c>
      <c r="DC85">
        <v>999.9</v>
      </c>
      <c r="DD85">
        <v>44.920999999999999</v>
      </c>
      <c r="DE85">
        <v>28.751999999999999</v>
      </c>
      <c r="DF85">
        <v>17.82</v>
      </c>
      <c r="DG85">
        <v>30.278199999999998</v>
      </c>
      <c r="DH85">
        <v>17.1114</v>
      </c>
      <c r="DI85">
        <v>2</v>
      </c>
      <c r="DJ85">
        <v>-6.9670700000000002E-2</v>
      </c>
      <c r="DK85">
        <v>2.76329</v>
      </c>
      <c r="DL85">
        <v>20.186599999999999</v>
      </c>
      <c r="DM85">
        <v>5.2501199999999999</v>
      </c>
      <c r="DN85">
        <v>12.033899999999999</v>
      </c>
      <c r="DO85">
        <v>4.9676400000000003</v>
      </c>
      <c r="DP85">
        <v>3.2909999999999999</v>
      </c>
      <c r="DQ85">
        <v>608</v>
      </c>
      <c r="DR85">
        <v>9999</v>
      </c>
      <c r="DS85">
        <v>9999</v>
      </c>
      <c r="DT85">
        <v>9999</v>
      </c>
      <c r="DU85">
        <v>1.8711899999999999</v>
      </c>
      <c r="DV85">
        <v>1.8762099999999999</v>
      </c>
      <c r="DW85">
        <v>1.87636</v>
      </c>
      <c r="DX85">
        <v>1.8828800000000001</v>
      </c>
      <c r="DY85">
        <v>1.87561</v>
      </c>
      <c r="DZ85">
        <v>1.87469</v>
      </c>
      <c r="EA85">
        <v>1.8708800000000001</v>
      </c>
      <c r="EB85">
        <v>1.87469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-0.443</v>
      </c>
      <c r="EQ85">
        <v>6.3E-2</v>
      </c>
      <c r="ER85">
        <v>-0.442636363636353</v>
      </c>
      <c r="ES85">
        <v>0</v>
      </c>
      <c r="ET85">
        <v>0</v>
      </c>
      <c r="EU85">
        <v>0</v>
      </c>
      <c r="EV85">
        <v>5.9279999999997599E-2</v>
      </c>
      <c r="EW85">
        <v>0</v>
      </c>
      <c r="EX85">
        <v>0</v>
      </c>
      <c r="EY85">
        <v>0</v>
      </c>
      <c r="EZ85">
        <v>-1</v>
      </c>
      <c r="FA85">
        <v>-1</v>
      </c>
      <c r="FB85">
        <v>-1</v>
      </c>
      <c r="FC85">
        <v>-1</v>
      </c>
      <c r="FD85">
        <v>9.6999999999999993</v>
      </c>
      <c r="FE85">
        <v>10.1</v>
      </c>
      <c r="FF85">
        <v>0.28930699999999998</v>
      </c>
      <c r="FG85">
        <v>2.6184099999999999</v>
      </c>
      <c r="FH85">
        <v>2.19604</v>
      </c>
      <c r="FI85">
        <v>2.5744600000000002</v>
      </c>
      <c r="FJ85">
        <v>2.4462899999999999</v>
      </c>
      <c r="FK85">
        <v>2.2900399999999999</v>
      </c>
      <c r="FL85">
        <v>33.020600000000002</v>
      </c>
      <c r="FM85">
        <v>24.14</v>
      </c>
      <c r="FN85">
        <v>19</v>
      </c>
      <c r="FO85">
        <v>866.55499999999995</v>
      </c>
      <c r="FP85">
        <v>573.49300000000005</v>
      </c>
      <c r="FQ85">
        <v>17.790400000000002</v>
      </c>
      <c r="FR85">
        <v>26.087599999999998</v>
      </c>
      <c r="FS85">
        <v>30.0001</v>
      </c>
      <c r="FT85">
        <v>26.081800000000001</v>
      </c>
      <c r="FU85">
        <v>26.085599999999999</v>
      </c>
      <c r="FV85">
        <v>5.83772</v>
      </c>
      <c r="FW85">
        <v>26.6143</v>
      </c>
      <c r="FX85">
        <v>35.436700000000002</v>
      </c>
      <c r="FY85">
        <v>17.7895</v>
      </c>
      <c r="FZ85">
        <v>50</v>
      </c>
      <c r="GA85">
        <v>13.677899999999999</v>
      </c>
      <c r="GB85">
        <v>99.800700000000006</v>
      </c>
      <c r="GC85">
        <v>99.773099999999999</v>
      </c>
    </row>
    <row r="86" spans="1:185" x14ac:dyDescent="0.2">
      <c r="A86">
        <v>71</v>
      </c>
      <c r="B86">
        <v>1771104444.0999999</v>
      </c>
      <c r="C86">
        <v>1331</v>
      </c>
      <c r="D86" t="s">
        <v>440</v>
      </c>
      <c r="E86" t="s">
        <v>441</v>
      </c>
      <c r="F86">
        <v>15</v>
      </c>
      <c r="G86">
        <v>1771104443.0999999</v>
      </c>
      <c r="H86">
        <f t="shared" si="13"/>
        <v>-7.2998455113196368E-7</v>
      </c>
      <c r="I86">
        <v>0</v>
      </c>
      <c r="J86">
        <f t="shared" si="25"/>
        <v>1.0445030869075877E-3</v>
      </c>
      <c r="K86">
        <f t="shared" si="14"/>
        <v>1.8677025272762413E-2</v>
      </c>
      <c r="L86">
        <f t="shared" si="15"/>
        <v>61.901763329014933</v>
      </c>
      <c r="M86">
        <f t="shared" si="16"/>
        <v>1.3650541185385801</v>
      </c>
      <c r="N86">
        <f t="shared" si="17"/>
        <v>2.2051942386247734</v>
      </c>
      <c r="O86">
        <v>471</v>
      </c>
      <c r="P86">
        <v>59</v>
      </c>
      <c r="Q86">
        <f t="shared" si="18"/>
        <v>1</v>
      </c>
      <c r="R86">
        <f t="shared" si="19"/>
        <v>0</v>
      </c>
      <c r="S86">
        <f t="shared" si="20"/>
        <v>26228.75538376288</v>
      </c>
      <c r="T86">
        <f t="shared" si="21"/>
        <v>800.00199999999995</v>
      </c>
      <c r="U86">
        <f t="shared" si="22"/>
        <v>674.40145079941203</v>
      </c>
      <c r="V86">
        <f t="shared" si="23"/>
        <v>0.84299970600000007</v>
      </c>
      <c r="W86">
        <f t="shared" si="24"/>
        <v>0.15869965476</v>
      </c>
      <c r="X86">
        <v>1</v>
      </c>
      <c r="Y86">
        <v>1771104443.0999999</v>
      </c>
      <c r="Z86">
        <v>49.986499999999999</v>
      </c>
      <c r="AA86">
        <v>50.009799999999998</v>
      </c>
      <c r="AB86">
        <v>13.6494</v>
      </c>
      <c r="AC86">
        <v>13.6503</v>
      </c>
      <c r="AD86">
        <v>50.313499999999998</v>
      </c>
      <c r="AE86">
        <v>13.5868</v>
      </c>
      <c r="AF86">
        <v>800.02300000000002</v>
      </c>
      <c r="AG86">
        <v>99.932599999999994</v>
      </c>
      <c r="AH86">
        <v>7.57607E-2</v>
      </c>
      <c r="AI86">
        <v>19.0001</v>
      </c>
      <c r="AJ86">
        <v>999.9</v>
      </c>
      <c r="AK86">
        <v>999.9</v>
      </c>
      <c r="AL86">
        <v>0</v>
      </c>
      <c r="AM86">
        <v>0</v>
      </c>
      <c r="AN86">
        <v>5004</v>
      </c>
      <c r="AO86">
        <v>0</v>
      </c>
      <c r="AP86">
        <v>1.63733</v>
      </c>
      <c r="AQ86">
        <v>-0.13896900000000001</v>
      </c>
      <c r="AR86">
        <v>50.561</v>
      </c>
      <c r="AS86">
        <v>50.701900000000002</v>
      </c>
      <c r="AT86">
        <v>-8.7070500000000005E-4</v>
      </c>
      <c r="AU86">
        <v>50.009799999999998</v>
      </c>
      <c r="AV86">
        <v>13.6503</v>
      </c>
      <c r="AW86">
        <v>1.36402</v>
      </c>
      <c r="AX86">
        <v>1.3641099999999999</v>
      </c>
      <c r="AY86">
        <v>11.5235</v>
      </c>
      <c r="AZ86">
        <v>11.5244</v>
      </c>
      <c r="BA86">
        <v>800.00199999999995</v>
      </c>
      <c r="BB86">
        <v>0.90000400000000003</v>
      </c>
      <c r="BC86">
        <v>0</v>
      </c>
      <c r="BD86">
        <v>9.9995799999999996E-2</v>
      </c>
      <c r="BE86">
        <v>0</v>
      </c>
      <c r="BF86">
        <v>25</v>
      </c>
      <c r="BG86">
        <v>13191.1</v>
      </c>
      <c r="BH86">
        <v>1771104462.0999999</v>
      </c>
      <c r="BI86" t="s">
        <v>442</v>
      </c>
      <c r="BJ86">
        <v>1771104462.0999999</v>
      </c>
      <c r="BK86">
        <v>1771104442.0999999</v>
      </c>
      <c r="BL86">
        <v>16</v>
      </c>
      <c r="BM86">
        <v>0.11600000000000001</v>
      </c>
      <c r="BN86">
        <v>3.0000000000000001E-3</v>
      </c>
      <c r="BO86">
        <v>-0.32700000000000001</v>
      </c>
      <c r="BP86">
        <v>6.3E-2</v>
      </c>
      <c r="BQ86">
        <v>50</v>
      </c>
      <c r="BR86">
        <v>14</v>
      </c>
      <c r="BS86">
        <v>0.14000000000000001</v>
      </c>
      <c r="BT86">
        <v>0.04</v>
      </c>
      <c r="BU86">
        <v>-0.109415225</v>
      </c>
      <c r="BV86">
        <v>-7.02428165413536E-2</v>
      </c>
      <c r="BW86">
        <v>2.4519732000286499E-2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2.0978266605E-2</v>
      </c>
      <c r="CD86">
        <v>-0.39416054231729403</v>
      </c>
      <c r="CE86">
        <v>8.0021553558956196E-2</v>
      </c>
      <c r="CF86">
        <v>0</v>
      </c>
      <c r="CG86">
        <v>1</v>
      </c>
      <c r="CH86">
        <v>2</v>
      </c>
      <c r="CI86" t="s">
        <v>299</v>
      </c>
      <c r="CJ86">
        <v>3.5341200000000002</v>
      </c>
      <c r="CK86">
        <v>2.7120099999999998</v>
      </c>
      <c r="CL86">
        <v>1.46073E-2</v>
      </c>
      <c r="CM86">
        <v>1.43515E-2</v>
      </c>
      <c r="CN86">
        <v>7.9770400000000005E-2</v>
      </c>
      <c r="CO86">
        <v>7.8579599999999999E-2</v>
      </c>
      <c r="CP86">
        <v>34521.5</v>
      </c>
      <c r="CQ86">
        <v>30355.5</v>
      </c>
      <c r="CR86">
        <v>32426.799999999999</v>
      </c>
      <c r="CS86">
        <v>30727.200000000001</v>
      </c>
      <c r="CT86">
        <v>40418.6</v>
      </c>
      <c r="CU86">
        <v>39823.300000000003</v>
      </c>
      <c r="CV86">
        <v>47368.5</v>
      </c>
      <c r="CW86">
        <v>46875.6</v>
      </c>
      <c r="CX86">
        <v>1.69598</v>
      </c>
      <c r="CY86">
        <v>1.6116600000000001</v>
      </c>
      <c r="CZ86">
        <v>0</v>
      </c>
      <c r="DA86">
        <v>0</v>
      </c>
      <c r="DB86">
        <v>999.9</v>
      </c>
      <c r="DC86">
        <v>999.9</v>
      </c>
      <c r="DD86">
        <v>44.853999999999999</v>
      </c>
      <c r="DE86">
        <v>28.751999999999999</v>
      </c>
      <c r="DF86">
        <v>17.793299999999999</v>
      </c>
      <c r="DG86">
        <v>30.508199999999999</v>
      </c>
      <c r="DH86">
        <v>17.419899999999998</v>
      </c>
      <c r="DI86">
        <v>2</v>
      </c>
      <c r="DJ86">
        <v>-6.9617899999999996E-2</v>
      </c>
      <c r="DK86">
        <v>2.7159300000000002</v>
      </c>
      <c r="DL86">
        <v>20.1861</v>
      </c>
      <c r="DM86">
        <v>5.2454400000000003</v>
      </c>
      <c r="DN86">
        <v>12.033899999999999</v>
      </c>
      <c r="DO86">
        <v>4.9661200000000001</v>
      </c>
      <c r="DP86">
        <v>3.2901199999999999</v>
      </c>
      <c r="DQ86">
        <v>608</v>
      </c>
      <c r="DR86">
        <v>9999</v>
      </c>
      <c r="DS86">
        <v>9999</v>
      </c>
      <c r="DT86">
        <v>9999</v>
      </c>
      <c r="DU86">
        <v>1.8711800000000001</v>
      </c>
      <c r="DV86">
        <v>1.8762000000000001</v>
      </c>
      <c r="DW86">
        <v>1.8763700000000001</v>
      </c>
      <c r="DX86">
        <v>1.88287</v>
      </c>
      <c r="DY86">
        <v>1.8756299999999999</v>
      </c>
      <c r="DZ86">
        <v>1.87469</v>
      </c>
      <c r="EA86">
        <v>1.8708800000000001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-0.32700000000000001</v>
      </c>
      <c r="EQ86">
        <v>6.2600000000000003E-2</v>
      </c>
      <c r="ER86">
        <v>-0.442636363636353</v>
      </c>
      <c r="ES86">
        <v>0</v>
      </c>
      <c r="ET86">
        <v>0</v>
      </c>
      <c r="EU86">
        <v>0</v>
      </c>
      <c r="EV86">
        <v>6.2590000000000104E-2</v>
      </c>
      <c r="EW86">
        <v>0</v>
      </c>
      <c r="EX86">
        <v>0</v>
      </c>
      <c r="EY86">
        <v>0</v>
      </c>
      <c r="EZ86">
        <v>-1</v>
      </c>
      <c r="FA86">
        <v>-1</v>
      </c>
      <c r="FB86">
        <v>-1</v>
      </c>
      <c r="FC86">
        <v>-1</v>
      </c>
      <c r="FD86">
        <v>10.199999999999999</v>
      </c>
      <c r="FE86">
        <v>0</v>
      </c>
      <c r="FF86">
        <v>0.28930699999999998</v>
      </c>
      <c r="FG86">
        <v>2.6110799999999998</v>
      </c>
      <c r="FH86">
        <v>2.19604</v>
      </c>
      <c r="FI86">
        <v>2.5744600000000002</v>
      </c>
      <c r="FJ86">
        <v>2.4462899999999999</v>
      </c>
      <c r="FK86">
        <v>2.3034699999999999</v>
      </c>
      <c r="FL86">
        <v>33.020600000000002</v>
      </c>
      <c r="FM86">
        <v>24.105</v>
      </c>
      <c r="FN86">
        <v>19</v>
      </c>
      <c r="FO86">
        <v>308.59199999999998</v>
      </c>
      <c r="FP86">
        <v>285.73500000000001</v>
      </c>
      <c r="FQ86">
        <v>17.799299999999999</v>
      </c>
      <c r="FR86">
        <v>26.0899</v>
      </c>
      <c r="FS86">
        <v>30</v>
      </c>
      <c r="FT86">
        <v>26.101600000000001</v>
      </c>
      <c r="FU86">
        <v>26.100899999999999</v>
      </c>
      <c r="FV86">
        <v>5.8376700000000001</v>
      </c>
      <c r="FW86">
        <v>23.098600000000001</v>
      </c>
      <c r="FX86">
        <v>35.436700000000002</v>
      </c>
      <c r="FY86">
        <v>17.802</v>
      </c>
      <c r="FZ86">
        <v>50</v>
      </c>
      <c r="GA86">
        <v>14.5116</v>
      </c>
      <c r="GB86">
        <v>99.802000000000007</v>
      </c>
      <c r="GC86">
        <v>99.775000000000006</v>
      </c>
    </row>
    <row r="87" spans="1:185" x14ac:dyDescent="0.2">
      <c r="A87">
        <v>72</v>
      </c>
      <c r="B87">
        <v>1771104464.0999999</v>
      </c>
      <c r="C87">
        <v>1351</v>
      </c>
      <c r="D87" t="s">
        <v>443</v>
      </c>
      <c r="E87" t="s">
        <v>444</v>
      </c>
      <c r="F87">
        <v>15</v>
      </c>
      <c r="G87">
        <v>1771104463.0999999</v>
      </c>
      <c r="H87">
        <f t="shared" si="13"/>
        <v>-1.412068526878665E-5</v>
      </c>
      <c r="I87">
        <v>0</v>
      </c>
      <c r="J87">
        <f t="shared" si="25"/>
        <v>-7.2114779814990001E-4</v>
      </c>
      <c r="K87">
        <f t="shared" si="14"/>
        <v>-1.2895027138042636E-2</v>
      </c>
      <c r="L87">
        <f t="shared" si="15"/>
        <v>64.359058912844574</v>
      </c>
      <c r="M87">
        <f t="shared" si="16"/>
        <v>1.4192688287908799</v>
      </c>
      <c r="N87">
        <f t="shared" si="17"/>
        <v>2.2052355220309581</v>
      </c>
      <c r="O87">
        <v>498</v>
      </c>
      <c r="P87">
        <v>62</v>
      </c>
      <c r="Q87">
        <f t="shared" si="18"/>
        <v>1</v>
      </c>
      <c r="R87">
        <f t="shared" si="19"/>
        <v>0</v>
      </c>
      <c r="S87">
        <f t="shared" si="20"/>
        <v>26235.311745712846</v>
      </c>
      <c r="T87">
        <f t="shared" si="21"/>
        <v>800.00099999999998</v>
      </c>
      <c r="U87">
        <f t="shared" si="22"/>
        <v>674.40086220002399</v>
      </c>
      <c r="V87">
        <f t="shared" si="23"/>
        <v>0.84300002399999996</v>
      </c>
      <c r="W87">
        <f t="shared" si="24"/>
        <v>0.15869967024000001</v>
      </c>
      <c r="X87">
        <v>1</v>
      </c>
      <c r="Y87">
        <v>1771104463.0999999</v>
      </c>
      <c r="Z87">
        <v>49.945300000000003</v>
      </c>
      <c r="AA87">
        <v>49.9283</v>
      </c>
      <c r="AB87">
        <v>14.1912</v>
      </c>
      <c r="AC87">
        <v>14.208600000000001</v>
      </c>
      <c r="AD87">
        <v>50.271799999999999</v>
      </c>
      <c r="AE87">
        <v>14.1286</v>
      </c>
      <c r="AF87">
        <v>800.01700000000005</v>
      </c>
      <c r="AG87">
        <v>99.934600000000003</v>
      </c>
      <c r="AH87">
        <v>7.5887399999999994E-2</v>
      </c>
      <c r="AI87">
        <v>19.000399999999999</v>
      </c>
      <c r="AJ87">
        <v>999.9</v>
      </c>
      <c r="AK87">
        <v>999.9</v>
      </c>
      <c r="AL87">
        <v>0</v>
      </c>
      <c r="AM87">
        <v>0</v>
      </c>
      <c r="AN87">
        <v>5005</v>
      </c>
      <c r="AO87">
        <v>0</v>
      </c>
      <c r="AP87">
        <v>1.63733</v>
      </c>
      <c r="AQ87">
        <v>1.6998300000000001E-2</v>
      </c>
      <c r="AR87">
        <v>50.664200000000001</v>
      </c>
      <c r="AS87">
        <v>50.6479</v>
      </c>
      <c r="AT87">
        <v>-1.7374000000000001E-2</v>
      </c>
      <c r="AU87">
        <v>49.9283</v>
      </c>
      <c r="AV87">
        <v>14.208600000000001</v>
      </c>
      <c r="AW87">
        <v>1.4181900000000001</v>
      </c>
      <c r="AX87">
        <v>1.4199299999999999</v>
      </c>
      <c r="AY87">
        <v>12.1136</v>
      </c>
      <c r="AZ87">
        <v>12.132199999999999</v>
      </c>
      <c r="BA87">
        <v>800.00099999999998</v>
      </c>
      <c r="BB87">
        <v>0.90000500000000005</v>
      </c>
      <c r="BC87">
        <v>0</v>
      </c>
      <c r="BD87">
        <v>9.9995200000000006E-2</v>
      </c>
      <c r="BE87">
        <v>0</v>
      </c>
      <c r="BF87">
        <v>25</v>
      </c>
      <c r="BG87">
        <v>13191.1</v>
      </c>
      <c r="BH87">
        <v>1771104462.0999999</v>
      </c>
      <c r="BI87" t="s">
        <v>442</v>
      </c>
      <c r="BJ87">
        <v>1771104462.0999999</v>
      </c>
      <c r="BK87">
        <v>1771104442.0999999</v>
      </c>
      <c r="BL87">
        <v>16</v>
      </c>
      <c r="BM87">
        <v>0.11600000000000001</v>
      </c>
      <c r="BN87">
        <v>3.0000000000000001E-3</v>
      </c>
      <c r="BO87">
        <v>-0.32700000000000001</v>
      </c>
      <c r="BP87">
        <v>6.3E-2</v>
      </c>
      <c r="BQ87">
        <v>50</v>
      </c>
      <c r="BR87">
        <v>14</v>
      </c>
      <c r="BS87">
        <v>0.14000000000000001</v>
      </c>
      <c r="BT87">
        <v>0.04</v>
      </c>
      <c r="BU87">
        <v>-5.3972565E-2</v>
      </c>
      <c r="BV87">
        <v>-0.49138652481202999</v>
      </c>
      <c r="BW87">
        <v>8.6563084570879703E-2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0.15723965000000001</v>
      </c>
      <c r="CD87">
        <v>-1.97273219548872</v>
      </c>
      <c r="CE87">
        <v>0.26561405568906798</v>
      </c>
      <c r="CF87">
        <v>0</v>
      </c>
      <c r="CG87">
        <v>1</v>
      </c>
      <c r="CH87">
        <v>2</v>
      </c>
      <c r="CI87" t="s">
        <v>299</v>
      </c>
      <c r="CJ87">
        <v>3.5334400000000001</v>
      </c>
      <c r="CK87">
        <v>2.7128399999999999</v>
      </c>
      <c r="CL87">
        <v>1.4587900000000001E-2</v>
      </c>
      <c r="CM87">
        <v>1.4325900000000001E-2</v>
      </c>
      <c r="CN87">
        <v>8.1833500000000003E-2</v>
      </c>
      <c r="CO87">
        <v>8.0955399999999997E-2</v>
      </c>
      <c r="CP87">
        <v>34522.1</v>
      </c>
      <c r="CQ87">
        <v>30355.200000000001</v>
      </c>
      <c r="CR87">
        <v>32426.7</v>
      </c>
      <c r="CS87">
        <v>30726.1</v>
      </c>
      <c r="CT87">
        <v>40325.5</v>
      </c>
      <c r="CU87">
        <v>39716.9</v>
      </c>
      <c r="CV87">
        <v>47368.4</v>
      </c>
      <c r="CW87">
        <v>46874.3</v>
      </c>
      <c r="CX87">
        <v>1.6521600000000001</v>
      </c>
      <c r="CY87">
        <v>1.5778399999999999</v>
      </c>
      <c r="CZ87">
        <v>0</v>
      </c>
      <c r="DA87">
        <v>0</v>
      </c>
      <c r="DB87">
        <v>999.9</v>
      </c>
      <c r="DC87">
        <v>999.9</v>
      </c>
      <c r="DD87">
        <v>44.805</v>
      </c>
      <c r="DE87">
        <v>28.751999999999999</v>
      </c>
      <c r="DF87">
        <v>17.773299999999999</v>
      </c>
      <c r="DG87">
        <v>30.4682</v>
      </c>
      <c r="DH87">
        <v>17.507999999999999</v>
      </c>
      <c r="DI87">
        <v>2</v>
      </c>
      <c r="DJ87">
        <v>-6.9231699999999993E-2</v>
      </c>
      <c r="DK87">
        <v>2.7481900000000001</v>
      </c>
      <c r="DL87">
        <v>20.185400000000001</v>
      </c>
      <c r="DM87">
        <v>5.2450799999999997</v>
      </c>
      <c r="DN87">
        <v>12.033899999999999</v>
      </c>
      <c r="DO87">
        <v>4.9663199999999996</v>
      </c>
      <c r="DP87">
        <v>3.2900999999999998</v>
      </c>
      <c r="DQ87">
        <v>608</v>
      </c>
      <c r="DR87">
        <v>9999</v>
      </c>
      <c r="DS87">
        <v>9999</v>
      </c>
      <c r="DT87">
        <v>9999</v>
      </c>
      <c r="DU87">
        <v>1.8711899999999999</v>
      </c>
      <c r="DV87">
        <v>1.87619</v>
      </c>
      <c r="DW87">
        <v>1.8763700000000001</v>
      </c>
      <c r="DX87">
        <v>1.8828499999999999</v>
      </c>
      <c r="DY87">
        <v>1.87561</v>
      </c>
      <c r="DZ87">
        <v>1.87469</v>
      </c>
      <c r="EA87">
        <v>1.87086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-0.32700000000000001</v>
      </c>
      <c r="EQ87">
        <v>6.2600000000000003E-2</v>
      </c>
      <c r="ER87">
        <v>-0.32652000000000198</v>
      </c>
      <c r="ES87">
        <v>0</v>
      </c>
      <c r="ET87">
        <v>0</v>
      </c>
      <c r="EU87">
        <v>0</v>
      </c>
      <c r="EV87">
        <v>6.2590000000000104E-2</v>
      </c>
      <c r="EW87">
        <v>0</v>
      </c>
      <c r="EX87">
        <v>0</v>
      </c>
      <c r="EY87">
        <v>0</v>
      </c>
      <c r="EZ87">
        <v>-1</v>
      </c>
      <c r="FA87">
        <v>-1</v>
      </c>
      <c r="FB87">
        <v>-1</v>
      </c>
      <c r="FC87">
        <v>-1</v>
      </c>
      <c r="FD87">
        <v>0</v>
      </c>
      <c r="FE87">
        <v>0.4</v>
      </c>
      <c r="FF87">
        <v>0.28930699999999998</v>
      </c>
      <c r="FG87">
        <v>2.6159699999999999</v>
      </c>
      <c r="FH87">
        <v>2.19604</v>
      </c>
      <c r="FI87">
        <v>2.5744600000000002</v>
      </c>
      <c r="FJ87">
        <v>2.4462899999999999</v>
      </c>
      <c r="FK87">
        <v>2.323</v>
      </c>
      <c r="FL87">
        <v>33.020600000000002</v>
      </c>
      <c r="FM87">
        <v>24.105</v>
      </c>
      <c r="FN87">
        <v>19</v>
      </c>
      <c r="FO87">
        <v>282.06200000000001</v>
      </c>
      <c r="FP87">
        <v>267.66000000000003</v>
      </c>
      <c r="FQ87">
        <v>17.8018</v>
      </c>
      <c r="FR87">
        <v>26.093399999999999</v>
      </c>
      <c r="FS87">
        <v>30.0002</v>
      </c>
      <c r="FT87">
        <v>26.106000000000002</v>
      </c>
      <c r="FU87">
        <v>26.1053</v>
      </c>
      <c r="FV87">
        <v>5.8391299999999999</v>
      </c>
      <c r="FW87">
        <v>23.755099999999999</v>
      </c>
      <c r="FX87">
        <v>35.436700000000002</v>
      </c>
      <c r="FY87">
        <v>17.8</v>
      </c>
      <c r="FZ87">
        <v>50</v>
      </c>
      <c r="GA87">
        <v>14.603400000000001</v>
      </c>
      <c r="GB87">
        <v>99.801900000000003</v>
      </c>
      <c r="GC87">
        <v>99.772000000000006</v>
      </c>
    </row>
    <row r="88" spans="1:185" x14ac:dyDescent="0.2">
      <c r="A88">
        <v>73</v>
      </c>
      <c r="B88">
        <v>1771104479.0999999</v>
      </c>
      <c r="C88">
        <v>1366</v>
      </c>
      <c r="D88" t="s">
        <v>445</v>
      </c>
      <c r="E88" t="s">
        <v>446</v>
      </c>
      <c r="F88">
        <v>15</v>
      </c>
      <c r="G88">
        <v>1771104471.03333</v>
      </c>
      <c r="H88">
        <f t="shared" si="13"/>
        <v>1.1575955877350457E-3</v>
      </c>
      <c r="I88">
        <v>0</v>
      </c>
      <c r="J88">
        <f t="shared" si="25"/>
        <v>-1.7172027979893752E-2</v>
      </c>
      <c r="K88">
        <f t="shared" si="14"/>
        <v>-0.30705739847510355</v>
      </c>
      <c r="L88">
        <f t="shared" si="15"/>
        <v>69.535447806135949</v>
      </c>
      <c r="M88">
        <f t="shared" si="16"/>
        <v>1.5333457592406683</v>
      </c>
      <c r="N88">
        <f t="shared" si="17"/>
        <v>2.2051281865842287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26193.955224683064</v>
      </c>
      <c r="T88">
        <f t="shared" si="21"/>
        <v>799.99486666666701</v>
      </c>
      <c r="U88">
        <f t="shared" si="22"/>
        <v>674.39530428236367</v>
      </c>
      <c r="V88">
        <f t="shared" si="23"/>
        <v>0.84299953959999996</v>
      </c>
      <c r="W88">
        <f t="shared" si="24"/>
        <v>0.15869895293600003</v>
      </c>
      <c r="X88">
        <v>1</v>
      </c>
      <c r="Y88">
        <v>1771104471.03333</v>
      </c>
      <c r="Z88">
        <v>50.322053333333301</v>
      </c>
      <c r="AA88">
        <v>50.011213333333302</v>
      </c>
      <c r="AB88">
        <v>15.33334</v>
      </c>
      <c r="AC88">
        <v>13.9092933333333</v>
      </c>
      <c r="AD88">
        <v>50.648560000000003</v>
      </c>
      <c r="AE88">
        <v>15.2707533333333</v>
      </c>
      <c r="AF88">
        <v>800.42726666666704</v>
      </c>
      <c r="AG88">
        <v>99.935280000000006</v>
      </c>
      <c r="AH88">
        <v>6.5486906666666705E-2</v>
      </c>
      <c r="AI88">
        <v>18.99962</v>
      </c>
      <c r="AJ88">
        <v>999.9</v>
      </c>
      <c r="AK88">
        <v>999.9</v>
      </c>
      <c r="AL88">
        <v>0</v>
      </c>
      <c r="AM88">
        <v>0</v>
      </c>
      <c r="AN88">
        <v>4998.1333333333296</v>
      </c>
      <c r="AO88">
        <v>0</v>
      </c>
      <c r="AP88">
        <v>1.63733</v>
      </c>
      <c r="AQ88">
        <v>0.31084315333333301</v>
      </c>
      <c r="AR88">
        <v>51.105739999999997</v>
      </c>
      <c r="AS88">
        <v>50.716619999999999</v>
      </c>
      <c r="AT88">
        <v>1.4240526</v>
      </c>
      <c r="AU88">
        <v>50.011213333333302</v>
      </c>
      <c r="AV88">
        <v>13.9092933333333</v>
      </c>
      <c r="AW88">
        <v>1.53234133333333</v>
      </c>
      <c r="AX88">
        <v>1.3900286666666699</v>
      </c>
      <c r="AY88">
        <v>13.2886066666667</v>
      </c>
      <c r="AZ88">
        <v>11.8079866666667</v>
      </c>
      <c r="BA88">
        <v>799.99486666666701</v>
      </c>
      <c r="BB88">
        <v>0.90001379999999997</v>
      </c>
      <c r="BC88">
        <v>0</v>
      </c>
      <c r="BD88">
        <v>9.9986146666666706E-2</v>
      </c>
      <c r="BE88">
        <v>0</v>
      </c>
      <c r="BF88">
        <v>25</v>
      </c>
      <c r="BG88">
        <v>13191.006666666701</v>
      </c>
      <c r="BH88">
        <v>1771104462.0999999</v>
      </c>
      <c r="BI88" t="s">
        <v>442</v>
      </c>
      <c r="BJ88">
        <v>1771104462.0999999</v>
      </c>
      <c r="BK88">
        <v>1771104442.0999999</v>
      </c>
      <c r="BL88">
        <v>16</v>
      </c>
      <c r="BM88">
        <v>0.11600000000000001</v>
      </c>
      <c r="BN88">
        <v>3.0000000000000001E-3</v>
      </c>
      <c r="BO88">
        <v>-0.32700000000000001</v>
      </c>
      <c r="BP88">
        <v>6.3E-2</v>
      </c>
      <c r="BQ88">
        <v>50</v>
      </c>
      <c r="BR88">
        <v>14</v>
      </c>
      <c r="BS88">
        <v>0.14000000000000001</v>
      </c>
      <c r="BT88">
        <v>0.04</v>
      </c>
      <c r="BU88">
        <v>0.18186571000000001</v>
      </c>
      <c r="BV88">
        <v>2.1101746466165401</v>
      </c>
      <c r="BW88">
        <v>0.210456504580877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0.972536913</v>
      </c>
      <c r="CD88">
        <v>8.1696008021052595</v>
      </c>
      <c r="CE88">
        <v>0.84004257768122903</v>
      </c>
      <c r="CF88">
        <v>0</v>
      </c>
      <c r="CG88">
        <v>0</v>
      </c>
      <c r="CH88">
        <v>2</v>
      </c>
      <c r="CI88" t="s">
        <v>290</v>
      </c>
      <c r="CJ88">
        <v>3.53254</v>
      </c>
      <c r="CK88">
        <v>2.7010800000000001</v>
      </c>
      <c r="CL88">
        <v>1.47333E-2</v>
      </c>
      <c r="CM88">
        <v>1.43447E-2</v>
      </c>
      <c r="CN88">
        <v>8.7618199999999993E-2</v>
      </c>
      <c r="CO88">
        <v>7.8911700000000001E-2</v>
      </c>
      <c r="CP88">
        <v>34515.9</v>
      </c>
      <c r="CQ88">
        <v>30354.6</v>
      </c>
      <c r="CR88">
        <v>32425.599999999999</v>
      </c>
      <c r="CS88">
        <v>30726.1</v>
      </c>
      <c r="CT88">
        <v>40063</v>
      </c>
      <c r="CU88">
        <v>39807.199999999997</v>
      </c>
      <c r="CV88">
        <v>47366.9</v>
      </c>
      <c r="CW88">
        <v>46874</v>
      </c>
      <c r="CX88">
        <v>2.6109800000000001</v>
      </c>
      <c r="CY88">
        <v>2.1168</v>
      </c>
      <c r="CZ88">
        <v>0</v>
      </c>
      <c r="DA88">
        <v>0</v>
      </c>
      <c r="DB88">
        <v>999.9</v>
      </c>
      <c r="DC88">
        <v>999.9</v>
      </c>
      <c r="DD88">
        <v>44.780999999999999</v>
      </c>
      <c r="DE88">
        <v>28.751999999999999</v>
      </c>
      <c r="DF88">
        <v>17.7654</v>
      </c>
      <c r="DG88">
        <v>30.558199999999999</v>
      </c>
      <c r="DH88">
        <v>16.915099999999999</v>
      </c>
      <c r="DI88">
        <v>2</v>
      </c>
      <c r="DJ88">
        <v>-6.8851599999999999E-2</v>
      </c>
      <c r="DK88">
        <v>2.7402500000000001</v>
      </c>
      <c r="DL88">
        <v>20.187000000000001</v>
      </c>
      <c r="DM88">
        <v>5.2505899999999999</v>
      </c>
      <c r="DN88">
        <v>12.033899999999999</v>
      </c>
      <c r="DO88">
        <v>4.9676799999999997</v>
      </c>
      <c r="DP88">
        <v>3.2909999999999999</v>
      </c>
      <c r="DQ88">
        <v>608</v>
      </c>
      <c r="DR88">
        <v>9999</v>
      </c>
      <c r="DS88">
        <v>9999</v>
      </c>
      <c r="DT88">
        <v>9999</v>
      </c>
      <c r="DU88">
        <v>1.8711899999999999</v>
      </c>
      <c r="DV88">
        <v>1.8762099999999999</v>
      </c>
      <c r="DW88">
        <v>1.8763700000000001</v>
      </c>
      <c r="DX88">
        <v>1.88287</v>
      </c>
      <c r="DY88">
        <v>1.87561</v>
      </c>
      <c r="DZ88">
        <v>1.87469</v>
      </c>
      <c r="EA88">
        <v>1.8708800000000001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-0.32600000000000001</v>
      </c>
      <c r="EQ88">
        <v>6.2600000000000003E-2</v>
      </c>
      <c r="ER88">
        <v>-0.32652000000000198</v>
      </c>
      <c r="ES88">
        <v>0</v>
      </c>
      <c r="ET88">
        <v>0</v>
      </c>
      <c r="EU88">
        <v>0</v>
      </c>
      <c r="EV88">
        <v>6.2590000000000104E-2</v>
      </c>
      <c r="EW88">
        <v>0</v>
      </c>
      <c r="EX88">
        <v>0</v>
      </c>
      <c r="EY88">
        <v>0</v>
      </c>
      <c r="EZ88">
        <v>-1</v>
      </c>
      <c r="FA88">
        <v>-1</v>
      </c>
      <c r="FB88">
        <v>-1</v>
      </c>
      <c r="FC88">
        <v>-1</v>
      </c>
      <c r="FD88">
        <v>0.3</v>
      </c>
      <c r="FE88">
        <v>0.6</v>
      </c>
      <c r="FF88">
        <v>0.28930699999999998</v>
      </c>
      <c r="FG88">
        <v>2.6208499999999999</v>
      </c>
      <c r="FH88">
        <v>2.19604</v>
      </c>
      <c r="FI88">
        <v>2.5744600000000002</v>
      </c>
      <c r="FJ88">
        <v>2.4462899999999999</v>
      </c>
      <c r="FK88">
        <v>2.2631800000000002</v>
      </c>
      <c r="FL88">
        <v>33.020600000000002</v>
      </c>
      <c r="FM88">
        <v>24.1313</v>
      </c>
      <c r="FN88">
        <v>19</v>
      </c>
      <c r="FO88">
        <v>863.69299999999998</v>
      </c>
      <c r="FP88">
        <v>572.62300000000005</v>
      </c>
      <c r="FQ88">
        <v>17.8018</v>
      </c>
      <c r="FR88">
        <v>26.095600000000001</v>
      </c>
      <c r="FS88">
        <v>30.0001</v>
      </c>
      <c r="FT88">
        <v>26.090599999999998</v>
      </c>
      <c r="FU88">
        <v>26.09</v>
      </c>
      <c r="FV88">
        <v>5.8360900000000004</v>
      </c>
      <c r="FW88">
        <v>26.1099</v>
      </c>
      <c r="FX88">
        <v>35.436700000000002</v>
      </c>
      <c r="FY88">
        <v>17.801600000000001</v>
      </c>
      <c r="FZ88">
        <v>50</v>
      </c>
      <c r="GA88">
        <v>13.6805</v>
      </c>
      <c r="GB88">
        <v>99.798500000000004</v>
      </c>
      <c r="GC88">
        <v>99.771500000000003</v>
      </c>
    </row>
    <row r="89" spans="1:185" x14ac:dyDescent="0.2">
      <c r="A89">
        <v>74</v>
      </c>
      <c r="B89">
        <v>1771104601.0999999</v>
      </c>
      <c r="C89">
        <v>1488</v>
      </c>
      <c r="D89" t="s">
        <v>447</v>
      </c>
      <c r="E89" t="s">
        <v>448</v>
      </c>
      <c r="F89">
        <v>15</v>
      </c>
      <c r="G89">
        <v>1771104593.0999999</v>
      </c>
      <c r="H89">
        <f t="shared" si="13"/>
        <v>1.7958258258162543E-4</v>
      </c>
      <c r="I89">
        <v>0</v>
      </c>
      <c r="J89">
        <f t="shared" si="25"/>
        <v>-1.2714324507128234</v>
      </c>
      <c r="K89">
        <f t="shared" si="14"/>
        <v>-22.734806926113592</v>
      </c>
      <c r="L89">
        <f t="shared" si="15"/>
        <v>72.849172743958917</v>
      </c>
      <c r="M89">
        <f t="shared" si="16"/>
        <v>1.600737212908089</v>
      </c>
      <c r="N89">
        <f t="shared" si="17"/>
        <v>2.1973306663812893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26213.340761517051</v>
      </c>
      <c r="T89">
        <f t="shared" si="21"/>
        <v>799.99919999999997</v>
      </c>
      <c r="U89">
        <f t="shared" si="22"/>
        <v>674.39977839954702</v>
      </c>
      <c r="V89">
        <f t="shared" si="23"/>
        <v>0.84300056599999973</v>
      </c>
      <c r="W89">
        <f t="shared" si="24"/>
        <v>0.15870154491999994</v>
      </c>
      <c r="X89">
        <v>1</v>
      </c>
      <c r="Y89">
        <v>1771104593.0999999</v>
      </c>
      <c r="Z89">
        <v>178.47739999999999</v>
      </c>
      <c r="AA89">
        <v>150.098733333333</v>
      </c>
      <c r="AB89">
        <v>16.0073066666667</v>
      </c>
      <c r="AC89">
        <v>15.78642</v>
      </c>
      <c r="AD89">
        <v>178.80373333333301</v>
      </c>
      <c r="AE89">
        <v>15.9447266666667</v>
      </c>
      <c r="AF89">
        <v>799.99373333333301</v>
      </c>
      <c r="AG89">
        <v>99.937399999999997</v>
      </c>
      <c r="AH89">
        <v>6.3008953333333395E-2</v>
      </c>
      <c r="AI89">
        <v>18.942866666666699</v>
      </c>
      <c r="AJ89">
        <v>999.9</v>
      </c>
      <c r="AK89">
        <v>999.9</v>
      </c>
      <c r="AL89">
        <v>0</v>
      </c>
      <c r="AM89">
        <v>0</v>
      </c>
      <c r="AN89">
        <v>5000.3999999999996</v>
      </c>
      <c r="AO89">
        <v>0</v>
      </c>
      <c r="AP89">
        <v>1.5868213333333301</v>
      </c>
      <c r="AQ89">
        <v>28.378613333333298</v>
      </c>
      <c r="AR89">
        <v>181.37866666666699</v>
      </c>
      <c r="AS89">
        <v>152.50606666666701</v>
      </c>
      <c r="AT89">
        <v>0.22088302000000001</v>
      </c>
      <c r="AU89">
        <v>150.098733333333</v>
      </c>
      <c r="AV89">
        <v>15.78642</v>
      </c>
      <c r="AW89">
        <v>1.5997286666666699</v>
      </c>
      <c r="AX89">
        <v>1.5776539999999999</v>
      </c>
      <c r="AY89">
        <v>13.9552533333333</v>
      </c>
      <c r="AZ89">
        <v>13.7406733333333</v>
      </c>
      <c r="BA89">
        <v>799.99919999999997</v>
      </c>
      <c r="BB89">
        <v>0.89997919999999998</v>
      </c>
      <c r="BC89">
        <v>0</v>
      </c>
      <c r="BD89">
        <v>0.100020733333333</v>
      </c>
      <c r="BE89">
        <v>0</v>
      </c>
      <c r="BF89">
        <v>25</v>
      </c>
      <c r="BG89">
        <v>13190.9333333333</v>
      </c>
      <c r="BH89">
        <v>1771104462.0999999</v>
      </c>
      <c r="BI89" t="s">
        <v>442</v>
      </c>
      <c r="BJ89">
        <v>1771104462.0999999</v>
      </c>
      <c r="BK89">
        <v>1771104442.0999999</v>
      </c>
      <c r="BL89">
        <v>16</v>
      </c>
      <c r="BM89">
        <v>0.11600000000000001</v>
      </c>
      <c r="BN89">
        <v>3.0000000000000001E-3</v>
      </c>
      <c r="BO89">
        <v>-0.32700000000000001</v>
      </c>
      <c r="BP89">
        <v>6.3E-2</v>
      </c>
      <c r="BQ89">
        <v>50</v>
      </c>
      <c r="BR89">
        <v>14</v>
      </c>
      <c r="BS89">
        <v>0.14000000000000001</v>
      </c>
      <c r="BT89">
        <v>0.04</v>
      </c>
      <c r="BU89">
        <v>38.199023809523801</v>
      </c>
      <c r="BV89">
        <v>-175.75543636363599</v>
      </c>
      <c r="BW89">
        <v>18.146865393306001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-7.3242699999999994E-2</v>
      </c>
      <c r="CD89">
        <v>5.8410062103896099</v>
      </c>
      <c r="CE89">
        <v>0.59007912377015204</v>
      </c>
      <c r="CF89">
        <v>0</v>
      </c>
      <c r="CG89">
        <v>0</v>
      </c>
      <c r="CH89">
        <v>2</v>
      </c>
      <c r="CI89" t="s">
        <v>290</v>
      </c>
      <c r="CJ89">
        <v>3.5325799999999998</v>
      </c>
      <c r="CK89">
        <v>2.7006299999999999</v>
      </c>
      <c r="CL89">
        <v>4.5420299999999997E-2</v>
      </c>
      <c r="CM89">
        <v>4.1307999999999997E-2</v>
      </c>
      <c r="CN89">
        <v>9.05387E-2</v>
      </c>
      <c r="CO89">
        <v>8.5544800000000004E-2</v>
      </c>
      <c r="CP89">
        <v>33441.4</v>
      </c>
      <c r="CQ89">
        <v>29524.7</v>
      </c>
      <c r="CR89">
        <v>32426.400000000001</v>
      </c>
      <c r="CS89">
        <v>30726.7</v>
      </c>
      <c r="CT89">
        <v>39934.6</v>
      </c>
      <c r="CU89">
        <v>39515.9</v>
      </c>
      <c r="CV89">
        <v>47367.6</v>
      </c>
      <c r="CW89">
        <v>46874.6</v>
      </c>
      <c r="CX89">
        <v>2.6127199999999999</v>
      </c>
      <c r="CY89">
        <v>2.1216200000000001</v>
      </c>
      <c r="CZ89">
        <v>0</v>
      </c>
      <c r="DA89">
        <v>0</v>
      </c>
      <c r="DB89">
        <v>999.9</v>
      </c>
      <c r="DC89">
        <v>999.9</v>
      </c>
      <c r="DD89">
        <v>45.811999999999998</v>
      </c>
      <c r="DE89">
        <v>28.751999999999999</v>
      </c>
      <c r="DF89">
        <v>18.173100000000002</v>
      </c>
      <c r="DG89">
        <v>30.4282</v>
      </c>
      <c r="DH89">
        <v>16.870999999999999</v>
      </c>
      <c r="DI89">
        <v>2</v>
      </c>
      <c r="DJ89">
        <v>-6.7552799999999996E-2</v>
      </c>
      <c r="DK89">
        <v>2.8605900000000002</v>
      </c>
      <c r="DL89">
        <v>20.184999999999999</v>
      </c>
      <c r="DM89">
        <v>5.2466400000000002</v>
      </c>
      <c r="DN89">
        <v>12.033899999999999</v>
      </c>
      <c r="DO89">
        <v>4.9667599999999998</v>
      </c>
      <c r="DP89">
        <v>3.2906599999999999</v>
      </c>
      <c r="DQ89">
        <v>608.1</v>
      </c>
      <c r="DR89">
        <v>9999</v>
      </c>
      <c r="DS89">
        <v>9999</v>
      </c>
      <c r="DT89">
        <v>9999</v>
      </c>
      <c r="DU89">
        <v>1.87117</v>
      </c>
      <c r="DV89">
        <v>1.87618</v>
      </c>
      <c r="DW89">
        <v>1.8763700000000001</v>
      </c>
      <c r="DX89">
        <v>1.8828</v>
      </c>
      <c r="DY89">
        <v>1.87561</v>
      </c>
      <c r="DZ89">
        <v>1.8746799999999999</v>
      </c>
      <c r="EA89">
        <v>1.87087</v>
      </c>
      <c r="EB89">
        <v>1.8746799999999999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-0.32700000000000001</v>
      </c>
      <c r="EQ89">
        <v>6.2600000000000003E-2</v>
      </c>
      <c r="ER89">
        <v>-0.32652000000000198</v>
      </c>
      <c r="ES89">
        <v>0</v>
      </c>
      <c r="ET89">
        <v>0</v>
      </c>
      <c r="EU89">
        <v>0</v>
      </c>
      <c r="EV89">
        <v>6.2590000000000104E-2</v>
      </c>
      <c r="EW89">
        <v>0</v>
      </c>
      <c r="EX89">
        <v>0</v>
      </c>
      <c r="EY89">
        <v>0</v>
      </c>
      <c r="EZ89">
        <v>-1</v>
      </c>
      <c r="FA89">
        <v>-1</v>
      </c>
      <c r="FB89">
        <v>-1</v>
      </c>
      <c r="FC89">
        <v>-1</v>
      </c>
      <c r="FD89">
        <v>2.2999999999999998</v>
      </c>
      <c r="FE89">
        <v>2.6</v>
      </c>
      <c r="FF89">
        <v>0.56884800000000002</v>
      </c>
      <c r="FG89">
        <v>2.6184099999999999</v>
      </c>
      <c r="FH89">
        <v>2.19604</v>
      </c>
      <c r="FI89">
        <v>2.5744600000000002</v>
      </c>
      <c r="FJ89">
        <v>2.4462899999999999</v>
      </c>
      <c r="FK89">
        <v>2.2839399999999999</v>
      </c>
      <c r="FL89">
        <v>33.042900000000003</v>
      </c>
      <c r="FM89">
        <v>24.1313</v>
      </c>
      <c r="FN89">
        <v>19</v>
      </c>
      <c r="FO89">
        <v>865.55899999999997</v>
      </c>
      <c r="FP89">
        <v>576.47799999999995</v>
      </c>
      <c r="FQ89">
        <v>17.2791</v>
      </c>
      <c r="FR89">
        <v>26.118400000000001</v>
      </c>
      <c r="FS89">
        <v>29.999400000000001</v>
      </c>
      <c r="FT89">
        <v>26.106000000000002</v>
      </c>
      <c r="FU89">
        <v>26.104399999999998</v>
      </c>
      <c r="FV89">
        <v>11.4322</v>
      </c>
      <c r="FW89">
        <v>21.706800000000001</v>
      </c>
      <c r="FX89">
        <v>38.940199999999997</v>
      </c>
      <c r="FY89">
        <v>17.300799999999999</v>
      </c>
      <c r="FZ89">
        <v>150</v>
      </c>
      <c r="GA89">
        <v>14.8756</v>
      </c>
      <c r="GB89">
        <v>99.800399999999996</v>
      </c>
      <c r="GC89">
        <v>99.773099999999999</v>
      </c>
    </row>
    <row r="90" spans="1:185" x14ac:dyDescent="0.2">
      <c r="A90">
        <v>75</v>
      </c>
      <c r="B90">
        <v>1771104616.0999999</v>
      </c>
      <c r="C90">
        <v>1503</v>
      </c>
      <c r="D90" t="s">
        <v>449</v>
      </c>
      <c r="E90" t="s">
        <v>450</v>
      </c>
      <c r="F90">
        <v>15</v>
      </c>
      <c r="G90">
        <v>1771104608.03333</v>
      </c>
      <c r="H90">
        <f t="shared" si="13"/>
        <v>1.026456681472518E-3</v>
      </c>
      <c r="I90">
        <v>0</v>
      </c>
      <c r="J90">
        <f t="shared" si="25"/>
        <v>-0.40459702448703716</v>
      </c>
      <c r="K90">
        <f t="shared" si="14"/>
        <v>-7.2347022678521204</v>
      </c>
      <c r="L90">
        <f t="shared" si="15"/>
        <v>74.11880523145166</v>
      </c>
      <c r="M90">
        <f t="shared" si="16"/>
        <v>1.6237449646105317</v>
      </c>
      <c r="N90">
        <f t="shared" si="17"/>
        <v>2.1907327830501915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26194.424976497041</v>
      </c>
      <c r="T90">
        <f t="shared" si="21"/>
        <v>800.00026666666702</v>
      </c>
      <c r="U90">
        <f t="shared" si="22"/>
        <v>674.40051440009677</v>
      </c>
      <c r="V90">
        <f t="shared" si="23"/>
        <v>0.84300036199999995</v>
      </c>
      <c r="W90">
        <f t="shared" si="24"/>
        <v>0.15870090500000003</v>
      </c>
      <c r="X90">
        <v>1</v>
      </c>
      <c r="Y90">
        <v>1771104608.03333</v>
      </c>
      <c r="Z90">
        <v>158.88786666666701</v>
      </c>
      <c r="AA90">
        <v>150.04833333333301</v>
      </c>
      <c r="AB90">
        <v>16.237366666666698</v>
      </c>
      <c r="AC90">
        <v>14.9751266666667</v>
      </c>
      <c r="AD90">
        <v>159.21440000000001</v>
      </c>
      <c r="AE90">
        <v>16.174773333333299</v>
      </c>
      <c r="AF90">
        <v>799.9982</v>
      </c>
      <c r="AG90">
        <v>99.937386666666697</v>
      </c>
      <c r="AH90">
        <v>6.3124373333333303E-2</v>
      </c>
      <c r="AI90">
        <v>18.8947066666667</v>
      </c>
      <c r="AJ90">
        <v>999.9</v>
      </c>
      <c r="AK90">
        <v>999.9</v>
      </c>
      <c r="AL90">
        <v>0</v>
      </c>
      <c r="AM90">
        <v>0</v>
      </c>
      <c r="AN90">
        <v>4996.5666666666702</v>
      </c>
      <c r="AO90">
        <v>0</v>
      </c>
      <c r="AP90">
        <v>1.62348133333333</v>
      </c>
      <c r="AQ90">
        <v>8.8394953333333302</v>
      </c>
      <c r="AR90">
        <v>161.5104</v>
      </c>
      <c r="AS90">
        <v>152.32953333333299</v>
      </c>
      <c r="AT90">
        <v>1.2622259333333301</v>
      </c>
      <c r="AU90">
        <v>150.04833333333301</v>
      </c>
      <c r="AV90">
        <v>14.9751266666667</v>
      </c>
      <c r="AW90">
        <v>1.62271866666667</v>
      </c>
      <c r="AX90">
        <v>1.49657533333333</v>
      </c>
      <c r="AY90">
        <v>14.17624</v>
      </c>
      <c r="AZ90">
        <v>12.9320466666667</v>
      </c>
      <c r="BA90">
        <v>800.00026666666702</v>
      </c>
      <c r="BB90">
        <v>0.89998793333333305</v>
      </c>
      <c r="BC90">
        <v>0</v>
      </c>
      <c r="BD90">
        <v>0.100012066666667</v>
      </c>
      <c r="BE90">
        <v>0</v>
      </c>
      <c r="BF90">
        <v>25</v>
      </c>
      <c r="BG90">
        <v>13190.9866666667</v>
      </c>
      <c r="BH90">
        <v>1771104462.0999999</v>
      </c>
      <c r="BI90" t="s">
        <v>442</v>
      </c>
      <c r="BJ90">
        <v>1771104462.0999999</v>
      </c>
      <c r="BK90">
        <v>1771104442.0999999</v>
      </c>
      <c r="BL90">
        <v>16</v>
      </c>
      <c r="BM90">
        <v>0.11600000000000001</v>
      </c>
      <c r="BN90">
        <v>3.0000000000000001E-3</v>
      </c>
      <c r="BO90">
        <v>-0.32700000000000001</v>
      </c>
      <c r="BP90">
        <v>6.3E-2</v>
      </c>
      <c r="BQ90">
        <v>50</v>
      </c>
      <c r="BR90">
        <v>14</v>
      </c>
      <c r="BS90">
        <v>0.14000000000000001</v>
      </c>
      <c r="BT90">
        <v>0.04</v>
      </c>
      <c r="BU90">
        <v>11.0881715</v>
      </c>
      <c r="BV90">
        <v>-49.203351428571402</v>
      </c>
      <c r="BW90">
        <v>4.8262193583842397</v>
      </c>
      <c r="BX90">
        <v>0</v>
      </c>
      <c r="BY90">
        <v>0</v>
      </c>
      <c r="BZ90">
        <v>0</v>
      </c>
      <c r="CA90">
        <v>0</v>
      </c>
      <c r="CB90">
        <v>-1</v>
      </c>
      <c r="CC90">
        <v>1.1262103000000001</v>
      </c>
      <c r="CD90">
        <v>3.00389296240601</v>
      </c>
      <c r="CE90">
        <v>0.29369218878361403</v>
      </c>
      <c r="CF90">
        <v>0</v>
      </c>
      <c r="CG90">
        <v>0</v>
      </c>
      <c r="CH90">
        <v>2</v>
      </c>
      <c r="CI90" t="s">
        <v>290</v>
      </c>
      <c r="CJ90">
        <v>3.5324900000000001</v>
      </c>
      <c r="CK90">
        <v>2.7010399999999999</v>
      </c>
      <c r="CL90">
        <v>4.2950299999999997E-2</v>
      </c>
      <c r="CM90">
        <v>4.1276E-2</v>
      </c>
      <c r="CN90">
        <v>9.0333800000000006E-2</v>
      </c>
      <c r="CO90">
        <v>8.2752400000000004E-2</v>
      </c>
      <c r="CP90">
        <v>33527.1</v>
      </c>
      <c r="CQ90">
        <v>29525.1</v>
      </c>
      <c r="CR90">
        <v>32425.599999999999</v>
      </c>
      <c r="CS90">
        <v>30726.1</v>
      </c>
      <c r="CT90">
        <v>39942.9</v>
      </c>
      <c r="CU90">
        <v>39638.9</v>
      </c>
      <c r="CV90">
        <v>47366.8</v>
      </c>
      <c r="CW90">
        <v>46873.4</v>
      </c>
      <c r="CX90">
        <v>2.6136400000000002</v>
      </c>
      <c r="CY90">
        <v>2.1207799999999999</v>
      </c>
      <c r="CZ90">
        <v>0</v>
      </c>
      <c r="DA90">
        <v>0</v>
      </c>
      <c r="DB90">
        <v>999.9</v>
      </c>
      <c r="DC90">
        <v>999.9</v>
      </c>
      <c r="DD90">
        <v>45.811999999999998</v>
      </c>
      <c r="DE90">
        <v>28.751999999999999</v>
      </c>
      <c r="DF90">
        <v>18.172599999999999</v>
      </c>
      <c r="DG90">
        <v>30.458200000000001</v>
      </c>
      <c r="DH90">
        <v>17.011199999999999</v>
      </c>
      <c r="DI90">
        <v>2</v>
      </c>
      <c r="DJ90">
        <v>-6.7733699999999994E-2</v>
      </c>
      <c r="DK90">
        <v>2.6549399999999999</v>
      </c>
      <c r="DL90">
        <v>20.189399999999999</v>
      </c>
      <c r="DM90">
        <v>5.2492799999999997</v>
      </c>
      <c r="DN90">
        <v>12.033899999999999</v>
      </c>
      <c r="DO90">
        <v>4.9672400000000003</v>
      </c>
      <c r="DP90">
        <v>3.2909999999999999</v>
      </c>
      <c r="DQ90">
        <v>608.1</v>
      </c>
      <c r="DR90">
        <v>9999</v>
      </c>
      <c r="DS90">
        <v>9999</v>
      </c>
      <c r="DT90">
        <v>9999</v>
      </c>
      <c r="DU90">
        <v>1.8711500000000001</v>
      </c>
      <c r="DV90">
        <v>1.87616</v>
      </c>
      <c r="DW90">
        <v>1.8763700000000001</v>
      </c>
      <c r="DX90">
        <v>1.88283</v>
      </c>
      <c r="DY90">
        <v>1.87561</v>
      </c>
      <c r="DZ90">
        <v>1.87469</v>
      </c>
      <c r="EA90">
        <v>1.87086</v>
      </c>
      <c r="EB90">
        <v>1.8746700000000001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-0.32600000000000001</v>
      </c>
      <c r="EQ90">
        <v>6.2600000000000003E-2</v>
      </c>
      <c r="ER90">
        <v>-0.32652000000000198</v>
      </c>
      <c r="ES90">
        <v>0</v>
      </c>
      <c r="ET90">
        <v>0</v>
      </c>
      <c r="EU90">
        <v>0</v>
      </c>
      <c r="EV90">
        <v>6.2590000000000104E-2</v>
      </c>
      <c r="EW90">
        <v>0</v>
      </c>
      <c r="EX90">
        <v>0</v>
      </c>
      <c r="EY90">
        <v>0</v>
      </c>
      <c r="EZ90">
        <v>-1</v>
      </c>
      <c r="FA90">
        <v>-1</v>
      </c>
      <c r="FB90">
        <v>-1</v>
      </c>
      <c r="FC90">
        <v>-1</v>
      </c>
      <c r="FD90">
        <v>2.6</v>
      </c>
      <c r="FE90">
        <v>2.9</v>
      </c>
      <c r="FF90">
        <v>0.56884800000000002</v>
      </c>
      <c r="FG90">
        <v>2.6208499999999999</v>
      </c>
      <c r="FH90">
        <v>2.19604</v>
      </c>
      <c r="FI90">
        <v>2.5756800000000002</v>
      </c>
      <c r="FJ90">
        <v>2.4462899999999999</v>
      </c>
      <c r="FK90">
        <v>2.2546400000000002</v>
      </c>
      <c r="FL90">
        <v>33.042900000000003</v>
      </c>
      <c r="FM90">
        <v>24.1313</v>
      </c>
      <c r="FN90">
        <v>19</v>
      </c>
      <c r="FO90">
        <v>866.41700000000003</v>
      </c>
      <c r="FP90">
        <v>575.84199999999998</v>
      </c>
      <c r="FQ90">
        <v>17.477399999999999</v>
      </c>
      <c r="FR90">
        <v>26.122399999999999</v>
      </c>
      <c r="FS90">
        <v>29.9999</v>
      </c>
      <c r="FT90">
        <v>26.106000000000002</v>
      </c>
      <c r="FU90">
        <v>26.1053</v>
      </c>
      <c r="FV90">
        <v>11.430400000000001</v>
      </c>
      <c r="FW90">
        <v>25.1523</v>
      </c>
      <c r="FX90">
        <v>38.940199999999997</v>
      </c>
      <c r="FY90">
        <v>17.511099999999999</v>
      </c>
      <c r="FZ90">
        <v>150</v>
      </c>
      <c r="GA90">
        <v>14.337199999999999</v>
      </c>
      <c r="GB90">
        <v>99.798400000000001</v>
      </c>
      <c r="GC90">
        <v>99.770799999999994</v>
      </c>
    </row>
    <row r="91" spans="1:185" x14ac:dyDescent="0.2">
      <c r="A91">
        <v>76</v>
      </c>
      <c r="B91">
        <v>1771104631.0999999</v>
      </c>
      <c r="C91">
        <v>1518</v>
      </c>
      <c r="D91" t="s">
        <v>451</v>
      </c>
      <c r="E91" t="s">
        <v>452</v>
      </c>
      <c r="F91">
        <v>15</v>
      </c>
      <c r="G91">
        <v>1771104623.03333</v>
      </c>
      <c r="H91">
        <f t="shared" si="13"/>
        <v>1.3868128604209847E-3</v>
      </c>
      <c r="I91">
        <v>0</v>
      </c>
      <c r="J91">
        <f t="shared" si="25"/>
        <v>-0.14028792824445743</v>
      </c>
      <c r="K91">
        <f t="shared" si="14"/>
        <v>-2.5085241146032433</v>
      </c>
      <c r="L91">
        <f t="shared" si="15"/>
        <v>73.583434414632393</v>
      </c>
      <c r="M91">
        <f t="shared" si="16"/>
        <v>1.6110575650032226</v>
      </c>
      <c r="N91">
        <f t="shared" si="17"/>
        <v>2.1894296968053135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26209.611462290479</v>
      </c>
      <c r="T91">
        <f t="shared" si="21"/>
        <v>800.00006666666695</v>
      </c>
      <c r="U91">
        <f t="shared" si="22"/>
        <v>674.40046100003349</v>
      </c>
      <c r="V91">
        <f t="shared" si="23"/>
        <v>0.84300050599999943</v>
      </c>
      <c r="W91">
        <f t="shared" si="24"/>
        <v>0.15870152483999989</v>
      </c>
      <c r="X91">
        <v>1</v>
      </c>
      <c r="Y91">
        <v>1771104623.03333</v>
      </c>
      <c r="Z91">
        <v>152.86033333333299</v>
      </c>
      <c r="AA91">
        <v>149.98966666666701</v>
      </c>
      <c r="AB91">
        <v>16.110520000000001</v>
      </c>
      <c r="AC91">
        <v>14.4049333333333</v>
      </c>
      <c r="AD91">
        <v>153.18666666666701</v>
      </c>
      <c r="AE91">
        <v>16.047926666666701</v>
      </c>
      <c r="AF91">
        <v>800.00073333333296</v>
      </c>
      <c r="AG91">
        <v>99.937326666666706</v>
      </c>
      <c r="AH91">
        <v>6.3018759999999993E-2</v>
      </c>
      <c r="AI91">
        <v>18.885179999999998</v>
      </c>
      <c r="AJ91">
        <v>999.9</v>
      </c>
      <c r="AK91">
        <v>999.9</v>
      </c>
      <c r="AL91">
        <v>0</v>
      </c>
      <c r="AM91">
        <v>0</v>
      </c>
      <c r="AN91">
        <v>4998.9333333333298</v>
      </c>
      <c r="AO91">
        <v>0</v>
      </c>
      <c r="AP91">
        <v>1.63733</v>
      </c>
      <c r="AQ91">
        <v>2.8704893333333299</v>
      </c>
      <c r="AR91">
        <v>155.363133333333</v>
      </c>
      <c r="AS91">
        <v>152.18199999999999</v>
      </c>
      <c r="AT91">
        <v>1.7055813333333301</v>
      </c>
      <c r="AU91">
        <v>149.98966666666701</v>
      </c>
      <c r="AV91">
        <v>14.4049333333333</v>
      </c>
      <c r="AW91">
        <v>1.6100433333333299</v>
      </c>
      <c r="AX91">
        <v>1.4395913333333299</v>
      </c>
      <c r="AY91">
        <v>14.05518</v>
      </c>
      <c r="AZ91">
        <v>12.340486666666701</v>
      </c>
      <c r="BA91">
        <v>800.00006666666695</v>
      </c>
      <c r="BB91">
        <v>0.89997926666666594</v>
      </c>
      <c r="BC91">
        <v>0</v>
      </c>
      <c r="BD91">
        <v>0.1000206</v>
      </c>
      <c r="BE91">
        <v>0</v>
      </c>
      <c r="BF91">
        <v>25</v>
      </c>
      <c r="BG91">
        <v>13190.9333333333</v>
      </c>
      <c r="BH91">
        <v>1771104462.0999999</v>
      </c>
      <c r="BI91" t="s">
        <v>442</v>
      </c>
      <c r="BJ91">
        <v>1771104462.0999999</v>
      </c>
      <c r="BK91">
        <v>1771104442.0999999</v>
      </c>
      <c r="BL91">
        <v>16</v>
      </c>
      <c r="BM91">
        <v>0.11600000000000001</v>
      </c>
      <c r="BN91">
        <v>3.0000000000000001E-3</v>
      </c>
      <c r="BO91">
        <v>-0.32700000000000001</v>
      </c>
      <c r="BP91">
        <v>6.3E-2</v>
      </c>
      <c r="BQ91">
        <v>50</v>
      </c>
      <c r="BR91">
        <v>14</v>
      </c>
      <c r="BS91">
        <v>0.14000000000000001</v>
      </c>
      <c r="BT91">
        <v>0.04</v>
      </c>
      <c r="BU91">
        <v>3.7362738095238099</v>
      </c>
      <c r="BV91">
        <v>-15.9626890909091</v>
      </c>
      <c r="BW91">
        <v>1.6473247358310199</v>
      </c>
      <c r="BX91">
        <v>0</v>
      </c>
      <c r="BY91">
        <v>0</v>
      </c>
      <c r="BZ91">
        <v>0</v>
      </c>
      <c r="CA91">
        <v>0</v>
      </c>
      <c r="CB91">
        <v>-1</v>
      </c>
      <c r="CC91">
        <v>1.63134380952381</v>
      </c>
      <c r="CD91">
        <v>1.4437309090909101</v>
      </c>
      <c r="CE91">
        <v>0.14650703589398001</v>
      </c>
      <c r="CF91">
        <v>0</v>
      </c>
      <c r="CG91">
        <v>0</v>
      </c>
      <c r="CH91">
        <v>2</v>
      </c>
      <c r="CI91" t="s">
        <v>290</v>
      </c>
      <c r="CJ91">
        <v>3.5325799999999998</v>
      </c>
      <c r="CK91">
        <v>2.70065</v>
      </c>
      <c r="CL91">
        <v>4.2185599999999997E-2</v>
      </c>
      <c r="CM91">
        <v>4.1273499999999998E-2</v>
      </c>
      <c r="CN91">
        <v>8.9571399999999995E-2</v>
      </c>
      <c r="CO91">
        <v>8.0742800000000003E-2</v>
      </c>
      <c r="CP91">
        <v>33552.6</v>
      </c>
      <c r="CQ91">
        <v>29524.7</v>
      </c>
      <c r="CR91">
        <v>32424.400000000001</v>
      </c>
      <c r="CS91">
        <v>30725.7</v>
      </c>
      <c r="CT91">
        <v>39976.1</v>
      </c>
      <c r="CU91">
        <v>39727.699999999997</v>
      </c>
      <c r="CV91">
        <v>47365.3</v>
      </c>
      <c r="CW91">
        <v>46873.1</v>
      </c>
      <c r="CX91">
        <v>2.61402</v>
      </c>
      <c r="CY91">
        <v>2.1194600000000001</v>
      </c>
      <c r="CZ91">
        <v>0</v>
      </c>
      <c r="DA91">
        <v>0</v>
      </c>
      <c r="DB91">
        <v>999.9</v>
      </c>
      <c r="DC91">
        <v>999.9</v>
      </c>
      <c r="DD91">
        <v>45.787999999999997</v>
      </c>
      <c r="DE91">
        <v>28.751999999999999</v>
      </c>
      <c r="DF91">
        <v>18.163399999999999</v>
      </c>
      <c r="DG91">
        <v>30.6082</v>
      </c>
      <c r="DH91">
        <v>16.9511</v>
      </c>
      <c r="DI91">
        <v>2</v>
      </c>
      <c r="DJ91">
        <v>-6.8184999999999996E-2</v>
      </c>
      <c r="DK91">
        <v>2.3855499999999998</v>
      </c>
      <c r="DL91">
        <v>20.1934</v>
      </c>
      <c r="DM91">
        <v>5.2473599999999996</v>
      </c>
      <c r="DN91">
        <v>12.033899999999999</v>
      </c>
      <c r="DO91">
        <v>4.9666399999999999</v>
      </c>
      <c r="DP91">
        <v>3.2906399999999998</v>
      </c>
      <c r="DQ91">
        <v>608.1</v>
      </c>
      <c r="DR91">
        <v>9999</v>
      </c>
      <c r="DS91">
        <v>9999</v>
      </c>
      <c r="DT91">
        <v>9999</v>
      </c>
      <c r="DU91">
        <v>1.8711500000000001</v>
      </c>
      <c r="DV91">
        <v>1.87618</v>
      </c>
      <c r="DW91">
        <v>1.87636</v>
      </c>
      <c r="DX91">
        <v>1.88279</v>
      </c>
      <c r="DY91">
        <v>1.87561</v>
      </c>
      <c r="DZ91">
        <v>1.87469</v>
      </c>
      <c r="EA91">
        <v>1.87087</v>
      </c>
      <c r="EB91">
        <v>1.8746700000000001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-0.32600000000000001</v>
      </c>
      <c r="EQ91">
        <v>6.2600000000000003E-2</v>
      </c>
      <c r="ER91">
        <v>-0.32652000000000198</v>
      </c>
      <c r="ES91">
        <v>0</v>
      </c>
      <c r="ET91">
        <v>0</v>
      </c>
      <c r="EU91">
        <v>0</v>
      </c>
      <c r="EV91">
        <v>6.2590000000000104E-2</v>
      </c>
      <c r="EW91">
        <v>0</v>
      </c>
      <c r="EX91">
        <v>0</v>
      </c>
      <c r="EY91">
        <v>0</v>
      </c>
      <c r="EZ91">
        <v>-1</v>
      </c>
      <c r="FA91">
        <v>-1</v>
      </c>
      <c r="FB91">
        <v>-1</v>
      </c>
      <c r="FC91">
        <v>-1</v>
      </c>
      <c r="FD91">
        <v>2.8</v>
      </c>
      <c r="FE91">
        <v>3.1</v>
      </c>
      <c r="FF91">
        <v>0.56884800000000002</v>
      </c>
      <c r="FG91">
        <v>2.6159699999999999</v>
      </c>
      <c r="FH91">
        <v>2.19604</v>
      </c>
      <c r="FI91">
        <v>2.5756800000000002</v>
      </c>
      <c r="FJ91">
        <v>2.4462899999999999</v>
      </c>
      <c r="FK91">
        <v>2.3144499999999999</v>
      </c>
      <c r="FL91">
        <v>33.042900000000003</v>
      </c>
      <c r="FM91">
        <v>24.14</v>
      </c>
      <c r="FN91">
        <v>19</v>
      </c>
      <c r="FO91">
        <v>866.80600000000004</v>
      </c>
      <c r="FP91">
        <v>574.85199999999998</v>
      </c>
      <c r="FQ91">
        <v>17.717400000000001</v>
      </c>
      <c r="FR91">
        <v>26.1264</v>
      </c>
      <c r="FS91">
        <v>30</v>
      </c>
      <c r="FT91">
        <v>26.1082</v>
      </c>
      <c r="FU91">
        <v>26.107500000000002</v>
      </c>
      <c r="FV91">
        <v>11.4313</v>
      </c>
      <c r="FW91">
        <v>26.9938</v>
      </c>
      <c r="FX91">
        <v>38.570099999999996</v>
      </c>
      <c r="FY91">
        <v>17.751899999999999</v>
      </c>
      <c r="FZ91">
        <v>150</v>
      </c>
      <c r="GA91">
        <v>13.973800000000001</v>
      </c>
      <c r="GB91">
        <v>99.795000000000002</v>
      </c>
      <c r="GC91">
        <v>99.769900000000007</v>
      </c>
    </row>
    <row r="92" spans="1:185" x14ac:dyDescent="0.2">
      <c r="A92">
        <v>77</v>
      </c>
      <c r="B92">
        <v>1771104646.0999999</v>
      </c>
      <c r="C92">
        <v>1533</v>
      </c>
      <c r="D92" t="s">
        <v>453</v>
      </c>
      <c r="E92" t="s">
        <v>454</v>
      </c>
      <c r="F92">
        <v>15</v>
      </c>
      <c r="G92">
        <v>1771104638.03333</v>
      </c>
      <c r="H92">
        <f t="shared" si="13"/>
        <v>1.5508036610733138E-3</v>
      </c>
      <c r="I92">
        <v>0</v>
      </c>
      <c r="J92">
        <f t="shared" si="25"/>
        <v>-5.8891020936758215E-2</v>
      </c>
      <c r="K92">
        <f t="shared" si="14"/>
        <v>-1.0530453190244404</v>
      </c>
      <c r="L92">
        <f t="shared" si="15"/>
        <v>72.689499293316501</v>
      </c>
      <c r="M92">
        <f t="shared" si="16"/>
        <v>1.5928862523763856</v>
      </c>
      <c r="N92">
        <f t="shared" si="17"/>
        <v>2.1913567542249459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26210.363683359723</v>
      </c>
      <c r="T92">
        <f t="shared" si="21"/>
        <v>800</v>
      </c>
      <c r="U92">
        <f t="shared" si="22"/>
        <v>674.40027359999954</v>
      </c>
      <c r="V92">
        <f t="shared" si="23"/>
        <v>0.8430003419999994</v>
      </c>
      <c r="W92">
        <f t="shared" si="24"/>
        <v>0.15870111483999988</v>
      </c>
      <c r="X92">
        <v>1</v>
      </c>
      <c r="Y92">
        <v>1771104638.03333</v>
      </c>
      <c r="Z92">
        <v>151.02500000000001</v>
      </c>
      <c r="AA92">
        <v>150.001466666667</v>
      </c>
      <c r="AB92">
        <v>15.928793333333299</v>
      </c>
      <c r="AC92">
        <v>14.021186666666701</v>
      </c>
      <c r="AD92">
        <v>151.35140000000001</v>
      </c>
      <c r="AE92">
        <v>15.866199999999999</v>
      </c>
      <c r="AF92">
        <v>800.00833333333298</v>
      </c>
      <c r="AG92">
        <v>99.937313333333293</v>
      </c>
      <c r="AH92">
        <v>6.3121040000000003E-2</v>
      </c>
      <c r="AI92">
        <v>18.899266666666701</v>
      </c>
      <c r="AJ92">
        <v>999.9</v>
      </c>
      <c r="AK92">
        <v>999.9</v>
      </c>
      <c r="AL92">
        <v>0</v>
      </c>
      <c r="AM92">
        <v>0</v>
      </c>
      <c r="AN92">
        <v>4999.2666666666701</v>
      </c>
      <c r="AO92">
        <v>0</v>
      </c>
      <c r="AP92">
        <v>1.63733</v>
      </c>
      <c r="AQ92">
        <v>1.02343526666667</v>
      </c>
      <c r="AR92">
        <v>153.46960000000001</v>
      </c>
      <c r="AS92">
        <v>152.13466666666699</v>
      </c>
      <c r="AT92">
        <v>1.90760666666667</v>
      </c>
      <c r="AU92">
        <v>150.001466666667</v>
      </c>
      <c r="AV92">
        <v>14.021186666666701</v>
      </c>
      <c r="AW92">
        <v>1.5918806666666701</v>
      </c>
      <c r="AX92">
        <v>1.40124</v>
      </c>
      <c r="AY92">
        <v>13.88036</v>
      </c>
      <c r="AZ92">
        <v>11.930806666666699</v>
      </c>
      <c r="BA92">
        <v>800</v>
      </c>
      <c r="BB92">
        <v>0.89998473333333295</v>
      </c>
      <c r="BC92">
        <v>0</v>
      </c>
      <c r="BD92">
        <v>0.10001513333333301</v>
      </c>
      <c r="BE92">
        <v>0</v>
      </c>
      <c r="BF92">
        <v>25</v>
      </c>
      <c r="BG92">
        <v>13190.973333333301</v>
      </c>
      <c r="BH92">
        <v>1771104462.0999999</v>
      </c>
      <c r="BI92" t="s">
        <v>442</v>
      </c>
      <c r="BJ92">
        <v>1771104462.0999999</v>
      </c>
      <c r="BK92">
        <v>1771104442.0999999</v>
      </c>
      <c r="BL92">
        <v>16</v>
      </c>
      <c r="BM92">
        <v>0.11600000000000001</v>
      </c>
      <c r="BN92">
        <v>3.0000000000000001E-3</v>
      </c>
      <c r="BO92">
        <v>-0.32700000000000001</v>
      </c>
      <c r="BP92">
        <v>6.3E-2</v>
      </c>
      <c r="BQ92">
        <v>50</v>
      </c>
      <c r="BR92">
        <v>14</v>
      </c>
      <c r="BS92">
        <v>0.14000000000000001</v>
      </c>
      <c r="BT92">
        <v>0.04</v>
      </c>
      <c r="BU92">
        <v>1.23682395</v>
      </c>
      <c r="BV92">
        <v>-4.7159870526315801</v>
      </c>
      <c r="BW92">
        <v>0.46251035829551701</v>
      </c>
      <c r="BX92">
        <v>0</v>
      </c>
      <c r="BY92">
        <v>0</v>
      </c>
      <c r="BZ92">
        <v>0</v>
      </c>
      <c r="CA92">
        <v>0</v>
      </c>
      <c r="CB92">
        <v>-1</v>
      </c>
      <c r="CC92">
        <v>1.8845384999999999</v>
      </c>
      <c r="CD92">
        <v>0.52924646616541204</v>
      </c>
      <c r="CE92">
        <v>5.1903982050994897E-2</v>
      </c>
      <c r="CF92">
        <v>0</v>
      </c>
      <c r="CG92">
        <v>0</v>
      </c>
      <c r="CH92">
        <v>2</v>
      </c>
      <c r="CI92" t="s">
        <v>290</v>
      </c>
      <c r="CJ92">
        <v>3.53254</v>
      </c>
      <c r="CK92">
        <v>2.70086</v>
      </c>
      <c r="CL92">
        <v>4.1957000000000001E-2</v>
      </c>
      <c r="CM92">
        <v>4.1269699999999999E-2</v>
      </c>
      <c r="CN92">
        <v>8.8803900000000005E-2</v>
      </c>
      <c r="CO92">
        <v>7.9537300000000005E-2</v>
      </c>
      <c r="CP92">
        <v>33561.5</v>
      </c>
      <c r="CQ92">
        <v>29524.6</v>
      </c>
      <c r="CR92">
        <v>32425.3</v>
      </c>
      <c r="CS92">
        <v>30725.5</v>
      </c>
      <c r="CT92">
        <v>40011.699999999997</v>
      </c>
      <c r="CU92">
        <v>39780.9</v>
      </c>
      <c r="CV92">
        <v>47366.400000000001</v>
      </c>
      <c r="CW92">
        <v>46872.9</v>
      </c>
      <c r="CX92">
        <v>2.6141200000000002</v>
      </c>
      <c r="CY92">
        <v>2.1189</v>
      </c>
      <c r="CZ92">
        <v>0</v>
      </c>
      <c r="DA92">
        <v>0</v>
      </c>
      <c r="DB92">
        <v>999.9</v>
      </c>
      <c r="DC92">
        <v>999.9</v>
      </c>
      <c r="DD92">
        <v>45.738999999999997</v>
      </c>
      <c r="DE92">
        <v>28.771999999999998</v>
      </c>
      <c r="DF92">
        <v>18.163699999999999</v>
      </c>
      <c r="DG92">
        <v>30.398199999999999</v>
      </c>
      <c r="DH92">
        <v>16.991199999999999</v>
      </c>
      <c r="DI92">
        <v>2</v>
      </c>
      <c r="DJ92">
        <v>-6.8617899999999996E-2</v>
      </c>
      <c r="DK92">
        <v>2.2179600000000002</v>
      </c>
      <c r="DL92">
        <v>20.1966</v>
      </c>
      <c r="DM92">
        <v>5.2490399999999999</v>
      </c>
      <c r="DN92">
        <v>12.033899999999999</v>
      </c>
      <c r="DO92">
        <v>4.9669600000000003</v>
      </c>
      <c r="DP92">
        <v>3.2909999999999999</v>
      </c>
      <c r="DQ92">
        <v>608.1</v>
      </c>
      <c r="DR92">
        <v>9999</v>
      </c>
      <c r="DS92">
        <v>9999</v>
      </c>
      <c r="DT92">
        <v>9999</v>
      </c>
      <c r="DU92">
        <v>1.8711599999999999</v>
      </c>
      <c r="DV92">
        <v>1.87616</v>
      </c>
      <c r="DW92">
        <v>1.8763700000000001</v>
      </c>
      <c r="DX92">
        <v>1.88279</v>
      </c>
      <c r="DY92">
        <v>1.87561</v>
      </c>
      <c r="DZ92">
        <v>1.8746799999999999</v>
      </c>
      <c r="EA92">
        <v>1.8708800000000001</v>
      </c>
      <c r="EB92">
        <v>1.87466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-0.32600000000000001</v>
      </c>
      <c r="EQ92">
        <v>6.25E-2</v>
      </c>
      <c r="ER92">
        <v>-0.32652000000000198</v>
      </c>
      <c r="ES92">
        <v>0</v>
      </c>
      <c r="ET92">
        <v>0</v>
      </c>
      <c r="EU92">
        <v>0</v>
      </c>
      <c r="EV92">
        <v>6.2590000000000104E-2</v>
      </c>
      <c r="EW92">
        <v>0</v>
      </c>
      <c r="EX92">
        <v>0</v>
      </c>
      <c r="EY92">
        <v>0</v>
      </c>
      <c r="EZ92">
        <v>-1</v>
      </c>
      <c r="FA92">
        <v>-1</v>
      </c>
      <c r="FB92">
        <v>-1</v>
      </c>
      <c r="FC92">
        <v>-1</v>
      </c>
      <c r="FD92">
        <v>3.1</v>
      </c>
      <c r="FE92">
        <v>3.4</v>
      </c>
      <c r="FF92">
        <v>0.56884800000000002</v>
      </c>
      <c r="FG92">
        <v>2.6232899999999999</v>
      </c>
      <c r="FH92">
        <v>2.19604</v>
      </c>
      <c r="FI92">
        <v>2.5756800000000002</v>
      </c>
      <c r="FJ92">
        <v>2.4462899999999999</v>
      </c>
      <c r="FK92">
        <v>2.2570800000000002</v>
      </c>
      <c r="FL92">
        <v>33.042900000000003</v>
      </c>
      <c r="FM92">
        <v>24.1313</v>
      </c>
      <c r="FN92">
        <v>19</v>
      </c>
      <c r="FO92">
        <v>866.93499999999995</v>
      </c>
      <c r="FP92">
        <v>574.45600000000002</v>
      </c>
      <c r="FQ92">
        <v>17.9483</v>
      </c>
      <c r="FR92">
        <v>26.1295</v>
      </c>
      <c r="FS92">
        <v>30.0001</v>
      </c>
      <c r="FT92">
        <v>26.110399999999998</v>
      </c>
      <c r="FU92">
        <v>26.110600000000002</v>
      </c>
      <c r="FV92">
        <v>11.4316</v>
      </c>
      <c r="FW92">
        <v>28.1737</v>
      </c>
      <c r="FX92">
        <v>38.570099999999996</v>
      </c>
      <c r="FY92">
        <v>17.972200000000001</v>
      </c>
      <c r="FZ92">
        <v>150</v>
      </c>
      <c r="GA92">
        <v>13.732699999999999</v>
      </c>
      <c r="GB92">
        <v>99.797499999999999</v>
      </c>
      <c r="GC92">
        <v>99.769300000000001</v>
      </c>
    </row>
    <row r="93" spans="1:185" x14ac:dyDescent="0.2">
      <c r="A93">
        <v>78</v>
      </c>
      <c r="B93">
        <v>1771104661.0999999</v>
      </c>
      <c r="C93">
        <v>1548</v>
      </c>
      <c r="D93" t="s">
        <v>455</v>
      </c>
      <c r="E93" t="s">
        <v>456</v>
      </c>
      <c r="F93">
        <v>15</v>
      </c>
      <c r="G93">
        <v>1771104653.03333</v>
      </c>
      <c r="H93">
        <f t="shared" si="13"/>
        <v>1.6051276994331471E-3</v>
      </c>
      <c r="I93">
        <v>0</v>
      </c>
      <c r="J93">
        <f t="shared" si="25"/>
        <v>-3.3542272176554408E-2</v>
      </c>
      <c r="K93">
        <f t="shared" si="14"/>
        <v>-0.59977789726035435</v>
      </c>
      <c r="L93">
        <f t="shared" si="15"/>
        <v>71.77747774263608</v>
      </c>
      <c r="M93">
        <f t="shared" si="16"/>
        <v>1.5758833673558965</v>
      </c>
      <c r="N93">
        <f t="shared" si="17"/>
        <v>2.195512320739875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26201.524369549134</v>
      </c>
      <c r="T93">
        <f t="shared" si="21"/>
        <v>800.00026666666702</v>
      </c>
      <c r="U93">
        <f t="shared" si="22"/>
        <v>674.4004163200641</v>
      </c>
      <c r="V93">
        <f t="shared" si="23"/>
        <v>0.84300023939999991</v>
      </c>
      <c r="W93">
        <f t="shared" si="24"/>
        <v>0.158700559524</v>
      </c>
      <c r="X93">
        <v>1</v>
      </c>
      <c r="Y93">
        <v>1771104653.03333</v>
      </c>
      <c r="Z93">
        <v>150.4452</v>
      </c>
      <c r="AA93">
        <v>149.99733333333299</v>
      </c>
      <c r="AB93">
        <v>15.758753333333299</v>
      </c>
      <c r="AC93">
        <v>13.7839666666667</v>
      </c>
      <c r="AD93">
        <v>150.77186666666699</v>
      </c>
      <c r="AE93">
        <v>15.6961666666667</v>
      </c>
      <c r="AF93">
        <v>800.0018</v>
      </c>
      <c r="AG93">
        <v>99.937106666666693</v>
      </c>
      <c r="AH93">
        <v>6.3403146666666702E-2</v>
      </c>
      <c r="AI93">
        <v>18.9296066666667</v>
      </c>
      <c r="AJ93">
        <v>999.9</v>
      </c>
      <c r="AK93">
        <v>999.9</v>
      </c>
      <c r="AL93">
        <v>0</v>
      </c>
      <c r="AM93">
        <v>0</v>
      </c>
      <c r="AN93">
        <v>4998.2666666666701</v>
      </c>
      <c r="AO93">
        <v>0</v>
      </c>
      <c r="AP93">
        <v>1.63733</v>
      </c>
      <c r="AQ93">
        <v>0.44794</v>
      </c>
      <c r="AR93">
        <v>152.85413333333301</v>
      </c>
      <c r="AS93">
        <v>152.09393333333301</v>
      </c>
      <c r="AT93">
        <v>1.97479466666667</v>
      </c>
      <c r="AU93">
        <v>149.99733333333299</v>
      </c>
      <c r="AV93">
        <v>13.7839666666667</v>
      </c>
      <c r="AW93">
        <v>1.57488466666667</v>
      </c>
      <c r="AX93">
        <v>1.3775299999999999</v>
      </c>
      <c r="AY93">
        <v>13.71518</v>
      </c>
      <c r="AZ93">
        <v>11.6723933333333</v>
      </c>
      <c r="BA93">
        <v>800.00026666666702</v>
      </c>
      <c r="BB93">
        <v>0.89999260000000003</v>
      </c>
      <c r="BC93">
        <v>0</v>
      </c>
      <c r="BD93">
        <v>0.10000742</v>
      </c>
      <c r="BE93">
        <v>0</v>
      </c>
      <c r="BF93">
        <v>25</v>
      </c>
      <c r="BG93">
        <v>13190.993333333299</v>
      </c>
      <c r="BH93">
        <v>1771104462.0999999</v>
      </c>
      <c r="BI93" t="s">
        <v>442</v>
      </c>
      <c r="BJ93">
        <v>1771104462.0999999</v>
      </c>
      <c r="BK93">
        <v>1771104442.0999999</v>
      </c>
      <c r="BL93">
        <v>16</v>
      </c>
      <c r="BM93">
        <v>0.11600000000000001</v>
      </c>
      <c r="BN93">
        <v>3.0000000000000001E-3</v>
      </c>
      <c r="BO93">
        <v>-0.32700000000000001</v>
      </c>
      <c r="BP93">
        <v>6.3E-2</v>
      </c>
      <c r="BQ93">
        <v>50</v>
      </c>
      <c r="BR93">
        <v>14</v>
      </c>
      <c r="BS93">
        <v>0.14000000000000001</v>
      </c>
      <c r="BT93">
        <v>0.04</v>
      </c>
      <c r="BU93">
        <v>0.53908920000000005</v>
      </c>
      <c r="BV93">
        <v>-1.6364445112782</v>
      </c>
      <c r="BW93">
        <v>0.159131830706053</v>
      </c>
      <c r="BX93">
        <v>0</v>
      </c>
      <c r="BY93">
        <v>0</v>
      </c>
      <c r="BZ93">
        <v>0</v>
      </c>
      <c r="CA93">
        <v>0</v>
      </c>
      <c r="CB93">
        <v>-1</v>
      </c>
      <c r="CC93">
        <v>1.963676</v>
      </c>
      <c r="CD93">
        <v>0.17490315789473701</v>
      </c>
      <c r="CE93">
        <v>1.7619770827113499E-2</v>
      </c>
      <c r="CF93">
        <v>0</v>
      </c>
      <c r="CG93">
        <v>0</v>
      </c>
      <c r="CH93">
        <v>2</v>
      </c>
      <c r="CI93" t="s">
        <v>290</v>
      </c>
      <c r="CJ93">
        <v>3.5324800000000001</v>
      </c>
      <c r="CK93">
        <v>2.7012999999999998</v>
      </c>
      <c r="CL93">
        <v>4.1882999999999997E-2</v>
      </c>
      <c r="CM93">
        <v>4.1271599999999999E-2</v>
      </c>
      <c r="CN93">
        <v>8.8193900000000006E-2</v>
      </c>
      <c r="CO93">
        <v>7.8701599999999997E-2</v>
      </c>
      <c r="CP93">
        <v>33563.5</v>
      </c>
      <c r="CQ93">
        <v>29523.9</v>
      </c>
      <c r="CR93">
        <v>32424.7</v>
      </c>
      <c r="CS93">
        <v>30724.799999999999</v>
      </c>
      <c r="CT93">
        <v>40038.400000000001</v>
      </c>
      <c r="CU93">
        <v>39817.199999999997</v>
      </c>
      <c r="CV93">
        <v>47365.3</v>
      </c>
      <c r="CW93">
        <v>46872.1</v>
      </c>
      <c r="CX93">
        <v>2.61416</v>
      </c>
      <c r="CY93">
        <v>2.1181999999999999</v>
      </c>
      <c r="CZ93">
        <v>0</v>
      </c>
      <c r="DA93">
        <v>0</v>
      </c>
      <c r="DB93">
        <v>999.9</v>
      </c>
      <c r="DC93">
        <v>999.9</v>
      </c>
      <c r="DD93">
        <v>45.715000000000003</v>
      </c>
      <c r="DE93">
        <v>28.771999999999998</v>
      </c>
      <c r="DF93">
        <v>18.155899999999999</v>
      </c>
      <c r="DG93">
        <v>30.6082</v>
      </c>
      <c r="DH93">
        <v>17.067299999999999</v>
      </c>
      <c r="DI93">
        <v>2</v>
      </c>
      <c r="DJ93">
        <v>-6.8325200000000003E-2</v>
      </c>
      <c r="DK93">
        <v>2.1672400000000001</v>
      </c>
      <c r="DL93">
        <v>20.196999999999999</v>
      </c>
      <c r="DM93">
        <v>5.2498800000000001</v>
      </c>
      <c r="DN93">
        <v>12.033899999999999</v>
      </c>
      <c r="DO93">
        <v>4.9674800000000001</v>
      </c>
      <c r="DP93">
        <v>3.2909999999999999</v>
      </c>
      <c r="DQ93">
        <v>608.1</v>
      </c>
      <c r="DR93">
        <v>9999</v>
      </c>
      <c r="DS93">
        <v>9999</v>
      </c>
      <c r="DT93">
        <v>9999</v>
      </c>
      <c r="DU93">
        <v>1.87114</v>
      </c>
      <c r="DV93">
        <v>1.8761699999999999</v>
      </c>
      <c r="DW93">
        <v>1.87635</v>
      </c>
      <c r="DX93">
        <v>1.88279</v>
      </c>
      <c r="DY93">
        <v>1.87561</v>
      </c>
      <c r="DZ93">
        <v>1.87469</v>
      </c>
      <c r="EA93">
        <v>1.87087</v>
      </c>
      <c r="EB93">
        <v>1.8746499999999999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-0.32700000000000001</v>
      </c>
      <c r="EQ93">
        <v>6.2600000000000003E-2</v>
      </c>
      <c r="ER93">
        <v>-0.32652000000000198</v>
      </c>
      <c r="ES93">
        <v>0</v>
      </c>
      <c r="ET93">
        <v>0</v>
      </c>
      <c r="EU93">
        <v>0</v>
      </c>
      <c r="EV93">
        <v>6.2590000000000104E-2</v>
      </c>
      <c r="EW93">
        <v>0</v>
      </c>
      <c r="EX93">
        <v>0</v>
      </c>
      <c r="EY93">
        <v>0</v>
      </c>
      <c r="EZ93">
        <v>-1</v>
      </c>
      <c r="FA93">
        <v>-1</v>
      </c>
      <c r="FB93">
        <v>-1</v>
      </c>
      <c r="FC93">
        <v>-1</v>
      </c>
      <c r="FD93">
        <v>3.3</v>
      </c>
      <c r="FE93">
        <v>3.6</v>
      </c>
      <c r="FF93">
        <v>0.56884800000000002</v>
      </c>
      <c r="FG93">
        <v>2.6196299999999999</v>
      </c>
      <c r="FH93">
        <v>2.19604</v>
      </c>
      <c r="FI93">
        <v>2.5756800000000002</v>
      </c>
      <c r="FJ93">
        <v>2.4462899999999999</v>
      </c>
      <c r="FK93">
        <v>2.3095699999999999</v>
      </c>
      <c r="FL93">
        <v>33.042900000000003</v>
      </c>
      <c r="FM93">
        <v>24.113800000000001</v>
      </c>
      <c r="FN93">
        <v>19</v>
      </c>
      <c r="FO93">
        <v>867.00800000000004</v>
      </c>
      <c r="FP93">
        <v>573.95799999999997</v>
      </c>
      <c r="FQ93">
        <v>18.123899999999999</v>
      </c>
      <c r="FR93">
        <v>26.131599999999999</v>
      </c>
      <c r="FS93">
        <v>30.0001</v>
      </c>
      <c r="FT93">
        <v>26.1126</v>
      </c>
      <c r="FU93">
        <v>26.114100000000001</v>
      </c>
      <c r="FV93">
        <v>11.4314</v>
      </c>
      <c r="FW93">
        <v>29.017299999999999</v>
      </c>
      <c r="FX93">
        <v>38.198300000000003</v>
      </c>
      <c r="FY93">
        <v>18.135100000000001</v>
      </c>
      <c r="FZ93">
        <v>150</v>
      </c>
      <c r="GA93">
        <v>13.5824</v>
      </c>
      <c r="GB93">
        <v>99.795400000000001</v>
      </c>
      <c r="GC93">
        <v>99.767499999999998</v>
      </c>
    </row>
    <row r="94" spans="1:185" x14ac:dyDescent="0.2">
      <c r="A94">
        <v>79</v>
      </c>
      <c r="B94">
        <v>1771104676.0999999</v>
      </c>
      <c r="C94">
        <v>1563</v>
      </c>
      <c r="D94" t="s">
        <v>457</v>
      </c>
      <c r="E94" t="s">
        <v>458</v>
      </c>
      <c r="F94">
        <v>15</v>
      </c>
      <c r="G94">
        <v>1771104668.03333</v>
      </c>
      <c r="H94">
        <f t="shared" si="13"/>
        <v>1.6362308660889874E-3</v>
      </c>
      <c r="I94">
        <v>0</v>
      </c>
      <c r="J94">
        <f t="shared" si="25"/>
        <v>-2.5000558956986264E-2</v>
      </c>
      <c r="K94">
        <f t="shared" si="14"/>
        <v>-0.44704135136187612</v>
      </c>
      <c r="L94">
        <f t="shared" si="15"/>
        <v>71.031895554105134</v>
      </c>
      <c r="M94">
        <f t="shared" si="16"/>
        <v>1.5634495487815572</v>
      </c>
      <c r="N94">
        <f t="shared" si="17"/>
        <v>2.201052832091007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26222.413091295144</v>
      </c>
      <c r="T94">
        <f t="shared" si="21"/>
        <v>799.99966666666705</v>
      </c>
      <c r="U94">
        <f t="shared" si="22"/>
        <v>674.40001979987494</v>
      </c>
      <c r="V94">
        <f t="shared" si="23"/>
        <v>0.843000376</v>
      </c>
      <c r="W94">
        <f t="shared" si="24"/>
        <v>0.15870132975999998</v>
      </c>
      <c r="X94">
        <v>1</v>
      </c>
      <c r="Y94">
        <v>1771104668.03333</v>
      </c>
      <c r="Z94">
        <v>150.262933333333</v>
      </c>
      <c r="AA94">
        <v>150.01146666666699</v>
      </c>
      <c r="AB94">
        <v>15.634406666666701</v>
      </c>
      <c r="AC94">
        <v>13.621126666666701</v>
      </c>
      <c r="AD94">
        <v>150.589333333333</v>
      </c>
      <c r="AE94">
        <v>15.571820000000001</v>
      </c>
      <c r="AF94">
        <v>800.01260000000002</v>
      </c>
      <c r="AG94">
        <v>99.937373333333397</v>
      </c>
      <c r="AH94">
        <v>6.3194780000000006E-2</v>
      </c>
      <c r="AI94">
        <v>18.96998</v>
      </c>
      <c r="AJ94">
        <v>999.9</v>
      </c>
      <c r="AK94">
        <v>999.9</v>
      </c>
      <c r="AL94">
        <v>0</v>
      </c>
      <c r="AM94">
        <v>0</v>
      </c>
      <c r="AN94">
        <v>5002.3</v>
      </c>
      <c r="AO94">
        <v>0</v>
      </c>
      <c r="AP94">
        <v>1.63733</v>
      </c>
      <c r="AQ94">
        <v>0.25144973333333298</v>
      </c>
      <c r="AR94">
        <v>152.64953333333301</v>
      </c>
      <c r="AS94">
        <v>152.08293333333299</v>
      </c>
      <c r="AT94">
        <v>2.0132893333333302</v>
      </c>
      <c r="AU94">
        <v>150.01146666666699</v>
      </c>
      <c r="AV94">
        <v>13.621126666666701</v>
      </c>
      <c r="AW94">
        <v>1.56246333333333</v>
      </c>
      <c r="AX94">
        <v>1.36126066666667</v>
      </c>
      <c r="AY94">
        <v>13.5934666666667</v>
      </c>
      <c r="AZ94">
        <v>11.492793333333299</v>
      </c>
      <c r="BA94">
        <v>799.99966666666705</v>
      </c>
      <c r="BB94">
        <v>0.89998166666666701</v>
      </c>
      <c r="BC94">
        <v>0</v>
      </c>
      <c r="BD94">
        <v>0.100018133333333</v>
      </c>
      <c r="BE94">
        <v>0</v>
      </c>
      <c r="BF94">
        <v>25</v>
      </c>
      <c r="BG94">
        <v>13190.9533333333</v>
      </c>
      <c r="BH94">
        <v>1771104462.0999999</v>
      </c>
      <c r="BI94" t="s">
        <v>442</v>
      </c>
      <c r="BJ94">
        <v>1771104462.0999999</v>
      </c>
      <c r="BK94">
        <v>1771104442.0999999</v>
      </c>
      <c r="BL94">
        <v>16</v>
      </c>
      <c r="BM94">
        <v>0.11600000000000001</v>
      </c>
      <c r="BN94">
        <v>3.0000000000000001E-3</v>
      </c>
      <c r="BO94">
        <v>-0.32700000000000001</v>
      </c>
      <c r="BP94">
        <v>6.3E-2</v>
      </c>
      <c r="BQ94">
        <v>50</v>
      </c>
      <c r="BR94">
        <v>14</v>
      </c>
      <c r="BS94">
        <v>0.14000000000000001</v>
      </c>
      <c r="BT94">
        <v>0.04</v>
      </c>
      <c r="BU94">
        <v>0.28641333333333302</v>
      </c>
      <c r="BV94">
        <v>-0.55787883116883097</v>
      </c>
      <c r="BW94">
        <v>5.8223359122911801E-2</v>
      </c>
      <c r="BX94">
        <v>0</v>
      </c>
      <c r="BY94">
        <v>0</v>
      </c>
      <c r="BZ94">
        <v>0</v>
      </c>
      <c r="CA94">
        <v>0</v>
      </c>
      <c r="CB94">
        <v>-1</v>
      </c>
      <c r="CC94">
        <v>2.0048195238095201</v>
      </c>
      <c r="CD94">
        <v>0.12339662337662299</v>
      </c>
      <c r="CE94">
        <v>1.9408165065296999E-2</v>
      </c>
      <c r="CF94">
        <v>0</v>
      </c>
      <c r="CG94">
        <v>0</v>
      </c>
      <c r="CH94">
        <v>2</v>
      </c>
      <c r="CI94" t="s">
        <v>290</v>
      </c>
      <c r="CJ94">
        <v>3.53254</v>
      </c>
      <c r="CK94">
        <v>2.7010100000000001</v>
      </c>
      <c r="CL94">
        <v>4.1854000000000002E-2</v>
      </c>
      <c r="CM94">
        <v>4.1269899999999998E-2</v>
      </c>
      <c r="CN94">
        <v>8.7703900000000001E-2</v>
      </c>
      <c r="CO94">
        <v>7.83137E-2</v>
      </c>
      <c r="CP94">
        <v>33564</v>
      </c>
      <c r="CQ94">
        <v>29524.3</v>
      </c>
      <c r="CR94">
        <v>32424.2</v>
      </c>
      <c r="CS94">
        <v>30725.3</v>
      </c>
      <c r="CT94">
        <v>40060.199999999997</v>
      </c>
      <c r="CU94">
        <v>39834.800000000003</v>
      </c>
      <c r="CV94">
        <v>47364.9</v>
      </c>
      <c r="CW94">
        <v>46872.6</v>
      </c>
      <c r="CX94">
        <v>2.6139600000000001</v>
      </c>
      <c r="CY94">
        <v>2.1179800000000002</v>
      </c>
      <c r="CZ94">
        <v>0</v>
      </c>
      <c r="DA94">
        <v>0</v>
      </c>
      <c r="DB94">
        <v>999.9</v>
      </c>
      <c r="DC94">
        <v>999.9</v>
      </c>
      <c r="DD94">
        <v>45.665999999999997</v>
      </c>
      <c r="DE94">
        <v>28.771999999999998</v>
      </c>
      <c r="DF94">
        <v>18.134399999999999</v>
      </c>
      <c r="DG94">
        <v>30.6082</v>
      </c>
      <c r="DH94">
        <v>17.087299999999999</v>
      </c>
      <c r="DI94">
        <v>2</v>
      </c>
      <c r="DJ94">
        <v>-6.7969500000000002E-2</v>
      </c>
      <c r="DK94">
        <v>2.2319100000000001</v>
      </c>
      <c r="DL94">
        <v>20.1965</v>
      </c>
      <c r="DM94">
        <v>5.2502399999999998</v>
      </c>
      <c r="DN94">
        <v>12.033899999999999</v>
      </c>
      <c r="DO94">
        <v>4.9676</v>
      </c>
      <c r="DP94">
        <v>3.2909999999999999</v>
      </c>
      <c r="DQ94">
        <v>608.1</v>
      </c>
      <c r="DR94">
        <v>9999</v>
      </c>
      <c r="DS94">
        <v>9999</v>
      </c>
      <c r="DT94">
        <v>9999</v>
      </c>
      <c r="DU94">
        <v>1.8711800000000001</v>
      </c>
      <c r="DV94">
        <v>1.8761699999999999</v>
      </c>
      <c r="DW94">
        <v>1.8763700000000001</v>
      </c>
      <c r="DX94">
        <v>1.8828</v>
      </c>
      <c r="DY94">
        <v>1.87561</v>
      </c>
      <c r="DZ94">
        <v>1.87469</v>
      </c>
      <c r="EA94">
        <v>1.8708800000000001</v>
      </c>
      <c r="EB94">
        <v>1.8746799999999999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-0.32700000000000001</v>
      </c>
      <c r="EQ94">
        <v>6.2600000000000003E-2</v>
      </c>
      <c r="ER94">
        <v>-0.32652000000000198</v>
      </c>
      <c r="ES94">
        <v>0</v>
      </c>
      <c r="ET94">
        <v>0</v>
      </c>
      <c r="EU94">
        <v>0</v>
      </c>
      <c r="EV94">
        <v>6.2590000000000104E-2</v>
      </c>
      <c r="EW94">
        <v>0</v>
      </c>
      <c r="EX94">
        <v>0</v>
      </c>
      <c r="EY94">
        <v>0</v>
      </c>
      <c r="EZ94">
        <v>-1</v>
      </c>
      <c r="FA94">
        <v>-1</v>
      </c>
      <c r="FB94">
        <v>-1</v>
      </c>
      <c r="FC94">
        <v>-1</v>
      </c>
      <c r="FD94">
        <v>3.6</v>
      </c>
      <c r="FE94">
        <v>3.9</v>
      </c>
      <c r="FF94">
        <v>0.56884800000000002</v>
      </c>
      <c r="FG94">
        <v>2.6196299999999999</v>
      </c>
      <c r="FH94">
        <v>2.19604</v>
      </c>
      <c r="FI94">
        <v>2.5756800000000002</v>
      </c>
      <c r="FJ94">
        <v>2.4462899999999999</v>
      </c>
      <c r="FK94">
        <v>2.2802699999999998</v>
      </c>
      <c r="FL94">
        <v>33.042900000000003</v>
      </c>
      <c r="FM94">
        <v>24.1313</v>
      </c>
      <c r="FN94">
        <v>19</v>
      </c>
      <c r="FO94">
        <v>866.85599999999999</v>
      </c>
      <c r="FP94">
        <v>573.81399999999996</v>
      </c>
      <c r="FQ94">
        <v>18.2163</v>
      </c>
      <c r="FR94">
        <v>26.133900000000001</v>
      </c>
      <c r="FS94">
        <v>30.000299999999999</v>
      </c>
      <c r="FT94">
        <v>26.114799999999999</v>
      </c>
      <c r="FU94">
        <v>26.116299999999999</v>
      </c>
      <c r="FV94">
        <v>11.430199999999999</v>
      </c>
      <c r="FW94">
        <v>29.017299999999999</v>
      </c>
      <c r="FX94">
        <v>38.198300000000003</v>
      </c>
      <c r="FY94">
        <v>18.214700000000001</v>
      </c>
      <c r="FZ94">
        <v>150</v>
      </c>
      <c r="GA94">
        <v>13.5069</v>
      </c>
      <c r="GB94">
        <v>99.794300000000007</v>
      </c>
      <c r="GC94">
        <v>99.768699999999995</v>
      </c>
    </row>
    <row r="95" spans="1:185" x14ac:dyDescent="0.2">
      <c r="A95">
        <v>80</v>
      </c>
      <c r="B95">
        <v>1771104691.0999999</v>
      </c>
      <c r="C95">
        <v>1578</v>
      </c>
      <c r="D95" t="s">
        <v>459</v>
      </c>
      <c r="E95" t="s">
        <v>460</v>
      </c>
      <c r="F95">
        <v>15</v>
      </c>
      <c r="G95">
        <v>1771104683.03333</v>
      </c>
      <c r="H95">
        <f t="shared" si="13"/>
        <v>1.6102086316451215E-3</v>
      </c>
      <c r="I95">
        <v>0</v>
      </c>
      <c r="J95">
        <f t="shared" si="25"/>
        <v>-2.1039853624498034E-2</v>
      </c>
      <c r="K95">
        <f t="shared" si="14"/>
        <v>-0.37621897226115031</v>
      </c>
      <c r="L95">
        <f t="shared" si="15"/>
        <v>70.423781772796488</v>
      </c>
      <c r="M95">
        <f t="shared" si="16"/>
        <v>1.5536654973129029</v>
      </c>
      <c r="N95">
        <f t="shared" si="17"/>
        <v>2.2061659544575289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26221.481276521474</v>
      </c>
      <c r="T95">
        <f t="shared" si="21"/>
        <v>800.00146666666603</v>
      </c>
      <c r="U95">
        <f t="shared" si="22"/>
        <v>674.40145080039247</v>
      </c>
      <c r="V95">
        <f t="shared" si="23"/>
        <v>0.84300026799999994</v>
      </c>
      <c r="W95">
        <f t="shared" si="24"/>
        <v>0.15870066999999996</v>
      </c>
      <c r="X95">
        <v>1</v>
      </c>
      <c r="Y95">
        <v>1771104683.03333</v>
      </c>
      <c r="Z95">
        <v>150.17853333333301</v>
      </c>
      <c r="AA95">
        <v>150.010533333333</v>
      </c>
      <c r="AB95">
        <v>15.5364466666667</v>
      </c>
      <c r="AC95">
        <v>13.554959999999999</v>
      </c>
      <c r="AD95">
        <v>150.5052</v>
      </c>
      <c r="AE95">
        <v>15.473853333333301</v>
      </c>
      <c r="AF95">
        <v>800.00120000000004</v>
      </c>
      <c r="AG95">
        <v>99.938079999999999</v>
      </c>
      <c r="AH95">
        <v>6.3260759999999999E-2</v>
      </c>
      <c r="AI95">
        <v>19.007159999999999</v>
      </c>
      <c r="AJ95">
        <v>999.9</v>
      </c>
      <c r="AK95">
        <v>999.9</v>
      </c>
      <c r="AL95">
        <v>0</v>
      </c>
      <c r="AM95">
        <v>0</v>
      </c>
      <c r="AN95">
        <v>5002.6666666666697</v>
      </c>
      <c r="AO95">
        <v>0</v>
      </c>
      <c r="AP95">
        <v>1.63733</v>
      </c>
      <c r="AQ95">
        <v>0.168098</v>
      </c>
      <c r="AR95">
        <v>152.54859999999999</v>
      </c>
      <c r="AS95">
        <v>152.071666666667</v>
      </c>
      <c r="AT95">
        <v>1.98147933333333</v>
      </c>
      <c r="AU95">
        <v>150.010533333333</v>
      </c>
      <c r="AV95">
        <v>13.554959999999999</v>
      </c>
      <c r="AW95">
        <v>1.5526833333333301</v>
      </c>
      <c r="AX95">
        <v>1.3546560000000001</v>
      </c>
      <c r="AY95">
        <v>13.49704</v>
      </c>
      <c r="AZ95">
        <v>11.4193466666667</v>
      </c>
      <c r="BA95">
        <v>800.00146666666603</v>
      </c>
      <c r="BB95">
        <v>0.89999106666666695</v>
      </c>
      <c r="BC95">
        <v>0</v>
      </c>
      <c r="BD95">
        <v>0.10000893333333299</v>
      </c>
      <c r="BE95">
        <v>0</v>
      </c>
      <c r="BF95">
        <v>25</v>
      </c>
      <c r="BG95">
        <v>13191.0133333333</v>
      </c>
      <c r="BH95">
        <v>1771104462.0999999</v>
      </c>
      <c r="BI95" t="s">
        <v>442</v>
      </c>
      <c r="BJ95">
        <v>1771104462.0999999</v>
      </c>
      <c r="BK95">
        <v>1771104442.0999999</v>
      </c>
      <c r="BL95">
        <v>16</v>
      </c>
      <c r="BM95">
        <v>0.11600000000000001</v>
      </c>
      <c r="BN95">
        <v>3.0000000000000001E-3</v>
      </c>
      <c r="BO95">
        <v>-0.32700000000000001</v>
      </c>
      <c r="BP95">
        <v>6.3E-2</v>
      </c>
      <c r="BQ95">
        <v>50</v>
      </c>
      <c r="BR95">
        <v>14</v>
      </c>
      <c r="BS95">
        <v>0.14000000000000001</v>
      </c>
      <c r="BT95">
        <v>0.04</v>
      </c>
      <c r="BU95">
        <v>0.18316279999999999</v>
      </c>
      <c r="BV95">
        <v>-0.28696944360902199</v>
      </c>
      <c r="BW95">
        <v>3.2223612583942199E-2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1.9879335</v>
      </c>
      <c r="CD95">
        <v>-9.20909774436066E-2</v>
      </c>
      <c r="CE95">
        <v>1.2843985859148199E-2</v>
      </c>
      <c r="CF95">
        <v>1</v>
      </c>
      <c r="CG95">
        <v>2</v>
      </c>
      <c r="CH95">
        <v>2</v>
      </c>
      <c r="CI95" t="s">
        <v>322</v>
      </c>
      <c r="CJ95">
        <v>3.53247</v>
      </c>
      <c r="CK95">
        <v>2.7011599999999998</v>
      </c>
      <c r="CL95">
        <v>4.1845100000000003E-2</v>
      </c>
      <c r="CM95">
        <v>4.1266700000000003E-2</v>
      </c>
      <c r="CN95">
        <v>8.7316099999999994E-2</v>
      </c>
      <c r="CO95">
        <v>7.7921400000000002E-2</v>
      </c>
      <c r="CP95">
        <v>33563.5</v>
      </c>
      <c r="CQ95">
        <v>29523</v>
      </c>
      <c r="CR95">
        <v>32423.4</v>
      </c>
      <c r="CS95">
        <v>30723.8</v>
      </c>
      <c r="CT95">
        <v>40077</v>
      </c>
      <c r="CU95">
        <v>39850.800000000003</v>
      </c>
      <c r="CV95">
        <v>47364.1</v>
      </c>
      <c r="CW95">
        <v>46871</v>
      </c>
      <c r="CX95">
        <v>2.61368</v>
      </c>
      <c r="CY95">
        <v>2.1173600000000001</v>
      </c>
      <c r="CZ95">
        <v>0</v>
      </c>
      <c r="DA95">
        <v>0</v>
      </c>
      <c r="DB95">
        <v>999.9</v>
      </c>
      <c r="DC95">
        <v>999.9</v>
      </c>
      <c r="DD95">
        <v>45.616999999999997</v>
      </c>
      <c r="DE95">
        <v>28.771999999999998</v>
      </c>
      <c r="DF95">
        <v>18.116599999999998</v>
      </c>
      <c r="DG95">
        <v>30.578199999999999</v>
      </c>
      <c r="DH95">
        <v>17.095400000000001</v>
      </c>
      <c r="DI95">
        <v>2</v>
      </c>
      <c r="DJ95">
        <v>-6.0032500000000003E-2</v>
      </c>
      <c r="DK95">
        <v>3.6619000000000002</v>
      </c>
      <c r="DL95">
        <v>20.164100000000001</v>
      </c>
      <c r="DM95">
        <v>5.2471199999999998</v>
      </c>
      <c r="DN95">
        <v>12.033899999999999</v>
      </c>
      <c r="DO95">
        <v>4.9668799999999997</v>
      </c>
      <c r="DP95">
        <v>3.2905799999999998</v>
      </c>
      <c r="DQ95">
        <v>608.1</v>
      </c>
      <c r="DR95">
        <v>9999</v>
      </c>
      <c r="DS95">
        <v>9999</v>
      </c>
      <c r="DT95">
        <v>9999</v>
      </c>
      <c r="DU95">
        <v>1.87114</v>
      </c>
      <c r="DV95">
        <v>1.87618</v>
      </c>
      <c r="DW95">
        <v>1.8763700000000001</v>
      </c>
      <c r="DX95">
        <v>1.8828</v>
      </c>
      <c r="DY95">
        <v>1.87561</v>
      </c>
      <c r="DZ95">
        <v>1.8746799999999999</v>
      </c>
      <c r="EA95">
        <v>1.87087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-0.32600000000000001</v>
      </c>
      <c r="EQ95">
        <v>6.25E-2</v>
      </c>
      <c r="ER95">
        <v>-0.32652000000000198</v>
      </c>
      <c r="ES95">
        <v>0</v>
      </c>
      <c r="ET95">
        <v>0</v>
      </c>
      <c r="EU95">
        <v>0</v>
      </c>
      <c r="EV95">
        <v>6.2590000000000104E-2</v>
      </c>
      <c r="EW95">
        <v>0</v>
      </c>
      <c r="EX95">
        <v>0</v>
      </c>
      <c r="EY95">
        <v>0</v>
      </c>
      <c r="EZ95">
        <v>-1</v>
      </c>
      <c r="FA95">
        <v>-1</v>
      </c>
      <c r="FB95">
        <v>-1</v>
      </c>
      <c r="FC95">
        <v>-1</v>
      </c>
      <c r="FD95">
        <v>3.8</v>
      </c>
      <c r="FE95">
        <v>4.2</v>
      </c>
      <c r="FF95">
        <v>0.56884800000000002</v>
      </c>
      <c r="FG95">
        <v>2.6122999999999998</v>
      </c>
      <c r="FH95">
        <v>2.19604</v>
      </c>
      <c r="FI95">
        <v>2.5756800000000002</v>
      </c>
      <c r="FJ95">
        <v>2.4462899999999999</v>
      </c>
      <c r="FK95">
        <v>2.3144499999999999</v>
      </c>
      <c r="FL95">
        <v>33.042900000000003</v>
      </c>
      <c r="FM95">
        <v>24.14</v>
      </c>
      <c r="FN95">
        <v>19</v>
      </c>
      <c r="FO95">
        <v>866.62900000000002</v>
      </c>
      <c r="FP95">
        <v>573.36300000000006</v>
      </c>
      <c r="FQ95">
        <v>17.7361</v>
      </c>
      <c r="FR95">
        <v>26.133900000000001</v>
      </c>
      <c r="FS95">
        <v>30.002700000000001</v>
      </c>
      <c r="FT95">
        <v>26.117000000000001</v>
      </c>
      <c r="FU95">
        <v>26.118500000000001</v>
      </c>
      <c r="FV95">
        <v>11.428900000000001</v>
      </c>
      <c r="FW95">
        <v>29.316600000000001</v>
      </c>
      <c r="FX95">
        <v>37.825699999999998</v>
      </c>
      <c r="FY95">
        <v>17.711400000000001</v>
      </c>
      <c r="FZ95">
        <v>150</v>
      </c>
      <c r="GA95">
        <v>13.552</v>
      </c>
      <c r="GB95">
        <v>99.792299999999997</v>
      </c>
      <c r="GC95">
        <v>99.764700000000005</v>
      </c>
    </row>
    <row r="96" spans="1:185" x14ac:dyDescent="0.2">
      <c r="A96">
        <v>81</v>
      </c>
      <c r="B96">
        <v>1771104706.0999999</v>
      </c>
      <c r="C96">
        <v>1593</v>
      </c>
      <c r="D96" t="s">
        <v>461</v>
      </c>
      <c r="E96" t="s">
        <v>462</v>
      </c>
      <c r="F96">
        <v>15</v>
      </c>
      <c r="G96">
        <v>1771104698.03333</v>
      </c>
      <c r="H96">
        <f t="shared" si="13"/>
        <v>1.5867936897701936E-3</v>
      </c>
      <c r="I96">
        <v>0</v>
      </c>
      <c r="J96">
        <f t="shared" si="25"/>
        <v>-1.9728412855836309E-2</v>
      </c>
      <c r="K96">
        <f t="shared" si="14"/>
        <v>-0.35276876642926164</v>
      </c>
      <c r="L96">
        <f t="shared" si="15"/>
        <v>70.014909350532875</v>
      </c>
      <c r="M96">
        <f t="shared" si="16"/>
        <v>1.5440604551331125</v>
      </c>
      <c r="N96">
        <f t="shared" si="17"/>
        <v>2.2053309351622561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26207.220916027247</v>
      </c>
      <c r="T96">
        <f t="shared" si="21"/>
        <v>799.99926666666704</v>
      </c>
      <c r="U96">
        <f t="shared" si="22"/>
        <v>674.39961059979055</v>
      </c>
      <c r="V96">
        <f t="shared" si="23"/>
        <v>0.84300028599999999</v>
      </c>
      <c r="W96">
        <f t="shared" si="24"/>
        <v>0.15870110475999999</v>
      </c>
      <c r="X96">
        <v>1</v>
      </c>
      <c r="Y96">
        <v>1771104698.03333</v>
      </c>
      <c r="Z96">
        <v>150.15219999999999</v>
      </c>
      <c r="AA96">
        <v>150.009066666667</v>
      </c>
      <c r="AB96">
        <v>15.4404</v>
      </c>
      <c r="AC96">
        <v>13.48756</v>
      </c>
      <c r="AD96">
        <v>150.47866666666701</v>
      </c>
      <c r="AE96">
        <v>15.3778066666667</v>
      </c>
      <c r="AF96">
        <v>800.01073333333295</v>
      </c>
      <c r="AG96">
        <v>99.937846666666701</v>
      </c>
      <c r="AH96">
        <v>6.3478113333333294E-2</v>
      </c>
      <c r="AI96">
        <v>19.001093333333301</v>
      </c>
      <c r="AJ96">
        <v>999.9</v>
      </c>
      <c r="AK96">
        <v>999.9</v>
      </c>
      <c r="AL96">
        <v>0</v>
      </c>
      <c r="AM96">
        <v>0</v>
      </c>
      <c r="AN96">
        <v>5000.2333333333299</v>
      </c>
      <c r="AO96">
        <v>0</v>
      </c>
      <c r="AP96">
        <v>1.63733</v>
      </c>
      <c r="AQ96">
        <v>0.14314879999999999</v>
      </c>
      <c r="AR96">
        <v>152.506933333333</v>
      </c>
      <c r="AS96">
        <v>152.06006666666701</v>
      </c>
      <c r="AT96">
        <v>1.9528380000000001</v>
      </c>
      <c r="AU96">
        <v>150.009066666667</v>
      </c>
      <c r="AV96">
        <v>13.48756</v>
      </c>
      <c r="AW96">
        <v>1.5430793333333299</v>
      </c>
      <c r="AX96">
        <v>1.3479173333333301</v>
      </c>
      <c r="AY96">
        <v>13.4018266666667</v>
      </c>
      <c r="AZ96">
        <v>11.344053333333299</v>
      </c>
      <c r="BA96">
        <v>799.99926666666704</v>
      </c>
      <c r="BB96">
        <v>0.89998466666666699</v>
      </c>
      <c r="BC96">
        <v>0</v>
      </c>
      <c r="BD96">
        <v>0.10001513333333301</v>
      </c>
      <c r="BE96">
        <v>0</v>
      </c>
      <c r="BF96">
        <v>25</v>
      </c>
      <c r="BG96">
        <v>13190.946666666699</v>
      </c>
      <c r="BH96">
        <v>1771104462.0999999</v>
      </c>
      <c r="BI96" t="s">
        <v>442</v>
      </c>
      <c r="BJ96">
        <v>1771104462.0999999</v>
      </c>
      <c r="BK96">
        <v>1771104442.0999999</v>
      </c>
      <c r="BL96">
        <v>16</v>
      </c>
      <c r="BM96">
        <v>0.11600000000000001</v>
      </c>
      <c r="BN96">
        <v>3.0000000000000001E-3</v>
      </c>
      <c r="BO96">
        <v>-0.32700000000000001</v>
      </c>
      <c r="BP96">
        <v>6.3E-2</v>
      </c>
      <c r="BQ96">
        <v>50</v>
      </c>
      <c r="BR96">
        <v>14</v>
      </c>
      <c r="BS96">
        <v>0.14000000000000001</v>
      </c>
      <c r="BT96">
        <v>0.04</v>
      </c>
      <c r="BU96">
        <v>0.1487068</v>
      </c>
      <c r="BV96">
        <v>-0.14986024060150399</v>
      </c>
      <c r="BW96">
        <v>2.07794753846193E-2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1.9595929999999999</v>
      </c>
      <c r="CD96">
        <v>-0.17392330827067201</v>
      </c>
      <c r="CE96">
        <v>1.7180399908034698E-2</v>
      </c>
      <c r="CF96">
        <v>0</v>
      </c>
      <c r="CG96">
        <v>1</v>
      </c>
      <c r="CH96">
        <v>2</v>
      </c>
      <c r="CI96" t="s">
        <v>299</v>
      </c>
      <c r="CJ96">
        <v>3.5325799999999998</v>
      </c>
      <c r="CK96">
        <v>2.70112</v>
      </c>
      <c r="CL96">
        <v>4.1835799999999999E-2</v>
      </c>
      <c r="CM96">
        <v>4.12685E-2</v>
      </c>
      <c r="CN96">
        <v>8.7038900000000002E-2</v>
      </c>
      <c r="CO96">
        <v>7.78528E-2</v>
      </c>
      <c r="CP96">
        <v>33564.199999999997</v>
      </c>
      <c r="CQ96">
        <v>29523.3</v>
      </c>
      <c r="CR96">
        <v>32423.8</v>
      </c>
      <c r="CS96">
        <v>30724.2</v>
      </c>
      <c r="CT96">
        <v>40089.5</v>
      </c>
      <c r="CU96">
        <v>39854.300000000003</v>
      </c>
      <c r="CV96">
        <v>47364.1</v>
      </c>
      <c r="CW96">
        <v>46871.5</v>
      </c>
      <c r="CX96">
        <v>2.6135600000000001</v>
      </c>
      <c r="CY96">
        <v>2.11734</v>
      </c>
      <c r="CZ96">
        <v>0</v>
      </c>
      <c r="DA96">
        <v>0</v>
      </c>
      <c r="DB96">
        <v>999.9</v>
      </c>
      <c r="DC96">
        <v>999.9</v>
      </c>
      <c r="DD96">
        <v>45.543999999999997</v>
      </c>
      <c r="DE96">
        <v>28.771999999999998</v>
      </c>
      <c r="DF96">
        <v>18.087599999999998</v>
      </c>
      <c r="DG96">
        <v>30.398199999999999</v>
      </c>
      <c r="DH96">
        <v>16.9511</v>
      </c>
      <c r="DI96">
        <v>2</v>
      </c>
      <c r="DJ96">
        <v>-6.4906500000000006E-2</v>
      </c>
      <c r="DK96">
        <v>2.8863099999999999</v>
      </c>
      <c r="DL96">
        <v>20.184100000000001</v>
      </c>
      <c r="DM96">
        <v>5.2507099999999998</v>
      </c>
      <c r="DN96">
        <v>12.033899999999999</v>
      </c>
      <c r="DO96">
        <v>4.9675599999999998</v>
      </c>
      <c r="DP96">
        <v>3.2909999999999999</v>
      </c>
      <c r="DQ96">
        <v>608.1</v>
      </c>
      <c r="DR96">
        <v>9999</v>
      </c>
      <c r="DS96">
        <v>9999</v>
      </c>
      <c r="DT96">
        <v>9999</v>
      </c>
      <c r="DU96">
        <v>1.87117</v>
      </c>
      <c r="DV96">
        <v>1.8762000000000001</v>
      </c>
      <c r="DW96">
        <v>1.8763700000000001</v>
      </c>
      <c r="DX96">
        <v>1.8828499999999999</v>
      </c>
      <c r="DY96">
        <v>1.87561</v>
      </c>
      <c r="DZ96">
        <v>1.87469</v>
      </c>
      <c r="EA96">
        <v>1.8708800000000001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-0.32600000000000001</v>
      </c>
      <c r="EQ96">
        <v>6.2600000000000003E-2</v>
      </c>
      <c r="ER96">
        <v>-0.32652000000000198</v>
      </c>
      <c r="ES96">
        <v>0</v>
      </c>
      <c r="ET96">
        <v>0</v>
      </c>
      <c r="EU96">
        <v>0</v>
      </c>
      <c r="EV96">
        <v>6.2590000000000104E-2</v>
      </c>
      <c r="EW96">
        <v>0</v>
      </c>
      <c r="EX96">
        <v>0</v>
      </c>
      <c r="EY96">
        <v>0</v>
      </c>
      <c r="EZ96">
        <v>-1</v>
      </c>
      <c r="FA96">
        <v>-1</v>
      </c>
      <c r="FB96">
        <v>-1</v>
      </c>
      <c r="FC96">
        <v>-1</v>
      </c>
      <c r="FD96">
        <v>4.0999999999999996</v>
      </c>
      <c r="FE96">
        <v>4.4000000000000004</v>
      </c>
      <c r="FF96">
        <v>0.56884800000000002</v>
      </c>
      <c r="FG96">
        <v>2.6208499999999999</v>
      </c>
      <c r="FH96">
        <v>2.19604</v>
      </c>
      <c r="FI96">
        <v>2.5744600000000002</v>
      </c>
      <c r="FJ96">
        <v>2.4462899999999999</v>
      </c>
      <c r="FK96">
        <v>2.2973599999999998</v>
      </c>
      <c r="FL96">
        <v>33.042900000000003</v>
      </c>
      <c r="FM96">
        <v>24.1313</v>
      </c>
      <c r="FN96">
        <v>19</v>
      </c>
      <c r="FO96">
        <v>866.55100000000004</v>
      </c>
      <c r="FP96">
        <v>573.37199999999996</v>
      </c>
      <c r="FQ96">
        <v>17.654299999999999</v>
      </c>
      <c r="FR96">
        <v>26.135200000000001</v>
      </c>
      <c r="FS96">
        <v>29.999199999999998</v>
      </c>
      <c r="FT96">
        <v>26.119199999999999</v>
      </c>
      <c r="FU96">
        <v>26.120699999999999</v>
      </c>
      <c r="FV96">
        <v>11.4284</v>
      </c>
      <c r="FW96">
        <v>29.025200000000002</v>
      </c>
      <c r="FX96">
        <v>37.825699999999998</v>
      </c>
      <c r="FY96">
        <v>17.684699999999999</v>
      </c>
      <c r="FZ96">
        <v>150</v>
      </c>
      <c r="GA96">
        <v>13.5596</v>
      </c>
      <c r="GB96">
        <v>99.792699999999996</v>
      </c>
      <c r="GC96">
        <v>99.765799999999999</v>
      </c>
    </row>
    <row r="97" spans="1:185" x14ac:dyDescent="0.2">
      <c r="A97">
        <v>82</v>
      </c>
      <c r="B97">
        <v>1771104721.0999999</v>
      </c>
      <c r="C97">
        <v>1608</v>
      </c>
      <c r="D97" t="s">
        <v>463</v>
      </c>
      <c r="E97" t="s">
        <v>464</v>
      </c>
      <c r="F97">
        <v>15</v>
      </c>
      <c r="G97">
        <v>1771104713.03333</v>
      </c>
      <c r="H97">
        <f t="shared" si="13"/>
        <v>1.5519718474804234E-3</v>
      </c>
      <c r="I97">
        <v>0</v>
      </c>
      <c r="J97">
        <f t="shared" si="25"/>
        <v>-1.9040102973746295E-2</v>
      </c>
      <c r="K97">
        <f t="shared" si="14"/>
        <v>-0.3404609224176674</v>
      </c>
      <c r="L97">
        <f t="shared" si="15"/>
        <v>69.995286588655659</v>
      </c>
      <c r="M97">
        <f t="shared" si="16"/>
        <v>1.5414527295614531</v>
      </c>
      <c r="N97">
        <f t="shared" si="17"/>
        <v>2.2022236134558248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26196.325970444908</v>
      </c>
      <c r="T97">
        <f t="shared" si="21"/>
        <v>799.999866666667</v>
      </c>
      <c r="U97">
        <f t="shared" si="22"/>
        <v>674.39998679998348</v>
      </c>
      <c r="V97">
        <f t="shared" si="23"/>
        <v>0.84300012399999968</v>
      </c>
      <c r="W97">
        <f t="shared" si="24"/>
        <v>0.15870121943999996</v>
      </c>
      <c r="X97">
        <v>1</v>
      </c>
      <c r="Y97">
        <v>1771104713.03333</v>
      </c>
      <c r="Z97">
        <v>150.12686666666701</v>
      </c>
      <c r="AA97">
        <v>149.992533333333</v>
      </c>
      <c r="AB97">
        <v>15.414353333333301</v>
      </c>
      <c r="AC97">
        <v>13.50432</v>
      </c>
      <c r="AD97">
        <v>150.45359999999999</v>
      </c>
      <c r="AE97">
        <v>15.351760000000001</v>
      </c>
      <c r="AF97">
        <v>800.01179999999999</v>
      </c>
      <c r="AG97">
        <v>99.937866666666693</v>
      </c>
      <c r="AH97">
        <v>6.3261906666666701E-2</v>
      </c>
      <c r="AI97">
        <v>18.9785</v>
      </c>
      <c r="AJ97">
        <v>999.9</v>
      </c>
      <c r="AK97">
        <v>999.9</v>
      </c>
      <c r="AL97">
        <v>0</v>
      </c>
      <c r="AM97">
        <v>0</v>
      </c>
      <c r="AN97">
        <v>4998.1000000000004</v>
      </c>
      <c r="AO97">
        <v>0</v>
      </c>
      <c r="AP97">
        <v>1.63733</v>
      </c>
      <c r="AQ97">
        <v>0.13453580000000001</v>
      </c>
      <c r="AR97">
        <v>152.47726666666699</v>
      </c>
      <c r="AS97">
        <v>152.04566666666699</v>
      </c>
      <c r="AT97">
        <v>1.910056</v>
      </c>
      <c r="AU97">
        <v>149.992533333333</v>
      </c>
      <c r="AV97">
        <v>13.50432</v>
      </c>
      <c r="AW97">
        <v>1.5404786666666701</v>
      </c>
      <c r="AX97">
        <v>1.3495900000000001</v>
      </c>
      <c r="AY97">
        <v>13.3759466666667</v>
      </c>
      <c r="AZ97">
        <v>11.3628</v>
      </c>
      <c r="BA97">
        <v>799.999866666667</v>
      </c>
      <c r="BB97">
        <v>0.899982333333333</v>
      </c>
      <c r="BC97">
        <v>0</v>
      </c>
      <c r="BD97">
        <v>0.1000172</v>
      </c>
      <c r="BE97">
        <v>0</v>
      </c>
      <c r="BF97">
        <v>25</v>
      </c>
      <c r="BG97">
        <v>13190.96</v>
      </c>
      <c r="BH97">
        <v>1771104462.0999999</v>
      </c>
      <c r="BI97" t="s">
        <v>442</v>
      </c>
      <c r="BJ97">
        <v>1771104462.0999999</v>
      </c>
      <c r="BK97">
        <v>1771104442.0999999</v>
      </c>
      <c r="BL97">
        <v>16</v>
      </c>
      <c r="BM97">
        <v>0.11600000000000001</v>
      </c>
      <c r="BN97">
        <v>3.0000000000000001E-3</v>
      </c>
      <c r="BO97">
        <v>-0.32700000000000001</v>
      </c>
      <c r="BP97">
        <v>6.3E-2</v>
      </c>
      <c r="BQ97">
        <v>50</v>
      </c>
      <c r="BR97">
        <v>14</v>
      </c>
      <c r="BS97">
        <v>0.14000000000000001</v>
      </c>
      <c r="BT97">
        <v>0.04</v>
      </c>
      <c r="BU97">
        <v>0.13467919047619001</v>
      </c>
      <c r="BV97">
        <v>-1.9790805194805101E-2</v>
      </c>
      <c r="BW97">
        <v>8.9376651080003196E-3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1.9182085714285699</v>
      </c>
      <c r="CD97">
        <v>-0.156642857142854</v>
      </c>
      <c r="CE97">
        <v>1.6368183797120801E-2</v>
      </c>
      <c r="CF97">
        <v>0</v>
      </c>
      <c r="CG97">
        <v>1</v>
      </c>
      <c r="CH97">
        <v>2</v>
      </c>
      <c r="CI97" t="s">
        <v>299</v>
      </c>
      <c r="CJ97">
        <v>3.5325500000000001</v>
      </c>
      <c r="CK97">
        <v>2.7010000000000001</v>
      </c>
      <c r="CL97">
        <v>4.1824199999999999E-2</v>
      </c>
      <c r="CM97">
        <v>4.1265700000000002E-2</v>
      </c>
      <c r="CN97">
        <v>8.7027300000000002E-2</v>
      </c>
      <c r="CO97">
        <v>7.79831E-2</v>
      </c>
      <c r="CP97">
        <v>33564</v>
      </c>
      <c r="CQ97">
        <v>29524.1</v>
      </c>
      <c r="CR97">
        <v>32423.3</v>
      </c>
      <c r="CS97">
        <v>30724.9</v>
      </c>
      <c r="CT97">
        <v>40089.9</v>
      </c>
      <c r="CU97">
        <v>39849.300000000003</v>
      </c>
      <c r="CV97">
        <v>47363.9</v>
      </c>
      <c r="CW97">
        <v>46872.5</v>
      </c>
      <c r="CX97">
        <v>2.61368</v>
      </c>
      <c r="CY97">
        <v>2.1175199999999998</v>
      </c>
      <c r="CZ97">
        <v>0</v>
      </c>
      <c r="DA97">
        <v>0</v>
      </c>
      <c r="DB97">
        <v>999.9</v>
      </c>
      <c r="DC97">
        <v>999.9</v>
      </c>
      <c r="DD97">
        <v>45.518999999999998</v>
      </c>
      <c r="DE97">
        <v>28.782</v>
      </c>
      <c r="DF97">
        <v>18.089099999999998</v>
      </c>
      <c r="DG97">
        <v>30.488199999999999</v>
      </c>
      <c r="DH97">
        <v>17.099399999999999</v>
      </c>
      <c r="DI97">
        <v>2</v>
      </c>
      <c r="DJ97">
        <v>-6.5872E-2</v>
      </c>
      <c r="DK97">
        <v>2.7484299999999999</v>
      </c>
      <c r="DL97">
        <v>20.186699999999998</v>
      </c>
      <c r="DM97">
        <v>5.2484400000000004</v>
      </c>
      <c r="DN97">
        <v>12.033899999999999</v>
      </c>
      <c r="DO97">
        <v>4.9671200000000004</v>
      </c>
      <c r="DP97">
        <v>3.2906399999999998</v>
      </c>
      <c r="DQ97">
        <v>608.1</v>
      </c>
      <c r="DR97">
        <v>9999</v>
      </c>
      <c r="DS97">
        <v>9999</v>
      </c>
      <c r="DT97">
        <v>9999</v>
      </c>
      <c r="DU97">
        <v>1.8711800000000001</v>
      </c>
      <c r="DV97">
        <v>1.87622</v>
      </c>
      <c r="DW97">
        <v>1.8763700000000001</v>
      </c>
      <c r="DX97">
        <v>1.88286</v>
      </c>
      <c r="DY97">
        <v>1.87561</v>
      </c>
      <c r="DZ97">
        <v>1.87469</v>
      </c>
      <c r="EA97">
        <v>1.8708800000000001</v>
      </c>
      <c r="EB97">
        <v>1.8746700000000001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-0.32600000000000001</v>
      </c>
      <c r="EQ97">
        <v>6.2600000000000003E-2</v>
      </c>
      <c r="ER97">
        <v>-0.32652000000000198</v>
      </c>
      <c r="ES97">
        <v>0</v>
      </c>
      <c r="ET97">
        <v>0</v>
      </c>
      <c r="EU97">
        <v>0</v>
      </c>
      <c r="EV97">
        <v>6.2590000000000104E-2</v>
      </c>
      <c r="EW97">
        <v>0</v>
      </c>
      <c r="EX97">
        <v>0</v>
      </c>
      <c r="EY97">
        <v>0</v>
      </c>
      <c r="EZ97">
        <v>-1</v>
      </c>
      <c r="FA97">
        <v>-1</v>
      </c>
      <c r="FB97">
        <v>-1</v>
      </c>
      <c r="FC97">
        <v>-1</v>
      </c>
      <c r="FD97">
        <v>4.3</v>
      </c>
      <c r="FE97">
        <v>4.7</v>
      </c>
      <c r="FF97">
        <v>0.56884800000000002</v>
      </c>
      <c r="FG97">
        <v>2.6171899999999999</v>
      </c>
      <c r="FH97">
        <v>2.19604</v>
      </c>
      <c r="FI97">
        <v>2.5756800000000002</v>
      </c>
      <c r="FJ97">
        <v>2.4462899999999999</v>
      </c>
      <c r="FK97">
        <v>2.2839399999999999</v>
      </c>
      <c r="FL97">
        <v>33.065199999999997</v>
      </c>
      <c r="FM97">
        <v>24.1313</v>
      </c>
      <c r="FN97">
        <v>19</v>
      </c>
      <c r="FO97">
        <v>866.69899999999996</v>
      </c>
      <c r="FP97">
        <v>573.53399999999999</v>
      </c>
      <c r="FQ97">
        <v>17.711200000000002</v>
      </c>
      <c r="FR97">
        <v>26.135999999999999</v>
      </c>
      <c r="FS97">
        <v>29.9998</v>
      </c>
      <c r="FT97">
        <v>26.121400000000001</v>
      </c>
      <c r="FU97">
        <v>26.122900000000001</v>
      </c>
      <c r="FV97">
        <v>11.4291</v>
      </c>
      <c r="FW97">
        <v>29.025200000000002</v>
      </c>
      <c r="FX97">
        <v>37.825699999999998</v>
      </c>
      <c r="FY97">
        <v>17.7227</v>
      </c>
      <c r="FZ97">
        <v>150</v>
      </c>
      <c r="GA97">
        <v>13.562900000000001</v>
      </c>
      <c r="GB97">
        <v>99.791899999999998</v>
      </c>
      <c r="GC97">
        <v>99.768100000000004</v>
      </c>
    </row>
    <row r="98" spans="1:185" x14ac:dyDescent="0.2">
      <c r="A98">
        <v>83</v>
      </c>
      <c r="B98">
        <v>1771104736.0999999</v>
      </c>
      <c r="C98">
        <v>1623</v>
      </c>
      <c r="D98" t="s">
        <v>465</v>
      </c>
      <c r="E98" t="s">
        <v>466</v>
      </c>
      <c r="F98">
        <v>15</v>
      </c>
      <c r="G98">
        <v>1771104728.03333</v>
      </c>
      <c r="H98">
        <f t="shared" si="13"/>
        <v>1.5608971424263885E-3</v>
      </c>
      <c r="I98">
        <v>0</v>
      </c>
      <c r="J98">
        <f t="shared" si="25"/>
        <v>-1.7239612051249003E-2</v>
      </c>
      <c r="K98">
        <f t="shared" si="14"/>
        <v>-0.30826588643895947</v>
      </c>
      <c r="L98">
        <f t="shared" si="15"/>
        <v>70.044637255159259</v>
      </c>
      <c r="M98">
        <f t="shared" si="16"/>
        <v>1.541532796014089</v>
      </c>
      <c r="N98">
        <f t="shared" si="17"/>
        <v>2.200786322011461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26214.566199819441</v>
      </c>
      <c r="T98">
        <f t="shared" si="21"/>
        <v>800.00133333333304</v>
      </c>
      <c r="U98">
        <f t="shared" si="22"/>
        <v>674.4014152004853</v>
      </c>
      <c r="V98">
        <f t="shared" si="23"/>
        <v>0.84300036400000022</v>
      </c>
      <c r="W98">
        <f t="shared" si="24"/>
        <v>0.1587011698400001</v>
      </c>
      <c r="X98">
        <v>1</v>
      </c>
      <c r="Y98">
        <v>1771104728.03333</v>
      </c>
      <c r="Z98">
        <v>150.10059999999999</v>
      </c>
      <c r="AA98">
        <v>150.00813333333301</v>
      </c>
      <c r="AB98">
        <v>15.415039999999999</v>
      </c>
      <c r="AC98">
        <v>13.494020000000001</v>
      </c>
      <c r="AD98">
        <v>150.42693333333301</v>
      </c>
      <c r="AE98">
        <v>15.352446666666699</v>
      </c>
      <c r="AF98">
        <v>800.01033333333396</v>
      </c>
      <c r="AG98">
        <v>99.938366666666695</v>
      </c>
      <c r="AH98">
        <v>6.3501379999999996E-2</v>
      </c>
      <c r="AI98">
        <v>18.968039999999998</v>
      </c>
      <c r="AJ98">
        <v>999.9</v>
      </c>
      <c r="AK98">
        <v>999.9</v>
      </c>
      <c r="AL98">
        <v>0</v>
      </c>
      <c r="AM98">
        <v>0</v>
      </c>
      <c r="AN98">
        <v>5000.9333333333298</v>
      </c>
      <c r="AO98">
        <v>0</v>
      </c>
      <c r="AP98">
        <v>1.63733</v>
      </c>
      <c r="AQ98">
        <v>9.2437706666666702E-2</v>
      </c>
      <c r="AR98">
        <v>152.450533333333</v>
      </c>
      <c r="AS98">
        <v>152.06</v>
      </c>
      <c r="AT98">
        <v>1.92103</v>
      </c>
      <c r="AU98">
        <v>150.00813333333301</v>
      </c>
      <c r="AV98">
        <v>13.494020000000001</v>
      </c>
      <c r="AW98">
        <v>1.540554</v>
      </c>
      <c r="AX98">
        <v>1.34857</v>
      </c>
      <c r="AY98">
        <v>13.3767</v>
      </c>
      <c r="AZ98">
        <v>11.351373333333299</v>
      </c>
      <c r="BA98">
        <v>800.00133333333304</v>
      </c>
      <c r="BB98">
        <v>0.89998400000000001</v>
      </c>
      <c r="BC98">
        <v>0</v>
      </c>
      <c r="BD98">
        <v>0.10001586666666699</v>
      </c>
      <c r="BE98">
        <v>0</v>
      </c>
      <c r="BF98">
        <v>25</v>
      </c>
      <c r="BG98">
        <v>13190.993333333299</v>
      </c>
      <c r="BH98">
        <v>1771104462.0999999</v>
      </c>
      <c r="BI98" t="s">
        <v>442</v>
      </c>
      <c r="BJ98">
        <v>1771104462.0999999</v>
      </c>
      <c r="BK98">
        <v>1771104442.0999999</v>
      </c>
      <c r="BL98">
        <v>16</v>
      </c>
      <c r="BM98">
        <v>0.11600000000000001</v>
      </c>
      <c r="BN98">
        <v>3.0000000000000001E-3</v>
      </c>
      <c r="BO98">
        <v>-0.32700000000000001</v>
      </c>
      <c r="BP98">
        <v>6.3E-2</v>
      </c>
      <c r="BQ98">
        <v>50</v>
      </c>
      <c r="BR98">
        <v>14</v>
      </c>
      <c r="BS98">
        <v>0.14000000000000001</v>
      </c>
      <c r="BT98">
        <v>0.04</v>
      </c>
      <c r="BU98">
        <v>0.10189438000000001</v>
      </c>
      <c r="BV98">
        <v>-0.171066135338346</v>
      </c>
      <c r="BW98">
        <v>2.0494992468371401E-2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1.9159504999999999</v>
      </c>
      <c r="CD98">
        <v>9.4734586466167198E-2</v>
      </c>
      <c r="CE98">
        <v>1.5815776134923E-2</v>
      </c>
      <c r="CF98">
        <v>1</v>
      </c>
      <c r="CG98">
        <v>2</v>
      </c>
      <c r="CH98">
        <v>2</v>
      </c>
      <c r="CI98" t="s">
        <v>322</v>
      </c>
      <c r="CJ98">
        <v>3.5326200000000001</v>
      </c>
      <c r="CK98">
        <v>2.70113</v>
      </c>
      <c r="CL98">
        <v>4.1821799999999999E-2</v>
      </c>
      <c r="CM98">
        <v>4.1275899999999997E-2</v>
      </c>
      <c r="CN98">
        <v>8.6987300000000004E-2</v>
      </c>
      <c r="CO98">
        <v>7.7941099999999999E-2</v>
      </c>
      <c r="CP98">
        <v>33564.5</v>
      </c>
      <c r="CQ98">
        <v>29524.1</v>
      </c>
      <c r="CR98">
        <v>32423.7</v>
      </c>
      <c r="CS98">
        <v>30725.200000000001</v>
      </c>
      <c r="CT98">
        <v>40092.1</v>
      </c>
      <c r="CU98">
        <v>39851.300000000003</v>
      </c>
      <c r="CV98">
        <v>47364.4</v>
      </c>
      <c r="CW98">
        <v>46872.6</v>
      </c>
      <c r="CX98">
        <v>2.6135799999999998</v>
      </c>
      <c r="CY98">
        <v>2.1172800000000001</v>
      </c>
      <c r="CZ98">
        <v>0</v>
      </c>
      <c r="DA98">
        <v>0</v>
      </c>
      <c r="DB98">
        <v>999.9</v>
      </c>
      <c r="DC98">
        <v>999.9</v>
      </c>
      <c r="DD98">
        <v>45.44</v>
      </c>
      <c r="DE98">
        <v>28.771999999999998</v>
      </c>
      <c r="DF98">
        <v>18.0443</v>
      </c>
      <c r="DG98">
        <v>30.488199999999999</v>
      </c>
      <c r="DH98">
        <v>16.9511</v>
      </c>
      <c r="DI98">
        <v>2</v>
      </c>
      <c r="DJ98">
        <v>-6.6248000000000001E-2</v>
      </c>
      <c r="DK98">
        <v>2.6531899999999999</v>
      </c>
      <c r="DL98">
        <v>20.1892</v>
      </c>
      <c r="DM98">
        <v>5.2517899999999997</v>
      </c>
      <c r="DN98">
        <v>12.033899999999999</v>
      </c>
      <c r="DO98">
        <v>4.9677199999999999</v>
      </c>
      <c r="DP98">
        <v>3.2909999999999999</v>
      </c>
      <c r="DQ98">
        <v>608.1</v>
      </c>
      <c r="DR98">
        <v>9999</v>
      </c>
      <c r="DS98">
        <v>9999</v>
      </c>
      <c r="DT98">
        <v>9999</v>
      </c>
      <c r="DU98">
        <v>1.8711800000000001</v>
      </c>
      <c r="DV98">
        <v>1.8762099999999999</v>
      </c>
      <c r="DW98">
        <v>1.8763700000000001</v>
      </c>
      <c r="DX98">
        <v>1.88287</v>
      </c>
      <c r="DY98">
        <v>1.87561</v>
      </c>
      <c r="DZ98">
        <v>1.87469</v>
      </c>
      <c r="EA98">
        <v>1.8708800000000001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-0.32600000000000001</v>
      </c>
      <c r="EQ98">
        <v>6.2600000000000003E-2</v>
      </c>
      <c r="ER98">
        <v>-0.32652000000000198</v>
      </c>
      <c r="ES98">
        <v>0</v>
      </c>
      <c r="ET98">
        <v>0</v>
      </c>
      <c r="EU98">
        <v>0</v>
      </c>
      <c r="EV98">
        <v>6.2590000000000104E-2</v>
      </c>
      <c r="EW98">
        <v>0</v>
      </c>
      <c r="EX98">
        <v>0</v>
      </c>
      <c r="EY98">
        <v>0</v>
      </c>
      <c r="EZ98">
        <v>-1</v>
      </c>
      <c r="FA98">
        <v>-1</v>
      </c>
      <c r="FB98">
        <v>-1</v>
      </c>
      <c r="FC98">
        <v>-1</v>
      </c>
      <c r="FD98">
        <v>4.5999999999999996</v>
      </c>
      <c r="FE98">
        <v>4.9000000000000004</v>
      </c>
      <c r="FF98">
        <v>0.56884800000000002</v>
      </c>
      <c r="FG98">
        <v>2.6147499999999999</v>
      </c>
      <c r="FH98">
        <v>2.19604</v>
      </c>
      <c r="FI98">
        <v>2.5744600000000002</v>
      </c>
      <c r="FJ98">
        <v>2.4462899999999999</v>
      </c>
      <c r="FK98">
        <v>2.31812</v>
      </c>
      <c r="FL98">
        <v>33.042900000000003</v>
      </c>
      <c r="FM98">
        <v>24.14</v>
      </c>
      <c r="FN98">
        <v>19</v>
      </c>
      <c r="FO98">
        <v>866.62699999999995</v>
      </c>
      <c r="FP98">
        <v>573.37300000000005</v>
      </c>
      <c r="FQ98">
        <v>17.775200000000002</v>
      </c>
      <c r="FR98">
        <v>26.138200000000001</v>
      </c>
      <c r="FS98">
        <v>30.0001</v>
      </c>
      <c r="FT98">
        <v>26.122699999999998</v>
      </c>
      <c r="FU98">
        <v>26.125</v>
      </c>
      <c r="FV98">
        <v>11.427</v>
      </c>
      <c r="FW98">
        <v>28.737300000000001</v>
      </c>
      <c r="FX98">
        <v>37.454999999999998</v>
      </c>
      <c r="FY98">
        <v>17.7866</v>
      </c>
      <c r="FZ98">
        <v>150</v>
      </c>
      <c r="GA98">
        <v>13.5868</v>
      </c>
      <c r="GB98">
        <v>99.793000000000006</v>
      </c>
      <c r="GC98">
        <v>99.768600000000006</v>
      </c>
    </row>
    <row r="99" spans="1:185" x14ac:dyDescent="0.2">
      <c r="A99">
        <v>84</v>
      </c>
      <c r="B99">
        <v>1771104751.0999999</v>
      </c>
      <c r="C99">
        <v>1638</v>
      </c>
      <c r="D99" t="s">
        <v>467</v>
      </c>
      <c r="E99" t="s">
        <v>468</v>
      </c>
      <c r="F99">
        <v>15</v>
      </c>
      <c r="G99">
        <v>1771104743.03333</v>
      </c>
      <c r="H99">
        <f t="shared" si="13"/>
        <v>1.5120921871479664E-3</v>
      </c>
      <c r="I99">
        <v>0</v>
      </c>
      <c r="J99">
        <f t="shared" si="25"/>
        <v>-1.6521254830256661E-2</v>
      </c>
      <c r="K99">
        <f t="shared" si="14"/>
        <v>-0.29542075832060438</v>
      </c>
      <c r="L99">
        <f t="shared" si="15"/>
        <v>70.002494501138173</v>
      </c>
      <c r="M99">
        <f t="shared" si="16"/>
        <v>1.5406534055821628</v>
      </c>
      <c r="N99">
        <f t="shared" si="17"/>
        <v>2.2008550074699316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26210.530253759614</v>
      </c>
      <c r="T99">
        <f t="shared" si="21"/>
        <v>799.99940000000004</v>
      </c>
      <c r="U99">
        <f t="shared" si="22"/>
        <v>674.39957739993758</v>
      </c>
      <c r="V99">
        <f t="shared" si="23"/>
        <v>0.84300010399999992</v>
      </c>
      <c r="W99">
        <f t="shared" si="24"/>
        <v>0.15870026000000001</v>
      </c>
      <c r="X99">
        <v>1</v>
      </c>
      <c r="Y99">
        <v>1771104743.03333</v>
      </c>
      <c r="Z99">
        <v>150.08340000000001</v>
      </c>
      <c r="AA99">
        <v>149.99780000000001</v>
      </c>
      <c r="AB99">
        <v>15.40624</v>
      </c>
      <c r="AC99">
        <v>13.5452666666667</v>
      </c>
      <c r="AD99">
        <v>150.41006666666701</v>
      </c>
      <c r="AE99">
        <v>15.343640000000001</v>
      </c>
      <c r="AF99">
        <v>800.00959999999998</v>
      </c>
      <c r="AG99">
        <v>99.938553333333303</v>
      </c>
      <c r="AH99">
        <v>6.3355346666666701E-2</v>
      </c>
      <c r="AI99">
        <v>18.968540000000001</v>
      </c>
      <c r="AJ99">
        <v>999.9</v>
      </c>
      <c r="AK99">
        <v>999.9</v>
      </c>
      <c r="AL99">
        <v>0</v>
      </c>
      <c r="AM99">
        <v>0</v>
      </c>
      <c r="AN99">
        <v>5000.2666666666701</v>
      </c>
      <c r="AO99">
        <v>0</v>
      </c>
      <c r="AP99">
        <v>1.63733</v>
      </c>
      <c r="AQ99">
        <v>8.5502173333333306E-2</v>
      </c>
      <c r="AR99">
        <v>152.43180000000001</v>
      </c>
      <c r="AS99">
        <v>152.057533333333</v>
      </c>
      <c r="AT99">
        <v>1.8609640000000001</v>
      </c>
      <c r="AU99">
        <v>149.99780000000001</v>
      </c>
      <c r="AV99">
        <v>13.5452666666667</v>
      </c>
      <c r="AW99">
        <v>1.5396780000000001</v>
      </c>
      <c r="AX99">
        <v>1.35369466666667</v>
      </c>
      <c r="AY99">
        <v>13.3679733333333</v>
      </c>
      <c r="AZ99">
        <v>11.4086</v>
      </c>
      <c r="BA99">
        <v>799.99940000000004</v>
      </c>
      <c r="BB99">
        <v>0.89999653333333296</v>
      </c>
      <c r="BC99">
        <v>0</v>
      </c>
      <c r="BD99">
        <v>0.100003466666667</v>
      </c>
      <c r="BE99">
        <v>0</v>
      </c>
      <c r="BF99">
        <v>25</v>
      </c>
      <c r="BG99">
        <v>13191</v>
      </c>
      <c r="BH99">
        <v>1771104462.0999999</v>
      </c>
      <c r="BI99" t="s">
        <v>442</v>
      </c>
      <c r="BJ99">
        <v>1771104462.0999999</v>
      </c>
      <c r="BK99">
        <v>1771104442.0999999</v>
      </c>
      <c r="BL99">
        <v>16</v>
      </c>
      <c r="BM99">
        <v>0.11600000000000001</v>
      </c>
      <c r="BN99">
        <v>3.0000000000000001E-3</v>
      </c>
      <c r="BO99">
        <v>-0.32700000000000001</v>
      </c>
      <c r="BP99">
        <v>6.3E-2</v>
      </c>
      <c r="BQ99">
        <v>50</v>
      </c>
      <c r="BR99">
        <v>14</v>
      </c>
      <c r="BS99">
        <v>0.14000000000000001</v>
      </c>
      <c r="BT99">
        <v>0.04</v>
      </c>
      <c r="BU99">
        <v>8.5128819047619E-2</v>
      </c>
      <c r="BV99">
        <v>6.4434545454547E-3</v>
      </c>
      <c r="BW99">
        <v>1.55367273265217E-2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1.8782471428571399</v>
      </c>
      <c r="CD99">
        <v>-0.32046857142856899</v>
      </c>
      <c r="CE99">
        <v>3.4101781149245301E-2</v>
      </c>
      <c r="CF99">
        <v>0</v>
      </c>
      <c r="CG99">
        <v>1</v>
      </c>
      <c r="CH99">
        <v>2</v>
      </c>
      <c r="CI99" t="s">
        <v>299</v>
      </c>
      <c r="CJ99">
        <v>3.5325299999999999</v>
      </c>
      <c r="CK99">
        <v>2.7013400000000001</v>
      </c>
      <c r="CL99">
        <v>4.1817899999999998E-2</v>
      </c>
      <c r="CM99">
        <v>4.1268300000000001E-2</v>
      </c>
      <c r="CN99">
        <v>8.7064199999999994E-2</v>
      </c>
      <c r="CO99">
        <v>7.8237799999999996E-2</v>
      </c>
      <c r="CP99">
        <v>33563.699999999997</v>
      </c>
      <c r="CQ99">
        <v>29523.9</v>
      </c>
      <c r="CR99">
        <v>32422.799999999999</v>
      </c>
      <c r="CS99">
        <v>30724.799999999999</v>
      </c>
      <c r="CT99">
        <v>40087.5</v>
      </c>
      <c r="CU99">
        <v>39837.9</v>
      </c>
      <c r="CV99">
        <v>47363</v>
      </c>
      <c r="CW99">
        <v>46872.3</v>
      </c>
      <c r="CX99">
        <v>2.6135199999999998</v>
      </c>
      <c r="CY99">
        <v>2.1173600000000001</v>
      </c>
      <c r="CZ99">
        <v>0</v>
      </c>
      <c r="DA99">
        <v>0</v>
      </c>
      <c r="DB99">
        <v>999.9</v>
      </c>
      <c r="DC99">
        <v>999.9</v>
      </c>
      <c r="DD99">
        <v>45.421999999999997</v>
      </c>
      <c r="DE99">
        <v>28.782</v>
      </c>
      <c r="DF99">
        <v>18.0486</v>
      </c>
      <c r="DG99">
        <v>30.4282</v>
      </c>
      <c r="DH99">
        <v>16.991199999999999</v>
      </c>
      <c r="DI99">
        <v>2</v>
      </c>
      <c r="DJ99">
        <v>-6.6290699999999994E-2</v>
      </c>
      <c r="DK99">
        <v>2.5735000000000001</v>
      </c>
      <c r="DL99">
        <v>20.1904</v>
      </c>
      <c r="DM99">
        <v>5.2517899999999997</v>
      </c>
      <c r="DN99">
        <v>12.033899999999999</v>
      </c>
      <c r="DO99">
        <v>4.9675599999999998</v>
      </c>
      <c r="DP99">
        <v>3.2909999999999999</v>
      </c>
      <c r="DQ99">
        <v>608.1</v>
      </c>
      <c r="DR99">
        <v>9999</v>
      </c>
      <c r="DS99">
        <v>9999</v>
      </c>
      <c r="DT99">
        <v>9999</v>
      </c>
      <c r="DU99">
        <v>1.8711800000000001</v>
      </c>
      <c r="DV99">
        <v>1.8762000000000001</v>
      </c>
      <c r="DW99">
        <v>1.8763700000000001</v>
      </c>
      <c r="DX99">
        <v>1.88283</v>
      </c>
      <c r="DY99">
        <v>1.87561</v>
      </c>
      <c r="DZ99">
        <v>1.87469</v>
      </c>
      <c r="EA99">
        <v>1.8708800000000001</v>
      </c>
      <c r="EB99">
        <v>1.87466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-0.32600000000000001</v>
      </c>
      <c r="EQ99">
        <v>6.2600000000000003E-2</v>
      </c>
      <c r="ER99">
        <v>-0.32652000000000198</v>
      </c>
      <c r="ES99">
        <v>0</v>
      </c>
      <c r="ET99">
        <v>0</v>
      </c>
      <c r="EU99">
        <v>0</v>
      </c>
      <c r="EV99">
        <v>6.2590000000000104E-2</v>
      </c>
      <c r="EW99">
        <v>0</v>
      </c>
      <c r="EX99">
        <v>0</v>
      </c>
      <c r="EY99">
        <v>0</v>
      </c>
      <c r="EZ99">
        <v>-1</v>
      </c>
      <c r="FA99">
        <v>-1</v>
      </c>
      <c r="FB99">
        <v>-1</v>
      </c>
      <c r="FC99">
        <v>-1</v>
      </c>
      <c r="FD99">
        <v>4.8</v>
      </c>
      <c r="FE99">
        <v>5.2</v>
      </c>
      <c r="FF99">
        <v>0.56884800000000002</v>
      </c>
      <c r="FG99">
        <v>2.6232899999999999</v>
      </c>
      <c r="FH99">
        <v>2.19604</v>
      </c>
      <c r="FI99">
        <v>2.5744600000000002</v>
      </c>
      <c r="FJ99">
        <v>2.4462899999999999</v>
      </c>
      <c r="FK99">
        <v>2.2741699999999998</v>
      </c>
      <c r="FL99">
        <v>33.065199999999997</v>
      </c>
      <c r="FM99">
        <v>24.1313</v>
      </c>
      <c r="FN99">
        <v>19</v>
      </c>
      <c r="FO99">
        <v>866.58399999999995</v>
      </c>
      <c r="FP99">
        <v>573.43499999999995</v>
      </c>
      <c r="FQ99">
        <v>17.846900000000002</v>
      </c>
      <c r="FR99">
        <v>26.138200000000001</v>
      </c>
      <c r="FS99">
        <v>30</v>
      </c>
      <c r="FT99">
        <v>26.1236</v>
      </c>
      <c r="FU99">
        <v>26.1251</v>
      </c>
      <c r="FV99">
        <v>11.4283</v>
      </c>
      <c r="FW99">
        <v>28.463100000000001</v>
      </c>
      <c r="FX99">
        <v>37.454999999999998</v>
      </c>
      <c r="FY99">
        <v>17.855699999999999</v>
      </c>
      <c r="FZ99">
        <v>150</v>
      </c>
      <c r="GA99">
        <v>13.5756</v>
      </c>
      <c r="GB99">
        <v>99.790099999999995</v>
      </c>
      <c r="GC99">
        <v>99.767700000000005</v>
      </c>
    </row>
    <row r="100" spans="1:185" x14ac:dyDescent="0.2">
      <c r="A100">
        <v>85</v>
      </c>
      <c r="B100">
        <v>1771104766.0999999</v>
      </c>
      <c r="C100">
        <v>1653</v>
      </c>
      <c r="D100" t="s">
        <v>469</v>
      </c>
      <c r="E100" t="s">
        <v>470</v>
      </c>
      <c r="F100">
        <v>15</v>
      </c>
      <c r="G100">
        <v>1771104758.03333</v>
      </c>
      <c r="H100">
        <f t="shared" si="13"/>
        <v>1.515635299649841E-3</v>
      </c>
      <c r="I100">
        <v>0</v>
      </c>
      <c r="J100">
        <f t="shared" si="25"/>
        <v>-1.6007281028928205E-2</v>
      </c>
      <c r="K100">
        <f t="shared" si="14"/>
        <v>-0.28623026209586833</v>
      </c>
      <c r="L100">
        <f t="shared" si="15"/>
        <v>70.088197513955109</v>
      </c>
      <c r="M100">
        <f t="shared" si="16"/>
        <v>1.5432015081865418</v>
      </c>
      <c r="N100">
        <f t="shared" si="17"/>
        <v>2.2017993940838303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26208.679319944353</v>
      </c>
      <c r="T100">
        <f t="shared" si="21"/>
        <v>800.00113333333297</v>
      </c>
      <c r="U100">
        <f t="shared" si="22"/>
        <v>674.40110260020822</v>
      </c>
      <c r="V100">
        <f t="shared" si="23"/>
        <v>0.84300018399999999</v>
      </c>
      <c r="W100">
        <f t="shared" si="24"/>
        <v>0.15870045999999999</v>
      </c>
      <c r="X100">
        <v>1</v>
      </c>
      <c r="Y100">
        <v>1771104758.03333</v>
      </c>
      <c r="Z100">
        <v>150.07306666666699</v>
      </c>
      <c r="AA100">
        <v>149.99959999999999</v>
      </c>
      <c r="AB100">
        <v>15.4315933333333</v>
      </c>
      <c r="AC100">
        <v>13.5663133333333</v>
      </c>
      <c r="AD100">
        <v>150.39973333333299</v>
      </c>
      <c r="AE100">
        <v>15.369006666666699</v>
      </c>
      <c r="AF100">
        <v>800.01213333333305</v>
      </c>
      <c r="AG100">
        <v>99.939239999999998</v>
      </c>
      <c r="AH100">
        <v>6.3493019999999997E-2</v>
      </c>
      <c r="AI100">
        <v>18.9754133333333</v>
      </c>
      <c r="AJ100">
        <v>999.9</v>
      </c>
      <c r="AK100">
        <v>999.9</v>
      </c>
      <c r="AL100">
        <v>0</v>
      </c>
      <c r="AM100">
        <v>0</v>
      </c>
      <c r="AN100">
        <v>5000.0333333333301</v>
      </c>
      <c r="AO100">
        <v>0</v>
      </c>
      <c r="AP100">
        <v>1.63733</v>
      </c>
      <c r="AQ100">
        <v>7.3715226666666703E-2</v>
      </c>
      <c r="AR100">
        <v>152.4254</v>
      </c>
      <c r="AS100">
        <v>152.06233333333299</v>
      </c>
      <c r="AT100">
        <v>1.8652773333333299</v>
      </c>
      <c r="AU100">
        <v>149.99959999999999</v>
      </c>
      <c r="AV100">
        <v>13.5663133333333</v>
      </c>
      <c r="AW100">
        <v>1.5422213333333299</v>
      </c>
      <c r="AX100">
        <v>1.3558066666666699</v>
      </c>
      <c r="AY100">
        <v>13.3933</v>
      </c>
      <c r="AZ100">
        <v>11.4321866666667</v>
      </c>
      <c r="BA100">
        <v>800.00113333333297</v>
      </c>
      <c r="BB100">
        <v>0.89999386666666703</v>
      </c>
      <c r="BC100">
        <v>0</v>
      </c>
      <c r="BD100">
        <v>0.100006133333333</v>
      </c>
      <c r="BE100">
        <v>0</v>
      </c>
      <c r="BF100">
        <v>25</v>
      </c>
      <c r="BG100">
        <v>13191.026666666699</v>
      </c>
      <c r="BH100">
        <v>1771104462.0999999</v>
      </c>
      <c r="BI100" t="s">
        <v>442</v>
      </c>
      <c r="BJ100">
        <v>1771104462.0999999</v>
      </c>
      <c r="BK100">
        <v>1771104442.0999999</v>
      </c>
      <c r="BL100">
        <v>16</v>
      </c>
      <c r="BM100">
        <v>0.11600000000000001</v>
      </c>
      <c r="BN100">
        <v>3.0000000000000001E-3</v>
      </c>
      <c r="BO100">
        <v>-0.32700000000000001</v>
      </c>
      <c r="BP100">
        <v>6.3E-2</v>
      </c>
      <c r="BQ100">
        <v>50</v>
      </c>
      <c r="BR100">
        <v>14</v>
      </c>
      <c r="BS100">
        <v>0.14000000000000001</v>
      </c>
      <c r="BT100">
        <v>0.04</v>
      </c>
      <c r="BU100">
        <v>7.5549329999999998E-2</v>
      </c>
      <c r="BV100">
        <v>-1.50654496240601E-2</v>
      </c>
      <c r="BW100">
        <v>1.25572853872603E-2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1.8604075</v>
      </c>
      <c r="CD100">
        <v>0.16084375939849799</v>
      </c>
      <c r="CE100">
        <v>1.7280953062548399E-2</v>
      </c>
      <c r="CF100">
        <v>0</v>
      </c>
      <c r="CG100">
        <v>1</v>
      </c>
      <c r="CH100">
        <v>2</v>
      </c>
      <c r="CI100" t="s">
        <v>299</v>
      </c>
      <c r="CJ100">
        <v>3.5325600000000001</v>
      </c>
      <c r="CK100">
        <v>2.70106</v>
      </c>
      <c r="CL100">
        <v>4.1822400000000003E-2</v>
      </c>
      <c r="CM100">
        <v>4.1272799999999998E-2</v>
      </c>
      <c r="CN100">
        <v>8.7170899999999996E-2</v>
      </c>
      <c r="CO100">
        <v>7.8072900000000001E-2</v>
      </c>
      <c r="CP100">
        <v>33564</v>
      </c>
      <c r="CQ100">
        <v>29523.599999999999</v>
      </c>
      <c r="CR100">
        <v>32423.200000000001</v>
      </c>
      <c r="CS100">
        <v>30724.6</v>
      </c>
      <c r="CT100">
        <v>40083</v>
      </c>
      <c r="CU100">
        <v>39844.9</v>
      </c>
      <c r="CV100">
        <v>47363.4</v>
      </c>
      <c r="CW100">
        <v>46871.9</v>
      </c>
      <c r="CX100">
        <v>2.6136200000000001</v>
      </c>
      <c r="CY100">
        <v>2.1174599999999999</v>
      </c>
      <c r="CZ100">
        <v>0</v>
      </c>
      <c r="DA100">
        <v>0</v>
      </c>
      <c r="DB100">
        <v>999.9</v>
      </c>
      <c r="DC100">
        <v>999.9</v>
      </c>
      <c r="DD100">
        <v>45.360999999999997</v>
      </c>
      <c r="DE100">
        <v>28.771999999999998</v>
      </c>
      <c r="DF100">
        <v>18.014199999999999</v>
      </c>
      <c r="DG100">
        <v>30.548200000000001</v>
      </c>
      <c r="DH100">
        <v>17.071300000000001</v>
      </c>
      <c r="DI100">
        <v>2</v>
      </c>
      <c r="DJ100">
        <v>-6.6361799999999999E-2</v>
      </c>
      <c r="DK100">
        <v>2.5410200000000001</v>
      </c>
      <c r="DL100">
        <v>20.191299999999998</v>
      </c>
      <c r="DM100">
        <v>5.2520300000000004</v>
      </c>
      <c r="DN100">
        <v>12.033899999999999</v>
      </c>
      <c r="DO100">
        <v>4.9676400000000003</v>
      </c>
      <c r="DP100">
        <v>3.2909999999999999</v>
      </c>
      <c r="DQ100">
        <v>608.1</v>
      </c>
      <c r="DR100">
        <v>9999</v>
      </c>
      <c r="DS100">
        <v>9999</v>
      </c>
      <c r="DT100">
        <v>9999</v>
      </c>
      <c r="DU100">
        <v>1.87113</v>
      </c>
      <c r="DV100">
        <v>1.8762000000000001</v>
      </c>
      <c r="DW100">
        <v>1.8763700000000001</v>
      </c>
      <c r="DX100">
        <v>1.88286</v>
      </c>
      <c r="DY100">
        <v>1.8755999999999999</v>
      </c>
      <c r="DZ100">
        <v>1.8746799999999999</v>
      </c>
      <c r="EA100">
        <v>1.87087</v>
      </c>
      <c r="EB100">
        <v>1.8746700000000001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-0.32700000000000001</v>
      </c>
      <c r="EQ100">
        <v>6.2600000000000003E-2</v>
      </c>
      <c r="ER100">
        <v>-0.32652000000000198</v>
      </c>
      <c r="ES100">
        <v>0</v>
      </c>
      <c r="ET100">
        <v>0</v>
      </c>
      <c r="EU100">
        <v>0</v>
      </c>
      <c r="EV100">
        <v>6.2590000000000104E-2</v>
      </c>
      <c r="EW100">
        <v>0</v>
      </c>
      <c r="EX100">
        <v>0</v>
      </c>
      <c r="EY100">
        <v>0</v>
      </c>
      <c r="EZ100">
        <v>-1</v>
      </c>
      <c r="FA100">
        <v>-1</v>
      </c>
      <c r="FB100">
        <v>-1</v>
      </c>
      <c r="FC100">
        <v>-1</v>
      </c>
      <c r="FD100">
        <v>5.0999999999999996</v>
      </c>
      <c r="FE100">
        <v>5.4</v>
      </c>
      <c r="FF100">
        <v>0.56884800000000002</v>
      </c>
      <c r="FG100">
        <v>2.6135299999999999</v>
      </c>
      <c r="FH100">
        <v>2.19604</v>
      </c>
      <c r="FI100">
        <v>2.5744600000000002</v>
      </c>
      <c r="FJ100">
        <v>2.4462899999999999</v>
      </c>
      <c r="FK100">
        <v>2.3071299999999999</v>
      </c>
      <c r="FL100">
        <v>33.065199999999997</v>
      </c>
      <c r="FM100">
        <v>24.14</v>
      </c>
      <c r="FN100">
        <v>19</v>
      </c>
      <c r="FO100">
        <v>866.678</v>
      </c>
      <c r="FP100">
        <v>573.51199999999994</v>
      </c>
      <c r="FQ100">
        <v>17.905200000000001</v>
      </c>
      <c r="FR100">
        <v>26.138200000000001</v>
      </c>
      <c r="FS100">
        <v>30</v>
      </c>
      <c r="FT100">
        <v>26.1236</v>
      </c>
      <c r="FU100">
        <v>26.1251</v>
      </c>
      <c r="FV100">
        <v>11.4285</v>
      </c>
      <c r="FW100">
        <v>28.463100000000001</v>
      </c>
      <c r="FX100">
        <v>37.081499999999998</v>
      </c>
      <c r="FY100">
        <v>17.910399999999999</v>
      </c>
      <c r="FZ100">
        <v>150</v>
      </c>
      <c r="GA100">
        <v>13.575799999999999</v>
      </c>
      <c r="GB100">
        <v>99.791200000000003</v>
      </c>
      <c r="GC100">
        <v>99.766999999999996</v>
      </c>
    </row>
    <row r="101" spans="1:185" x14ac:dyDescent="0.2">
      <c r="A101">
        <v>86</v>
      </c>
      <c r="B101">
        <v>1771104781.0999999</v>
      </c>
      <c r="C101">
        <v>1668</v>
      </c>
      <c r="D101" t="s">
        <v>471</v>
      </c>
      <c r="E101" t="s">
        <v>472</v>
      </c>
      <c r="F101">
        <v>15</v>
      </c>
      <c r="G101">
        <v>1771104773.03333</v>
      </c>
      <c r="H101">
        <f t="shared" si="13"/>
        <v>1.5462745359607684E-3</v>
      </c>
      <c r="I101">
        <v>0</v>
      </c>
      <c r="J101">
        <f t="shared" si="25"/>
        <v>-1.6217431779482157E-2</v>
      </c>
      <c r="K101">
        <f t="shared" si="14"/>
        <v>-0.28998802109953647</v>
      </c>
      <c r="L101">
        <f t="shared" si="15"/>
        <v>70.030438225685543</v>
      </c>
      <c r="M101">
        <f t="shared" si="16"/>
        <v>1.5429148856960913</v>
      </c>
      <c r="N101">
        <f t="shared" si="17"/>
        <v>2.2032060983593644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26197.206119834973</v>
      </c>
      <c r="T101">
        <f t="shared" si="21"/>
        <v>799.99946666666699</v>
      </c>
      <c r="U101">
        <f t="shared" si="22"/>
        <v>674.39964351993819</v>
      </c>
      <c r="V101">
        <f t="shared" si="23"/>
        <v>0.84300011639999994</v>
      </c>
      <c r="W101">
        <f t="shared" si="24"/>
        <v>0.15870044690399998</v>
      </c>
      <c r="X101">
        <v>1</v>
      </c>
      <c r="Y101">
        <v>1771104773.03333</v>
      </c>
      <c r="Z101">
        <v>150.08173333333301</v>
      </c>
      <c r="AA101">
        <v>150.00933333333299</v>
      </c>
      <c r="AB101">
        <v>15.428793333333299</v>
      </c>
      <c r="AC101">
        <v>13.525786666666701</v>
      </c>
      <c r="AD101">
        <v>150.408266666667</v>
      </c>
      <c r="AE101">
        <v>15.366206666666701</v>
      </c>
      <c r="AF101">
        <v>800.00633333333303</v>
      </c>
      <c r="AG101">
        <v>99.939046666666698</v>
      </c>
      <c r="AH101">
        <v>6.3257620000000001E-2</v>
      </c>
      <c r="AI101">
        <v>18.9856466666667</v>
      </c>
      <c r="AJ101">
        <v>999.9</v>
      </c>
      <c r="AK101">
        <v>999.9</v>
      </c>
      <c r="AL101">
        <v>0</v>
      </c>
      <c r="AM101">
        <v>0</v>
      </c>
      <c r="AN101">
        <v>4998.3</v>
      </c>
      <c r="AO101">
        <v>0</v>
      </c>
      <c r="AP101">
        <v>1.63733</v>
      </c>
      <c r="AQ101">
        <v>7.2401926666666699E-2</v>
      </c>
      <c r="AR101">
        <v>152.43360000000001</v>
      </c>
      <c r="AS101">
        <v>152.06606666666701</v>
      </c>
      <c r="AT101">
        <v>1.903006</v>
      </c>
      <c r="AU101">
        <v>150.00933333333299</v>
      </c>
      <c r="AV101">
        <v>13.525786666666701</v>
      </c>
      <c r="AW101">
        <v>1.541938</v>
      </c>
      <c r="AX101">
        <v>1.3517553333333301</v>
      </c>
      <c r="AY101">
        <v>13.3904933333333</v>
      </c>
      <c r="AZ101">
        <v>11.386953333333301</v>
      </c>
      <c r="BA101">
        <v>799.99946666666699</v>
      </c>
      <c r="BB101">
        <v>0.89999379999999995</v>
      </c>
      <c r="BC101">
        <v>0</v>
      </c>
      <c r="BD101">
        <v>0.10000612</v>
      </c>
      <c r="BE101">
        <v>0</v>
      </c>
      <c r="BF101">
        <v>25</v>
      </c>
      <c r="BG101">
        <v>13190.9866666667</v>
      </c>
      <c r="BH101">
        <v>1771104462.0999999</v>
      </c>
      <c r="BI101" t="s">
        <v>442</v>
      </c>
      <c r="BJ101">
        <v>1771104462.0999999</v>
      </c>
      <c r="BK101">
        <v>1771104442.0999999</v>
      </c>
      <c r="BL101">
        <v>16</v>
      </c>
      <c r="BM101">
        <v>0.11600000000000001</v>
      </c>
      <c r="BN101">
        <v>3.0000000000000001E-3</v>
      </c>
      <c r="BO101">
        <v>-0.32700000000000001</v>
      </c>
      <c r="BP101">
        <v>6.3E-2</v>
      </c>
      <c r="BQ101">
        <v>50</v>
      </c>
      <c r="BR101">
        <v>14</v>
      </c>
      <c r="BS101">
        <v>0.14000000000000001</v>
      </c>
      <c r="BT101">
        <v>0.04</v>
      </c>
      <c r="BU101">
        <v>7.5334100000000001E-2</v>
      </c>
      <c r="BV101">
        <v>-6.7040548051947896E-2</v>
      </c>
      <c r="BW101">
        <v>1.45188758163788E-2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1.89751714285714</v>
      </c>
      <c r="CD101">
        <v>4.9704155844156203E-2</v>
      </c>
      <c r="CE101">
        <v>1.4017333196153E-2</v>
      </c>
      <c r="CF101">
        <v>1</v>
      </c>
      <c r="CG101">
        <v>2</v>
      </c>
      <c r="CH101">
        <v>2</v>
      </c>
      <c r="CI101" t="s">
        <v>322</v>
      </c>
      <c r="CJ101">
        <v>3.5325500000000001</v>
      </c>
      <c r="CK101">
        <v>2.7012700000000001</v>
      </c>
      <c r="CL101">
        <v>4.1817300000000002E-2</v>
      </c>
      <c r="CM101">
        <v>4.1273499999999998E-2</v>
      </c>
      <c r="CN101">
        <v>8.7043400000000007E-2</v>
      </c>
      <c r="CO101">
        <v>7.8031299999999998E-2</v>
      </c>
      <c r="CP101">
        <v>33564.800000000003</v>
      </c>
      <c r="CQ101">
        <v>29524.2</v>
      </c>
      <c r="CR101">
        <v>32423.8</v>
      </c>
      <c r="CS101">
        <v>30725.3</v>
      </c>
      <c r="CT101">
        <v>40089.699999999997</v>
      </c>
      <c r="CU101">
        <v>39847.599999999999</v>
      </c>
      <c r="CV101">
        <v>47364.6</v>
      </c>
      <c r="CW101">
        <v>46872.9</v>
      </c>
      <c r="CX101">
        <v>2.6137000000000001</v>
      </c>
      <c r="CY101">
        <v>2.1171199999999999</v>
      </c>
      <c r="CZ101">
        <v>0</v>
      </c>
      <c r="DA101">
        <v>0</v>
      </c>
      <c r="DB101">
        <v>999.9</v>
      </c>
      <c r="DC101">
        <v>999.9</v>
      </c>
      <c r="DD101">
        <v>45.311999999999998</v>
      </c>
      <c r="DE101">
        <v>28.782</v>
      </c>
      <c r="DF101">
        <v>18.0044</v>
      </c>
      <c r="DG101">
        <v>30.308199999999999</v>
      </c>
      <c r="DH101">
        <v>16.999199999999998</v>
      </c>
      <c r="DI101">
        <v>2</v>
      </c>
      <c r="DJ101">
        <v>-6.6825200000000001E-2</v>
      </c>
      <c r="DK101">
        <v>2.5400800000000001</v>
      </c>
      <c r="DL101">
        <v>20.191299999999998</v>
      </c>
      <c r="DM101">
        <v>5.2515499999999999</v>
      </c>
      <c r="DN101">
        <v>12.033899999999999</v>
      </c>
      <c r="DO101">
        <v>4.9676400000000003</v>
      </c>
      <c r="DP101">
        <v>3.2909999999999999</v>
      </c>
      <c r="DQ101">
        <v>608.1</v>
      </c>
      <c r="DR101">
        <v>9999</v>
      </c>
      <c r="DS101">
        <v>9999</v>
      </c>
      <c r="DT101">
        <v>9999</v>
      </c>
      <c r="DU101">
        <v>1.87117</v>
      </c>
      <c r="DV101">
        <v>1.8762000000000001</v>
      </c>
      <c r="DW101">
        <v>1.87636</v>
      </c>
      <c r="DX101">
        <v>1.88287</v>
      </c>
      <c r="DY101">
        <v>1.87561</v>
      </c>
      <c r="DZ101">
        <v>1.87469</v>
      </c>
      <c r="EA101">
        <v>1.87087</v>
      </c>
      <c r="EB101">
        <v>1.8746700000000001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-0.32700000000000001</v>
      </c>
      <c r="EQ101">
        <v>6.2600000000000003E-2</v>
      </c>
      <c r="ER101">
        <v>-0.32652000000000198</v>
      </c>
      <c r="ES101">
        <v>0</v>
      </c>
      <c r="ET101">
        <v>0</v>
      </c>
      <c r="EU101">
        <v>0</v>
      </c>
      <c r="EV101">
        <v>6.2590000000000104E-2</v>
      </c>
      <c r="EW101">
        <v>0</v>
      </c>
      <c r="EX101">
        <v>0</v>
      </c>
      <c r="EY101">
        <v>0</v>
      </c>
      <c r="EZ101">
        <v>-1</v>
      </c>
      <c r="FA101">
        <v>-1</v>
      </c>
      <c r="FB101">
        <v>-1</v>
      </c>
      <c r="FC101">
        <v>-1</v>
      </c>
      <c r="FD101">
        <v>5.3</v>
      </c>
      <c r="FE101">
        <v>5.7</v>
      </c>
      <c r="FF101">
        <v>0.56884800000000002</v>
      </c>
      <c r="FG101">
        <v>2.6159699999999999</v>
      </c>
      <c r="FH101">
        <v>2.19604</v>
      </c>
      <c r="FI101">
        <v>2.5744600000000002</v>
      </c>
      <c r="FJ101">
        <v>2.4462899999999999</v>
      </c>
      <c r="FK101">
        <v>2.3034699999999999</v>
      </c>
      <c r="FL101">
        <v>33.065199999999997</v>
      </c>
      <c r="FM101">
        <v>24.14</v>
      </c>
      <c r="FN101">
        <v>19</v>
      </c>
      <c r="FO101">
        <v>866.75300000000004</v>
      </c>
      <c r="FP101">
        <v>573.25199999999995</v>
      </c>
      <c r="FQ101">
        <v>17.943999999999999</v>
      </c>
      <c r="FR101">
        <v>26.137799999999999</v>
      </c>
      <c r="FS101">
        <v>30.0001</v>
      </c>
      <c r="FT101">
        <v>26.1236</v>
      </c>
      <c r="FU101">
        <v>26.1251</v>
      </c>
      <c r="FV101">
        <v>11.4269</v>
      </c>
      <c r="FW101">
        <v>28.463100000000001</v>
      </c>
      <c r="FX101">
        <v>37.081499999999998</v>
      </c>
      <c r="FY101">
        <v>17.9453</v>
      </c>
      <c r="FZ101">
        <v>150</v>
      </c>
      <c r="GA101">
        <v>13.587</v>
      </c>
      <c r="GB101">
        <v>99.793300000000002</v>
      </c>
      <c r="GC101">
        <v>99.769099999999995</v>
      </c>
    </row>
    <row r="102" spans="1:185" x14ac:dyDescent="0.2">
      <c r="A102">
        <v>87</v>
      </c>
      <c r="B102">
        <v>1771104796.0999999</v>
      </c>
      <c r="C102">
        <v>1683</v>
      </c>
      <c r="D102" t="s">
        <v>473</v>
      </c>
      <c r="E102" t="s">
        <v>474</v>
      </c>
      <c r="F102">
        <v>15</v>
      </c>
      <c r="G102">
        <v>1771104788.03333</v>
      </c>
      <c r="H102">
        <f t="shared" si="13"/>
        <v>1.5199189115390468E-3</v>
      </c>
      <c r="I102">
        <v>0</v>
      </c>
      <c r="J102">
        <f t="shared" si="25"/>
        <v>-1.6090734861378179E-2</v>
      </c>
      <c r="K102">
        <f t="shared" si="14"/>
        <v>-0.28772252129291076</v>
      </c>
      <c r="L102">
        <f t="shared" si="15"/>
        <v>69.859004639134511</v>
      </c>
      <c r="M102">
        <f t="shared" si="16"/>
        <v>1.5403056531670183</v>
      </c>
      <c r="N102">
        <f t="shared" si="17"/>
        <v>2.2048777550205032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26210.84427265542</v>
      </c>
      <c r="T102">
        <f t="shared" si="21"/>
        <v>800.00059999999996</v>
      </c>
      <c r="U102">
        <f t="shared" si="22"/>
        <v>674.40069156013931</v>
      </c>
      <c r="V102">
        <f t="shared" si="23"/>
        <v>0.84300023219999998</v>
      </c>
      <c r="W102">
        <f t="shared" si="24"/>
        <v>0.15870046357199999</v>
      </c>
      <c r="X102">
        <v>1</v>
      </c>
      <c r="Y102">
        <v>1771104788.03333</v>
      </c>
      <c r="Z102">
        <v>150.07046666666699</v>
      </c>
      <c r="AA102">
        <v>149.995933333333</v>
      </c>
      <c r="AB102">
        <v>15.4025533333333</v>
      </c>
      <c r="AC102">
        <v>13.5319466666667</v>
      </c>
      <c r="AD102">
        <v>150.39726666666701</v>
      </c>
      <c r="AE102">
        <v>15.3399533333333</v>
      </c>
      <c r="AF102">
        <v>800.01226666666696</v>
      </c>
      <c r="AG102">
        <v>99.9397533333333</v>
      </c>
      <c r="AH102">
        <v>6.3513646666666701E-2</v>
      </c>
      <c r="AI102">
        <v>18.997800000000002</v>
      </c>
      <c r="AJ102">
        <v>999.9</v>
      </c>
      <c r="AK102">
        <v>999.9</v>
      </c>
      <c r="AL102">
        <v>0</v>
      </c>
      <c r="AM102">
        <v>0</v>
      </c>
      <c r="AN102">
        <v>5000.7</v>
      </c>
      <c r="AO102">
        <v>0</v>
      </c>
      <c r="AP102">
        <v>1.63733</v>
      </c>
      <c r="AQ102">
        <v>7.4737546666666696E-2</v>
      </c>
      <c r="AR102">
        <v>152.41806666666699</v>
      </c>
      <c r="AS102">
        <v>152.05340000000001</v>
      </c>
      <c r="AT102">
        <v>1.8706246666666699</v>
      </c>
      <c r="AU102">
        <v>149.995933333333</v>
      </c>
      <c r="AV102">
        <v>13.5319466666667</v>
      </c>
      <c r="AW102">
        <v>1.5393273333333299</v>
      </c>
      <c r="AX102">
        <v>1.35237733333333</v>
      </c>
      <c r="AY102">
        <v>13.364506666666699</v>
      </c>
      <c r="AZ102">
        <v>11.39392</v>
      </c>
      <c r="BA102">
        <v>800.00059999999996</v>
      </c>
      <c r="BB102">
        <v>0.89999399999999996</v>
      </c>
      <c r="BC102">
        <v>0</v>
      </c>
      <c r="BD102">
        <v>0.10000605999999999</v>
      </c>
      <c r="BE102">
        <v>0</v>
      </c>
      <c r="BF102">
        <v>25</v>
      </c>
      <c r="BG102">
        <v>13191.0133333333</v>
      </c>
      <c r="BH102">
        <v>1771104462.0999999</v>
      </c>
      <c r="BI102" t="s">
        <v>442</v>
      </c>
      <c r="BJ102">
        <v>1771104462.0999999</v>
      </c>
      <c r="BK102">
        <v>1771104442.0999999</v>
      </c>
      <c r="BL102">
        <v>16</v>
      </c>
      <c r="BM102">
        <v>0.11600000000000001</v>
      </c>
      <c r="BN102">
        <v>3.0000000000000001E-3</v>
      </c>
      <c r="BO102">
        <v>-0.32700000000000001</v>
      </c>
      <c r="BP102">
        <v>6.3E-2</v>
      </c>
      <c r="BQ102">
        <v>50</v>
      </c>
      <c r="BR102">
        <v>14</v>
      </c>
      <c r="BS102">
        <v>0.14000000000000001</v>
      </c>
      <c r="BT102">
        <v>0.04</v>
      </c>
      <c r="BU102">
        <v>7.3895265000000002E-2</v>
      </c>
      <c r="BV102">
        <v>3.3275517293233199E-2</v>
      </c>
      <c r="BW102">
        <v>1.74963845761139E-2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1.8772314999999999</v>
      </c>
      <c r="CD102">
        <v>-0.18341729323308001</v>
      </c>
      <c r="CE102">
        <v>1.8029538062579401E-2</v>
      </c>
      <c r="CF102">
        <v>0</v>
      </c>
      <c r="CG102">
        <v>1</v>
      </c>
      <c r="CH102">
        <v>2</v>
      </c>
      <c r="CI102" t="s">
        <v>299</v>
      </c>
      <c r="CJ102">
        <v>3.53254</v>
      </c>
      <c r="CK102">
        <v>2.7014</v>
      </c>
      <c r="CL102">
        <v>4.1817899999999998E-2</v>
      </c>
      <c r="CM102">
        <v>4.12673E-2</v>
      </c>
      <c r="CN102">
        <v>8.6980000000000002E-2</v>
      </c>
      <c r="CO102">
        <v>7.81776E-2</v>
      </c>
      <c r="CP102">
        <v>33564.300000000003</v>
      </c>
      <c r="CQ102">
        <v>29523.7</v>
      </c>
      <c r="CR102">
        <v>32423.4</v>
      </c>
      <c r="CS102">
        <v>30724.6</v>
      </c>
      <c r="CT102">
        <v>40092.1</v>
      </c>
      <c r="CU102">
        <v>39840.300000000003</v>
      </c>
      <c r="CV102">
        <v>47363.9</v>
      </c>
      <c r="CW102">
        <v>46871.9</v>
      </c>
      <c r="CX102">
        <v>2.6136200000000001</v>
      </c>
      <c r="CY102">
        <v>2.1174400000000002</v>
      </c>
      <c r="CZ102">
        <v>0</v>
      </c>
      <c r="DA102">
        <v>0</v>
      </c>
      <c r="DB102">
        <v>999.9</v>
      </c>
      <c r="DC102">
        <v>999.9</v>
      </c>
      <c r="DD102">
        <v>45.262999999999998</v>
      </c>
      <c r="DE102">
        <v>28.782</v>
      </c>
      <c r="DF102">
        <v>17.987400000000001</v>
      </c>
      <c r="DG102">
        <v>30.6082</v>
      </c>
      <c r="DH102">
        <v>16.947099999999999</v>
      </c>
      <c r="DI102">
        <v>2</v>
      </c>
      <c r="DJ102">
        <v>-6.6432900000000003E-2</v>
      </c>
      <c r="DK102">
        <v>2.57524</v>
      </c>
      <c r="DL102">
        <v>20.190300000000001</v>
      </c>
      <c r="DM102">
        <v>5.2515499999999999</v>
      </c>
      <c r="DN102">
        <v>12.033899999999999</v>
      </c>
      <c r="DO102">
        <v>4.9676799999999997</v>
      </c>
      <c r="DP102">
        <v>3.2909999999999999</v>
      </c>
      <c r="DQ102">
        <v>608.1</v>
      </c>
      <c r="DR102">
        <v>9999</v>
      </c>
      <c r="DS102">
        <v>9999</v>
      </c>
      <c r="DT102">
        <v>9999</v>
      </c>
      <c r="DU102">
        <v>1.8711500000000001</v>
      </c>
      <c r="DV102">
        <v>1.8762099999999999</v>
      </c>
      <c r="DW102">
        <v>1.87636</v>
      </c>
      <c r="DX102">
        <v>1.88287</v>
      </c>
      <c r="DY102">
        <v>1.87561</v>
      </c>
      <c r="DZ102">
        <v>1.87469</v>
      </c>
      <c r="EA102">
        <v>1.8708800000000001</v>
      </c>
      <c r="EB102">
        <v>1.8746799999999999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-0.32700000000000001</v>
      </c>
      <c r="EQ102">
        <v>6.2600000000000003E-2</v>
      </c>
      <c r="ER102">
        <v>-0.32652000000000198</v>
      </c>
      <c r="ES102">
        <v>0</v>
      </c>
      <c r="ET102">
        <v>0</v>
      </c>
      <c r="EU102">
        <v>0</v>
      </c>
      <c r="EV102">
        <v>6.2590000000000104E-2</v>
      </c>
      <c r="EW102">
        <v>0</v>
      </c>
      <c r="EX102">
        <v>0</v>
      </c>
      <c r="EY102">
        <v>0</v>
      </c>
      <c r="EZ102">
        <v>-1</v>
      </c>
      <c r="FA102">
        <v>-1</v>
      </c>
      <c r="FB102">
        <v>-1</v>
      </c>
      <c r="FC102">
        <v>-1</v>
      </c>
      <c r="FD102">
        <v>5.6</v>
      </c>
      <c r="FE102">
        <v>5.9</v>
      </c>
      <c r="FF102">
        <v>0.56884800000000002</v>
      </c>
      <c r="FG102">
        <v>2.6220699999999999</v>
      </c>
      <c r="FH102">
        <v>2.19604</v>
      </c>
      <c r="FI102">
        <v>2.5744600000000002</v>
      </c>
      <c r="FJ102">
        <v>2.4462899999999999</v>
      </c>
      <c r="FK102">
        <v>2.2729499999999998</v>
      </c>
      <c r="FL102">
        <v>33.065199999999997</v>
      </c>
      <c r="FM102">
        <v>24.1313</v>
      </c>
      <c r="FN102">
        <v>19</v>
      </c>
      <c r="FO102">
        <v>866.678</v>
      </c>
      <c r="FP102">
        <v>573.49699999999996</v>
      </c>
      <c r="FQ102">
        <v>17.9574</v>
      </c>
      <c r="FR102">
        <v>26.135999999999999</v>
      </c>
      <c r="FS102">
        <v>30.0002</v>
      </c>
      <c r="FT102">
        <v>26.1236</v>
      </c>
      <c r="FU102">
        <v>26.1251</v>
      </c>
      <c r="FV102">
        <v>11.428000000000001</v>
      </c>
      <c r="FW102">
        <v>28.184999999999999</v>
      </c>
      <c r="FX102">
        <v>37.081499999999998</v>
      </c>
      <c r="FY102">
        <v>17.954799999999999</v>
      </c>
      <c r="FZ102">
        <v>150</v>
      </c>
      <c r="GA102">
        <v>13.6089</v>
      </c>
      <c r="GB102">
        <v>99.792000000000002</v>
      </c>
      <c r="GC102">
        <v>99.766900000000007</v>
      </c>
    </row>
    <row r="103" spans="1:185" x14ac:dyDescent="0.2">
      <c r="A103">
        <v>88</v>
      </c>
      <c r="B103">
        <v>1771104811.0999999</v>
      </c>
      <c r="C103">
        <v>1698</v>
      </c>
      <c r="D103" t="s">
        <v>475</v>
      </c>
      <c r="E103" t="s">
        <v>476</v>
      </c>
      <c r="F103">
        <v>15</v>
      </c>
      <c r="G103">
        <v>1771104803.03333</v>
      </c>
      <c r="H103">
        <f t="shared" si="13"/>
        <v>1.5114977102682048E-3</v>
      </c>
      <c r="I103">
        <v>0</v>
      </c>
      <c r="J103">
        <f t="shared" si="25"/>
        <v>-1.6136927493769528E-2</v>
      </c>
      <c r="K103">
        <f t="shared" si="14"/>
        <v>-0.28854850349765743</v>
      </c>
      <c r="L103">
        <f t="shared" si="15"/>
        <v>69.831185474851949</v>
      </c>
      <c r="M103">
        <f t="shared" si="16"/>
        <v>1.5404675132523717</v>
      </c>
      <c r="N103">
        <f t="shared" si="17"/>
        <v>2.2059879161111113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26209.062275924109</v>
      </c>
      <c r="T103">
        <f t="shared" si="21"/>
        <v>800.00086666666698</v>
      </c>
      <c r="U103">
        <f t="shared" si="22"/>
        <v>674.40083108010947</v>
      </c>
      <c r="V103">
        <f t="shared" si="23"/>
        <v>0.84300012560000037</v>
      </c>
      <c r="W103">
        <f t="shared" si="24"/>
        <v>0.15870041793600007</v>
      </c>
      <c r="X103">
        <v>1</v>
      </c>
      <c r="Y103">
        <v>1771104803.03333</v>
      </c>
      <c r="Z103">
        <v>150.07706666666701</v>
      </c>
      <c r="AA103">
        <v>149.99993333333299</v>
      </c>
      <c r="AB103">
        <v>15.404346666666701</v>
      </c>
      <c r="AC103">
        <v>13.5441</v>
      </c>
      <c r="AD103">
        <v>150.40360000000001</v>
      </c>
      <c r="AE103">
        <v>15.341760000000001</v>
      </c>
      <c r="AF103">
        <v>800.00900000000001</v>
      </c>
      <c r="AG103">
        <v>99.938800000000001</v>
      </c>
      <c r="AH103">
        <v>6.3332293333333303E-2</v>
      </c>
      <c r="AI103">
        <v>19.005866666666702</v>
      </c>
      <c r="AJ103">
        <v>999.9</v>
      </c>
      <c r="AK103">
        <v>999.9</v>
      </c>
      <c r="AL103">
        <v>0</v>
      </c>
      <c r="AM103">
        <v>0</v>
      </c>
      <c r="AN103">
        <v>5000.5666666666702</v>
      </c>
      <c r="AO103">
        <v>0</v>
      </c>
      <c r="AP103">
        <v>1.63733</v>
      </c>
      <c r="AQ103">
        <v>7.713826E-2</v>
      </c>
      <c r="AR103">
        <v>152.42500000000001</v>
      </c>
      <c r="AS103">
        <v>152.05926666666701</v>
      </c>
      <c r="AT103">
        <v>1.8602399999999999</v>
      </c>
      <c r="AU103">
        <v>149.99993333333299</v>
      </c>
      <c r="AV103">
        <v>13.5441</v>
      </c>
      <c r="AW103">
        <v>1.53949133333333</v>
      </c>
      <c r="AX103">
        <v>1.3535820000000001</v>
      </c>
      <c r="AY103">
        <v>13.366113333333301</v>
      </c>
      <c r="AZ103">
        <v>11.4073666666667</v>
      </c>
      <c r="BA103">
        <v>800.00086666666698</v>
      </c>
      <c r="BB103">
        <v>0.89999426666666704</v>
      </c>
      <c r="BC103">
        <v>0</v>
      </c>
      <c r="BD103">
        <v>0.10000568</v>
      </c>
      <c r="BE103">
        <v>0</v>
      </c>
      <c r="BF103">
        <v>25</v>
      </c>
      <c r="BG103">
        <v>13191.02</v>
      </c>
      <c r="BH103">
        <v>1771104462.0999999</v>
      </c>
      <c r="BI103" t="s">
        <v>442</v>
      </c>
      <c r="BJ103">
        <v>1771104462.0999999</v>
      </c>
      <c r="BK103">
        <v>1771104442.0999999</v>
      </c>
      <c r="BL103">
        <v>16</v>
      </c>
      <c r="BM103">
        <v>0.11600000000000001</v>
      </c>
      <c r="BN103">
        <v>3.0000000000000001E-3</v>
      </c>
      <c r="BO103">
        <v>-0.32700000000000001</v>
      </c>
      <c r="BP103">
        <v>6.3E-2</v>
      </c>
      <c r="BQ103">
        <v>50</v>
      </c>
      <c r="BR103">
        <v>14</v>
      </c>
      <c r="BS103">
        <v>0.14000000000000001</v>
      </c>
      <c r="BT103">
        <v>0.04</v>
      </c>
      <c r="BU103">
        <v>7.60999333333333E-2</v>
      </c>
      <c r="BV103">
        <v>2.0550677922077699E-2</v>
      </c>
      <c r="BW103">
        <v>1.22132306612964E-2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1.85828666666667</v>
      </c>
      <c r="CD103">
        <v>6.37238961038913E-2</v>
      </c>
      <c r="CE103">
        <v>1.3319311913206001E-2</v>
      </c>
      <c r="CF103">
        <v>1</v>
      </c>
      <c r="CG103">
        <v>2</v>
      </c>
      <c r="CH103">
        <v>2</v>
      </c>
      <c r="CI103" t="s">
        <v>322</v>
      </c>
      <c r="CJ103">
        <v>3.5325299999999999</v>
      </c>
      <c r="CK103">
        <v>2.7012200000000002</v>
      </c>
      <c r="CL103">
        <v>4.1815999999999999E-2</v>
      </c>
      <c r="CM103">
        <v>4.1264799999999997E-2</v>
      </c>
      <c r="CN103">
        <v>8.6971599999999996E-2</v>
      </c>
      <c r="CO103">
        <v>7.82032E-2</v>
      </c>
      <c r="CP103">
        <v>33564.400000000001</v>
      </c>
      <c r="CQ103">
        <v>29524.1</v>
      </c>
      <c r="CR103">
        <v>32423.3</v>
      </c>
      <c r="CS103">
        <v>30724.9</v>
      </c>
      <c r="CT103">
        <v>40092.699999999997</v>
      </c>
      <c r="CU103">
        <v>39839.599999999999</v>
      </c>
      <c r="CV103">
        <v>47364.3</v>
      </c>
      <c r="CW103">
        <v>46872.5</v>
      </c>
      <c r="CX103">
        <v>2.6136599999999999</v>
      </c>
      <c r="CY103">
        <v>2.11734</v>
      </c>
      <c r="CZ103">
        <v>0</v>
      </c>
      <c r="DA103">
        <v>0</v>
      </c>
      <c r="DB103">
        <v>999.9</v>
      </c>
      <c r="DC103">
        <v>999.9</v>
      </c>
      <c r="DD103">
        <v>45.19</v>
      </c>
      <c r="DE103">
        <v>28.782</v>
      </c>
      <c r="DF103">
        <v>17.9574</v>
      </c>
      <c r="DG103">
        <v>30.5182</v>
      </c>
      <c r="DH103">
        <v>17.031199999999998</v>
      </c>
      <c r="DI103">
        <v>2</v>
      </c>
      <c r="DJ103">
        <v>-6.5688999999999997E-2</v>
      </c>
      <c r="DK103">
        <v>2.83683</v>
      </c>
      <c r="DL103">
        <v>20.184899999999999</v>
      </c>
      <c r="DM103">
        <v>5.2517899999999997</v>
      </c>
      <c r="DN103">
        <v>12.033899999999999</v>
      </c>
      <c r="DO103">
        <v>4.9674800000000001</v>
      </c>
      <c r="DP103">
        <v>3.2909999999999999</v>
      </c>
      <c r="DQ103">
        <v>608.1</v>
      </c>
      <c r="DR103">
        <v>9999</v>
      </c>
      <c r="DS103">
        <v>9999</v>
      </c>
      <c r="DT103">
        <v>9999</v>
      </c>
      <c r="DU103">
        <v>1.8711899999999999</v>
      </c>
      <c r="DV103">
        <v>1.87619</v>
      </c>
      <c r="DW103">
        <v>1.8763700000000001</v>
      </c>
      <c r="DX103">
        <v>1.88286</v>
      </c>
      <c r="DY103">
        <v>1.87561</v>
      </c>
      <c r="DZ103">
        <v>1.87469</v>
      </c>
      <c r="EA103">
        <v>1.8708800000000001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-0.32700000000000001</v>
      </c>
      <c r="EQ103">
        <v>6.2600000000000003E-2</v>
      </c>
      <c r="ER103">
        <v>-0.32652000000000198</v>
      </c>
      <c r="ES103">
        <v>0</v>
      </c>
      <c r="ET103">
        <v>0</v>
      </c>
      <c r="EU103">
        <v>0</v>
      </c>
      <c r="EV103">
        <v>6.2590000000000104E-2</v>
      </c>
      <c r="EW103">
        <v>0</v>
      </c>
      <c r="EX103">
        <v>0</v>
      </c>
      <c r="EY103">
        <v>0</v>
      </c>
      <c r="EZ103">
        <v>-1</v>
      </c>
      <c r="FA103">
        <v>-1</v>
      </c>
      <c r="FB103">
        <v>-1</v>
      </c>
      <c r="FC103">
        <v>-1</v>
      </c>
      <c r="FD103">
        <v>5.8</v>
      </c>
      <c r="FE103">
        <v>6.2</v>
      </c>
      <c r="FF103">
        <v>0.56884800000000002</v>
      </c>
      <c r="FG103">
        <v>2.6232899999999999</v>
      </c>
      <c r="FH103">
        <v>2.19604</v>
      </c>
      <c r="FI103">
        <v>2.5744600000000002</v>
      </c>
      <c r="FJ103">
        <v>2.4462899999999999</v>
      </c>
      <c r="FK103">
        <v>2.2363300000000002</v>
      </c>
      <c r="FL103">
        <v>33.065199999999997</v>
      </c>
      <c r="FM103">
        <v>24.122499999999999</v>
      </c>
      <c r="FN103">
        <v>19</v>
      </c>
      <c r="FO103">
        <v>866.71500000000003</v>
      </c>
      <c r="FP103">
        <v>573.41999999999996</v>
      </c>
      <c r="FQ103">
        <v>17.7973</v>
      </c>
      <c r="FR103">
        <v>26.133900000000001</v>
      </c>
      <c r="FS103">
        <v>30</v>
      </c>
      <c r="FT103">
        <v>26.1236</v>
      </c>
      <c r="FU103">
        <v>26.1251</v>
      </c>
      <c r="FV103">
        <v>11.4276</v>
      </c>
      <c r="FW103">
        <v>27.883600000000001</v>
      </c>
      <c r="FX103">
        <v>36.707299999999996</v>
      </c>
      <c r="FY103">
        <v>17.807099999999998</v>
      </c>
      <c r="FZ103">
        <v>150</v>
      </c>
      <c r="GA103">
        <v>13.622299999999999</v>
      </c>
      <c r="GB103">
        <v>99.792400000000001</v>
      </c>
      <c r="GC103">
        <v>99.767899999999997</v>
      </c>
    </row>
    <row r="104" spans="1:185" x14ac:dyDescent="0.2">
      <c r="A104">
        <v>89</v>
      </c>
      <c r="B104">
        <v>1771104826.0999999</v>
      </c>
      <c r="C104">
        <v>1713</v>
      </c>
      <c r="D104" t="s">
        <v>477</v>
      </c>
      <c r="E104" t="s">
        <v>478</v>
      </c>
      <c r="F104">
        <v>15</v>
      </c>
      <c r="G104">
        <v>1771104818.03333</v>
      </c>
      <c r="H104">
        <f t="shared" si="13"/>
        <v>1.4924740053585271E-3</v>
      </c>
      <c r="I104">
        <v>0</v>
      </c>
      <c r="J104">
        <f t="shared" si="25"/>
        <v>-1.589662419297937E-2</v>
      </c>
      <c r="K104">
        <f t="shared" si="14"/>
        <v>-0.28425157907661636</v>
      </c>
      <c r="L104">
        <f t="shared" si="15"/>
        <v>69.87633731912085</v>
      </c>
      <c r="M104">
        <f t="shared" si="16"/>
        <v>1.5410044832569005</v>
      </c>
      <c r="N104">
        <f t="shared" si="17"/>
        <v>2.2053309351622561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26194.082727756529</v>
      </c>
      <c r="T104">
        <f t="shared" si="21"/>
        <v>799.99860000000001</v>
      </c>
      <c r="U104">
        <f t="shared" si="22"/>
        <v>674.39892699981249</v>
      </c>
      <c r="V104">
        <f t="shared" si="23"/>
        <v>0.84300013400000007</v>
      </c>
      <c r="W104">
        <f t="shared" si="24"/>
        <v>0.15870033500000003</v>
      </c>
      <c r="X104">
        <v>1</v>
      </c>
      <c r="Y104">
        <v>1771104818.03333</v>
      </c>
      <c r="Z104">
        <v>150.075866666667</v>
      </c>
      <c r="AA104">
        <v>150.00053333333301</v>
      </c>
      <c r="AB104">
        <v>15.4096266666667</v>
      </c>
      <c r="AC104">
        <v>13.572800000000001</v>
      </c>
      <c r="AD104">
        <v>150.40233333333299</v>
      </c>
      <c r="AE104">
        <v>15.347060000000001</v>
      </c>
      <c r="AF104">
        <v>800.00773333333302</v>
      </c>
      <c r="AG104">
        <v>99.939353333333301</v>
      </c>
      <c r="AH104">
        <v>6.3360333333333296E-2</v>
      </c>
      <c r="AI104">
        <v>19.001093333333301</v>
      </c>
      <c r="AJ104">
        <v>999.9</v>
      </c>
      <c r="AK104">
        <v>999.9</v>
      </c>
      <c r="AL104">
        <v>0</v>
      </c>
      <c r="AM104">
        <v>0</v>
      </c>
      <c r="AN104">
        <v>4998</v>
      </c>
      <c r="AO104">
        <v>0</v>
      </c>
      <c r="AP104">
        <v>1.63733</v>
      </c>
      <c r="AQ104">
        <v>7.5181073333333306E-2</v>
      </c>
      <c r="AR104">
        <v>152.42453333333299</v>
      </c>
      <c r="AS104">
        <v>152.064533333333</v>
      </c>
      <c r="AT104">
        <v>1.836808</v>
      </c>
      <c r="AU104">
        <v>150.00053333333301</v>
      </c>
      <c r="AV104">
        <v>13.572800000000001</v>
      </c>
      <c r="AW104">
        <v>1.540028</v>
      </c>
      <c r="AX104">
        <v>1.35645866666667</v>
      </c>
      <c r="AY104">
        <v>13.3714733333333</v>
      </c>
      <c r="AZ104">
        <v>11.439446666666701</v>
      </c>
      <c r="BA104">
        <v>799.99860000000001</v>
      </c>
      <c r="BB104">
        <v>0.89999553333333304</v>
      </c>
      <c r="BC104">
        <v>0</v>
      </c>
      <c r="BD104">
        <v>0.100004466666667</v>
      </c>
      <c r="BE104">
        <v>0</v>
      </c>
      <c r="BF104">
        <v>25</v>
      </c>
      <c r="BG104">
        <v>13190.973333333301</v>
      </c>
      <c r="BH104">
        <v>1771104462.0999999</v>
      </c>
      <c r="BI104" t="s">
        <v>442</v>
      </c>
      <c r="BJ104">
        <v>1771104462.0999999</v>
      </c>
      <c r="BK104">
        <v>1771104442.0999999</v>
      </c>
      <c r="BL104">
        <v>16</v>
      </c>
      <c r="BM104">
        <v>0.11600000000000001</v>
      </c>
      <c r="BN104">
        <v>3.0000000000000001E-3</v>
      </c>
      <c r="BO104">
        <v>-0.32700000000000001</v>
      </c>
      <c r="BP104">
        <v>6.3E-2</v>
      </c>
      <c r="BQ104">
        <v>50</v>
      </c>
      <c r="BR104">
        <v>14</v>
      </c>
      <c r="BS104">
        <v>0.14000000000000001</v>
      </c>
      <c r="BT104">
        <v>0.04</v>
      </c>
      <c r="BU104">
        <v>7.5808571428571406E-2</v>
      </c>
      <c r="BV104">
        <v>3.4147714285713798E-3</v>
      </c>
      <c r="BW104">
        <v>8.3167380113635808E-3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1.8478542857142899</v>
      </c>
      <c r="CD104">
        <v>-0.124291948051945</v>
      </c>
      <c r="CE104">
        <v>1.9090567746160601E-2</v>
      </c>
      <c r="CF104">
        <v>0</v>
      </c>
      <c r="CG104">
        <v>1</v>
      </c>
      <c r="CH104">
        <v>2</v>
      </c>
      <c r="CI104" t="s">
        <v>299</v>
      </c>
      <c r="CJ104">
        <v>3.5325299999999999</v>
      </c>
      <c r="CK104">
        <v>2.7013400000000001</v>
      </c>
      <c r="CL104">
        <v>4.1816800000000001E-2</v>
      </c>
      <c r="CM104">
        <v>4.1269899999999998E-2</v>
      </c>
      <c r="CN104">
        <v>8.70282E-2</v>
      </c>
      <c r="CO104">
        <v>7.8256599999999996E-2</v>
      </c>
      <c r="CP104">
        <v>33565.5</v>
      </c>
      <c r="CQ104">
        <v>29524.2</v>
      </c>
      <c r="CR104">
        <v>32424.400000000001</v>
      </c>
      <c r="CS104">
        <v>30725.200000000001</v>
      </c>
      <c r="CT104">
        <v>40091.1</v>
      </c>
      <c r="CU104">
        <v>39837.5</v>
      </c>
      <c r="CV104">
        <v>47365.4</v>
      </c>
      <c r="CW104">
        <v>46872.800000000003</v>
      </c>
      <c r="CX104">
        <v>2.61354</v>
      </c>
      <c r="CY104">
        <v>2.1173799999999998</v>
      </c>
      <c r="CZ104">
        <v>0</v>
      </c>
      <c r="DA104">
        <v>0</v>
      </c>
      <c r="DB104">
        <v>999.9</v>
      </c>
      <c r="DC104">
        <v>999.9</v>
      </c>
      <c r="DD104">
        <v>45.140999999999998</v>
      </c>
      <c r="DE104">
        <v>28.782</v>
      </c>
      <c r="DF104">
        <v>17.940000000000001</v>
      </c>
      <c r="DG104">
        <v>30.5182</v>
      </c>
      <c r="DH104">
        <v>17.051300000000001</v>
      </c>
      <c r="DI104">
        <v>2</v>
      </c>
      <c r="DJ104">
        <v>-6.6339400000000007E-2</v>
      </c>
      <c r="DK104">
        <v>2.7353700000000001</v>
      </c>
      <c r="DL104">
        <v>20.187200000000001</v>
      </c>
      <c r="DM104">
        <v>5.2519099999999996</v>
      </c>
      <c r="DN104">
        <v>12.033899999999999</v>
      </c>
      <c r="DO104">
        <v>4.9676400000000003</v>
      </c>
      <c r="DP104">
        <v>3.2909999999999999</v>
      </c>
      <c r="DQ104">
        <v>608.1</v>
      </c>
      <c r="DR104">
        <v>9999</v>
      </c>
      <c r="DS104">
        <v>9999</v>
      </c>
      <c r="DT104">
        <v>9999</v>
      </c>
      <c r="DU104">
        <v>1.8711599999999999</v>
      </c>
      <c r="DV104">
        <v>1.87619</v>
      </c>
      <c r="DW104">
        <v>1.87635</v>
      </c>
      <c r="DX104">
        <v>1.88283</v>
      </c>
      <c r="DY104">
        <v>1.87561</v>
      </c>
      <c r="DZ104">
        <v>1.87469</v>
      </c>
      <c r="EA104">
        <v>1.87086</v>
      </c>
      <c r="EB104">
        <v>1.8746799999999999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-0.32700000000000001</v>
      </c>
      <c r="EQ104">
        <v>6.2600000000000003E-2</v>
      </c>
      <c r="ER104">
        <v>-0.32652000000000198</v>
      </c>
      <c r="ES104">
        <v>0</v>
      </c>
      <c r="ET104">
        <v>0</v>
      </c>
      <c r="EU104">
        <v>0</v>
      </c>
      <c r="EV104">
        <v>6.2590000000000104E-2</v>
      </c>
      <c r="EW104">
        <v>0</v>
      </c>
      <c r="EX104">
        <v>0</v>
      </c>
      <c r="EY104">
        <v>0</v>
      </c>
      <c r="EZ104">
        <v>-1</v>
      </c>
      <c r="FA104">
        <v>-1</v>
      </c>
      <c r="FB104">
        <v>-1</v>
      </c>
      <c r="FC104">
        <v>-1</v>
      </c>
      <c r="FD104">
        <v>6.1</v>
      </c>
      <c r="FE104">
        <v>6.4</v>
      </c>
      <c r="FF104">
        <v>0.56884800000000002</v>
      </c>
      <c r="FG104">
        <v>2.6135299999999999</v>
      </c>
      <c r="FH104">
        <v>2.19604</v>
      </c>
      <c r="FI104">
        <v>2.5744600000000002</v>
      </c>
      <c r="FJ104">
        <v>2.4462899999999999</v>
      </c>
      <c r="FK104">
        <v>2.32422</v>
      </c>
      <c r="FL104">
        <v>33.065199999999997</v>
      </c>
      <c r="FM104">
        <v>24.14</v>
      </c>
      <c r="FN104">
        <v>19</v>
      </c>
      <c r="FO104">
        <v>866.60299999999995</v>
      </c>
      <c r="FP104">
        <v>573.45100000000002</v>
      </c>
      <c r="FQ104">
        <v>17.795200000000001</v>
      </c>
      <c r="FR104">
        <v>26.131599999999999</v>
      </c>
      <c r="FS104">
        <v>29.9998</v>
      </c>
      <c r="FT104">
        <v>26.1236</v>
      </c>
      <c r="FU104">
        <v>26.1251</v>
      </c>
      <c r="FV104">
        <v>11.4283</v>
      </c>
      <c r="FW104">
        <v>27.883600000000001</v>
      </c>
      <c r="FX104">
        <v>36.707299999999996</v>
      </c>
      <c r="FY104">
        <v>17.799499999999998</v>
      </c>
      <c r="FZ104">
        <v>150</v>
      </c>
      <c r="GA104">
        <v>13.6229</v>
      </c>
      <c r="GB104">
        <v>99.795100000000005</v>
      </c>
      <c r="GC104">
        <v>99.768799999999999</v>
      </c>
    </row>
    <row r="105" spans="1:185" x14ac:dyDescent="0.2">
      <c r="A105">
        <v>90</v>
      </c>
      <c r="B105">
        <v>1771104841.0999999</v>
      </c>
      <c r="C105">
        <v>1728</v>
      </c>
      <c r="D105" t="s">
        <v>479</v>
      </c>
      <c r="E105" t="s">
        <v>480</v>
      </c>
      <c r="F105">
        <v>15</v>
      </c>
      <c r="G105">
        <v>1771104833.03333</v>
      </c>
      <c r="H105">
        <f t="shared" si="13"/>
        <v>1.493639558786895E-3</v>
      </c>
      <c r="I105">
        <v>0</v>
      </c>
      <c r="J105">
        <f t="shared" si="25"/>
        <v>-1.5045815269017373E-2</v>
      </c>
      <c r="K105">
        <f t="shared" si="14"/>
        <v>-0.26903804838023854</v>
      </c>
      <c r="L105">
        <f t="shared" si="15"/>
        <v>69.918012107083086</v>
      </c>
      <c r="M105">
        <f t="shared" si="16"/>
        <v>1.5413174714604716</v>
      </c>
      <c r="N105">
        <f t="shared" si="17"/>
        <v>2.2044640930292232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26222.945167659425</v>
      </c>
      <c r="T105">
        <f t="shared" si="21"/>
        <v>799.99933333333297</v>
      </c>
      <c r="U105">
        <f t="shared" si="22"/>
        <v>674.39974519974373</v>
      </c>
      <c r="V105">
        <f t="shared" si="23"/>
        <v>0.84300038399999999</v>
      </c>
      <c r="W105">
        <f t="shared" si="24"/>
        <v>0.15870134976000003</v>
      </c>
      <c r="X105">
        <v>1</v>
      </c>
      <c r="Y105">
        <v>1771104833.03333</v>
      </c>
      <c r="Z105">
        <v>150.05666666666701</v>
      </c>
      <c r="AA105">
        <v>150.00053333333301</v>
      </c>
      <c r="AB105">
        <v>15.412746666666701</v>
      </c>
      <c r="AC105">
        <v>13.5745066666667</v>
      </c>
      <c r="AD105">
        <v>150.38333333333301</v>
      </c>
      <c r="AE105">
        <v>15.350160000000001</v>
      </c>
      <c r="AF105">
        <v>800.01440000000002</v>
      </c>
      <c r="AG105">
        <v>99.939426666666705</v>
      </c>
      <c r="AH105">
        <v>6.3350566666666705E-2</v>
      </c>
      <c r="AI105">
        <v>18.994793333333298</v>
      </c>
      <c r="AJ105">
        <v>999.9</v>
      </c>
      <c r="AK105">
        <v>999.9</v>
      </c>
      <c r="AL105">
        <v>0</v>
      </c>
      <c r="AM105">
        <v>0</v>
      </c>
      <c r="AN105">
        <v>5002.6666666666697</v>
      </c>
      <c r="AO105">
        <v>0</v>
      </c>
      <c r="AP105">
        <v>1.63733</v>
      </c>
      <c r="AQ105">
        <v>5.609944E-2</v>
      </c>
      <c r="AR105">
        <v>152.4058</v>
      </c>
      <c r="AS105">
        <v>152.064866666667</v>
      </c>
      <c r="AT105">
        <v>1.8382353333333299</v>
      </c>
      <c r="AU105">
        <v>150.00053333333301</v>
      </c>
      <c r="AV105">
        <v>13.5745066666667</v>
      </c>
      <c r="AW105">
        <v>1.5403420000000001</v>
      </c>
      <c r="AX105">
        <v>1.3566306666666701</v>
      </c>
      <c r="AY105">
        <v>13.374606666666701</v>
      </c>
      <c r="AZ105">
        <v>11.4413533333333</v>
      </c>
      <c r="BA105">
        <v>799.99933333333297</v>
      </c>
      <c r="BB105">
        <v>0.89998140000000004</v>
      </c>
      <c r="BC105">
        <v>0</v>
      </c>
      <c r="BD105">
        <v>0.10001839999999999</v>
      </c>
      <c r="BE105">
        <v>0</v>
      </c>
      <c r="BF105">
        <v>25</v>
      </c>
      <c r="BG105">
        <v>13190.9533333333</v>
      </c>
      <c r="BH105">
        <v>1771104462.0999999</v>
      </c>
      <c r="BI105" t="s">
        <v>442</v>
      </c>
      <c r="BJ105">
        <v>1771104462.0999999</v>
      </c>
      <c r="BK105">
        <v>1771104442.0999999</v>
      </c>
      <c r="BL105">
        <v>16</v>
      </c>
      <c r="BM105">
        <v>0.11600000000000001</v>
      </c>
      <c r="BN105">
        <v>3.0000000000000001E-3</v>
      </c>
      <c r="BO105">
        <v>-0.32700000000000001</v>
      </c>
      <c r="BP105">
        <v>6.3E-2</v>
      </c>
      <c r="BQ105">
        <v>50</v>
      </c>
      <c r="BR105">
        <v>14</v>
      </c>
      <c r="BS105">
        <v>0.14000000000000001</v>
      </c>
      <c r="BT105">
        <v>0.04</v>
      </c>
      <c r="BU105">
        <v>6.1800995238095201E-2</v>
      </c>
      <c r="BV105">
        <v>-9.7687979220779195E-2</v>
      </c>
      <c r="BW105">
        <v>1.4918790766791701E-2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1.8391166666666701</v>
      </c>
      <c r="CD105">
        <v>-4.77662337658082E-4</v>
      </c>
      <c r="CE105">
        <v>3.4478969895856198E-3</v>
      </c>
      <c r="CF105">
        <v>1</v>
      </c>
      <c r="CG105">
        <v>2</v>
      </c>
      <c r="CH105">
        <v>2</v>
      </c>
      <c r="CI105" t="s">
        <v>322</v>
      </c>
      <c r="CJ105">
        <v>3.5325700000000002</v>
      </c>
      <c r="CK105">
        <v>2.7010800000000001</v>
      </c>
      <c r="CL105">
        <v>4.1813000000000003E-2</v>
      </c>
      <c r="CM105">
        <v>4.1271700000000001E-2</v>
      </c>
      <c r="CN105">
        <v>8.7015499999999996E-2</v>
      </c>
      <c r="CO105">
        <v>7.8249600000000002E-2</v>
      </c>
      <c r="CP105">
        <v>33565.5</v>
      </c>
      <c r="CQ105">
        <v>29524.7</v>
      </c>
      <c r="CR105">
        <v>32424.3</v>
      </c>
      <c r="CS105">
        <v>30725.7</v>
      </c>
      <c r="CT105">
        <v>40091.699999999997</v>
      </c>
      <c r="CU105">
        <v>39838.400000000001</v>
      </c>
      <c r="CV105">
        <v>47365.4</v>
      </c>
      <c r="CW105">
        <v>46873.5</v>
      </c>
      <c r="CX105">
        <v>2.6135799999999998</v>
      </c>
      <c r="CY105">
        <v>2.1175199999999998</v>
      </c>
      <c r="CZ105">
        <v>0</v>
      </c>
      <c r="DA105">
        <v>0</v>
      </c>
      <c r="DB105">
        <v>999.9</v>
      </c>
      <c r="DC105">
        <v>999.9</v>
      </c>
      <c r="DD105">
        <v>45.116999999999997</v>
      </c>
      <c r="DE105">
        <v>28.782</v>
      </c>
      <c r="DF105">
        <v>17.927</v>
      </c>
      <c r="DG105">
        <v>30.578199999999999</v>
      </c>
      <c r="DH105">
        <v>16.935099999999998</v>
      </c>
      <c r="DI105">
        <v>2</v>
      </c>
      <c r="DJ105">
        <v>-6.6780500000000007E-2</v>
      </c>
      <c r="DK105">
        <v>2.6940900000000001</v>
      </c>
      <c r="DL105">
        <v>20.187799999999999</v>
      </c>
      <c r="DM105">
        <v>5.2516699999999998</v>
      </c>
      <c r="DN105">
        <v>12.033899999999999</v>
      </c>
      <c r="DO105">
        <v>4.9675599999999998</v>
      </c>
      <c r="DP105">
        <v>3.2909999999999999</v>
      </c>
      <c r="DQ105">
        <v>608.1</v>
      </c>
      <c r="DR105">
        <v>9999</v>
      </c>
      <c r="DS105">
        <v>9999</v>
      </c>
      <c r="DT105">
        <v>9999</v>
      </c>
      <c r="DU105">
        <v>1.8711199999999999</v>
      </c>
      <c r="DV105">
        <v>1.8761699999999999</v>
      </c>
      <c r="DW105">
        <v>1.8763399999999999</v>
      </c>
      <c r="DX105">
        <v>1.8828400000000001</v>
      </c>
      <c r="DY105">
        <v>1.87561</v>
      </c>
      <c r="DZ105">
        <v>1.8746799999999999</v>
      </c>
      <c r="EA105">
        <v>1.87087</v>
      </c>
      <c r="EB105">
        <v>1.87466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-0.32600000000000001</v>
      </c>
      <c r="EQ105">
        <v>6.2600000000000003E-2</v>
      </c>
      <c r="ER105">
        <v>-0.32652000000000198</v>
      </c>
      <c r="ES105">
        <v>0</v>
      </c>
      <c r="ET105">
        <v>0</v>
      </c>
      <c r="EU105">
        <v>0</v>
      </c>
      <c r="EV105">
        <v>6.2590000000000104E-2</v>
      </c>
      <c r="EW105">
        <v>0</v>
      </c>
      <c r="EX105">
        <v>0</v>
      </c>
      <c r="EY105">
        <v>0</v>
      </c>
      <c r="EZ105">
        <v>-1</v>
      </c>
      <c r="FA105">
        <v>-1</v>
      </c>
      <c r="FB105">
        <v>-1</v>
      </c>
      <c r="FC105">
        <v>-1</v>
      </c>
      <c r="FD105">
        <v>6.3</v>
      </c>
      <c r="FE105">
        <v>6.7</v>
      </c>
      <c r="FF105">
        <v>0.56884800000000002</v>
      </c>
      <c r="FG105">
        <v>2.6159699999999999</v>
      </c>
      <c r="FH105">
        <v>2.19604</v>
      </c>
      <c r="FI105">
        <v>2.5744600000000002</v>
      </c>
      <c r="FJ105">
        <v>2.4462899999999999</v>
      </c>
      <c r="FK105">
        <v>2.2973599999999998</v>
      </c>
      <c r="FL105">
        <v>33.065199999999997</v>
      </c>
      <c r="FM105">
        <v>24.14</v>
      </c>
      <c r="FN105">
        <v>19</v>
      </c>
      <c r="FO105">
        <v>866.64099999999996</v>
      </c>
      <c r="FP105">
        <v>573.55799999999999</v>
      </c>
      <c r="FQ105">
        <v>17.8141</v>
      </c>
      <c r="FR105">
        <v>26.130299999999998</v>
      </c>
      <c r="FS105">
        <v>30.0001</v>
      </c>
      <c r="FT105">
        <v>26.1236</v>
      </c>
      <c r="FU105">
        <v>26.1251</v>
      </c>
      <c r="FV105">
        <v>11.4269</v>
      </c>
      <c r="FW105">
        <v>27.883600000000001</v>
      </c>
      <c r="FX105">
        <v>36.707299999999996</v>
      </c>
      <c r="FY105">
        <v>17.815999999999999</v>
      </c>
      <c r="FZ105">
        <v>150</v>
      </c>
      <c r="GA105">
        <v>13.6333</v>
      </c>
      <c r="GB105">
        <v>99.795000000000002</v>
      </c>
      <c r="GC105">
        <v>99.770399999999995</v>
      </c>
    </row>
    <row r="106" spans="1:185" x14ac:dyDescent="0.2">
      <c r="A106">
        <v>91</v>
      </c>
      <c r="B106">
        <v>1771104856.0999999</v>
      </c>
      <c r="C106">
        <v>1743</v>
      </c>
      <c r="D106" t="s">
        <v>481</v>
      </c>
      <c r="E106" t="s">
        <v>482</v>
      </c>
      <c r="F106">
        <v>15</v>
      </c>
      <c r="G106">
        <v>1771104848.03333</v>
      </c>
      <c r="H106">
        <f t="shared" si="13"/>
        <v>1.5058265205551819E-3</v>
      </c>
      <c r="I106">
        <v>0</v>
      </c>
      <c r="J106">
        <f t="shared" si="25"/>
        <v>-1.5338870605238978E-2</v>
      </c>
      <c r="K106">
        <f t="shared" si="14"/>
        <v>-0.27427824535958267</v>
      </c>
      <c r="L106">
        <f t="shared" si="15"/>
        <v>69.884322759028166</v>
      </c>
      <c r="M106">
        <f t="shared" si="16"/>
        <v>1.5407010703573687</v>
      </c>
      <c r="N106">
        <f t="shared" si="17"/>
        <v>2.204644775152135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26188.496177053388</v>
      </c>
      <c r="T106">
        <f t="shared" si="21"/>
        <v>800.00160000000005</v>
      </c>
      <c r="U106">
        <f t="shared" si="22"/>
        <v>674.40174400079047</v>
      </c>
      <c r="V106">
        <f t="shared" si="23"/>
        <v>0.84300049399999999</v>
      </c>
      <c r="W106">
        <f t="shared" si="24"/>
        <v>0.15870123500000002</v>
      </c>
      <c r="X106">
        <v>1</v>
      </c>
      <c r="Y106">
        <v>1771104848.03333</v>
      </c>
      <c r="Z106">
        <v>150.05566666666701</v>
      </c>
      <c r="AA106">
        <v>149.99526666666699</v>
      </c>
      <c r="AB106">
        <v>15.406553333333299</v>
      </c>
      <c r="AC106">
        <v>13.5532866666667</v>
      </c>
      <c r="AD106">
        <v>150.38200000000001</v>
      </c>
      <c r="AE106">
        <v>15.343966666666701</v>
      </c>
      <c r="AF106">
        <v>800.00733333333301</v>
      </c>
      <c r="AG106">
        <v>99.939453333333304</v>
      </c>
      <c r="AH106">
        <v>6.3515340000000003E-2</v>
      </c>
      <c r="AI106">
        <v>18.996106666666702</v>
      </c>
      <c r="AJ106">
        <v>999.9</v>
      </c>
      <c r="AK106">
        <v>999.9</v>
      </c>
      <c r="AL106">
        <v>0</v>
      </c>
      <c r="AM106">
        <v>0</v>
      </c>
      <c r="AN106">
        <v>4997</v>
      </c>
      <c r="AO106">
        <v>0</v>
      </c>
      <c r="AP106">
        <v>1.63733</v>
      </c>
      <c r="AQ106">
        <v>6.0247799999999997E-2</v>
      </c>
      <c r="AR106">
        <v>152.40379999999999</v>
      </c>
      <c r="AS106">
        <v>152.05619999999999</v>
      </c>
      <c r="AT106">
        <v>1.8532726666666699</v>
      </c>
      <c r="AU106">
        <v>149.99526666666699</v>
      </c>
      <c r="AV106">
        <v>13.5532866666667</v>
      </c>
      <c r="AW106">
        <v>1.539722</v>
      </c>
      <c r="AX106">
        <v>1.3545086666666699</v>
      </c>
      <c r="AY106">
        <v>13.3684266666667</v>
      </c>
      <c r="AZ106">
        <v>11.4176866666667</v>
      </c>
      <c r="BA106">
        <v>800.00160000000005</v>
      </c>
      <c r="BB106">
        <v>0.89998353333333303</v>
      </c>
      <c r="BC106">
        <v>0</v>
      </c>
      <c r="BD106">
        <v>0.100016466666667</v>
      </c>
      <c r="BE106">
        <v>0</v>
      </c>
      <c r="BF106">
        <v>25</v>
      </c>
      <c r="BG106">
        <v>13190.98</v>
      </c>
      <c r="BH106">
        <v>1771104462.0999999</v>
      </c>
      <c r="BI106" t="s">
        <v>442</v>
      </c>
      <c r="BJ106">
        <v>1771104462.0999999</v>
      </c>
      <c r="BK106">
        <v>1771104442.0999999</v>
      </c>
      <c r="BL106">
        <v>16</v>
      </c>
      <c r="BM106">
        <v>0.11600000000000001</v>
      </c>
      <c r="BN106">
        <v>3.0000000000000001E-3</v>
      </c>
      <c r="BO106">
        <v>-0.32700000000000001</v>
      </c>
      <c r="BP106">
        <v>6.3E-2</v>
      </c>
      <c r="BQ106">
        <v>50</v>
      </c>
      <c r="BR106">
        <v>14</v>
      </c>
      <c r="BS106">
        <v>0.14000000000000001</v>
      </c>
      <c r="BT106">
        <v>0.04</v>
      </c>
      <c r="BU106">
        <v>5.9130090000000003E-2</v>
      </c>
      <c r="BV106">
        <v>2.6392763909774498E-2</v>
      </c>
      <c r="BW106">
        <v>9.2814415620581306E-3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1.850125</v>
      </c>
      <c r="CD106">
        <v>6.1247819548874399E-2</v>
      </c>
      <c r="CE106">
        <v>1.6697193027571999E-2</v>
      </c>
      <c r="CF106">
        <v>1</v>
      </c>
      <c r="CG106">
        <v>2</v>
      </c>
      <c r="CH106">
        <v>2</v>
      </c>
      <c r="CI106" t="s">
        <v>322</v>
      </c>
      <c r="CJ106">
        <v>3.5325500000000001</v>
      </c>
      <c r="CK106">
        <v>2.7013099999999999</v>
      </c>
      <c r="CL106">
        <v>4.1808999999999999E-2</v>
      </c>
      <c r="CM106">
        <v>4.1266999999999998E-2</v>
      </c>
      <c r="CN106">
        <v>8.70007E-2</v>
      </c>
      <c r="CO106">
        <v>7.8333200000000006E-2</v>
      </c>
      <c r="CP106">
        <v>33565.5</v>
      </c>
      <c r="CQ106">
        <v>29524.5</v>
      </c>
      <c r="CR106">
        <v>32424.1</v>
      </c>
      <c r="CS106">
        <v>30725.4</v>
      </c>
      <c r="CT106">
        <v>40092.199999999997</v>
      </c>
      <c r="CU106">
        <v>39834.6</v>
      </c>
      <c r="CV106">
        <v>47365.2</v>
      </c>
      <c r="CW106">
        <v>46873.3</v>
      </c>
      <c r="CX106">
        <v>2.6137800000000002</v>
      </c>
      <c r="CY106">
        <v>2.1175999999999999</v>
      </c>
      <c r="CZ106">
        <v>0</v>
      </c>
      <c r="DA106">
        <v>0</v>
      </c>
      <c r="DB106">
        <v>999.9</v>
      </c>
      <c r="DC106">
        <v>999.9</v>
      </c>
      <c r="DD106">
        <v>44.994999999999997</v>
      </c>
      <c r="DE106">
        <v>28.802</v>
      </c>
      <c r="DF106">
        <v>17.900600000000001</v>
      </c>
      <c r="DG106">
        <v>30.668199999999999</v>
      </c>
      <c r="DH106">
        <v>16.9832</v>
      </c>
      <c r="DI106">
        <v>2</v>
      </c>
      <c r="DJ106">
        <v>-6.6851599999999997E-2</v>
      </c>
      <c r="DK106">
        <v>2.6950500000000002</v>
      </c>
      <c r="DL106">
        <v>20.1877</v>
      </c>
      <c r="DM106">
        <v>5.2511900000000002</v>
      </c>
      <c r="DN106">
        <v>12.033899999999999</v>
      </c>
      <c r="DO106">
        <v>4.9676799999999997</v>
      </c>
      <c r="DP106">
        <v>3.2909999999999999</v>
      </c>
      <c r="DQ106">
        <v>608.1</v>
      </c>
      <c r="DR106">
        <v>9999</v>
      </c>
      <c r="DS106">
        <v>9999</v>
      </c>
      <c r="DT106">
        <v>9999</v>
      </c>
      <c r="DU106">
        <v>1.87117</v>
      </c>
      <c r="DV106">
        <v>1.87619</v>
      </c>
      <c r="DW106">
        <v>1.87636</v>
      </c>
      <c r="DX106">
        <v>1.88289</v>
      </c>
      <c r="DY106">
        <v>1.8756200000000001</v>
      </c>
      <c r="DZ106">
        <v>1.87469</v>
      </c>
      <c r="EA106">
        <v>1.8708800000000001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-0.32600000000000001</v>
      </c>
      <c r="EQ106">
        <v>6.2600000000000003E-2</v>
      </c>
      <c r="ER106">
        <v>-0.32652000000000198</v>
      </c>
      <c r="ES106">
        <v>0</v>
      </c>
      <c r="ET106">
        <v>0</v>
      </c>
      <c r="EU106">
        <v>0</v>
      </c>
      <c r="EV106">
        <v>6.2590000000000104E-2</v>
      </c>
      <c r="EW106">
        <v>0</v>
      </c>
      <c r="EX106">
        <v>0</v>
      </c>
      <c r="EY106">
        <v>0</v>
      </c>
      <c r="EZ106">
        <v>-1</v>
      </c>
      <c r="FA106">
        <v>-1</v>
      </c>
      <c r="FB106">
        <v>-1</v>
      </c>
      <c r="FC106">
        <v>-1</v>
      </c>
      <c r="FD106">
        <v>6.6</v>
      </c>
      <c r="FE106">
        <v>6.9</v>
      </c>
      <c r="FF106">
        <v>0.56884800000000002</v>
      </c>
      <c r="FG106">
        <v>2.6196299999999999</v>
      </c>
      <c r="FH106">
        <v>2.19604</v>
      </c>
      <c r="FI106">
        <v>2.5744600000000002</v>
      </c>
      <c r="FJ106">
        <v>2.4462899999999999</v>
      </c>
      <c r="FK106">
        <v>2.2741699999999998</v>
      </c>
      <c r="FL106">
        <v>33.065199999999997</v>
      </c>
      <c r="FM106">
        <v>24.1313</v>
      </c>
      <c r="FN106">
        <v>19</v>
      </c>
      <c r="FO106">
        <v>866.827</v>
      </c>
      <c r="FP106">
        <v>573.61900000000003</v>
      </c>
      <c r="FQ106">
        <v>17.823599999999999</v>
      </c>
      <c r="FR106">
        <v>26.1295</v>
      </c>
      <c r="FS106">
        <v>30.0001</v>
      </c>
      <c r="FT106">
        <v>26.1236</v>
      </c>
      <c r="FU106">
        <v>26.1251</v>
      </c>
      <c r="FV106">
        <v>11.4275</v>
      </c>
      <c r="FW106">
        <v>27.3065</v>
      </c>
      <c r="FX106">
        <v>36.336399999999998</v>
      </c>
      <c r="FY106">
        <v>17.824300000000001</v>
      </c>
      <c r="FZ106">
        <v>150</v>
      </c>
      <c r="GA106">
        <v>13.6365</v>
      </c>
      <c r="GB106">
        <v>99.794499999999999</v>
      </c>
      <c r="GC106">
        <v>99.769800000000004</v>
      </c>
    </row>
    <row r="107" spans="1:185" x14ac:dyDescent="0.2">
      <c r="A107">
        <v>92</v>
      </c>
      <c r="B107">
        <v>1771104871.0999999</v>
      </c>
      <c r="C107">
        <v>1758</v>
      </c>
      <c r="D107" t="s">
        <v>483</v>
      </c>
      <c r="E107" t="s">
        <v>484</v>
      </c>
      <c r="F107">
        <v>15</v>
      </c>
      <c r="G107">
        <v>1771104863.03333</v>
      </c>
      <c r="H107">
        <f t="shared" si="13"/>
        <v>1.4765457590444611E-3</v>
      </c>
      <c r="I107">
        <v>0</v>
      </c>
      <c r="J107">
        <f t="shared" si="25"/>
        <v>-1.4412025038289641E-2</v>
      </c>
      <c r="K107">
        <f t="shared" si="14"/>
        <v>-0.25770508411684129</v>
      </c>
      <c r="L107">
        <f t="shared" si="15"/>
        <v>69.956970945484514</v>
      </c>
      <c r="M107">
        <f t="shared" si="16"/>
        <v>1.5422706227919156</v>
      </c>
      <c r="N107">
        <f t="shared" si="17"/>
        <v>2.2045989155158865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26230.05622448814</v>
      </c>
      <c r="T107">
        <f t="shared" si="21"/>
        <v>800.00080000000003</v>
      </c>
      <c r="U107">
        <f t="shared" si="22"/>
        <v>674.40083600016169</v>
      </c>
      <c r="V107">
        <f t="shared" si="23"/>
        <v>0.84300020200000003</v>
      </c>
      <c r="W107">
        <f t="shared" si="24"/>
        <v>0.15870050499999999</v>
      </c>
      <c r="X107">
        <v>1</v>
      </c>
      <c r="Y107">
        <v>1771104863.03333</v>
      </c>
      <c r="Z107">
        <v>150.04239999999999</v>
      </c>
      <c r="AA107">
        <v>149.99719999999999</v>
      </c>
      <c r="AB107">
        <v>15.4222866666667</v>
      </c>
      <c r="AC107">
        <v>13.6051</v>
      </c>
      <c r="AD107">
        <v>150.369133333333</v>
      </c>
      <c r="AE107">
        <v>15.3597</v>
      </c>
      <c r="AF107">
        <v>800.0136</v>
      </c>
      <c r="AG107">
        <v>99.939153333333294</v>
      </c>
      <c r="AH107">
        <v>6.3567153333333307E-2</v>
      </c>
      <c r="AI107">
        <v>18.9957733333333</v>
      </c>
      <c r="AJ107">
        <v>999.9</v>
      </c>
      <c r="AK107">
        <v>999.9</v>
      </c>
      <c r="AL107">
        <v>0</v>
      </c>
      <c r="AM107">
        <v>0</v>
      </c>
      <c r="AN107">
        <v>5003.8666666666704</v>
      </c>
      <c r="AO107">
        <v>0</v>
      </c>
      <c r="AP107">
        <v>1.63356733333333</v>
      </c>
      <c r="AQ107">
        <v>4.5264699999999998E-2</v>
      </c>
      <c r="AR107">
        <v>152.392866666667</v>
      </c>
      <c r="AS107">
        <v>152.06606666666701</v>
      </c>
      <c r="AT107">
        <v>1.8171953333333299</v>
      </c>
      <c r="AU107">
        <v>149.99719999999999</v>
      </c>
      <c r="AV107">
        <v>13.6051</v>
      </c>
      <c r="AW107">
        <v>1.5412906666666699</v>
      </c>
      <c r="AX107">
        <v>1.3596806666666701</v>
      </c>
      <c r="AY107">
        <v>13.384040000000001</v>
      </c>
      <c r="AZ107">
        <v>11.475300000000001</v>
      </c>
      <c r="BA107">
        <v>800.00080000000003</v>
      </c>
      <c r="BB107">
        <v>0.89999326666666701</v>
      </c>
      <c r="BC107">
        <v>0</v>
      </c>
      <c r="BD107">
        <v>0.100006733333333</v>
      </c>
      <c r="BE107">
        <v>0</v>
      </c>
      <c r="BF107">
        <v>25</v>
      </c>
      <c r="BG107">
        <v>13190.993333333299</v>
      </c>
      <c r="BH107">
        <v>1771104462.0999999</v>
      </c>
      <c r="BI107" t="s">
        <v>442</v>
      </c>
      <c r="BJ107">
        <v>1771104462.0999999</v>
      </c>
      <c r="BK107">
        <v>1771104442.0999999</v>
      </c>
      <c r="BL107">
        <v>16</v>
      </c>
      <c r="BM107">
        <v>0.11600000000000001</v>
      </c>
      <c r="BN107">
        <v>3.0000000000000001E-3</v>
      </c>
      <c r="BO107">
        <v>-0.32700000000000001</v>
      </c>
      <c r="BP107">
        <v>6.3E-2</v>
      </c>
      <c r="BQ107">
        <v>50</v>
      </c>
      <c r="BR107">
        <v>14</v>
      </c>
      <c r="BS107">
        <v>0.14000000000000001</v>
      </c>
      <c r="BT107">
        <v>0.04</v>
      </c>
      <c r="BU107">
        <v>4.9900609523809501E-2</v>
      </c>
      <c r="BV107">
        <v>-3.9230922077921997E-2</v>
      </c>
      <c r="BW107">
        <v>1.3799017301067E-2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1.8272195238095199</v>
      </c>
      <c r="CD107">
        <v>-0.12518883116882901</v>
      </c>
      <c r="CE107">
        <v>2.0206463953090101E-2</v>
      </c>
      <c r="CF107">
        <v>0</v>
      </c>
      <c r="CG107">
        <v>1</v>
      </c>
      <c r="CH107">
        <v>2</v>
      </c>
      <c r="CI107" t="s">
        <v>299</v>
      </c>
      <c r="CJ107">
        <v>3.5324900000000001</v>
      </c>
      <c r="CK107">
        <v>2.70133</v>
      </c>
      <c r="CL107">
        <v>4.1811000000000001E-2</v>
      </c>
      <c r="CM107">
        <v>4.1270500000000002E-2</v>
      </c>
      <c r="CN107">
        <v>8.7118299999999996E-2</v>
      </c>
      <c r="CO107">
        <v>7.8394199999999997E-2</v>
      </c>
      <c r="CP107">
        <v>33565.199999999997</v>
      </c>
      <c r="CQ107">
        <v>29524.6</v>
      </c>
      <c r="CR107">
        <v>32423.9</v>
      </c>
      <c r="CS107">
        <v>30725.599999999999</v>
      </c>
      <c r="CT107">
        <v>40086.699999999997</v>
      </c>
      <c r="CU107">
        <v>39831.9</v>
      </c>
      <c r="CV107">
        <v>47365</v>
      </c>
      <c r="CW107">
        <v>46873.4</v>
      </c>
      <c r="CX107">
        <v>2.6135999999999999</v>
      </c>
      <c r="CY107">
        <v>2.11754</v>
      </c>
      <c r="CZ107">
        <v>0</v>
      </c>
      <c r="DA107">
        <v>0</v>
      </c>
      <c r="DB107">
        <v>999.9</v>
      </c>
      <c r="DC107">
        <v>999.9</v>
      </c>
      <c r="DD107">
        <v>44.945999999999998</v>
      </c>
      <c r="DE107">
        <v>28.782</v>
      </c>
      <c r="DF107">
        <v>17.8598</v>
      </c>
      <c r="DG107">
        <v>30.6083</v>
      </c>
      <c r="DH107">
        <v>17.055299999999999</v>
      </c>
      <c r="DI107">
        <v>2</v>
      </c>
      <c r="DJ107">
        <v>-6.6806900000000002E-2</v>
      </c>
      <c r="DK107">
        <v>2.6797</v>
      </c>
      <c r="DL107">
        <v>20.187999999999999</v>
      </c>
      <c r="DM107">
        <v>5.2511900000000002</v>
      </c>
      <c r="DN107">
        <v>12.033899999999999</v>
      </c>
      <c r="DO107">
        <v>4.9672799999999997</v>
      </c>
      <c r="DP107">
        <v>3.2909999999999999</v>
      </c>
      <c r="DQ107">
        <v>608.1</v>
      </c>
      <c r="DR107">
        <v>9999</v>
      </c>
      <c r="DS107">
        <v>9999</v>
      </c>
      <c r="DT107">
        <v>9999</v>
      </c>
      <c r="DU107">
        <v>1.8711800000000001</v>
      </c>
      <c r="DV107">
        <v>1.8762000000000001</v>
      </c>
      <c r="DW107">
        <v>1.8763700000000001</v>
      </c>
      <c r="DX107">
        <v>1.8828499999999999</v>
      </c>
      <c r="DY107">
        <v>1.87561</v>
      </c>
      <c r="DZ107">
        <v>1.8746799999999999</v>
      </c>
      <c r="EA107">
        <v>1.8708800000000001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-0.32700000000000001</v>
      </c>
      <c r="EQ107">
        <v>6.2600000000000003E-2</v>
      </c>
      <c r="ER107">
        <v>-0.32652000000000198</v>
      </c>
      <c r="ES107">
        <v>0</v>
      </c>
      <c r="ET107">
        <v>0</v>
      </c>
      <c r="EU107">
        <v>0</v>
      </c>
      <c r="EV107">
        <v>6.2590000000000104E-2</v>
      </c>
      <c r="EW107">
        <v>0</v>
      </c>
      <c r="EX107">
        <v>0</v>
      </c>
      <c r="EY107">
        <v>0</v>
      </c>
      <c r="EZ107">
        <v>-1</v>
      </c>
      <c r="FA107">
        <v>-1</v>
      </c>
      <c r="FB107">
        <v>-1</v>
      </c>
      <c r="FC107">
        <v>-1</v>
      </c>
      <c r="FD107">
        <v>6.8</v>
      </c>
      <c r="FE107">
        <v>7.2</v>
      </c>
      <c r="FF107">
        <v>0.56884800000000002</v>
      </c>
      <c r="FG107">
        <v>2.6196299999999999</v>
      </c>
      <c r="FH107">
        <v>2.19604</v>
      </c>
      <c r="FI107">
        <v>2.5744600000000002</v>
      </c>
      <c r="FJ107">
        <v>2.4462899999999999</v>
      </c>
      <c r="FK107">
        <v>2.2558600000000002</v>
      </c>
      <c r="FL107">
        <v>33.065199999999997</v>
      </c>
      <c r="FM107">
        <v>24.1313</v>
      </c>
      <c r="FN107">
        <v>19</v>
      </c>
      <c r="FO107">
        <v>866.65899999999999</v>
      </c>
      <c r="FP107">
        <v>573.57299999999998</v>
      </c>
      <c r="FQ107">
        <v>17.831</v>
      </c>
      <c r="FR107">
        <v>26.127300000000002</v>
      </c>
      <c r="FS107">
        <v>30</v>
      </c>
      <c r="FT107">
        <v>26.1236</v>
      </c>
      <c r="FU107">
        <v>26.1251</v>
      </c>
      <c r="FV107">
        <v>11.4277</v>
      </c>
      <c r="FW107">
        <v>27.3065</v>
      </c>
      <c r="FX107">
        <v>36.336399999999998</v>
      </c>
      <c r="FY107">
        <v>17.832999999999998</v>
      </c>
      <c r="FZ107">
        <v>150</v>
      </c>
      <c r="GA107">
        <v>13.6333</v>
      </c>
      <c r="GB107">
        <v>99.7941</v>
      </c>
      <c r="GC107">
        <v>99.770099999999999</v>
      </c>
    </row>
    <row r="108" spans="1:185" x14ac:dyDescent="0.2">
      <c r="A108">
        <v>93</v>
      </c>
      <c r="B108">
        <v>1771104886.0999999</v>
      </c>
      <c r="C108">
        <v>1773</v>
      </c>
      <c r="D108" t="s">
        <v>485</v>
      </c>
      <c r="E108" t="s">
        <v>486</v>
      </c>
      <c r="F108">
        <v>15</v>
      </c>
      <c r="G108">
        <v>1771104878.03333</v>
      </c>
      <c r="H108">
        <f t="shared" si="13"/>
        <v>1.4831585359313579E-3</v>
      </c>
      <c r="I108">
        <v>0</v>
      </c>
      <c r="J108">
        <f t="shared" si="25"/>
        <v>-1.487052421601614E-2</v>
      </c>
      <c r="K108">
        <f t="shared" si="14"/>
        <v>-0.26590362449195104</v>
      </c>
      <c r="L108">
        <f t="shared" si="15"/>
        <v>69.994678884558866</v>
      </c>
      <c r="M108">
        <f t="shared" si="16"/>
        <v>1.5433690156532913</v>
      </c>
      <c r="N108">
        <f t="shared" si="17"/>
        <v>2.2049804931582666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26209.476187748842</v>
      </c>
      <c r="T108">
        <f t="shared" si="21"/>
        <v>800.00026666666702</v>
      </c>
      <c r="U108">
        <f t="shared" si="22"/>
        <v>674.40050800009465</v>
      </c>
      <c r="V108">
        <f t="shared" si="23"/>
        <v>0.84300035399999995</v>
      </c>
      <c r="W108">
        <f t="shared" si="24"/>
        <v>0.15870088500000001</v>
      </c>
      <c r="X108">
        <v>1</v>
      </c>
      <c r="Y108">
        <v>1771104878.03333</v>
      </c>
      <c r="Z108">
        <v>150.04673333333301</v>
      </c>
      <c r="AA108">
        <v>149.992533333333</v>
      </c>
      <c r="AB108">
        <v>15.4332666666667</v>
      </c>
      <c r="AC108">
        <v>13.607953333333301</v>
      </c>
      <c r="AD108">
        <v>150.3734</v>
      </c>
      <c r="AE108">
        <v>15.370673333333301</v>
      </c>
      <c r="AF108">
        <v>800.00980000000004</v>
      </c>
      <c r="AG108">
        <v>99.939413333333306</v>
      </c>
      <c r="AH108">
        <v>6.3330673333333296E-2</v>
      </c>
      <c r="AI108">
        <v>18.998546666666702</v>
      </c>
      <c r="AJ108">
        <v>999.9</v>
      </c>
      <c r="AK108">
        <v>999.9</v>
      </c>
      <c r="AL108">
        <v>0</v>
      </c>
      <c r="AM108">
        <v>0</v>
      </c>
      <c r="AN108">
        <v>5000.5</v>
      </c>
      <c r="AO108">
        <v>0</v>
      </c>
      <c r="AP108">
        <v>1.63733</v>
      </c>
      <c r="AQ108">
        <v>5.4165646666666699E-2</v>
      </c>
      <c r="AR108">
        <v>152.39879999999999</v>
      </c>
      <c r="AS108">
        <v>152.06180000000001</v>
      </c>
      <c r="AT108">
        <v>1.8253286666666699</v>
      </c>
      <c r="AU108">
        <v>149.992533333333</v>
      </c>
      <c r="AV108">
        <v>13.607953333333301</v>
      </c>
      <c r="AW108">
        <v>1.5423926666666701</v>
      </c>
      <c r="AX108">
        <v>1.35996933333333</v>
      </c>
      <c r="AY108">
        <v>13.395</v>
      </c>
      <c r="AZ108">
        <v>11.4785</v>
      </c>
      <c r="BA108">
        <v>800.00026666666702</v>
      </c>
      <c r="BB108">
        <v>0.89998820000000002</v>
      </c>
      <c r="BC108">
        <v>0</v>
      </c>
      <c r="BD108">
        <v>0.1000118</v>
      </c>
      <c r="BE108">
        <v>0</v>
      </c>
      <c r="BF108">
        <v>25</v>
      </c>
      <c r="BG108">
        <v>13190.9866666667</v>
      </c>
      <c r="BH108">
        <v>1771104462.0999999</v>
      </c>
      <c r="BI108" t="s">
        <v>442</v>
      </c>
      <c r="BJ108">
        <v>1771104462.0999999</v>
      </c>
      <c r="BK108">
        <v>1771104442.0999999</v>
      </c>
      <c r="BL108">
        <v>16</v>
      </c>
      <c r="BM108">
        <v>0.11600000000000001</v>
      </c>
      <c r="BN108">
        <v>3.0000000000000001E-3</v>
      </c>
      <c r="BO108">
        <v>-0.32700000000000001</v>
      </c>
      <c r="BP108">
        <v>6.3E-2</v>
      </c>
      <c r="BQ108">
        <v>50</v>
      </c>
      <c r="BR108">
        <v>14</v>
      </c>
      <c r="BS108">
        <v>0.14000000000000001</v>
      </c>
      <c r="BT108">
        <v>0.04</v>
      </c>
      <c r="BU108">
        <v>5.4081724999999997E-2</v>
      </c>
      <c r="BV108">
        <v>8.4379533834585598E-3</v>
      </c>
      <c r="BW108">
        <v>9.7265932533377297E-3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1.8243480000000001</v>
      </c>
      <c r="CD108">
        <v>1.93606015037559E-2</v>
      </c>
      <c r="CE108">
        <v>2.8286438446718499E-3</v>
      </c>
      <c r="CF108">
        <v>1</v>
      </c>
      <c r="CG108">
        <v>2</v>
      </c>
      <c r="CH108">
        <v>2</v>
      </c>
      <c r="CI108" t="s">
        <v>322</v>
      </c>
      <c r="CJ108">
        <v>3.5325299999999999</v>
      </c>
      <c r="CK108">
        <v>2.7010399999999999</v>
      </c>
      <c r="CL108">
        <v>4.1811300000000003E-2</v>
      </c>
      <c r="CM108">
        <v>4.12678E-2</v>
      </c>
      <c r="CN108">
        <v>8.7127399999999994E-2</v>
      </c>
      <c r="CO108">
        <v>7.8396099999999996E-2</v>
      </c>
      <c r="CP108">
        <v>33565</v>
      </c>
      <c r="CQ108">
        <v>29524.9</v>
      </c>
      <c r="CR108">
        <v>32423.7</v>
      </c>
      <c r="CS108">
        <v>30725.8</v>
      </c>
      <c r="CT108">
        <v>40085.9</v>
      </c>
      <c r="CU108">
        <v>39832.300000000003</v>
      </c>
      <c r="CV108">
        <v>47364.6</v>
      </c>
      <c r="CW108">
        <v>46873.9</v>
      </c>
      <c r="CX108">
        <v>2.6138400000000002</v>
      </c>
      <c r="CY108">
        <v>2.1174400000000002</v>
      </c>
      <c r="CZ108">
        <v>0</v>
      </c>
      <c r="DA108">
        <v>0</v>
      </c>
      <c r="DB108">
        <v>999.9</v>
      </c>
      <c r="DC108">
        <v>999.9</v>
      </c>
      <c r="DD108">
        <v>44.920999999999999</v>
      </c>
      <c r="DE108">
        <v>28.782</v>
      </c>
      <c r="DF108">
        <v>17.851199999999999</v>
      </c>
      <c r="DG108">
        <v>30.578299999999999</v>
      </c>
      <c r="DH108">
        <v>17.071300000000001</v>
      </c>
      <c r="DI108">
        <v>2</v>
      </c>
      <c r="DJ108">
        <v>-6.6845500000000002E-2</v>
      </c>
      <c r="DK108">
        <v>2.6894399999999998</v>
      </c>
      <c r="DL108">
        <v>20.187899999999999</v>
      </c>
      <c r="DM108">
        <v>5.2502399999999998</v>
      </c>
      <c r="DN108">
        <v>12.033899999999999</v>
      </c>
      <c r="DO108">
        <v>4.9672799999999997</v>
      </c>
      <c r="DP108">
        <v>3.2909999999999999</v>
      </c>
      <c r="DQ108">
        <v>608.1</v>
      </c>
      <c r="DR108">
        <v>9999</v>
      </c>
      <c r="DS108">
        <v>9999</v>
      </c>
      <c r="DT108">
        <v>9999</v>
      </c>
      <c r="DU108">
        <v>1.8711800000000001</v>
      </c>
      <c r="DV108">
        <v>1.87618</v>
      </c>
      <c r="DW108">
        <v>1.8763700000000001</v>
      </c>
      <c r="DX108">
        <v>1.8828199999999999</v>
      </c>
      <c r="DY108">
        <v>1.87561</v>
      </c>
      <c r="DZ108">
        <v>1.87469</v>
      </c>
      <c r="EA108">
        <v>1.87087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-0.32700000000000001</v>
      </c>
      <c r="EQ108">
        <v>6.2600000000000003E-2</v>
      </c>
      <c r="ER108">
        <v>-0.32652000000000198</v>
      </c>
      <c r="ES108">
        <v>0</v>
      </c>
      <c r="ET108">
        <v>0</v>
      </c>
      <c r="EU108">
        <v>0</v>
      </c>
      <c r="EV108">
        <v>6.2590000000000104E-2</v>
      </c>
      <c r="EW108">
        <v>0</v>
      </c>
      <c r="EX108">
        <v>0</v>
      </c>
      <c r="EY108">
        <v>0</v>
      </c>
      <c r="EZ108">
        <v>-1</v>
      </c>
      <c r="FA108">
        <v>-1</v>
      </c>
      <c r="FB108">
        <v>-1</v>
      </c>
      <c r="FC108">
        <v>-1</v>
      </c>
      <c r="FD108">
        <v>7.1</v>
      </c>
      <c r="FE108">
        <v>7.4</v>
      </c>
      <c r="FF108">
        <v>0.56884800000000002</v>
      </c>
      <c r="FG108">
        <v>2.6159699999999999</v>
      </c>
      <c r="FH108">
        <v>2.19604</v>
      </c>
      <c r="FI108">
        <v>2.5744600000000002</v>
      </c>
      <c r="FJ108">
        <v>2.4462899999999999</v>
      </c>
      <c r="FK108">
        <v>2.31934</v>
      </c>
      <c r="FL108">
        <v>33.065199999999997</v>
      </c>
      <c r="FM108">
        <v>24.14</v>
      </c>
      <c r="FN108">
        <v>19</v>
      </c>
      <c r="FO108">
        <v>866.88300000000004</v>
      </c>
      <c r="FP108">
        <v>573.49699999999996</v>
      </c>
      <c r="FQ108">
        <v>17.837199999999999</v>
      </c>
      <c r="FR108">
        <v>26.127300000000002</v>
      </c>
      <c r="FS108">
        <v>30.0001</v>
      </c>
      <c r="FT108">
        <v>26.1236</v>
      </c>
      <c r="FU108">
        <v>26.1251</v>
      </c>
      <c r="FV108">
        <v>11.429</v>
      </c>
      <c r="FW108">
        <v>27.3065</v>
      </c>
      <c r="FX108">
        <v>36.336399999999998</v>
      </c>
      <c r="FY108">
        <v>17.837299999999999</v>
      </c>
      <c r="FZ108">
        <v>150</v>
      </c>
      <c r="GA108">
        <v>13.6333</v>
      </c>
      <c r="GB108">
        <v>99.793300000000002</v>
      </c>
      <c r="GC108">
        <v>99.771000000000001</v>
      </c>
    </row>
    <row r="109" spans="1:185" x14ac:dyDescent="0.2">
      <c r="A109">
        <v>94</v>
      </c>
      <c r="B109">
        <v>1771104901.0999999</v>
      </c>
      <c r="C109">
        <v>1788</v>
      </c>
      <c r="D109" t="s">
        <v>487</v>
      </c>
      <c r="E109" t="s">
        <v>488</v>
      </c>
      <c r="F109">
        <v>15</v>
      </c>
      <c r="G109">
        <v>1771104893.03333</v>
      </c>
      <c r="H109">
        <f t="shared" si="13"/>
        <v>1.5010403243750276E-3</v>
      </c>
      <c r="I109">
        <v>0</v>
      </c>
      <c r="J109">
        <f t="shared" si="25"/>
        <v>-1.49138673875139E-2</v>
      </c>
      <c r="K109">
        <f t="shared" si="14"/>
        <v>-0.2666786547619544</v>
      </c>
      <c r="L109">
        <f t="shared" si="15"/>
        <v>69.967811758684945</v>
      </c>
      <c r="M109">
        <f t="shared" si="16"/>
        <v>1.5428106181514105</v>
      </c>
      <c r="N109">
        <f t="shared" si="17"/>
        <v>2.20502911177568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26200.525589784109</v>
      </c>
      <c r="T109">
        <f t="shared" si="21"/>
        <v>800.00046666666697</v>
      </c>
      <c r="U109">
        <f t="shared" si="22"/>
        <v>674.4005230000754</v>
      </c>
      <c r="V109">
        <f t="shared" si="23"/>
        <v>0.84300016199999939</v>
      </c>
      <c r="W109">
        <f t="shared" si="24"/>
        <v>0.15870105459999986</v>
      </c>
      <c r="X109">
        <v>1</v>
      </c>
      <c r="Y109">
        <v>1771104893.03333</v>
      </c>
      <c r="Z109">
        <v>150.05453333333301</v>
      </c>
      <c r="AA109">
        <v>150.002733333333</v>
      </c>
      <c r="AB109">
        <v>15.4277</v>
      </c>
      <c r="AC109">
        <v>13.58038</v>
      </c>
      <c r="AD109">
        <v>150.38106666666701</v>
      </c>
      <c r="AE109">
        <v>15.3651</v>
      </c>
      <c r="AF109">
        <v>800.01446666666698</v>
      </c>
      <c r="AG109">
        <v>99.939293333333296</v>
      </c>
      <c r="AH109">
        <v>6.3339473333333299E-2</v>
      </c>
      <c r="AI109">
        <v>18.998899999999999</v>
      </c>
      <c r="AJ109">
        <v>999.9</v>
      </c>
      <c r="AK109">
        <v>999.9</v>
      </c>
      <c r="AL109">
        <v>0</v>
      </c>
      <c r="AM109">
        <v>0</v>
      </c>
      <c r="AN109">
        <v>4999.0333333333301</v>
      </c>
      <c r="AO109">
        <v>0</v>
      </c>
      <c r="AP109">
        <v>1.63733</v>
      </c>
      <c r="AQ109">
        <v>5.1787326666666703E-2</v>
      </c>
      <c r="AR109">
        <v>152.40600000000001</v>
      </c>
      <c r="AS109">
        <v>152.067933333333</v>
      </c>
      <c r="AT109">
        <v>1.8473139999999999</v>
      </c>
      <c r="AU109">
        <v>150.002733333333</v>
      </c>
      <c r="AV109">
        <v>13.58038</v>
      </c>
      <c r="AW109">
        <v>1.54183466666667</v>
      </c>
      <c r="AX109">
        <v>1.3572133333333301</v>
      </c>
      <c r="AY109">
        <v>13.38944</v>
      </c>
      <c r="AZ109">
        <v>11.4478266666667</v>
      </c>
      <c r="BA109">
        <v>800.00046666666697</v>
      </c>
      <c r="BB109">
        <v>0.89998493333333296</v>
      </c>
      <c r="BC109">
        <v>0</v>
      </c>
      <c r="BD109">
        <v>0.10001473333333299</v>
      </c>
      <c r="BE109">
        <v>0</v>
      </c>
      <c r="BF109">
        <v>25</v>
      </c>
      <c r="BG109">
        <v>13190.9866666667</v>
      </c>
      <c r="BH109">
        <v>1771104462.0999999</v>
      </c>
      <c r="BI109" t="s">
        <v>442</v>
      </c>
      <c r="BJ109">
        <v>1771104462.0999999</v>
      </c>
      <c r="BK109">
        <v>1771104442.0999999</v>
      </c>
      <c r="BL109">
        <v>16</v>
      </c>
      <c r="BM109">
        <v>0.11600000000000001</v>
      </c>
      <c r="BN109">
        <v>3.0000000000000001E-3</v>
      </c>
      <c r="BO109">
        <v>-0.32700000000000001</v>
      </c>
      <c r="BP109">
        <v>6.3E-2</v>
      </c>
      <c r="BQ109">
        <v>50</v>
      </c>
      <c r="BR109">
        <v>14</v>
      </c>
      <c r="BS109">
        <v>0.14000000000000001</v>
      </c>
      <c r="BT109">
        <v>0.04</v>
      </c>
      <c r="BU109">
        <v>5.2849914285714297E-2</v>
      </c>
      <c r="BV109">
        <v>-2.3897555844155899E-2</v>
      </c>
      <c r="BW109">
        <v>1.18937180184405E-2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1.84122571428571</v>
      </c>
      <c r="CD109">
        <v>0.16829922077921899</v>
      </c>
      <c r="CE109">
        <v>1.9764493312968302E-2</v>
      </c>
      <c r="CF109">
        <v>0</v>
      </c>
      <c r="CG109">
        <v>1</v>
      </c>
      <c r="CH109">
        <v>2</v>
      </c>
      <c r="CI109" t="s">
        <v>299</v>
      </c>
      <c r="CJ109">
        <v>3.5325199999999999</v>
      </c>
      <c r="CK109">
        <v>2.7011400000000001</v>
      </c>
      <c r="CL109">
        <v>4.1813599999999999E-2</v>
      </c>
      <c r="CM109">
        <v>4.12714E-2</v>
      </c>
      <c r="CN109">
        <v>8.70697E-2</v>
      </c>
      <c r="CO109">
        <v>7.8210799999999997E-2</v>
      </c>
      <c r="CP109">
        <v>33565</v>
      </c>
      <c r="CQ109">
        <v>29524.9</v>
      </c>
      <c r="CR109">
        <v>32423.8</v>
      </c>
      <c r="CS109">
        <v>30725.8</v>
      </c>
      <c r="CT109">
        <v>40088.6</v>
      </c>
      <c r="CU109">
        <v>39840.199999999997</v>
      </c>
      <c r="CV109">
        <v>47364.6</v>
      </c>
      <c r="CW109">
        <v>46873.5</v>
      </c>
      <c r="CX109">
        <v>2.6136200000000001</v>
      </c>
      <c r="CY109">
        <v>2.1176200000000001</v>
      </c>
      <c r="CZ109">
        <v>0</v>
      </c>
      <c r="DA109">
        <v>0</v>
      </c>
      <c r="DB109">
        <v>999.9</v>
      </c>
      <c r="DC109">
        <v>999.9</v>
      </c>
      <c r="DD109">
        <v>44.83</v>
      </c>
      <c r="DE109">
        <v>28.782</v>
      </c>
      <c r="DF109">
        <v>17.813600000000001</v>
      </c>
      <c r="DG109">
        <v>30.368300000000001</v>
      </c>
      <c r="DH109">
        <v>16.9191</v>
      </c>
      <c r="DI109">
        <v>2</v>
      </c>
      <c r="DJ109">
        <v>-6.6878099999999996E-2</v>
      </c>
      <c r="DK109">
        <v>2.6866099999999999</v>
      </c>
      <c r="DL109">
        <v>20.187899999999999</v>
      </c>
      <c r="DM109">
        <v>5.2496400000000003</v>
      </c>
      <c r="DN109">
        <v>12.033899999999999</v>
      </c>
      <c r="DO109">
        <v>4.96732</v>
      </c>
      <c r="DP109">
        <v>3.2909999999999999</v>
      </c>
      <c r="DQ109">
        <v>608.1</v>
      </c>
      <c r="DR109">
        <v>9999</v>
      </c>
      <c r="DS109">
        <v>9999</v>
      </c>
      <c r="DT109">
        <v>9999</v>
      </c>
      <c r="DU109">
        <v>1.87117</v>
      </c>
      <c r="DV109">
        <v>1.87619</v>
      </c>
      <c r="DW109">
        <v>1.8763700000000001</v>
      </c>
      <c r="DX109">
        <v>1.8828100000000001</v>
      </c>
      <c r="DY109">
        <v>1.87561</v>
      </c>
      <c r="DZ109">
        <v>1.87469</v>
      </c>
      <c r="EA109">
        <v>1.87087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-0.32600000000000001</v>
      </c>
      <c r="EQ109">
        <v>6.2600000000000003E-2</v>
      </c>
      <c r="ER109">
        <v>-0.32652000000000198</v>
      </c>
      <c r="ES109">
        <v>0</v>
      </c>
      <c r="ET109">
        <v>0</v>
      </c>
      <c r="EU109">
        <v>0</v>
      </c>
      <c r="EV109">
        <v>6.2590000000000104E-2</v>
      </c>
      <c r="EW109">
        <v>0</v>
      </c>
      <c r="EX109">
        <v>0</v>
      </c>
      <c r="EY109">
        <v>0</v>
      </c>
      <c r="EZ109">
        <v>-1</v>
      </c>
      <c r="FA109">
        <v>-1</v>
      </c>
      <c r="FB109">
        <v>-1</v>
      </c>
      <c r="FC109">
        <v>-1</v>
      </c>
      <c r="FD109">
        <v>7.3</v>
      </c>
      <c r="FE109">
        <v>7.7</v>
      </c>
      <c r="FF109">
        <v>0.56884800000000002</v>
      </c>
      <c r="FG109">
        <v>2.6196299999999999</v>
      </c>
      <c r="FH109">
        <v>2.19604</v>
      </c>
      <c r="FI109">
        <v>2.5744600000000002</v>
      </c>
      <c r="FJ109">
        <v>2.4462899999999999</v>
      </c>
      <c r="FK109">
        <v>2.3083499999999999</v>
      </c>
      <c r="FL109">
        <v>33.065199999999997</v>
      </c>
      <c r="FM109">
        <v>24.14</v>
      </c>
      <c r="FN109">
        <v>19</v>
      </c>
      <c r="FO109">
        <v>866.64300000000003</v>
      </c>
      <c r="FP109">
        <v>573.61099999999999</v>
      </c>
      <c r="FQ109">
        <v>17.839300000000001</v>
      </c>
      <c r="FR109">
        <v>26.125</v>
      </c>
      <c r="FS109">
        <v>30.0001</v>
      </c>
      <c r="FT109">
        <v>26.121400000000001</v>
      </c>
      <c r="FU109">
        <v>26.122900000000001</v>
      </c>
      <c r="FV109">
        <v>11.429</v>
      </c>
      <c r="FW109">
        <v>27.035599999999999</v>
      </c>
      <c r="FX109">
        <v>35.962299999999999</v>
      </c>
      <c r="FY109">
        <v>17.839600000000001</v>
      </c>
      <c r="FZ109">
        <v>150</v>
      </c>
      <c r="GA109">
        <v>13.634399999999999</v>
      </c>
      <c r="GB109">
        <v>99.793400000000005</v>
      </c>
      <c r="GC109">
        <v>99.770600000000002</v>
      </c>
    </row>
    <row r="110" spans="1:185" x14ac:dyDescent="0.2">
      <c r="A110">
        <v>95</v>
      </c>
      <c r="B110">
        <v>1771104916.0999999</v>
      </c>
      <c r="C110">
        <v>1803</v>
      </c>
      <c r="D110" t="s">
        <v>489</v>
      </c>
      <c r="E110" t="s">
        <v>490</v>
      </c>
      <c r="F110">
        <v>15</v>
      </c>
      <c r="G110">
        <v>1771104908.03333</v>
      </c>
      <c r="H110">
        <f t="shared" si="13"/>
        <v>1.4957877572183691E-3</v>
      </c>
      <c r="I110">
        <v>0</v>
      </c>
      <c r="J110">
        <f t="shared" si="25"/>
        <v>-1.4782907511552987E-2</v>
      </c>
      <c r="K110">
        <f t="shared" si="14"/>
        <v>-0.26433692792198749</v>
      </c>
      <c r="L110">
        <f t="shared" si="15"/>
        <v>69.91107312871803</v>
      </c>
      <c r="M110">
        <f t="shared" si="16"/>
        <v>1.5417063839724396</v>
      </c>
      <c r="N110">
        <f t="shared" si="17"/>
        <v>2.2052391916998602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26188.469064025739</v>
      </c>
      <c r="T110">
        <f t="shared" si="21"/>
        <v>800.00019999999995</v>
      </c>
      <c r="U110">
        <f t="shared" si="22"/>
        <v>674.4003766000526</v>
      </c>
      <c r="V110">
        <f t="shared" si="23"/>
        <v>0.84300026000000083</v>
      </c>
      <c r="W110">
        <f t="shared" si="24"/>
        <v>0.15870065000000019</v>
      </c>
      <c r="X110">
        <v>1</v>
      </c>
      <c r="Y110">
        <v>1771104908.03333</v>
      </c>
      <c r="Z110">
        <v>150.05000000000001</v>
      </c>
      <c r="AA110">
        <v>150.000133333333</v>
      </c>
      <c r="AB110">
        <v>15.4166733333333</v>
      </c>
      <c r="AC110">
        <v>13.5757933333333</v>
      </c>
      <c r="AD110">
        <v>150.37653333333299</v>
      </c>
      <c r="AE110">
        <v>15.35408</v>
      </c>
      <c r="AF110">
        <v>800.01286666666704</v>
      </c>
      <c r="AG110">
        <v>99.939286666666703</v>
      </c>
      <c r="AH110">
        <v>6.3246346666666703E-2</v>
      </c>
      <c r="AI110">
        <v>19.000426666666701</v>
      </c>
      <c r="AJ110">
        <v>999.9</v>
      </c>
      <c r="AK110">
        <v>999.9</v>
      </c>
      <c r="AL110">
        <v>0</v>
      </c>
      <c r="AM110">
        <v>0</v>
      </c>
      <c r="AN110">
        <v>4997.0666666666702</v>
      </c>
      <c r="AO110">
        <v>0</v>
      </c>
      <c r="AP110">
        <v>1.63733</v>
      </c>
      <c r="AQ110">
        <v>4.98494466666667E-2</v>
      </c>
      <c r="AR110">
        <v>152.399466666667</v>
      </c>
      <c r="AS110">
        <v>152.06460000000001</v>
      </c>
      <c r="AT110">
        <v>1.8408846666666701</v>
      </c>
      <c r="AU110">
        <v>150.000133333333</v>
      </c>
      <c r="AV110">
        <v>13.5757933333333</v>
      </c>
      <c r="AW110">
        <v>1.54073066666667</v>
      </c>
      <c r="AX110">
        <v>1.356754</v>
      </c>
      <c r="AY110">
        <v>13.37848</v>
      </c>
      <c r="AZ110">
        <v>11.442733333333299</v>
      </c>
      <c r="BA110">
        <v>800.00019999999995</v>
      </c>
      <c r="BB110">
        <v>0.89999133333333403</v>
      </c>
      <c r="BC110">
        <v>0</v>
      </c>
      <c r="BD110">
        <v>0.100008666666667</v>
      </c>
      <c r="BE110">
        <v>0</v>
      </c>
      <c r="BF110">
        <v>25</v>
      </c>
      <c r="BG110">
        <v>13191</v>
      </c>
      <c r="BH110">
        <v>1771104462.0999999</v>
      </c>
      <c r="BI110" t="s">
        <v>442</v>
      </c>
      <c r="BJ110">
        <v>1771104462.0999999</v>
      </c>
      <c r="BK110">
        <v>1771104442.0999999</v>
      </c>
      <c r="BL110">
        <v>16</v>
      </c>
      <c r="BM110">
        <v>0.11600000000000001</v>
      </c>
      <c r="BN110">
        <v>3.0000000000000001E-3</v>
      </c>
      <c r="BO110">
        <v>-0.32700000000000001</v>
      </c>
      <c r="BP110">
        <v>6.3E-2</v>
      </c>
      <c r="BQ110">
        <v>50</v>
      </c>
      <c r="BR110">
        <v>14</v>
      </c>
      <c r="BS110">
        <v>0.14000000000000001</v>
      </c>
      <c r="BT110">
        <v>0.04</v>
      </c>
      <c r="BU110">
        <v>5.0616460000000002E-2</v>
      </c>
      <c r="BV110">
        <v>7.4508721804511799E-3</v>
      </c>
      <c r="BW110">
        <v>1.0262998745220599E-2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1.8481825000000001</v>
      </c>
      <c r="CD110">
        <v>-0.150179097744363</v>
      </c>
      <c r="CE110">
        <v>1.5407939146751599E-2</v>
      </c>
      <c r="CF110">
        <v>0</v>
      </c>
      <c r="CG110">
        <v>1</v>
      </c>
      <c r="CH110">
        <v>2</v>
      </c>
      <c r="CI110" t="s">
        <v>299</v>
      </c>
      <c r="CJ110">
        <v>3.5324900000000001</v>
      </c>
      <c r="CK110">
        <v>2.70133</v>
      </c>
      <c r="CL110">
        <v>4.18059E-2</v>
      </c>
      <c r="CM110">
        <v>4.1263500000000002E-2</v>
      </c>
      <c r="CN110">
        <v>8.7048600000000004E-2</v>
      </c>
      <c r="CO110">
        <v>7.8404199999999993E-2</v>
      </c>
      <c r="CP110">
        <v>33565.1</v>
      </c>
      <c r="CQ110">
        <v>29525.4</v>
      </c>
      <c r="CR110">
        <v>32423.7</v>
      </c>
      <c r="CS110">
        <v>30726.1</v>
      </c>
      <c r="CT110">
        <v>40089.4</v>
      </c>
      <c r="CU110">
        <v>39832.199999999997</v>
      </c>
      <c r="CV110">
        <v>47364.5</v>
      </c>
      <c r="CW110">
        <v>46874.2</v>
      </c>
      <c r="CX110">
        <v>2.61368</v>
      </c>
      <c r="CY110">
        <v>2.1179199999999998</v>
      </c>
      <c r="CZ110">
        <v>0</v>
      </c>
      <c r="DA110">
        <v>0</v>
      </c>
      <c r="DB110">
        <v>999.9</v>
      </c>
      <c r="DC110">
        <v>999.9</v>
      </c>
      <c r="DD110">
        <v>44.780999999999999</v>
      </c>
      <c r="DE110">
        <v>28.782</v>
      </c>
      <c r="DF110">
        <v>17.793800000000001</v>
      </c>
      <c r="DG110">
        <v>30.458300000000001</v>
      </c>
      <c r="DH110">
        <v>17.007200000000001</v>
      </c>
      <c r="DI110">
        <v>2</v>
      </c>
      <c r="DJ110">
        <v>-6.7032499999999995E-2</v>
      </c>
      <c r="DK110">
        <v>2.746</v>
      </c>
      <c r="DL110">
        <v>20.186800000000002</v>
      </c>
      <c r="DM110">
        <v>5.2498800000000001</v>
      </c>
      <c r="DN110">
        <v>12.033899999999999</v>
      </c>
      <c r="DO110">
        <v>4.96732</v>
      </c>
      <c r="DP110">
        <v>3.2909999999999999</v>
      </c>
      <c r="DQ110">
        <v>608.1</v>
      </c>
      <c r="DR110">
        <v>9999</v>
      </c>
      <c r="DS110">
        <v>9999</v>
      </c>
      <c r="DT110">
        <v>9999</v>
      </c>
      <c r="DU110">
        <v>1.8711800000000001</v>
      </c>
      <c r="DV110">
        <v>1.8762000000000001</v>
      </c>
      <c r="DW110">
        <v>1.8763700000000001</v>
      </c>
      <c r="DX110">
        <v>1.88283</v>
      </c>
      <c r="DY110">
        <v>1.87561</v>
      </c>
      <c r="DZ110">
        <v>1.87469</v>
      </c>
      <c r="EA110">
        <v>1.8708800000000001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-0.32700000000000001</v>
      </c>
      <c r="EQ110">
        <v>6.2600000000000003E-2</v>
      </c>
      <c r="ER110">
        <v>-0.32652000000000198</v>
      </c>
      <c r="ES110">
        <v>0</v>
      </c>
      <c r="ET110">
        <v>0</v>
      </c>
      <c r="EU110">
        <v>0</v>
      </c>
      <c r="EV110">
        <v>6.2590000000000104E-2</v>
      </c>
      <c r="EW110">
        <v>0</v>
      </c>
      <c r="EX110">
        <v>0</v>
      </c>
      <c r="EY110">
        <v>0</v>
      </c>
      <c r="EZ110">
        <v>-1</v>
      </c>
      <c r="FA110">
        <v>-1</v>
      </c>
      <c r="FB110">
        <v>-1</v>
      </c>
      <c r="FC110">
        <v>-1</v>
      </c>
      <c r="FD110">
        <v>7.6</v>
      </c>
      <c r="FE110">
        <v>7.9</v>
      </c>
      <c r="FF110">
        <v>0.56884800000000002</v>
      </c>
      <c r="FG110">
        <v>2.6220699999999999</v>
      </c>
      <c r="FH110">
        <v>2.19604</v>
      </c>
      <c r="FI110">
        <v>2.5744600000000002</v>
      </c>
      <c r="FJ110">
        <v>2.4462899999999999</v>
      </c>
      <c r="FK110">
        <v>2.2875999999999999</v>
      </c>
      <c r="FL110">
        <v>33.065199999999997</v>
      </c>
      <c r="FM110">
        <v>24.1313</v>
      </c>
      <c r="FN110">
        <v>19</v>
      </c>
      <c r="FO110">
        <v>866.69899999999996</v>
      </c>
      <c r="FP110">
        <v>573.84</v>
      </c>
      <c r="FQ110">
        <v>17.8354</v>
      </c>
      <c r="FR110">
        <v>26.124500000000001</v>
      </c>
      <c r="FS110">
        <v>30</v>
      </c>
      <c r="FT110">
        <v>26.121400000000001</v>
      </c>
      <c r="FU110">
        <v>26.122900000000001</v>
      </c>
      <c r="FV110">
        <v>11.429399999999999</v>
      </c>
      <c r="FW110">
        <v>26.7654</v>
      </c>
      <c r="FX110">
        <v>35.962299999999999</v>
      </c>
      <c r="FY110">
        <v>17.8245</v>
      </c>
      <c r="FZ110">
        <v>150</v>
      </c>
      <c r="GA110">
        <v>13.6409</v>
      </c>
      <c r="GB110">
        <v>99.793099999999995</v>
      </c>
      <c r="GC110">
        <v>99.771799999999999</v>
      </c>
    </row>
    <row r="111" spans="1:185" x14ac:dyDescent="0.2">
      <c r="A111">
        <v>96</v>
      </c>
      <c r="B111">
        <v>1771104931.0999999</v>
      </c>
      <c r="C111">
        <v>1818</v>
      </c>
      <c r="D111" t="s">
        <v>491</v>
      </c>
      <c r="E111" t="s">
        <v>492</v>
      </c>
      <c r="F111">
        <v>15</v>
      </c>
      <c r="G111">
        <v>1771104923.03333</v>
      </c>
      <c r="H111">
        <f t="shared" si="13"/>
        <v>1.4581890154186329E-3</v>
      </c>
      <c r="I111">
        <v>0</v>
      </c>
      <c r="J111">
        <f t="shared" si="25"/>
        <v>-1.3938360184692933E-2</v>
      </c>
      <c r="K111">
        <f t="shared" si="14"/>
        <v>-0.24923536243546562</v>
      </c>
      <c r="L111">
        <f t="shared" si="15"/>
        <v>69.95129201813387</v>
      </c>
      <c r="M111">
        <f t="shared" si="16"/>
        <v>1.542673526721652</v>
      </c>
      <c r="N111">
        <f t="shared" si="17"/>
        <v>2.2053538715507015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26223.285051782677</v>
      </c>
      <c r="T111">
        <f t="shared" si="21"/>
        <v>800</v>
      </c>
      <c r="U111">
        <f t="shared" si="22"/>
        <v>674.40014879999956</v>
      </c>
      <c r="V111">
        <f t="shared" si="23"/>
        <v>0.84300018599999949</v>
      </c>
      <c r="W111">
        <f t="shared" si="24"/>
        <v>0.15870033507999987</v>
      </c>
      <c r="X111">
        <v>1</v>
      </c>
      <c r="Y111">
        <v>1771104923.03333</v>
      </c>
      <c r="Z111">
        <v>150.03659999999999</v>
      </c>
      <c r="AA111">
        <v>149.998533333333</v>
      </c>
      <c r="AB111">
        <v>15.426353333333299</v>
      </c>
      <c r="AC111">
        <v>13.6317533333333</v>
      </c>
      <c r="AD111">
        <v>150.36320000000001</v>
      </c>
      <c r="AE111">
        <v>15.363766666666701</v>
      </c>
      <c r="AF111">
        <v>800.00806666666699</v>
      </c>
      <c r="AG111">
        <v>99.939086666666697</v>
      </c>
      <c r="AH111">
        <v>6.3389186666666694E-2</v>
      </c>
      <c r="AI111">
        <v>19.001259999999998</v>
      </c>
      <c r="AJ111">
        <v>999.9</v>
      </c>
      <c r="AK111">
        <v>999.9</v>
      </c>
      <c r="AL111">
        <v>0</v>
      </c>
      <c r="AM111">
        <v>0</v>
      </c>
      <c r="AN111">
        <v>5002.8333333333303</v>
      </c>
      <c r="AO111">
        <v>0</v>
      </c>
      <c r="AP111">
        <v>1.63733</v>
      </c>
      <c r="AQ111">
        <v>3.7988286666666697E-2</v>
      </c>
      <c r="AR111">
        <v>152.38759999999999</v>
      </c>
      <c r="AS111">
        <v>152.071666666667</v>
      </c>
      <c r="AT111">
        <v>1.79459866666667</v>
      </c>
      <c r="AU111">
        <v>149.998533333333</v>
      </c>
      <c r="AV111">
        <v>13.6317533333333</v>
      </c>
      <c r="AW111">
        <v>1.541696</v>
      </c>
      <c r="AX111">
        <v>1.3623460000000001</v>
      </c>
      <c r="AY111">
        <v>13.38808</v>
      </c>
      <c r="AZ111">
        <v>11.5048666666667</v>
      </c>
      <c r="BA111">
        <v>800</v>
      </c>
      <c r="BB111">
        <v>0.89999573333333305</v>
      </c>
      <c r="BC111">
        <v>0</v>
      </c>
      <c r="BD111">
        <v>0.100004333333333</v>
      </c>
      <c r="BE111">
        <v>0</v>
      </c>
      <c r="BF111">
        <v>25</v>
      </c>
      <c r="BG111">
        <v>13191</v>
      </c>
      <c r="BH111">
        <v>1771104462.0999999</v>
      </c>
      <c r="BI111" t="s">
        <v>442</v>
      </c>
      <c r="BJ111">
        <v>1771104462.0999999</v>
      </c>
      <c r="BK111">
        <v>1771104442.0999999</v>
      </c>
      <c r="BL111">
        <v>16</v>
      </c>
      <c r="BM111">
        <v>0.11600000000000001</v>
      </c>
      <c r="BN111">
        <v>3.0000000000000001E-3</v>
      </c>
      <c r="BO111">
        <v>-0.32700000000000001</v>
      </c>
      <c r="BP111">
        <v>6.3E-2</v>
      </c>
      <c r="BQ111">
        <v>50</v>
      </c>
      <c r="BR111">
        <v>14</v>
      </c>
      <c r="BS111">
        <v>0.14000000000000001</v>
      </c>
      <c r="BT111">
        <v>0.04</v>
      </c>
      <c r="BU111">
        <v>4.3516623809523799E-2</v>
      </c>
      <c r="BV111">
        <v>-7.6555909090908994E-2</v>
      </c>
      <c r="BW111">
        <v>1.44260155783093E-2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1.80542571428571</v>
      </c>
      <c r="CD111">
        <v>-0.14399610389610101</v>
      </c>
      <c r="CE111">
        <v>1.9301149132192399E-2</v>
      </c>
      <c r="CF111">
        <v>0</v>
      </c>
      <c r="CG111">
        <v>1</v>
      </c>
      <c r="CH111">
        <v>2</v>
      </c>
      <c r="CI111" t="s">
        <v>299</v>
      </c>
      <c r="CJ111">
        <v>3.5325199999999999</v>
      </c>
      <c r="CK111">
        <v>2.7012299999999998</v>
      </c>
      <c r="CL111">
        <v>4.1809399999999997E-2</v>
      </c>
      <c r="CM111">
        <v>4.1268699999999998E-2</v>
      </c>
      <c r="CN111">
        <v>8.7138800000000002E-2</v>
      </c>
      <c r="CO111">
        <v>7.8519699999999998E-2</v>
      </c>
      <c r="CP111">
        <v>33566</v>
      </c>
      <c r="CQ111">
        <v>29525.9</v>
      </c>
      <c r="CR111">
        <v>32424.7</v>
      </c>
      <c r="CS111">
        <v>30726.799999999999</v>
      </c>
      <c r="CT111">
        <v>40086.400000000001</v>
      </c>
      <c r="CU111">
        <v>39827.800000000003</v>
      </c>
      <c r="CV111">
        <v>47365.8</v>
      </c>
      <c r="CW111">
        <v>46875</v>
      </c>
      <c r="CX111">
        <v>2.6138599999999999</v>
      </c>
      <c r="CY111">
        <v>2.11774</v>
      </c>
      <c r="CZ111">
        <v>0</v>
      </c>
      <c r="DA111">
        <v>0</v>
      </c>
      <c r="DB111">
        <v>999.9</v>
      </c>
      <c r="DC111">
        <v>999.9</v>
      </c>
      <c r="DD111">
        <v>44.731999999999999</v>
      </c>
      <c r="DE111">
        <v>28.802</v>
      </c>
      <c r="DF111">
        <v>17.794899999999998</v>
      </c>
      <c r="DG111">
        <v>30.6083</v>
      </c>
      <c r="DH111">
        <v>17.071300000000001</v>
      </c>
      <c r="DI111">
        <v>2</v>
      </c>
      <c r="DJ111">
        <v>-6.7215499999999997E-2</v>
      </c>
      <c r="DK111">
        <v>2.7258900000000001</v>
      </c>
      <c r="DL111">
        <v>20.1874</v>
      </c>
      <c r="DM111">
        <v>5.25047</v>
      </c>
      <c r="DN111">
        <v>12.033899999999999</v>
      </c>
      <c r="DO111">
        <v>4.9671200000000004</v>
      </c>
      <c r="DP111">
        <v>3.2909999999999999</v>
      </c>
      <c r="DQ111">
        <v>608.20000000000005</v>
      </c>
      <c r="DR111">
        <v>9999</v>
      </c>
      <c r="DS111">
        <v>9999</v>
      </c>
      <c r="DT111">
        <v>9999</v>
      </c>
      <c r="DU111">
        <v>1.87117</v>
      </c>
      <c r="DV111">
        <v>1.87619</v>
      </c>
      <c r="DW111">
        <v>1.8763700000000001</v>
      </c>
      <c r="DX111">
        <v>1.8828199999999999</v>
      </c>
      <c r="DY111">
        <v>1.8756200000000001</v>
      </c>
      <c r="DZ111">
        <v>1.8746799999999999</v>
      </c>
      <c r="EA111">
        <v>1.87087</v>
      </c>
      <c r="EB111">
        <v>1.8746799999999999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-0.32700000000000001</v>
      </c>
      <c r="EQ111">
        <v>6.2600000000000003E-2</v>
      </c>
      <c r="ER111">
        <v>-0.32652000000000198</v>
      </c>
      <c r="ES111">
        <v>0</v>
      </c>
      <c r="ET111">
        <v>0</v>
      </c>
      <c r="EU111">
        <v>0</v>
      </c>
      <c r="EV111">
        <v>6.2590000000000104E-2</v>
      </c>
      <c r="EW111">
        <v>0</v>
      </c>
      <c r="EX111">
        <v>0</v>
      </c>
      <c r="EY111">
        <v>0</v>
      </c>
      <c r="EZ111">
        <v>-1</v>
      </c>
      <c r="FA111">
        <v>-1</v>
      </c>
      <c r="FB111">
        <v>-1</v>
      </c>
      <c r="FC111">
        <v>-1</v>
      </c>
      <c r="FD111">
        <v>7.8</v>
      </c>
      <c r="FE111">
        <v>8.1999999999999993</v>
      </c>
      <c r="FF111">
        <v>0.56884800000000002</v>
      </c>
      <c r="FG111">
        <v>2.6196299999999999</v>
      </c>
      <c r="FH111">
        <v>2.19604</v>
      </c>
      <c r="FI111">
        <v>2.5744600000000002</v>
      </c>
      <c r="FJ111">
        <v>2.4462899999999999</v>
      </c>
      <c r="FK111">
        <v>2.2558600000000002</v>
      </c>
      <c r="FL111">
        <v>33.065199999999997</v>
      </c>
      <c r="FM111">
        <v>24.1313</v>
      </c>
      <c r="FN111">
        <v>19</v>
      </c>
      <c r="FO111">
        <v>866.83199999999999</v>
      </c>
      <c r="FP111">
        <v>573.702</v>
      </c>
      <c r="FQ111">
        <v>17.819700000000001</v>
      </c>
      <c r="FR111">
        <v>26.122800000000002</v>
      </c>
      <c r="FS111">
        <v>30.0001</v>
      </c>
      <c r="FT111">
        <v>26.119199999999999</v>
      </c>
      <c r="FU111">
        <v>26.122900000000001</v>
      </c>
      <c r="FV111">
        <v>11.4292</v>
      </c>
      <c r="FW111">
        <v>26.7654</v>
      </c>
      <c r="FX111">
        <v>35.962299999999999</v>
      </c>
      <c r="FY111">
        <v>17.820399999999999</v>
      </c>
      <c r="FZ111">
        <v>150</v>
      </c>
      <c r="GA111">
        <v>13.6389</v>
      </c>
      <c r="GB111">
        <v>99.796000000000006</v>
      </c>
      <c r="GC111">
        <v>99.773700000000005</v>
      </c>
    </row>
    <row r="112" spans="1:185" x14ac:dyDescent="0.2">
      <c r="A112">
        <v>97</v>
      </c>
      <c r="B112">
        <v>1771105057.0999999</v>
      </c>
      <c r="C112">
        <v>1944</v>
      </c>
      <c r="D112" t="s">
        <v>493</v>
      </c>
      <c r="E112" t="s">
        <v>494</v>
      </c>
      <c r="F112">
        <v>15</v>
      </c>
      <c r="G112">
        <v>1771105049.0999999</v>
      </c>
      <c r="H112">
        <f t="shared" si="13"/>
        <v>8.2706275428907244E-4</v>
      </c>
      <c r="I112">
        <v>0</v>
      </c>
      <c r="J112">
        <f t="shared" si="25"/>
        <v>-0.18616976603443222</v>
      </c>
      <c r="K112">
        <f t="shared" si="14"/>
        <v>-3.328948922059999</v>
      </c>
      <c r="L112">
        <f t="shared" si="15"/>
        <v>74.126886730173837</v>
      </c>
      <c r="M112">
        <f t="shared" si="16"/>
        <v>1.6245901452003733</v>
      </c>
      <c r="N112">
        <f t="shared" si="17"/>
        <v>2.1916341247595836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26247.851595926397</v>
      </c>
      <c r="T112">
        <f t="shared" si="21"/>
        <v>799.99793333333298</v>
      </c>
      <c r="U112">
        <f t="shared" si="22"/>
        <v>674.39861779906926</v>
      </c>
      <c r="V112">
        <f t="shared" si="23"/>
        <v>0.84300044999999946</v>
      </c>
      <c r="W112">
        <f t="shared" si="24"/>
        <v>0.15870138483999988</v>
      </c>
      <c r="X112">
        <v>1</v>
      </c>
      <c r="Y112">
        <v>1771105049.0999999</v>
      </c>
      <c r="Z112">
        <v>378.92340000000002</v>
      </c>
      <c r="AA112">
        <v>375.15393333333299</v>
      </c>
      <c r="AB112">
        <v>16.24492</v>
      </c>
      <c r="AC112">
        <v>15.227880000000001</v>
      </c>
      <c r="AD112">
        <v>379.25</v>
      </c>
      <c r="AE112">
        <v>16.155919999999998</v>
      </c>
      <c r="AF112">
        <v>799.99526666666702</v>
      </c>
      <c r="AG112">
        <v>99.943046666666703</v>
      </c>
      <c r="AH112">
        <v>6.2994926666666701E-2</v>
      </c>
      <c r="AI112">
        <v>18.9012933333333</v>
      </c>
      <c r="AJ112">
        <v>999.9</v>
      </c>
      <c r="AK112">
        <v>999.9</v>
      </c>
      <c r="AL112">
        <v>0</v>
      </c>
      <c r="AM112">
        <v>0</v>
      </c>
      <c r="AN112">
        <v>5005.2333333333299</v>
      </c>
      <c r="AO112">
        <v>0</v>
      </c>
      <c r="AP112">
        <v>1.58087</v>
      </c>
      <c r="AQ112">
        <v>3.7695553333333298</v>
      </c>
      <c r="AR112">
        <v>385.17053333333303</v>
      </c>
      <c r="AS112">
        <v>380.955266666667</v>
      </c>
      <c r="AT112">
        <v>0.99061993333333298</v>
      </c>
      <c r="AU112">
        <v>375.15393333333299</v>
      </c>
      <c r="AV112">
        <v>15.227880000000001</v>
      </c>
      <c r="AW112">
        <v>1.6209273333333301</v>
      </c>
      <c r="AX112">
        <v>1.5219213333333299</v>
      </c>
      <c r="AY112">
        <v>14.1592</v>
      </c>
      <c r="AZ112">
        <v>13.188746666666701</v>
      </c>
      <c r="BA112">
        <v>799.99793333333298</v>
      </c>
      <c r="BB112">
        <v>0.89998113333333296</v>
      </c>
      <c r="BC112">
        <v>0</v>
      </c>
      <c r="BD112">
        <v>0.100018733333333</v>
      </c>
      <c r="BE112">
        <v>0</v>
      </c>
      <c r="BF112">
        <v>25</v>
      </c>
      <c r="BG112">
        <v>13190.92</v>
      </c>
      <c r="BH112">
        <v>1771105081.0999999</v>
      </c>
      <c r="BI112" t="s">
        <v>495</v>
      </c>
      <c r="BJ112">
        <v>1771104462.0999999</v>
      </c>
      <c r="BK112">
        <v>1771105081.0999999</v>
      </c>
      <c r="BL112">
        <v>17</v>
      </c>
      <c r="BM112">
        <v>0.11600000000000001</v>
      </c>
      <c r="BN112">
        <v>2.5999999999999999E-2</v>
      </c>
      <c r="BO112">
        <v>-0.32700000000000001</v>
      </c>
      <c r="BP112">
        <v>8.8999999999999996E-2</v>
      </c>
      <c r="BQ112">
        <v>50</v>
      </c>
      <c r="BR112">
        <v>15</v>
      </c>
      <c r="BS112">
        <v>0.14000000000000001</v>
      </c>
      <c r="BT112">
        <v>0.05</v>
      </c>
      <c r="BU112">
        <v>5.1410823809523798</v>
      </c>
      <c r="BV112">
        <v>-24.470245714285699</v>
      </c>
      <c r="BW112">
        <v>2.53021403895647</v>
      </c>
      <c r="BX112">
        <v>0</v>
      </c>
      <c r="BY112">
        <v>0</v>
      </c>
      <c r="BZ112">
        <v>0</v>
      </c>
      <c r="CA112">
        <v>0</v>
      </c>
      <c r="CB112">
        <v>-1</v>
      </c>
      <c r="CC112">
        <v>0.77786939285714296</v>
      </c>
      <c r="CD112">
        <v>3.9175540129870101</v>
      </c>
      <c r="CE112">
        <v>0.40055247251873599</v>
      </c>
      <c r="CF112">
        <v>0</v>
      </c>
      <c r="CG112">
        <v>0</v>
      </c>
      <c r="CH112">
        <v>2</v>
      </c>
      <c r="CI112" t="s">
        <v>290</v>
      </c>
      <c r="CJ112">
        <v>3.5324599999999999</v>
      </c>
      <c r="CK112">
        <v>2.70099</v>
      </c>
      <c r="CL112">
        <v>9.1448799999999997E-2</v>
      </c>
      <c r="CM112">
        <v>8.9939699999999997E-2</v>
      </c>
      <c r="CN112">
        <v>9.0397000000000005E-2</v>
      </c>
      <c r="CO112">
        <v>8.3648200000000006E-2</v>
      </c>
      <c r="CP112">
        <v>31828</v>
      </c>
      <c r="CQ112">
        <v>28029.1</v>
      </c>
      <c r="CR112">
        <v>32425.5</v>
      </c>
      <c r="CS112">
        <v>30729</v>
      </c>
      <c r="CT112">
        <v>39944.9</v>
      </c>
      <c r="CU112">
        <v>39607.300000000003</v>
      </c>
      <c r="CV112">
        <v>47367</v>
      </c>
      <c r="CW112">
        <v>46877.9</v>
      </c>
      <c r="CX112">
        <v>2.6133199999999999</v>
      </c>
      <c r="CY112">
        <v>2.1223399999999999</v>
      </c>
      <c r="CZ112">
        <v>0</v>
      </c>
      <c r="DA112">
        <v>0</v>
      </c>
      <c r="DB112">
        <v>999.9</v>
      </c>
      <c r="DC112">
        <v>999.9</v>
      </c>
      <c r="DD112">
        <v>45.69</v>
      </c>
      <c r="DE112">
        <v>28.802</v>
      </c>
      <c r="DF112">
        <v>18.1769</v>
      </c>
      <c r="DG112">
        <v>30.488299999999999</v>
      </c>
      <c r="DH112">
        <v>17.035299999999999</v>
      </c>
      <c r="DI112">
        <v>2</v>
      </c>
      <c r="DJ112">
        <v>-6.8945099999999995E-2</v>
      </c>
      <c r="DK112">
        <v>2.6175199999999998</v>
      </c>
      <c r="DL112">
        <v>20.190000000000001</v>
      </c>
      <c r="DM112">
        <v>5.2511900000000002</v>
      </c>
      <c r="DN112">
        <v>12.033899999999999</v>
      </c>
      <c r="DO112">
        <v>4.9677600000000002</v>
      </c>
      <c r="DP112">
        <v>3.2909999999999999</v>
      </c>
      <c r="DQ112">
        <v>608.20000000000005</v>
      </c>
      <c r="DR112">
        <v>9999</v>
      </c>
      <c r="DS112">
        <v>9999</v>
      </c>
      <c r="DT112">
        <v>9999</v>
      </c>
      <c r="DU112">
        <v>1.8711599999999999</v>
      </c>
      <c r="DV112">
        <v>1.8761699999999999</v>
      </c>
      <c r="DW112">
        <v>1.87635</v>
      </c>
      <c r="DX112">
        <v>1.88283</v>
      </c>
      <c r="DY112">
        <v>1.8755999999999999</v>
      </c>
      <c r="DZ112">
        <v>1.8746799999999999</v>
      </c>
      <c r="EA112">
        <v>1.87087</v>
      </c>
      <c r="EB112">
        <v>1.87466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-0.32700000000000001</v>
      </c>
      <c r="EQ112">
        <v>8.8999999999999996E-2</v>
      </c>
      <c r="ER112">
        <v>-0.32652000000000198</v>
      </c>
      <c r="ES112">
        <v>0</v>
      </c>
      <c r="ET112">
        <v>0</v>
      </c>
      <c r="EU112">
        <v>0</v>
      </c>
      <c r="EV112">
        <v>6.2590000000000104E-2</v>
      </c>
      <c r="EW112">
        <v>0</v>
      </c>
      <c r="EX112">
        <v>0</v>
      </c>
      <c r="EY112">
        <v>0</v>
      </c>
      <c r="EZ112">
        <v>-1</v>
      </c>
      <c r="FA112">
        <v>-1</v>
      </c>
      <c r="FB112">
        <v>-1</v>
      </c>
      <c r="FC112">
        <v>-1</v>
      </c>
      <c r="FD112">
        <v>9.9</v>
      </c>
      <c r="FE112">
        <v>10.199999999999999</v>
      </c>
      <c r="FF112">
        <v>1.16455</v>
      </c>
      <c r="FG112">
        <v>2.6086399999999998</v>
      </c>
      <c r="FH112">
        <v>2.19604</v>
      </c>
      <c r="FI112">
        <v>2.5744600000000002</v>
      </c>
      <c r="FJ112">
        <v>2.4462899999999999</v>
      </c>
      <c r="FK112">
        <v>2.2534200000000002</v>
      </c>
      <c r="FL112">
        <v>33.065199999999997</v>
      </c>
      <c r="FM112">
        <v>24.1313</v>
      </c>
      <c r="FN112">
        <v>19</v>
      </c>
      <c r="FO112">
        <v>866.25800000000004</v>
      </c>
      <c r="FP112">
        <v>577.13800000000003</v>
      </c>
      <c r="FQ112">
        <v>17.4998</v>
      </c>
      <c r="FR112">
        <v>26.116199999999999</v>
      </c>
      <c r="FS112">
        <v>29.9998</v>
      </c>
      <c r="FT112">
        <v>26.114799999999999</v>
      </c>
      <c r="FU112">
        <v>26.114100000000001</v>
      </c>
      <c r="FV112">
        <v>23.3766</v>
      </c>
      <c r="FW112">
        <v>24.151199999999999</v>
      </c>
      <c r="FX112">
        <v>39.082799999999999</v>
      </c>
      <c r="FY112">
        <v>17.592199999999998</v>
      </c>
      <c r="FZ112">
        <v>375</v>
      </c>
      <c r="GA112">
        <v>14.530900000000001</v>
      </c>
      <c r="GB112">
        <v>99.798599999999993</v>
      </c>
      <c r="GC112">
        <v>99.780299999999997</v>
      </c>
    </row>
    <row r="113" spans="1:185" x14ac:dyDescent="0.2">
      <c r="A113">
        <v>98</v>
      </c>
      <c r="B113">
        <v>1771105083.0999999</v>
      </c>
      <c r="C113">
        <v>1970</v>
      </c>
      <c r="D113" t="s">
        <v>496</v>
      </c>
      <c r="E113" t="s">
        <v>497</v>
      </c>
      <c r="F113">
        <v>15</v>
      </c>
      <c r="G113">
        <v>1771105082.0999999</v>
      </c>
      <c r="H113">
        <f t="shared" si="13"/>
        <v>-4.8710101180802838E-7</v>
      </c>
      <c r="I113">
        <v>0</v>
      </c>
      <c r="J113">
        <f t="shared" si="25"/>
        <v>2.7865077838063027E-4</v>
      </c>
      <c r="K113">
        <f t="shared" si="14"/>
        <v>4.9826254180811288E-3</v>
      </c>
      <c r="L113">
        <f t="shared" si="15"/>
        <v>66.54371795869011</v>
      </c>
      <c r="M113">
        <f t="shared" si="16"/>
        <v>1.4588417756347498</v>
      </c>
      <c r="N113">
        <f t="shared" si="17"/>
        <v>2.1923057809008943</v>
      </c>
      <c r="O113">
        <v>472</v>
      </c>
      <c r="P113">
        <v>59</v>
      </c>
      <c r="Q113">
        <f t="shared" si="18"/>
        <v>1</v>
      </c>
      <c r="R113">
        <f t="shared" si="19"/>
        <v>0</v>
      </c>
      <c r="S113">
        <f t="shared" si="20"/>
        <v>26182.571348290592</v>
      </c>
      <c r="T113">
        <f t="shared" si="21"/>
        <v>799.99199999999996</v>
      </c>
      <c r="U113">
        <f t="shared" si="22"/>
        <v>674.39311440141591</v>
      </c>
      <c r="V113">
        <f t="shared" si="23"/>
        <v>0.84299982299999998</v>
      </c>
      <c r="W113">
        <f t="shared" si="24"/>
        <v>0.15869975238</v>
      </c>
      <c r="X113">
        <v>1</v>
      </c>
      <c r="Y113">
        <v>1771105082.0999999</v>
      </c>
      <c r="Z113">
        <v>374.99700000000001</v>
      </c>
      <c r="AA113">
        <v>375.00299999999999</v>
      </c>
      <c r="AB113">
        <v>14.5855</v>
      </c>
      <c r="AC113">
        <v>14.5861</v>
      </c>
      <c r="AD113">
        <v>375.72399999999999</v>
      </c>
      <c r="AE113">
        <v>14.496700000000001</v>
      </c>
      <c r="AF113">
        <v>799.99400000000003</v>
      </c>
      <c r="AG113">
        <v>99.943899999999999</v>
      </c>
      <c r="AH113">
        <v>7.6104500000000005E-2</v>
      </c>
      <c r="AI113">
        <v>18.906199999999998</v>
      </c>
      <c r="AJ113">
        <v>999.9</v>
      </c>
      <c r="AK113">
        <v>999.9</v>
      </c>
      <c r="AL113">
        <v>0</v>
      </c>
      <c r="AM113">
        <v>0</v>
      </c>
      <c r="AN113">
        <v>4994.5</v>
      </c>
      <c r="AO113">
        <v>0</v>
      </c>
      <c r="AP113">
        <v>1.6147499999999999</v>
      </c>
      <c r="AQ113">
        <v>0.39444000000000001</v>
      </c>
      <c r="AR113">
        <v>380.95400000000001</v>
      </c>
      <c r="AS113">
        <v>380.55399999999997</v>
      </c>
      <c r="AT113">
        <v>-6.0653699999999998E-4</v>
      </c>
      <c r="AU113">
        <v>375.00299999999999</v>
      </c>
      <c r="AV113">
        <v>14.5861</v>
      </c>
      <c r="AW113">
        <v>1.45773</v>
      </c>
      <c r="AX113">
        <v>1.4577899999999999</v>
      </c>
      <c r="AY113">
        <v>12.5319</v>
      </c>
      <c r="AZ113">
        <v>12.532500000000001</v>
      </c>
      <c r="BA113">
        <v>799.99199999999996</v>
      </c>
      <c r="BB113">
        <v>0.900003</v>
      </c>
      <c r="BC113">
        <v>0</v>
      </c>
      <c r="BD113">
        <v>9.99969E-2</v>
      </c>
      <c r="BE113">
        <v>0</v>
      </c>
      <c r="BF113">
        <v>25</v>
      </c>
      <c r="BG113">
        <v>13190.9</v>
      </c>
      <c r="BH113">
        <v>1771105107.0999999</v>
      </c>
      <c r="BI113" t="s">
        <v>498</v>
      </c>
      <c r="BJ113">
        <v>1771105107.0999999</v>
      </c>
      <c r="BK113">
        <v>1771105081.0999999</v>
      </c>
      <c r="BL113">
        <v>18</v>
      </c>
      <c r="BM113">
        <v>-0.40100000000000002</v>
      </c>
      <c r="BN113">
        <v>2.5999999999999999E-2</v>
      </c>
      <c r="BO113">
        <v>-0.72699999999999998</v>
      </c>
      <c r="BP113">
        <v>8.8999999999999996E-2</v>
      </c>
      <c r="BQ113">
        <v>375</v>
      </c>
      <c r="BR113">
        <v>15</v>
      </c>
      <c r="BS113">
        <v>0.16</v>
      </c>
      <c r="BT113">
        <v>0.05</v>
      </c>
      <c r="BU113">
        <v>0.43572133333333302</v>
      </c>
      <c r="BV113">
        <v>-0.316990285714285</v>
      </c>
      <c r="BW113">
        <v>6.8649189381912307E-2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2.46101172857143E-2</v>
      </c>
      <c r="CD113">
        <v>-0.745017683376623</v>
      </c>
      <c r="CE113">
        <v>0.14410066625868001</v>
      </c>
      <c r="CF113">
        <v>0</v>
      </c>
      <c r="CG113">
        <v>1</v>
      </c>
      <c r="CH113">
        <v>2</v>
      </c>
      <c r="CI113" t="s">
        <v>299</v>
      </c>
      <c r="CJ113">
        <v>3.5341300000000002</v>
      </c>
      <c r="CK113">
        <v>2.7122700000000002</v>
      </c>
      <c r="CL113">
        <v>9.1149400000000005E-2</v>
      </c>
      <c r="CM113">
        <v>8.9921600000000004E-2</v>
      </c>
      <c r="CN113">
        <v>8.3701899999999996E-2</v>
      </c>
      <c r="CO113">
        <v>8.2537299999999994E-2</v>
      </c>
      <c r="CP113">
        <v>31838.7</v>
      </c>
      <c r="CQ113">
        <v>28029.1</v>
      </c>
      <c r="CR113">
        <v>32425.9</v>
      </c>
      <c r="CS113">
        <v>30728.3</v>
      </c>
      <c r="CT113">
        <v>40247.800000000003</v>
      </c>
      <c r="CU113">
        <v>39655.5</v>
      </c>
      <c r="CV113">
        <v>47367.4</v>
      </c>
      <c r="CW113">
        <v>46876.7</v>
      </c>
      <c r="CX113">
        <v>1.6941999999999999</v>
      </c>
      <c r="CY113">
        <v>1.61364</v>
      </c>
      <c r="CZ113">
        <v>0</v>
      </c>
      <c r="DA113">
        <v>0</v>
      </c>
      <c r="DB113">
        <v>999.9</v>
      </c>
      <c r="DC113">
        <v>999.9</v>
      </c>
      <c r="DD113">
        <v>45.642000000000003</v>
      </c>
      <c r="DE113">
        <v>28.802</v>
      </c>
      <c r="DF113">
        <v>18.1556</v>
      </c>
      <c r="DG113">
        <v>30.658300000000001</v>
      </c>
      <c r="DH113">
        <v>17.1675</v>
      </c>
      <c r="DI113">
        <v>2</v>
      </c>
      <c r="DJ113">
        <v>-0.12174599999999999</v>
      </c>
      <c r="DK113">
        <v>2.2874099999999999</v>
      </c>
      <c r="DL113">
        <v>20.1953</v>
      </c>
      <c r="DM113">
        <v>5.2456800000000001</v>
      </c>
      <c r="DN113">
        <v>12.033899999999999</v>
      </c>
      <c r="DO113">
        <v>4.9664799999999998</v>
      </c>
      <c r="DP113">
        <v>3.2900999999999998</v>
      </c>
      <c r="DQ113">
        <v>608.20000000000005</v>
      </c>
      <c r="DR113">
        <v>9999</v>
      </c>
      <c r="DS113">
        <v>9999</v>
      </c>
      <c r="DT113">
        <v>9999</v>
      </c>
      <c r="DU113">
        <v>1.87117</v>
      </c>
      <c r="DV113">
        <v>1.87612</v>
      </c>
      <c r="DW113">
        <v>1.87636</v>
      </c>
      <c r="DX113">
        <v>1.8828199999999999</v>
      </c>
      <c r="DY113">
        <v>1.87561</v>
      </c>
      <c r="DZ113">
        <v>1.8746700000000001</v>
      </c>
      <c r="EA113">
        <v>1.87086</v>
      </c>
      <c r="EB113">
        <v>1.8746799999999999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-0.72699999999999998</v>
      </c>
      <c r="EQ113">
        <v>8.8800000000000004E-2</v>
      </c>
      <c r="ER113">
        <v>-0.32652000000000198</v>
      </c>
      <c r="ES113">
        <v>0</v>
      </c>
      <c r="ET113">
        <v>0</v>
      </c>
      <c r="EU113">
        <v>0</v>
      </c>
      <c r="EV113">
        <v>8.8809999999996905E-2</v>
      </c>
      <c r="EW113">
        <v>0</v>
      </c>
      <c r="EX113">
        <v>0</v>
      </c>
      <c r="EY113">
        <v>0</v>
      </c>
      <c r="EZ113">
        <v>-1</v>
      </c>
      <c r="FA113">
        <v>-1</v>
      </c>
      <c r="FB113">
        <v>-1</v>
      </c>
      <c r="FC113">
        <v>-1</v>
      </c>
      <c r="FD113">
        <v>10.3</v>
      </c>
      <c r="FE113">
        <v>0</v>
      </c>
      <c r="FF113">
        <v>1.16455</v>
      </c>
      <c r="FG113">
        <v>2.6110799999999998</v>
      </c>
      <c r="FH113">
        <v>2.19604</v>
      </c>
      <c r="FI113">
        <v>2.5744600000000002</v>
      </c>
      <c r="FJ113">
        <v>2.4462899999999999</v>
      </c>
      <c r="FK113">
        <v>2.2680699999999998</v>
      </c>
      <c r="FL113">
        <v>33.065199999999997</v>
      </c>
      <c r="FM113">
        <v>24.113800000000001</v>
      </c>
      <c r="FN113">
        <v>19</v>
      </c>
      <c r="FO113">
        <v>307.428</v>
      </c>
      <c r="FP113">
        <v>286.44900000000001</v>
      </c>
      <c r="FQ113">
        <v>17.897500000000001</v>
      </c>
      <c r="FR113">
        <v>26.116299999999999</v>
      </c>
      <c r="FS113">
        <v>30</v>
      </c>
      <c r="FT113">
        <v>26.131599999999999</v>
      </c>
      <c r="FU113">
        <v>26.1295</v>
      </c>
      <c r="FV113">
        <v>23.375699999999998</v>
      </c>
      <c r="FW113">
        <v>21.609000000000002</v>
      </c>
      <c r="FX113">
        <v>39.492100000000001</v>
      </c>
      <c r="FY113">
        <v>17.9633</v>
      </c>
      <c r="FZ113">
        <v>375</v>
      </c>
      <c r="GA113">
        <v>15.196</v>
      </c>
      <c r="GB113">
        <v>99.799499999999995</v>
      </c>
      <c r="GC113">
        <v>99.777799999999999</v>
      </c>
    </row>
    <row r="114" spans="1:185" x14ac:dyDescent="0.2">
      <c r="A114">
        <v>99</v>
      </c>
      <c r="B114">
        <v>1771105109.0999999</v>
      </c>
      <c r="C114">
        <v>1996</v>
      </c>
      <c r="D114" t="s">
        <v>499</v>
      </c>
      <c r="E114" t="s">
        <v>500</v>
      </c>
      <c r="F114">
        <v>15</v>
      </c>
      <c r="G114">
        <v>1771105108.0999999</v>
      </c>
      <c r="H114">
        <f t="shared" si="13"/>
        <v>-1.1939863720094192E-5</v>
      </c>
      <c r="I114">
        <v>0</v>
      </c>
      <c r="J114">
        <f t="shared" si="25"/>
        <v>-8.6824819306495385E-4</v>
      </c>
      <c r="K114">
        <f t="shared" si="14"/>
        <v>-1.5525366701323283E-2</v>
      </c>
      <c r="L114">
        <f t="shared" si="15"/>
        <v>68.302721636412585</v>
      </c>
      <c r="M114">
        <f t="shared" si="16"/>
        <v>1.5030430863027202</v>
      </c>
      <c r="N114">
        <f t="shared" si="17"/>
        <v>2.2005610468989554</v>
      </c>
      <c r="O114">
        <v>470</v>
      </c>
      <c r="P114">
        <v>59</v>
      </c>
      <c r="Q114">
        <f t="shared" si="18"/>
        <v>1</v>
      </c>
      <c r="R114">
        <f t="shared" si="19"/>
        <v>0</v>
      </c>
      <c r="S114">
        <f t="shared" si="20"/>
        <v>26271.498336206991</v>
      </c>
      <c r="T114">
        <f t="shared" si="21"/>
        <v>799.99900000000002</v>
      </c>
      <c r="U114">
        <f t="shared" si="22"/>
        <v>674.39926739986208</v>
      </c>
      <c r="V114">
        <f t="shared" si="23"/>
        <v>0.84300013800000007</v>
      </c>
      <c r="W114">
        <f t="shared" si="24"/>
        <v>0.15869956548</v>
      </c>
      <c r="X114">
        <v>1</v>
      </c>
      <c r="Y114">
        <v>1771105108.0999999</v>
      </c>
      <c r="Z114">
        <v>374.827</v>
      </c>
      <c r="AA114">
        <v>374.80200000000002</v>
      </c>
      <c r="AB114">
        <v>15.027200000000001</v>
      </c>
      <c r="AC114">
        <v>15.0419</v>
      </c>
      <c r="AD114">
        <v>375.55399999999997</v>
      </c>
      <c r="AE114">
        <v>14.9384</v>
      </c>
      <c r="AF114">
        <v>800.03</v>
      </c>
      <c r="AG114">
        <v>99.945400000000006</v>
      </c>
      <c r="AH114">
        <v>7.6100100000000004E-2</v>
      </c>
      <c r="AI114">
        <v>18.9664</v>
      </c>
      <c r="AJ114">
        <v>999.9</v>
      </c>
      <c r="AK114">
        <v>999.9</v>
      </c>
      <c r="AL114">
        <v>0</v>
      </c>
      <c r="AM114">
        <v>0</v>
      </c>
      <c r="AN114">
        <v>5010</v>
      </c>
      <c r="AO114">
        <v>0</v>
      </c>
      <c r="AP114">
        <v>1.6034600000000001</v>
      </c>
      <c r="AQ114">
        <v>2.5329600000000001E-2</v>
      </c>
      <c r="AR114">
        <v>380.54500000000002</v>
      </c>
      <c r="AS114">
        <v>380.52499999999998</v>
      </c>
      <c r="AT114">
        <v>-1.4726599999999999E-2</v>
      </c>
      <c r="AU114">
        <v>374.80200000000002</v>
      </c>
      <c r="AV114">
        <v>15.0419</v>
      </c>
      <c r="AW114">
        <v>1.5019</v>
      </c>
      <c r="AX114">
        <v>1.5033700000000001</v>
      </c>
      <c r="AY114">
        <v>12.987500000000001</v>
      </c>
      <c r="AZ114">
        <v>13.0025</v>
      </c>
      <c r="BA114">
        <v>799.99900000000002</v>
      </c>
      <c r="BB114">
        <v>0.900007</v>
      </c>
      <c r="BC114">
        <v>0</v>
      </c>
      <c r="BD114">
        <v>9.9993399999999996E-2</v>
      </c>
      <c r="BE114">
        <v>0</v>
      </c>
      <c r="BF114">
        <v>25</v>
      </c>
      <c r="BG114">
        <v>13191</v>
      </c>
      <c r="BH114">
        <v>1771105107.0999999</v>
      </c>
      <c r="BI114" t="s">
        <v>498</v>
      </c>
      <c r="BJ114">
        <v>1771105107.0999999</v>
      </c>
      <c r="BK114">
        <v>1771105081.0999999</v>
      </c>
      <c r="BL114">
        <v>18</v>
      </c>
      <c r="BM114">
        <v>-0.40100000000000002</v>
      </c>
      <c r="BN114">
        <v>2.5999999999999999E-2</v>
      </c>
      <c r="BO114">
        <v>-0.72699999999999998</v>
      </c>
      <c r="BP114">
        <v>8.8999999999999996E-2</v>
      </c>
      <c r="BQ114">
        <v>375</v>
      </c>
      <c r="BR114">
        <v>15</v>
      </c>
      <c r="BS114">
        <v>0.16</v>
      </c>
      <c r="BT114">
        <v>0.05</v>
      </c>
      <c r="BU114">
        <v>0.360697457142857</v>
      </c>
      <c r="BV114">
        <v>-3.89705454545453E-2</v>
      </c>
      <c r="BW114">
        <v>8.1233631315680899E-2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2.2008947619047599E-2</v>
      </c>
      <c r="CD114">
        <v>-0.57729717662337598</v>
      </c>
      <c r="CE114">
        <v>0.115996953084301</v>
      </c>
      <c r="CF114">
        <v>0</v>
      </c>
      <c r="CG114">
        <v>1</v>
      </c>
      <c r="CH114">
        <v>2</v>
      </c>
      <c r="CI114" t="s">
        <v>299</v>
      </c>
      <c r="CJ114">
        <v>3.5339299999999998</v>
      </c>
      <c r="CK114">
        <v>2.7123200000000001</v>
      </c>
      <c r="CL114">
        <v>9.1121400000000005E-2</v>
      </c>
      <c r="CM114">
        <v>8.9894500000000002E-2</v>
      </c>
      <c r="CN114">
        <v>8.5590100000000002E-2</v>
      </c>
      <c r="CO114">
        <v>8.4437600000000002E-2</v>
      </c>
      <c r="CP114">
        <v>31838.9</v>
      </c>
      <c r="CQ114">
        <v>28029.9</v>
      </c>
      <c r="CR114">
        <v>32425</v>
      </c>
      <c r="CS114">
        <v>30728.2</v>
      </c>
      <c r="CT114">
        <v>40161.199999999997</v>
      </c>
      <c r="CU114">
        <v>39571.1</v>
      </c>
      <c r="CV114">
        <v>47365.9</v>
      </c>
      <c r="CW114">
        <v>46876.6</v>
      </c>
      <c r="CX114">
        <v>1.6974</v>
      </c>
      <c r="CY114">
        <v>1.61496</v>
      </c>
      <c r="CZ114">
        <v>0</v>
      </c>
      <c r="DA114">
        <v>0</v>
      </c>
      <c r="DB114">
        <v>999.9</v>
      </c>
      <c r="DC114">
        <v>999.9</v>
      </c>
      <c r="DD114">
        <v>45.738999999999997</v>
      </c>
      <c r="DE114">
        <v>28.812000000000001</v>
      </c>
      <c r="DF114">
        <v>18.204799999999999</v>
      </c>
      <c r="DG114">
        <v>30.168299999999999</v>
      </c>
      <c r="DH114">
        <v>17.3157</v>
      </c>
      <c r="DI114">
        <v>2</v>
      </c>
      <c r="DJ114">
        <v>-7.0056900000000005E-2</v>
      </c>
      <c r="DK114">
        <v>2.1464099999999999</v>
      </c>
      <c r="DL114">
        <v>20.195900000000002</v>
      </c>
      <c r="DM114">
        <v>5.24472</v>
      </c>
      <c r="DN114">
        <v>12.033899999999999</v>
      </c>
      <c r="DO114">
        <v>4.9661999999999997</v>
      </c>
      <c r="DP114">
        <v>3.29006</v>
      </c>
      <c r="DQ114">
        <v>608.20000000000005</v>
      </c>
      <c r="DR114">
        <v>9999</v>
      </c>
      <c r="DS114">
        <v>9999</v>
      </c>
      <c r="DT114">
        <v>9999</v>
      </c>
      <c r="DU114">
        <v>1.8711800000000001</v>
      </c>
      <c r="DV114">
        <v>1.8762000000000001</v>
      </c>
      <c r="DW114">
        <v>1.8763700000000001</v>
      </c>
      <c r="DX114">
        <v>1.8828400000000001</v>
      </c>
      <c r="DY114">
        <v>1.8756200000000001</v>
      </c>
      <c r="DZ114">
        <v>1.87469</v>
      </c>
      <c r="EA114">
        <v>1.8708800000000001</v>
      </c>
      <c r="EB114">
        <v>1.8746799999999999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-0.72699999999999998</v>
      </c>
      <c r="EQ114">
        <v>8.8800000000000004E-2</v>
      </c>
      <c r="ER114">
        <v>-0.72720000000003904</v>
      </c>
      <c r="ES114">
        <v>0</v>
      </c>
      <c r="ET114">
        <v>0</v>
      </c>
      <c r="EU114">
        <v>0</v>
      </c>
      <c r="EV114">
        <v>8.8809999999996905E-2</v>
      </c>
      <c r="EW114">
        <v>0</v>
      </c>
      <c r="EX114">
        <v>0</v>
      </c>
      <c r="EY114">
        <v>0</v>
      </c>
      <c r="EZ114">
        <v>-1</v>
      </c>
      <c r="FA114">
        <v>-1</v>
      </c>
      <c r="FB114">
        <v>-1</v>
      </c>
      <c r="FC114">
        <v>-1</v>
      </c>
      <c r="FD114">
        <v>0</v>
      </c>
      <c r="FE114">
        <v>0.5</v>
      </c>
      <c r="FF114">
        <v>1.16455</v>
      </c>
      <c r="FG114">
        <v>2.5976599999999999</v>
      </c>
      <c r="FH114">
        <v>2.19604</v>
      </c>
      <c r="FI114">
        <v>2.5744600000000002</v>
      </c>
      <c r="FJ114">
        <v>2.4462899999999999</v>
      </c>
      <c r="FK114">
        <v>2.2900399999999999</v>
      </c>
      <c r="FL114">
        <v>33.065199999999997</v>
      </c>
      <c r="FM114">
        <v>24.113800000000001</v>
      </c>
      <c r="FN114">
        <v>19</v>
      </c>
      <c r="FO114">
        <v>309.28300000000002</v>
      </c>
      <c r="FP114">
        <v>287.17</v>
      </c>
      <c r="FQ114">
        <v>18.177299999999999</v>
      </c>
      <c r="FR114">
        <v>26.116199999999999</v>
      </c>
      <c r="FS114">
        <v>30</v>
      </c>
      <c r="FT114">
        <v>26.132400000000001</v>
      </c>
      <c r="FU114">
        <v>26.1295</v>
      </c>
      <c r="FV114">
        <v>23.3781</v>
      </c>
      <c r="FW114">
        <v>22.7331</v>
      </c>
      <c r="FX114">
        <v>39.076700000000002</v>
      </c>
      <c r="FY114">
        <v>18.192499999999999</v>
      </c>
      <c r="FZ114">
        <v>375</v>
      </c>
      <c r="GA114">
        <v>14.9781</v>
      </c>
      <c r="GB114">
        <v>99.796499999999995</v>
      </c>
      <c r="GC114">
        <v>99.777600000000007</v>
      </c>
    </row>
    <row r="115" spans="1:185" x14ac:dyDescent="0.2">
      <c r="A115">
        <v>100</v>
      </c>
      <c r="B115">
        <v>1771105124.0999999</v>
      </c>
      <c r="C115">
        <v>2011</v>
      </c>
      <c r="D115" t="s">
        <v>501</v>
      </c>
      <c r="E115" t="s">
        <v>502</v>
      </c>
      <c r="F115">
        <v>15</v>
      </c>
      <c r="G115">
        <v>1771105116.03333</v>
      </c>
      <c r="H115">
        <f t="shared" si="13"/>
        <v>1.158652436685162E-3</v>
      </c>
      <c r="I115">
        <v>0</v>
      </c>
      <c r="J115">
        <f t="shared" si="25"/>
        <v>8.2723365332575717E-3</v>
      </c>
      <c r="K115">
        <f t="shared" si="14"/>
        <v>0.14791975287873615</v>
      </c>
      <c r="L115">
        <f t="shared" si="15"/>
        <v>72.870440840973956</v>
      </c>
      <c r="M115">
        <f t="shared" si="16"/>
        <v>1.6053443889373145</v>
      </c>
      <c r="N115">
        <f t="shared" si="17"/>
        <v>2.2030117704937133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26162.197427242871</v>
      </c>
      <c r="T115">
        <f t="shared" si="21"/>
        <v>799.99706666666702</v>
      </c>
      <c r="U115">
        <f t="shared" si="22"/>
        <v>674.39790143862842</v>
      </c>
      <c r="V115">
        <f t="shared" si="23"/>
        <v>0.84300046780000037</v>
      </c>
      <c r="W115">
        <f t="shared" si="24"/>
        <v>0.15870115650800007</v>
      </c>
      <c r="X115">
        <v>1</v>
      </c>
      <c r="Y115">
        <v>1771105116.03333</v>
      </c>
      <c r="Z115">
        <v>374.31380000000001</v>
      </c>
      <c r="AA115">
        <v>375.04046666666699</v>
      </c>
      <c r="AB115">
        <v>16.0518133333333</v>
      </c>
      <c r="AC115">
        <v>14.6274466666667</v>
      </c>
      <c r="AD115">
        <v>375.040866666667</v>
      </c>
      <c r="AE115">
        <v>15.963013333333301</v>
      </c>
      <c r="AF115">
        <v>800.39359999999999</v>
      </c>
      <c r="AG115">
        <v>99.944513333333305</v>
      </c>
      <c r="AH115">
        <v>6.5644746666666698E-2</v>
      </c>
      <c r="AI115">
        <v>18.9842333333333</v>
      </c>
      <c r="AJ115">
        <v>999.9</v>
      </c>
      <c r="AK115">
        <v>999.9</v>
      </c>
      <c r="AL115">
        <v>0</v>
      </c>
      <c r="AM115">
        <v>0</v>
      </c>
      <c r="AN115">
        <v>4992.2666666666701</v>
      </c>
      <c r="AO115">
        <v>0</v>
      </c>
      <c r="AP115">
        <v>1.595404</v>
      </c>
      <c r="AQ115">
        <v>-0.72686569333333295</v>
      </c>
      <c r="AR115">
        <v>380.42013333333301</v>
      </c>
      <c r="AS115">
        <v>380.6078</v>
      </c>
      <c r="AT115">
        <v>1.42438116</v>
      </c>
      <c r="AU115">
        <v>375.04046666666699</v>
      </c>
      <c r="AV115">
        <v>14.6274466666667</v>
      </c>
      <c r="AW115">
        <v>1.60429133333333</v>
      </c>
      <c r="AX115">
        <v>1.46193333333333</v>
      </c>
      <c r="AY115">
        <v>13.99606</v>
      </c>
      <c r="AZ115">
        <v>12.573266666666701</v>
      </c>
      <c r="BA115">
        <v>799.99706666666702</v>
      </c>
      <c r="BB115">
        <v>0.89998460000000002</v>
      </c>
      <c r="BC115">
        <v>0</v>
      </c>
      <c r="BD115">
        <v>0.100015406666667</v>
      </c>
      <c r="BE115">
        <v>0</v>
      </c>
      <c r="BF115">
        <v>25</v>
      </c>
      <c r="BG115">
        <v>13190.9066666667</v>
      </c>
      <c r="BH115">
        <v>1771105107.0999999</v>
      </c>
      <c r="BI115" t="s">
        <v>498</v>
      </c>
      <c r="BJ115">
        <v>1771105107.0999999</v>
      </c>
      <c r="BK115">
        <v>1771105081.0999999</v>
      </c>
      <c r="BL115">
        <v>18</v>
      </c>
      <c r="BM115">
        <v>-0.40100000000000002</v>
      </c>
      <c r="BN115">
        <v>2.5999999999999999E-2</v>
      </c>
      <c r="BO115">
        <v>-0.72699999999999998</v>
      </c>
      <c r="BP115">
        <v>8.8999999999999996E-2</v>
      </c>
      <c r="BQ115">
        <v>375</v>
      </c>
      <c r="BR115">
        <v>15</v>
      </c>
      <c r="BS115">
        <v>0.16</v>
      </c>
      <c r="BT115">
        <v>0.05</v>
      </c>
      <c r="BU115">
        <v>-0.46516268</v>
      </c>
      <c r="BV115">
        <v>-4.9587154646616503</v>
      </c>
      <c r="BW115">
        <v>0.53044952637874798</v>
      </c>
      <c r="BX115">
        <v>0</v>
      </c>
      <c r="BY115">
        <v>0</v>
      </c>
      <c r="BZ115">
        <v>0</v>
      </c>
      <c r="CA115">
        <v>0</v>
      </c>
      <c r="CB115">
        <v>-1</v>
      </c>
      <c r="CC115">
        <v>1.0684387950000001</v>
      </c>
      <c r="CD115">
        <v>8.04307841052632</v>
      </c>
      <c r="CE115">
        <v>0.819783417645082</v>
      </c>
      <c r="CF115">
        <v>0</v>
      </c>
      <c r="CG115">
        <v>0</v>
      </c>
      <c r="CH115">
        <v>2</v>
      </c>
      <c r="CI115" t="s">
        <v>290</v>
      </c>
      <c r="CJ115">
        <v>3.5326</v>
      </c>
      <c r="CK115">
        <v>2.7013699999999998</v>
      </c>
      <c r="CL115">
        <v>9.1025400000000006E-2</v>
      </c>
      <c r="CM115">
        <v>8.9940400000000004E-2</v>
      </c>
      <c r="CN115">
        <v>9.0124399999999993E-2</v>
      </c>
      <c r="CO115">
        <v>8.1016000000000005E-2</v>
      </c>
      <c r="CP115">
        <v>31841.8</v>
      </c>
      <c r="CQ115">
        <v>28028.3</v>
      </c>
      <c r="CR115">
        <v>32424.400000000001</v>
      </c>
      <c r="CS115">
        <v>30728.1</v>
      </c>
      <c r="CT115">
        <v>39956</v>
      </c>
      <c r="CU115">
        <v>39722.9</v>
      </c>
      <c r="CV115">
        <v>47365.599999999999</v>
      </c>
      <c r="CW115">
        <v>46876.6</v>
      </c>
      <c r="CX115">
        <v>2.6110600000000002</v>
      </c>
      <c r="CY115">
        <v>2.1195400000000002</v>
      </c>
      <c r="CZ115">
        <v>0</v>
      </c>
      <c r="DA115">
        <v>0</v>
      </c>
      <c r="DB115">
        <v>999.9</v>
      </c>
      <c r="DC115">
        <v>999.9</v>
      </c>
      <c r="DD115">
        <v>45.69</v>
      </c>
      <c r="DE115">
        <v>28.812000000000001</v>
      </c>
      <c r="DF115">
        <v>18.188300000000002</v>
      </c>
      <c r="DG115">
        <v>30.348299999999998</v>
      </c>
      <c r="DH115">
        <v>16.818899999999999</v>
      </c>
      <c r="DI115">
        <v>2</v>
      </c>
      <c r="DJ115">
        <v>-6.9977600000000001E-2</v>
      </c>
      <c r="DK115">
        <v>2.2204700000000002</v>
      </c>
      <c r="DL115">
        <v>20.196100000000001</v>
      </c>
      <c r="DM115">
        <v>5.2498800000000001</v>
      </c>
      <c r="DN115">
        <v>12.033899999999999</v>
      </c>
      <c r="DO115">
        <v>4.9676</v>
      </c>
      <c r="DP115">
        <v>3.2909999999999999</v>
      </c>
      <c r="DQ115">
        <v>608.20000000000005</v>
      </c>
      <c r="DR115">
        <v>9999</v>
      </c>
      <c r="DS115">
        <v>9999</v>
      </c>
      <c r="DT115">
        <v>9999</v>
      </c>
      <c r="DU115">
        <v>1.8711500000000001</v>
      </c>
      <c r="DV115">
        <v>1.87619</v>
      </c>
      <c r="DW115">
        <v>1.8763700000000001</v>
      </c>
      <c r="DX115">
        <v>1.88283</v>
      </c>
      <c r="DY115">
        <v>1.87561</v>
      </c>
      <c r="DZ115">
        <v>1.8746799999999999</v>
      </c>
      <c r="EA115">
        <v>1.8708800000000001</v>
      </c>
      <c r="EB115">
        <v>1.8746799999999999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-0.72799999999999998</v>
      </c>
      <c r="EQ115">
        <v>8.8800000000000004E-2</v>
      </c>
      <c r="ER115">
        <v>-0.72720000000003904</v>
      </c>
      <c r="ES115">
        <v>0</v>
      </c>
      <c r="ET115">
        <v>0</v>
      </c>
      <c r="EU115">
        <v>0</v>
      </c>
      <c r="EV115">
        <v>8.8809999999996905E-2</v>
      </c>
      <c r="EW115">
        <v>0</v>
      </c>
      <c r="EX115">
        <v>0</v>
      </c>
      <c r="EY115">
        <v>0</v>
      </c>
      <c r="EZ115">
        <v>-1</v>
      </c>
      <c r="FA115">
        <v>-1</v>
      </c>
      <c r="FB115">
        <v>-1</v>
      </c>
      <c r="FC115">
        <v>-1</v>
      </c>
      <c r="FD115">
        <v>0.3</v>
      </c>
      <c r="FE115">
        <v>0.7</v>
      </c>
      <c r="FF115">
        <v>1.16455</v>
      </c>
      <c r="FG115">
        <v>2.6037599999999999</v>
      </c>
      <c r="FH115">
        <v>2.19604</v>
      </c>
      <c r="FI115">
        <v>2.5756800000000002</v>
      </c>
      <c r="FJ115">
        <v>2.4462899999999999</v>
      </c>
      <c r="FK115">
        <v>2.32544</v>
      </c>
      <c r="FL115">
        <v>33.065199999999997</v>
      </c>
      <c r="FM115">
        <v>24.14</v>
      </c>
      <c r="FN115">
        <v>19</v>
      </c>
      <c r="FO115">
        <v>864.14400000000001</v>
      </c>
      <c r="FP115">
        <v>574.96199999999999</v>
      </c>
      <c r="FQ115">
        <v>18.2333</v>
      </c>
      <c r="FR115">
        <v>26.1158</v>
      </c>
      <c r="FS115">
        <v>30.0002</v>
      </c>
      <c r="FT115">
        <v>26.1143</v>
      </c>
      <c r="FU115">
        <v>26.111899999999999</v>
      </c>
      <c r="FV115">
        <v>23.365400000000001</v>
      </c>
      <c r="FW115">
        <v>27.075600000000001</v>
      </c>
      <c r="FX115">
        <v>39.076700000000002</v>
      </c>
      <c r="FY115">
        <v>18.23</v>
      </c>
      <c r="FZ115">
        <v>375</v>
      </c>
      <c r="GA115">
        <v>13.979699999999999</v>
      </c>
      <c r="GB115">
        <v>99.795400000000001</v>
      </c>
      <c r="GC115">
        <v>99.7774</v>
      </c>
    </row>
    <row r="116" spans="1:185" x14ac:dyDescent="0.2">
      <c r="A116">
        <v>101</v>
      </c>
      <c r="B116">
        <v>1771105139.0999999</v>
      </c>
      <c r="C116">
        <v>2026</v>
      </c>
      <c r="D116" t="s">
        <v>503</v>
      </c>
      <c r="E116" t="s">
        <v>504</v>
      </c>
      <c r="F116">
        <v>15</v>
      </c>
      <c r="G116">
        <v>1771105131.03333</v>
      </c>
      <c r="H116">
        <f t="shared" si="13"/>
        <v>1.6226090993190548E-3</v>
      </c>
      <c r="I116">
        <v>0</v>
      </c>
      <c r="J116">
        <f t="shared" si="25"/>
        <v>3.9188839880903202E-3</v>
      </c>
      <c r="K116">
        <f t="shared" si="14"/>
        <v>7.0074561008035219E-2</v>
      </c>
      <c r="L116">
        <f t="shared" si="15"/>
        <v>72.709875069008575</v>
      </c>
      <c r="M116">
        <f t="shared" si="16"/>
        <v>1.6045930423683692</v>
      </c>
      <c r="N116">
        <f t="shared" si="17"/>
        <v>2.2068433494700108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26191.927312447442</v>
      </c>
      <c r="T116">
        <f t="shared" si="21"/>
        <v>799.99980000000005</v>
      </c>
      <c r="U116">
        <f t="shared" si="22"/>
        <v>674.40024899989612</v>
      </c>
      <c r="V116">
        <f t="shared" si="23"/>
        <v>0.84300052200000053</v>
      </c>
      <c r="W116">
        <f t="shared" si="24"/>
        <v>0.15870143492000013</v>
      </c>
      <c r="X116">
        <v>1</v>
      </c>
      <c r="Y116">
        <v>1771105131.03333</v>
      </c>
      <c r="Z116">
        <v>374.18239999999997</v>
      </c>
      <c r="AA116">
        <v>375.02893333333299</v>
      </c>
      <c r="AB116">
        <v>16.0444666666667</v>
      </c>
      <c r="AC116">
        <v>14.0487466666667</v>
      </c>
      <c r="AD116">
        <v>374.90973333333301</v>
      </c>
      <c r="AE116">
        <v>15.9556466666667</v>
      </c>
      <c r="AF116">
        <v>799.99959999999999</v>
      </c>
      <c r="AG116">
        <v>99.945679999999996</v>
      </c>
      <c r="AH116">
        <v>6.3443126666666697E-2</v>
      </c>
      <c r="AI116">
        <v>19.012080000000001</v>
      </c>
      <c r="AJ116">
        <v>999.9</v>
      </c>
      <c r="AK116">
        <v>999.9</v>
      </c>
      <c r="AL116">
        <v>0</v>
      </c>
      <c r="AM116">
        <v>0</v>
      </c>
      <c r="AN116">
        <v>4997.5333333333301</v>
      </c>
      <c r="AO116">
        <v>0</v>
      </c>
      <c r="AP116">
        <v>1.58087</v>
      </c>
      <c r="AQ116">
        <v>-0.846380666666667</v>
      </c>
      <c r="AR116">
        <v>380.28399999999999</v>
      </c>
      <c r="AS116">
        <v>380.37273333333297</v>
      </c>
      <c r="AT116">
        <v>1.9957020000000001</v>
      </c>
      <c r="AU116">
        <v>375.02893333333299</v>
      </c>
      <c r="AV116">
        <v>14.0487466666667</v>
      </c>
      <c r="AW116">
        <v>1.60357333333333</v>
      </c>
      <c r="AX116">
        <v>1.40411333333333</v>
      </c>
      <c r="AY116">
        <v>13.993033333333299</v>
      </c>
      <c r="AZ116">
        <v>11.9617466666667</v>
      </c>
      <c r="BA116">
        <v>799.99980000000005</v>
      </c>
      <c r="BB116">
        <v>0.89998066666666698</v>
      </c>
      <c r="BC116">
        <v>0</v>
      </c>
      <c r="BD116">
        <v>0.10001926666666699</v>
      </c>
      <c r="BE116">
        <v>0</v>
      </c>
      <c r="BF116">
        <v>25</v>
      </c>
      <c r="BG116">
        <v>13190.94</v>
      </c>
      <c r="BH116">
        <v>1771105107.0999999</v>
      </c>
      <c r="BI116" t="s">
        <v>498</v>
      </c>
      <c r="BJ116">
        <v>1771105107.0999999</v>
      </c>
      <c r="BK116">
        <v>1771105081.0999999</v>
      </c>
      <c r="BL116">
        <v>18</v>
      </c>
      <c r="BM116">
        <v>-0.40100000000000002</v>
      </c>
      <c r="BN116">
        <v>2.5999999999999999E-2</v>
      </c>
      <c r="BO116">
        <v>-0.72699999999999998</v>
      </c>
      <c r="BP116">
        <v>8.8999999999999996E-2</v>
      </c>
      <c r="BQ116">
        <v>375</v>
      </c>
      <c r="BR116">
        <v>15</v>
      </c>
      <c r="BS116">
        <v>0.16</v>
      </c>
      <c r="BT116">
        <v>0.05</v>
      </c>
      <c r="BU116">
        <v>-0.84677884999999997</v>
      </c>
      <c r="BV116">
        <v>0.222227323308272</v>
      </c>
      <c r="BW116">
        <v>4.3000971782362098E-2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1.9618420000000001</v>
      </c>
      <c r="CD116">
        <v>0.56554466165413497</v>
      </c>
      <c r="CE116">
        <v>5.7313416108272598E-2</v>
      </c>
      <c r="CF116">
        <v>0</v>
      </c>
      <c r="CG116">
        <v>1</v>
      </c>
      <c r="CH116">
        <v>2</v>
      </c>
      <c r="CI116" t="s">
        <v>299</v>
      </c>
      <c r="CJ116">
        <v>3.53247</v>
      </c>
      <c r="CK116">
        <v>2.7012900000000002</v>
      </c>
      <c r="CL116">
        <v>9.0972300000000006E-2</v>
      </c>
      <c r="CM116">
        <v>8.9932899999999996E-2</v>
      </c>
      <c r="CN116">
        <v>8.9009400000000002E-2</v>
      </c>
      <c r="CO116">
        <v>7.9526299999999994E-2</v>
      </c>
      <c r="CP116">
        <v>31841.4</v>
      </c>
      <c r="CQ116">
        <v>28027.5</v>
      </c>
      <c r="CR116">
        <v>32422.2</v>
      </c>
      <c r="CS116">
        <v>30727</v>
      </c>
      <c r="CT116">
        <v>40004.1</v>
      </c>
      <c r="CU116">
        <v>39787.800000000003</v>
      </c>
      <c r="CV116">
        <v>47362.9</v>
      </c>
      <c r="CW116">
        <v>46875.3</v>
      </c>
      <c r="CX116">
        <v>2.6130599999999999</v>
      </c>
      <c r="CY116">
        <v>2.1197400000000002</v>
      </c>
      <c r="CZ116">
        <v>0</v>
      </c>
      <c r="DA116">
        <v>0</v>
      </c>
      <c r="DB116">
        <v>999.9</v>
      </c>
      <c r="DC116">
        <v>999.9</v>
      </c>
      <c r="DD116">
        <v>45.665999999999997</v>
      </c>
      <c r="DE116">
        <v>28.812000000000001</v>
      </c>
      <c r="DF116">
        <v>18.175699999999999</v>
      </c>
      <c r="DG116">
        <v>30.5883</v>
      </c>
      <c r="DH116">
        <v>17.023199999999999</v>
      </c>
      <c r="DI116">
        <v>2</v>
      </c>
      <c r="DJ116">
        <v>-6.4636200000000005E-2</v>
      </c>
      <c r="DK116">
        <v>3.2572999999999999</v>
      </c>
      <c r="DL116">
        <v>20.174600000000002</v>
      </c>
      <c r="DM116">
        <v>5.2484400000000004</v>
      </c>
      <c r="DN116">
        <v>12.033899999999999</v>
      </c>
      <c r="DO116">
        <v>4.96732</v>
      </c>
      <c r="DP116">
        <v>3.2907199999999999</v>
      </c>
      <c r="DQ116">
        <v>608.20000000000005</v>
      </c>
      <c r="DR116">
        <v>9999</v>
      </c>
      <c r="DS116">
        <v>9999</v>
      </c>
      <c r="DT116">
        <v>9999</v>
      </c>
      <c r="DU116">
        <v>1.8711500000000001</v>
      </c>
      <c r="DV116">
        <v>1.87616</v>
      </c>
      <c r="DW116">
        <v>1.87635</v>
      </c>
      <c r="DX116">
        <v>1.8828100000000001</v>
      </c>
      <c r="DY116">
        <v>1.87561</v>
      </c>
      <c r="DZ116">
        <v>1.8746799999999999</v>
      </c>
      <c r="EA116">
        <v>1.8708800000000001</v>
      </c>
      <c r="EB116">
        <v>1.8746700000000001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-0.72699999999999998</v>
      </c>
      <c r="EQ116">
        <v>8.8800000000000004E-2</v>
      </c>
      <c r="ER116">
        <v>-0.72720000000003904</v>
      </c>
      <c r="ES116">
        <v>0</v>
      </c>
      <c r="ET116">
        <v>0</v>
      </c>
      <c r="EU116">
        <v>0</v>
      </c>
      <c r="EV116">
        <v>8.8809999999996905E-2</v>
      </c>
      <c r="EW116">
        <v>0</v>
      </c>
      <c r="EX116">
        <v>0</v>
      </c>
      <c r="EY116">
        <v>0</v>
      </c>
      <c r="EZ116">
        <v>-1</v>
      </c>
      <c r="FA116">
        <v>-1</v>
      </c>
      <c r="FB116">
        <v>-1</v>
      </c>
      <c r="FC116">
        <v>-1</v>
      </c>
      <c r="FD116">
        <v>0.5</v>
      </c>
      <c r="FE116">
        <v>1</v>
      </c>
      <c r="FF116">
        <v>1.16333</v>
      </c>
      <c r="FG116">
        <v>2.6061999999999999</v>
      </c>
      <c r="FH116">
        <v>2.19604</v>
      </c>
      <c r="FI116">
        <v>2.5756800000000002</v>
      </c>
      <c r="FJ116">
        <v>2.4462899999999999</v>
      </c>
      <c r="FK116">
        <v>2.2473100000000001</v>
      </c>
      <c r="FL116">
        <v>33.065199999999997</v>
      </c>
      <c r="FM116">
        <v>24.122499999999999</v>
      </c>
      <c r="FN116">
        <v>19</v>
      </c>
      <c r="FO116">
        <v>865.94500000000005</v>
      </c>
      <c r="FP116">
        <v>575.09199999999998</v>
      </c>
      <c r="FQ116">
        <v>17.717099999999999</v>
      </c>
      <c r="FR116">
        <v>26.112200000000001</v>
      </c>
      <c r="FS116">
        <v>30.000399999999999</v>
      </c>
      <c r="FT116">
        <v>26.110399999999998</v>
      </c>
      <c r="FU116">
        <v>26.1097</v>
      </c>
      <c r="FV116">
        <v>23.3614</v>
      </c>
      <c r="FW116">
        <v>28.2682</v>
      </c>
      <c r="FX116">
        <v>38.706699999999998</v>
      </c>
      <c r="FY116">
        <v>17.736599999999999</v>
      </c>
      <c r="FZ116">
        <v>375</v>
      </c>
      <c r="GA116">
        <v>13.751799999999999</v>
      </c>
      <c r="GB116">
        <v>99.789299999999997</v>
      </c>
      <c r="GC116">
        <v>99.774299999999997</v>
      </c>
    </row>
    <row r="117" spans="1:185" x14ac:dyDescent="0.2">
      <c r="A117">
        <v>102</v>
      </c>
      <c r="B117">
        <v>1771105154.0999999</v>
      </c>
      <c r="C117">
        <v>2041</v>
      </c>
      <c r="D117" t="s">
        <v>505</v>
      </c>
      <c r="E117" t="s">
        <v>506</v>
      </c>
      <c r="F117">
        <v>15</v>
      </c>
      <c r="G117">
        <v>1771105146.03333</v>
      </c>
      <c r="H117">
        <f t="shared" si="13"/>
        <v>1.6419289032623516E-3</v>
      </c>
      <c r="I117">
        <v>0</v>
      </c>
      <c r="J117">
        <f t="shared" si="25"/>
        <v>6.8086164660032689E-3</v>
      </c>
      <c r="K117">
        <f t="shared" si="14"/>
        <v>0.12174660219011897</v>
      </c>
      <c r="L117">
        <f t="shared" si="15"/>
        <v>71.683909333095897</v>
      </c>
      <c r="M117">
        <f t="shared" si="16"/>
        <v>1.5804978582062124</v>
      </c>
      <c r="N117">
        <f t="shared" si="17"/>
        <v>2.2048153803415809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26223.47000832656</v>
      </c>
      <c r="T117">
        <f t="shared" si="21"/>
        <v>799.99993333333305</v>
      </c>
      <c r="U117">
        <f t="shared" si="22"/>
        <v>674.40045579995717</v>
      </c>
      <c r="V117">
        <f t="shared" si="23"/>
        <v>0.84300064000000008</v>
      </c>
      <c r="W117">
        <f t="shared" si="24"/>
        <v>0.15870159999999997</v>
      </c>
      <c r="X117">
        <v>1</v>
      </c>
      <c r="Y117">
        <v>1771105146.03333</v>
      </c>
      <c r="Z117">
        <v>374.112666666667</v>
      </c>
      <c r="AA117">
        <v>375.03266666666701</v>
      </c>
      <c r="AB117">
        <v>15.80358</v>
      </c>
      <c r="AC117">
        <v>13.78364</v>
      </c>
      <c r="AD117">
        <v>374.83986666666698</v>
      </c>
      <c r="AE117">
        <v>15.7147666666667</v>
      </c>
      <c r="AF117">
        <v>800.01413333333301</v>
      </c>
      <c r="AG117">
        <v>99.94538</v>
      </c>
      <c r="AH117">
        <v>6.3469780000000003E-2</v>
      </c>
      <c r="AI117">
        <v>18.997346666666701</v>
      </c>
      <c r="AJ117">
        <v>999.9</v>
      </c>
      <c r="AK117">
        <v>999.9</v>
      </c>
      <c r="AL117">
        <v>0</v>
      </c>
      <c r="AM117">
        <v>0</v>
      </c>
      <c r="AN117">
        <v>5002.5333333333301</v>
      </c>
      <c r="AO117">
        <v>0</v>
      </c>
      <c r="AP117">
        <v>1.58463666666667</v>
      </c>
      <c r="AQ117">
        <v>-0.91995420000000006</v>
      </c>
      <c r="AR117">
        <v>380.11986666666701</v>
      </c>
      <c r="AS117">
        <v>380.27426666666702</v>
      </c>
      <c r="AT117">
        <v>2.0199379999999998</v>
      </c>
      <c r="AU117">
        <v>375.03266666666701</v>
      </c>
      <c r="AV117">
        <v>13.78364</v>
      </c>
      <c r="AW117">
        <v>1.579494</v>
      </c>
      <c r="AX117">
        <v>1.37761133333333</v>
      </c>
      <c r="AY117">
        <v>13.7600933333333</v>
      </c>
      <c r="AZ117">
        <v>11.673360000000001</v>
      </c>
      <c r="BA117">
        <v>799.99993333333305</v>
      </c>
      <c r="BB117">
        <v>0.89997866666666704</v>
      </c>
      <c r="BC117">
        <v>0</v>
      </c>
      <c r="BD117">
        <v>0.100021333333333</v>
      </c>
      <c r="BE117">
        <v>0</v>
      </c>
      <c r="BF117">
        <v>25</v>
      </c>
      <c r="BG117">
        <v>13190.94</v>
      </c>
      <c r="BH117">
        <v>1771105107.0999999</v>
      </c>
      <c r="BI117" t="s">
        <v>498</v>
      </c>
      <c r="BJ117">
        <v>1771105107.0999999</v>
      </c>
      <c r="BK117">
        <v>1771105081.0999999</v>
      </c>
      <c r="BL117">
        <v>18</v>
      </c>
      <c r="BM117">
        <v>-0.40100000000000002</v>
      </c>
      <c r="BN117">
        <v>2.5999999999999999E-2</v>
      </c>
      <c r="BO117">
        <v>-0.72699999999999998</v>
      </c>
      <c r="BP117">
        <v>8.8999999999999996E-2</v>
      </c>
      <c r="BQ117">
        <v>375</v>
      </c>
      <c r="BR117">
        <v>15</v>
      </c>
      <c r="BS117">
        <v>0.16</v>
      </c>
      <c r="BT117">
        <v>0.05</v>
      </c>
      <c r="BU117">
        <v>-0.90879314285714297</v>
      </c>
      <c r="BV117">
        <v>0.14717088311688301</v>
      </c>
      <c r="BW117">
        <v>0.12006939470723001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2.0222152380952401</v>
      </c>
      <c r="CD117">
        <v>-9.5620519480518307E-2</v>
      </c>
      <c r="CE117">
        <v>2.37851377402836E-2</v>
      </c>
      <c r="CF117">
        <v>1</v>
      </c>
      <c r="CG117">
        <v>2</v>
      </c>
      <c r="CH117">
        <v>2</v>
      </c>
      <c r="CI117" t="s">
        <v>322</v>
      </c>
      <c r="CJ117">
        <v>3.5325600000000001</v>
      </c>
      <c r="CK117">
        <v>2.7015199999999999</v>
      </c>
      <c r="CL117">
        <v>9.1010800000000003E-2</v>
      </c>
      <c r="CM117">
        <v>8.9926000000000006E-2</v>
      </c>
      <c r="CN117">
        <v>8.8173100000000004E-2</v>
      </c>
      <c r="CO117">
        <v>7.8925300000000004E-2</v>
      </c>
      <c r="CP117">
        <v>31843</v>
      </c>
      <c r="CQ117">
        <v>28028.799999999999</v>
      </c>
      <c r="CR117">
        <v>32425.200000000001</v>
      </c>
      <c r="CS117">
        <v>30728.2</v>
      </c>
      <c r="CT117">
        <v>40045.1</v>
      </c>
      <c r="CU117">
        <v>39815.599999999999</v>
      </c>
      <c r="CV117">
        <v>47366.7</v>
      </c>
      <c r="CW117">
        <v>46876.7</v>
      </c>
      <c r="CX117">
        <v>2.6138400000000002</v>
      </c>
      <c r="CY117">
        <v>2.1196600000000001</v>
      </c>
      <c r="CZ117">
        <v>0</v>
      </c>
      <c r="DA117">
        <v>0</v>
      </c>
      <c r="DB117">
        <v>999.9</v>
      </c>
      <c r="DC117">
        <v>999.9</v>
      </c>
      <c r="DD117">
        <v>45.567999999999998</v>
      </c>
      <c r="DE117">
        <v>28.812000000000001</v>
      </c>
      <c r="DF117">
        <v>18.137599999999999</v>
      </c>
      <c r="DG117">
        <v>30.5883</v>
      </c>
      <c r="DH117">
        <v>16.9191</v>
      </c>
      <c r="DI117">
        <v>2</v>
      </c>
      <c r="DJ117">
        <v>-6.80732E-2</v>
      </c>
      <c r="DK117">
        <v>2.7608600000000001</v>
      </c>
      <c r="DL117">
        <v>20.186800000000002</v>
      </c>
      <c r="DM117">
        <v>5.2510700000000003</v>
      </c>
      <c r="DN117">
        <v>12.033899999999999</v>
      </c>
      <c r="DO117">
        <v>4.9676799999999997</v>
      </c>
      <c r="DP117">
        <v>3.2910400000000002</v>
      </c>
      <c r="DQ117">
        <v>608.20000000000005</v>
      </c>
      <c r="DR117">
        <v>9999</v>
      </c>
      <c r="DS117">
        <v>9999</v>
      </c>
      <c r="DT117">
        <v>9999</v>
      </c>
      <c r="DU117">
        <v>1.8711500000000001</v>
      </c>
      <c r="DV117">
        <v>1.87618</v>
      </c>
      <c r="DW117">
        <v>1.8763700000000001</v>
      </c>
      <c r="DX117">
        <v>1.88283</v>
      </c>
      <c r="DY117">
        <v>1.87561</v>
      </c>
      <c r="DZ117">
        <v>1.8746799999999999</v>
      </c>
      <c r="EA117">
        <v>1.87087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-0.72799999999999998</v>
      </c>
      <c r="EQ117">
        <v>8.8800000000000004E-2</v>
      </c>
      <c r="ER117">
        <v>-0.72720000000003904</v>
      </c>
      <c r="ES117">
        <v>0</v>
      </c>
      <c r="ET117">
        <v>0</v>
      </c>
      <c r="EU117">
        <v>0</v>
      </c>
      <c r="EV117">
        <v>8.8809999999996905E-2</v>
      </c>
      <c r="EW117">
        <v>0</v>
      </c>
      <c r="EX117">
        <v>0</v>
      </c>
      <c r="EY117">
        <v>0</v>
      </c>
      <c r="EZ117">
        <v>-1</v>
      </c>
      <c r="FA117">
        <v>-1</v>
      </c>
      <c r="FB117">
        <v>-1</v>
      </c>
      <c r="FC117">
        <v>-1</v>
      </c>
      <c r="FD117">
        <v>0.8</v>
      </c>
      <c r="FE117">
        <v>1.2</v>
      </c>
      <c r="FF117">
        <v>1.16333</v>
      </c>
      <c r="FG117">
        <v>2.6061999999999999</v>
      </c>
      <c r="FH117">
        <v>2.19604</v>
      </c>
      <c r="FI117">
        <v>2.5756800000000002</v>
      </c>
      <c r="FJ117">
        <v>2.4462899999999999</v>
      </c>
      <c r="FK117">
        <v>2.2973599999999998</v>
      </c>
      <c r="FL117">
        <v>33.065199999999997</v>
      </c>
      <c r="FM117">
        <v>24.14</v>
      </c>
      <c r="FN117">
        <v>19</v>
      </c>
      <c r="FO117">
        <v>866.65200000000004</v>
      </c>
      <c r="FP117">
        <v>575.03</v>
      </c>
      <c r="FQ117">
        <v>17.708100000000002</v>
      </c>
      <c r="FR117">
        <v>26.1096</v>
      </c>
      <c r="FS117">
        <v>29.999400000000001</v>
      </c>
      <c r="FT117">
        <v>26.109000000000002</v>
      </c>
      <c r="FU117">
        <v>26.1097</v>
      </c>
      <c r="FV117">
        <v>23.359200000000001</v>
      </c>
      <c r="FW117">
        <v>28.544499999999999</v>
      </c>
      <c r="FX117">
        <v>38.706699999999998</v>
      </c>
      <c r="FY117">
        <v>17.7332</v>
      </c>
      <c r="FZ117">
        <v>375</v>
      </c>
      <c r="GA117">
        <v>13.638199999999999</v>
      </c>
      <c r="GB117">
        <v>99.797700000000006</v>
      </c>
      <c r="GC117">
        <v>99.777600000000007</v>
      </c>
    </row>
    <row r="118" spans="1:185" x14ac:dyDescent="0.2">
      <c r="A118">
        <v>103</v>
      </c>
      <c r="B118">
        <v>1771105169.0999999</v>
      </c>
      <c r="C118">
        <v>2056</v>
      </c>
      <c r="D118" t="s">
        <v>507</v>
      </c>
      <c r="E118" t="s">
        <v>508</v>
      </c>
      <c r="F118">
        <v>15</v>
      </c>
      <c r="G118">
        <v>1771105161.03333</v>
      </c>
      <c r="H118">
        <f t="shared" si="13"/>
        <v>1.6016427428190145E-3</v>
      </c>
      <c r="I118">
        <v>0</v>
      </c>
      <c r="J118">
        <f t="shared" si="25"/>
        <v>6.0554153923321405E-3</v>
      </c>
      <c r="K118">
        <f t="shared" si="14"/>
        <v>0.10827842228260275</v>
      </c>
      <c r="L118">
        <f t="shared" si="15"/>
        <v>71.047907450410918</v>
      </c>
      <c r="M118">
        <f t="shared" si="16"/>
        <v>1.5650485456660912</v>
      </c>
      <c r="N118">
        <f t="shared" si="17"/>
        <v>2.202807375795611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26203.183588001255</v>
      </c>
      <c r="T118">
        <f t="shared" si="21"/>
        <v>799.999866666667</v>
      </c>
      <c r="U118">
        <f t="shared" si="22"/>
        <v>674.40032759992687</v>
      </c>
      <c r="V118">
        <f t="shared" si="23"/>
        <v>0.84300054999999996</v>
      </c>
      <c r="W118">
        <f t="shared" si="24"/>
        <v>0.15870137499999998</v>
      </c>
      <c r="X118">
        <v>1</v>
      </c>
      <c r="Y118">
        <v>1771105161.03333</v>
      </c>
      <c r="Z118">
        <v>374.11366666666697</v>
      </c>
      <c r="AA118">
        <v>374.99799999999999</v>
      </c>
      <c r="AB118">
        <v>15.649233333333299</v>
      </c>
      <c r="AC118">
        <v>13.6785333333333</v>
      </c>
      <c r="AD118">
        <v>374.84086666666701</v>
      </c>
      <c r="AE118">
        <v>15.5604266666667</v>
      </c>
      <c r="AF118">
        <v>800.00926666666703</v>
      </c>
      <c r="AG118">
        <v>99.944673333333299</v>
      </c>
      <c r="AH118">
        <v>6.3327846666666701E-2</v>
      </c>
      <c r="AI118">
        <v>18.982746666666699</v>
      </c>
      <c r="AJ118">
        <v>999.9</v>
      </c>
      <c r="AK118">
        <v>999.9</v>
      </c>
      <c r="AL118">
        <v>0</v>
      </c>
      <c r="AM118">
        <v>0</v>
      </c>
      <c r="AN118">
        <v>4999</v>
      </c>
      <c r="AO118">
        <v>0</v>
      </c>
      <c r="AP118">
        <v>1.581548</v>
      </c>
      <c r="AQ118">
        <v>-0.88420213333333397</v>
      </c>
      <c r="AR118">
        <v>380.061266666667</v>
      </c>
      <c r="AS118">
        <v>380.198466666667</v>
      </c>
      <c r="AT118">
        <v>1.97070733333333</v>
      </c>
      <c r="AU118">
        <v>374.99799999999999</v>
      </c>
      <c r="AV118">
        <v>13.6785333333333</v>
      </c>
      <c r="AW118">
        <v>1.5640579999999999</v>
      </c>
      <c r="AX118">
        <v>1.36709666666667</v>
      </c>
      <c r="AY118">
        <v>13.60914</v>
      </c>
      <c r="AZ118">
        <v>11.557460000000001</v>
      </c>
      <c r="BA118">
        <v>799.999866666667</v>
      </c>
      <c r="BB118">
        <v>0.89998166666666701</v>
      </c>
      <c r="BC118">
        <v>0</v>
      </c>
      <c r="BD118">
        <v>0.100018333333333</v>
      </c>
      <c r="BE118">
        <v>0</v>
      </c>
      <c r="BF118">
        <v>25</v>
      </c>
      <c r="BG118">
        <v>13190.94</v>
      </c>
      <c r="BH118">
        <v>1771105107.0999999</v>
      </c>
      <c r="BI118" t="s">
        <v>498</v>
      </c>
      <c r="BJ118">
        <v>1771105107.0999999</v>
      </c>
      <c r="BK118">
        <v>1771105081.0999999</v>
      </c>
      <c r="BL118">
        <v>18</v>
      </c>
      <c r="BM118">
        <v>-0.40100000000000002</v>
      </c>
      <c r="BN118">
        <v>2.5999999999999999E-2</v>
      </c>
      <c r="BO118">
        <v>-0.72699999999999998</v>
      </c>
      <c r="BP118">
        <v>8.8999999999999996E-2</v>
      </c>
      <c r="BQ118">
        <v>375</v>
      </c>
      <c r="BR118">
        <v>15</v>
      </c>
      <c r="BS118">
        <v>0.16</v>
      </c>
      <c r="BT118">
        <v>0.05</v>
      </c>
      <c r="BU118">
        <v>-0.87319340000000001</v>
      </c>
      <c r="BV118">
        <v>-0.31454535338345802</v>
      </c>
      <c r="BW118">
        <v>3.4057497069514699E-2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1.9763415</v>
      </c>
      <c r="CD118">
        <v>-5.6157744360900597E-2</v>
      </c>
      <c r="CE118">
        <v>1.1561906968575701E-2</v>
      </c>
      <c r="CF118">
        <v>1</v>
      </c>
      <c r="CG118">
        <v>2</v>
      </c>
      <c r="CH118">
        <v>2</v>
      </c>
      <c r="CI118" t="s">
        <v>322</v>
      </c>
      <c r="CJ118">
        <v>3.5325600000000001</v>
      </c>
      <c r="CK118">
        <v>2.7012399999999999</v>
      </c>
      <c r="CL118">
        <v>9.0997999999999996E-2</v>
      </c>
      <c r="CM118">
        <v>8.9916300000000005E-2</v>
      </c>
      <c r="CN118">
        <v>8.7705599999999995E-2</v>
      </c>
      <c r="CO118">
        <v>7.8546099999999994E-2</v>
      </c>
      <c r="CP118">
        <v>31843.9</v>
      </c>
      <c r="CQ118">
        <v>28029.8</v>
      </c>
      <c r="CR118">
        <v>32425.599999999999</v>
      </c>
      <c r="CS118">
        <v>30729</v>
      </c>
      <c r="CT118">
        <v>40066.800000000003</v>
      </c>
      <c r="CU118">
        <v>39833.599999999999</v>
      </c>
      <c r="CV118">
        <v>47367.3</v>
      </c>
      <c r="CW118">
        <v>46878.1</v>
      </c>
      <c r="CX118">
        <v>2.6140599999999998</v>
      </c>
      <c r="CY118">
        <v>2.1196600000000001</v>
      </c>
      <c r="CZ118">
        <v>0</v>
      </c>
      <c r="DA118">
        <v>0</v>
      </c>
      <c r="DB118">
        <v>999.9</v>
      </c>
      <c r="DC118">
        <v>999.9</v>
      </c>
      <c r="DD118">
        <v>45.543999999999997</v>
      </c>
      <c r="DE118">
        <v>28.821999999999999</v>
      </c>
      <c r="DF118">
        <v>18.1389</v>
      </c>
      <c r="DG118">
        <v>30.5883</v>
      </c>
      <c r="DH118">
        <v>16.935099999999998</v>
      </c>
      <c r="DI118">
        <v>2</v>
      </c>
      <c r="DJ118">
        <v>-6.8922800000000006E-2</v>
      </c>
      <c r="DK118">
        <v>2.68927</v>
      </c>
      <c r="DL118">
        <v>20.188099999999999</v>
      </c>
      <c r="DM118">
        <v>5.2509499999999996</v>
      </c>
      <c r="DN118">
        <v>12.033899999999999</v>
      </c>
      <c r="DO118">
        <v>4.9676</v>
      </c>
      <c r="DP118">
        <v>3.2909999999999999</v>
      </c>
      <c r="DQ118">
        <v>608.20000000000005</v>
      </c>
      <c r="DR118">
        <v>9999</v>
      </c>
      <c r="DS118">
        <v>9999</v>
      </c>
      <c r="DT118">
        <v>9999</v>
      </c>
      <c r="DU118">
        <v>1.8711800000000001</v>
      </c>
      <c r="DV118">
        <v>1.8761699999999999</v>
      </c>
      <c r="DW118">
        <v>1.87635</v>
      </c>
      <c r="DX118">
        <v>1.8828199999999999</v>
      </c>
      <c r="DY118">
        <v>1.87561</v>
      </c>
      <c r="DZ118">
        <v>1.8746700000000001</v>
      </c>
      <c r="EA118">
        <v>1.8708800000000001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-0.72799999999999998</v>
      </c>
      <c r="EQ118">
        <v>8.8900000000000007E-2</v>
      </c>
      <c r="ER118">
        <v>-0.72720000000003904</v>
      </c>
      <c r="ES118">
        <v>0</v>
      </c>
      <c r="ET118">
        <v>0</v>
      </c>
      <c r="EU118">
        <v>0</v>
      </c>
      <c r="EV118">
        <v>8.8809999999996905E-2</v>
      </c>
      <c r="EW118">
        <v>0</v>
      </c>
      <c r="EX118">
        <v>0</v>
      </c>
      <c r="EY118">
        <v>0</v>
      </c>
      <c r="EZ118">
        <v>-1</v>
      </c>
      <c r="FA118">
        <v>-1</v>
      </c>
      <c r="FB118">
        <v>-1</v>
      </c>
      <c r="FC118">
        <v>-1</v>
      </c>
      <c r="FD118">
        <v>1</v>
      </c>
      <c r="FE118">
        <v>1.5</v>
      </c>
      <c r="FF118">
        <v>1.16455</v>
      </c>
      <c r="FG118">
        <v>2.6122999999999998</v>
      </c>
      <c r="FH118">
        <v>2.19604</v>
      </c>
      <c r="FI118">
        <v>2.5756800000000002</v>
      </c>
      <c r="FJ118">
        <v>2.4462899999999999</v>
      </c>
      <c r="FK118">
        <v>2.2705099999999998</v>
      </c>
      <c r="FL118">
        <v>33.065199999999997</v>
      </c>
      <c r="FM118">
        <v>24.1313</v>
      </c>
      <c r="FN118">
        <v>19</v>
      </c>
      <c r="FO118">
        <v>866.84400000000005</v>
      </c>
      <c r="FP118">
        <v>575.02599999999995</v>
      </c>
      <c r="FQ118">
        <v>17.7547</v>
      </c>
      <c r="FR118">
        <v>26.107800000000001</v>
      </c>
      <c r="FS118">
        <v>29.9999</v>
      </c>
      <c r="FT118">
        <v>26.1082</v>
      </c>
      <c r="FU118">
        <v>26.109300000000001</v>
      </c>
      <c r="FV118">
        <v>23.3611</v>
      </c>
      <c r="FW118">
        <v>28.826799999999999</v>
      </c>
      <c r="FX118">
        <v>38.335900000000002</v>
      </c>
      <c r="FY118">
        <v>17.7681</v>
      </c>
      <c r="FZ118">
        <v>375</v>
      </c>
      <c r="GA118">
        <v>13.5535</v>
      </c>
      <c r="GB118">
        <v>99.799000000000007</v>
      </c>
      <c r="GC118">
        <v>99.780500000000004</v>
      </c>
    </row>
    <row r="119" spans="1:185" x14ac:dyDescent="0.2">
      <c r="A119">
        <v>104</v>
      </c>
      <c r="B119">
        <v>1771105184.0999999</v>
      </c>
      <c r="C119">
        <v>2071</v>
      </c>
      <c r="D119" t="s">
        <v>509</v>
      </c>
      <c r="E119" t="s">
        <v>510</v>
      </c>
      <c r="F119">
        <v>15</v>
      </c>
      <c r="G119">
        <v>1771105176.03333</v>
      </c>
      <c r="H119">
        <f t="shared" si="13"/>
        <v>1.5891665493793202E-3</v>
      </c>
      <c r="I119">
        <v>0</v>
      </c>
      <c r="J119">
        <f t="shared" si="25"/>
        <v>7.8009200942145574E-3</v>
      </c>
      <c r="K119">
        <f t="shared" si="14"/>
        <v>0.13949023566967786</v>
      </c>
      <c r="L119">
        <f t="shared" si="15"/>
        <v>70.666651865750296</v>
      </c>
      <c r="M119">
        <f t="shared" si="16"/>
        <v>1.556064164348105</v>
      </c>
      <c r="N119">
        <f t="shared" si="17"/>
        <v>2.2019780522561816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26210.060128373018</v>
      </c>
      <c r="T119">
        <f t="shared" si="21"/>
        <v>799.99953333333303</v>
      </c>
      <c r="U119">
        <f t="shared" si="22"/>
        <v>674.40011539970294</v>
      </c>
      <c r="V119">
        <f t="shared" si="23"/>
        <v>0.84300063599999997</v>
      </c>
      <c r="W119">
        <f t="shared" si="24"/>
        <v>0.15870159</v>
      </c>
      <c r="X119">
        <v>1</v>
      </c>
      <c r="Y119">
        <v>1771105176.03333</v>
      </c>
      <c r="Z119">
        <v>374.09033333333298</v>
      </c>
      <c r="AA119">
        <v>375.00779999999997</v>
      </c>
      <c r="AB119">
        <v>15.55946</v>
      </c>
      <c r="AC119">
        <v>13.6039333333333</v>
      </c>
      <c r="AD119">
        <v>374.81746666666697</v>
      </c>
      <c r="AE119">
        <v>15.470660000000001</v>
      </c>
      <c r="AF119">
        <v>800.00953333333302</v>
      </c>
      <c r="AG119">
        <v>99.944180000000003</v>
      </c>
      <c r="AH119">
        <v>6.3414373333333302E-2</v>
      </c>
      <c r="AI119">
        <v>18.976713333333301</v>
      </c>
      <c r="AJ119">
        <v>999.9</v>
      </c>
      <c r="AK119">
        <v>999.9</v>
      </c>
      <c r="AL119">
        <v>0</v>
      </c>
      <c r="AM119">
        <v>0</v>
      </c>
      <c r="AN119">
        <v>5000.0666666666702</v>
      </c>
      <c r="AO119">
        <v>0</v>
      </c>
      <c r="AP119">
        <v>1.58388333333333</v>
      </c>
      <c r="AQ119">
        <v>-0.91754153333333299</v>
      </c>
      <c r="AR119">
        <v>380.00293333333298</v>
      </c>
      <c r="AS119">
        <v>380.179666666667</v>
      </c>
      <c r="AT119">
        <v>1.955522</v>
      </c>
      <c r="AU119">
        <v>375.00779999999997</v>
      </c>
      <c r="AV119">
        <v>13.6039333333333</v>
      </c>
      <c r="AW119">
        <v>1.55507666666667</v>
      </c>
      <c r="AX119">
        <v>1.359634</v>
      </c>
      <c r="AY119">
        <v>13.5206933333333</v>
      </c>
      <c r="AZ119">
        <v>11.47476</v>
      </c>
      <c r="BA119">
        <v>799.99953333333303</v>
      </c>
      <c r="BB119">
        <v>0.89997879999999997</v>
      </c>
      <c r="BC119">
        <v>0</v>
      </c>
      <c r="BD119">
        <v>0.1000212</v>
      </c>
      <c r="BE119">
        <v>0</v>
      </c>
      <c r="BF119">
        <v>25</v>
      </c>
      <c r="BG119">
        <v>13190.946666666699</v>
      </c>
      <c r="BH119">
        <v>1771105107.0999999</v>
      </c>
      <c r="BI119" t="s">
        <v>498</v>
      </c>
      <c r="BJ119">
        <v>1771105107.0999999</v>
      </c>
      <c r="BK119">
        <v>1771105081.0999999</v>
      </c>
      <c r="BL119">
        <v>18</v>
      </c>
      <c r="BM119">
        <v>-0.40100000000000002</v>
      </c>
      <c r="BN119">
        <v>2.5999999999999999E-2</v>
      </c>
      <c r="BO119">
        <v>-0.72699999999999998</v>
      </c>
      <c r="BP119">
        <v>8.8999999999999996E-2</v>
      </c>
      <c r="BQ119">
        <v>375</v>
      </c>
      <c r="BR119">
        <v>15</v>
      </c>
      <c r="BS119">
        <v>0.16</v>
      </c>
      <c r="BT119">
        <v>0.05</v>
      </c>
      <c r="BU119">
        <v>-0.91758080952380905</v>
      </c>
      <c r="BV119">
        <v>-8.7320415584416597E-2</v>
      </c>
      <c r="BW119">
        <v>1.9117168164515998E-2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1.96254666666667</v>
      </c>
      <c r="CD119">
        <v>-8.9647012987011096E-2</v>
      </c>
      <c r="CE119">
        <v>1.1810974853250999E-2</v>
      </c>
      <c r="CF119">
        <v>1</v>
      </c>
      <c r="CG119">
        <v>2</v>
      </c>
      <c r="CH119">
        <v>2</v>
      </c>
      <c r="CI119" t="s">
        <v>322</v>
      </c>
      <c r="CJ119">
        <v>3.5325199999999999</v>
      </c>
      <c r="CK119">
        <v>2.7011400000000001</v>
      </c>
      <c r="CL119">
        <v>9.1000600000000001E-2</v>
      </c>
      <c r="CM119">
        <v>8.9917899999999995E-2</v>
      </c>
      <c r="CN119">
        <v>8.7368100000000004E-2</v>
      </c>
      <c r="CO119">
        <v>7.8311900000000004E-2</v>
      </c>
      <c r="CP119">
        <v>31844</v>
      </c>
      <c r="CQ119">
        <v>28029.5</v>
      </c>
      <c r="CR119">
        <v>32425.9</v>
      </c>
      <c r="CS119">
        <v>30728.7</v>
      </c>
      <c r="CT119">
        <v>40082.199999999997</v>
      </c>
      <c r="CU119">
        <v>39843.699999999997</v>
      </c>
      <c r="CV119">
        <v>47367.4</v>
      </c>
      <c r="CW119">
        <v>46877.8</v>
      </c>
      <c r="CX119">
        <v>2.6141399999999999</v>
      </c>
      <c r="CY119">
        <v>2.1193599999999999</v>
      </c>
      <c r="CZ119">
        <v>0</v>
      </c>
      <c r="DA119">
        <v>0</v>
      </c>
      <c r="DB119">
        <v>999.9</v>
      </c>
      <c r="DC119">
        <v>999.9</v>
      </c>
      <c r="DD119">
        <v>45.44</v>
      </c>
      <c r="DE119">
        <v>28.812000000000001</v>
      </c>
      <c r="DF119">
        <v>18.086300000000001</v>
      </c>
      <c r="DG119">
        <v>30.558299999999999</v>
      </c>
      <c r="DH119">
        <v>16.987200000000001</v>
      </c>
      <c r="DI119">
        <v>2</v>
      </c>
      <c r="DJ119">
        <v>-6.9331299999999998E-2</v>
      </c>
      <c r="DK119">
        <v>2.6327799999999999</v>
      </c>
      <c r="DL119">
        <v>20.189299999999999</v>
      </c>
      <c r="DM119">
        <v>5.2502399999999998</v>
      </c>
      <c r="DN119">
        <v>12.033899999999999</v>
      </c>
      <c r="DO119">
        <v>4.9673999999999996</v>
      </c>
      <c r="DP119">
        <v>3.2909999999999999</v>
      </c>
      <c r="DQ119">
        <v>608.20000000000005</v>
      </c>
      <c r="DR119">
        <v>9999</v>
      </c>
      <c r="DS119">
        <v>9999</v>
      </c>
      <c r="DT119">
        <v>9999</v>
      </c>
      <c r="DU119">
        <v>1.8711199999999999</v>
      </c>
      <c r="DV119">
        <v>1.87616</v>
      </c>
      <c r="DW119">
        <v>1.8763300000000001</v>
      </c>
      <c r="DX119">
        <v>1.88279</v>
      </c>
      <c r="DY119">
        <v>1.87561</v>
      </c>
      <c r="DZ119">
        <v>1.8746700000000001</v>
      </c>
      <c r="EA119">
        <v>1.8708499999999999</v>
      </c>
      <c r="EB119">
        <v>1.8746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-0.72799999999999998</v>
      </c>
      <c r="EQ119">
        <v>8.8800000000000004E-2</v>
      </c>
      <c r="ER119">
        <v>-0.72720000000003904</v>
      </c>
      <c r="ES119">
        <v>0</v>
      </c>
      <c r="ET119">
        <v>0</v>
      </c>
      <c r="EU119">
        <v>0</v>
      </c>
      <c r="EV119">
        <v>8.8809999999996905E-2</v>
      </c>
      <c r="EW119">
        <v>0</v>
      </c>
      <c r="EX119">
        <v>0</v>
      </c>
      <c r="EY119">
        <v>0</v>
      </c>
      <c r="EZ119">
        <v>-1</v>
      </c>
      <c r="FA119">
        <v>-1</v>
      </c>
      <c r="FB119">
        <v>-1</v>
      </c>
      <c r="FC119">
        <v>-1</v>
      </c>
      <c r="FD119">
        <v>1.3</v>
      </c>
      <c r="FE119">
        <v>1.7</v>
      </c>
      <c r="FF119">
        <v>1.16333</v>
      </c>
      <c r="FG119">
        <v>2.5976599999999999</v>
      </c>
      <c r="FH119">
        <v>2.19604</v>
      </c>
      <c r="FI119">
        <v>2.5756800000000002</v>
      </c>
      <c r="FJ119">
        <v>2.4462899999999999</v>
      </c>
      <c r="FK119">
        <v>2.31812</v>
      </c>
      <c r="FL119">
        <v>33.065199999999997</v>
      </c>
      <c r="FM119">
        <v>24.14</v>
      </c>
      <c r="FN119">
        <v>19</v>
      </c>
      <c r="FO119">
        <v>866.88400000000001</v>
      </c>
      <c r="FP119">
        <v>574.77499999999998</v>
      </c>
      <c r="FQ119">
        <v>17.802600000000002</v>
      </c>
      <c r="FR119">
        <v>26.1069</v>
      </c>
      <c r="FS119">
        <v>30</v>
      </c>
      <c r="FT119">
        <v>26.106000000000002</v>
      </c>
      <c r="FU119">
        <v>26.107500000000002</v>
      </c>
      <c r="FV119">
        <v>23.360399999999998</v>
      </c>
      <c r="FW119">
        <v>28.826799999999999</v>
      </c>
      <c r="FX119">
        <v>38.335900000000002</v>
      </c>
      <c r="FY119">
        <v>17.816700000000001</v>
      </c>
      <c r="FZ119">
        <v>375</v>
      </c>
      <c r="GA119">
        <v>13.5311</v>
      </c>
      <c r="GB119">
        <v>99.799499999999995</v>
      </c>
      <c r="GC119">
        <v>99.779799999999994</v>
      </c>
    </row>
    <row r="120" spans="1:185" x14ac:dyDescent="0.2">
      <c r="A120">
        <v>105</v>
      </c>
      <c r="B120">
        <v>1771105199.0999999</v>
      </c>
      <c r="C120">
        <v>2086</v>
      </c>
      <c r="D120" t="s">
        <v>511</v>
      </c>
      <c r="E120" t="s">
        <v>512</v>
      </c>
      <c r="F120">
        <v>15</v>
      </c>
      <c r="G120">
        <v>1771105191.03333</v>
      </c>
      <c r="H120">
        <f t="shared" si="13"/>
        <v>1.569475070130204E-3</v>
      </c>
      <c r="I120">
        <v>0</v>
      </c>
      <c r="J120">
        <f t="shared" si="25"/>
        <v>8.0986643216835272E-3</v>
      </c>
      <c r="K120">
        <f t="shared" si="14"/>
        <v>0.14481427590561549</v>
      </c>
      <c r="L120">
        <f t="shared" si="15"/>
        <v>70.380884987276715</v>
      </c>
      <c r="M120">
        <f t="shared" si="16"/>
        <v>1.5498341919230225</v>
      </c>
      <c r="N120">
        <f t="shared" si="17"/>
        <v>2.2020669279779557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26220.111034839028</v>
      </c>
      <c r="T120">
        <f t="shared" si="21"/>
        <v>799.99953333333303</v>
      </c>
      <c r="U120">
        <f t="shared" si="22"/>
        <v>674.40009139971687</v>
      </c>
      <c r="V120">
        <f t="shared" si="23"/>
        <v>0.84300060599999993</v>
      </c>
      <c r="W120">
        <f t="shared" si="24"/>
        <v>0.15870151500000002</v>
      </c>
      <c r="X120">
        <v>1</v>
      </c>
      <c r="Y120">
        <v>1771105191.03333</v>
      </c>
      <c r="Z120">
        <v>374.10140000000001</v>
      </c>
      <c r="AA120">
        <v>375.01633333333302</v>
      </c>
      <c r="AB120">
        <v>15.497146666666699</v>
      </c>
      <c r="AC120">
        <v>13.5657333333333</v>
      </c>
      <c r="AD120">
        <v>374.828666666667</v>
      </c>
      <c r="AE120">
        <v>15.408340000000001</v>
      </c>
      <c r="AF120">
        <v>800.01139999999998</v>
      </c>
      <c r="AG120">
        <v>99.944213333333295</v>
      </c>
      <c r="AH120">
        <v>6.3499393333333307E-2</v>
      </c>
      <c r="AI120">
        <v>18.977360000000001</v>
      </c>
      <c r="AJ120">
        <v>999.9</v>
      </c>
      <c r="AK120">
        <v>999.9</v>
      </c>
      <c r="AL120">
        <v>0</v>
      </c>
      <c r="AM120">
        <v>0</v>
      </c>
      <c r="AN120">
        <v>5001.7333333333299</v>
      </c>
      <c r="AO120">
        <v>0</v>
      </c>
      <c r="AP120">
        <v>1.58087</v>
      </c>
      <c r="AQ120">
        <v>-0.91489053333333303</v>
      </c>
      <c r="AR120">
        <v>379.99033333333301</v>
      </c>
      <c r="AS120">
        <v>380.17386666666698</v>
      </c>
      <c r="AT120">
        <v>1.93141266666667</v>
      </c>
      <c r="AU120">
        <v>375.01633333333302</v>
      </c>
      <c r="AV120">
        <v>13.5657333333333</v>
      </c>
      <c r="AW120">
        <v>1.5488500000000001</v>
      </c>
      <c r="AX120">
        <v>1.35581533333333</v>
      </c>
      <c r="AY120">
        <v>13.459106666666701</v>
      </c>
      <c r="AZ120">
        <v>11.43228</v>
      </c>
      <c r="BA120">
        <v>799.99953333333303</v>
      </c>
      <c r="BB120">
        <v>0.8999798</v>
      </c>
      <c r="BC120">
        <v>0</v>
      </c>
      <c r="BD120">
        <v>0.1000202</v>
      </c>
      <c r="BE120">
        <v>0</v>
      </c>
      <c r="BF120">
        <v>25</v>
      </c>
      <c r="BG120">
        <v>13190.946666666699</v>
      </c>
      <c r="BH120">
        <v>1771105107.0999999</v>
      </c>
      <c r="BI120" t="s">
        <v>498</v>
      </c>
      <c r="BJ120">
        <v>1771105107.0999999</v>
      </c>
      <c r="BK120">
        <v>1771105081.0999999</v>
      </c>
      <c r="BL120">
        <v>18</v>
      </c>
      <c r="BM120">
        <v>-0.40100000000000002</v>
      </c>
      <c r="BN120">
        <v>2.5999999999999999E-2</v>
      </c>
      <c r="BO120">
        <v>-0.72699999999999998</v>
      </c>
      <c r="BP120">
        <v>8.8999999999999996E-2</v>
      </c>
      <c r="BQ120">
        <v>375</v>
      </c>
      <c r="BR120">
        <v>15</v>
      </c>
      <c r="BS120">
        <v>0.16</v>
      </c>
      <c r="BT120">
        <v>0.05</v>
      </c>
      <c r="BU120">
        <v>-0.91847595238095203</v>
      </c>
      <c r="BV120">
        <v>1.20380259740252E-2</v>
      </c>
      <c r="BW120">
        <v>2.2436637772214E-2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1.93587476190476</v>
      </c>
      <c r="CD120">
        <v>-4.4089870129869202E-2</v>
      </c>
      <c r="CE120">
        <v>1.06954243082632E-2</v>
      </c>
      <c r="CF120">
        <v>1</v>
      </c>
      <c r="CG120">
        <v>2</v>
      </c>
      <c r="CH120">
        <v>2</v>
      </c>
      <c r="CI120" t="s">
        <v>322</v>
      </c>
      <c r="CJ120">
        <v>3.53254</v>
      </c>
      <c r="CK120">
        <v>2.70133</v>
      </c>
      <c r="CL120">
        <v>9.1001100000000001E-2</v>
      </c>
      <c r="CM120">
        <v>8.9924299999999999E-2</v>
      </c>
      <c r="CN120">
        <v>8.7190799999999999E-2</v>
      </c>
      <c r="CO120">
        <v>7.8127699999999994E-2</v>
      </c>
      <c r="CP120">
        <v>31844.3</v>
      </c>
      <c r="CQ120">
        <v>28029.3</v>
      </c>
      <c r="CR120">
        <v>32426.2</v>
      </c>
      <c r="CS120">
        <v>30728.7</v>
      </c>
      <c r="CT120">
        <v>40090.400000000001</v>
      </c>
      <c r="CU120">
        <v>39851.599999999999</v>
      </c>
      <c r="CV120">
        <v>47367.7</v>
      </c>
      <c r="CW120">
        <v>46877.5</v>
      </c>
      <c r="CX120">
        <v>2.61408</v>
      </c>
      <c r="CY120">
        <v>2.1193200000000001</v>
      </c>
      <c r="CZ120">
        <v>0</v>
      </c>
      <c r="DA120">
        <v>0</v>
      </c>
      <c r="DB120">
        <v>999.9</v>
      </c>
      <c r="DC120">
        <v>999.9</v>
      </c>
      <c r="DD120">
        <v>45.421999999999997</v>
      </c>
      <c r="DE120">
        <v>28.812000000000001</v>
      </c>
      <c r="DF120">
        <v>18.080300000000001</v>
      </c>
      <c r="DG120">
        <v>30.528300000000002</v>
      </c>
      <c r="DH120">
        <v>17.0473</v>
      </c>
      <c r="DI120">
        <v>2</v>
      </c>
      <c r="DJ120">
        <v>-6.9483699999999995E-2</v>
      </c>
      <c r="DK120">
        <v>2.5895199999999998</v>
      </c>
      <c r="DL120">
        <v>20.190000000000001</v>
      </c>
      <c r="DM120">
        <v>5.2515499999999999</v>
      </c>
      <c r="DN120">
        <v>12.033899999999999</v>
      </c>
      <c r="DO120">
        <v>4.9676799999999997</v>
      </c>
      <c r="DP120">
        <v>3.2909999999999999</v>
      </c>
      <c r="DQ120">
        <v>608.20000000000005</v>
      </c>
      <c r="DR120">
        <v>9999</v>
      </c>
      <c r="DS120">
        <v>9999</v>
      </c>
      <c r="DT120">
        <v>9999</v>
      </c>
      <c r="DU120">
        <v>1.8711199999999999</v>
      </c>
      <c r="DV120">
        <v>1.87618</v>
      </c>
      <c r="DW120">
        <v>1.8763300000000001</v>
      </c>
      <c r="DX120">
        <v>1.88279</v>
      </c>
      <c r="DY120">
        <v>1.87561</v>
      </c>
      <c r="DZ120">
        <v>1.8746700000000001</v>
      </c>
      <c r="EA120">
        <v>1.87087</v>
      </c>
      <c r="EB120">
        <v>1.8746499999999999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-0.72699999999999998</v>
      </c>
      <c r="EQ120">
        <v>8.8800000000000004E-2</v>
      </c>
      <c r="ER120">
        <v>-0.72720000000003904</v>
      </c>
      <c r="ES120">
        <v>0</v>
      </c>
      <c r="ET120">
        <v>0</v>
      </c>
      <c r="EU120">
        <v>0</v>
      </c>
      <c r="EV120">
        <v>8.8809999999996905E-2</v>
      </c>
      <c r="EW120">
        <v>0</v>
      </c>
      <c r="EX120">
        <v>0</v>
      </c>
      <c r="EY120">
        <v>0</v>
      </c>
      <c r="EZ120">
        <v>-1</v>
      </c>
      <c r="FA120">
        <v>-1</v>
      </c>
      <c r="FB120">
        <v>-1</v>
      </c>
      <c r="FC120">
        <v>-1</v>
      </c>
      <c r="FD120">
        <v>1.5</v>
      </c>
      <c r="FE120">
        <v>2</v>
      </c>
      <c r="FF120">
        <v>1.16333</v>
      </c>
      <c r="FG120">
        <v>2.6074199999999998</v>
      </c>
      <c r="FH120">
        <v>2.19604</v>
      </c>
      <c r="FI120">
        <v>2.5756800000000002</v>
      </c>
      <c r="FJ120">
        <v>2.4462899999999999</v>
      </c>
      <c r="FK120">
        <v>2.3059099999999999</v>
      </c>
      <c r="FL120">
        <v>33.065199999999997</v>
      </c>
      <c r="FM120">
        <v>24.14</v>
      </c>
      <c r="FN120">
        <v>19</v>
      </c>
      <c r="FO120">
        <v>866.80700000000002</v>
      </c>
      <c r="FP120">
        <v>574.745</v>
      </c>
      <c r="FQ120">
        <v>17.854199999999999</v>
      </c>
      <c r="FR120">
        <v>26.1052</v>
      </c>
      <c r="FS120">
        <v>29.9999</v>
      </c>
      <c r="FT120">
        <v>26.104600000000001</v>
      </c>
      <c r="FU120">
        <v>26.107500000000002</v>
      </c>
      <c r="FV120">
        <v>23.358000000000001</v>
      </c>
      <c r="FW120">
        <v>29.102799999999998</v>
      </c>
      <c r="FX120">
        <v>38.335900000000002</v>
      </c>
      <c r="FY120">
        <v>17.864999999999998</v>
      </c>
      <c r="FZ120">
        <v>375</v>
      </c>
      <c r="GA120">
        <v>13.515499999999999</v>
      </c>
      <c r="GB120">
        <v>99.800200000000004</v>
      </c>
      <c r="GC120">
        <v>99.779399999999995</v>
      </c>
    </row>
    <row r="121" spans="1:185" x14ac:dyDescent="0.2">
      <c r="A121">
        <v>106</v>
      </c>
      <c r="B121">
        <v>1771105214.0999999</v>
      </c>
      <c r="C121">
        <v>2101</v>
      </c>
      <c r="D121" t="s">
        <v>513</v>
      </c>
      <c r="E121" t="s">
        <v>514</v>
      </c>
      <c r="F121">
        <v>15</v>
      </c>
      <c r="G121">
        <v>1771105206.03333</v>
      </c>
      <c r="H121">
        <f t="shared" si="13"/>
        <v>1.5720460663863664E-3</v>
      </c>
      <c r="I121">
        <v>0</v>
      </c>
      <c r="J121">
        <f t="shared" si="25"/>
        <v>7.2892672790244428E-3</v>
      </c>
      <c r="K121">
        <f t="shared" si="14"/>
        <v>0.13034124158821633</v>
      </c>
      <c r="L121">
        <f t="shared" si="15"/>
        <v>70.17156982327451</v>
      </c>
      <c r="M121">
        <f t="shared" si="16"/>
        <v>1.5459522635622285</v>
      </c>
      <c r="N121">
        <f t="shared" si="17"/>
        <v>2.2031034327088217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26205.650682880692</v>
      </c>
      <c r="T121">
        <f t="shared" si="21"/>
        <v>799.99966666666705</v>
      </c>
      <c r="U121">
        <f t="shared" si="22"/>
        <v>674.40021499979366</v>
      </c>
      <c r="V121">
        <f t="shared" si="23"/>
        <v>0.84300061999999998</v>
      </c>
      <c r="W121">
        <f t="shared" si="24"/>
        <v>0.15870155000000002</v>
      </c>
      <c r="X121">
        <v>1</v>
      </c>
      <c r="Y121">
        <v>1771105206.03333</v>
      </c>
      <c r="Z121">
        <v>374.10953333333299</v>
      </c>
      <c r="AA121">
        <v>375.00760000000002</v>
      </c>
      <c r="AB121">
        <v>15.458360000000001</v>
      </c>
      <c r="AC121">
        <v>13.5236933333333</v>
      </c>
      <c r="AD121">
        <v>374.83679999999998</v>
      </c>
      <c r="AE121">
        <v>15.36956</v>
      </c>
      <c r="AF121">
        <v>800.00593333333302</v>
      </c>
      <c r="AG121">
        <v>99.944033333333294</v>
      </c>
      <c r="AH121">
        <v>6.3487746666666706E-2</v>
      </c>
      <c r="AI121">
        <v>18.9849</v>
      </c>
      <c r="AJ121">
        <v>999.9</v>
      </c>
      <c r="AK121">
        <v>999.9</v>
      </c>
      <c r="AL121">
        <v>0</v>
      </c>
      <c r="AM121">
        <v>0</v>
      </c>
      <c r="AN121">
        <v>4999.4666666666699</v>
      </c>
      <c r="AO121">
        <v>0</v>
      </c>
      <c r="AP121">
        <v>1.58087</v>
      </c>
      <c r="AQ121">
        <v>-0.89806113333333304</v>
      </c>
      <c r="AR121">
        <v>379.98340000000002</v>
      </c>
      <c r="AS121">
        <v>380.14879999999999</v>
      </c>
      <c r="AT121">
        <v>1.93466733333333</v>
      </c>
      <c r="AU121">
        <v>375.00760000000002</v>
      </c>
      <c r="AV121">
        <v>13.5236933333333</v>
      </c>
      <c r="AW121">
        <v>1.5449713333333299</v>
      </c>
      <c r="AX121">
        <v>1.3516113333333299</v>
      </c>
      <c r="AY121">
        <v>13.420640000000001</v>
      </c>
      <c r="AZ121">
        <v>11.38538</v>
      </c>
      <c r="BA121">
        <v>799.99966666666705</v>
      </c>
      <c r="BB121">
        <v>0.89997933333333302</v>
      </c>
      <c r="BC121">
        <v>0</v>
      </c>
      <c r="BD121">
        <v>0.10002066666666699</v>
      </c>
      <c r="BE121">
        <v>0</v>
      </c>
      <c r="BF121">
        <v>25</v>
      </c>
      <c r="BG121">
        <v>13190.9333333333</v>
      </c>
      <c r="BH121">
        <v>1771105107.0999999</v>
      </c>
      <c r="BI121" t="s">
        <v>498</v>
      </c>
      <c r="BJ121">
        <v>1771105107.0999999</v>
      </c>
      <c r="BK121">
        <v>1771105081.0999999</v>
      </c>
      <c r="BL121">
        <v>18</v>
      </c>
      <c r="BM121">
        <v>-0.40100000000000002</v>
      </c>
      <c r="BN121">
        <v>2.5999999999999999E-2</v>
      </c>
      <c r="BO121">
        <v>-0.72699999999999998</v>
      </c>
      <c r="BP121">
        <v>8.8999999999999996E-2</v>
      </c>
      <c r="BQ121">
        <v>375</v>
      </c>
      <c r="BR121">
        <v>15</v>
      </c>
      <c r="BS121">
        <v>0.16</v>
      </c>
      <c r="BT121">
        <v>0.05</v>
      </c>
      <c r="BU121">
        <v>-0.90320584999999998</v>
      </c>
      <c r="BV121">
        <v>9.0149278195490207E-2</v>
      </c>
      <c r="BW121">
        <v>1.9216603654847501E-2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1.9350185</v>
      </c>
      <c r="CD121">
        <v>2.6103609022559499E-2</v>
      </c>
      <c r="CE121">
        <v>6.8429695856404701E-3</v>
      </c>
      <c r="CF121">
        <v>1</v>
      </c>
      <c r="CG121">
        <v>2</v>
      </c>
      <c r="CH121">
        <v>2</v>
      </c>
      <c r="CI121" t="s">
        <v>322</v>
      </c>
      <c r="CJ121">
        <v>3.5325099999999998</v>
      </c>
      <c r="CK121">
        <v>2.7014</v>
      </c>
      <c r="CL121">
        <v>9.0997900000000007E-2</v>
      </c>
      <c r="CM121">
        <v>8.9918899999999996E-2</v>
      </c>
      <c r="CN121">
        <v>8.7013400000000005E-2</v>
      </c>
      <c r="CO121">
        <v>7.7939300000000003E-2</v>
      </c>
      <c r="CP121">
        <v>31843.9</v>
      </c>
      <c r="CQ121">
        <v>28029</v>
      </c>
      <c r="CR121">
        <v>32425.7</v>
      </c>
      <c r="CS121">
        <v>30728.2</v>
      </c>
      <c r="CT121">
        <v>40097.9</v>
      </c>
      <c r="CU121">
        <v>39859.5</v>
      </c>
      <c r="CV121">
        <v>47367.199999999997</v>
      </c>
      <c r="CW121">
        <v>46877.1</v>
      </c>
      <c r="CX121">
        <v>2.6140400000000001</v>
      </c>
      <c r="CY121">
        <v>2.1189800000000001</v>
      </c>
      <c r="CZ121">
        <v>0</v>
      </c>
      <c r="DA121">
        <v>0</v>
      </c>
      <c r="DB121">
        <v>999.9</v>
      </c>
      <c r="DC121">
        <v>999.9</v>
      </c>
      <c r="DD121">
        <v>45.372999999999998</v>
      </c>
      <c r="DE121">
        <v>28.812000000000001</v>
      </c>
      <c r="DF121">
        <v>18.061599999999999</v>
      </c>
      <c r="DG121">
        <v>30.558299999999999</v>
      </c>
      <c r="DH121">
        <v>17.063300000000002</v>
      </c>
      <c r="DI121">
        <v>2</v>
      </c>
      <c r="DJ121">
        <v>-6.9516300000000003E-2</v>
      </c>
      <c r="DK121">
        <v>2.5844999999999998</v>
      </c>
      <c r="DL121">
        <v>20.190000000000001</v>
      </c>
      <c r="DM121">
        <v>5.2502399999999998</v>
      </c>
      <c r="DN121">
        <v>12.033899999999999</v>
      </c>
      <c r="DO121">
        <v>4.9672400000000003</v>
      </c>
      <c r="DP121">
        <v>3.2909999999999999</v>
      </c>
      <c r="DQ121">
        <v>608.20000000000005</v>
      </c>
      <c r="DR121">
        <v>9999</v>
      </c>
      <c r="DS121">
        <v>9999</v>
      </c>
      <c r="DT121">
        <v>9999</v>
      </c>
      <c r="DU121">
        <v>1.8711800000000001</v>
      </c>
      <c r="DV121">
        <v>1.87618</v>
      </c>
      <c r="DW121">
        <v>1.8763700000000001</v>
      </c>
      <c r="DX121">
        <v>1.88279</v>
      </c>
      <c r="DY121">
        <v>1.87561</v>
      </c>
      <c r="DZ121">
        <v>1.8746799999999999</v>
      </c>
      <c r="EA121">
        <v>1.8708800000000001</v>
      </c>
      <c r="EB121">
        <v>1.8746700000000001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-0.72699999999999998</v>
      </c>
      <c r="EQ121">
        <v>8.8800000000000004E-2</v>
      </c>
      <c r="ER121">
        <v>-0.72720000000003904</v>
      </c>
      <c r="ES121">
        <v>0</v>
      </c>
      <c r="ET121">
        <v>0</v>
      </c>
      <c r="EU121">
        <v>0</v>
      </c>
      <c r="EV121">
        <v>8.8809999999996905E-2</v>
      </c>
      <c r="EW121">
        <v>0</v>
      </c>
      <c r="EX121">
        <v>0</v>
      </c>
      <c r="EY121">
        <v>0</v>
      </c>
      <c r="EZ121">
        <v>-1</v>
      </c>
      <c r="FA121">
        <v>-1</v>
      </c>
      <c r="FB121">
        <v>-1</v>
      </c>
      <c r="FC121">
        <v>-1</v>
      </c>
      <c r="FD121">
        <v>1.8</v>
      </c>
      <c r="FE121">
        <v>2.2000000000000002</v>
      </c>
      <c r="FF121">
        <v>1.16333</v>
      </c>
      <c r="FG121">
        <v>2.6061999999999999</v>
      </c>
      <c r="FH121">
        <v>2.19604</v>
      </c>
      <c r="FI121">
        <v>2.5756800000000002</v>
      </c>
      <c r="FJ121">
        <v>2.4462899999999999</v>
      </c>
      <c r="FK121">
        <v>2.2705099999999998</v>
      </c>
      <c r="FL121">
        <v>33.065199999999997</v>
      </c>
      <c r="FM121">
        <v>24.1313</v>
      </c>
      <c r="FN121">
        <v>19</v>
      </c>
      <c r="FO121">
        <v>866.75599999999997</v>
      </c>
      <c r="FP121">
        <v>574.46</v>
      </c>
      <c r="FQ121">
        <v>17.8918</v>
      </c>
      <c r="FR121">
        <v>26.103000000000002</v>
      </c>
      <c r="FS121">
        <v>30</v>
      </c>
      <c r="FT121">
        <v>26.1038</v>
      </c>
      <c r="FU121">
        <v>26.1053</v>
      </c>
      <c r="FV121">
        <v>23.3565</v>
      </c>
      <c r="FW121">
        <v>29.102799999999998</v>
      </c>
      <c r="FX121">
        <v>37.963700000000003</v>
      </c>
      <c r="FY121">
        <v>17.897500000000001</v>
      </c>
      <c r="FZ121">
        <v>375</v>
      </c>
      <c r="GA121">
        <v>13.526899999999999</v>
      </c>
      <c r="GB121">
        <v>99.798900000000003</v>
      </c>
      <c r="GC121">
        <v>99.778199999999998</v>
      </c>
    </row>
    <row r="122" spans="1:185" x14ac:dyDescent="0.2">
      <c r="A122">
        <v>107</v>
      </c>
      <c r="B122">
        <v>1771105229.0999999</v>
      </c>
      <c r="C122">
        <v>2116</v>
      </c>
      <c r="D122" t="s">
        <v>515</v>
      </c>
      <c r="E122" t="s">
        <v>516</v>
      </c>
      <c r="F122">
        <v>15</v>
      </c>
      <c r="G122">
        <v>1771105221.03333</v>
      </c>
      <c r="H122">
        <f t="shared" si="13"/>
        <v>1.5629577512919683E-3</v>
      </c>
      <c r="I122">
        <v>0</v>
      </c>
      <c r="J122">
        <f t="shared" si="25"/>
        <v>8.5791272407618573E-3</v>
      </c>
      <c r="K122">
        <f t="shared" si="14"/>
        <v>0.15340555552434687</v>
      </c>
      <c r="L122">
        <f t="shared" si="15"/>
        <v>69.984397472967572</v>
      </c>
      <c r="M122">
        <f t="shared" si="16"/>
        <v>1.5421808841543931</v>
      </c>
      <c r="N122">
        <f t="shared" si="17"/>
        <v>2.2036067178403322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26192.934182250407</v>
      </c>
      <c r="T122">
        <f t="shared" si="21"/>
        <v>800.00106666666704</v>
      </c>
      <c r="U122">
        <f t="shared" si="22"/>
        <v>674.40137760063817</v>
      </c>
      <c r="V122">
        <f t="shared" si="23"/>
        <v>0.84300059799999993</v>
      </c>
      <c r="W122">
        <f t="shared" si="24"/>
        <v>0.15870149499999997</v>
      </c>
      <c r="X122">
        <v>1</v>
      </c>
      <c r="Y122">
        <v>1771105221.03333</v>
      </c>
      <c r="Z122">
        <v>374.089333333333</v>
      </c>
      <c r="AA122">
        <v>375.01193333333299</v>
      </c>
      <c r="AB122">
        <v>15.420780000000001</v>
      </c>
      <c r="AC122">
        <v>13.49724</v>
      </c>
      <c r="AD122">
        <v>374.816666666667</v>
      </c>
      <c r="AE122">
        <v>15.3319733333333</v>
      </c>
      <c r="AF122">
        <v>800.012333333333</v>
      </c>
      <c r="AG122">
        <v>99.943013333333298</v>
      </c>
      <c r="AH122">
        <v>6.3658453333333295E-2</v>
      </c>
      <c r="AI122">
        <v>18.98856</v>
      </c>
      <c r="AJ122">
        <v>999.9</v>
      </c>
      <c r="AK122">
        <v>999.9</v>
      </c>
      <c r="AL122">
        <v>0</v>
      </c>
      <c r="AM122">
        <v>0</v>
      </c>
      <c r="AN122">
        <v>4997.4666666666699</v>
      </c>
      <c r="AO122">
        <v>0</v>
      </c>
      <c r="AP122">
        <v>1.58087</v>
      </c>
      <c r="AQ122">
        <v>-0.92255860000000001</v>
      </c>
      <c r="AR122">
        <v>379.94853333333299</v>
      </c>
      <c r="AS122">
        <v>380.14280000000002</v>
      </c>
      <c r="AT122">
        <v>1.9235486666666699</v>
      </c>
      <c r="AU122">
        <v>375.01193333333299</v>
      </c>
      <c r="AV122">
        <v>13.49724</v>
      </c>
      <c r="AW122">
        <v>1.54120066666667</v>
      </c>
      <c r="AX122">
        <v>1.3489546666666701</v>
      </c>
      <c r="AY122">
        <v>13.383139999999999</v>
      </c>
      <c r="AZ122">
        <v>11.355686666666699</v>
      </c>
      <c r="BA122">
        <v>800.00106666666704</v>
      </c>
      <c r="BB122">
        <v>0.89998006666666697</v>
      </c>
      <c r="BC122">
        <v>0</v>
      </c>
      <c r="BD122">
        <v>0.10001993333333301</v>
      </c>
      <c r="BE122">
        <v>0</v>
      </c>
      <c r="BF122">
        <v>25</v>
      </c>
      <c r="BG122">
        <v>13190.96</v>
      </c>
      <c r="BH122">
        <v>1771105107.0999999</v>
      </c>
      <c r="BI122" t="s">
        <v>498</v>
      </c>
      <c r="BJ122">
        <v>1771105107.0999999</v>
      </c>
      <c r="BK122">
        <v>1771105081.0999999</v>
      </c>
      <c r="BL122">
        <v>18</v>
      </c>
      <c r="BM122">
        <v>-0.40100000000000002</v>
      </c>
      <c r="BN122">
        <v>2.5999999999999999E-2</v>
      </c>
      <c r="BO122">
        <v>-0.72699999999999998</v>
      </c>
      <c r="BP122">
        <v>8.8999999999999996E-2</v>
      </c>
      <c r="BQ122">
        <v>375</v>
      </c>
      <c r="BR122">
        <v>15</v>
      </c>
      <c r="BS122">
        <v>0.16</v>
      </c>
      <c r="BT122">
        <v>0.05</v>
      </c>
      <c r="BU122">
        <v>-0.91557533333333296</v>
      </c>
      <c r="BV122">
        <v>-9.9664363636364398E-2</v>
      </c>
      <c r="BW122">
        <v>2.15377519791983E-2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1.92887380952381</v>
      </c>
      <c r="CD122">
        <v>-0.10279168831169</v>
      </c>
      <c r="CE122">
        <v>1.0500714023881299E-2</v>
      </c>
      <c r="CF122">
        <v>0</v>
      </c>
      <c r="CG122">
        <v>1</v>
      </c>
      <c r="CH122">
        <v>2</v>
      </c>
      <c r="CI122" t="s">
        <v>299</v>
      </c>
      <c r="CJ122">
        <v>3.5326</v>
      </c>
      <c r="CK122">
        <v>2.7015400000000001</v>
      </c>
      <c r="CL122">
        <v>9.0995400000000004E-2</v>
      </c>
      <c r="CM122">
        <v>8.9917399999999995E-2</v>
      </c>
      <c r="CN122">
        <v>8.6900199999999997E-2</v>
      </c>
      <c r="CO122">
        <v>7.7922699999999998E-2</v>
      </c>
      <c r="CP122">
        <v>31844</v>
      </c>
      <c r="CQ122">
        <v>28029.3</v>
      </c>
      <c r="CR122">
        <v>32425.7</v>
      </c>
      <c r="CS122">
        <v>30728.5</v>
      </c>
      <c r="CT122">
        <v>40102.699999999997</v>
      </c>
      <c r="CU122">
        <v>39860.800000000003</v>
      </c>
      <c r="CV122">
        <v>47366.8</v>
      </c>
      <c r="CW122">
        <v>46877.7</v>
      </c>
      <c r="CX122">
        <v>2.6139399999999999</v>
      </c>
      <c r="CY122">
        <v>2.1190199999999999</v>
      </c>
      <c r="CZ122">
        <v>0</v>
      </c>
      <c r="DA122">
        <v>0</v>
      </c>
      <c r="DB122">
        <v>999.9</v>
      </c>
      <c r="DC122">
        <v>999.9</v>
      </c>
      <c r="DD122">
        <v>45.287999999999997</v>
      </c>
      <c r="DE122">
        <v>28.821999999999999</v>
      </c>
      <c r="DF122">
        <v>18.037800000000001</v>
      </c>
      <c r="DG122">
        <v>30.708300000000001</v>
      </c>
      <c r="DH122">
        <v>16.927099999999999</v>
      </c>
      <c r="DI122">
        <v>2</v>
      </c>
      <c r="DJ122">
        <v>-6.9817100000000007E-2</v>
      </c>
      <c r="DK122">
        <v>2.5617700000000001</v>
      </c>
      <c r="DL122">
        <v>20.1905</v>
      </c>
      <c r="DM122">
        <v>5.2508299999999997</v>
      </c>
      <c r="DN122">
        <v>12.033899999999999</v>
      </c>
      <c r="DO122">
        <v>4.9672799999999997</v>
      </c>
      <c r="DP122">
        <v>3.2910200000000001</v>
      </c>
      <c r="DQ122">
        <v>608.20000000000005</v>
      </c>
      <c r="DR122">
        <v>9999</v>
      </c>
      <c r="DS122">
        <v>9999</v>
      </c>
      <c r="DT122">
        <v>9999</v>
      </c>
      <c r="DU122">
        <v>1.8711500000000001</v>
      </c>
      <c r="DV122">
        <v>1.8761699999999999</v>
      </c>
      <c r="DW122">
        <v>1.87635</v>
      </c>
      <c r="DX122">
        <v>1.8828199999999999</v>
      </c>
      <c r="DY122">
        <v>1.87561</v>
      </c>
      <c r="DZ122">
        <v>1.87466</v>
      </c>
      <c r="EA122">
        <v>1.87086</v>
      </c>
      <c r="EB122">
        <v>1.8746700000000001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-0.72699999999999998</v>
      </c>
      <c r="EQ122">
        <v>8.8900000000000007E-2</v>
      </c>
      <c r="ER122">
        <v>-0.72720000000003904</v>
      </c>
      <c r="ES122">
        <v>0</v>
      </c>
      <c r="ET122">
        <v>0</v>
      </c>
      <c r="EU122">
        <v>0</v>
      </c>
      <c r="EV122">
        <v>8.8809999999996905E-2</v>
      </c>
      <c r="EW122">
        <v>0</v>
      </c>
      <c r="EX122">
        <v>0</v>
      </c>
      <c r="EY122">
        <v>0</v>
      </c>
      <c r="EZ122">
        <v>-1</v>
      </c>
      <c r="FA122">
        <v>-1</v>
      </c>
      <c r="FB122">
        <v>-1</v>
      </c>
      <c r="FC122">
        <v>-1</v>
      </c>
      <c r="FD122">
        <v>2</v>
      </c>
      <c r="FE122">
        <v>2.5</v>
      </c>
      <c r="FF122">
        <v>1.16333</v>
      </c>
      <c r="FG122">
        <v>2.6037599999999999</v>
      </c>
      <c r="FH122">
        <v>2.19604</v>
      </c>
      <c r="FI122">
        <v>2.5744600000000002</v>
      </c>
      <c r="FJ122">
        <v>2.4462899999999999</v>
      </c>
      <c r="FK122">
        <v>2.3132299999999999</v>
      </c>
      <c r="FL122">
        <v>33.087499999999999</v>
      </c>
      <c r="FM122">
        <v>24.14</v>
      </c>
      <c r="FN122">
        <v>19</v>
      </c>
      <c r="FO122">
        <v>866.66200000000003</v>
      </c>
      <c r="FP122">
        <v>574.49099999999999</v>
      </c>
      <c r="FQ122">
        <v>17.9175</v>
      </c>
      <c r="FR122">
        <v>26.101299999999998</v>
      </c>
      <c r="FS122">
        <v>30.0001</v>
      </c>
      <c r="FT122">
        <v>26.1038</v>
      </c>
      <c r="FU122">
        <v>26.1053</v>
      </c>
      <c r="FV122">
        <v>23.3567</v>
      </c>
      <c r="FW122">
        <v>29.102799999999998</v>
      </c>
      <c r="FX122">
        <v>37.963700000000003</v>
      </c>
      <c r="FY122">
        <v>17.922699999999999</v>
      </c>
      <c r="FZ122">
        <v>375</v>
      </c>
      <c r="GA122">
        <v>13.5268</v>
      </c>
      <c r="GB122">
        <v>99.798400000000001</v>
      </c>
      <c r="GC122">
        <v>99.779300000000006</v>
      </c>
    </row>
    <row r="123" spans="1:185" x14ac:dyDescent="0.2">
      <c r="A123">
        <v>108</v>
      </c>
      <c r="B123">
        <v>1771105244.0999999</v>
      </c>
      <c r="C123">
        <v>2131</v>
      </c>
      <c r="D123" t="s">
        <v>517</v>
      </c>
      <c r="E123" t="s">
        <v>518</v>
      </c>
      <c r="F123">
        <v>15</v>
      </c>
      <c r="G123">
        <v>1771105236.03333</v>
      </c>
      <c r="H123">
        <f t="shared" si="13"/>
        <v>1.5500478659054733E-3</v>
      </c>
      <c r="I123">
        <v>0</v>
      </c>
      <c r="J123">
        <f t="shared" si="25"/>
        <v>8.7389075492316382E-3</v>
      </c>
      <c r="K123">
        <f t="shared" si="14"/>
        <v>0.15626262784589945</v>
      </c>
      <c r="L123">
        <f t="shared" si="15"/>
        <v>69.844900064441532</v>
      </c>
      <c r="M123">
        <f t="shared" si="16"/>
        <v>1.5401119124391116</v>
      </c>
      <c r="N123">
        <f t="shared" si="17"/>
        <v>2.2050456239727545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26224.303139536325</v>
      </c>
      <c r="T123">
        <f t="shared" si="21"/>
        <v>800.00059999999996</v>
      </c>
      <c r="U123">
        <f t="shared" si="22"/>
        <v>674.40101780038401</v>
      </c>
      <c r="V123">
        <f t="shared" si="23"/>
        <v>0.84300064000000008</v>
      </c>
      <c r="W123">
        <f t="shared" si="24"/>
        <v>0.15870159999999997</v>
      </c>
      <c r="X123">
        <v>1</v>
      </c>
      <c r="Y123">
        <v>1771105236.03333</v>
      </c>
      <c r="Z123">
        <v>374.08659999999998</v>
      </c>
      <c r="AA123">
        <v>375.00673333333299</v>
      </c>
      <c r="AB123">
        <v>15.400219999999999</v>
      </c>
      <c r="AC123">
        <v>13.492520000000001</v>
      </c>
      <c r="AD123">
        <v>374.813733333333</v>
      </c>
      <c r="AE123">
        <v>15.311386666666699</v>
      </c>
      <c r="AF123">
        <v>800.00879999999995</v>
      </c>
      <c r="AG123">
        <v>99.9422</v>
      </c>
      <c r="AH123">
        <v>6.3638386666666699E-2</v>
      </c>
      <c r="AI123">
        <v>18.999020000000002</v>
      </c>
      <c r="AJ123">
        <v>999.9</v>
      </c>
      <c r="AK123">
        <v>999.9</v>
      </c>
      <c r="AL123">
        <v>0</v>
      </c>
      <c r="AM123">
        <v>0</v>
      </c>
      <c r="AN123">
        <v>5002.8333333333303</v>
      </c>
      <c r="AO123">
        <v>0</v>
      </c>
      <c r="AP123">
        <v>1.58087</v>
      </c>
      <c r="AQ123">
        <v>-0.92008266666666705</v>
      </c>
      <c r="AR123">
        <v>379.93759999999997</v>
      </c>
      <c r="AS123">
        <v>380.13560000000001</v>
      </c>
      <c r="AT123">
        <v>1.9076773333333299</v>
      </c>
      <c r="AU123">
        <v>375.00673333333299</v>
      </c>
      <c r="AV123">
        <v>13.492520000000001</v>
      </c>
      <c r="AW123">
        <v>1.5391300000000001</v>
      </c>
      <c r="AX123">
        <v>1.34847266666667</v>
      </c>
      <c r="AY123">
        <v>13.3625266666667</v>
      </c>
      <c r="AZ123">
        <v>11.3502733333333</v>
      </c>
      <c r="BA123">
        <v>800.00059999999996</v>
      </c>
      <c r="BB123">
        <v>0.89997866666666704</v>
      </c>
      <c r="BC123">
        <v>0</v>
      </c>
      <c r="BD123">
        <v>0.100021333333333</v>
      </c>
      <c r="BE123">
        <v>0</v>
      </c>
      <c r="BF123">
        <v>25</v>
      </c>
      <c r="BG123">
        <v>13190.946666666699</v>
      </c>
      <c r="BH123">
        <v>1771105107.0999999</v>
      </c>
      <c r="BI123" t="s">
        <v>498</v>
      </c>
      <c r="BJ123">
        <v>1771105107.0999999</v>
      </c>
      <c r="BK123">
        <v>1771105081.0999999</v>
      </c>
      <c r="BL123">
        <v>18</v>
      </c>
      <c r="BM123">
        <v>-0.40100000000000002</v>
      </c>
      <c r="BN123">
        <v>2.5999999999999999E-2</v>
      </c>
      <c r="BO123">
        <v>-0.72699999999999998</v>
      </c>
      <c r="BP123">
        <v>8.8999999999999996E-2</v>
      </c>
      <c r="BQ123">
        <v>375</v>
      </c>
      <c r="BR123">
        <v>15</v>
      </c>
      <c r="BS123">
        <v>0.16</v>
      </c>
      <c r="BT123">
        <v>0.05</v>
      </c>
      <c r="BU123">
        <v>-0.91866764999999995</v>
      </c>
      <c r="BV123">
        <v>-5.0890375939841598E-3</v>
      </c>
      <c r="BW123">
        <v>1.8246808329883301E-2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1.9096485000000001</v>
      </c>
      <c r="CD123">
        <v>-2.37613533834551E-2</v>
      </c>
      <c r="CE123">
        <v>5.1852061434430902E-3</v>
      </c>
      <c r="CF123">
        <v>1</v>
      </c>
      <c r="CG123">
        <v>2</v>
      </c>
      <c r="CH123">
        <v>2</v>
      </c>
      <c r="CI123" t="s">
        <v>322</v>
      </c>
      <c r="CJ123">
        <v>3.5325000000000002</v>
      </c>
      <c r="CK123">
        <v>2.7012800000000001</v>
      </c>
      <c r="CL123">
        <v>9.0995599999999996E-2</v>
      </c>
      <c r="CM123">
        <v>8.9918200000000004E-2</v>
      </c>
      <c r="CN123">
        <v>8.6837200000000003E-2</v>
      </c>
      <c r="CO123">
        <v>7.77978E-2</v>
      </c>
      <c r="CP123">
        <v>31844.3</v>
      </c>
      <c r="CQ123">
        <v>28029.5</v>
      </c>
      <c r="CR123">
        <v>32426</v>
      </c>
      <c r="CS123">
        <v>30728.7</v>
      </c>
      <c r="CT123">
        <v>40106.300000000003</v>
      </c>
      <c r="CU123">
        <v>39866.400000000001</v>
      </c>
      <c r="CV123">
        <v>47367.6</v>
      </c>
      <c r="CW123">
        <v>46877.8</v>
      </c>
      <c r="CX123">
        <v>2.6140599999999998</v>
      </c>
      <c r="CY123">
        <v>2.1188400000000001</v>
      </c>
      <c r="CZ123">
        <v>0</v>
      </c>
      <c r="DA123">
        <v>0</v>
      </c>
      <c r="DB123">
        <v>999.9</v>
      </c>
      <c r="DC123">
        <v>999.9</v>
      </c>
      <c r="DD123">
        <v>45.238999999999997</v>
      </c>
      <c r="DE123">
        <v>28.812000000000001</v>
      </c>
      <c r="DF123">
        <v>18.007899999999999</v>
      </c>
      <c r="DG123">
        <v>30.4983</v>
      </c>
      <c r="DH123">
        <v>16.967099999999999</v>
      </c>
      <c r="DI123">
        <v>2</v>
      </c>
      <c r="DJ123">
        <v>-6.9569099999999995E-2</v>
      </c>
      <c r="DK123">
        <v>2.7915700000000001</v>
      </c>
      <c r="DL123">
        <v>20.185500000000001</v>
      </c>
      <c r="DM123">
        <v>5.2495200000000004</v>
      </c>
      <c r="DN123">
        <v>12.033899999999999</v>
      </c>
      <c r="DO123">
        <v>4.9672400000000003</v>
      </c>
      <c r="DP123">
        <v>3.2909999999999999</v>
      </c>
      <c r="DQ123">
        <v>608.20000000000005</v>
      </c>
      <c r="DR123">
        <v>9999</v>
      </c>
      <c r="DS123">
        <v>9999</v>
      </c>
      <c r="DT123">
        <v>9999</v>
      </c>
      <c r="DU123">
        <v>1.8711500000000001</v>
      </c>
      <c r="DV123">
        <v>1.87616</v>
      </c>
      <c r="DW123">
        <v>1.87635</v>
      </c>
      <c r="DX123">
        <v>1.88279</v>
      </c>
      <c r="DY123">
        <v>1.87561</v>
      </c>
      <c r="DZ123">
        <v>1.8746799999999999</v>
      </c>
      <c r="EA123">
        <v>1.87087</v>
      </c>
      <c r="EB123">
        <v>1.8746499999999999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-0.72799999999999998</v>
      </c>
      <c r="EQ123">
        <v>8.8800000000000004E-2</v>
      </c>
      <c r="ER123">
        <v>-0.72720000000003904</v>
      </c>
      <c r="ES123">
        <v>0</v>
      </c>
      <c r="ET123">
        <v>0</v>
      </c>
      <c r="EU123">
        <v>0</v>
      </c>
      <c r="EV123">
        <v>8.8809999999996905E-2</v>
      </c>
      <c r="EW123">
        <v>0</v>
      </c>
      <c r="EX123">
        <v>0</v>
      </c>
      <c r="EY123">
        <v>0</v>
      </c>
      <c r="EZ123">
        <v>-1</v>
      </c>
      <c r="FA123">
        <v>-1</v>
      </c>
      <c r="FB123">
        <v>-1</v>
      </c>
      <c r="FC123">
        <v>-1</v>
      </c>
      <c r="FD123">
        <v>2.2999999999999998</v>
      </c>
      <c r="FE123">
        <v>2.7</v>
      </c>
      <c r="FF123">
        <v>1.16333</v>
      </c>
      <c r="FG123">
        <v>2.6086399999999998</v>
      </c>
      <c r="FH123">
        <v>2.19604</v>
      </c>
      <c r="FI123">
        <v>2.5744600000000002</v>
      </c>
      <c r="FJ123">
        <v>2.4462899999999999</v>
      </c>
      <c r="FK123">
        <v>2.3034699999999999</v>
      </c>
      <c r="FL123">
        <v>33.087499999999999</v>
      </c>
      <c r="FM123">
        <v>24.1313</v>
      </c>
      <c r="FN123">
        <v>19</v>
      </c>
      <c r="FO123">
        <v>866.76700000000005</v>
      </c>
      <c r="FP123">
        <v>574.35299999999995</v>
      </c>
      <c r="FQ123">
        <v>17.923200000000001</v>
      </c>
      <c r="FR123">
        <v>26.1008</v>
      </c>
      <c r="FS123">
        <v>30.0002</v>
      </c>
      <c r="FT123">
        <v>26.103400000000001</v>
      </c>
      <c r="FU123">
        <v>26.1053</v>
      </c>
      <c r="FV123">
        <v>23.354199999999999</v>
      </c>
      <c r="FW123">
        <v>29.102799999999998</v>
      </c>
      <c r="FX123">
        <v>37.591299999999997</v>
      </c>
      <c r="FY123">
        <v>17.828199999999999</v>
      </c>
      <c r="FZ123">
        <v>375</v>
      </c>
      <c r="GA123">
        <v>13.5268</v>
      </c>
      <c r="GB123">
        <v>99.799899999999994</v>
      </c>
      <c r="GC123">
        <v>99.779700000000005</v>
      </c>
    </row>
    <row r="124" spans="1:185" x14ac:dyDescent="0.2">
      <c r="A124">
        <v>109</v>
      </c>
      <c r="B124">
        <v>1771105259.0999999</v>
      </c>
      <c r="C124">
        <v>2146</v>
      </c>
      <c r="D124" t="s">
        <v>519</v>
      </c>
      <c r="E124" t="s">
        <v>520</v>
      </c>
      <c r="F124">
        <v>15</v>
      </c>
      <c r="G124">
        <v>1771105251.03333</v>
      </c>
      <c r="H124">
        <f t="shared" si="13"/>
        <v>1.5521909387277877E-3</v>
      </c>
      <c r="I124">
        <v>0</v>
      </c>
      <c r="J124">
        <f t="shared" si="25"/>
        <v>8.4193137391084302E-3</v>
      </c>
      <c r="K124">
        <f t="shared" si="14"/>
        <v>0.15054788966703783</v>
      </c>
      <c r="L124">
        <f t="shared" si="15"/>
        <v>69.698376255380083</v>
      </c>
      <c r="M124">
        <f t="shared" si="16"/>
        <v>1.5373593142167328</v>
      </c>
      <c r="N124">
        <f t="shared" si="17"/>
        <v>2.2057318933567878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26192.571939400637</v>
      </c>
      <c r="T124">
        <f t="shared" si="21"/>
        <v>799.99946666666699</v>
      </c>
      <c r="U124">
        <f t="shared" si="22"/>
        <v>674.39993439974421</v>
      </c>
      <c r="V124">
        <f t="shared" si="23"/>
        <v>0.84300047999999994</v>
      </c>
      <c r="W124">
        <f t="shared" si="24"/>
        <v>0.15870120000000001</v>
      </c>
      <c r="X124">
        <v>1</v>
      </c>
      <c r="Y124">
        <v>1771105251.03333</v>
      </c>
      <c r="Z124">
        <v>374.09173333333302</v>
      </c>
      <c r="AA124">
        <v>375.00573333333301</v>
      </c>
      <c r="AB124">
        <v>15.3726933333333</v>
      </c>
      <c r="AC124">
        <v>13.4623066666667</v>
      </c>
      <c r="AD124">
        <v>374.81880000000001</v>
      </c>
      <c r="AE124">
        <v>15.283886666666699</v>
      </c>
      <c r="AF124">
        <v>800.01059999999995</v>
      </c>
      <c r="AG124">
        <v>99.942293333333296</v>
      </c>
      <c r="AH124">
        <v>6.3559959999999999E-2</v>
      </c>
      <c r="AI124">
        <v>19.004006666666701</v>
      </c>
      <c r="AJ124">
        <v>999.9</v>
      </c>
      <c r="AK124">
        <v>999.9</v>
      </c>
      <c r="AL124">
        <v>0</v>
      </c>
      <c r="AM124">
        <v>0</v>
      </c>
      <c r="AN124">
        <v>4997.6666666666697</v>
      </c>
      <c r="AO124">
        <v>0</v>
      </c>
      <c r="AP124">
        <v>1.58087</v>
      </c>
      <c r="AQ124">
        <v>-0.91398919999999995</v>
      </c>
      <c r="AR124">
        <v>379.93233333333302</v>
      </c>
      <c r="AS124">
        <v>380.12299999999999</v>
      </c>
      <c r="AT124">
        <v>1.910382</v>
      </c>
      <c r="AU124">
        <v>375.00573333333301</v>
      </c>
      <c r="AV124">
        <v>13.4623066666667</v>
      </c>
      <c r="AW124">
        <v>1.5363819999999999</v>
      </c>
      <c r="AX124">
        <v>1.3454533333333301</v>
      </c>
      <c r="AY124">
        <v>13.3351066666667</v>
      </c>
      <c r="AZ124">
        <v>11.3164466666667</v>
      </c>
      <c r="BA124">
        <v>799.99946666666699</v>
      </c>
      <c r="BB124">
        <v>0.89998400000000001</v>
      </c>
      <c r="BC124">
        <v>0</v>
      </c>
      <c r="BD124">
        <v>0.10001599999999999</v>
      </c>
      <c r="BE124">
        <v>0</v>
      </c>
      <c r="BF124">
        <v>25</v>
      </c>
      <c r="BG124">
        <v>13190.96</v>
      </c>
      <c r="BH124">
        <v>1771105107.0999999</v>
      </c>
      <c r="BI124" t="s">
        <v>498</v>
      </c>
      <c r="BJ124">
        <v>1771105107.0999999</v>
      </c>
      <c r="BK124">
        <v>1771105081.0999999</v>
      </c>
      <c r="BL124">
        <v>18</v>
      </c>
      <c r="BM124">
        <v>-0.40100000000000002</v>
      </c>
      <c r="BN124">
        <v>2.5999999999999999E-2</v>
      </c>
      <c r="BO124">
        <v>-0.72699999999999998</v>
      </c>
      <c r="BP124">
        <v>8.8999999999999996E-2</v>
      </c>
      <c r="BQ124">
        <v>375</v>
      </c>
      <c r="BR124">
        <v>15</v>
      </c>
      <c r="BS124">
        <v>0.16</v>
      </c>
      <c r="BT124">
        <v>0.05</v>
      </c>
      <c r="BU124">
        <v>-0.91255494999999998</v>
      </c>
      <c r="BV124">
        <v>2.7285609022557299E-2</v>
      </c>
      <c r="BW124">
        <v>1.45469804958795E-2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1.9115015</v>
      </c>
      <c r="CD124">
        <v>-6.0272030075187201E-2</v>
      </c>
      <c r="CE124">
        <v>1.4987271357722201E-2</v>
      </c>
      <c r="CF124">
        <v>1</v>
      </c>
      <c r="CG124">
        <v>2</v>
      </c>
      <c r="CH124">
        <v>2</v>
      </c>
      <c r="CI124" t="s">
        <v>322</v>
      </c>
      <c r="CJ124">
        <v>3.5325700000000002</v>
      </c>
      <c r="CK124">
        <v>2.7012299999999998</v>
      </c>
      <c r="CL124">
        <v>9.0997099999999997E-2</v>
      </c>
      <c r="CM124">
        <v>8.9923400000000001E-2</v>
      </c>
      <c r="CN124">
        <v>8.6678199999999997E-2</v>
      </c>
      <c r="CO124">
        <v>7.7836900000000001E-2</v>
      </c>
      <c r="CP124">
        <v>31843.5</v>
      </c>
      <c r="CQ124">
        <v>28029.200000000001</v>
      </c>
      <c r="CR124">
        <v>32425.1</v>
      </c>
      <c r="CS124">
        <v>30728.5</v>
      </c>
      <c r="CT124">
        <v>40112.300000000003</v>
      </c>
      <c r="CU124">
        <v>39864.300000000003</v>
      </c>
      <c r="CV124">
        <v>47366.3</v>
      </c>
      <c r="CW124">
        <v>46877.2</v>
      </c>
      <c r="CX124">
        <v>2.6141800000000002</v>
      </c>
      <c r="CY124">
        <v>2.1188600000000002</v>
      </c>
      <c r="CZ124">
        <v>0</v>
      </c>
      <c r="DA124">
        <v>0</v>
      </c>
      <c r="DB124">
        <v>999.9</v>
      </c>
      <c r="DC124">
        <v>999.9</v>
      </c>
      <c r="DD124">
        <v>45.19</v>
      </c>
      <c r="DE124">
        <v>28.812000000000001</v>
      </c>
      <c r="DF124">
        <v>17.987500000000001</v>
      </c>
      <c r="DG124">
        <v>30.6783</v>
      </c>
      <c r="DH124">
        <v>17.019200000000001</v>
      </c>
      <c r="DI124">
        <v>2</v>
      </c>
      <c r="DJ124">
        <v>-6.8768300000000004E-2</v>
      </c>
      <c r="DK124">
        <v>2.7528000000000001</v>
      </c>
      <c r="DL124">
        <v>20.186599999999999</v>
      </c>
      <c r="DM124">
        <v>5.2501199999999999</v>
      </c>
      <c r="DN124">
        <v>12.033899999999999</v>
      </c>
      <c r="DO124">
        <v>4.9675200000000004</v>
      </c>
      <c r="DP124">
        <v>3.2909999999999999</v>
      </c>
      <c r="DQ124">
        <v>608.20000000000005</v>
      </c>
      <c r="DR124">
        <v>9999</v>
      </c>
      <c r="DS124">
        <v>9999</v>
      </c>
      <c r="DT124">
        <v>9999</v>
      </c>
      <c r="DU124">
        <v>1.8711800000000001</v>
      </c>
      <c r="DV124">
        <v>1.8762000000000001</v>
      </c>
      <c r="DW124">
        <v>1.8763700000000001</v>
      </c>
      <c r="DX124">
        <v>1.8828400000000001</v>
      </c>
      <c r="DY124">
        <v>1.8756200000000001</v>
      </c>
      <c r="DZ124">
        <v>1.8746799999999999</v>
      </c>
      <c r="EA124">
        <v>1.8708800000000001</v>
      </c>
      <c r="EB124">
        <v>1.8746799999999999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-0.72799999999999998</v>
      </c>
      <c r="EQ124">
        <v>8.8800000000000004E-2</v>
      </c>
      <c r="ER124">
        <v>-0.72720000000003904</v>
      </c>
      <c r="ES124">
        <v>0</v>
      </c>
      <c r="ET124">
        <v>0</v>
      </c>
      <c r="EU124">
        <v>0</v>
      </c>
      <c r="EV124">
        <v>8.8809999999996905E-2</v>
      </c>
      <c r="EW124">
        <v>0</v>
      </c>
      <c r="EX124">
        <v>0</v>
      </c>
      <c r="EY124">
        <v>0</v>
      </c>
      <c r="EZ124">
        <v>-1</v>
      </c>
      <c r="FA124">
        <v>-1</v>
      </c>
      <c r="FB124">
        <v>-1</v>
      </c>
      <c r="FC124">
        <v>-1</v>
      </c>
      <c r="FD124">
        <v>2.5</v>
      </c>
      <c r="FE124">
        <v>3</v>
      </c>
      <c r="FF124">
        <v>1.16333</v>
      </c>
      <c r="FG124">
        <v>2.6147499999999999</v>
      </c>
      <c r="FH124">
        <v>2.19604</v>
      </c>
      <c r="FI124">
        <v>2.5744600000000002</v>
      </c>
      <c r="FJ124">
        <v>2.4462899999999999</v>
      </c>
      <c r="FK124">
        <v>2.2522000000000002</v>
      </c>
      <c r="FL124">
        <v>33.065199999999997</v>
      </c>
      <c r="FM124">
        <v>24.1313</v>
      </c>
      <c r="FN124">
        <v>19</v>
      </c>
      <c r="FO124">
        <v>866.851</v>
      </c>
      <c r="FP124">
        <v>574.34400000000005</v>
      </c>
      <c r="FQ124">
        <v>17.807300000000001</v>
      </c>
      <c r="FR124">
        <v>26.098600000000001</v>
      </c>
      <c r="FS124">
        <v>30</v>
      </c>
      <c r="FT124">
        <v>26.101600000000001</v>
      </c>
      <c r="FU124">
        <v>26.103100000000001</v>
      </c>
      <c r="FV124">
        <v>23.353200000000001</v>
      </c>
      <c r="FW124">
        <v>28.825299999999999</v>
      </c>
      <c r="FX124">
        <v>37.591299999999997</v>
      </c>
      <c r="FY124">
        <v>17.815200000000001</v>
      </c>
      <c r="FZ124">
        <v>375</v>
      </c>
      <c r="GA124">
        <v>13.5451</v>
      </c>
      <c r="GB124">
        <v>99.7971</v>
      </c>
      <c r="GC124">
        <v>99.778800000000004</v>
      </c>
    </row>
    <row r="125" spans="1:185" x14ac:dyDescent="0.2">
      <c r="A125">
        <v>110</v>
      </c>
      <c r="B125">
        <v>1771105274.0999999</v>
      </c>
      <c r="C125">
        <v>2161</v>
      </c>
      <c r="D125" t="s">
        <v>521</v>
      </c>
      <c r="E125" t="s">
        <v>522</v>
      </c>
      <c r="F125">
        <v>15</v>
      </c>
      <c r="G125">
        <v>1771105266.03333</v>
      </c>
      <c r="H125">
        <f t="shared" si="13"/>
        <v>1.5123161672016469E-3</v>
      </c>
      <c r="I125">
        <v>0</v>
      </c>
      <c r="J125">
        <f t="shared" si="25"/>
        <v>1.0040267999803055E-2</v>
      </c>
      <c r="K125">
        <f t="shared" si="14"/>
        <v>0.17953258494698962</v>
      </c>
      <c r="L125">
        <f t="shared" si="15"/>
        <v>69.626391975208307</v>
      </c>
      <c r="M125">
        <f t="shared" si="16"/>
        <v>1.5351736349217069</v>
      </c>
      <c r="N125">
        <f t="shared" si="17"/>
        <v>2.2048731685943634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26230.099632708268</v>
      </c>
      <c r="T125">
        <f t="shared" si="21"/>
        <v>800.00146666666706</v>
      </c>
      <c r="U125">
        <f t="shared" si="22"/>
        <v>674.40167640080699</v>
      </c>
      <c r="V125">
        <f t="shared" si="23"/>
        <v>0.84300054999999996</v>
      </c>
      <c r="W125">
        <f t="shared" si="24"/>
        <v>0.15870137499999998</v>
      </c>
      <c r="X125">
        <v>1</v>
      </c>
      <c r="Y125">
        <v>1771105266.03333</v>
      </c>
      <c r="Z125">
        <v>374.06580000000002</v>
      </c>
      <c r="AA125">
        <v>374.99733333333302</v>
      </c>
      <c r="AB125">
        <v>15.350960000000001</v>
      </c>
      <c r="AC125">
        <v>13.489613333333301</v>
      </c>
      <c r="AD125">
        <v>374.79286666666701</v>
      </c>
      <c r="AE125">
        <v>15.2621533333333</v>
      </c>
      <c r="AF125">
        <v>800.01253333333295</v>
      </c>
      <c r="AG125">
        <v>99.941540000000003</v>
      </c>
      <c r="AH125">
        <v>6.3517333333333301E-2</v>
      </c>
      <c r="AI125">
        <v>18.997766666666699</v>
      </c>
      <c r="AJ125">
        <v>999.9</v>
      </c>
      <c r="AK125">
        <v>999.9</v>
      </c>
      <c r="AL125">
        <v>0</v>
      </c>
      <c r="AM125">
        <v>0</v>
      </c>
      <c r="AN125">
        <v>5003.8</v>
      </c>
      <c r="AO125">
        <v>0</v>
      </c>
      <c r="AP125">
        <v>1.58087</v>
      </c>
      <c r="AQ125">
        <v>-0.93171566666666705</v>
      </c>
      <c r="AR125">
        <v>379.897533333333</v>
      </c>
      <c r="AS125">
        <v>380.125133333333</v>
      </c>
      <c r="AT125">
        <v>1.86135466666667</v>
      </c>
      <c r="AU125">
        <v>374.99733333333302</v>
      </c>
      <c r="AV125">
        <v>13.489613333333301</v>
      </c>
      <c r="AW125">
        <v>1.534198</v>
      </c>
      <c r="AX125">
        <v>1.3481713333333301</v>
      </c>
      <c r="AY125">
        <v>13.3133</v>
      </c>
      <c r="AZ125">
        <v>11.3469</v>
      </c>
      <c r="BA125">
        <v>800.00146666666706</v>
      </c>
      <c r="BB125">
        <v>0.89998166666666701</v>
      </c>
      <c r="BC125">
        <v>0</v>
      </c>
      <c r="BD125">
        <v>0.100018333333333</v>
      </c>
      <c r="BE125">
        <v>0</v>
      </c>
      <c r="BF125">
        <v>25</v>
      </c>
      <c r="BG125">
        <v>13190.9666666667</v>
      </c>
      <c r="BH125">
        <v>1771105107.0999999</v>
      </c>
      <c r="BI125" t="s">
        <v>498</v>
      </c>
      <c r="BJ125">
        <v>1771105107.0999999</v>
      </c>
      <c r="BK125">
        <v>1771105081.0999999</v>
      </c>
      <c r="BL125">
        <v>18</v>
      </c>
      <c r="BM125">
        <v>-0.40100000000000002</v>
      </c>
      <c r="BN125">
        <v>2.5999999999999999E-2</v>
      </c>
      <c r="BO125">
        <v>-0.72699999999999998</v>
      </c>
      <c r="BP125">
        <v>8.8999999999999996E-2</v>
      </c>
      <c r="BQ125">
        <v>375</v>
      </c>
      <c r="BR125">
        <v>15</v>
      </c>
      <c r="BS125">
        <v>0.16</v>
      </c>
      <c r="BT125">
        <v>0.05</v>
      </c>
      <c r="BU125">
        <v>-0.92778605000000003</v>
      </c>
      <c r="BV125">
        <v>-9.0654631578947306E-2</v>
      </c>
      <c r="BW125">
        <v>1.2717962794705001E-2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1.8676619999999999</v>
      </c>
      <c r="CD125">
        <v>-0.16720691729323101</v>
      </c>
      <c r="CE125">
        <v>1.6447947774722499E-2</v>
      </c>
      <c r="CF125">
        <v>0</v>
      </c>
      <c r="CG125">
        <v>1</v>
      </c>
      <c r="CH125">
        <v>2</v>
      </c>
      <c r="CI125" t="s">
        <v>299</v>
      </c>
      <c r="CJ125">
        <v>3.5325600000000001</v>
      </c>
      <c r="CK125">
        <v>2.7014100000000001</v>
      </c>
      <c r="CL125">
        <v>9.0993500000000005E-2</v>
      </c>
      <c r="CM125">
        <v>8.9917700000000003E-2</v>
      </c>
      <c r="CN125">
        <v>8.6674699999999993E-2</v>
      </c>
      <c r="CO125">
        <v>7.7995099999999998E-2</v>
      </c>
      <c r="CP125">
        <v>31844.3</v>
      </c>
      <c r="CQ125">
        <v>28029.599999999999</v>
      </c>
      <c r="CR125">
        <v>32425.9</v>
      </c>
      <c r="CS125">
        <v>30728.7</v>
      </c>
      <c r="CT125">
        <v>40113.5</v>
      </c>
      <c r="CU125">
        <v>39857.599999999999</v>
      </c>
      <c r="CV125">
        <v>47367.5</v>
      </c>
      <c r="CW125">
        <v>46877.7</v>
      </c>
      <c r="CX125">
        <v>2.6141200000000002</v>
      </c>
      <c r="CY125">
        <v>2.11896</v>
      </c>
      <c r="CZ125">
        <v>0</v>
      </c>
      <c r="DA125">
        <v>0</v>
      </c>
      <c r="DB125">
        <v>999.9</v>
      </c>
      <c r="DC125">
        <v>999.9</v>
      </c>
      <c r="DD125">
        <v>45.164999999999999</v>
      </c>
      <c r="DE125">
        <v>28.821999999999999</v>
      </c>
      <c r="DF125">
        <v>17.989599999999999</v>
      </c>
      <c r="DG125">
        <v>30.648299999999999</v>
      </c>
      <c r="DH125">
        <v>16.967099999999999</v>
      </c>
      <c r="DI125">
        <v>2</v>
      </c>
      <c r="DJ125">
        <v>-6.9463399999999995E-2</v>
      </c>
      <c r="DK125">
        <v>2.69015</v>
      </c>
      <c r="DL125">
        <v>20.187799999999999</v>
      </c>
      <c r="DM125">
        <v>5.2498800000000001</v>
      </c>
      <c r="DN125">
        <v>12.033899999999999</v>
      </c>
      <c r="DO125">
        <v>4.9676799999999997</v>
      </c>
      <c r="DP125">
        <v>3.2909999999999999</v>
      </c>
      <c r="DQ125">
        <v>608.20000000000005</v>
      </c>
      <c r="DR125">
        <v>9999</v>
      </c>
      <c r="DS125">
        <v>9999</v>
      </c>
      <c r="DT125">
        <v>9999</v>
      </c>
      <c r="DU125">
        <v>1.8711599999999999</v>
      </c>
      <c r="DV125">
        <v>1.87619</v>
      </c>
      <c r="DW125">
        <v>1.8763700000000001</v>
      </c>
      <c r="DX125">
        <v>1.8828400000000001</v>
      </c>
      <c r="DY125">
        <v>1.8756200000000001</v>
      </c>
      <c r="DZ125">
        <v>1.87469</v>
      </c>
      <c r="EA125">
        <v>1.8708800000000001</v>
      </c>
      <c r="EB125">
        <v>1.8746799999999999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-0.72799999999999998</v>
      </c>
      <c r="EQ125">
        <v>8.8900000000000007E-2</v>
      </c>
      <c r="ER125">
        <v>-0.72720000000003904</v>
      </c>
      <c r="ES125">
        <v>0</v>
      </c>
      <c r="ET125">
        <v>0</v>
      </c>
      <c r="EU125">
        <v>0</v>
      </c>
      <c r="EV125">
        <v>8.8809999999996905E-2</v>
      </c>
      <c r="EW125">
        <v>0</v>
      </c>
      <c r="EX125">
        <v>0</v>
      </c>
      <c r="EY125">
        <v>0</v>
      </c>
      <c r="EZ125">
        <v>-1</v>
      </c>
      <c r="FA125">
        <v>-1</v>
      </c>
      <c r="FB125">
        <v>-1</v>
      </c>
      <c r="FC125">
        <v>-1</v>
      </c>
      <c r="FD125">
        <v>2.8</v>
      </c>
      <c r="FE125">
        <v>3.2</v>
      </c>
      <c r="FF125">
        <v>1.16333</v>
      </c>
      <c r="FG125">
        <v>2.6037599999999999</v>
      </c>
      <c r="FH125">
        <v>2.19604</v>
      </c>
      <c r="FI125">
        <v>2.5744600000000002</v>
      </c>
      <c r="FJ125">
        <v>2.4462899999999999</v>
      </c>
      <c r="FK125">
        <v>2.3010299999999999</v>
      </c>
      <c r="FL125">
        <v>33.087499999999999</v>
      </c>
      <c r="FM125">
        <v>24.14</v>
      </c>
      <c r="FN125">
        <v>19</v>
      </c>
      <c r="FO125">
        <v>866.76</v>
      </c>
      <c r="FP125">
        <v>574.42100000000005</v>
      </c>
      <c r="FQ125">
        <v>17.817399999999999</v>
      </c>
      <c r="FR125">
        <v>26.096800000000002</v>
      </c>
      <c r="FS125">
        <v>29.9999</v>
      </c>
      <c r="FT125">
        <v>26.099399999999999</v>
      </c>
      <c r="FU125">
        <v>26.103100000000001</v>
      </c>
      <c r="FV125">
        <v>23.354700000000001</v>
      </c>
      <c r="FW125">
        <v>28.540299999999998</v>
      </c>
      <c r="FX125">
        <v>37.591299999999997</v>
      </c>
      <c r="FY125">
        <v>17.821100000000001</v>
      </c>
      <c r="FZ125">
        <v>375</v>
      </c>
      <c r="GA125">
        <v>13.5558</v>
      </c>
      <c r="GB125">
        <v>99.799599999999998</v>
      </c>
      <c r="GC125">
        <v>99.779700000000005</v>
      </c>
    </row>
    <row r="126" spans="1:185" x14ac:dyDescent="0.2">
      <c r="A126">
        <v>111</v>
      </c>
      <c r="B126">
        <v>1771105289.0999999</v>
      </c>
      <c r="C126">
        <v>2176</v>
      </c>
      <c r="D126" t="s">
        <v>523</v>
      </c>
      <c r="E126" t="s">
        <v>524</v>
      </c>
      <c r="F126">
        <v>15</v>
      </c>
      <c r="G126">
        <v>1771105281.03333</v>
      </c>
      <c r="H126">
        <f t="shared" si="13"/>
        <v>1.5095080397246206E-3</v>
      </c>
      <c r="I126">
        <v>0</v>
      </c>
      <c r="J126">
        <f t="shared" si="25"/>
        <v>9.2946410372345741E-3</v>
      </c>
      <c r="K126">
        <f t="shared" si="14"/>
        <v>0.16619983964589632</v>
      </c>
      <c r="L126">
        <f t="shared" si="15"/>
        <v>69.650695877696563</v>
      </c>
      <c r="M126">
        <f t="shared" si="16"/>
        <v>1.5354737687695268</v>
      </c>
      <c r="N126">
        <f t="shared" si="17"/>
        <v>2.2045347134302125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26197.733894243094</v>
      </c>
      <c r="T126">
        <f t="shared" si="21"/>
        <v>799.99860000000001</v>
      </c>
      <c r="U126">
        <f t="shared" si="22"/>
        <v>674.39918939935319</v>
      </c>
      <c r="V126">
        <f t="shared" si="23"/>
        <v>0.84300046200000001</v>
      </c>
      <c r="W126">
        <f t="shared" si="24"/>
        <v>0.15870115500000001</v>
      </c>
      <c r="X126">
        <v>1</v>
      </c>
      <c r="Y126">
        <v>1771105281.03333</v>
      </c>
      <c r="Z126">
        <v>374.087533333333</v>
      </c>
      <c r="AA126">
        <v>375.00113333333297</v>
      </c>
      <c r="AB126">
        <v>15.3541066666667</v>
      </c>
      <c r="AC126">
        <v>13.4962133333333</v>
      </c>
      <c r="AD126">
        <v>374.81473333333298</v>
      </c>
      <c r="AE126">
        <v>15.2652933333333</v>
      </c>
      <c r="AF126">
        <v>800.008733333333</v>
      </c>
      <c r="AG126">
        <v>99.9405133333333</v>
      </c>
      <c r="AH126">
        <v>6.3596453333333303E-2</v>
      </c>
      <c r="AI126">
        <v>18.9953066666667</v>
      </c>
      <c r="AJ126">
        <v>999.9</v>
      </c>
      <c r="AK126">
        <v>999.9</v>
      </c>
      <c r="AL126">
        <v>0</v>
      </c>
      <c r="AM126">
        <v>0</v>
      </c>
      <c r="AN126">
        <v>4998.4666666666699</v>
      </c>
      <c r="AO126">
        <v>0</v>
      </c>
      <c r="AP126">
        <v>1.58087</v>
      </c>
      <c r="AQ126">
        <v>-0.91346226666666697</v>
      </c>
      <c r="AR126">
        <v>379.92099999999999</v>
      </c>
      <c r="AS126">
        <v>380.131466666667</v>
      </c>
      <c r="AT126">
        <v>1.8578859999999999</v>
      </c>
      <c r="AU126">
        <v>375.00113333333297</v>
      </c>
      <c r="AV126">
        <v>13.4962133333333</v>
      </c>
      <c r="AW126">
        <v>1.53449733333333</v>
      </c>
      <c r="AX126">
        <v>1.3488180000000001</v>
      </c>
      <c r="AY126">
        <v>13.3163</v>
      </c>
      <c r="AZ126">
        <v>11.354146666666701</v>
      </c>
      <c r="BA126">
        <v>799.99860000000001</v>
      </c>
      <c r="BB126">
        <v>0.89998460000000002</v>
      </c>
      <c r="BC126">
        <v>0</v>
      </c>
      <c r="BD126">
        <v>0.1000154</v>
      </c>
      <c r="BE126">
        <v>0</v>
      </c>
      <c r="BF126">
        <v>25</v>
      </c>
      <c r="BG126">
        <v>13190.94</v>
      </c>
      <c r="BH126">
        <v>1771105107.0999999</v>
      </c>
      <c r="BI126" t="s">
        <v>498</v>
      </c>
      <c r="BJ126">
        <v>1771105107.0999999</v>
      </c>
      <c r="BK126">
        <v>1771105081.0999999</v>
      </c>
      <c r="BL126">
        <v>18</v>
      </c>
      <c r="BM126">
        <v>-0.40100000000000002</v>
      </c>
      <c r="BN126">
        <v>2.5999999999999999E-2</v>
      </c>
      <c r="BO126">
        <v>-0.72699999999999998</v>
      </c>
      <c r="BP126">
        <v>8.8999999999999996E-2</v>
      </c>
      <c r="BQ126">
        <v>375</v>
      </c>
      <c r="BR126">
        <v>15</v>
      </c>
      <c r="BS126">
        <v>0.16</v>
      </c>
      <c r="BT126">
        <v>0.05</v>
      </c>
      <c r="BU126">
        <v>-0.91908180952380902</v>
      </c>
      <c r="BV126">
        <v>8.3768961038959699E-2</v>
      </c>
      <c r="BW126">
        <v>2.1920119546117899E-2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1.8544557142857101</v>
      </c>
      <c r="CD126">
        <v>7.1556623376624204E-2</v>
      </c>
      <c r="CE126">
        <v>1.2101760033911099E-2</v>
      </c>
      <c r="CF126">
        <v>1</v>
      </c>
      <c r="CG126">
        <v>2</v>
      </c>
      <c r="CH126">
        <v>2</v>
      </c>
      <c r="CI126" t="s">
        <v>322</v>
      </c>
      <c r="CJ126">
        <v>3.5325799999999998</v>
      </c>
      <c r="CK126">
        <v>2.7012999999999998</v>
      </c>
      <c r="CL126">
        <v>9.0995300000000001E-2</v>
      </c>
      <c r="CM126">
        <v>8.9911900000000003E-2</v>
      </c>
      <c r="CN126">
        <v>8.6661500000000002E-2</v>
      </c>
      <c r="CO126">
        <v>7.8011300000000006E-2</v>
      </c>
      <c r="CP126">
        <v>31845</v>
      </c>
      <c r="CQ126">
        <v>28029.599999999999</v>
      </c>
      <c r="CR126">
        <v>32426.6</v>
      </c>
      <c r="CS126">
        <v>30728.5</v>
      </c>
      <c r="CT126">
        <v>40115</v>
      </c>
      <c r="CU126">
        <v>39856.6</v>
      </c>
      <c r="CV126">
        <v>47368.5</v>
      </c>
      <c r="CW126">
        <v>46877.4</v>
      </c>
      <c r="CX126">
        <v>2.61416</v>
      </c>
      <c r="CY126">
        <v>2.11904</v>
      </c>
      <c r="CZ126">
        <v>0</v>
      </c>
      <c r="DA126">
        <v>0</v>
      </c>
      <c r="DB126">
        <v>999.9</v>
      </c>
      <c r="DC126">
        <v>999.9</v>
      </c>
      <c r="DD126">
        <v>45.091999999999999</v>
      </c>
      <c r="DE126">
        <v>28.821999999999999</v>
      </c>
      <c r="DF126">
        <v>17.961200000000002</v>
      </c>
      <c r="DG126">
        <v>30.408300000000001</v>
      </c>
      <c r="DH126">
        <v>16.899000000000001</v>
      </c>
      <c r="DI126">
        <v>2</v>
      </c>
      <c r="DJ126">
        <v>-6.9934999999999997E-2</v>
      </c>
      <c r="DK126">
        <v>2.6712400000000001</v>
      </c>
      <c r="DL126">
        <v>20.187999999999999</v>
      </c>
      <c r="DM126">
        <v>5.2510700000000003</v>
      </c>
      <c r="DN126">
        <v>12.033899999999999</v>
      </c>
      <c r="DO126">
        <v>4.9676400000000003</v>
      </c>
      <c r="DP126">
        <v>3.2909999999999999</v>
      </c>
      <c r="DQ126">
        <v>608.20000000000005</v>
      </c>
      <c r="DR126">
        <v>9999</v>
      </c>
      <c r="DS126">
        <v>9999</v>
      </c>
      <c r="DT126">
        <v>9999</v>
      </c>
      <c r="DU126">
        <v>1.8711899999999999</v>
      </c>
      <c r="DV126">
        <v>1.8762099999999999</v>
      </c>
      <c r="DW126">
        <v>1.8763700000000001</v>
      </c>
      <c r="DX126">
        <v>1.8828800000000001</v>
      </c>
      <c r="DY126">
        <v>1.8756299999999999</v>
      </c>
      <c r="DZ126">
        <v>1.8747</v>
      </c>
      <c r="EA126">
        <v>1.8708800000000001</v>
      </c>
      <c r="EB126">
        <v>1.87469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-0.72699999999999998</v>
      </c>
      <c r="EQ126">
        <v>8.8800000000000004E-2</v>
      </c>
      <c r="ER126">
        <v>-0.72720000000003904</v>
      </c>
      <c r="ES126">
        <v>0</v>
      </c>
      <c r="ET126">
        <v>0</v>
      </c>
      <c r="EU126">
        <v>0</v>
      </c>
      <c r="EV126">
        <v>8.8809999999996905E-2</v>
      </c>
      <c r="EW126">
        <v>0</v>
      </c>
      <c r="EX126">
        <v>0</v>
      </c>
      <c r="EY126">
        <v>0</v>
      </c>
      <c r="EZ126">
        <v>-1</v>
      </c>
      <c r="FA126">
        <v>-1</v>
      </c>
      <c r="FB126">
        <v>-1</v>
      </c>
      <c r="FC126">
        <v>-1</v>
      </c>
      <c r="FD126">
        <v>3</v>
      </c>
      <c r="FE126">
        <v>3.5</v>
      </c>
      <c r="FF126">
        <v>1.16333</v>
      </c>
      <c r="FG126">
        <v>2.6086399999999998</v>
      </c>
      <c r="FH126">
        <v>2.19604</v>
      </c>
      <c r="FI126">
        <v>2.5744600000000002</v>
      </c>
      <c r="FJ126">
        <v>2.4462899999999999</v>
      </c>
      <c r="FK126">
        <v>2.3168899999999999</v>
      </c>
      <c r="FL126">
        <v>33.087499999999999</v>
      </c>
      <c r="FM126">
        <v>24.14</v>
      </c>
      <c r="FN126">
        <v>19</v>
      </c>
      <c r="FO126">
        <v>866.79700000000003</v>
      </c>
      <c r="FP126">
        <v>574.45799999999997</v>
      </c>
      <c r="FQ126">
        <v>17.826799999999999</v>
      </c>
      <c r="FR126">
        <v>26.096399999999999</v>
      </c>
      <c r="FS126">
        <v>30</v>
      </c>
      <c r="FT126">
        <v>26.099399999999999</v>
      </c>
      <c r="FU126">
        <v>26.100899999999999</v>
      </c>
      <c r="FV126">
        <v>23.355599999999999</v>
      </c>
      <c r="FW126">
        <v>28.233000000000001</v>
      </c>
      <c r="FX126">
        <v>37.220599999999997</v>
      </c>
      <c r="FY126">
        <v>17.8309</v>
      </c>
      <c r="FZ126">
        <v>375</v>
      </c>
      <c r="GA126">
        <v>13.5647</v>
      </c>
      <c r="GB126">
        <v>99.8018</v>
      </c>
      <c r="GC126">
        <v>99.778999999999996</v>
      </c>
    </row>
    <row r="127" spans="1:185" x14ac:dyDescent="0.2">
      <c r="A127">
        <v>112</v>
      </c>
      <c r="B127">
        <v>1771105304.0999999</v>
      </c>
      <c r="C127">
        <v>2191</v>
      </c>
      <c r="D127" t="s">
        <v>525</v>
      </c>
      <c r="E127" t="s">
        <v>526</v>
      </c>
      <c r="F127">
        <v>15</v>
      </c>
      <c r="G127">
        <v>1771105296.03333</v>
      </c>
      <c r="H127">
        <f t="shared" si="13"/>
        <v>1.4859980946005983E-3</v>
      </c>
      <c r="I127">
        <v>0</v>
      </c>
      <c r="J127">
        <f t="shared" si="25"/>
        <v>8.5677469216041378E-3</v>
      </c>
      <c r="K127">
        <f t="shared" si="14"/>
        <v>0.15320206114392326</v>
      </c>
      <c r="L127">
        <f t="shared" si="15"/>
        <v>69.656056099152451</v>
      </c>
      <c r="M127">
        <f t="shared" si="16"/>
        <v>1.5357401580722883</v>
      </c>
      <c r="N127">
        <f t="shared" si="17"/>
        <v>2.2047475037722881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26208.154723565553</v>
      </c>
      <c r="T127">
        <f t="shared" si="21"/>
        <v>799.99913333333302</v>
      </c>
      <c r="U127">
        <f t="shared" si="22"/>
        <v>674.39971579951612</v>
      </c>
      <c r="V127">
        <f t="shared" si="23"/>
        <v>0.84300055799999996</v>
      </c>
      <c r="W127">
        <f t="shared" si="24"/>
        <v>0.15870139500000002</v>
      </c>
      <c r="X127">
        <v>1</v>
      </c>
      <c r="Y127">
        <v>1771105296.03333</v>
      </c>
      <c r="Z127">
        <v>374.10733333333297</v>
      </c>
      <c r="AA127">
        <v>374.99373333333301</v>
      </c>
      <c r="AB127">
        <v>15.3567466666667</v>
      </c>
      <c r="AC127">
        <v>13.527786666666699</v>
      </c>
      <c r="AD127">
        <v>374.83440000000002</v>
      </c>
      <c r="AE127">
        <v>15.2679333333333</v>
      </c>
      <c r="AF127">
        <v>800.00546666666696</v>
      </c>
      <c r="AG127">
        <v>99.940726666666706</v>
      </c>
      <c r="AH127">
        <v>6.3537999999999997E-2</v>
      </c>
      <c r="AI127">
        <v>18.996853333333299</v>
      </c>
      <c r="AJ127">
        <v>999.9</v>
      </c>
      <c r="AK127">
        <v>999.9</v>
      </c>
      <c r="AL127">
        <v>0</v>
      </c>
      <c r="AM127">
        <v>0</v>
      </c>
      <c r="AN127">
        <v>5000.2</v>
      </c>
      <c r="AO127">
        <v>0</v>
      </c>
      <c r="AP127">
        <v>1.58087</v>
      </c>
      <c r="AQ127">
        <v>-0.88642180000000004</v>
      </c>
      <c r="AR127">
        <v>379.94200000000001</v>
      </c>
      <c r="AS127">
        <v>380.13613333333302</v>
      </c>
      <c r="AT127">
        <v>1.8289453333333301</v>
      </c>
      <c r="AU127">
        <v>374.99373333333301</v>
      </c>
      <c r="AV127">
        <v>13.527786666666699</v>
      </c>
      <c r="AW127">
        <v>1.5347626666666701</v>
      </c>
      <c r="AX127">
        <v>1.35197733333333</v>
      </c>
      <c r="AY127">
        <v>13.318960000000001</v>
      </c>
      <c r="AZ127">
        <v>11.3894533333333</v>
      </c>
      <c r="BA127">
        <v>799.99913333333302</v>
      </c>
      <c r="BB127">
        <v>0.89998140000000004</v>
      </c>
      <c r="BC127">
        <v>0</v>
      </c>
      <c r="BD127">
        <v>0.1000186</v>
      </c>
      <c r="BE127">
        <v>0</v>
      </c>
      <c r="BF127">
        <v>25</v>
      </c>
      <c r="BG127">
        <v>13190.94</v>
      </c>
      <c r="BH127">
        <v>1771105107.0999999</v>
      </c>
      <c r="BI127" t="s">
        <v>498</v>
      </c>
      <c r="BJ127">
        <v>1771105107.0999999</v>
      </c>
      <c r="BK127">
        <v>1771105081.0999999</v>
      </c>
      <c r="BL127">
        <v>18</v>
      </c>
      <c r="BM127">
        <v>-0.40100000000000002</v>
      </c>
      <c r="BN127">
        <v>2.5999999999999999E-2</v>
      </c>
      <c r="BO127">
        <v>-0.72699999999999998</v>
      </c>
      <c r="BP127">
        <v>8.8999999999999996E-2</v>
      </c>
      <c r="BQ127">
        <v>375</v>
      </c>
      <c r="BR127">
        <v>15</v>
      </c>
      <c r="BS127">
        <v>0.16</v>
      </c>
      <c r="BT127">
        <v>0.05</v>
      </c>
      <c r="BU127">
        <v>-0.89109654999999999</v>
      </c>
      <c r="BV127">
        <v>0.113496315789473</v>
      </c>
      <c r="BW127">
        <v>2.1156553668958002E-2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1.8369715</v>
      </c>
      <c r="CD127">
        <v>-0.12525518796992399</v>
      </c>
      <c r="CE127">
        <v>1.6373535438322401E-2</v>
      </c>
      <c r="CF127">
        <v>0</v>
      </c>
      <c r="CG127">
        <v>1</v>
      </c>
      <c r="CH127">
        <v>2</v>
      </c>
      <c r="CI127" t="s">
        <v>299</v>
      </c>
      <c r="CJ127">
        <v>3.53254</v>
      </c>
      <c r="CK127">
        <v>2.7014900000000002</v>
      </c>
      <c r="CL127">
        <v>9.0999700000000003E-2</v>
      </c>
      <c r="CM127">
        <v>8.9916599999999999E-2</v>
      </c>
      <c r="CN127">
        <v>8.6700100000000002E-2</v>
      </c>
      <c r="CO127">
        <v>7.8069399999999997E-2</v>
      </c>
      <c r="CP127">
        <v>31844.2</v>
      </c>
      <c r="CQ127">
        <v>28029.7</v>
      </c>
      <c r="CR127">
        <v>32425.9</v>
      </c>
      <c r="CS127">
        <v>30728.799999999999</v>
      </c>
      <c r="CT127">
        <v>40112.400000000001</v>
      </c>
      <c r="CU127">
        <v>39854.400000000001</v>
      </c>
      <c r="CV127">
        <v>47367.5</v>
      </c>
      <c r="CW127">
        <v>46877.8</v>
      </c>
      <c r="CX127">
        <v>2.6141399999999999</v>
      </c>
      <c r="CY127">
        <v>2.1188199999999999</v>
      </c>
      <c r="CZ127">
        <v>0</v>
      </c>
      <c r="DA127">
        <v>0</v>
      </c>
      <c r="DB127">
        <v>999.9</v>
      </c>
      <c r="DC127">
        <v>999.9</v>
      </c>
      <c r="DD127">
        <v>45.042999999999999</v>
      </c>
      <c r="DE127">
        <v>28.821999999999999</v>
      </c>
      <c r="DF127">
        <v>17.938700000000001</v>
      </c>
      <c r="DG127">
        <v>30.408300000000001</v>
      </c>
      <c r="DH127">
        <v>17.039300000000001</v>
      </c>
      <c r="DI127">
        <v>2</v>
      </c>
      <c r="DJ127">
        <v>-6.9829299999999997E-2</v>
      </c>
      <c r="DK127">
        <v>2.6727300000000001</v>
      </c>
      <c r="DL127">
        <v>20.188099999999999</v>
      </c>
      <c r="DM127">
        <v>5.2511900000000002</v>
      </c>
      <c r="DN127">
        <v>12.033899999999999</v>
      </c>
      <c r="DO127">
        <v>4.9677600000000002</v>
      </c>
      <c r="DP127">
        <v>3.2910200000000001</v>
      </c>
      <c r="DQ127">
        <v>608.29999999999995</v>
      </c>
      <c r="DR127">
        <v>9999</v>
      </c>
      <c r="DS127">
        <v>9999</v>
      </c>
      <c r="DT127">
        <v>9999</v>
      </c>
      <c r="DU127">
        <v>1.8711800000000001</v>
      </c>
      <c r="DV127">
        <v>1.8762000000000001</v>
      </c>
      <c r="DW127">
        <v>1.8763700000000001</v>
      </c>
      <c r="DX127">
        <v>1.8828100000000001</v>
      </c>
      <c r="DY127">
        <v>1.87561</v>
      </c>
      <c r="DZ127">
        <v>1.87469</v>
      </c>
      <c r="EA127">
        <v>1.8708800000000001</v>
      </c>
      <c r="EB127">
        <v>1.8746799999999999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-0.72799999999999998</v>
      </c>
      <c r="EQ127">
        <v>8.8800000000000004E-2</v>
      </c>
      <c r="ER127">
        <v>-0.72720000000003904</v>
      </c>
      <c r="ES127">
        <v>0</v>
      </c>
      <c r="ET127">
        <v>0</v>
      </c>
      <c r="EU127">
        <v>0</v>
      </c>
      <c r="EV127">
        <v>8.8809999999996905E-2</v>
      </c>
      <c r="EW127">
        <v>0</v>
      </c>
      <c r="EX127">
        <v>0</v>
      </c>
      <c r="EY127">
        <v>0</v>
      </c>
      <c r="EZ127">
        <v>-1</v>
      </c>
      <c r="FA127">
        <v>-1</v>
      </c>
      <c r="FB127">
        <v>-1</v>
      </c>
      <c r="FC127">
        <v>-1</v>
      </c>
      <c r="FD127">
        <v>3.3</v>
      </c>
      <c r="FE127">
        <v>3.7</v>
      </c>
      <c r="FF127">
        <v>1.16333</v>
      </c>
      <c r="FG127">
        <v>2.6110799999999998</v>
      </c>
      <c r="FH127">
        <v>2.19604</v>
      </c>
      <c r="FI127">
        <v>2.5744600000000002</v>
      </c>
      <c r="FJ127">
        <v>2.4462899999999999</v>
      </c>
      <c r="FK127">
        <v>2.2534200000000002</v>
      </c>
      <c r="FL127">
        <v>33.087499999999999</v>
      </c>
      <c r="FM127">
        <v>24.1313</v>
      </c>
      <c r="FN127">
        <v>19</v>
      </c>
      <c r="FO127">
        <v>866.74400000000003</v>
      </c>
      <c r="FP127">
        <v>574.29</v>
      </c>
      <c r="FQ127">
        <v>17.837599999999998</v>
      </c>
      <c r="FR127">
        <v>26.094200000000001</v>
      </c>
      <c r="FS127">
        <v>30.0001</v>
      </c>
      <c r="FT127">
        <v>26.097200000000001</v>
      </c>
      <c r="FU127">
        <v>26.100899999999999</v>
      </c>
      <c r="FV127">
        <v>23.3537</v>
      </c>
      <c r="FW127">
        <v>28.233000000000001</v>
      </c>
      <c r="FX127">
        <v>37.220599999999997</v>
      </c>
      <c r="FY127">
        <v>17.838000000000001</v>
      </c>
      <c r="FZ127">
        <v>375</v>
      </c>
      <c r="GA127">
        <v>13.566000000000001</v>
      </c>
      <c r="GB127">
        <v>99.799599999999998</v>
      </c>
      <c r="GC127">
        <v>99.779899999999998</v>
      </c>
    </row>
    <row r="128" spans="1:185" x14ac:dyDescent="0.2">
      <c r="A128">
        <v>113</v>
      </c>
      <c r="B128">
        <v>1771105319.0999999</v>
      </c>
      <c r="C128">
        <v>2206</v>
      </c>
      <c r="D128" t="s">
        <v>527</v>
      </c>
      <c r="E128" t="s">
        <v>528</v>
      </c>
      <c r="F128">
        <v>15</v>
      </c>
      <c r="G128">
        <v>1771105311.03333</v>
      </c>
      <c r="H128">
        <f t="shared" si="13"/>
        <v>1.4892723382707634E-3</v>
      </c>
      <c r="I128">
        <v>0</v>
      </c>
      <c r="J128">
        <f t="shared" si="25"/>
        <v>8.8462368681225447E-3</v>
      </c>
      <c r="K128">
        <f t="shared" si="14"/>
        <v>0.1581818106865828</v>
      </c>
      <c r="L128">
        <f t="shared" si="15"/>
        <v>69.667331985375398</v>
      </c>
      <c r="M128">
        <f t="shared" si="16"/>
        <v>1.5362303274528371</v>
      </c>
      <c r="N128">
        <f t="shared" si="17"/>
        <v>2.2050942438492167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26206.629212962689</v>
      </c>
      <c r="T128">
        <f t="shared" si="21"/>
        <v>800.00006666666695</v>
      </c>
      <c r="U128">
        <f t="shared" si="22"/>
        <v>674.40050260003738</v>
      </c>
      <c r="V128">
        <f t="shared" si="23"/>
        <v>0.84300055799999996</v>
      </c>
      <c r="W128">
        <f t="shared" si="24"/>
        <v>0.15870139500000002</v>
      </c>
      <c r="X128">
        <v>1</v>
      </c>
      <c r="Y128">
        <v>1771105311.03333</v>
      </c>
      <c r="Z128">
        <v>374.10419999999999</v>
      </c>
      <c r="AA128">
        <v>374.99833333333299</v>
      </c>
      <c r="AB128">
        <v>15.361686666666699</v>
      </c>
      <c r="AC128">
        <v>13.528740000000001</v>
      </c>
      <c r="AD128">
        <v>374.83139999999997</v>
      </c>
      <c r="AE128">
        <v>15.272880000000001</v>
      </c>
      <c r="AF128">
        <v>800.02033333333304</v>
      </c>
      <c r="AG128">
        <v>99.940393333333304</v>
      </c>
      <c r="AH128">
        <v>6.3620599999999999E-2</v>
      </c>
      <c r="AI128">
        <v>18.999373333333299</v>
      </c>
      <c r="AJ128">
        <v>999.9</v>
      </c>
      <c r="AK128">
        <v>999.9</v>
      </c>
      <c r="AL128">
        <v>0</v>
      </c>
      <c r="AM128">
        <v>0</v>
      </c>
      <c r="AN128">
        <v>5000</v>
      </c>
      <c r="AO128">
        <v>0</v>
      </c>
      <c r="AP128">
        <v>1.58087</v>
      </c>
      <c r="AQ128">
        <v>-0.89409593333333304</v>
      </c>
      <c r="AR128">
        <v>379.94073333333301</v>
      </c>
      <c r="AS128">
        <v>380.14106666666697</v>
      </c>
      <c r="AT128">
        <v>1.8329593333333301</v>
      </c>
      <c r="AU128">
        <v>374.99833333333299</v>
      </c>
      <c r="AV128">
        <v>13.528740000000001</v>
      </c>
      <c r="AW128">
        <v>1.5352526666666699</v>
      </c>
      <c r="AX128">
        <v>1.3520666666666701</v>
      </c>
      <c r="AY128">
        <v>13.323840000000001</v>
      </c>
      <c r="AZ128">
        <v>11.3904666666667</v>
      </c>
      <c r="BA128">
        <v>800.00006666666695</v>
      </c>
      <c r="BB128">
        <v>0.89998140000000004</v>
      </c>
      <c r="BC128">
        <v>0</v>
      </c>
      <c r="BD128">
        <v>0.1000186</v>
      </c>
      <c r="BE128">
        <v>0</v>
      </c>
      <c r="BF128">
        <v>25</v>
      </c>
      <c r="BG128">
        <v>13190.96</v>
      </c>
      <c r="BH128">
        <v>1771105107.0999999</v>
      </c>
      <c r="BI128" t="s">
        <v>498</v>
      </c>
      <c r="BJ128">
        <v>1771105107.0999999</v>
      </c>
      <c r="BK128">
        <v>1771105081.0999999</v>
      </c>
      <c r="BL128">
        <v>18</v>
      </c>
      <c r="BM128">
        <v>-0.40100000000000002</v>
      </c>
      <c r="BN128">
        <v>2.5999999999999999E-2</v>
      </c>
      <c r="BO128">
        <v>-0.72699999999999998</v>
      </c>
      <c r="BP128">
        <v>8.8999999999999996E-2</v>
      </c>
      <c r="BQ128">
        <v>375</v>
      </c>
      <c r="BR128">
        <v>15</v>
      </c>
      <c r="BS128">
        <v>0.16</v>
      </c>
      <c r="BT128">
        <v>0.05</v>
      </c>
      <c r="BU128">
        <v>-0.89106976190476195</v>
      </c>
      <c r="BV128">
        <v>-2.0367428571427901E-2</v>
      </c>
      <c r="BW128">
        <v>1.9618489284357599E-2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1.8317576190476199</v>
      </c>
      <c r="CD128">
        <v>1.31742857142855E-2</v>
      </c>
      <c r="CE128">
        <v>2.6948768056689501E-3</v>
      </c>
      <c r="CF128">
        <v>1</v>
      </c>
      <c r="CG128">
        <v>2</v>
      </c>
      <c r="CH128">
        <v>2</v>
      </c>
      <c r="CI128" t="s">
        <v>322</v>
      </c>
      <c r="CJ128">
        <v>3.53247</v>
      </c>
      <c r="CK128">
        <v>2.7012499999999999</v>
      </c>
      <c r="CL128">
        <v>9.0994500000000006E-2</v>
      </c>
      <c r="CM128">
        <v>8.9917399999999995E-2</v>
      </c>
      <c r="CN128">
        <v>8.6701100000000003E-2</v>
      </c>
      <c r="CO128">
        <v>7.8057500000000002E-2</v>
      </c>
      <c r="CP128">
        <v>31843.9</v>
      </c>
      <c r="CQ128">
        <v>28029.9</v>
      </c>
      <c r="CR128">
        <v>32425.5</v>
      </c>
      <c r="CS128">
        <v>30729</v>
      </c>
      <c r="CT128">
        <v>40111.800000000003</v>
      </c>
      <c r="CU128">
        <v>39855.1</v>
      </c>
      <c r="CV128">
        <v>47366.9</v>
      </c>
      <c r="CW128">
        <v>46877.9</v>
      </c>
      <c r="CX128">
        <v>2.6139800000000002</v>
      </c>
      <c r="CY128">
        <v>2.1191800000000001</v>
      </c>
      <c r="CZ128">
        <v>0</v>
      </c>
      <c r="DA128">
        <v>0</v>
      </c>
      <c r="DB128">
        <v>999.9</v>
      </c>
      <c r="DC128">
        <v>999.9</v>
      </c>
      <c r="DD128">
        <v>44.994999999999997</v>
      </c>
      <c r="DE128">
        <v>28.821999999999999</v>
      </c>
      <c r="DF128">
        <v>17.922000000000001</v>
      </c>
      <c r="DG128">
        <v>30.5883</v>
      </c>
      <c r="DH128">
        <v>17.0793</v>
      </c>
      <c r="DI128">
        <v>2</v>
      </c>
      <c r="DJ128">
        <v>-6.9790599999999994E-2</v>
      </c>
      <c r="DK128">
        <v>2.68573</v>
      </c>
      <c r="DL128">
        <v>20.1877</v>
      </c>
      <c r="DM128">
        <v>5.2509499999999996</v>
      </c>
      <c r="DN128">
        <v>12.033899999999999</v>
      </c>
      <c r="DO128">
        <v>4.9676</v>
      </c>
      <c r="DP128">
        <v>3.2909999999999999</v>
      </c>
      <c r="DQ128">
        <v>608.29999999999995</v>
      </c>
      <c r="DR128">
        <v>9999</v>
      </c>
      <c r="DS128">
        <v>9999</v>
      </c>
      <c r="DT128">
        <v>9999</v>
      </c>
      <c r="DU128">
        <v>1.8711500000000001</v>
      </c>
      <c r="DV128">
        <v>1.8762000000000001</v>
      </c>
      <c r="DW128">
        <v>1.87636</v>
      </c>
      <c r="DX128">
        <v>1.8828199999999999</v>
      </c>
      <c r="DY128">
        <v>1.87561</v>
      </c>
      <c r="DZ128">
        <v>1.87469</v>
      </c>
      <c r="EA128">
        <v>1.87087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-0.72799999999999998</v>
      </c>
      <c r="EQ128">
        <v>8.8800000000000004E-2</v>
      </c>
      <c r="ER128">
        <v>-0.72720000000003904</v>
      </c>
      <c r="ES128">
        <v>0</v>
      </c>
      <c r="ET128">
        <v>0</v>
      </c>
      <c r="EU128">
        <v>0</v>
      </c>
      <c r="EV128">
        <v>8.8809999999996905E-2</v>
      </c>
      <c r="EW128">
        <v>0</v>
      </c>
      <c r="EX128">
        <v>0</v>
      </c>
      <c r="EY128">
        <v>0</v>
      </c>
      <c r="EZ128">
        <v>-1</v>
      </c>
      <c r="FA128">
        <v>-1</v>
      </c>
      <c r="FB128">
        <v>-1</v>
      </c>
      <c r="FC128">
        <v>-1</v>
      </c>
      <c r="FD128">
        <v>3.5</v>
      </c>
      <c r="FE128">
        <v>4</v>
      </c>
      <c r="FF128">
        <v>1.16333</v>
      </c>
      <c r="FG128">
        <v>2.5988799999999999</v>
      </c>
      <c r="FH128">
        <v>2.19604</v>
      </c>
      <c r="FI128">
        <v>2.5744600000000002</v>
      </c>
      <c r="FJ128">
        <v>2.4462899999999999</v>
      </c>
      <c r="FK128">
        <v>2.2839399999999999</v>
      </c>
      <c r="FL128">
        <v>33.065199999999997</v>
      </c>
      <c r="FM128">
        <v>24.1313</v>
      </c>
      <c r="FN128">
        <v>19</v>
      </c>
      <c r="FO128">
        <v>866.59400000000005</v>
      </c>
      <c r="FP128">
        <v>574.56600000000003</v>
      </c>
      <c r="FQ128">
        <v>17.839700000000001</v>
      </c>
      <c r="FR128">
        <v>26.094200000000001</v>
      </c>
      <c r="FS128">
        <v>30.0002</v>
      </c>
      <c r="FT128">
        <v>26.097200000000001</v>
      </c>
      <c r="FU128">
        <v>26.100899999999999</v>
      </c>
      <c r="FV128">
        <v>23.3565</v>
      </c>
      <c r="FW128">
        <v>28.233000000000001</v>
      </c>
      <c r="FX128">
        <v>36.849200000000003</v>
      </c>
      <c r="FY128">
        <v>17.839600000000001</v>
      </c>
      <c r="FZ128">
        <v>375</v>
      </c>
      <c r="GA128">
        <v>13.573700000000001</v>
      </c>
      <c r="GB128">
        <v>99.798299999999998</v>
      </c>
      <c r="GC128">
        <v>99.780299999999997</v>
      </c>
    </row>
    <row r="129" spans="1:185" x14ac:dyDescent="0.2">
      <c r="A129">
        <v>114</v>
      </c>
      <c r="B129">
        <v>1771105469.0999999</v>
      </c>
      <c r="C129">
        <v>2356</v>
      </c>
      <c r="D129" t="s">
        <v>529</v>
      </c>
      <c r="E129" t="s">
        <v>530</v>
      </c>
      <c r="F129">
        <v>15</v>
      </c>
      <c r="G129">
        <v>1771105461.0999999</v>
      </c>
      <c r="H129">
        <f t="shared" si="13"/>
        <v>-9.5306689609880171E-5</v>
      </c>
      <c r="I129">
        <v>0</v>
      </c>
      <c r="J129">
        <f t="shared" si="25"/>
        <v>0.17800487519846794</v>
      </c>
      <c r="K129">
        <f t="shared" si="14"/>
        <v>3.1829504330137501</v>
      </c>
      <c r="L129">
        <f t="shared" si="15"/>
        <v>71.439201571864515</v>
      </c>
      <c r="M129">
        <f t="shared" si="16"/>
        <v>1.5730585211986783</v>
      </c>
      <c r="N129">
        <f t="shared" si="17"/>
        <v>2.201954230432229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26201.436384992165</v>
      </c>
      <c r="T129">
        <f t="shared" si="21"/>
        <v>800.00099999999998</v>
      </c>
      <c r="U129">
        <f t="shared" si="22"/>
        <v>674.40077035990942</v>
      </c>
      <c r="V129">
        <f t="shared" si="23"/>
        <v>0.84299990920000023</v>
      </c>
      <c r="W129">
        <f t="shared" si="24"/>
        <v>0.15869946119200004</v>
      </c>
      <c r="X129">
        <v>1</v>
      </c>
      <c r="Y129">
        <v>1771105461.0999999</v>
      </c>
      <c r="Z129">
        <v>496.16053333333298</v>
      </c>
      <c r="AA129">
        <v>500.08013333333298</v>
      </c>
      <c r="AB129">
        <v>15.7302466666667</v>
      </c>
      <c r="AC129">
        <v>15.8475066666667</v>
      </c>
      <c r="AD129">
        <v>496.88780000000003</v>
      </c>
      <c r="AE129">
        <v>15.6414333333333</v>
      </c>
      <c r="AF129">
        <v>799.99566666666703</v>
      </c>
      <c r="AG129">
        <v>99.938966666666701</v>
      </c>
      <c r="AH129">
        <v>6.31855266666667E-2</v>
      </c>
      <c r="AI129">
        <v>18.97654</v>
      </c>
      <c r="AJ129">
        <v>999.9</v>
      </c>
      <c r="AK129">
        <v>999.9</v>
      </c>
      <c r="AL129">
        <v>0</v>
      </c>
      <c r="AM129">
        <v>0</v>
      </c>
      <c r="AN129">
        <v>4998.8666666666704</v>
      </c>
      <c r="AO129">
        <v>0</v>
      </c>
      <c r="AP129">
        <v>1.581548</v>
      </c>
      <c r="AQ129">
        <v>-3.919508</v>
      </c>
      <c r="AR129">
        <v>504.090466666667</v>
      </c>
      <c r="AS129">
        <v>508.13273333333302</v>
      </c>
      <c r="AT129">
        <v>-0.117270451333333</v>
      </c>
      <c r="AU129">
        <v>500.08013333333298</v>
      </c>
      <c r="AV129">
        <v>15.8475066666667</v>
      </c>
      <c r="AW129">
        <v>1.57206466666667</v>
      </c>
      <c r="AX129">
        <v>1.5837859999999999</v>
      </c>
      <c r="AY129">
        <v>13.6857666666667</v>
      </c>
      <c r="AZ129">
        <v>13.80082</v>
      </c>
      <c r="BA129">
        <v>800.00099999999998</v>
      </c>
      <c r="BB129">
        <v>0.90000766666666698</v>
      </c>
      <c r="BC129">
        <v>0</v>
      </c>
      <c r="BD129">
        <v>9.9992493333333293E-2</v>
      </c>
      <c r="BE129">
        <v>0</v>
      </c>
      <c r="BF129">
        <v>25</v>
      </c>
      <c r="BG129">
        <v>13191.06</v>
      </c>
      <c r="BH129">
        <v>1771105107.0999999</v>
      </c>
      <c r="BI129" t="s">
        <v>498</v>
      </c>
      <c r="BJ129">
        <v>1771105107.0999999</v>
      </c>
      <c r="BK129">
        <v>1771105081.0999999</v>
      </c>
      <c r="BL129">
        <v>18</v>
      </c>
      <c r="BM129">
        <v>-0.40100000000000002</v>
      </c>
      <c r="BN129">
        <v>2.5999999999999999E-2</v>
      </c>
      <c r="BO129">
        <v>-0.72699999999999998</v>
      </c>
      <c r="BP129">
        <v>8.8999999999999996E-2</v>
      </c>
      <c r="BQ129">
        <v>375</v>
      </c>
      <c r="BR129">
        <v>15</v>
      </c>
      <c r="BS129">
        <v>0.16</v>
      </c>
      <c r="BT129">
        <v>0.05</v>
      </c>
      <c r="BU129">
        <v>-5.0190242857142904</v>
      </c>
      <c r="BV129">
        <v>19.6883181818182</v>
      </c>
      <c r="BW129">
        <v>2.04328742336501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-0.38022065571428598</v>
      </c>
      <c r="CD129">
        <v>5.60210174961039</v>
      </c>
      <c r="CE129">
        <v>0.56986433095783695</v>
      </c>
      <c r="CF129">
        <v>0</v>
      </c>
      <c r="CG129">
        <v>0</v>
      </c>
      <c r="CH129">
        <v>2</v>
      </c>
      <c r="CI129" t="s">
        <v>290</v>
      </c>
      <c r="CJ129">
        <v>3.5324499999999999</v>
      </c>
      <c r="CK129">
        <v>2.70112</v>
      </c>
      <c r="CL129">
        <v>0.11282499999999999</v>
      </c>
      <c r="CM129">
        <v>0.111647</v>
      </c>
      <c r="CN129">
        <v>8.9762099999999997E-2</v>
      </c>
      <c r="CO129">
        <v>8.5969199999999996E-2</v>
      </c>
      <c r="CP129">
        <v>31079.1</v>
      </c>
      <c r="CQ129">
        <v>27360</v>
      </c>
      <c r="CR129">
        <v>32425.3</v>
      </c>
      <c r="CS129">
        <v>30728.1</v>
      </c>
      <c r="CT129">
        <v>39975.199999999997</v>
      </c>
      <c r="CU129">
        <v>39505.199999999997</v>
      </c>
      <c r="CV129">
        <v>47366.5</v>
      </c>
      <c r="CW129">
        <v>46876.800000000003</v>
      </c>
      <c r="CX129">
        <v>2.61252</v>
      </c>
      <c r="CY129">
        <v>2.12338</v>
      </c>
      <c r="CZ129">
        <v>0</v>
      </c>
      <c r="DA129">
        <v>0</v>
      </c>
      <c r="DB129">
        <v>999.9</v>
      </c>
      <c r="DC129">
        <v>999.9</v>
      </c>
      <c r="DD129">
        <v>45.959000000000003</v>
      </c>
      <c r="DE129">
        <v>28.821999999999999</v>
      </c>
      <c r="DF129">
        <v>18.304300000000001</v>
      </c>
      <c r="DG129">
        <v>30.468299999999999</v>
      </c>
      <c r="DH129">
        <v>16.943100000000001</v>
      </c>
      <c r="DI129">
        <v>2</v>
      </c>
      <c r="DJ129">
        <v>-6.9304900000000003E-2</v>
      </c>
      <c r="DK129">
        <v>2.4826899999999998</v>
      </c>
      <c r="DL129">
        <v>20.192</v>
      </c>
      <c r="DM129">
        <v>5.2476000000000003</v>
      </c>
      <c r="DN129">
        <v>12.033899999999999</v>
      </c>
      <c r="DO129">
        <v>4.96732</v>
      </c>
      <c r="DP129">
        <v>3.2906</v>
      </c>
      <c r="DQ129">
        <v>608.29999999999995</v>
      </c>
      <c r="DR129">
        <v>9999</v>
      </c>
      <c r="DS129">
        <v>9999</v>
      </c>
      <c r="DT129">
        <v>9999</v>
      </c>
      <c r="DU129">
        <v>1.8711599999999999</v>
      </c>
      <c r="DV129">
        <v>1.87612</v>
      </c>
      <c r="DW129">
        <v>1.87636</v>
      </c>
      <c r="DX129">
        <v>1.88286</v>
      </c>
      <c r="DY129">
        <v>1.87561</v>
      </c>
      <c r="DZ129">
        <v>1.8746700000000001</v>
      </c>
      <c r="EA129">
        <v>1.8708800000000001</v>
      </c>
      <c r="EB129">
        <v>1.87466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-0.72699999999999998</v>
      </c>
      <c r="EQ129">
        <v>8.8800000000000004E-2</v>
      </c>
      <c r="ER129">
        <v>-0.72720000000003904</v>
      </c>
      <c r="ES129">
        <v>0</v>
      </c>
      <c r="ET129">
        <v>0</v>
      </c>
      <c r="EU129">
        <v>0</v>
      </c>
      <c r="EV129">
        <v>8.8809999999996905E-2</v>
      </c>
      <c r="EW129">
        <v>0</v>
      </c>
      <c r="EX129">
        <v>0</v>
      </c>
      <c r="EY129">
        <v>0</v>
      </c>
      <c r="EZ129">
        <v>-1</v>
      </c>
      <c r="FA129">
        <v>-1</v>
      </c>
      <c r="FB129">
        <v>-1</v>
      </c>
      <c r="FC129">
        <v>-1</v>
      </c>
      <c r="FD129">
        <v>6</v>
      </c>
      <c r="FE129">
        <v>6.5</v>
      </c>
      <c r="FF129">
        <v>1.47217</v>
      </c>
      <c r="FG129">
        <v>2.6025399999999999</v>
      </c>
      <c r="FH129">
        <v>2.19604</v>
      </c>
      <c r="FI129">
        <v>2.5744600000000002</v>
      </c>
      <c r="FJ129">
        <v>2.4462899999999999</v>
      </c>
      <c r="FK129">
        <v>2.2790499999999998</v>
      </c>
      <c r="FL129">
        <v>33.087499999999999</v>
      </c>
      <c r="FM129">
        <v>24.105</v>
      </c>
      <c r="FN129">
        <v>19</v>
      </c>
      <c r="FO129">
        <v>865.37199999999996</v>
      </c>
      <c r="FP129">
        <v>577.84299999999996</v>
      </c>
      <c r="FQ129">
        <v>17.004300000000001</v>
      </c>
      <c r="FR129">
        <v>26.1096</v>
      </c>
      <c r="FS129">
        <v>29.995699999999999</v>
      </c>
      <c r="FT129">
        <v>26.106000000000002</v>
      </c>
      <c r="FU129">
        <v>26.1053</v>
      </c>
      <c r="FV129">
        <v>29.526800000000001</v>
      </c>
      <c r="FW129">
        <v>22.069199999999999</v>
      </c>
      <c r="FX129">
        <v>40.148299999999999</v>
      </c>
      <c r="FY129">
        <v>17.157</v>
      </c>
      <c r="FZ129">
        <v>500</v>
      </c>
      <c r="GA129">
        <v>15.04</v>
      </c>
      <c r="GB129">
        <v>99.797700000000006</v>
      </c>
      <c r="GC129">
        <v>99.777699999999996</v>
      </c>
    </row>
    <row r="130" spans="1:185" x14ac:dyDescent="0.2">
      <c r="A130">
        <v>115</v>
      </c>
      <c r="B130">
        <v>1771105484.0999999</v>
      </c>
      <c r="C130">
        <v>2371</v>
      </c>
      <c r="D130" t="s">
        <v>531</v>
      </c>
      <c r="E130" t="s">
        <v>532</v>
      </c>
      <c r="F130">
        <v>15</v>
      </c>
      <c r="G130">
        <v>1771105476.03333</v>
      </c>
      <c r="H130">
        <f t="shared" si="13"/>
        <v>8.4578304895173699E-4</v>
      </c>
      <c r="I130">
        <v>0</v>
      </c>
      <c r="J130">
        <f t="shared" si="25"/>
        <v>5.3471117256503692E-2</v>
      </c>
      <c r="K130">
        <f t="shared" si="14"/>
        <v>0.95613064325095665</v>
      </c>
      <c r="L130">
        <f t="shared" si="15"/>
        <v>73.746137675823263</v>
      </c>
      <c r="M130">
        <f t="shared" si="16"/>
        <v>1.6150481471822034</v>
      </c>
      <c r="N130">
        <f t="shared" si="17"/>
        <v>2.1900104847276314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26210.491238634098</v>
      </c>
      <c r="T130">
        <f t="shared" si="21"/>
        <v>799.99946666666699</v>
      </c>
      <c r="U130">
        <f t="shared" si="22"/>
        <v>674.39944352007126</v>
      </c>
      <c r="V130">
        <f t="shared" si="23"/>
        <v>0.84299986639999969</v>
      </c>
      <c r="W130">
        <f t="shared" si="24"/>
        <v>0.15869943214399995</v>
      </c>
      <c r="X130">
        <v>1</v>
      </c>
      <c r="Y130">
        <v>1771105476.03333</v>
      </c>
      <c r="Z130">
        <v>498.44639999999998</v>
      </c>
      <c r="AA130">
        <v>500.16853333333302</v>
      </c>
      <c r="AB130">
        <v>16.150099999999998</v>
      </c>
      <c r="AC130">
        <v>15.109946666666699</v>
      </c>
      <c r="AD130">
        <v>499.17373333333302</v>
      </c>
      <c r="AE130">
        <v>16.061299999999999</v>
      </c>
      <c r="AF130">
        <v>800.00086666666698</v>
      </c>
      <c r="AG130">
        <v>99.939053333333305</v>
      </c>
      <c r="AH130">
        <v>6.33087066666667E-2</v>
      </c>
      <c r="AI130">
        <v>18.889426666666701</v>
      </c>
      <c r="AJ130">
        <v>999.9</v>
      </c>
      <c r="AK130">
        <v>999.9</v>
      </c>
      <c r="AL130">
        <v>0</v>
      </c>
      <c r="AM130">
        <v>0</v>
      </c>
      <c r="AN130">
        <v>4999.0666666666702</v>
      </c>
      <c r="AO130">
        <v>0</v>
      </c>
      <c r="AP130">
        <v>1.588328</v>
      </c>
      <c r="AQ130">
        <v>-1.722254</v>
      </c>
      <c r="AR130">
        <v>506.62860000000001</v>
      </c>
      <c r="AS130">
        <v>507.84219999999999</v>
      </c>
      <c r="AT130">
        <v>1.0401559333333299</v>
      </c>
      <c r="AU130">
        <v>500.16853333333302</v>
      </c>
      <c r="AV130">
        <v>15.109946666666699</v>
      </c>
      <c r="AW130">
        <v>1.6140273333333299</v>
      </c>
      <c r="AX130">
        <v>1.51007466666667</v>
      </c>
      <c r="AY130">
        <v>14.093353333333299</v>
      </c>
      <c r="AZ130">
        <v>13.0694466666667</v>
      </c>
      <c r="BA130">
        <v>799.99946666666699</v>
      </c>
      <c r="BB130">
        <v>0.90000793333333295</v>
      </c>
      <c r="BC130">
        <v>0</v>
      </c>
      <c r="BD130">
        <v>9.9992186666666705E-2</v>
      </c>
      <c r="BE130">
        <v>0</v>
      </c>
      <c r="BF130">
        <v>25</v>
      </c>
      <c r="BG130">
        <v>13191.0333333333</v>
      </c>
      <c r="BH130">
        <v>1771105107.0999999</v>
      </c>
      <c r="BI130" t="s">
        <v>498</v>
      </c>
      <c r="BJ130">
        <v>1771105107.0999999</v>
      </c>
      <c r="BK130">
        <v>1771105081.0999999</v>
      </c>
      <c r="BL130">
        <v>18</v>
      </c>
      <c r="BM130">
        <v>-0.40100000000000002</v>
      </c>
      <c r="BN130">
        <v>2.5999999999999999E-2</v>
      </c>
      <c r="BO130">
        <v>-0.72699999999999998</v>
      </c>
      <c r="BP130">
        <v>8.8999999999999996E-2</v>
      </c>
      <c r="BQ130">
        <v>375</v>
      </c>
      <c r="BR130">
        <v>15</v>
      </c>
      <c r="BS130">
        <v>0.16</v>
      </c>
      <c r="BT130">
        <v>0.05</v>
      </c>
      <c r="BU130">
        <v>-2.1488838095238099</v>
      </c>
      <c r="BV130">
        <v>6.3386711688311701</v>
      </c>
      <c r="BW130">
        <v>0.65336922544371201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0.78126143000000003</v>
      </c>
      <c r="CD130">
        <v>3.8512764233766199</v>
      </c>
      <c r="CE130">
        <v>0.394223533242133</v>
      </c>
      <c r="CF130">
        <v>0</v>
      </c>
      <c r="CG130">
        <v>0</v>
      </c>
      <c r="CH130">
        <v>2</v>
      </c>
      <c r="CI130" t="s">
        <v>290</v>
      </c>
      <c r="CJ130">
        <v>3.53247</v>
      </c>
      <c r="CK130">
        <v>2.70105</v>
      </c>
      <c r="CL130">
        <v>0.112992</v>
      </c>
      <c r="CM130">
        <v>0.111612</v>
      </c>
      <c r="CN130">
        <v>9.0105699999999997E-2</v>
      </c>
      <c r="CO130">
        <v>8.3168300000000001E-2</v>
      </c>
      <c r="CP130">
        <v>31074.5</v>
      </c>
      <c r="CQ130">
        <v>27361.5</v>
      </c>
      <c r="CR130">
        <v>32426.7</v>
      </c>
      <c r="CS130">
        <v>30728.6</v>
      </c>
      <c r="CT130">
        <v>39961.699999999997</v>
      </c>
      <c r="CU130">
        <v>39630.199999999997</v>
      </c>
      <c r="CV130">
        <v>47368.800000000003</v>
      </c>
      <c r="CW130">
        <v>46877.599999999999</v>
      </c>
      <c r="CX130">
        <v>2.61328</v>
      </c>
      <c r="CY130">
        <v>2.1221800000000002</v>
      </c>
      <c r="CZ130">
        <v>0</v>
      </c>
      <c r="DA130">
        <v>0</v>
      </c>
      <c r="DB130">
        <v>999.9</v>
      </c>
      <c r="DC130">
        <v>999.9</v>
      </c>
      <c r="DD130">
        <v>45.982999999999997</v>
      </c>
      <c r="DE130">
        <v>28.841999999999999</v>
      </c>
      <c r="DF130">
        <v>18.336300000000001</v>
      </c>
      <c r="DG130">
        <v>30.648299999999999</v>
      </c>
      <c r="DH130">
        <v>16.987200000000001</v>
      </c>
      <c r="DI130">
        <v>2</v>
      </c>
      <c r="DJ130">
        <v>-6.8859799999999999E-2</v>
      </c>
      <c r="DK130">
        <v>2.7509199999999998</v>
      </c>
      <c r="DL130">
        <v>20.187100000000001</v>
      </c>
      <c r="DM130">
        <v>5.2471199999999998</v>
      </c>
      <c r="DN130">
        <v>12.033899999999999</v>
      </c>
      <c r="DO130">
        <v>4.9670800000000002</v>
      </c>
      <c r="DP130">
        <v>3.2905799999999998</v>
      </c>
      <c r="DQ130">
        <v>608.29999999999995</v>
      </c>
      <c r="DR130">
        <v>9999</v>
      </c>
      <c r="DS130">
        <v>9999</v>
      </c>
      <c r="DT130">
        <v>9999</v>
      </c>
      <c r="DU130">
        <v>1.8711599999999999</v>
      </c>
      <c r="DV130">
        <v>1.8761399999999999</v>
      </c>
      <c r="DW130">
        <v>1.8763700000000001</v>
      </c>
      <c r="DX130">
        <v>1.8828499999999999</v>
      </c>
      <c r="DY130">
        <v>1.87561</v>
      </c>
      <c r="DZ130">
        <v>1.8746799999999999</v>
      </c>
      <c r="EA130">
        <v>1.8708800000000001</v>
      </c>
      <c r="EB130">
        <v>1.87466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-0.72699999999999998</v>
      </c>
      <c r="EQ130">
        <v>8.8800000000000004E-2</v>
      </c>
      <c r="ER130">
        <v>-0.72720000000003904</v>
      </c>
      <c r="ES130">
        <v>0</v>
      </c>
      <c r="ET130">
        <v>0</v>
      </c>
      <c r="EU130">
        <v>0</v>
      </c>
      <c r="EV130">
        <v>8.8809999999996905E-2</v>
      </c>
      <c r="EW130">
        <v>0</v>
      </c>
      <c r="EX130">
        <v>0</v>
      </c>
      <c r="EY130">
        <v>0</v>
      </c>
      <c r="EZ130">
        <v>-1</v>
      </c>
      <c r="FA130">
        <v>-1</v>
      </c>
      <c r="FB130">
        <v>-1</v>
      </c>
      <c r="FC130">
        <v>-1</v>
      </c>
      <c r="FD130">
        <v>6.3</v>
      </c>
      <c r="FE130">
        <v>6.7</v>
      </c>
      <c r="FF130">
        <v>1.47095</v>
      </c>
      <c r="FG130">
        <v>2.6037599999999999</v>
      </c>
      <c r="FH130">
        <v>2.19604</v>
      </c>
      <c r="FI130">
        <v>2.5744600000000002</v>
      </c>
      <c r="FJ130">
        <v>2.4462899999999999</v>
      </c>
      <c r="FK130">
        <v>2.2558600000000002</v>
      </c>
      <c r="FL130">
        <v>33.087499999999999</v>
      </c>
      <c r="FM130">
        <v>24.1313</v>
      </c>
      <c r="FN130">
        <v>19</v>
      </c>
      <c r="FO130">
        <v>866.08100000000002</v>
      </c>
      <c r="FP130">
        <v>576.91899999999998</v>
      </c>
      <c r="FQ130">
        <v>17.3278</v>
      </c>
      <c r="FR130">
        <v>26.113199999999999</v>
      </c>
      <c r="FS130">
        <v>30</v>
      </c>
      <c r="FT130">
        <v>26.106000000000002</v>
      </c>
      <c r="FU130">
        <v>26.1053</v>
      </c>
      <c r="FV130">
        <v>29.512699999999999</v>
      </c>
      <c r="FW130">
        <v>25.568000000000001</v>
      </c>
      <c r="FX130">
        <v>40.148299999999999</v>
      </c>
      <c r="FY130">
        <v>17.384799999999998</v>
      </c>
      <c r="FZ130">
        <v>500</v>
      </c>
      <c r="GA130">
        <v>14.411</v>
      </c>
      <c r="GB130">
        <v>99.802199999999999</v>
      </c>
      <c r="GC130">
        <v>99.779399999999995</v>
      </c>
    </row>
    <row r="131" spans="1:185" x14ac:dyDescent="0.2">
      <c r="A131">
        <v>116</v>
      </c>
      <c r="B131">
        <v>1771105499.0999999</v>
      </c>
      <c r="C131">
        <v>2386</v>
      </c>
      <c r="D131" t="s">
        <v>533</v>
      </c>
      <c r="E131" t="s">
        <v>534</v>
      </c>
      <c r="F131">
        <v>15</v>
      </c>
      <c r="G131">
        <v>1771105491.03333</v>
      </c>
      <c r="H131">
        <f t="shared" si="13"/>
        <v>1.3001018815347381E-3</v>
      </c>
      <c r="I131">
        <v>0</v>
      </c>
      <c r="J131">
        <f t="shared" si="25"/>
        <v>1.4308970080728109E-2</v>
      </c>
      <c r="K131">
        <f t="shared" si="14"/>
        <v>0.25586233221788929</v>
      </c>
      <c r="L131">
        <f t="shared" si="15"/>
        <v>73.555406584986528</v>
      </c>
      <c r="M131">
        <f t="shared" si="16"/>
        <v>1.6088091301687977</v>
      </c>
      <c r="N131">
        <f t="shared" si="17"/>
        <v>2.1872071746486319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26227.001003172682</v>
      </c>
      <c r="T131">
        <f t="shared" si="21"/>
        <v>800.00006666666695</v>
      </c>
      <c r="U131">
        <f t="shared" si="22"/>
        <v>674.39977011997655</v>
      </c>
      <c r="V131">
        <f t="shared" si="23"/>
        <v>0.84299964240000025</v>
      </c>
      <c r="W131">
        <f t="shared" si="24"/>
        <v>0.15869939182400003</v>
      </c>
      <c r="X131">
        <v>1</v>
      </c>
      <c r="Y131">
        <v>1771105491.03333</v>
      </c>
      <c r="Z131">
        <v>498.939866666667</v>
      </c>
      <c r="AA131">
        <v>500.070533333333</v>
      </c>
      <c r="AB131">
        <v>16.087613333333302</v>
      </c>
      <c r="AC131">
        <v>14.488633333333301</v>
      </c>
      <c r="AD131">
        <v>499.66699999999997</v>
      </c>
      <c r="AE131">
        <v>15.998806666666701</v>
      </c>
      <c r="AF131">
        <v>800.00146666666706</v>
      </c>
      <c r="AG131">
        <v>99.939506666666702</v>
      </c>
      <c r="AH131">
        <v>6.3464366666666702E-2</v>
      </c>
      <c r="AI131">
        <v>18.868919999999999</v>
      </c>
      <c r="AJ131">
        <v>999.9</v>
      </c>
      <c r="AK131">
        <v>999.9</v>
      </c>
      <c r="AL131">
        <v>0</v>
      </c>
      <c r="AM131">
        <v>0</v>
      </c>
      <c r="AN131">
        <v>5001.4666666666699</v>
      </c>
      <c r="AO131">
        <v>0</v>
      </c>
      <c r="AP131">
        <v>1.5839586666666701</v>
      </c>
      <c r="AQ131">
        <v>-1.1306326666666699</v>
      </c>
      <c r="AR131">
        <v>507.097733333333</v>
      </c>
      <c r="AS131">
        <v>507.42239999999998</v>
      </c>
      <c r="AT131">
        <v>1.5989786666666701</v>
      </c>
      <c r="AU131">
        <v>500.070533333333</v>
      </c>
      <c r="AV131">
        <v>14.488633333333301</v>
      </c>
      <c r="AW131">
        <v>1.60778933333333</v>
      </c>
      <c r="AX131">
        <v>1.44798733333333</v>
      </c>
      <c r="AY131">
        <v>14.0335866666667</v>
      </c>
      <c r="AZ131">
        <v>12.4289666666667</v>
      </c>
      <c r="BA131">
        <v>800.00006666666695</v>
      </c>
      <c r="BB131">
        <v>0.90000766666666698</v>
      </c>
      <c r="BC131">
        <v>0</v>
      </c>
      <c r="BD131">
        <v>9.9992186666666594E-2</v>
      </c>
      <c r="BE131">
        <v>0</v>
      </c>
      <c r="BF131">
        <v>25</v>
      </c>
      <c r="BG131">
        <v>13191.053333333301</v>
      </c>
      <c r="BH131">
        <v>1771105107.0999999</v>
      </c>
      <c r="BI131" t="s">
        <v>498</v>
      </c>
      <c r="BJ131">
        <v>1771105107.0999999</v>
      </c>
      <c r="BK131">
        <v>1771105081.0999999</v>
      </c>
      <c r="BL131">
        <v>18</v>
      </c>
      <c r="BM131">
        <v>-0.40100000000000002</v>
      </c>
      <c r="BN131">
        <v>2.5999999999999999E-2</v>
      </c>
      <c r="BO131">
        <v>-0.72699999999999998</v>
      </c>
      <c r="BP131">
        <v>8.8999999999999996E-2</v>
      </c>
      <c r="BQ131">
        <v>375</v>
      </c>
      <c r="BR131">
        <v>15</v>
      </c>
      <c r="BS131">
        <v>0.16</v>
      </c>
      <c r="BT131">
        <v>0.05</v>
      </c>
      <c r="BU131">
        <v>-1.20294285714286</v>
      </c>
      <c r="BV131">
        <v>1.1324555844155899</v>
      </c>
      <c r="BW131">
        <v>0.13409763483383</v>
      </c>
      <c r="BX131">
        <v>0</v>
      </c>
      <c r="BY131">
        <v>0</v>
      </c>
      <c r="BZ131">
        <v>0</v>
      </c>
      <c r="CA131">
        <v>0</v>
      </c>
      <c r="CB131">
        <v>-1</v>
      </c>
      <c r="CC131">
        <v>1.50531142857143</v>
      </c>
      <c r="CD131">
        <v>1.7586724675324701</v>
      </c>
      <c r="CE131">
        <v>0.18036576692629799</v>
      </c>
      <c r="CF131">
        <v>0</v>
      </c>
      <c r="CG131">
        <v>0</v>
      </c>
      <c r="CH131">
        <v>2</v>
      </c>
      <c r="CI131" t="s">
        <v>290</v>
      </c>
      <c r="CJ131">
        <v>3.5325600000000001</v>
      </c>
      <c r="CK131">
        <v>2.7014399999999998</v>
      </c>
      <c r="CL131">
        <v>0.113008</v>
      </c>
      <c r="CM131">
        <v>0.111612</v>
      </c>
      <c r="CN131">
        <v>8.9370000000000005E-2</v>
      </c>
      <c r="CO131">
        <v>8.0983399999999997E-2</v>
      </c>
      <c r="CP131">
        <v>31073.599999999999</v>
      </c>
      <c r="CQ131">
        <v>27361</v>
      </c>
      <c r="CR131">
        <v>32426.3</v>
      </c>
      <c r="CS131">
        <v>30728.1</v>
      </c>
      <c r="CT131">
        <v>39994.400000000001</v>
      </c>
      <c r="CU131">
        <v>39726.400000000001</v>
      </c>
      <c r="CV131">
        <v>47368.1</v>
      </c>
      <c r="CW131">
        <v>46876.7</v>
      </c>
      <c r="CX131">
        <v>2.61408</v>
      </c>
      <c r="CY131">
        <v>2.1210399999999998</v>
      </c>
      <c r="CZ131">
        <v>0</v>
      </c>
      <c r="DA131">
        <v>0</v>
      </c>
      <c r="DB131">
        <v>999.9</v>
      </c>
      <c r="DC131">
        <v>999.9</v>
      </c>
      <c r="DD131">
        <v>45.947000000000003</v>
      </c>
      <c r="DE131">
        <v>28.852</v>
      </c>
      <c r="DF131">
        <v>18.331600000000002</v>
      </c>
      <c r="DG131">
        <v>30.318300000000001</v>
      </c>
      <c r="DH131">
        <v>16.899000000000001</v>
      </c>
      <c r="DI131">
        <v>2</v>
      </c>
      <c r="DJ131">
        <v>-6.92276E-2</v>
      </c>
      <c r="DK131">
        <v>2.44285</v>
      </c>
      <c r="DL131">
        <v>20.192900000000002</v>
      </c>
      <c r="DM131">
        <v>5.2509499999999996</v>
      </c>
      <c r="DN131">
        <v>12.033899999999999</v>
      </c>
      <c r="DO131">
        <v>4.9676</v>
      </c>
      <c r="DP131">
        <v>3.2909999999999999</v>
      </c>
      <c r="DQ131">
        <v>608.29999999999995</v>
      </c>
      <c r="DR131">
        <v>9999</v>
      </c>
      <c r="DS131">
        <v>9999</v>
      </c>
      <c r="DT131">
        <v>9999</v>
      </c>
      <c r="DU131">
        <v>1.8711599999999999</v>
      </c>
      <c r="DV131">
        <v>1.8761399999999999</v>
      </c>
      <c r="DW131">
        <v>1.8763700000000001</v>
      </c>
      <c r="DX131">
        <v>1.8828400000000001</v>
      </c>
      <c r="DY131">
        <v>1.87561</v>
      </c>
      <c r="DZ131">
        <v>1.8746799999999999</v>
      </c>
      <c r="EA131">
        <v>1.87086</v>
      </c>
      <c r="EB131">
        <v>1.8746799999999999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-0.72699999999999998</v>
      </c>
      <c r="EQ131">
        <v>8.8900000000000007E-2</v>
      </c>
      <c r="ER131">
        <v>-0.72720000000003904</v>
      </c>
      <c r="ES131">
        <v>0</v>
      </c>
      <c r="ET131">
        <v>0</v>
      </c>
      <c r="EU131">
        <v>0</v>
      </c>
      <c r="EV131">
        <v>8.8809999999996905E-2</v>
      </c>
      <c r="EW131">
        <v>0</v>
      </c>
      <c r="EX131">
        <v>0</v>
      </c>
      <c r="EY131">
        <v>0</v>
      </c>
      <c r="EZ131">
        <v>-1</v>
      </c>
      <c r="FA131">
        <v>-1</v>
      </c>
      <c r="FB131">
        <v>-1</v>
      </c>
      <c r="FC131">
        <v>-1</v>
      </c>
      <c r="FD131">
        <v>6.5</v>
      </c>
      <c r="FE131">
        <v>7</v>
      </c>
      <c r="FF131">
        <v>1.47095</v>
      </c>
      <c r="FG131">
        <v>2.6000999999999999</v>
      </c>
      <c r="FH131">
        <v>2.19604</v>
      </c>
      <c r="FI131">
        <v>2.5744600000000002</v>
      </c>
      <c r="FJ131">
        <v>2.4462899999999999</v>
      </c>
      <c r="FK131">
        <v>2.32422</v>
      </c>
      <c r="FL131">
        <v>33.109900000000003</v>
      </c>
      <c r="FM131">
        <v>24.148800000000001</v>
      </c>
      <c r="FN131">
        <v>19</v>
      </c>
      <c r="FO131">
        <v>866.82799999999997</v>
      </c>
      <c r="FP131">
        <v>576.04200000000003</v>
      </c>
      <c r="FQ131">
        <v>17.579999999999998</v>
      </c>
      <c r="FR131">
        <v>26.116700000000002</v>
      </c>
      <c r="FS131">
        <v>30.0001</v>
      </c>
      <c r="FT131">
        <v>26.106000000000002</v>
      </c>
      <c r="FU131">
        <v>26.1053</v>
      </c>
      <c r="FV131">
        <v>29.502800000000001</v>
      </c>
      <c r="FW131">
        <v>27.508800000000001</v>
      </c>
      <c r="FX131">
        <v>39.771999999999998</v>
      </c>
      <c r="FY131">
        <v>17.6584</v>
      </c>
      <c r="FZ131">
        <v>500</v>
      </c>
      <c r="GA131">
        <v>14.036300000000001</v>
      </c>
      <c r="GB131">
        <v>99.800899999999999</v>
      </c>
      <c r="GC131">
        <v>99.777699999999996</v>
      </c>
    </row>
    <row r="132" spans="1:185" x14ac:dyDescent="0.2">
      <c r="A132">
        <v>117</v>
      </c>
      <c r="B132">
        <v>1771105514.0999999</v>
      </c>
      <c r="C132">
        <v>2401</v>
      </c>
      <c r="D132" t="s">
        <v>535</v>
      </c>
      <c r="E132" t="s">
        <v>536</v>
      </c>
      <c r="F132">
        <v>15</v>
      </c>
      <c r="G132">
        <v>1771105506.03333</v>
      </c>
      <c r="H132">
        <f t="shared" si="13"/>
        <v>1.482100835094156E-3</v>
      </c>
      <c r="I132">
        <v>0</v>
      </c>
      <c r="J132">
        <f t="shared" si="25"/>
        <v>8.2411217274143047E-3</v>
      </c>
      <c r="K132">
        <f t="shared" si="14"/>
        <v>0.14736159299876384</v>
      </c>
      <c r="L132">
        <f t="shared" si="15"/>
        <v>72.683507087835324</v>
      </c>
      <c r="M132">
        <f t="shared" si="16"/>
        <v>1.5902288492069965</v>
      </c>
      <c r="N132">
        <f t="shared" si="17"/>
        <v>2.1878812854823635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26221.736125429856</v>
      </c>
      <c r="T132">
        <f t="shared" si="21"/>
        <v>799.999866666667</v>
      </c>
      <c r="U132">
        <f t="shared" si="22"/>
        <v>674.39974056002495</v>
      </c>
      <c r="V132">
        <f t="shared" si="23"/>
        <v>0.8429998162000002</v>
      </c>
      <c r="W132">
        <f t="shared" si="24"/>
        <v>0.15869942357200004</v>
      </c>
      <c r="X132">
        <v>1</v>
      </c>
      <c r="Y132">
        <v>1771105506.03333</v>
      </c>
      <c r="Z132">
        <v>498.93886666666702</v>
      </c>
      <c r="AA132">
        <v>500.04739999999998</v>
      </c>
      <c r="AB132">
        <v>15.9017866666667</v>
      </c>
      <c r="AC132">
        <v>14.0786466666667</v>
      </c>
      <c r="AD132">
        <v>499.66593333333299</v>
      </c>
      <c r="AE132">
        <v>15.812986666666699</v>
      </c>
      <c r="AF132">
        <v>800.01139999999998</v>
      </c>
      <c r="AG132">
        <v>99.939613333333298</v>
      </c>
      <c r="AH132">
        <v>6.3542446666666696E-2</v>
      </c>
      <c r="AI132">
        <v>18.873853333333301</v>
      </c>
      <c r="AJ132">
        <v>999.9</v>
      </c>
      <c r="AK132">
        <v>999.9</v>
      </c>
      <c r="AL132">
        <v>0</v>
      </c>
      <c r="AM132">
        <v>0</v>
      </c>
      <c r="AN132">
        <v>5000.6666666666697</v>
      </c>
      <c r="AO132">
        <v>0</v>
      </c>
      <c r="AP132">
        <v>1.58463666666667</v>
      </c>
      <c r="AQ132">
        <v>-1.10876</v>
      </c>
      <c r="AR132">
        <v>507.00073333333302</v>
      </c>
      <c r="AS132">
        <v>507.18793333333298</v>
      </c>
      <c r="AT132">
        <v>1.8231506666666699</v>
      </c>
      <c r="AU132">
        <v>500.04739999999998</v>
      </c>
      <c r="AV132">
        <v>14.0786466666667</v>
      </c>
      <c r="AW132">
        <v>1.589218</v>
      </c>
      <c r="AX132">
        <v>1.407014</v>
      </c>
      <c r="AY132">
        <v>13.8545933333333</v>
      </c>
      <c r="AZ132">
        <v>11.9931866666667</v>
      </c>
      <c r="BA132">
        <v>799.999866666667</v>
      </c>
      <c r="BB132">
        <v>0.90000786666666699</v>
      </c>
      <c r="BC132">
        <v>0</v>
      </c>
      <c r="BD132">
        <v>9.9992193333333299E-2</v>
      </c>
      <c r="BE132">
        <v>0</v>
      </c>
      <c r="BF132">
        <v>25</v>
      </c>
      <c r="BG132">
        <v>13191.053333333301</v>
      </c>
      <c r="BH132">
        <v>1771105107.0999999</v>
      </c>
      <c r="BI132" t="s">
        <v>498</v>
      </c>
      <c r="BJ132">
        <v>1771105107.0999999</v>
      </c>
      <c r="BK132">
        <v>1771105081.0999999</v>
      </c>
      <c r="BL132">
        <v>18</v>
      </c>
      <c r="BM132">
        <v>-0.40100000000000002</v>
      </c>
      <c r="BN132">
        <v>2.5999999999999999E-2</v>
      </c>
      <c r="BO132">
        <v>-0.72699999999999998</v>
      </c>
      <c r="BP132">
        <v>8.8999999999999996E-2</v>
      </c>
      <c r="BQ132">
        <v>375</v>
      </c>
      <c r="BR132">
        <v>15</v>
      </c>
      <c r="BS132">
        <v>0.16</v>
      </c>
      <c r="BT132">
        <v>0.05</v>
      </c>
      <c r="BU132">
        <v>-1.1093833333333301</v>
      </c>
      <c r="BV132">
        <v>-1.1437402597403799E-2</v>
      </c>
      <c r="BW132">
        <v>2.88685462931434E-2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1.7790109523809501</v>
      </c>
      <c r="CD132">
        <v>0.64486129870129705</v>
      </c>
      <c r="CE132">
        <v>6.7545094630304406E-2</v>
      </c>
      <c r="CF132">
        <v>0</v>
      </c>
      <c r="CG132">
        <v>1</v>
      </c>
      <c r="CH132">
        <v>2</v>
      </c>
      <c r="CI132" t="s">
        <v>299</v>
      </c>
      <c r="CJ132">
        <v>3.53254</v>
      </c>
      <c r="CK132">
        <v>2.7011799999999999</v>
      </c>
      <c r="CL132">
        <v>0.11298999999999999</v>
      </c>
      <c r="CM132">
        <v>0.11158899999999999</v>
      </c>
      <c r="CN132">
        <v>8.8596599999999998E-2</v>
      </c>
      <c r="CO132">
        <v>7.9765799999999998E-2</v>
      </c>
      <c r="CP132">
        <v>31073.3</v>
      </c>
      <c r="CQ132">
        <v>27361.599999999999</v>
      </c>
      <c r="CR132">
        <v>32425.4</v>
      </c>
      <c r="CS132">
        <v>30728</v>
      </c>
      <c r="CT132">
        <v>40028.400000000001</v>
      </c>
      <c r="CU132">
        <v>39780.300000000003</v>
      </c>
      <c r="CV132">
        <v>47367</v>
      </c>
      <c r="CW132">
        <v>46876.7</v>
      </c>
      <c r="CX132">
        <v>2.6140599999999998</v>
      </c>
      <c r="CY132">
        <v>2.1205400000000001</v>
      </c>
      <c r="CZ132">
        <v>0</v>
      </c>
      <c r="DA132">
        <v>0</v>
      </c>
      <c r="DB132">
        <v>999.9</v>
      </c>
      <c r="DC132">
        <v>999.9</v>
      </c>
      <c r="DD132">
        <v>45.91</v>
      </c>
      <c r="DE132">
        <v>28.841999999999999</v>
      </c>
      <c r="DF132">
        <v>18.308</v>
      </c>
      <c r="DG132">
        <v>30.4983</v>
      </c>
      <c r="DH132">
        <v>16.979199999999999</v>
      </c>
      <c r="DI132">
        <v>2</v>
      </c>
      <c r="DJ132">
        <v>-6.9518300000000005E-2</v>
      </c>
      <c r="DK132">
        <v>2.1886399999999999</v>
      </c>
      <c r="DL132">
        <v>20.196999999999999</v>
      </c>
      <c r="DM132">
        <v>5.2501199999999999</v>
      </c>
      <c r="DN132">
        <v>12.033899999999999</v>
      </c>
      <c r="DO132">
        <v>4.9671599999999998</v>
      </c>
      <c r="DP132">
        <v>3.2909999999999999</v>
      </c>
      <c r="DQ132">
        <v>608.29999999999995</v>
      </c>
      <c r="DR132">
        <v>9999</v>
      </c>
      <c r="DS132">
        <v>9999</v>
      </c>
      <c r="DT132">
        <v>9999</v>
      </c>
      <c r="DU132">
        <v>1.8711500000000001</v>
      </c>
      <c r="DV132">
        <v>1.87612</v>
      </c>
      <c r="DW132">
        <v>1.87636</v>
      </c>
      <c r="DX132">
        <v>1.8828100000000001</v>
      </c>
      <c r="DY132">
        <v>1.87561</v>
      </c>
      <c r="DZ132">
        <v>1.87466</v>
      </c>
      <c r="EA132">
        <v>1.8708400000000001</v>
      </c>
      <c r="EB132">
        <v>1.8746100000000001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-0.72699999999999998</v>
      </c>
      <c r="EQ132">
        <v>8.8800000000000004E-2</v>
      </c>
      <c r="ER132">
        <v>-0.72720000000003904</v>
      </c>
      <c r="ES132">
        <v>0</v>
      </c>
      <c r="ET132">
        <v>0</v>
      </c>
      <c r="EU132">
        <v>0</v>
      </c>
      <c r="EV132">
        <v>8.8809999999996905E-2</v>
      </c>
      <c r="EW132">
        <v>0</v>
      </c>
      <c r="EX132">
        <v>0</v>
      </c>
      <c r="EY132">
        <v>0</v>
      </c>
      <c r="EZ132">
        <v>-1</v>
      </c>
      <c r="FA132">
        <v>-1</v>
      </c>
      <c r="FB132">
        <v>-1</v>
      </c>
      <c r="FC132">
        <v>-1</v>
      </c>
      <c r="FD132">
        <v>6.8</v>
      </c>
      <c r="FE132">
        <v>7.2</v>
      </c>
      <c r="FF132">
        <v>1.47095</v>
      </c>
      <c r="FG132">
        <v>2.6013199999999999</v>
      </c>
      <c r="FH132">
        <v>2.19604</v>
      </c>
      <c r="FI132">
        <v>2.5744600000000002</v>
      </c>
      <c r="FJ132">
        <v>2.4462899999999999</v>
      </c>
      <c r="FK132">
        <v>2.2802699999999998</v>
      </c>
      <c r="FL132">
        <v>33.087499999999999</v>
      </c>
      <c r="FM132">
        <v>24.14</v>
      </c>
      <c r="FN132">
        <v>19</v>
      </c>
      <c r="FO132">
        <v>866.84400000000005</v>
      </c>
      <c r="FP132">
        <v>575.68600000000004</v>
      </c>
      <c r="FQ132">
        <v>17.860199999999999</v>
      </c>
      <c r="FR132">
        <v>26.1206</v>
      </c>
      <c r="FS132">
        <v>29.9999</v>
      </c>
      <c r="FT132">
        <v>26.1082</v>
      </c>
      <c r="FU132">
        <v>26.107900000000001</v>
      </c>
      <c r="FV132">
        <v>29.500299999999999</v>
      </c>
      <c r="FW132">
        <v>28.695599999999999</v>
      </c>
      <c r="FX132">
        <v>39.771999999999998</v>
      </c>
      <c r="FY132">
        <v>17.926200000000001</v>
      </c>
      <c r="FZ132">
        <v>500</v>
      </c>
      <c r="GA132">
        <v>13.7948</v>
      </c>
      <c r="GB132">
        <v>99.798500000000004</v>
      </c>
      <c r="GC132">
        <v>99.777500000000003</v>
      </c>
    </row>
    <row r="133" spans="1:185" x14ac:dyDescent="0.2">
      <c r="A133">
        <v>118</v>
      </c>
      <c r="B133">
        <v>1771105529.0999999</v>
      </c>
      <c r="C133">
        <v>2416</v>
      </c>
      <c r="D133" t="s">
        <v>537</v>
      </c>
      <c r="E133" t="s">
        <v>538</v>
      </c>
      <c r="F133">
        <v>15</v>
      </c>
      <c r="G133">
        <v>1771105521.03333</v>
      </c>
      <c r="H133">
        <f t="shared" si="13"/>
        <v>1.5432620708112485E-3</v>
      </c>
      <c r="I133">
        <v>0</v>
      </c>
      <c r="J133">
        <f t="shared" si="25"/>
        <v>9.7699344899386045E-3</v>
      </c>
      <c r="K133">
        <f t="shared" si="14"/>
        <v>0.17469868272199829</v>
      </c>
      <c r="L133">
        <f t="shared" si="15"/>
        <v>71.767636527877144</v>
      </c>
      <c r="M133">
        <f t="shared" si="16"/>
        <v>1.5732474892774893</v>
      </c>
      <c r="N133">
        <f t="shared" si="17"/>
        <v>2.1921405878628635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26193.228282285079</v>
      </c>
      <c r="T133">
        <f t="shared" si="21"/>
        <v>799.99966666666705</v>
      </c>
      <c r="U133">
        <f t="shared" si="22"/>
        <v>674.39951100008716</v>
      </c>
      <c r="V133">
        <f t="shared" si="23"/>
        <v>0.84299974000000022</v>
      </c>
      <c r="W133">
        <f t="shared" si="24"/>
        <v>0.15869935000000004</v>
      </c>
      <c r="X133">
        <v>1</v>
      </c>
      <c r="Y133">
        <v>1771105521.03333</v>
      </c>
      <c r="Z133">
        <v>498.841133333333</v>
      </c>
      <c r="AA133">
        <v>500.02179999999998</v>
      </c>
      <c r="AB133">
        <v>15.732013333333301</v>
      </c>
      <c r="AC133">
        <v>13.833299999999999</v>
      </c>
      <c r="AD133">
        <v>499.56833333333299</v>
      </c>
      <c r="AE133">
        <v>15.6432066666667</v>
      </c>
      <c r="AF133">
        <v>800.00673333333305</v>
      </c>
      <c r="AG133">
        <v>99.939426666666705</v>
      </c>
      <c r="AH133">
        <v>6.3507220000000003E-2</v>
      </c>
      <c r="AI133">
        <v>18.904993333333302</v>
      </c>
      <c r="AJ133">
        <v>999.9</v>
      </c>
      <c r="AK133">
        <v>999.9</v>
      </c>
      <c r="AL133">
        <v>0</v>
      </c>
      <c r="AM133">
        <v>0</v>
      </c>
      <c r="AN133">
        <v>4996.4333333333298</v>
      </c>
      <c r="AO133">
        <v>0</v>
      </c>
      <c r="AP133">
        <v>1.5809453333333301</v>
      </c>
      <c r="AQ133">
        <v>-1.180604</v>
      </c>
      <c r="AR133">
        <v>506.81446666666699</v>
      </c>
      <c r="AS133">
        <v>507.03579999999999</v>
      </c>
      <c r="AT133">
        <v>1.89872333333333</v>
      </c>
      <c r="AU133">
        <v>500.02179999999998</v>
      </c>
      <c r="AV133">
        <v>13.833299999999999</v>
      </c>
      <c r="AW133">
        <v>1.57224866666667</v>
      </c>
      <c r="AX133">
        <v>1.3824920000000001</v>
      </c>
      <c r="AY133">
        <v>13.68942</v>
      </c>
      <c r="AZ133">
        <v>11.726793333333299</v>
      </c>
      <c r="BA133">
        <v>799.99966666666705</v>
      </c>
      <c r="BB133">
        <v>0.90000866666666701</v>
      </c>
      <c r="BC133">
        <v>0</v>
      </c>
      <c r="BD133">
        <v>9.9991333333333293E-2</v>
      </c>
      <c r="BE133">
        <v>0</v>
      </c>
      <c r="BF133">
        <v>25</v>
      </c>
      <c r="BG133">
        <v>13191.053333333301</v>
      </c>
      <c r="BH133">
        <v>1771105107.0999999</v>
      </c>
      <c r="BI133" t="s">
        <v>498</v>
      </c>
      <c r="BJ133">
        <v>1771105107.0999999</v>
      </c>
      <c r="BK133">
        <v>1771105081.0999999</v>
      </c>
      <c r="BL133">
        <v>18</v>
      </c>
      <c r="BM133">
        <v>-0.40100000000000002</v>
      </c>
      <c r="BN133">
        <v>2.5999999999999999E-2</v>
      </c>
      <c r="BO133">
        <v>-0.72699999999999998</v>
      </c>
      <c r="BP133">
        <v>8.8999999999999996E-2</v>
      </c>
      <c r="BQ133">
        <v>375</v>
      </c>
      <c r="BR133">
        <v>15</v>
      </c>
      <c r="BS133">
        <v>0.16</v>
      </c>
      <c r="BT133">
        <v>0.05</v>
      </c>
      <c r="BU133">
        <v>-1.16532285714286</v>
      </c>
      <c r="BV133">
        <v>-0.36577402597402697</v>
      </c>
      <c r="BW133">
        <v>4.4444456630383801E-2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1.8867976190476199</v>
      </c>
      <c r="CD133">
        <v>0.25003558441558399</v>
      </c>
      <c r="CE133">
        <v>2.6108372659024399E-2</v>
      </c>
      <c r="CF133">
        <v>0</v>
      </c>
      <c r="CG133">
        <v>1</v>
      </c>
      <c r="CH133">
        <v>2</v>
      </c>
      <c r="CI133" t="s">
        <v>299</v>
      </c>
      <c r="CJ133">
        <v>3.53254</v>
      </c>
      <c r="CK133">
        <v>2.7014800000000001</v>
      </c>
      <c r="CL133">
        <v>0.112973</v>
      </c>
      <c r="CM133">
        <v>0.111594</v>
      </c>
      <c r="CN133">
        <v>8.7947999999999998E-2</v>
      </c>
      <c r="CO133">
        <v>7.8838400000000003E-2</v>
      </c>
      <c r="CP133">
        <v>31073.3</v>
      </c>
      <c r="CQ133">
        <v>27360.799999999999</v>
      </c>
      <c r="CR133">
        <v>32424.7</v>
      </c>
      <c r="CS133">
        <v>30727.3</v>
      </c>
      <c r="CT133">
        <v>40056.9</v>
      </c>
      <c r="CU133">
        <v>39820.400000000001</v>
      </c>
      <c r="CV133">
        <v>47366.1</v>
      </c>
      <c r="CW133">
        <v>46875.5</v>
      </c>
      <c r="CX133">
        <v>2.6140400000000001</v>
      </c>
      <c r="CY133">
        <v>2.1200399999999999</v>
      </c>
      <c r="CZ133">
        <v>0</v>
      </c>
      <c r="DA133">
        <v>0</v>
      </c>
      <c r="DB133">
        <v>999.9</v>
      </c>
      <c r="DC133">
        <v>999.9</v>
      </c>
      <c r="DD133">
        <v>45.874000000000002</v>
      </c>
      <c r="DE133">
        <v>28.852</v>
      </c>
      <c r="DF133">
        <v>18.302900000000001</v>
      </c>
      <c r="DG133">
        <v>30.348299999999998</v>
      </c>
      <c r="DH133">
        <v>17.007200000000001</v>
      </c>
      <c r="DI133">
        <v>2</v>
      </c>
      <c r="DJ133">
        <v>-6.9487800000000002E-2</v>
      </c>
      <c r="DK133">
        <v>2.0905200000000002</v>
      </c>
      <c r="DL133">
        <v>20.197800000000001</v>
      </c>
      <c r="DM133">
        <v>5.2493999999999996</v>
      </c>
      <c r="DN133">
        <v>12.033899999999999</v>
      </c>
      <c r="DO133">
        <v>4.96732</v>
      </c>
      <c r="DP133">
        <v>3.2909999999999999</v>
      </c>
      <c r="DQ133">
        <v>608.29999999999995</v>
      </c>
      <c r="DR133">
        <v>9999</v>
      </c>
      <c r="DS133">
        <v>9999</v>
      </c>
      <c r="DT133">
        <v>9999</v>
      </c>
      <c r="DU133">
        <v>1.8711500000000001</v>
      </c>
      <c r="DV133">
        <v>1.87615</v>
      </c>
      <c r="DW133">
        <v>1.87636</v>
      </c>
      <c r="DX133">
        <v>1.8828100000000001</v>
      </c>
      <c r="DY133">
        <v>1.87561</v>
      </c>
      <c r="DZ133">
        <v>1.8746799999999999</v>
      </c>
      <c r="EA133">
        <v>1.87087</v>
      </c>
      <c r="EB133">
        <v>1.8746499999999999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-0.72799999999999998</v>
      </c>
      <c r="EQ133">
        <v>8.8800000000000004E-2</v>
      </c>
      <c r="ER133">
        <v>-0.72720000000003904</v>
      </c>
      <c r="ES133">
        <v>0</v>
      </c>
      <c r="ET133">
        <v>0</v>
      </c>
      <c r="EU133">
        <v>0</v>
      </c>
      <c r="EV133">
        <v>8.8809999999996905E-2</v>
      </c>
      <c r="EW133">
        <v>0</v>
      </c>
      <c r="EX133">
        <v>0</v>
      </c>
      <c r="EY133">
        <v>0</v>
      </c>
      <c r="EZ133">
        <v>-1</v>
      </c>
      <c r="FA133">
        <v>-1</v>
      </c>
      <c r="FB133">
        <v>-1</v>
      </c>
      <c r="FC133">
        <v>-1</v>
      </c>
      <c r="FD133">
        <v>7</v>
      </c>
      <c r="FE133">
        <v>7.5</v>
      </c>
      <c r="FF133">
        <v>1.46973</v>
      </c>
      <c r="FG133">
        <v>2.5964399999999999</v>
      </c>
      <c r="FH133">
        <v>2.19604</v>
      </c>
      <c r="FI133">
        <v>2.5756800000000002</v>
      </c>
      <c r="FJ133">
        <v>2.4462899999999999</v>
      </c>
      <c r="FK133">
        <v>2.2936999999999999</v>
      </c>
      <c r="FL133">
        <v>33.109900000000003</v>
      </c>
      <c r="FM133">
        <v>24.14</v>
      </c>
      <c r="FN133">
        <v>19</v>
      </c>
      <c r="FO133">
        <v>866.85299999999995</v>
      </c>
      <c r="FP133">
        <v>575.322</v>
      </c>
      <c r="FQ133">
        <v>18.0898</v>
      </c>
      <c r="FR133">
        <v>26.122800000000002</v>
      </c>
      <c r="FS133">
        <v>30.0002</v>
      </c>
      <c r="FT133">
        <v>26.11</v>
      </c>
      <c r="FU133">
        <v>26.1097</v>
      </c>
      <c r="FV133">
        <v>29.4956</v>
      </c>
      <c r="FW133">
        <v>29.26</v>
      </c>
      <c r="FX133">
        <v>39.399799999999999</v>
      </c>
      <c r="FY133">
        <v>18.130800000000001</v>
      </c>
      <c r="FZ133">
        <v>500</v>
      </c>
      <c r="GA133">
        <v>13.6439</v>
      </c>
      <c r="GB133">
        <v>99.796400000000006</v>
      </c>
      <c r="GC133">
        <v>99.775099999999995</v>
      </c>
    </row>
    <row r="134" spans="1:185" x14ac:dyDescent="0.2">
      <c r="A134">
        <v>119</v>
      </c>
      <c r="B134">
        <v>1771105544.0999999</v>
      </c>
      <c r="C134">
        <v>2431</v>
      </c>
      <c r="D134" t="s">
        <v>539</v>
      </c>
      <c r="E134" t="s">
        <v>540</v>
      </c>
      <c r="F134">
        <v>15</v>
      </c>
      <c r="G134">
        <v>1771105536.03333</v>
      </c>
      <c r="H134">
        <f t="shared" si="13"/>
        <v>1.5630276590914048E-3</v>
      </c>
      <c r="I134">
        <v>0</v>
      </c>
      <c r="J134">
        <f t="shared" si="25"/>
        <v>1.1429938344518904E-2</v>
      </c>
      <c r="K134">
        <f t="shared" si="14"/>
        <v>0.20438163371898499</v>
      </c>
      <c r="L134">
        <f t="shared" si="15"/>
        <v>70.969604091711659</v>
      </c>
      <c r="M134">
        <f t="shared" si="16"/>
        <v>1.5601139523458905</v>
      </c>
      <c r="N134">
        <f t="shared" si="17"/>
        <v>2.1982847055618446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26215.242852807667</v>
      </c>
      <c r="T134">
        <f t="shared" si="21"/>
        <v>800.00120000000004</v>
      </c>
      <c r="U134">
        <f t="shared" si="22"/>
        <v>674.40087751979888</v>
      </c>
      <c r="V134">
        <f t="shared" si="23"/>
        <v>0.84299983239999998</v>
      </c>
      <c r="W134">
        <f t="shared" si="24"/>
        <v>0.15869960698400001</v>
      </c>
      <c r="X134">
        <v>1</v>
      </c>
      <c r="Y134">
        <v>1771105536.03333</v>
      </c>
      <c r="Z134">
        <v>498.79733333333297</v>
      </c>
      <c r="AA134">
        <v>500.02733333333299</v>
      </c>
      <c r="AB134">
        <v>15.600813333333299</v>
      </c>
      <c r="AC134">
        <v>13.67754</v>
      </c>
      <c r="AD134">
        <v>499.52473333333302</v>
      </c>
      <c r="AE134">
        <v>15.5120133333333</v>
      </c>
      <c r="AF134">
        <v>800.01273333333302</v>
      </c>
      <c r="AG134">
        <v>99.938559999999995</v>
      </c>
      <c r="AH134">
        <v>6.3530853333333304E-2</v>
      </c>
      <c r="AI134">
        <v>18.949819999999999</v>
      </c>
      <c r="AJ134">
        <v>999.9</v>
      </c>
      <c r="AK134">
        <v>999.9</v>
      </c>
      <c r="AL134">
        <v>0</v>
      </c>
      <c r="AM134">
        <v>0</v>
      </c>
      <c r="AN134">
        <v>5000.7666666666701</v>
      </c>
      <c r="AO134">
        <v>0</v>
      </c>
      <c r="AP134">
        <v>1.58087</v>
      </c>
      <c r="AQ134">
        <v>-1.22986533333333</v>
      </c>
      <c r="AR134">
        <v>506.70260000000002</v>
      </c>
      <c r="AS134">
        <v>506.96133333333302</v>
      </c>
      <c r="AT134">
        <v>1.92328266666667</v>
      </c>
      <c r="AU134">
        <v>500.02733333333299</v>
      </c>
      <c r="AV134">
        <v>13.67754</v>
      </c>
      <c r="AW134">
        <v>1.55912466666667</v>
      </c>
      <c r="AX134">
        <v>1.36691266666667</v>
      </c>
      <c r="AY134">
        <v>13.560600000000001</v>
      </c>
      <c r="AZ134">
        <v>11.5554533333333</v>
      </c>
      <c r="BA134">
        <v>800.00120000000004</v>
      </c>
      <c r="BB134">
        <v>0.90000519999999995</v>
      </c>
      <c r="BC134">
        <v>0</v>
      </c>
      <c r="BD134">
        <v>9.9994786666666696E-2</v>
      </c>
      <c r="BE134">
        <v>0</v>
      </c>
      <c r="BF134">
        <v>25</v>
      </c>
      <c r="BG134">
        <v>13191.073333333299</v>
      </c>
      <c r="BH134">
        <v>1771105107.0999999</v>
      </c>
      <c r="BI134" t="s">
        <v>498</v>
      </c>
      <c r="BJ134">
        <v>1771105107.0999999</v>
      </c>
      <c r="BK134">
        <v>1771105081.0999999</v>
      </c>
      <c r="BL134">
        <v>18</v>
      </c>
      <c r="BM134">
        <v>-0.40100000000000002</v>
      </c>
      <c r="BN134">
        <v>2.5999999999999999E-2</v>
      </c>
      <c r="BO134">
        <v>-0.72699999999999998</v>
      </c>
      <c r="BP134">
        <v>8.8999999999999996E-2</v>
      </c>
      <c r="BQ134">
        <v>375</v>
      </c>
      <c r="BR134">
        <v>15</v>
      </c>
      <c r="BS134">
        <v>0.16</v>
      </c>
      <c r="BT134">
        <v>0.05</v>
      </c>
      <c r="BU134">
        <v>-1.2277575000000001</v>
      </c>
      <c r="BV134">
        <v>-0.169602857142859</v>
      </c>
      <c r="BW134">
        <v>4.0547620260010298E-2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1.9225239999999999</v>
      </c>
      <c r="CD134">
        <v>5.30887218045343E-3</v>
      </c>
      <c r="CE134">
        <v>1.2693446891999E-2</v>
      </c>
      <c r="CF134">
        <v>1</v>
      </c>
      <c r="CG134">
        <v>2</v>
      </c>
      <c r="CH134">
        <v>2</v>
      </c>
      <c r="CI134" t="s">
        <v>322</v>
      </c>
      <c r="CJ134">
        <v>3.5325500000000001</v>
      </c>
      <c r="CK134">
        <v>2.7015899999999999</v>
      </c>
      <c r="CL134">
        <v>0.112968</v>
      </c>
      <c r="CM134">
        <v>0.11158899999999999</v>
      </c>
      <c r="CN134">
        <v>8.7461700000000003E-2</v>
      </c>
      <c r="CO134">
        <v>7.8446600000000005E-2</v>
      </c>
      <c r="CP134">
        <v>31073.200000000001</v>
      </c>
      <c r="CQ134">
        <v>27360.3</v>
      </c>
      <c r="CR134">
        <v>32424.6</v>
      </c>
      <c r="CS134">
        <v>30726.7</v>
      </c>
      <c r="CT134">
        <v>40078.800000000003</v>
      </c>
      <c r="CU134">
        <v>39837.1</v>
      </c>
      <c r="CV134">
        <v>47365.9</v>
      </c>
      <c r="CW134">
        <v>46874.9</v>
      </c>
      <c r="CX134">
        <v>2.61408</v>
      </c>
      <c r="CY134">
        <v>2.1196199999999998</v>
      </c>
      <c r="CZ134">
        <v>0</v>
      </c>
      <c r="DA134">
        <v>0</v>
      </c>
      <c r="DB134">
        <v>999.9</v>
      </c>
      <c r="DC134">
        <v>999.9</v>
      </c>
      <c r="DD134">
        <v>45.787999999999997</v>
      </c>
      <c r="DE134">
        <v>28.841999999999999</v>
      </c>
      <c r="DF134">
        <v>18.2575</v>
      </c>
      <c r="DG134">
        <v>30.468299999999999</v>
      </c>
      <c r="DH134">
        <v>16.935099999999998</v>
      </c>
      <c r="DI134">
        <v>2</v>
      </c>
      <c r="DJ134">
        <v>-6.9142300000000004E-2</v>
      </c>
      <c r="DK134">
        <v>2.12405</v>
      </c>
      <c r="DL134">
        <v>20.197399999999998</v>
      </c>
      <c r="DM134">
        <v>5.2498800000000001</v>
      </c>
      <c r="DN134">
        <v>12.033899999999999</v>
      </c>
      <c r="DO134">
        <v>4.9673999999999996</v>
      </c>
      <c r="DP134">
        <v>3.2909999999999999</v>
      </c>
      <c r="DQ134">
        <v>608.29999999999995</v>
      </c>
      <c r="DR134">
        <v>9999</v>
      </c>
      <c r="DS134">
        <v>9999</v>
      </c>
      <c r="DT134">
        <v>9999</v>
      </c>
      <c r="DU134">
        <v>1.87113</v>
      </c>
      <c r="DV134">
        <v>1.8761099999999999</v>
      </c>
      <c r="DW134">
        <v>1.8763399999999999</v>
      </c>
      <c r="DX134">
        <v>1.8827799999999999</v>
      </c>
      <c r="DY134">
        <v>1.87561</v>
      </c>
      <c r="DZ134">
        <v>1.8746700000000001</v>
      </c>
      <c r="EA134">
        <v>1.8708499999999999</v>
      </c>
      <c r="EB134">
        <v>1.87462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-0.72799999999999998</v>
      </c>
      <c r="EQ134">
        <v>8.8800000000000004E-2</v>
      </c>
      <c r="ER134">
        <v>-0.72720000000003904</v>
      </c>
      <c r="ES134">
        <v>0</v>
      </c>
      <c r="ET134">
        <v>0</v>
      </c>
      <c r="EU134">
        <v>0</v>
      </c>
      <c r="EV134">
        <v>8.8809999999996905E-2</v>
      </c>
      <c r="EW134">
        <v>0</v>
      </c>
      <c r="EX134">
        <v>0</v>
      </c>
      <c r="EY134">
        <v>0</v>
      </c>
      <c r="EZ134">
        <v>-1</v>
      </c>
      <c r="FA134">
        <v>-1</v>
      </c>
      <c r="FB134">
        <v>-1</v>
      </c>
      <c r="FC134">
        <v>-1</v>
      </c>
      <c r="FD134">
        <v>7.3</v>
      </c>
      <c r="FE134">
        <v>7.7</v>
      </c>
      <c r="FF134">
        <v>1.46973</v>
      </c>
      <c r="FG134">
        <v>2.6013199999999999</v>
      </c>
      <c r="FH134">
        <v>2.19604</v>
      </c>
      <c r="FI134">
        <v>2.5756800000000002</v>
      </c>
      <c r="FJ134">
        <v>2.4462899999999999</v>
      </c>
      <c r="FK134">
        <v>2.3120099999999999</v>
      </c>
      <c r="FL134">
        <v>33.087499999999999</v>
      </c>
      <c r="FM134">
        <v>24.14</v>
      </c>
      <c r="FN134">
        <v>19</v>
      </c>
      <c r="FO134">
        <v>866.91899999999998</v>
      </c>
      <c r="FP134">
        <v>575.02700000000004</v>
      </c>
      <c r="FQ134">
        <v>18.229800000000001</v>
      </c>
      <c r="FR134">
        <v>26.125</v>
      </c>
      <c r="FS134">
        <v>30.0002</v>
      </c>
      <c r="FT134">
        <v>26.111699999999999</v>
      </c>
      <c r="FU134">
        <v>26.112300000000001</v>
      </c>
      <c r="FV134">
        <v>29.494199999999999</v>
      </c>
      <c r="FW134">
        <v>29.545999999999999</v>
      </c>
      <c r="FX134">
        <v>39.399799999999999</v>
      </c>
      <c r="FY134">
        <v>18.242100000000001</v>
      </c>
      <c r="FZ134">
        <v>500</v>
      </c>
      <c r="GA134">
        <v>13.5648</v>
      </c>
      <c r="GB134">
        <v>99.795900000000003</v>
      </c>
      <c r="GC134">
        <v>99.773399999999995</v>
      </c>
    </row>
    <row r="135" spans="1:185" x14ac:dyDescent="0.2">
      <c r="A135">
        <v>120</v>
      </c>
      <c r="B135">
        <v>1771105559.0999999</v>
      </c>
      <c r="C135">
        <v>2446</v>
      </c>
      <c r="D135" t="s">
        <v>541</v>
      </c>
      <c r="E135" t="s">
        <v>542</v>
      </c>
      <c r="F135">
        <v>15</v>
      </c>
      <c r="G135">
        <v>1771105551.03333</v>
      </c>
      <c r="H135">
        <f t="shared" si="13"/>
        <v>1.5377691069935952E-3</v>
      </c>
      <c r="I135">
        <v>0</v>
      </c>
      <c r="J135">
        <f t="shared" si="25"/>
        <v>1.2391012458596692E-2</v>
      </c>
      <c r="K135">
        <f t="shared" si="14"/>
        <v>0.22156684431589413</v>
      </c>
      <c r="L135">
        <f t="shared" si="15"/>
        <v>70.330709040261425</v>
      </c>
      <c r="M135">
        <f t="shared" si="16"/>
        <v>1.5503610456704322</v>
      </c>
      <c r="N135">
        <f t="shared" si="17"/>
        <v>2.2043870548538256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26201.005500587409</v>
      </c>
      <c r="T135">
        <f t="shared" si="21"/>
        <v>800.00019999999995</v>
      </c>
      <c r="U135">
        <f t="shared" si="22"/>
        <v>674.39999899995735</v>
      </c>
      <c r="V135">
        <f t="shared" si="23"/>
        <v>0.84299978799999975</v>
      </c>
      <c r="W135">
        <f t="shared" si="24"/>
        <v>0.15869959991999993</v>
      </c>
      <c r="X135">
        <v>1</v>
      </c>
      <c r="Y135">
        <v>1771105551.03333</v>
      </c>
      <c r="Z135">
        <v>498.76100000000002</v>
      </c>
      <c r="AA135">
        <v>499.99666666666701</v>
      </c>
      <c r="AB135">
        <v>15.503119999999999</v>
      </c>
      <c r="AC135">
        <v>13.6107333333333</v>
      </c>
      <c r="AD135">
        <v>499.488133333333</v>
      </c>
      <c r="AE135">
        <v>15.4143133333333</v>
      </c>
      <c r="AF135">
        <v>800.01033333333305</v>
      </c>
      <c r="AG135">
        <v>99.939526666666694</v>
      </c>
      <c r="AH135">
        <v>6.3636933333333298E-2</v>
      </c>
      <c r="AI135">
        <v>18.994233333333302</v>
      </c>
      <c r="AJ135">
        <v>999.9</v>
      </c>
      <c r="AK135">
        <v>999.9</v>
      </c>
      <c r="AL135">
        <v>0</v>
      </c>
      <c r="AM135">
        <v>0</v>
      </c>
      <c r="AN135">
        <v>4999.0333333333301</v>
      </c>
      <c r="AO135">
        <v>0</v>
      </c>
      <c r="AP135">
        <v>1.58087</v>
      </c>
      <c r="AQ135">
        <v>-1.2357526666666701</v>
      </c>
      <c r="AR135">
        <v>506.61513333333301</v>
      </c>
      <c r="AS135">
        <v>506.89586666666702</v>
      </c>
      <c r="AT135">
        <v>1.8923926666666699</v>
      </c>
      <c r="AU135">
        <v>499.99666666666701</v>
      </c>
      <c r="AV135">
        <v>13.6107333333333</v>
      </c>
      <c r="AW135">
        <v>1.549374</v>
      </c>
      <c r="AX135">
        <v>1.3602513333333299</v>
      </c>
      <c r="AY135">
        <v>13.4643</v>
      </c>
      <c r="AZ135">
        <v>11.4816066666667</v>
      </c>
      <c r="BA135">
        <v>800.00019999999995</v>
      </c>
      <c r="BB135">
        <v>0.90000513333333299</v>
      </c>
      <c r="BC135">
        <v>0</v>
      </c>
      <c r="BD135">
        <v>9.9994799999999995E-2</v>
      </c>
      <c r="BE135">
        <v>0</v>
      </c>
      <c r="BF135">
        <v>25</v>
      </c>
      <c r="BG135">
        <v>13191.0466666667</v>
      </c>
      <c r="BH135">
        <v>1771105107.0999999</v>
      </c>
      <c r="BI135" t="s">
        <v>498</v>
      </c>
      <c r="BJ135">
        <v>1771105107.0999999</v>
      </c>
      <c r="BK135">
        <v>1771105081.0999999</v>
      </c>
      <c r="BL135">
        <v>18</v>
      </c>
      <c r="BM135">
        <v>-0.40100000000000002</v>
      </c>
      <c r="BN135">
        <v>2.5999999999999999E-2</v>
      </c>
      <c r="BO135">
        <v>-0.72699999999999998</v>
      </c>
      <c r="BP135">
        <v>8.8999999999999996E-2</v>
      </c>
      <c r="BQ135">
        <v>375</v>
      </c>
      <c r="BR135">
        <v>15</v>
      </c>
      <c r="BS135">
        <v>0.16</v>
      </c>
      <c r="BT135">
        <v>0.05</v>
      </c>
      <c r="BU135">
        <v>-1.2453619047619</v>
      </c>
      <c r="BV135">
        <v>8.9814545454544897E-2</v>
      </c>
      <c r="BW135">
        <v>2.5026889847112498E-2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1.9014619047618999</v>
      </c>
      <c r="CD135">
        <v>-0.18683142857142801</v>
      </c>
      <c r="CE135">
        <v>2.0670738374410101E-2</v>
      </c>
      <c r="CF135">
        <v>0</v>
      </c>
      <c r="CG135">
        <v>1</v>
      </c>
      <c r="CH135">
        <v>2</v>
      </c>
      <c r="CI135" t="s">
        <v>299</v>
      </c>
      <c r="CJ135">
        <v>3.5325099999999998</v>
      </c>
      <c r="CK135">
        <v>2.7016399999999998</v>
      </c>
      <c r="CL135">
        <v>0.112966</v>
      </c>
      <c r="CM135">
        <v>0.111582</v>
      </c>
      <c r="CN135">
        <v>8.7140300000000004E-2</v>
      </c>
      <c r="CO135">
        <v>7.8260800000000005E-2</v>
      </c>
      <c r="CP135">
        <v>31073.4</v>
      </c>
      <c r="CQ135">
        <v>27360</v>
      </c>
      <c r="CR135">
        <v>32424.7</v>
      </c>
      <c r="CS135">
        <v>30726.1</v>
      </c>
      <c r="CT135">
        <v>40093.4</v>
      </c>
      <c r="CU135">
        <v>39844.699999999997</v>
      </c>
      <c r="CV135">
        <v>47366</v>
      </c>
      <c r="CW135">
        <v>46874.1</v>
      </c>
      <c r="CX135">
        <v>2.6141000000000001</v>
      </c>
      <c r="CY135">
        <v>2.11944</v>
      </c>
      <c r="CZ135">
        <v>0</v>
      </c>
      <c r="DA135">
        <v>0</v>
      </c>
      <c r="DB135">
        <v>999.9</v>
      </c>
      <c r="DC135">
        <v>999.9</v>
      </c>
      <c r="DD135">
        <v>45.738999999999997</v>
      </c>
      <c r="DE135">
        <v>28.821999999999999</v>
      </c>
      <c r="DF135">
        <v>18.2165</v>
      </c>
      <c r="DG135">
        <v>30.4983</v>
      </c>
      <c r="DH135">
        <v>17.031199999999998</v>
      </c>
      <c r="DI135">
        <v>2</v>
      </c>
      <c r="DJ135">
        <v>-6.7579299999999995E-2</v>
      </c>
      <c r="DK135">
        <v>3.3778100000000002</v>
      </c>
      <c r="DL135">
        <v>20.164200000000001</v>
      </c>
      <c r="DM135">
        <v>5.2497600000000002</v>
      </c>
      <c r="DN135">
        <v>12.033899999999999</v>
      </c>
      <c r="DO135">
        <v>4.9675599999999998</v>
      </c>
      <c r="DP135">
        <v>3.2909999999999999</v>
      </c>
      <c r="DQ135">
        <v>608.29999999999995</v>
      </c>
      <c r="DR135">
        <v>9999</v>
      </c>
      <c r="DS135">
        <v>9999</v>
      </c>
      <c r="DT135">
        <v>9999</v>
      </c>
      <c r="DU135">
        <v>1.8710500000000001</v>
      </c>
      <c r="DV135">
        <v>1.87609</v>
      </c>
      <c r="DW135">
        <v>1.87629</v>
      </c>
      <c r="DX135">
        <v>1.8827799999999999</v>
      </c>
      <c r="DY135">
        <v>1.8755999999999999</v>
      </c>
      <c r="DZ135">
        <v>1.8746</v>
      </c>
      <c r="EA135">
        <v>1.8708100000000001</v>
      </c>
      <c r="EB135">
        <v>1.8746100000000001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-0.72799999999999998</v>
      </c>
      <c r="EQ135">
        <v>8.8800000000000004E-2</v>
      </c>
      <c r="ER135">
        <v>-0.72720000000003904</v>
      </c>
      <c r="ES135">
        <v>0</v>
      </c>
      <c r="ET135">
        <v>0</v>
      </c>
      <c r="EU135">
        <v>0</v>
      </c>
      <c r="EV135">
        <v>8.8809999999996905E-2</v>
      </c>
      <c r="EW135">
        <v>0</v>
      </c>
      <c r="EX135">
        <v>0</v>
      </c>
      <c r="EY135">
        <v>0</v>
      </c>
      <c r="EZ135">
        <v>-1</v>
      </c>
      <c r="FA135">
        <v>-1</v>
      </c>
      <c r="FB135">
        <v>-1</v>
      </c>
      <c r="FC135">
        <v>-1</v>
      </c>
      <c r="FD135">
        <v>7.5</v>
      </c>
      <c r="FE135">
        <v>8</v>
      </c>
      <c r="FF135">
        <v>1.46973</v>
      </c>
      <c r="FG135">
        <v>2.6000999999999999</v>
      </c>
      <c r="FH135">
        <v>2.19604</v>
      </c>
      <c r="FI135">
        <v>2.5756800000000002</v>
      </c>
      <c r="FJ135">
        <v>2.4462899999999999</v>
      </c>
      <c r="FK135">
        <v>2.2973599999999998</v>
      </c>
      <c r="FL135">
        <v>33.109900000000003</v>
      </c>
      <c r="FM135">
        <v>24.113800000000001</v>
      </c>
      <c r="FN135">
        <v>19</v>
      </c>
      <c r="FO135">
        <v>866.952</v>
      </c>
      <c r="FP135">
        <v>574.91</v>
      </c>
      <c r="FQ135">
        <v>18.2423</v>
      </c>
      <c r="FR135">
        <v>26.125</v>
      </c>
      <c r="FS135">
        <v>30.001000000000001</v>
      </c>
      <c r="FT135">
        <v>26.1126</v>
      </c>
      <c r="FU135">
        <v>26.114100000000001</v>
      </c>
      <c r="FV135">
        <v>29.4968</v>
      </c>
      <c r="FW135">
        <v>29.545999999999999</v>
      </c>
      <c r="FX135">
        <v>39.0242</v>
      </c>
      <c r="FY135">
        <v>17.693300000000001</v>
      </c>
      <c r="FZ135">
        <v>500</v>
      </c>
      <c r="GA135">
        <v>13.6381</v>
      </c>
      <c r="GB135">
        <v>99.796300000000002</v>
      </c>
      <c r="GC135">
        <v>99.771600000000007</v>
      </c>
    </row>
    <row r="136" spans="1:185" x14ac:dyDescent="0.2">
      <c r="A136">
        <v>121</v>
      </c>
      <c r="B136">
        <v>1771105574.0999999</v>
      </c>
      <c r="C136">
        <v>2461</v>
      </c>
      <c r="D136" t="s">
        <v>543</v>
      </c>
      <c r="E136" t="s">
        <v>544</v>
      </c>
      <c r="F136">
        <v>15</v>
      </c>
      <c r="G136">
        <v>1771105566.03333</v>
      </c>
      <c r="H136">
        <f t="shared" si="13"/>
        <v>1.4965904763904587E-3</v>
      </c>
      <c r="I136">
        <v>0</v>
      </c>
      <c r="J136">
        <f t="shared" si="25"/>
        <v>1.4105762564824527E-2</v>
      </c>
      <c r="K136">
        <f t="shared" si="14"/>
        <v>0.25222872695839399</v>
      </c>
      <c r="L136">
        <f t="shared" si="15"/>
        <v>69.844894253122675</v>
      </c>
      <c r="M136">
        <f t="shared" si="16"/>
        <v>1.5420029261885042</v>
      </c>
      <c r="N136">
        <f t="shared" si="17"/>
        <v>2.2077532548051115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26173.273758920834</v>
      </c>
      <c r="T136">
        <f t="shared" si="21"/>
        <v>799.999866666667</v>
      </c>
      <c r="U136">
        <f t="shared" si="22"/>
        <v>674.39977544001886</v>
      </c>
      <c r="V136">
        <f t="shared" si="23"/>
        <v>0.84299985979999992</v>
      </c>
      <c r="W136">
        <f t="shared" si="24"/>
        <v>0.158699506588</v>
      </c>
      <c r="X136">
        <v>1</v>
      </c>
      <c r="Y136">
        <v>1771105566.03333</v>
      </c>
      <c r="Z136">
        <v>498.76826666666699</v>
      </c>
      <c r="AA136">
        <v>500.01659999999998</v>
      </c>
      <c r="AB136">
        <v>15.419473333333301</v>
      </c>
      <c r="AC136">
        <v>13.5776066666667</v>
      </c>
      <c r="AD136">
        <v>499.49560000000002</v>
      </c>
      <c r="AE136">
        <v>15.3306733333333</v>
      </c>
      <c r="AF136">
        <v>800.01113333333296</v>
      </c>
      <c r="AG136">
        <v>99.939966666666706</v>
      </c>
      <c r="AH136">
        <v>6.3638700000000006E-2</v>
      </c>
      <c r="AI136">
        <v>19.018686666666699</v>
      </c>
      <c r="AJ136">
        <v>999.9</v>
      </c>
      <c r="AK136">
        <v>999.9</v>
      </c>
      <c r="AL136">
        <v>0</v>
      </c>
      <c r="AM136">
        <v>0</v>
      </c>
      <c r="AN136">
        <v>4994.8</v>
      </c>
      <c r="AO136">
        <v>0</v>
      </c>
      <c r="AP136">
        <v>1.58087</v>
      </c>
      <c r="AQ136">
        <v>-1.248248</v>
      </c>
      <c r="AR136">
        <v>506.57946666666697</v>
      </c>
      <c r="AS136">
        <v>506.89906666666701</v>
      </c>
      <c r="AT136">
        <v>1.8418686666666699</v>
      </c>
      <c r="AU136">
        <v>500.01659999999998</v>
      </c>
      <c r="AV136">
        <v>13.5776066666667</v>
      </c>
      <c r="AW136">
        <v>1.54102133333333</v>
      </c>
      <c r="AX136">
        <v>1.3569466666666701</v>
      </c>
      <c r="AY136">
        <v>13.381353333333299</v>
      </c>
      <c r="AZ136">
        <v>11.444853333333301</v>
      </c>
      <c r="BA136">
        <v>799.999866666667</v>
      </c>
      <c r="BB136">
        <v>0.9000068</v>
      </c>
      <c r="BC136">
        <v>0</v>
      </c>
      <c r="BD136">
        <v>9.9993273333333299E-2</v>
      </c>
      <c r="BE136">
        <v>0</v>
      </c>
      <c r="BF136">
        <v>25</v>
      </c>
      <c r="BG136">
        <v>13191.053333333301</v>
      </c>
      <c r="BH136">
        <v>1771105107.0999999</v>
      </c>
      <c r="BI136" t="s">
        <v>498</v>
      </c>
      <c r="BJ136">
        <v>1771105107.0999999</v>
      </c>
      <c r="BK136">
        <v>1771105081.0999999</v>
      </c>
      <c r="BL136">
        <v>18</v>
      </c>
      <c r="BM136">
        <v>-0.40100000000000002</v>
      </c>
      <c r="BN136">
        <v>2.5999999999999999E-2</v>
      </c>
      <c r="BO136">
        <v>-0.72699999999999998</v>
      </c>
      <c r="BP136">
        <v>8.8999999999999996E-2</v>
      </c>
      <c r="BQ136">
        <v>375</v>
      </c>
      <c r="BR136">
        <v>15</v>
      </c>
      <c r="BS136">
        <v>0.16</v>
      </c>
      <c r="BT136">
        <v>0.05</v>
      </c>
      <c r="BU136">
        <v>-1.2454235</v>
      </c>
      <c r="BV136">
        <v>5.0219097744362701E-2</v>
      </c>
      <c r="BW136">
        <v>2.7702410775057099E-2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1.850679</v>
      </c>
      <c r="CD136">
        <v>-0.34792330827067702</v>
      </c>
      <c r="CE136">
        <v>3.8707589036260003E-2</v>
      </c>
      <c r="CF136">
        <v>0</v>
      </c>
      <c r="CG136">
        <v>1</v>
      </c>
      <c r="CH136">
        <v>2</v>
      </c>
      <c r="CI136" t="s">
        <v>299</v>
      </c>
      <c r="CJ136">
        <v>3.5326300000000002</v>
      </c>
      <c r="CK136">
        <v>2.7015899999999999</v>
      </c>
      <c r="CL136">
        <v>0.112965</v>
      </c>
      <c r="CM136">
        <v>0.111586</v>
      </c>
      <c r="CN136">
        <v>8.6844299999999999E-2</v>
      </c>
      <c r="CO136">
        <v>7.8421199999999996E-2</v>
      </c>
      <c r="CP136">
        <v>31072</v>
      </c>
      <c r="CQ136">
        <v>27359.3</v>
      </c>
      <c r="CR136">
        <v>32423.1</v>
      </c>
      <c r="CS136">
        <v>30725.4</v>
      </c>
      <c r="CT136">
        <v>40105.1</v>
      </c>
      <c r="CU136">
        <v>39836.699999999997</v>
      </c>
      <c r="CV136">
        <v>47363.9</v>
      </c>
      <c r="CW136">
        <v>46873</v>
      </c>
      <c r="CX136">
        <v>2.6137199999999998</v>
      </c>
      <c r="CY136">
        <v>2.1193200000000001</v>
      </c>
      <c r="CZ136">
        <v>0</v>
      </c>
      <c r="DA136">
        <v>0</v>
      </c>
      <c r="DB136">
        <v>999.9</v>
      </c>
      <c r="DC136">
        <v>999.9</v>
      </c>
      <c r="DD136">
        <v>45.665999999999997</v>
      </c>
      <c r="DE136">
        <v>28.841999999999999</v>
      </c>
      <c r="DF136">
        <v>18.210799999999999</v>
      </c>
      <c r="DG136">
        <v>30.4983</v>
      </c>
      <c r="DH136">
        <v>16.927099999999999</v>
      </c>
      <c r="DI136">
        <v>2</v>
      </c>
      <c r="DJ136">
        <v>-6.3619899999999993E-2</v>
      </c>
      <c r="DK136">
        <v>3.1636099999999998</v>
      </c>
      <c r="DL136">
        <v>20.177199999999999</v>
      </c>
      <c r="DM136">
        <v>5.25</v>
      </c>
      <c r="DN136">
        <v>12.033899999999999</v>
      </c>
      <c r="DO136">
        <v>4.9676799999999997</v>
      </c>
      <c r="DP136">
        <v>3.2909999999999999</v>
      </c>
      <c r="DQ136">
        <v>608.29999999999995</v>
      </c>
      <c r="DR136">
        <v>9999</v>
      </c>
      <c r="DS136">
        <v>9999</v>
      </c>
      <c r="DT136">
        <v>9999</v>
      </c>
      <c r="DU136">
        <v>1.8711500000000001</v>
      </c>
      <c r="DV136">
        <v>1.87612</v>
      </c>
      <c r="DW136">
        <v>1.87636</v>
      </c>
      <c r="DX136">
        <v>1.88279</v>
      </c>
      <c r="DY136">
        <v>1.87561</v>
      </c>
      <c r="DZ136">
        <v>1.8746499999999999</v>
      </c>
      <c r="EA136">
        <v>1.87083</v>
      </c>
      <c r="EB136">
        <v>1.87466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-0.72799999999999998</v>
      </c>
      <c r="EQ136">
        <v>8.8800000000000004E-2</v>
      </c>
      <c r="ER136">
        <v>-0.72720000000003904</v>
      </c>
      <c r="ES136">
        <v>0</v>
      </c>
      <c r="ET136">
        <v>0</v>
      </c>
      <c r="EU136">
        <v>0</v>
      </c>
      <c r="EV136">
        <v>8.8809999999996905E-2</v>
      </c>
      <c r="EW136">
        <v>0</v>
      </c>
      <c r="EX136">
        <v>0</v>
      </c>
      <c r="EY136">
        <v>0</v>
      </c>
      <c r="EZ136">
        <v>-1</v>
      </c>
      <c r="FA136">
        <v>-1</v>
      </c>
      <c r="FB136">
        <v>-1</v>
      </c>
      <c r="FC136">
        <v>-1</v>
      </c>
      <c r="FD136">
        <v>7.8</v>
      </c>
      <c r="FE136">
        <v>8.1999999999999993</v>
      </c>
      <c r="FF136">
        <v>1.46973</v>
      </c>
      <c r="FG136">
        <v>2.6037599999999999</v>
      </c>
      <c r="FH136">
        <v>2.19604</v>
      </c>
      <c r="FI136">
        <v>2.5756800000000002</v>
      </c>
      <c r="FJ136">
        <v>2.4462899999999999</v>
      </c>
      <c r="FK136">
        <v>2.3327599999999999</v>
      </c>
      <c r="FL136">
        <v>33.109900000000003</v>
      </c>
      <c r="FM136">
        <v>24.14</v>
      </c>
      <c r="FN136">
        <v>19</v>
      </c>
      <c r="FO136">
        <v>866.63199999999995</v>
      </c>
      <c r="FP136">
        <v>574.84100000000001</v>
      </c>
      <c r="FQ136">
        <v>17.586099999999998</v>
      </c>
      <c r="FR136">
        <v>26.125499999999999</v>
      </c>
      <c r="FS136">
        <v>29.998899999999999</v>
      </c>
      <c r="FT136">
        <v>26.114799999999999</v>
      </c>
      <c r="FU136">
        <v>26.116299999999999</v>
      </c>
      <c r="FV136">
        <v>29.493300000000001</v>
      </c>
      <c r="FW136">
        <v>29.2563</v>
      </c>
      <c r="FX136">
        <v>39.0242</v>
      </c>
      <c r="FY136">
        <v>17.635000000000002</v>
      </c>
      <c r="FZ136">
        <v>500</v>
      </c>
      <c r="GA136">
        <v>13.639900000000001</v>
      </c>
      <c r="GB136">
        <v>99.791700000000006</v>
      </c>
      <c r="GC136">
        <v>99.769400000000005</v>
      </c>
    </row>
    <row r="137" spans="1:185" x14ac:dyDescent="0.2">
      <c r="A137">
        <v>122</v>
      </c>
      <c r="B137">
        <v>1771105589.0999999</v>
      </c>
      <c r="C137">
        <v>2476</v>
      </c>
      <c r="D137" t="s">
        <v>545</v>
      </c>
      <c r="E137" t="s">
        <v>546</v>
      </c>
      <c r="F137">
        <v>15</v>
      </c>
      <c r="G137">
        <v>1771105581.03333</v>
      </c>
      <c r="H137">
        <f t="shared" si="13"/>
        <v>1.4449526069895686E-3</v>
      </c>
      <c r="I137">
        <v>0</v>
      </c>
      <c r="J137">
        <f t="shared" si="25"/>
        <v>1.4448797638321159E-2</v>
      </c>
      <c r="K137">
        <f t="shared" si="14"/>
        <v>0.2583626243278207</v>
      </c>
      <c r="L137">
        <f t="shared" si="15"/>
        <v>69.847275418848994</v>
      </c>
      <c r="M137">
        <f t="shared" si="16"/>
        <v>1.5390715241062429</v>
      </c>
      <c r="N137">
        <f t="shared" si="17"/>
        <v>2.2034811163026538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26242.123507892891</v>
      </c>
      <c r="T137">
        <f t="shared" si="21"/>
        <v>799.99773333333303</v>
      </c>
      <c r="U137">
        <f t="shared" si="22"/>
        <v>674.39779224084111</v>
      </c>
      <c r="V137">
        <f t="shared" si="23"/>
        <v>0.84299962880000001</v>
      </c>
      <c r="W137">
        <f t="shared" si="24"/>
        <v>0.15869951372799998</v>
      </c>
      <c r="X137">
        <v>1</v>
      </c>
      <c r="Y137">
        <v>1771105581.03333</v>
      </c>
      <c r="Z137">
        <v>498.76513333333298</v>
      </c>
      <c r="AA137">
        <v>499.98893333333302</v>
      </c>
      <c r="AB137">
        <v>15.39016</v>
      </c>
      <c r="AC137">
        <v>13.611793333333299</v>
      </c>
      <c r="AD137">
        <v>499.49220000000003</v>
      </c>
      <c r="AE137">
        <v>15.301353333333299</v>
      </c>
      <c r="AF137">
        <v>800.01193333333299</v>
      </c>
      <c r="AG137">
        <v>99.940026666666697</v>
      </c>
      <c r="AH137">
        <v>6.3581100000000002E-2</v>
      </c>
      <c r="AI137">
        <v>18.987646666666699</v>
      </c>
      <c r="AJ137">
        <v>999.9</v>
      </c>
      <c r="AK137">
        <v>999.9</v>
      </c>
      <c r="AL137">
        <v>0</v>
      </c>
      <c r="AM137">
        <v>0</v>
      </c>
      <c r="AN137">
        <v>5005.7</v>
      </c>
      <c r="AO137">
        <v>0</v>
      </c>
      <c r="AP137">
        <v>1.58087</v>
      </c>
      <c r="AQ137">
        <v>-1.22379666666667</v>
      </c>
      <c r="AR137">
        <v>506.56106666666699</v>
      </c>
      <c r="AS137">
        <v>506.88853333333299</v>
      </c>
      <c r="AT137">
        <v>1.7783706666666701</v>
      </c>
      <c r="AU137">
        <v>499.98893333333302</v>
      </c>
      <c r="AV137">
        <v>13.611793333333299</v>
      </c>
      <c r="AW137">
        <v>1.538092</v>
      </c>
      <c r="AX137">
        <v>1.3603626666666699</v>
      </c>
      <c r="AY137">
        <v>13.3521933333333</v>
      </c>
      <c r="AZ137">
        <v>11.4828666666667</v>
      </c>
      <c r="BA137">
        <v>799.99773333333303</v>
      </c>
      <c r="BB137">
        <v>0.90000579999999997</v>
      </c>
      <c r="BC137">
        <v>0</v>
      </c>
      <c r="BD137">
        <v>9.9993973333333305E-2</v>
      </c>
      <c r="BE137">
        <v>0</v>
      </c>
      <c r="BF137">
        <v>25</v>
      </c>
      <c r="BG137">
        <v>13191.02</v>
      </c>
      <c r="BH137">
        <v>1771105107.0999999</v>
      </c>
      <c r="BI137" t="s">
        <v>498</v>
      </c>
      <c r="BJ137">
        <v>1771105107.0999999</v>
      </c>
      <c r="BK137">
        <v>1771105081.0999999</v>
      </c>
      <c r="BL137">
        <v>18</v>
      </c>
      <c r="BM137">
        <v>-0.40100000000000002</v>
      </c>
      <c r="BN137">
        <v>2.5999999999999999E-2</v>
      </c>
      <c r="BO137">
        <v>-0.72699999999999998</v>
      </c>
      <c r="BP137">
        <v>8.8999999999999996E-2</v>
      </c>
      <c r="BQ137">
        <v>375</v>
      </c>
      <c r="BR137">
        <v>15</v>
      </c>
      <c r="BS137">
        <v>0.16</v>
      </c>
      <c r="BT137">
        <v>0.05</v>
      </c>
      <c r="BU137">
        <v>-1.2260095</v>
      </c>
      <c r="BV137">
        <v>3.7095789473687198E-2</v>
      </c>
      <c r="BW137">
        <v>1.5014954703561401E-2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1.784246</v>
      </c>
      <c r="CD137">
        <v>-0.10392451127819401</v>
      </c>
      <c r="CE137">
        <v>1.2330306322229E-2</v>
      </c>
      <c r="CF137">
        <v>0</v>
      </c>
      <c r="CG137">
        <v>1</v>
      </c>
      <c r="CH137">
        <v>2</v>
      </c>
      <c r="CI137" t="s">
        <v>299</v>
      </c>
      <c r="CJ137">
        <v>3.5325299999999999</v>
      </c>
      <c r="CK137">
        <v>2.7010100000000001</v>
      </c>
      <c r="CL137">
        <v>0.11296399999999999</v>
      </c>
      <c r="CM137">
        <v>0.111582</v>
      </c>
      <c r="CN137">
        <v>8.6751300000000003E-2</v>
      </c>
      <c r="CO137">
        <v>7.8411900000000007E-2</v>
      </c>
      <c r="CP137">
        <v>31073.1</v>
      </c>
      <c r="CQ137">
        <v>27360.5</v>
      </c>
      <c r="CR137">
        <v>32424.3</v>
      </c>
      <c r="CS137">
        <v>30726.6</v>
      </c>
      <c r="CT137">
        <v>40110.9</v>
      </c>
      <c r="CU137">
        <v>39838.400000000001</v>
      </c>
      <c r="CV137">
        <v>47365.9</v>
      </c>
      <c r="CW137">
        <v>46874.6</v>
      </c>
      <c r="CX137">
        <v>2.6137600000000001</v>
      </c>
      <c r="CY137">
        <v>2.1194199999999999</v>
      </c>
      <c r="CZ137">
        <v>0</v>
      </c>
      <c r="DA137">
        <v>0</v>
      </c>
      <c r="DB137">
        <v>999.9</v>
      </c>
      <c r="DC137">
        <v>999.9</v>
      </c>
      <c r="DD137">
        <v>45.642000000000003</v>
      </c>
      <c r="DE137">
        <v>28.841999999999999</v>
      </c>
      <c r="DF137">
        <v>18.199200000000001</v>
      </c>
      <c r="DG137">
        <v>30.528300000000002</v>
      </c>
      <c r="DH137">
        <v>17.0152</v>
      </c>
      <c r="DI137">
        <v>2</v>
      </c>
      <c r="DJ137">
        <v>-6.6093499999999999E-2</v>
      </c>
      <c r="DK137">
        <v>2.8067700000000002</v>
      </c>
      <c r="DL137">
        <v>20.185700000000001</v>
      </c>
      <c r="DM137">
        <v>5.2508299999999997</v>
      </c>
      <c r="DN137">
        <v>12.033899999999999</v>
      </c>
      <c r="DO137">
        <v>4.9676799999999997</v>
      </c>
      <c r="DP137">
        <v>3.2909999999999999</v>
      </c>
      <c r="DQ137">
        <v>608.29999999999995</v>
      </c>
      <c r="DR137">
        <v>9999</v>
      </c>
      <c r="DS137">
        <v>9999</v>
      </c>
      <c r="DT137">
        <v>9999</v>
      </c>
      <c r="DU137">
        <v>1.8711</v>
      </c>
      <c r="DV137">
        <v>1.8761099999999999</v>
      </c>
      <c r="DW137">
        <v>1.87636</v>
      </c>
      <c r="DX137">
        <v>1.88279</v>
      </c>
      <c r="DY137">
        <v>1.8756200000000001</v>
      </c>
      <c r="DZ137">
        <v>1.87463</v>
      </c>
      <c r="EA137">
        <v>1.8708499999999999</v>
      </c>
      <c r="EB137">
        <v>1.87466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-0.72699999999999998</v>
      </c>
      <c r="EQ137">
        <v>8.8800000000000004E-2</v>
      </c>
      <c r="ER137">
        <v>-0.72720000000003904</v>
      </c>
      <c r="ES137">
        <v>0</v>
      </c>
      <c r="ET137">
        <v>0</v>
      </c>
      <c r="EU137">
        <v>0</v>
      </c>
      <c r="EV137">
        <v>8.8809999999996905E-2</v>
      </c>
      <c r="EW137">
        <v>0</v>
      </c>
      <c r="EX137">
        <v>0</v>
      </c>
      <c r="EY137">
        <v>0</v>
      </c>
      <c r="EZ137">
        <v>-1</v>
      </c>
      <c r="FA137">
        <v>-1</v>
      </c>
      <c r="FB137">
        <v>-1</v>
      </c>
      <c r="FC137">
        <v>-1</v>
      </c>
      <c r="FD137">
        <v>8</v>
      </c>
      <c r="FE137">
        <v>8.5</v>
      </c>
      <c r="FF137">
        <v>1.46973</v>
      </c>
      <c r="FG137">
        <v>2.6049799999999999</v>
      </c>
      <c r="FH137">
        <v>2.19604</v>
      </c>
      <c r="FI137">
        <v>2.5756800000000002</v>
      </c>
      <c r="FJ137">
        <v>2.4462899999999999</v>
      </c>
      <c r="FK137">
        <v>2.2570800000000002</v>
      </c>
      <c r="FL137">
        <v>33.109900000000003</v>
      </c>
      <c r="FM137">
        <v>24.105</v>
      </c>
      <c r="FN137">
        <v>19</v>
      </c>
      <c r="FO137">
        <v>866.70399999999995</v>
      </c>
      <c r="FP137">
        <v>574.94200000000001</v>
      </c>
      <c r="FQ137">
        <v>17.632999999999999</v>
      </c>
      <c r="FR137">
        <v>26.127300000000002</v>
      </c>
      <c r="FS137">
        <v>29.999500000000001</v>
      </c>
      <c r="FT137">
        <v>26.117000000000001</v>
      </c>
      <c r="FU137">
        <v>26.118500000000001</v>
      </c>
      <c r="FV137">
        <v>29.4954</v>
      </c>
      <c r="FW137">
        <v>29.2563</v>
      </c>
      <c r="FX137">
        <v>38.6524</v>
      </c>
      <c r="FY137">
        <v>17.661799999999999</v>
      </c>
      <c r="FZ137">
        <v>500</v>
      </c>
      <c r="GA137">
        <v>13.657999999999999</v>
      </c>
      <c r="GB137">
        <v>99.795699999999997</v>
      </c>
      <c r="GC137">
        <v>99.772999999999996</v>
      </c>
    </row>
    <row r="138" spans="1:185" x14ac:dyDescent="0.2">
      <c r="A138">
        <v>123</v>
      </c>
      <c r="B138">
        <v>1771105604.0999999</v>
      </c>
      <c r="C138">
        <v>2491</v>
      </c>
      <c r="D138" t="s">
        <v>547</v>
      </c>
      <c r="E138" t="s">
        <v>548</v>
      </c>
      <c r="F138">
        <v>15</v>
      </c>
      <c r="G138">
        <v>1771105596.03333</v>
      </c>
      <c r="H138">
        <f t="shared" si="13"/>
        <v>1.4545334796298127E-3</v>
      </c>
      <c r="I138">
        <v>0</v>
      </c>
      <c r="J138">
        <f t="shared" si="25"/>
        <v>1.4709317629255965E-2</v>
      </c>
      <c r="K138">
        <f t="shared" si="14"/>
        <v>0.26302104852564184</v>
      </c>
      <c r="L138">
        <f t="shared" si="15"/>
        <v>69.852667243108328</v>
      </c>
      <c r="M138">
        <f t="shared" si="16"/>
        <v>1.5369778888922285</v>
      </c>
      <c r="N138">
        <f t="shared" si="17"/>
        <v>2.2003138169986873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26193.333782511621</v>
      </c>
      <c r="T138">
        <f t="shared" si="21"/>
        <v>800.00139999999999</v>
      </c>
      <c r="U138">
        <f t="shared" si="22"/>
        <v>674.40099331967292</v>
      </c>
      <c r="V138">
        <f t="shared" si="23"/>
        <v>0.84299976639999996</v>
      </c>
      <c r="W138">
        <f t="shared" si="24"/>
        <v>0.15869944198399999</v>
      </c>
      <c r="X138">
        <v>1</v>
      </c>
      <c r="Y138">
        <v>1771105596.03333</v>
      </c>
      <c r="Z138">
        <v>498.76580000000001</v>
      </c>
      <c r="AA138">
        <v>500.00139999999999</v>
      </c>
      <c r="AB138">
        <v>15.369339999999999</v>
      </c>
      <c r="AC138">
        <v>13.579140000000001</v>
      </c>
      <c r="AD138">
        <v>499.49293333333299</v>
      </c>
      <c r="AE138">
        <v>15.28054</v>
      </c>
      <c r="AF138">
        <v>800.01020000000005</v>
      </c>
      <c r="AG138">
        <v>99.939419999999998</v>
      </c>
      <c r="AH138">
        <v>6.3435613333333293E-2</v>
      </c>
      <c r="AI138">
        <v>18.964600000000001</v>
      </c>
      <c r="AJ138">
        <v>999.9</v>
      </c>
      <c r="AK138">
        <v>999.9</v>
      </c>
      <c r="AL138">
        <v>0</v>
      </c>
      <c r="AM138">
        <v>0</v>
      </c>
      <c r="AN138">
        <v>4997.3333333333303</v>
      </c>
      <c r="AO138">
        <v>0</v>
      </c>
      <c r="AP138">
        <v>1.58087</v>
      </c>
      <c r="AQ138">
        <v>-1.2356879999999999</v>
      </c>
      <c r="AR138">
        <v>506.551066666667</v>
      </c>
      <c r="AS138">
        <v>506.88433333333302</v>
      </c>
      <c r="AT138">
        <v>1.7901926666666701</v>
      </c>
      <c r="AU138">
        <v>500.00139999999999</v>
      </c>
      <c r="AV138">
        <v>13.579140000000001</v>
      </c>
      <c r="AW138">
        <v>1.5360020000000001</v>
      </c>
      <c r="AX138">
        <v>1.3570913333333301</v>
      </c>
      <c r="AY138">
        <v>13.331326666666699</v>
      </c>
      <c r="AZ138">
        <v>11.446479999999999</v>
      </c>
      <c r="BA138">
        <v>800.00139999999999</v>
      </c>
      <c r="BB138">
        <v>0.90000740000000001</v>
      </c>
      <c r="BC138">
        <v>0</v>
      </c>
      <c r="BD138">
        <v>9.9992586666666702E-2</v>
      </c>
      <c r="BE138">
        <v>0</v>
      </c>
      <c r="BF138">
        <v>25</v>
      </c>
      <c r="BG138">
        <v>13191.073333333299</v>
      </c>
      <c r="BH138">
        <v>1771105107.0999999</v>
      </c>
      <c r="BI138" t="s">
        <v>498</v>
      </c>
      <c r="BJ138">
        <v>1771105107.0999999</v>
      </c>
      <c r="BK138">
        <v>1771105081.0999999</v>
      </c>
      <c r="BL138">
        <v>18</v>
      </c>
      <c r="BM138">
        <v>-0.40100000000000002</v>
      </c>
      <c r="BN138">
        <v>2.5999999999999999E-2</v>
      </c>
      <c r="BO138">
        <v>-0.72699999999999998</v>
      </c>
      <c r="BP138">
        <v>8.8999999999999996E-2</v>
      </c>
      <c r="BQ138">
        <v>375</v>
      </c>
      <c r="BR138">
        <v>15</v>
      </c>
      <c r="BS138">
        <v>0.16</v>
      </c>
      <c r="BT138">
        <v>0.05</v>
      </c>
      <c r="BU138">
        <v>-1.2297175</v>
      </c>
      <c r="BV138">
        <v>-2.3640451127821802E-2</v>
      </c>
      <c r="BW138">
        <v>3.2281647862988698E-2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1.784983</v>
      </c>
      <c r="CD138">
        <v>0.11587669172932701</v>
      </c>
      <c r="CE138">
        <v>1.8793130952558201E-2</v>
      </c>
      <c r="CF138">
        <v>0</v>
      </c>
      <c r="CG138">
        <v>1</v>
      </c>
      <c r="CH138">
        <v>2</v>
      </c>
      <c r="CI138" t="s">
        <v>299</v>
      </c>
      <c r="CJ138">
        <v>3.5325600000000001</v>
      </c>
      <c r="CK138">
        <v>2.7014200000000002</v>
      </c>
      <c r="CL138">
        <v>0.11296100000000001</v>
      </c>
      <c r="CM138">
        <v>0.111579</v>
      </c>
      <c r="CN138">
        <v>8.6691400000000002E-2</v>
      </c>
      <c r="CO138">
        <v>7.8346600000000002E-2</v>
      </c>
      <c r="CP138">
        <v>31073.5</v>
      </c>
      <c r="CQ138">
        <v>27360.9</v>
      </c>
      <c r="CR138">
        <v>32424.6</v>
      </c>
      <c r="CS138">
        <v>30727</v>
      </c>
      <c r="CT138">
        <v>40113.800000000003</v>
      </c>
      <c r="CU138">
        <v>39841.800000000003</v>
      </c>
      <c r="CV138">
        <v>47366.1</v>
      </c>
      <c r="CW138">
        <v>46875.199999999997</v>
      </c>
      <c r="CX138">
        <v>2.6136200000000001</v>
      </c>
      <c r="CY138">
        <v>2.1194199999999999</v>
      </c>
      <c r="CZ138">
        <v>0</v>
      </c>
      <c r="DA138">
        <v>0</v>
      </c>
      <c r="DB138">
        <v>999.9</v>
      </c>
      <c r="DC138">
        <v>999.9</v>
      </c>
      <c r="DD138">
        <v>45.518999999999998</v>
      </c>
      <c r="DE138">
        <v>28.841999999999999</v>
      </c>
      <c r="DF138">
        <v>18.1508</v>
      </c>
      <c r="DG138">
        <v>30.228300000000001</v>
      </c>
      <c r="DH138">
        <v>16.947099999999999</v>
      </c>
      <c r="DI138">
        <v>2</v>
      </c>
      <c r="DJ138">
        <v>-6.6762199999999994E-2</v>
      </c>
      <c r="DK138">
        <v>2.6777899999999999</v>
      </c>
      <c r="DL138">
        <v>20.188199999999998</v>
      </c>
      <c r="DM138">
        <v>5.2502399999999998</v>
      </c>
      <c r="DN138">
        <v>12.033899999999999</v>
      </c>
      <c r="DO138">
        <v>4.9676799999999997</v>
      </c>
      <c r="DP138">
        <v>3.2909999999999999</v>
      </c>
      <c r="DQ138">
        <v>608.29999999999995</v>
      </c>
      <c r="DR138">
        <v>9999</v>
      </c>
      <c r="DS138">
        <v>9999</v>
      </c>
      <c r="DT138">
        <v>9999</v>
      </c>
      <c r="DU138">
        <v>1.87114</v>
      </c>
      <c r="DV138">
        <v>1.87609</v>
      </c>
      <c r="DW138">
        <v>1.87635</v>
      </c>
      <c r="DX138">
        <v>1.8827799999999999</v>
      </c>
      <c r="DY138">
        <v>1.87561</v>
      </c>
      <c r="DZ138">
        <v>1.8746499999999999</v>
      </c>
      <c r="EA138">
        <v>1.87083</v>
      </c>
      <c r="EB138">
        <v>1.87459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-0.72699999999999998</v>
      </c>
      <c r="EQ138">
        <v>8.8800000000000004E-2</v>
      </c>
      <c r="ER138">
        <v>-0.72720000000003904</v>
      </c>
      <c r="ES138">
        <v>0</v>
      </c>
      <c r="ET138">
        <v>0</v>
      </c>
      <c r="EU138">
        <v>0</v>
      </c>
      <c r="EV138">
        <v>8.8809999999996905E-2</v>
      </c>
      <c r="EW138">
        <v>0</v>
      </c>
      <c r="EX138">
        <v>0</v>
      </c>
      <c r="EY138">
        <v>0</v>
      </c>
      <c r="EZ138">
        <v>-1</v>
      </c>
      <c r="FA138">
        <v>-1</v>
      </c>
      <c r="FB138">
        <v>-1</v>
      </c>
      <c r="FC138">
        <v>-1</v>
      </c>
      <c r="FD138">
        <v>8.3000000000000007</v>
      </c>
      <c r="FE138">
        <v>8.6999999999999993</v>
      </c>
      <c r="FF138">
        <v>1.46973</v>
      </c>
      <c r="FG138">
        <v>2.6037599999999999</v>
      </c>
      <c r="FH138">
        <v>2.19604</v>
      </c>
      <c r="FI138">
        <v>2.5756800000000002</v>
      </c>
      <c r="FJ138">
        <v>2.4462899999999999</v>
      </c>
      <c r="FK138">
        <v>2.31934</v>
      </c>
      <c r="FL138">
        <v>33.109900000000003</v>
      </c>
      <c r="FM138">
        <v>24.14</v>
      </c>
      <c r="FN138">
        <v>19</v>
      </c>
      <c r="FO138">
        <v>866.57299999999998</v>
      </c>
      <c r="FP138">
        <v>574.96500000000003</v>
      </c>
      <c r="FQ138">
        <v>17.708400000000001</v>
      </c>
      <c r="FR138">
        <v>26.129100000000001</v>
      </c>
      <c r="FS138">
        <v>29.9999</v>
      </c>
      <c r="FT138">
        <v>26.117000000000001</v>
      </c>
      <c r="FU138">
        <v>26.1206</v>
      </c>
      <c r="FV138">
        <v>29.494</v>
      </c>
      <c r="FW138">
        <v>28.686900000000001</v>
      </c>
      <c r="FX138">
        <v>38.6524</v>
      </c>
      <c r="FY138">
        <v>17.734400000000001</v>
      </c>
      <c r="FZ138">
        <v>500</v>
      </c>
      <c r="GA138">
        <v>13.678000000000001</v>
      </c>
      <c r="GB138">
        <v>99.796199999999999</v>
      </c>
      <c r="GC138">
        <v>99.774299999999997</v>
      </c>
    </row>
    <row r="139" spans="1:185" x14ac:dyDescent="0.2">
      <c r="A139">
        <v>124</v>
      </c>
      <c r="B139">
        <v>1771105619.0999999</v>
      </c>
      <c r="C139">
        <v>2506</v>
      </c>
      <c r="D139" t="s">
        <v>549</v>
      </c>
      <c r="E139" t="s">
        <v>550</v>
      </c>
      <c r="F139">
        <v>15</v>
      </c>
      <c r="G139">
        <v>1771105611.03333</v>
      </c>
      <c r="H139">
        <f t="shared" si="13"/>
        <v>1.4155435507048702E-3</v>
      </c>
      <c r="I139">
        <v>0</v>
      </c>
      <c r="J139">
        <f t="shared" si="25"/>
        <v>1.5539628372396622E-2</v>
      </c>
      <c r="K139">
        <f t="shared" si="14"/>
        <v>0.27786804603887777</v>
      </c>
      <c r="L139">
        <f t="shared" si="15"/>
        <v>69.880381934825891</v>
      </c>
      <c r="M139">
        <f t="shared" si="16"/>
        <v>1.5374213486797688</v>
      </c>
      <c r="N139">
        <f t="shared" si="17"/>
        <v>2.2000757667776467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26200.438490563651</v>
      </c>
      <c r="T139">
        <f t="shared" si="21"/>
        <v>800.00033333333397</v>
      </c>
      <c r="U139">
        <f t="shared" si="22"/>
        <v>674.40007779991595</v>
      </c>
      <c r="V139">
        <f t="shared" si="23"/>
        <v>0.84299974600000005</v>
      </c>
      <c r="W139">
        <f t="shared" si="24"/>
        <v>0.15869962484000003</v>
      </c>
      <c r="X139">
        <v>1</v>
      </c>
      <c r="Y139">
        <v>1771105611.03333</v>
      </c>
      <c r="Z139">
        <v>498.77420000000001</v>
      </c>
      <c r="AA139">
        <v>500.00406666666697</v>
      </c>
      <c r="AB139">
        <v>15.3737333333333</v>
      </c>
      <c r="AC139">
        <v>13.6315266666667</v>
      </c>
      <c r="AD139">
        <v>499.50133333333298</v>
      </c>
      <c r="AE139">
        <v>15.28492</v>
      </c>
      <c r="AF139">
        <v>800.00919999999996</v>
      </c>
      <c r="AG139">
        <v>99.939726666666701</v>
      </c>
      <c r="AH139">
        <v>6.3396540000000001E-2</v>
      </c>
      <c r="AI139">
        <v>18.962866666666699</v>
      </c>
      <c r="AJ139">
        <v>999.9</v>
      </c>
      <c r="AK139">
        <v>999.9</v>
      </c>
      <c r="AL139">
        <v>0</v>
      </c>
      <c r="AM139">
        <v>0</v>
      </c>
      <c r="AN139">
        <v>4998.4666666666699</v>
      </c>
      <c r="AO139">
        <v>0</v>
      </c>
      <c r="AP139">
        <v>1.58087</v>
      </c>
      <c r="AQ139">
        <v>-1.22987466666667</v>
      </c>
      <c r="AR139">
        <v>506.56200000000001</v>
      </c>
      <c r="AS139">
        <v>506.914066666667</v>
      </c>
      <c r="AT139">
        <v>1.74218466666667</v>
      </c>
      <c r="AU139">
        <v>500.00406666666697</v>
      </c>
      <c r="AV139">
        <v>13.6315266666667</v>
      </c>
      <c r="AW139">
        <v>1.5364453333333301</v>
      </c>
      <c r="AX139">
        <v>1.3623333333333301</v>
      </c>
      <c r="AY139">
        <v>13.335760000000001</v>
      </c>
      <c r="AZ139">
        <v>11.5047333333333</v>
      </c>
      <c r="BA139">
        <v>800.00033333333397</v>
      </c>
      <c r="BB139">
        <v>0.90000460000000004</v>
      </c>
      <c r="BC139">
        <v>0</v>
      </c>
      <c r="BD139">
        <v>9.9995266666666693E-2</v>
      </c>
      <c r="BE139">
        <v>0</v>
      </c>
      <c r="BF139">
        <v>25</v>
      </c>
      <c r="BG139">
        <v>13191.0466666667</v>
      </c>
      <c r="BH139">
        <v>1771105107.0999999</v>
      </c>
      <c r="BI139" t="s">
        <v>498</v>
      </c>
      <c r="BJ139">
        <v>1771105107.0999999</v>
      </c>
      <c r="BK139">
        <v>1771105081.0999999</v>
      </c>
      <c r="BL139">
        <v>18</v>
      </c>
      <c r="BM139">
        <v>-0.40100000000000002</v>
      </c>
      <c r="BN139">
        <v>2.5999999999999999E-2</v>
      </c>
      <c r="BO139">
        <v>-0.72699999999999998</v>
      </c>
      <c r="BP139">
        <v>8.8999999999999996E-2</v>
      </c>
      <c r="BQ139">
        <v>375</v>
      </c>
      <c r="BR139">
        <v>15</v>
      </c>
      <c r="BS139">
        <v>0.16</v>
      </c>
      <c r="BT139">
        <v>0.05</v>
      </c>
      <c r="BU139">
        <v>-1.227606</v>
      </c>
      <c r="BV139">
        <v>-0.110723007518799</v>
      </c>
      <c r="BW139">
        <v>2.3813502136393098E-2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1.756707</v>
      </c>
      <c r="CD139">
        <v>-0.21373984962406001</v>
      </c>
      <c r="CE139">
        <v>2.56613407872621E-2</v>
      </c>
      <c r="CF139">
        <v>0</v>
      </c>
      <c r="CG139">
        <v>1</v>
      </c>
      <c r="CH139">
        <v>2</v>
      </c>
      <c r="CI139" t="s">
        <v>299</v>
      </c>
      <c r="CJ139">
        <v>3.5325199999999999</v>
      </c>
      <c r="CK139">
        <v>2.70106</v>
      </c>
      <c r="CL139">
        <v>0.11296299999999999</v>
      </c>
      <c r="CM139">
        <v>0.111584</v>
      </c>
      <c r="CN139">
        <v>8.67951E-2</v>
      </c>
      <c r="CO139">
        <v>7.8534000000000007E-2</v>
      </c>
      <c r="CP139">
        <v>31073.599999999999</v>
      </c>
      <c r="CQ139">
        <v>27360.400000000001</v>
      </c>
      <c r="CR139">
        <v>32424.7</v>
      </c>
      <c r="CS139">
        <v>30726.6</v>
      </c>
      <c r="CT139">
        <v>40109.5</v>
      </c>
      <c r="CU139">
        <v>39833.199999999997</v>
      </c>
      <c r="CV139">
        <v>47366.5</v>
      </c>
      <c r="CW139">
        <v>46874.8</v>
      </c>
      <c r="CX139">
        <v>2.6137199999999998</v>
      </c>
      <c r="CY139">
        <v>2.11924</v>
      </c>
      <c r="CZ139">
        <v>0</v>
      </c>
      <c r="DA139">
        <v>0</v>
      </c>
      <c r="DB139">
        <v>999.9</v>
      </c>
      <c r="DC139">
        <v>999.9</v>
      </c>
      <c r="DD139">
        <v>45.465000000000003</v>
      </c>
      <c r="DE139">
        <v>28.841999999999999</v>
      </c>
      <c r="DF139">
        <v>18.130099999999999</v>
      </c>
      <c r="DG139">
        <v>30.5883</v>
      </c>
      <c r="DH139">
        <v>16.927099999999999</v>
      </c>
      <c r="DI139">
        <v>2</v>
      </c>
      <c r="DJ139">
        <v>-6.6890199999999997E-2</v>
      </c>
      <c r="DK139">
        <v>2.59843</v>
      </c>
      <c r="DL139">
        <v>20.189900000000002</v>
      </c>
      <c r="DM139">
        <v>5.2507099999999998</v>
      </c>
      <c r="DN139">
        <v>12.033899999999999</v>
      </c>
      <c r="DO139">
        <v>4.9677199999999999</v>
      </c>
      <c r="DP139">
        <v>3.2909999999999999</v>
      </c>
      <c r="DQ139">
        <v>608.29999999999995</v>
      </c>
      <c r="DR139">
        <v>9999</v>
      </c>
      <c r="DS139">
        <v>9999</v>
      </c>
      <c r="DT139">
        <v>9999</v>
      </c>
      <c r="DU139">
        <v>1.8711100000000001</v>
      </c>
      <c r="DV139">
        <v>1.8761000000000001</v>
      </c>
      <c r="DW139">
        <v>1.8763300000000001</v>
      </c>
      <c r="DX139">
        <v>1.8827799999999999</v>
      </c>
      <c r="DY139">
        <v>1.8755999999999999</v>
      </c>
      <c r="DZ139">
        <v>1.8746100000000001</v>
      </c>
      <c r="EA139">
        <v>1.8708199999999999</v>
      </c>
      <c r="EB139">
        <v>1.87459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-0.72699999999999998</v>
      </c>
      <c r="EQ139">
        <v>8.8800000000000004E-2</v>
      </c>
      <c r="ER139">
        <v>-0.72720000000003904</v>
      </c>
      <c r="ES139">
        <v>0</v>
      </c>
      <c r="ET139">
        <v>0</v>
      </c>
      <c r="EU139">
        <v>0</v>
      </c>
      <c r="EV139">
        <v>8.8809999999996905E-2</v>
      </c>
      <c r="EW139">
        <v>0</v>
      </c>
      <c r="EX139">
        <v>0</v>
      </c>
      <c r="EY139">
        <v>0</v>
      </c>
      <c r="EZ139">
        <v>-1</v>
      </c>
      <c r="FA139">
        <v>-1</v>
      </c>
      <c r="FB139">
        <v>-1</v>
      </c>
      <c r="FC139">
        <v>-1</v>
      </c>
      <c r="FD139">
        <v>8.5</v>
      </c>
      <c r="FE139">
        <v>9</v>
      </c>
      <c r="FF139">
        <v>1.46973</v>
      </c>
      <c r="FG139">
        <v>2.6013199999999999</v>
      </c>
      <c r="FH139">
        <v>2.19604</v>
      </c>
      <c r="FI139">
        <v>2.5756800000000002</v>
      </c>
      <c r="FJ139">
        <v>2.4462899999999999</v>
      </c>
      <c r="FK139">
        <v>2.2997999999999998</v>
      </c>
      <c r="FL139">
        <v>33.109900000000003</v>
      </c>
      <c r="FM139">
        <v>24.1313</v>
      </c>
      <c r="FN139">
        <v>19</v>
      </c>
      <c r="FO139">
        <v>866.70100000000002</v>
      </c>
      <c r="FP139">
        <v>574.82799999999997</v>
      </c>
      <c r="FQ139">
        <v>17.7925</v>
      </c>
      <c r="FR139">
        <v>26.1295</v>
      </c>
      <c r="FS139">
        <v>30</v>
      </c>
      <c r="FT139">
        <v>26.119199999999999</v>
      </c>
      <c r="FU139">
        <v>26.120699999999999</v>
      </c>
      <c r="FV139">
        <v>29.493400000000001</v>
      </c>
      <c r="FW139">
        <v>28.686900000000001</v>
      </c>
      <c r="FX139">
        <v>38.6524</v>
      </c>
      <c r="FY139">
        <v>17.812999999999999</v>
      </c>
      <c r="FZ139">
        <v>500</v>
      </c>
      <c r="GA139">
        <v>13.6631</v>
      </c>
      <c r="GB139">
        <v>99.796899999999994</v>
      </c>
      <c r="GC139">
        <v>99.773200000000003</v>
      </c>
    </row>
    <row r="140" spans="1:185" x14ac:dyDescent="0.2">
      <c r="A140">
        <v>125</v>
      </c>
      <c r="B140">
        <v>1771105634.0999999</v>
      </c>
      <c r="C140">
        <v>2521</v>
      </c>
      <c r="D140" t="s">
        <v>551</v>
      </c>
      <c r="E140" t="s">
        <v>552</v>
      </c>
      <c r="F140">
        <v>15</v>
      </c>
      <c r="G140">
        <v>1771105626.03333</v>
      </c>
      <c r="H140">
        <f t="shared" si="13"/>
        <v>1.4305386064778283E-3</v>
      </c>
      <c r="I140">
        <v>0</v>
      </c>
      <c r="J140">
        <f t="shared" si="25"/>
        <v>1.4939402611141003E-2</v>
      </c>
      <c r="K140">
        <f t="shared" si="14"/>
        <v>0.26713525658822668</v>
      </c>
      <c r="L140">
        <f t="shared" si="15"/>
        <v>69.945569610051095</v>
      </c>
      <c r="M140">
        <f t="shared" si="16"/>
        <v>1.5392558073823337</v>
      </c>
      <c r="N140">
        <f t="shared" si="17"/>
        <v>2.20064804098921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26210.589394027724</v>
      </c>
      <c r="T140">
        <f t="shared" si="21"/>
        <v>799.99980000000005</v>
      </c>
      <c r="U140">
        <f t="shared" si="22"/>
        <v>674.39964660004625</v>
      </c>
      <c r="V140">
        <f t="shared" si="23"/>
        <v>0.84299976899999995</v>
      </c>
      <c r="W140">
        <f t="shared" si="24"/>
        <v>0.15869961738000002</v>
      </c>
      <c r="X140">
        <v>1</v>
      </c>
      <c r="Y140">
        <v>1771105626.03333</v>
      </c>
      <c r="Z140">
        <v>498.77273333333301</v>
      </c>
      <c r="AA140">
        <v>499.998533333333</v>
      </c>
      <c r="AB140">
        <v>15.3922066666667</v>
      </c>
      <c r="AC140">
        <v>13.6315733333333</v>
      </c>
      <c r="AD140">
        <v>499.500133333333</v>
      </c>
      <c r="AE140">
        <v>15.3034</v>
      </c>
      <c r="AF140">
        <v>800.00726666666696</v>
      </c>
      <c r="AG140">
        <v>99.939033333333299</v>
      </c>
      <c r="AH140">
        <v>6.3249686666666693E-2</v>
      </c>
      <c r="AI140">
        <v>18.967033333333301</v>
      </c>
      <c r="AJ140">
        <v>999.9</v>
      </c>
      <c r="AK140">
        <v>999.9</v>
      </c>
      <c r="AL140">
        <v>0</v>
      </c>
      <c r="AM140">
        <v>0</v>
      </c>
      <c r="AN140">
        <v>5000.2333333333299</v>
      </c>
      <c r="AO140">
        <v>0</v>
      </c>
      <c r="AP140">
        <v>1.58087</v>
      </c>
      <c r="AQ140">
        <v>-1.225692</v>
      </c>
      <c r="AR140">
        <v>506.57</v>
      </c>
      <c r="AS140">
        <v>506.90859999999998</v>
      </c>
      <c r="AT140">
        <v>1.76064333333333</v>
      </c>
      <c r="AU140">
        <v>499.998533333333</v>
      </c>
      <c r="AV140">
        <v>13.6315733333333</v>
      </c>
      <c r="AW140">
        <v>1.538284</v>
      </c>
      <c r="AX140">
        <v>1.3623259999999999</v>
      </c>
      <c r="AY140">
        <v>13.35408</v>
      </c>
      <c r="AZ140">
        <v>11.504659999999999</v>
      </c>
      <c r="BA140">
        <v>799.99980000000005</v>
      </c>
      <c r="BB140">
        <v>0.90000480000000005</v>
      </c>
      <c r="BC140">
        <v>0</v>
      </c>
      <c r="BD140">
        <v>9.9995100000000003E-2</v>
      </c>
      <c r="BE140">
        <v>0</v>
      </c>
      <c r="BF140">
        <v>25</v>
      </c>
      <c r="BG140">
        <v>13191.0466666667</v>
      </c>
      <c r="BH140">
        <v>1771105107.0999999</v>
      </c>
      <c r="BI140" t="s">
        <v>498</v>
      </c>
      <c r="BJ140">
        <v>1771105107.0999999</v>
      </c>
      <c r="BK140">
        <v>1771105081.0999999</v>
      </c>
      <c r="BL140">
        <v>18</v>
      </c>
      <c r="BM140">
        <v>-0.40100000000000002</v>
      </c>
      <c r="BN140">
        <v>2.5999999999999999E-2</v>
      </c>
      <c r="BO140">
        <v>-0.72699999999999998</v>
      </c>
      <c r="BP140">
        <v>8.8999999999999996E-2</v>
      </c>
      <c r="BQ140">
        <v>375</v>
      </c>
      <c r="BR140">
        <v>15</v>
      </c>
      <c r="BS140">
        <v>0.16</v>
      </c>
      <c r="BT140">
        <v>0.05</v>
      </c>
      <c r="BU140">
        <v>-1.2314004999999999</v>
      </c>
      <c r="BV140">
        <v>-4.0654285714285802E-2</v>
      </c>
      <c r="BW140">
        <v>2.6606569202924299E-2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1.7566135</v>
      </c>
      <c r="CD140">
        <v>0.14953578947368301</v>
      </c>
      <c r="CE140">
        <v>1.6772022917644701E-2</v>
      </c>
      <c r="CF140">
        <v>0</v>
      </c>
      <c r="CG140">
        <v>1</v>
      </c>
      <c r="CH140">
        <v>2</v>
      </c>
      <c r="CI140" t="s">
        <v>299</v>
      </c>
      <c r="CJ140">
        <v>3.5325199999999999</v>
      </c>
      <c r="CK140">
        <v>2.7011799999999999</v>
      </c>
      <c r="CL140">
        <v>0.112965</v>
      </c>
      <c r="CM140">
        <v>0.111593</v>
      </c>
      <c r="CN140">
        <v>8.6842900000000001E-2</v>
      </c>
      <c r="CO140">
        <v>7.8330899999999995E-2</v>
      </c>
      <c r="CP140">
        <v>31072.6</v>
      </c>
      <c r="CQ140">
        <v>27359.7</v>
      </c>
      <c r="CR140">
        <v>32423.8</v>
      </c>
      <c r="CS140">
        <v>30726.1</v>
      </c>
      <c r="CT140">
        <v>40106.300000000003</v>
      </c>
      <c r="CU140">
        <v>39841.599999999999</v>
      </c>
      <c r="CV140">
        <v>47365.3</v>
      </c>
      <c r="CW140">
        <v>46874.1</v>
      </c>
      <c r="CX140">
        <v>2.61374</v>
      </c>
      <c r="CY140">
        <v>2.1190600000000002</v>
      </c>
      <c r="CZ140">
        <v>0</v>
      </c>
      <c r="DA140">
        <v>0</v>
      </c>
      <c r="DB140">
        <v>999.9</v>
      </c>
      <c r="DC140">
        <v>999.9</v>
      </c>
      <c r="DD140">
        <v>45.41</v>
      </c>
      <c r="DE140">
        <v>28.852</v>
      </c>
      <c r="DF140">
        <v>18.118400000000001</v>
      </c>
      <c r="DG140">
        <v>30.438300000000002</v>
      </c>
      <c r="DH140">
        <v>16.991199999999999</v>
      </c>
      <c r="DI140">
        <v>2</v>
      </c>
      <c r="DJ140">
        <v>-6.6900399999999999E-2</v>
      </c>
      <c r="DK140">
        <v>2.5410400000000002</v>
      </c>
      <c r="DL140">
        <v>20.190999999999999</v>
      </c>
      <c r="DM140">
        <v>5.25047</v>
      </c>
      <c r="DN140">
        <v>12.033899999999999</v>
      </c>
      <c r="DO140">
        <v>4.9676799999999997</v>
      </c>
      <c r="DP140">
        <v>3.2909999999999999</v>
      </c>
      <c r="DQ140">
        <v>608.29999999999995</v>
      </c>
      <c r="DR140">
        <v>9999</v>
      </c>
      <c r="DS140">
        <v>9999</v>
      </c>
      <c r="DT140">
        <v>9999</v>
      </c>
      <c r="DU140">
        <v>1.8711599999999999</v>
      </c>
      <c r="DV140">
        <v>1.8761300000000001</v>
      </c>
      <c r="DW140">
        <v>1.87635</v>
      </c>
      <c r="DX140">
        <v>1.88279</v>
      </c>
      <c r="DY140">
        <v>1.87561</v>
      </c>
      <c r="DZ140">
        <v>1.87463</v>
      </c>
      <c r="EA140">
        <v>1.8708499999999999</v>
      </c>
      <c r="EB140">
        <v>1.87463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-0.72699999999999998</v>
      </c>
      <c r="EQ140">
        <v>8.8800000000000004E-2</v>
      </c>
      <c r="ER140">
        <v>-0.72720000000003904</v>
      </c>
      <c r="ES140">
        <v>0</v>
      </c>
      <c r="ET140">
        <v>0</v>
      </c>
      <c r="EU140">
        <v>0</v>
      </c>
      <c r="EV140">
        <v>8.8809999999996905E-2</v>
      </c>
      <c r="EW140">
        <v>0</v>
      </c>
      <c r="EX140">
        <v>0</v>
      </c>
      <c r="EY140">
        <v>0</v>
      </c>
      <c r="EZ140">
        <v>-1</v>
      </c>
      <c r="FA140">
        <v>-1</v>
      </c>
      <c r="FB140">
        <v>-1</v>
      </c>
      <c r="FC140">
        <v>-1</v>
      </c>
      <c r="FD140">
        <v>8.8000000000000007</v>
      </c>
      <c r="FE140">
        <v>9.1999999999999993</v>
      </c>
      <c r="FF140">
        <v>1.46973</v>
      </c>
      <c r="FG140">
        <v>2.5976599999999999</v>
      </c>
      <c r="FH140">
        <v>2.19604</v>
      </c>
      <c r="FI140">
        <v>2.5756800000000002</v>
      </c>
      <c r="FJ140">
        <v>2.4462899999999999</v>
      </c>
      <c r="FK140">
        <v>2.2717299999999998</v>
      </c>
      <c r="FL140">
        <v>33.109900000000003</v>
      </c>
      <c r="FM140">
        <v>24.1313</v>
      </c>
      <c r="FN140">
        <v>19</v>
      </c>
      <c r="FO140">
        <v>866.755</v>
      </c>
      <c r="FP140">
        <v>574.71400000000006</v>
      </c>
      <c r="FQ140">
        <v>17.866599999999998</v>
      </c>
      <c r="FR140">
        <v>26.131599999999999</v>
      </c>
      <c r="FS140">
        <v>30</v>
      </c>
      <c r="FT140">
        <v>26.121400000000001</v>
      </c>
      <c r="FU140">
        <v>26.122900000000001</v>
      </c>
      <c r="FV140">
        <v>29.493099999999998</v>
      </c>
      <c r="FW140">
        <v>28.686900000000001</v>
      </c>
      <c r="FX140">
        <v>38.2759</v>
      </c>
      <c r="FY140">
        <v>17.883199999999999</v>
      </c>
      <c r="FZ140">
        <v>500</v>
      </c>
      <c r="GA140">
        <v>13.6656</v>
      </c>
      <c r="GB140">
        <v>99.794200000000004</v>
      </c>
      <c r="GC140">
        <v>99.771699999999996</v>
      </c>
    </row>
    <row r="141" spans="1:185" x14ac:dyDescent="0.2">
      <c r="A141">
        <v>126</v>
      </c>
      <c r="B141">
        <v>1771105649.0999999</v>
      </c>
      <c r="C141">
        <v>2536</v>
      </c>
      <c r="D141" t="s">
        <v>553</v>
      </c>
      <c r="E141" t="s">
        <v>554</v>
      </c>
      <c r="F141">
        <v>15</v>
      </c>
      <c r="G141">
        <v>1771105641.03333</v>
      </c>
      <c r="H141">
        <f t="shared" si="13"/>
        <v>1.4374959136205976E-3</v>
      </c>
      <c r="I141">
        <v>0</v>
      </c>
      <c r="J141">
        <f t="shared" si="25"/>
        <v>1.4028911048862461E-2</v>
      </c>
      <c r="K141">
        <f t="shared" si="14"/>
        <v>0.25085452546117948</v>
      </c>
      <c r="L141">
        <f t="shared" si="15"/>
        <v>69.830430254546087</v>
      </c>
      <c r="M141">
        <f t="shared" si="16"/>
        <v>1.5377083315039441</v>
      </c>
      <c r="N141">
        <f t="shared" si="17"/>
        <v>2.2020605141607827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26204.401325577637</v>
      </c>
      <c r="T141">
        <f t="shared" si="21"/>
        <v>800.00099999999998</v>
      </c>
      <c r="U141">
        <f t="shared" si="22"/>
        <v>674.40068107979778</v>
      </c>
      <c r="V141">
        <f t="shared" si="23"/>
        <v>0.84299979760000021</v>
      </c>
      <c r="W141">
        <f t="shared" si="24"/>
        <v>0.15869972785600003</v>
      </c>
      <c r="X141">
        <v>1</v>
      </c>
      <c r="Y141">
        <v>1771105641.03333</v>
      </c>
      <c r="Z141">
        <v>498.78413333333299</v>
      </c>
      <c r="AA141">
        <v>499.99393333333302</v>
      </c>
      <c r="AB141">
        <v>15.3765866666667</v>
      </c>
      <c r="AC141">
        <v>13.6073733333333</v>
      </c>
      <c r="AD141">
        <v>499.51126666666698</v>
      </c>
      <c r="AE141">
        <v>15.287786666666699</v>
      </c>
      <c r="AF141">
        <v>800.01213333333305</v>
      </c>
      <c r="AG141">
        <v>99.9397533333333</v>
      </c>
      <c r="AH141">
        <v>6.3476566666666706E-2</v>
      </c>
      <c r="AI141">
        <v>18.977313333333299</v>
      </c>
      <c r="AJ141">
        <v>999.9</v>
      </c>
      <c r="AK141">
        <v>999.9</v>
      </c>
      <c r="AL141">
        <v>0</v>
      </c>
      <c r="AM141">
        <v>0</v>
      </c>
      <c r="AN141">
        <v>4999.3333333333303</v>
      </c>
      <c r="AO141">
        <v>0</v>
      </c>
      <c r="AP141">
        <v>1.58087</v>
      </c>
      <c r="AQ141">
        <v>-1.2098260000000001</v>
      </c>
      <c r="AR141">
        <v>506.57339999999999</v>
      </c>
      <c r="AS141">
        <v>506.89139999999998</v>
      </c>
      <c r="AT141">
        <v>1.7692159999999999</v>
      </c>
      <c r="AU141">
        <v>499.99393333333302</v>
      </c>
      <c r="AV141">
        <v>13.6073733333333</v>
      </c>
      <c r="AW141">
        <v>1.5367313333333299</v>
      </c>
      <c r="AX141">
        <v>1.359918</v>
      </c>
      <c r="AY141">
        <v>13.338606666666699</v>
      </c>
      <c r="AZ141">
        <v>11.4779133333333</v>
      </c>
      <c r="BA141">
        <v>800.00099999999998</v>
      </c>
      <c r="BB141">
        <v>0.90000326666666697</v>
      </c>
      <c r="BC141">
        <v>0</v>
      </c>
      <c r="BD141">
        <v>9.9996613333333303E-2</v>
      </c>
      <c r="BE141">
        <v>0</v>
      </c>
      <c r="BF141">
        <v>25</v>
      </c>
      <c r="BG141">
        <v>13191.053333333301</v>
      </c>
      <c r="BH141">
        <v>1771105107.0999999</v>
      </c>
      <c r="BI141" t="s">
        <v>498</v>
      </c>
      <c r="BJ141">
        <v>1771105107.0999999</v>
      </c>
      <c r="BK141">
        <v>1771105081.0999999</v>
      </c>
      <c r="BL141">
        <v>18</v>
      </c>
      <c r="BM141">
        <v>-0.40100000000000002</v>
      </c>
      <c r="BN141">
        <v>2.5999999999999999E-2</v>
      </c>
      <c r="BO141">
        <v>-0.72699999999999998</v>
      </c>
      <c r="BP141">
        <v>8.8999999999999996E-2</v>
      </c>
      <c r="BQ141">
        <v>375</v>
      </c>
      <c r="BR141">
        <v>15</v>
      </c>
      <c r="BS141">
        <v>0.16</v>
      </c>
      <c r="BT141">
        <v>0.05</v>
      </c>
      <c r="BU141">
        <v>-1.2221519999999999</v>
      </c>
      <c r="BV141">
        <v>0.192226466165413</v>
      </c>
      <c r="BW141">
        <v>2.8520515703612401E-2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1.7730995000000001</v>
      </c>
      <c r="CD141">
        <v>-0.115343909774433</v>
      </c>
      <c r="CE141">
        <v>1.9319623307663101E-2</v>
      </c>
      <c r="CF141">
        <v>0</v>
      </c>
      <c r="CG141">
        <v>1</v>
      </c>
      <c r="CH141">
        <v>2</v>
      </c>
      <c r="CI141" t="s">
        <v>299</v>
      </c>
      <c r="CJ141">
        <v>3.53261</v>
      </c>
      <c r="CK141">
        <v>2.7012200000000002</v>
      </c>
      <c r="CL141">
        <v>0.112968</v>
      </c>
      <c r="CM141">
        <v>0.111581</v>
      </c>
      <c r="CN141">
        <v>8.6738700000000002E-2</v>
      </c>
      <c r="CO141">
        <v>7.8463699999999997E-2</v>
      </c>
      <c r="CP141">
        <v>31072.799999999999</v>
      </c>
      <c r="CQ141">
        <v>27360.1</v>
      </c>
      <c r="CR141">
        <v>32424.1</v>
      </c>
      <c r="CS141">
        <v>30726.1</v>
      </c>
      <c r="CT141">
        <v>40111.199999999997</v>
      </c>
      <c r="CU141">
        <v>39835.699999999997</v>
      </c>
      <c r="CV141">
        <v>47365.5</v>
      </c>
      <c r="CW141">
        <v>46874.1</v>
      </c>
      <c r="CX141">
        <v>2.61368</v>
      </c>
      <c r="CY141">
        <v>2.1192199999999999</v>
      </c>
      <c r="CZ141">
        <v>0</v>
      </c>
      <c r="DA141">
        <v>0</v>
      </c>
      <c r="DB141">
        <v>999.9</v>
      </c>
      <c r="DC141">
        <v>999.9</v>
      </c>
      <c r="DD141">
        <v>45.360999999999997</v>
      </c>
      <c r="DE141">
        <v>28.852</v>
      </c>
      <c r="DF141">
        <v>18.098400000000002</v>
      </c>
      <c r="DG141">
        <v>30.5883</v>
      </c>
      <c r="DH141">
        <v>16.863</v>
      </c>
      <c r="DI141">
        <v>2</v>
      </c>
      <c r="DJ141">
        <v>-6.6959400000000002E-2</v>
      </c>
      <c r="DK141">
        <v>2.5171999999999999</v>
      </c>
      <c r="DL141">
        <v>20.191099999999999</v>
      </c>
      <c r="DM141">
        <v>5.25047</v>
      </c>
      <c r="DN141">
        <v>12.033899999999999</v>
      </c>
      <c r="DO141">
        <v>4.9676</v>
      </c>
      <c r="DP141">
        <v>3.2909999999999999</v>
      </c>
      <c r="DQ141">
        <v>608.4</v>
      </c>
      <c r="DR141">
        <v>9999</v>
      </c>
      <c r="DS141">
        <v>9999</v>
      </c>
      <c r="DT141">
        <v>9999</v>
      </c>
      <c r="DU141">
        <v>1.8711899999999999</v>
      </c>
      <c r="DV141">
        <v>1.87618</v>
      </c>
      <c r="DW141">
        <v>1.8763700000000001</v>
      </c>
      <c r="DX141">
        <v>1.8828400000000001</v>
      </c>
      <c r="DY141">
        <v>1.87561</v>
      </c>
      <c r="DZ141">
        <v>1.8746799999999999</v>
      </c>
      <c r="EA141">
        <v>1.87087</v>
      </c>
      <c r="EB141">
        <v>1.87469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-0.72699999999999998</v>
      </c>
      <c r="EQ141">
        <v>8.8800000000000004E-2</v>
      </c>
      <c r="ER141">
        <v>-0.72720000000003904</v>
      </c>
      <c r="ES141">
        <v>0</v>
      </c>
      <c r="ET141">
        <v>0</v>
      </c>
      <c r="EU141">
        <v>0</v>
      </c>
      <c r="EV141">
        <v>8.8809999999996905E-2</v>
      </c>
      <c r="EW141">
        <v>0</v>
      </c>
      <c r="EX141">
        <v>0</v>
      </c>
      <c r="EY141">
        <v>0</v>
      </c>
      <c r="EZ141">
        <v>-1</v>
      </c>
      <c r="FA141">
        <v>-1</v>
      </c>
      <c r="FB141">
        <v>-1</v>
      </c>
      <c r="FC141">
        <v>-1</v>
      </c>
      <c r="FD141">
        <v>9</v>
      </c>
      <c r="FE141">
        <v>9.5</v>
      </c>
      <c r="FF141">
        <v>1.46973</v>
      </c>
      <c r="FG141">
        <v>2.6037599999999999</v>
      </c>
      <c r="FH141">
        <v>2.19604</v>
      </c>
      <c r="FI141">
        <v>2.5756800000000002</v>
      </c>
      <c r="FJ141">
        <v>2.4462899999999999</v>
      </c>
      <c r="FK141">
        <v>2.3156699999999999</v>
      </c>
      <c r="FL141">
        <v>33.109900000000003</v>
      </c>
      <c r="FM141">
        <v>24.14</v>
      </c>
      <c r="FN141">
        <v>19</v>
      </c>
      <c r="FO141">
        <v>866.69899999999996</v>
      </c>
      <c r="FP141">
        <v>574.83699999999999</v>
      </c>
      <c r="FQ141">
        <v>17.9239</v>
      </c>
      <c r="FR141">
        <v>26.131599999999999</v>
      </c>
      <c r="FS141">
        <v>30</v>
      </c>
      <c r="FT141">
        <v>26.121400000000001</v>
      </c>
      <c r="FU141">
        <v>26.122900000000001</v>
      </c>
      <c r="FV141">
        <v>29.494599999999998</v>
      </c>
      <c r="FW141">
        <v>28.409199999999998</v>
      </c>
      <c r="FX141">
        <v>38.2759</v>
      </c>
      <c r="FY141">
        <v>17.932400000000001</v>
      </c>
      <c r="FZ141">
        <v>500</v>
      </c>
      <c r="GA141">
        <v>13.684200000000001</v>
      </c>
      <c r="GB141">
        <v>99.794899999999998</v>
      </c>
      <c r="GC141">
        <v>99.771699999999996</v>
      </c>
    </row>
    <row r="142" spans="1:185" x14ac:dyDescent="0.2">
      <c r="A142">
        <v>127</v>
      </c>
      <c r="B142">
        <v>1771105664.0999999</v>
      </c>
      <c r="C142">
        <v>2551</v>
      </c>
      <c r="D142" t="s">
        <v>555</v>
      </c>
      <c r="E142" t="s">
        <v>556</v>
      </c>
      <c r="F142">
        <v>15</v>
      </c>
      <c r="G142">
        <v>1771105656.03333</v>
      </c>
      <c r="H142">
        <f t="shared" si="13"/>
        <v>1.4274835798085814E-3</v>
      </c>
      <c r="I142">
        <v>0</v>
      </c>
      <c r="J142">
        <f t="shared" si="25"/>
        <v>1.4354389706791326E-2</v>
      </c>
      <c r="K142">
        <f t="shared" si="14"/>
        <v>0.25667449209993776</v>
      </c>
      <c r="L142">
        <f t="shared" si="15"/>
        <v>69.77766274328981</v>
      </c>
      <c r="M142">
        <f t="shared" si="16"/>
        <v>1.5379893120526005</v>
      </c>
      <c r="N142">
        <f t="shared" si="17"/>
        <v>2.2041284439560878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26269.098235486523</v>
      </c>
      <c r="T142">
        <f t="shared" si="21"/>
        <v>799.99793333333298</v>
      </c>
      <c r="U142">
        <f t="shared" si="22"/>
        <v>674.39806244050465</v>
      </c>
      <c r="V142">
        <f t="shared" si="23"/>
        <v>0.84299975580000031</v>
      </c>
      <c r="W142">
        <f t="shared" si="24"/>
        <v>0.15869963634800005</v>
      </c>
      <c r="X142">
        <v>1</v>
      </c>
      <c r="Y142">
        <v>1771105656.03333</v>
      </c>
      <c r="Z142">
        <v>498.80279999999999</v>
      </c>
      <c r="AA142">
        <v>500.01366666666701</v>
      </c>
      <c r="AB142">
        <v>15.3795</v>
      </c>
      <c r="AC142">
        <v>13.6226133333333</v>
      </c>
      <c r="AD142">
        <v>499.52993333333302</v>
      </c>
      <c r="AE142">
        <v>15.2906866666667</v>
      </c>
      <c r="AF142">
        <v>800.01153333333298</v>
      </c>
      <c r="AG142">
        <v>99.9390066666667</v>
      </c>
      <c r="AH142">
        <v>6.3549466666666707E-2</v>
      </c>
      <c r="AI142">
        <v>18.992353333333298</v>
      </c>
      <c r="AJ142">
        <v>999.9</v>
      </c>
      <c r="AK142">
        <v>999.9</v>
      </c>
      <c r="AL142">
        <v>0</v>
      </c>
      <c r="AM142">
        <v>0</v>
      </c>
      <c r="AN142">
        <v>5010.2666666666701</v>
      </c>
      <c r="AO142">
        <v>0</v>
      </c>
      <c r="AP142">
        <v>1.58087</v>
      </c>
      <c r="AQ142">
        <v>-1.2108620000000001</v>
      </c>
      <c r="AR142">
        <v>506.593866666667</v>
      </c>
      <c r="AS142">
        <v>506.919266666667</v>
      </c>
      <c r="AT142">
        <v>1.7568953333333299</v>
      </c>
      <c r="AU142">
        <v>500.01366666666701</v>
      </c>
      <c r="AV142">
        <v>13.6226133333333</v>
      </c>
      <c r="AW142">
        <v>1.53701133333333</v>
      </c>
      <c r="AX142">
        <v>1.3614299999999999</v>
      </c>
      <c r="AY142">
        <v>13.3414066666667</v>
      </c>
      <c r="AZ142">
        <v>11.494719999999999</v>
      </c>
      <c r="BA142">
        <v>799.99793333333298</v>
      </c>
      <c r="BB142">
        <v>0.900004466666667</v>
      </c>
      <c r="BC142">
        <v>0</v>
      </c>
      <c r="BD142">
        <v>9.9995406666666703E-2</v>
      </c>
      <c r="BE142">
        <v>0</v>
      </c>
      <c r="BF142">
        <v>25</v>
      </c>
      <c r="BG142">
        <v>13191.0133333333</v>
      </c>
      <c r="BH142">
        <v>1771105107.0999999</v>
      </c>
      <c r="BI142" t="s">
        <v>498</v>
      </c>
      <c r="BJ142">
        <v>1771105107.0999999</v>
      </c>
      <c r="BK142">
        <v>1771105081.0999999</v>
      </c>
      <c r="BL142">
        <v>18</v>
      </c>
      <c r="BM142">
        <v>-0.40100000000000002</v>
      </c>
      <c r="BN142">
        <v>2.5999999999999999E-2</v>
      </c>
      <c r="BO142">
        <v>-0.72699999999999998</v>
      </c>
      <c r="BP142">
        <v>8.8999999999999996E-2</v>
      </c>
      <c r="BQ142">
        <v>375</v>
      </c>
      <c r="BR142">
        <v>15</v>
      </c>
      <c r="BS142">
        <v>0.16</v>
      </c>
      <c r="BT142">
        <v>0.05</v>
      </c>
      <c r="BU142">
        <v>-1.2055724999999999</v>
      </c>
      <c r="BV142">
        <v>-8.8421503759398806E-2</v>
      </c>
      <c r="BW142">
        <v>2.4861718338642699E-2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1.754677</v>
      </c>
      <c r="CD142">
        <v>6.5873684210530706E-2</v>
      </c>
      <c r="CE142">
        <v>6.7980012503676404E-3</v>
      </c>
      <c r="CF142">
        <v>1</v>
      </c>
      <c r="CG142">
        <v>2</v>
      </c>
      <c r="CH142">
        <v>2</v>
      </c>
      <c r="CI142" t="s">
        <v>322</v>
      </c>
      <c r="CJ142">
        <v>3.5325299999999999</v>
      </c>
      <c r="CK142">
        <v>2.7013799999999999</v>
      </c>
      <c r="CL142">
        <v>0.11296200000000001</v>
      </c>
      <c r="CM142">
        <v>0.111583</v>
      </c>
      <c r="CN142">
        <v>8.6783899999999997E-2</v>
      </c>
      <c r="CO142">
        <v>7.8454499999999996E-2</v>
      </c>
      <c r="CP142">
        <v>31073</v>
      </c>
      <c r="CQ142">
        <v>27360.9</v>
      </c>
      <c r="CR142">
        <v>32424.1</v>
      </c>
      <c r="CS142">
        <v>30727.1</v>
      </c>
      <c r="CT142">
        <v>40108.9</v>
      </c>
      <c r="CU142">
        <v>39837</v>
      </c>
      <c r="CV142">
        <v>47365.3</v>
      </c>
      <c r="CW142">
        <v>46875.199999999997</v>
      </c>
      <c r="CX142">
        <v>2.6137199999999998</v>
      </c>
      <c r="CY142">
        <v>2.11924</v>
      </c>
      <c r="CZ142">
        <v>0</v>
      </c>
      <c r="DA142">
        <v>0</v>
      </c>
      <c r="DB142">
        <v>999.9</v>
      </c>
      <c r="DC142">
        <v>999.9</v>
      </c>
      <c r="DD142">
        <v>45.311999999999998</v>
      </c>
      <c r="DE142">
        <v>28.841999999999999</v>
      </c>
      <c r="DF142">
        <v>18.068300000000001</v>
      </c>
      <c r="DG142">
        <v>30.468299999999999</v>
      </c>
      <c r="DH142">
        <v>16.995200000000001</v>
      </c>
      <c r="DI142">
        <v>2</v>
      </c>
      <c r="DJ142">
        <v>-6.6973599999999994E-2</v>
      </c>
      <c r="DK142">
        <v>2.5508199999999999</v>
      </c>
      <c r="DL142">
        <v>20.1906</v>
      </c>
      <c r="DM142">
        <v>5.2508299999999997</v>
      </c>
      <c r="DN142">
        <v>12.033899999999999</v>
      </c>
      <c r="DO142">
        <v>4.9676400000000003</v>
      </c>
      <c r="DP142">
        <v>3.2909999999999999</v>
      </c>
      <c r="DQ142">
        <v>608.4</v>
      </c>
      <c r="DR142">
        <v>9999</v>
      </c>
      <c r="DS142">
        <v>9999</v>
      </c>
      <c r="DT142">
        <v>9999</v>
      </c>
      <c r="DU142">
        <v>1.8711800000000001</v>
      </c>
      <c r="DV142">
        <v>1.8762000000000001</v>
      </c>
      <c r="DW142">
        <v>1.8763700000000001</v>
      </c>
      <c r="DX142">
        <v>1.8828400000000001</v>
      </c>
      <c r="DY142">
        <v>1.87561</v>
      </c>
      <c r="DZ142">
        <v>1.87469</v>
      </c>
      <c r="EA142">
        <v>1.8708800000000001</v>
      </c>
      <c r="EB142">
        <v>1.8746700000000001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-0.72799999999999998</v>
      </c>
      <c r="EQ142">
        <v>8.8800000000000004E-2</v>
      </c>
      <c r="ER142">
        <v>-0.72720000000003904</v>
      </c>
      <c r="ES142">
        <v>0</v>
      </c>
      <c r="ET142">
        <v>0</v>
      </c>
      <c r="EU142">
        <v>0</v>
      </c>
      <c r="EV142">
        <v>8.8809999999996905E-2</v>
      </c>
      <c r="EW142">
        <v>0</v>
      </c>
      <c r="EX142">
        <v>0</v>
      </c>
      <c r="EY142">
        <v>0</v>
      </c>
      <c r="EZ142">
        <v>-1</v>
      </c>
      <c r="FA142">
        <v>-1</v>
      </c>
      <c r="FB142">
        <v>-1</v>
      </c>
      <c r="FC142">
        <v>-1</v>
      </c>
      <c r="FD142">
        <v>9.3000000000000007</v>
      </c>
      <c r="FE142">
        <v>9.6999999999999993</v>
      </c>
      <c r="FF142">
        <v>1.46973</v>
      </c>
      <c r="FG142">
        <v>2.6013199999999999</v>
      </c>
      <c r="FH142">
        <v>2.19604</v>
      </c>
      <c r="FI142">
        <v>2.5744600000000002</v>
      </c>
      <c r="FJ142">
        <v>2.4462899999999999</v>
      </c>
      <c r="FK142">
        <v>2.2753899999999998</v>
      </c>
      <c r="FL142">
        <v>33.109900000000003</v>
      </c>
      <c r="FM142">
        <v>24.1313</v>
      </c>
      <c r="FN142">
        <v>19</v>
      </c>
      <c r="FO142">
        <v>866.73599999999999</v>
      </c>
      <c r="FP142">
        <v>574.85599999999999</v>
      </c>
      <c r="FQ142">
        <v>17.9513</v>
      </c>
      <c r="FR142">
        <v>26.131599999999999</v>
      </c>
      <c r="FS142">
        <v>30.0001</v>
      </c>
      <c r="FT142">
        <v>26.121400000000001</v>
      </c>
      <c r="FU142">
        <v>26.1233</v>
      </c>
      <c r="FV142">
        <v>29.4924</v>
      </c>
      <c r="FW142">
        <v>28.409199999999998</v>
      </c>
      <c r="FX142">
        <v>38.2759</v>
      </c>
      <c r="FY142">
        <v>17.950299999999999</v>
      </c>
      <c r="FZ142">
        <v>500</v>
      </c>
      <c r="GA142">
        <v>13.6793</v>
      </c>
      <c r="GB142">
        <v>99.794600000000003</v>
      </c>
      <c r="GC142">
        <v>99.774299999999997</v>
      </c>
    </row>
    <row r="143" spans="1:185" x14ac:dyDescent="0.2">
      <c r="A143">
        <v>128</v>
      </c>
      <c r="B143">
        <v>1771105679.0999999</v>
      </c>
      <c r="C143">
        <v>2566</v>
      </c>
      <c r="D143" t="s">
        <v>557</v>
      </c>
      <c r="E143" t="s">
        <v>558</v>
      </c>
      <c r="F143">
        <v>15</v>
      </c>
      <c r="G143">
        <v>1771105671.03333</v>
      </c>
      <c r="H143">
        <f t="shared" si="13"/>
        <v>1.4132802657856826E-3</v>
      </c>
      <c r="I143">
        <v>0</v>
      </c>
      <c r="J143">
        <f t="shared" si="25"/>
        <v>1.4501702014576604E-2</v>
      </c>
      <c r="K143">
        <f t="shared" si="14"/>
        <v>0.25930862093113194</v>
      </c>
      <c r="L143">
        <f t="shared" si="15"/>
        <v>69.730568317227736</v>
      </c>
      <c r="M143">
        <f t="shared" si="16"/>
        <v>1.5381525667461764</v>
      </c>
      <c r="N143">
        <f t="shared" si="17"/>
        <v>2.2058511838719062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26139.354498750406</v>
      </c>
      <c r="T143">
        <f t="shared" si="21"/>
        <v>800.00033333333295</v>
      </c>
      <c r="U143">
        <f t="shared" si="22"/>
        <v>674.40006867991099</v>
      </c>
      <c r="V143">
        <f t="shared" si="23"/>
        <v>0.84299973459999977</v>
      </c>
      <c r="W143">
        <f t="shared" si="24"/>
        <v>0.15869950539599995</v>
      </c>
      <c r="X143">
        <v>1</v>
      </c>
      <c r="Y143">
        <v>1771105671.03333</v>
      </c>
      <c r="Z143">
        <v>498.78053333333298</v>
      </c>
      <c r="AA143">
        <v>499.98579999999998</v>
      </c>
      <c r="AB143">
        <v>15.380993333333301</v>
      </c>
      <c r="AC143">
        <v>13.641586666666701</v>
      </c>
      <c r="AD143">
        <v>499.50753333333301</v>
      </c>
      <c r="AE143">
        <v>15.292160000000001</v>
      </c>
      <c r="AF143">
        <v>800.00993333333304</v>
      </c>
      <c r="AG143">
        <v>99.939953333333307</v>
      </c>
      <c r="AH143">
        <v>6.3507653333333303E-2</v>
      </c>
      <c r="AI143">
        <v>19.0048733333333</v>
      </c>
      <c r="AJ143">
        <v>999.9</v>
      </c>
      <c r="AK143">
        <v>999.9</v>
      </c>
      <c r="AL143">
        <v>0</v>
      </c>
      <c r="AM143">
        <v>0</v>
      </c>
      <c r="AN143">
        <v>4989</v>
      </c>
      <c r="AO143">
        <v>0</v>
      </c>
      <c r="AP143">
        <v>1.58087</v>
      </c>
      <c r="AQ143">
        <v>-1.2054640000000001</v>
      </c>
      <c r="AR143">
        <v>506.572</v>
      </c>
      <c r="AS143">
        <v>506.90086666666701</v>
      </c>
      <c r="AT143">
        <v>1.73938666666667</v>
      </c>
      <c r="AU143">
        <v>499.98579999999998</v>
      </c>
      <c r="AV143">
        <v>13.641586666666701</v>
      </c>
      <c r="AW143">
        <v>1.5371760000000001</v>
      </c>
      <c r="AX143">
        <v>1.3633406666666701</v>
      </c>
      <c r="AY143">
        <v>13.343033333333301</v>
      </c>
      <c r="AZ143">
        <v>11.515919999999999</v>
      </c>
      <c r="BA143">
        <v>800.00033333333295</v>
      </c>
      <c r="BB143">
        <v>0.90000633333333302</v>
      </c>
      <c r="BC143">
        <v>0</v>
      </c>
      <c r="BD143">
        <v>9.9993579999999999E-2</v>
      </c>
      <c r="BE143">
        <v>0</v>
      </c>
      <c r="BF143">
        <v>25</v>
      </c>
      <c r="BG143">
        <v>13191.06</v>
      </c>
      <c r="BH143">
        <v>1771105107.0999999</v>
      </c>
      <c r="BI143" t="s">
        <v>498</v>
      </c>
      <c r="BJ143">
        <v>1771105107.0999999</v>
      </c>
      <c r="BK143">
        <v>1771105081.0999999</v>
      </c>
      <c r="BL143">
        <v>18</v>
      </c>
      <c r="BM143">
        <v>-0.40100000000000002</v>
      </c>
      <c r="BN143">
        <v>2.5999999999999999E-2</v>
      </c>
      <c r="BO143">
        <v>-0.72699999999999998</v>
      </c>
      <c r="BP143">
        <v>8.8999999999999996E-2</v>
      </c>
      <c r="BQ143">
        <v>375</v>
      </c>
      <c r="BR143">
        <v>15</v>
      </c>
      <c r="BS143">
        <v>0.16</v>
      </c>
      <c r="BT143">
        <v>0.05</v>
      </c>
      <c r="BU143">
        <v>-1.2062966666666699</v>
      </c>
      <c r="BV143">
        <v>-0.102882857142858</v>
      </c>
      <c r="BW143">
        <v>3.43842809231657E-2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1.74628238095238</v>
      </c>
      <c r="CD143">
        <v>-0.14304233766233801</v>
      </c>
      <c r="CE143">
        <v>1.56087627723483E-2</v>
      </c>
      <c r="CF143">
        <v>0</v>
      </c>
      <c r="CG143">
        <v>1</v>
      </c>
      <c r="CH143">
        <v>2</v>
      </c>
      <c r="CI143" t="s">
        <v>299</v>
      </c>
      <c r="CJ143">
        <v>3.53254</v>
      </c>
      <c r="CK143">
        <v>2.7014399999999998</v>
      </c>
      <c r="CL143">
        <v>0.11296399999999999</v>
      </c>
      <c r="CM143">
        <v>0.11158700000000001</v>
      </c>
      <c r="CN143">
        <v>8.6766300000000005E-2</v>
      </c>
      <c r="CO143">
        <v>7.8590699999999999E-2</v>
      </c>
      <c r="CP143">
        <v>31072.3</v>
      </c>
      <c r="CQ143">
        <v>27360.7</v>
      </c>
      <c r="CR143">
        <v>32423.5</v>
      </c>
      <c r="CS143">
        <v>30727.1</v>
      </c>
      <c r="CT143">
        <v>40109.300000000003</v>
      </c>
      <c r="CU143">
        <v>39831.1</v>
      </c>
      <c r="CV143">
        <v>47364.800000000003</v>
      </c>
      <c r="CW143">
        <v>46875.3</v>
      </c>
      <c r="CX143">
        <v>2.6137000000000001</v>
      </c>
      <c r="CY143">
        <v>2.1191599999999999</v>
      </c>
      <c r="CZ143">
        <v>0</v>
      </c>
      <c r="DA143">
        <v>0</v>
      </c>
      <c r="DB143">
        <v>999.9</v>
      </c>
      <c r="DC143">
        <v>999.9</v>
      </c>
      <c r="DD143">
        <v>45.225999999999999</v>
      </c>
      <c r="DE143">
        <v>28.852</v>
      </c>
      <c r="DF143">
        <v>18.043099999999999</v>
      </c>
      <c r="DG143">
        <v>30.708300000000001</v>
      </c>
      <c r="DH143">
        <v>16.9511</v>
      </c>
      <c r="DI143">
        <v>2</v>
      </c>
      <c r="DJ143">
        <v>-6.4589400000000005E-2</v>
      </c>
      <c r="DK143">
        <v>3.06745</v>
      </c>
      <c r="DL143">
        <v>20.1797</v>
      </c>
      <c r="DM143">
        <v>5.2503500000000001</v>
      </c>
      <c r="DN143">
        <v>12.033899999999999</v>
      </c>
      <c r="DO143">
        <v>4.9676799999999997</v>
      </c>
      <c r="DP143">
        <v>3.2909999999999999</v>
      </c>
      <c r="DQ143">
        <v>608.4</v>
      </c>
      <c r="DR143">
        <v>9999</v>
      </c>
      <c r="DS143">
        <v>9999</v>
      </c>
      <c r="DT143">
        <v>9999</v>
      </c>
      <c r="DU143">
        <v>1.8711500000000001</v>
      </c>
      <c r="DV143">
        <v>1.87612</v>
      </c>
      <c r="DW143">
        <v>1.8763399999999999</v>
      </c>
      <c r="DX143">
        <v>1.8828100000000001</v>
      </c>
      <c r="DY143">
        <v>1.87561</v>
      </c>
      <c r="DZ143">
        <v>1.87466</v>
      </c>
      <c r="EA143">
        <v>1.8708499999999999</v>
      </c>
      <c r="EB143">
        <v>1.8746400000000001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-0.72699999999999998</v>
      </c>
      <c r="EQ143">
        <v>8.8800000000000004E-2</v>
      </c>
      <c r="ER143">
        <v>-0.72720000000003904</v>
      </c>
      <c r="ES143">
        <v>0</v>
      </c>
      <c r="ET143">
        <v>0</v>
      </c>
      <c r="EU143">
        <v>0</v>
      </c>
      <c r="EV143">
        <v>8.8809999999996905E-2</v>
      </c>
      <c r="EW143">
        <v>0</v>
      </c>
      <c r="EX143">
        <v>0</v>
      </c>
      <c r="EY143">
        <v>0</v>
      </c>
      <c r="EZ143">
        <v>-1</v>
      </c>
      <c r="FA143">
        <v>-1</v>
      </c>
      <c r="FB143">
        <v>-1</v>
      </c>
      <c r="FC143">
        <v>-1</v>
      </c>
      <c r="FD143">
        <v>9.5</v>
      </c>
      <c r="FE143">
        <v>10</v>
      </c>
      <c r="FF143">
        <v>1.46973</v>
      </c>
      <c r="FG143">
        <v>2.5976599999999999</v>
      </c>
      <c r="FH143">
        <v>2.19604</v>
      </c>
      <c r="FI143">
        <v>2.5744600000000002</v>
      </c>
      <c r="FJ143">
        <v>2.4462899999999999</v>
      </c>
      <c r="FK143">
        <v>2.2961399999999998</v>
      </c>
      <c r="FL143">
        <v>33.087499999999999</v>
      </c>
      <c r="FM143">
        <v>24.14</v>
      </c>
      <c r="FN143">
        <v>19</v>
      </c>
      <c r="FO143">
        <v>866.75300000000004</v>
      </c>
      <c r="FP143">
        <v>574.81500000000005</v>
      </c>
      <c r="FQ143">
        <v>17.8278</v>
      </c>
      <c r="FR143">
        <v>26.131599999999999</v>
      </c>
      <c r="FS143">
        <v>30.0014</v>
      </c>
      <c r="FT143">
        <v>26.1236</v>
      </c>
      <c r="FU143">
        <v>26.1251</v>
      </c>
      <c r="FV143">
        <v>29.494399999999999</v>
      </c>
      <c r="FW143">
        <v>28.1373</v>
      </c>
      <c r="FX143">
        <v>37.901600000000002</v>
      </c>
      <c r="FY143">
        <v>17.790500000000002</v>
      </c>
      <c r="FZ143">
        <v>500</v>
      </c>
      <c r="GA143">
        <v>13.6854</v>
      </c>
      <c r="GB143">
        <v>99.793199999999999</v>
      </c>
      <c r="GC143">
        <v>99.7744</v>
      </c>
    </row>
    <row r="144" spans="1:185" x14ac:dyDescent="0.2">
      <c r="A144">
        <v>129</v>
      </c>
      <c r="B144">
        <v>1771105694.0999999</v>
      </c>
      <c r="C144">
        <v>2581</v>
      </c>
      <c r="D144" t="s">
        <v>559</v>
      </c>
      <c r="E144" t="s">
        <v>560</v>
      </c>
      <c r="F144">
        <v>15</v>
      </c>
      <c r="G144">
        <v>1771105686.03333</v>
      </c>
      <c r="H144">
        <f t="shared" ref="H144:H207" si="26">AF144*Q144*(AB144-AC144)/(1000*X144*(1000-Q144*AB144))</f>
        <v>1.3806040484921635E-3</v>
      </c>
      <c r="I144">
        <v>0</v>
      </c>
      <c r="J144">
        <f t="shared" si="25"/>
        <v>1.5189623251025E-2</v>
      </c>
      <c r="K144">
        <f t="shared" ref="K144:K207" si="27">AF144*Q144*(AA144-Z144*(1000-Q144*AC144)/(1000-Q144*AB144))/(1000*X144)</f>
        <v>0.27160951547119128</v>
      </c>
      <c r="L144">
        <f t="shared" ref="L144:L207" si="28">(M144/N144*100)</f>
        <v>69.58608207344858</v>
      </c>
      <c r="M144">
        <f t="shared" ref="M144:M207" si="29">AB144*(AG144+AH144)/1000</f>
        <v>1.535194669861113</v>
      </c>
      <c r="N144">
        <f t="shared" ref="N144:N207" si="30">0.61365*EXP(17.502*AI144/(240.97+AI144))</f>
        <v>2.2061806385948053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26228.339466192298</v>
      </c>
      <c r="T144">
        <f t="shared" ref="T144:T207" si="34">$B$11*AO144+$C$11*AP144+$D$11*BA144</f>
        <v>799.99980000000005</v>
      </c>
      <c r="U144">
        <f t="shared" ref="U144:U207" si="35">T144*V144</f>
        <v>674.39963460004924</v>
      </c>
      <c r="V144">
        <f t="shared" ref="V144:V207" si="36">($B$11*$D$9+$C$11*$D$9+$D$11*(BB144*$E$9+BC144*$F$9+BD144*$G$9+BE144*$H$9))/($B$11+$C$11+$D$11)</f>
        <v>0.84299975400000005</v>
      </c>
      <c r="W144">
        <f t="shared" ref="W144:W207" si="37">($B$11*$L$9+$C$11*$L$9+$D$11*(BB144*$M$9+BC144*$N$9+BD144*$O$9+BE144*$P$9))/($B$11+$C$11+$D$11)</f>
        <v>0.158699385</v>
      </c>
      <c r="X144">
        <v>1</v>
      </c>
      <c r="Y144">
        <v>1771105686.03333</v>
      </c>
      <c r="Z144">
        <v>498.82046666666702</v>
      </c>
      <c r="AA144">
        <v>500.02080000000001</v>
      </c>
      <c r="AB144">
        <v>15.351366666666699</v>
      </c>
      <c r="AC144">
        <v>13.6521333333333</v>
      </c>
      <c r="AD144">
        <v>499.54759999999999</v>
      </c>
      <c r="AE144">
        <v>15.2883666666667</v>
      </c>
      <c r="AF144">
        <v>800.01366666666695</v>
      </c>
      <c r="AG144">
        <v>99.940393333333304</v>
      </c>
      <c r="AH144">
        <v>6.3385040000000004E-2</v>
      </c>
      <c r="AI144">
        <v>19.007266666666698</v>
      </c>
      <c r="AJ144">
        <v>999.9</v>
      </c>
      <c r="AK144">
        <v>999.9</v>
      </c>
      <c r="AL144">
        <v>0</v>
      </c>
      <c r="AM144">
        <v>0</v>
      </c>
      <c r="AN144">
        <v>5003.7</v>
      </c>
      <c r="AO144">
        <v>0</v>
      </c>
      <c r="AP144">
        <v>1.58087</v>
      </c>
      <c r="AQ144">
        <v>-1.2002919999999999</v>
      </c>
      <c r="AR144">
        <v>506.61073333333297</v>
      </c>
      <c r="AS144">
        <v>506.941666666667</v>
      </c>
      <c r="AT144">
        <v>1.7250540000000001</v>
      </c>
      <c r="AU144">
        <v>500.02080000000001</v>
      </c>
      <c r="AV144">
        <v>13.6521333333333</v>
      </c>
      <c r="AW144">
        <v>1.5367993333333301</v>
      </c>
      <c r="AX144">
        <v>1.3643973333333299</v>
      </c>
      <c r="AY144">
        <v>13.33928</v>
      </c>
      <c r="AZ144">
        <v>11.5276333333333</v>
      </c>
      <c r="BA144">
        <v>799.99980000000005</v>
      </c>
      <c r="BB144">
        <v>0.90000820000000004</v>
      </c>
      <c r="BC144">
        <v>0</v>
      </c>
      <c r="BD144">
        <v>9.9991800000000006E-2</v>
      </c>
      <c r="BE144">
        <v>0</v>
      </c>
      <c r="BF144">
        <v>25</v>
      </c>
      <c r="BG144">
        <v>13191.06</v>
      </c>
      <c r="BH144">
        <v>1771105716.0999999</v>
      </c>
      <c r="BI144" t="s">
        <v>561</v>
      </c>
      <c r="BJ144">
        <v>1771105107.0999999</v>
      </c>
      <c r="BK144">
        <v>1771105716.0999999</v>
      </c>
      <c r="BL144">
        <v>19</v>
      </c>
      <c r="BM144">
        <v>-0.40100000000000002</v>
      </c>
      <c r="BN144">
        <v>-2.5999999999999999E-2</v>
      </c>
      <c r="BO144">
        <v>-0.72699999999999998</v>
      </c>
      <c r="BP144">
        <v>6.3E-2</v>
      </c>
      <c r="BQ144">
        <v>375</v>
      </c>
      <c r="BR144">
        <v>14</v>
      </c>
      <c r="BS144">
        <v>0.16</v>
      </c>
      <c r="BT144">
        <v>0.03</v>
      </c>
      <c r="BU144">
        <v>-1.2101904999999999</v>
      </c>
      <c r="BV144">
        <v>0.201335187969921</v>
      </c>
      <c r="BW144">
        <v>2.9209649343153701E-2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1.7262679999999999</v>
      </c>
      <c r="CD144">
        <v>-1.54321804511261E-2</v>
      </c>
      <c r="CE144">
        <v>2.7732086109775399E-3</v>
      </c>
      <c r="CF144">
        <v>1</v>
      </c>
      <c r="CG144">
        <v>2</v>
      </c>
      <c r="CH144">
        <v>2</v>
      </c>
      <c r="CI144" t="s">
        <v>322</v>
      </c>
      <c r="CJ144">
        <v>3.5325899999999999</v>
      </c>
      <c r="CK144">
        <v>2.7014499999999999</v>
      </c>
      <c r="CL144">
        <v>0.112971</v>
      </c>
      <c r="CM144">
        <v>0.11158800000000001</v>
      </c>
      <c r="CN144">
        <v>8.6770399999999998E-2</v>
      </c>
      <c r="CO144">
        <v>7.8583399999999998E-2</v>
      </c>
      <c r="CP144">
        <v>31072.400000000001</v>
      </c>
      <c r="CQ144">
        <v>27359.8</v>
      </c>
      <c r="CR144">
        <v>32423.8</v>
      </c>
      <c r="CS144">
        <v>30726.1</v>
      </c>
      <c r="CT144">
        <v>40109.4</v>
      </c>
      <c r="CU144">
        <v>39830.1</v>
      </c>
      <c r="CV144">
        <v>47365.1</v>
      </c>
      <c r="CW144">
        <v>46873.7</v>
      </c>
      <c r="CX144">
        <v>2.6136400000000002</v>
      </c>
      <c r="CY144">
        <v>2.1193599999999999</v>
      </c>
      <c r="CZ144">
        <v>0</v>
      </c>
      <c r="DA144">
        <v>0</v>
      </c>
      <c r="DB144">
        <v>999.9</v>
      </c>
      <c r="DC144">
        <v>999.9</v>
      </c>
      <c r="DD144">
        <v>45.201999999999998</v>
      </c>
      <c r="DE144">
        <v>28.852</v>
      </c>
      <c r="DF144">
        <v>18.034600000000001</v>
      </c>
      <c r="DG144">
        <v>30.528300000000002</v>
      </c>
      <c r="DH144">
        <v>16.855</v>
      </c>
      <c r="DI144">
        <v>2</v>
      </c>
      <c r="DJ144">
        <v>-6.5752000000000005E-2</v>
      </c>
      <c r="DK144">
        <v>2.7937099999999999</v>
      </c>
      <c r="DL144">
        <v>20.185700000000001</v>
      </c>
      <c r="DM144">
        <v>5.2505899999999999</v>
      </c>
      <c r="DN144">
        <v>12.033899999999999</v>
      </c>
      <c r="DO144">
        <v>4.9676799999999997</v>
      </c>
      <c r="DP144">
        <v>3.2909999999999999</v>
      </c>
      <c r="DQ144">
        <v>608.4</v>
      </c>
      <c r="DR144">
        <v>9999</v>
      </c>
      <c r="DS144">
        <v>9999</v>
      </c>
      <c r="DT144">
        <v>9999</v>
      </c>
      <c r="DU144">
        <v>1.8711599999999999</v>
      </c>
      <c r="DV144">
        <v>1.8761000000000001</v>
      </c>
      <c r="DW144">
        <v>1.87635</v>
      </c>
      <c r="DX144">
        <v>1.8828</v>
      </c>
      <c r="DY144">
        <v>1.87561</v>
      </c>
      <c r="DZ144">
        <v>1.87466</v>
      </c>
      <c r="EA144">
        <v>1.87083</v>
      </c>
      <c r="EB144">
        <v>1.87462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-0.72699999999999998</v>
      </c>
      <c r="EQ144">
        <v>6.3E-2</v>
      </c>
      <c r="ER144">
        <v>-0.72720000000003904</v>
      </c>
      <c r="ES144">
        <v>0</v>
      </c>
      <c r="ET144">
        <v>0</v>
      </c>
      <c r="EU144">
        <v>0</v>
      </c>
      <c r="EV144">
        <v>8.8809999999996905E-2</v>
      </c>
      <c r="EW144">
        <v>0</v>
      </c>
      <c r="EX144">
        <v>0</v>
      </c>
      <c r="EY144">
        <v>0</v>
      </c>
      <c r="EZ144">
        <v>-1</v>
      </c>
      <c r="FA144">
        <v>-1</v>
      </c>
      <c r="FB144">
        <v>-1</v>
      </c>
      <c r="FC144">
        <v>-1</v>
      </c>
      <c r="FD144">
        <v>9.8000000000000007</v>
      </c>
      <c r="FE144">
        <v>10.199999999999999</v>
      </c>
      <c r="FF144">
        <v>1.46973</v>
      </c>
      <c r="FG144">
        <v>2.6037599999999999</v>
      </c>
      <c r="FH144">
        <v>2.19604</v>
      </c>
      <c r="FI144">
        <v>2.5744600000000002</v>
      </c>
      <c r="FJ144">
        <v>2.4462899999999999</v>
      </c>
      <c r="FK144">
        <v>2.2985799999999998</v>
      </c>
      <c r="FL144">
        <v>33.109900000000003</v>
      </c>
      <c r="FM144">
        <v>24.14</v>
      </c>
      <c r="FN144">
        <v>19</v>
      </c>
      <c r="FO144">
        <v>866.697</v>
      </c>
      <c r="FP144">
        <v>574.96900000000005</v>
      </c>
      <c r="FQ144">
        <v>17.759</v>
      </c>
      <c r="FR144">
        <v>26.1311</v>
      </c>
      <c r="FS144">
        <v>30</v>
      </c>
      <c r="FT144">
        <v>26.1236</v>
      </c>
      <c r="FU144">
        <v>26.1251</v>
      </c>
      <c r="FV144">
        <v>29.4923</v>
      </c>
      <c r="FW144">
        <v>28.1373</v>
      </c>
      <c r="FX144">
        <v>37.901600000000002</v>
      </c>
      <c r="FY144">
        <v>17.7668</v>
      </c>
      <c r="FZ144">
        <v>500</v>
      </c>
      <c r="GA144">
        <v>13.6881</v>
      </c>
      <c r="GB144">
        <v>99.793999999999997</v>
      </c>
      <c r="GC144">
        <v>99.771199999999993</v>
      </c>
    </row>
    <row r="145" spans="1:185" x14ac:dyDescent="0.2">
      <c r="A145">
        <v>130</v>
      </c>
      <c r="B145">
        <v>1771105718.0999999</v>
      </c>
      <c r="C145">
        <v>2605</v>
      </c>
      <c r="D145" t="s">
        <v>562</v>
      </c>
      <c r="E145" t="s">
        <v>563</v>
      </c>
      <c r="F145">
        <v>15</v>
      </c>
      <c r="G145">
        <v>1771105717.0999999</v>
      </c>
      <c r="H145">
        <f t="shared" si="26"/>
        <v>-4.8664319835740325E-7</v>
      </c>
      <c r="I145">
        <v>0</v>
      </c>
      <c r="J145">
        <f t="shared" ref="J145:J208" si="38">K145*(0.0007335/0.0131159)</f>
        <v>-1.0154049007784667E-3</v>
      </c>
      <c r="K145">
        <f t="shared" si="27"/>
        <v>-1.8156713208071291E-2</v>
      </c>
      <c r="L145">
        <f t="shared" si="28"/>
        <v>61.941158250957194</v>
      </c>
      <c r="M145">
        <f t="shared" si="29"/>
        <v>1.36507071254624</v>
      </c>
      <c r="N145">
        <f t="shared" si="30"/>
        <v>2.203818512749792</v>
      </c>
      <c r="O145">
        <v>465</v>
      </c>
      <c r="P145">
        <v>58</v>
      </c>
      <c r="Q145">
        <f t="shared" si="31"/>
        <v>1</v>
      </c>
      <c r="R145">
        <f t="shared" si="32"/>
        <v>0</v>
      </c>
      <c r="S145">
        <f t="shared" si="33"/>
        <v>26192.182111217931</v>
      </c>
      <c r="T145">
        <f t="shared" si="34"/>
        <v>799.99599999999998</v>
      </c>
      <c r="U145">
        <f t="shared" si="35"/>
        <v>674.39681999903996</v>
      </c>
      <c r="V145">
        <f t="shared" si="36"/>
        <v>0.84300023999999996</v>
      </c>
      <c r="W145">
        <f t="shared" si="37"/>
        <v>0.15870060000000002</v>
      </c>
      <c r="X145">
        <v>1</v>
      </c>
      <c r="Y145">
        <v>1771105717.0999999</v>
      </c>
      <c r="Z145">
        <v>500.02300000000002</v>
      </c>
      <c r="AA145">
        <v>500</v>
      </c>
      <c r="AB145">
        <v>13.6486</v>
      </c>
      <c r="AC145">
        <v>13.6492</v>
      </c>
      <c r="AD145">
        <v>500.714</v>
      </c>
      <c r="AE145">
        <v>13.586</v>
      </c>
      <c r="AF145">
        <v>800.00199999999995</v>
      </c>
      <c r="AG145">
        <v>99.939899999999994</v>
      </c>
      <c r="AH145">
        <v>7.5538400000000006E-2</v>
      </c>
      <c r="AI145">
        <v>18.990100000000002</v>
      </c>
      <c r="AJ145">
        <v>999.9</v>
      </c>
      <c r="AK145">
        <v>999.9</v>
      </c>
      <c r="AL145">
        <v>0</v>
      </c>
      <c r="AM145">
        <v>0</v>
      </c>
      <c r="AN145">
        <v>4997.5</v>
      </c>
      <c r="AO145">
        <v>0</v>
      </c>
      <c r="AP145">
        <v>1.5921700000000001</v>
      </c>
      <c r="AQ145">
        <v>-1.27869E-2</v>
      </c>
      <c r="AR145">
        <v>506.90600000000001</v>
      </c>
      <c r="AS145">
        <v>506.91899999999998</v>
      </c>
      <c r="AT145">
        <v>-5.2833600000000002E-4</v>
      </c>
      <c r="AU145">
        <v>500</v>
      </c>
      <c r="AV145">
        <v>13.6492</v>
      </c>
      <c r="AW145">
        <v>1.3640399999999999</v>
      </c>
      <c r="AX145">
        <v>1.3641000000000001</v>
      </c>
      <c r="AY145">
        <v>11.5237</v>
      </c>
      <c r="AZ145">
        <v>11.5243</v>
      </c>
      <c r="BA145">
        <v>799.99599999999998</v>
      </c>
      <c r="BB145">
        <v>0.89999200000000001</v>
      </c>
      <c r="BC145">
        <v>0</v>
      </c>
      <c r="BD145">
        <v>0.100008</v>
      </c>
      <c r="BE145">
        <v>0</v>
      </c>
      <c r="BF145">
        <v>25</v>
      </c>
      <c r="BG145">
        <v>13190.9</v>
      </c>
      <c r="BH145">
        <v>1771105740.0999999</v>
      </c>
      <c r="BI145" t="s">
        <v>564</v>
      </c>
      <c r="BJ145">
        <v>1771105740.0999999</v>
      </c>
      <c r="BK145">
        <v>1771105716.0999999</v>
      </c>
      <c r="BL145">
        <v>20</v>
      </c>
      <c r="BM145">
        <v>3.5999999999999997E-2</v>
      </c>
      <c r="BN145">
        <v>-2.5999999999999999E-2</v>
      </c>
      <c r="BO145">
        <v>-0.69099999999999995</v>
      </c>
      <c r="BP145">
        <v>6.3E-2</v>
      </c>
      <c r="BQ145">
        <v>500</v>
      </c>
      <c r="BR145">
        <v>14</v>
      </c>
      <c r="BS145">
        <v>0.28999999999999998</v>
      </c>
      <c r="BT145">
        <v>0.03</v>
      </c>
      <c r="BU145">
        <v>-9.3351701999999995E-2</v>
      </c>
      <c r="BV145">
        <v>1.1434654042105299</v>
      </c>
      <c r="BW145">
        <v>0.179360483720025</v>
      </c>
      <c r="BX145">
        <v>0</v>
      </c>
      <c r="BY145">
        <v>0</v>
      </c>
      <c r="BZ145">
        <v>0</v>
      </c>
      <c r="CA145">
        <v>0</v>
      </c>
      <c r="CB145">
        <v>-1</v>
      </c>
      <c r="CC145">
        <v>0.13151513819999999</v>
      </c>
      <c r="CD145">
        <v>-1.6989100278496301</v>
      </c>
      <c r="CE145">
        <v>0.26442053674583399</v>
      </c>
      <c r="CF145">
        <v>0</v>
      </c>
      <c r="CG145">
        <v>0</v>
      </c>
      <c r="CH145">
        <v>2</v>
      </c>
      <c r="CI145" t="s">
        <v>290</v>
      </c>
      <c r="CJ145">
        <v>3.5342899999999999</v>
      </c>
      <c r="CK145">
        <v>2.7120199999999999</v>
      </c>
      <c r="CL145">
        <v>0.113126</v>
      </c>
      <c r="CM145">
        <v>0.111583</v>
      </c>
      <c r="CN145">
        <v>7.9778399999999999E-2</v>
      </c>
      <c r="CO145">
        <v>7.8570699999999993E-2</v>
      </c>
      <c r="CP145">
        <v>31066.7</v>
      </c>
      <c r="CQ145">
        <v>27361.1</v>
      </c>
      <c r="CR145">
        <v>32423.7</v>
      </c>
      <c r="CS145">
        <v>30727.3</v>
      </c>
      <c r="CT145">
        <v>40424.800000000003</v>
      </c>
      <c r="CU145">
        <v>39832.6</v>
      </c>
      <c r="CV145">
        <v>47364.9</v>
      </c>
      <c r="CW145">
        <v>46876</v>
      </c>
      <c r="CX145">
        <v>1.7091799999999999</v>
      </c>
      <c r="CY145">
        <v>1.60632</v>
      </c>
      <c r="CZ145">
        <v>0</v>
      </c>
      <c r="DA145">
        <v>0</v>
      </c>
      <c r="DB145">
        <v>999.9</v>
      </c>
      <c r="DC145">
        <v>999.9</v>
      </c>
      <c r="DD145">
        <v>45.152999999999999</v>
      </c>
      <c r="DE145">
        <v>28.852</v>
      </c>
      <c r="DF145">
        <v>18.0167</v>
      </c>
      <c r="DG145">
        <v>30.1983</v>
      </c>
      <c r="DH145">
        <v>17.1554</v>
      </c>
      <c r="DI145">
        <v>2</v>
      </c>
      <c r="DJ145">
        <v>-6.6443100000000005E-2</v>
      </c>
      <c r="DK145">
        <v>2.6930800000000001</v>
      </c>
      <c r="DL145">
        <v>20.186499999999999</v>
      </c>
      <c r="DM145">
        <v>5.2456800000000001</v>
      </c>
      <c r="DN145">
        <v>12.033899999999999</v>
      </c>
      <c r="DO145">
        <v>4.9663199999999996</v>
      </c>
      <c r="DP145">
        <v>3.2901600000000002</v>
      </c>
      <c r="DQ145">
        <v>608.4</v>
      </c>
      <c r="DR145">
        <v>9999</v>
      </c>
      <c r="DS145">
        <v>9999</v>
      </c>
      <c r="DT145">
        <v>9999</v>
      </c>
      <c r="DU145">
        <v>1.87117</v>
      </c>
      <c r="DV145">
        <v>1.87616</v>
      </c>
      <c r="DW145">
        <v>1.87636</v>
      </c>
      <c r="DX145">
        <v>1.8828400000000001</v>
      </c>
      <c r="DY145">
        <v>1.87561</v>
      </c>
      <c r="DZ145">
        <v>1.8746799999999999</v>
      </c>
      <c r="EA145">
        <v>1.87086</v>
      </c>
      <c r="EB145">
        <v>1.8746700000000001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-0.69099999999999995</v>
      </c>
      <c r="EQ145">
        <v>6.2600000000000003E-2</v>
      </c>
      <c r="ER145">
        <v>-0.72720000000003904</v>
      </c>
      <c r="ES145">
        <v>0</v>
      </c>
      <c r="ET145">
        <v>0</v>
      </c>
      <c r="EU145">
        <v>0</v>
      </c>
      <c r="EV145">
        <v>6.2609999999999402E-2</v>
      </c>
      <c r="EW145">
        <v>0</v>
      </c>
      <c r="EX145">
        <v>0</v>
      </c>
      <c r="EY145">
        <v>0</v>
      </c>
      <c r="EZ145">
        <v>-1</v>
      </c>
      <c r="FA145">
        <v>-1</v>
      </c>
      <c r="FB145">
        <v>-1</v>
      </c>
      <c r="FC145">
        <v>-1</v>
      </c>
      <c r="FD145">
        <v>10.199999999999999</v>
      </c>
      <c r="FE145">
        <v>0</v>
      </c>
      <c r="FF145">
        <v>1.46973</v>
      </c>
      <c r="FG145">
        <v>2.5964399999999999</v>
      </c>
      <c r="FH145">
        <v>2.19604</v>
      </c>
      <c r="FI145">
        <v>2.5744600000000002</v>
      </c>
      <c r="FJ145">
        <v>2.4462899999999999</v>
      </c>
      <c r="FK145">
        <v>2.3315399999999999</v>
      </c>
      <c r="FL145">
        <v>33.109900000000003</v>
      </c>
      <c r="FM145">
        <v>24.113800000000001</v>
      </c>
      <c r="FN145">
        <v>19</v>
      </c>
      <c r="FO145">
        <v>314.33</v>
      </c>
      <c r="FP145">
        <v>284.09300000000002</v>
      </c>
      <c r="FQ145">
        <v>17.7852</v>
      </c>
      <c r="FR145">
        <v>26.1295</v>
      </c>
      <c r="FS145">
        <v>30</v>
      </c>
      <c r="FT145">
        <v>26.141200000000001</v>
      </c>
      <c r="FU145">
        <v>26.1404</v>
      </c>
      <c r="FV145">
        <v>29.4908</v>
      </c>
      <c r="FW145">
        <v>24.732299999999999</v>
      </c>
      <c r="FX145">
        <v>37.901600000000002</v>
      </c>
      <c r="FY145">
        <v>17.7925</v>
      </c>
      <c r="FZ145">
        <v>500</v>
      </c>
      <c r="GA145">
        <v>14.4864</v>
      </c>
      <c r="GB145">
        <v>99.793599999999998</v>
      </c>
      <c r="GC145">
        <v>99.775700000000001</v>
      </c>
    </row>
    <row r="146" spans="1:185" x14ac:dyDescent="0.2">
      <c r="A146">
        <v>131</v>
      </c>
      <c r="B146">
        <v>1771105742.0999999</v>
      </c>
      <c r="C146">
        <v>2629</v>
      </c>
      <c r="D146" t="s">
        <v>565</v>
      </c>
      <c r="E146" t="s">
        <v>566</v>
      </c>
      <c r="F146">
        <v>15</v>
      </c>
      <c r="G146">
        <v>1771105741.0999999</v>
      </c>
      <c r="H146">
        <f t="shared" si="26"/>
        <v>-1.6637572658936821E-5</v>
      </c>
      <c r="I146">
        <v>0</v>
      </c>
      <c r="J146">
        <f t="shared" si="38"/>
        <v>-7.1932075298252756E-5</v>
      </c>
      <c r="K146">
        <f t="shared" si="27"/>
        <v>-1.2862357278859622E-3</v>
      </c>
      <c r="L146">
        <f t="shared" si="28"/>
        <v>64.562863360935566</v>
      </c>
      <c r="M146">
        <f t="shared" si="29"/>
        <v>1.423239086768</v>
      </c>
      <c r="N146">
        <f t="shared" si="30"/>
        <v>2.2044237394048816</v>
      </c>
      <c r="O146">
        <v>469</v>
      </c>
      <c r="P146">
        <v>59</v>
      </c>
      <c r="Q146">
        <f t="shared" si="31"/>
        <v>1</v>
      </c>
      <c r="R146">
        <f t="shared" si="32"/>
        <v>0</v>
      </c>
      <c r="S146">
        <f t="shared" si="33"/>
        <v>26179.981069782123</v>
      </c>
      <c r="T146">
        <f t="shared" si="34"/>
        <v>799.99599999999998</v>
      </c>
      <c r="U146">
        <f t="shared" si="35"/>
        <v>674.39684399891996</v>
      </c>
      <c r="V146">
        <f t="shared" si="36"/>
        <v>0.84300027</v>
      </c>
      <c r="W146">
        <f t="shared" si="37"/>
        <v>0.15870067499999999</v>
      </c>
      <c r="X146">
        <v>1</v>
      </c>
      <c r="Y146">
        <v>1771105741.0999999</v>
      </c>
      <c r="Z146">
        <v>499.72699999999998</v>
      </c>
      <c r="AA146">
        <v>499.71499999999997</v>
      </c>
      <c r="AB146">
        <v>14.23</v>
      </c>
      <c r="AC146">
        <v>14.250500000000001</v>
      </c>
      <c r="AD146">
        <v>500.41800000000001</v>
      </c>
      <c r="AE146">
        <v>14.167400000000001</v>
      </c>
      <c r="AF146">
        <v>800.04</v>
      </c>
      <c r="AG146">
        <v>99.941100000000006</v>
      </c>
      <c r="AH146">
        <v>7.5701599999999994E-2</v>
      </c>
      <c r="AI146">
        <v>18.994499999999999</v>
      </c>
      <c r="AJ146">
        <v>999.9</v>
      </c>
      <c r="AK146">
        <v>999.9</v>
      </c>
      <c r="AL146">
        <v>0</v>
      </c>
      <c r="AM146">
        <v>0</v>
      </c>
      <c r="AN146">
        <v>4995.5</v>
      </c>
      <c r="AO146">
        <v>0</v>
      </c>
      <c r="AP146">
        <v>1.58087</v>
      </c>
      <c r="AQ146">
        <v>1.2146000000000001E-2</v>
      </c>
      <c r="AR146">
        <v>506.94099999999997</v>
      </c>
      <c r="AS146">
        <v>506.93900000000002</v>
      </c>
      <c r="AT146">
        <v>-2.05212E-2</v>
      </c>
      <c r="AU146">
        <v>499.71499999999997</v>
      </c>
      <c r="AV146">
        <v>14.250500000000001</v>
      </c>
      <c r="AW146">
        <v>1.4221600000000001</v>
      </c>
      <c r="AX146">
        <v>1.42421</v>
      </c>
      <c r="AY146">
        <v>12.156000000000001</v>
      </c>
      <c r="AZ146">
        <v>12.177899999999999</v>
      </c>
      <c r="BA146">
        <v>799.99599999999998</v>
      </c>
      <c r="BB146">
        <v>0.89999099999999999</v>
      </c>
      <c r="BC146">
        <v>0</v>
      </c>
      <c r="BD146">
        <v>0.100009</v>
      </c>
      <c r="BE146">
        <v>0</v>
      </c>
      <c r="BF146">
        <v>25</v>
      </c>
      <c r="BG146">
        <v>13190.9</v>
      </c>
      <c r="BH146">
        <v>1771105740.0999999</v>
      </c>
      <c r="BI146" t="s">
        <v>564</v>
      </c>
      <c r="BJ146">
        <v>1771105740.0999999</v>
      </c>
      <c r="BK146">
        <v>1771105716.0999999</v>
      </c>
      <c r="BL146">
        <v>20</v>
      </c>
      <c r="BM146">
        <v>3.5999999999999997E-2</v>
      </c>
      <c r="BN146">
        <v>-2.5999999999999999E-2</v>
      </c>
      <c r="BO146">
        <v>-0.69099999999999995</v>
      </c>
      <c r="BP146">
        <v>6.3E-2</v>
      </c>
      <c r="BQ146">
        <v>500</v>
      </c>
      <c r="BR146">
        <v>14</v>
      </c>
      <c r="BS146">
        <v>0.28999999999999998</v>
      </c>
      <c r="BT146">
        <v>0.03</v>
      </c>
      <c r="BU146">
        <v>-5.8969085900000003E-2</v>
      </c>
      <c r="BV146">
        <v>0.50412879112782005</v>
      </c>
      <c r="BW146">
        <v>8.1267218810685396E-2</v>
      </c>
      <c r="BX146">
        <v>0</v>
      </c>
      <c r="BY146">
        <v>0</v>
      </c>
      <c r="BZ146">
        <v>0</v>
      </c>
      <c r="CA146">
        <v>0</v>
      </c>
      <c r="CB146">
        <v>-1</v>
      </c>
      <c r="CC146">
        <v>5.6462674999999997E-2</v>
      </c>
      <c r="CD146">
        <v>-1.1979117248120299</v>
      </c>
      <c r="CE146">
        <v>0.18979567606749101</v>
      </c>
      <c r="CF146">
        <v>0</v>
      </c>
      <c r="CG146">
        <v>0</v>
      </c>
      <c r="CH146">
        <v>2</v>
      </c>
      <c r="CI146" t="s">
        <v>290</v>
      </c>
      <c r="CJ146">
        <v>3.5339200000000002</v>
      </c>
      <c r="CK146">
        <v>2.7122700000000002</v>
      </c>
      <c r="CL146">
        <v>0.113089</v>
      </c>
      <c r="CM146">
        <v>0.111543</v>
      </c>
      <c r="CN146">
        <v>8.2283300000000004E-2</v>
      </c>
      <c r="CO146">
        <v>8.1130099999999997E-2</v>
      </c>
      <c r="CP146">
        <v>31068.1</v>
      </c>
      <c r="CQ146">
        <v>27362.1</v>
      </c>
      <c r="CR146">
        <v>32423.7</v>
      </c>
      <c r="CS146">
        <v>30727</v>
      </c>
      <c r="CT146">
        <v>40311.9</v>
      </c>
      <c r="CU146">
        <v>39718.699999999997</v>
      </c>
      <c r="CV146">
        <v>47364.9</v>
      </c>
      <c r="CW146">
        <v>46875.4</v>
      </c>
      <c r="CX146">
        <v>1.6975800000000001</v>
      </c>
      <c r="CY146">
        <v>1.6157600000000001</v>
      </c>
      <c r="CZ146">
        <v>0</v>
      </c>
      <c r="DA146">
        <v>0</v>
      </c>
      <c r="DB146">
        <v>999.9</v>
      </c>
      <c r="DC146">
        <v>999.9</v>
      </c>
      <c r="DD146">
        <v>45.152999999999999</v>
      </c>
      <c r="DE146">
        <v>28.852</v>
      </c>
      <c r="DF146">
        <v>18.015799999999999</v>
      </c>
      <c r="DG146">
        <v>30.708300000000001</v>
      </c>
      <c r="DH146">
        <v>17.355799999999999</v>
      </c>
      <c r="DI146">
        <v>2</v>
      </c>
      <c r="DJ146">
        <v>-6.6339400000000007E-2</v>
      </c>
      <c r="DK146">
        <v>2.6635900000000001</v>
      </c>
      <c r="DL146">
        <v>20.186800000000002</v>
      </c>
      <c r="DM146">
        <v>5.2455600000000002</v>
      </c>
      <c r="DN146">
        <v>12.033899999999999</v>
      </c>
      <c r="DO146">
        <v>4.9664000000000001</v>
      </c>
      <c r="DP146">
        <v>3.2901400000000001</v>
      </c>
      <c r="DQ146">
        <v>608.4</v>
      </c>
      <c r="DR146">
        <v>9999</v>
      </c>
      <c r="DS146">
        <v>9999</v>
      </c>
      <c r="DT146">
        <v>9999</v>
      </c>
      <c r="DU146">
        <v>1.8711800000000001</v>
      </c>
      <c r="DV146">
        <v>1.87615</v>
      </c>
      <c r="DW146">
        <v>1.8763700000000001</v>
      </c>
      <c r="DX146">
        <v>1.88287</v>
      </c>
      <c r="DY146">
        <v>1.8756200000000001</v>
      </c>
      <c r="DZ146">
        <v>1.87469</v>
      </c>
      <c r="EA146">
        <v>1.8708800000000001</v>
      </c>
      <c r="EB146">
        <v>1.87466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-0.69099999999999995</v>
      </c>
      <c r="EQ146">
        <v>6.2600000000000003E-2</v>
      </c>
      <c r="ER146">
        <v>-0.69120000000003801</v>
      </c>
      <c r="ES146">
        <v>0</v>
      </c>
      <c r="ET146">
        <v>0</v>
      </c>
      <c r="EU146">
        <v>0</v>
      </c>
      <c r="EV146">
        <v>6.2609999999999402E-2</v>
      </c>
      <c r="EW146">
        <v>0</v>
      </c>
      <c r="EX146">
        <v>0</v>
      </c>
      <c r="EY146">
        <v>0</v>
      </c>
      <c r="EZ146">
        <v>-1</v>
      </c>
      <c r="FA146">
        <v>-1</v>
      </c>
      <c r="FB146">
        <v>-1</v>
      </c>
      <c r="FC146">
        <v>-1</v>
      </c>
      <c r="FD146">
        <v>0</v>
      </c>
      <c r="FE146">
        <v>0.4</v>
      </c>
      <c r="FF146">
        <v>1.46973</v>
      </c>
      <c r="FG146">
        <v>2.6025399999999999</v>
      </c>
      <c r="FH146">
        <v>2.19604</v>
      </c>
      <c r="FI146">
        <v>2.5744600000000002</v>
      </c>
      <c r="FJ146">
        <v>2.4462899999999999</v>
      </c>
      <c r="FK146">
        <v>2.2827099999999998</v>
      </c>
      <c r="FL146">
        <v>33.109900000000003</v>
      </c>
      <c r="FM146">
        <v>24.105</v>
      </c>
      <c r="FN146">
        <v>19</v>
      </c>
      <c r="FO146">
        <v>310.11799999999999</v>
      </c>
      <c r="FP146">
        <v>287.69799999999998</v>
      </c>
      <c r="FQ146">
        <v>17.821999999999999</v>
      </c>
      <c r="FR146">
        <v>26.1312</v>
      </c>
      <c r="FS146">
        <v>30.0001</v>
      </c>
      <c r="FT146">
        <v>26.145600000000002</v>
      </c>
      <c r="FU146">
        <v>26.142700000000001</v>
      </c>
      <c r="FV146">
        <v>29.496400000000001</v>
      </c>
      <c r="FW146">
        <v>26.1023</v>
      </c>
      <c r="FX146">
        <v>37.901600000000002</v>
      </c>
      <c r="FY146">
        <v>17.825800000000001</v>
      </c>
      <c r="FZ146">
        <v>500</v>
      </c>
      <c r="GA146">
        <v>14.2197</v>
      </c>
      <c r="GB146">
        <v>99.793700000000001</v>
      </c>
      <c r="GC146">
        <v>99.774500000000003</v>
      </c>
    </row>
    <row r="147" spans="1:185" x14ac:dyDescent="0.2">
      <c r="A147">
        <v>132</v>
      </c>
      <c r="B147">
        <v>1771105757.0999999</v>
      </c>
      <c r="C147">
        <v>2644</v>
      </c>
      <c r="D147" t="s">
        <v>567</v>
      </c>
      <c r="E147" t="s">
        <v>568</v>
      </c>
      <c r="F147">
        <v>15</v>
      </c>
      <c r="G147">
        <v>1771105749.03333</v>
      </c>
      <c r="H147">
        <f t="shared" si="26"/>
        <v>1.1773772735653039E-3</v>
      </c>
      <c r="I147">
        <v>0</v>
      </c>
      <c r="J147">
        <f t="shared" si="38"/>
        <v>1.3369845178057553E-2</v>
      </c>
      <c r="K147">
        <f t="shared" si="27"/>
        <v>0.23906960105096803</v>
      </c>
      <c r="L147">
        <f t="shared" si="28"/>
        <v>69.707092014025335</v>
      </c>
      <c r="M147">
        <f t="shared" si="29"/>
        <v>1.536839796105032</v>
      </c>
      <c r="N147">
        <f t="shared" si="30"/>
        <v>2.2047108144976324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26231.781852215921</v>
      </c>
      <c r="T147">
        <f t="shared" si="34"/>
        <v>799.996933333333</v>
      </c>
      <c r="U147">
        <f t="shared" si="35"/>
        <v>674.39746919979143</v>
      </c>
      <c r="V147">
        <f t="shared" si="36"/>
        <v>0.84300006800000027</v>
      </c>
      <c r="W147">
        <f t="shared" si="37"/>
        <v>0.15870004008000005</v>
      </c>
      <c r="X147">
        <v>1</v>
      </c>
      <c r="Y147">
        <v>1771105749.03333</v>
      </c>
      <c r="Z147">
        <v>498.93546666666703</v>
      </c>
      <c r="AA147">
        <v>499.96806666666703</v>
      </c>
      <c r="AB147">
        <v>15.36748</v>
      </c>
      <c r="AC147">
        <v>13.919119999999999</v>
      </c>
      <c r="AD147">
        <v>499.62686666666701</v>
      </c>
      <c r="AE147">
        <v>15.304880000000001</v>
      </c>
      <c r="AF147">
        <v>800.41146666666702</v>
      </c>
      <c r="AG147">
        <v>99.940619999999996</v>
      </c>
      <c r="AH147">
        <v>6.5353400000000006E-2</v>
      </c>
      <c r="AI147">
        <v>18.996586666666701</v>
      </c>
      <c r="AJ147">
        <v>999.9</v>
      </c>
      <c r="AK147">
        <v>999.9</v>
      </c>
      <c r="AL147">
        <v>0</v>
      </c>
      <c r="AM147">
        <v>0</v>
      </c>
      <c r="AN147">
        <v>5004.1000000000004</v>
      </c>
      <c r="AO147">
        <v>0</v>
      </c>
      <c r="AP147">
        <v>1.5839586666666701</v>
      </c>
      <c r="AQ147">
        <v>-1.03240253333333</v>
      </c>
      <c r="AR147">
        <v>506.72266666666701</v>
      </c>
      <c r="AS147">
        <v>507.02526666666699</v>
      </c>
      <c r="AT147">
        <v>1.44837358666667</v>
      </c>
      <c r="AU147">
        <v>499.96806666666703</v>
      </c>
      <c r="AV147">
        <v>13.919119999999999</v>
      </c>
      <c r="AW147">
        <v>1.5358353333333301</v>
      </c>
      <c r="AX147">
        <v>1.39108533333333</v>
      </c>
      <c r="AY147">
        <v>13.324299999999999</v>
      </c>
      <c r="AZ147">
        <v>11.8193533333333</v>
      </c>
      <c r="BA147">
        <v>799.996933333333</v>
      </c>
      <c r="BB147">
        <v>0.89999966666666698</v>
      </c>
      <c r="BC147">
        <v>0</v>
      </c>
      <c r="BD147">
        <v>0.1000004</v>
      </c>
      <c r="BE147">
        <v>0</v>
      </c>
      <c r="BF147">
        <v>25</v>
      </c>
      <c r="BG147">
        <v>13190.9666666667</v>
      </c>
      <c r="BH147">
        <v>1771105740.0999999</v>
      </c>
      <c r="BI147" t="s">
        <v>564</v>
      </c>
      <c r="BJ147">
        <v>1771105740.0999999</v>
      </c>
      <c r="BK147">
        <v>1771105716.0999999</v>
      </c>
      <c r="BL147">
        <v>20</v>
      </c>
      <c r="BM147">
        <v>3.5999999999999997E-2</v>
      </c>
      <c r="BN147">
        <v>-2.5999999999999999E-2</v>
      </c>
      <c r="BO147">
        <v>-0.69099999999999995</v>
      </c>
      <c r="BP147">
        <v>6.3E-2</v>
      </c>
      <c r="BQ147">
        <v>500</v>
      </c>
      <c r="BR147">
        <v>14</v>
      </c>
      <c r="BS147">
        <v>0.28999999999999998</v>
      </c>
      <c r="BT147">
        <v>0.03</v>
      </c>
      <c r="BU147">
        <v>-0.74654932714285704</v>
      </c>
      <c r="BV147">
        <v>-4.9805137620779201</v>
      </c>
      <c r="BW147">
        <v>0.56890433539974705</v>
      </c>
      <c r="BX147">
        <v>0</v>
      </c>
      <c r="BY147">
        <v>0</v>
      </c>
      <c r="BZ147">
        <v>0</v>
      </c>
      <c r="CA147">
        <v>0</v>
      </c>
      <c r="CB147">
        <v>-1</v>
      </c>
      <c r="CC147">
        <v>1.03316565238095</v>
      </c>
      <c r="CD147">
        <v>7.6623889948051902</v>
      </c>
      <c r="CE147">
        <v>0.83545636949331104</v>
      </c>
      <c r="CF147">
        <v>0</v>
      </c>
      <c r="CG147">
        <v>0</v>
      </c>
      <c r="CH147">
        <v>2</v>
      </c>
      <c r="CI147" t="s">
        <v>290</v>
      </c>
      <c r="CJ147">
        <v>3.5324599999999999</v>
      </c>
      <c r="CK147">
        <v>2.7010000000000001</v>
      </c>
      <c r="CL147">
        <v>0.112959</v>
      </c>
      <c r="CM147">
        <v>0.111579</v>
      </c>
      <c r="CN147">
        <v>8.7584999999999996E-2</v>
      </c>
      <c r="CO147">
        <v>7.8906100000000007E-2</v>
      </c>
      <c r="CP147">
        <v>31072.400000000001</v>
      </c>
      <c r="CQ147">
        <v>27360.5</v>
      </c>
      <c r="CR147">
        <v>32423.4</v>
      </c>
      <c r="CS147">
        <v>30726.5</v>
      </c>
      <c r="CT147">
        <v>40072.1</v>
      </c>
      <c r="CU147">
        <v>39816.699999999997</v>
      </c>
      <c r="CV147">
        <v>47364.6</v>
      </c>
      <c r="CW147">
        <v>46874.8</v>
      </c>
      <c r="CX147">
        <v>2.6106199999999999</v>
      </c>
      <c r="CY147">
        <v>2.1183200000000002</v>
      </c>
      <c r="CZ147">
        <v>0</v>
      </c>
      <c r="DA147">
        <v>0</v>
      </c>
      <c r="DB147">
        <v>999.9</v>
      </c>
      <c r="DC147">
        <v>999.9</v>
      </c>
      <c r="DD147">
        <v>45.128999999999998</v>
      </c>
      <c r="DE147">
        <v>28.852</v>
      </c>
      <c r="DF147">
        <v>18.004999999999999</v>
      </c>
      <c r="DG147">
        <v>30.528300000000002</v>
      </c>
      <c r="DH147">
        <v>17.035299999999999</v>
      </c>
      <c r="DI147">
        <v>2</v>
      </c>
      <c r="DJ147">
        <v>-6.6400399999999998E-2</v>
      </c>
      <c r="DK147">
        <v>2.6710500000000001</v>
      </c>
      <c r="DL147">
        <v>20.188300000000002</v>
      </c>
      <c r="DM147">
        <v>5.2503500000000001</v>
      </c>
      <c r="DN147">
        <v>12.033899999999999</v>
      </c>
      <c r="DO147">
        <v>4.9675599999999998</v>
      </c>
      <c r="DP147">
        <v>3.2909999999999999</v>
      </c>
      <c r="DQ147">
        <v>608.4</v>
      </c>
      <c r="DR147">
        <v>9999</v>
      </c>
      <c r="DS147">
        <v>9999</v>
      </c>
      <c r="DT147">
        <v>9999</v>
      </c>
      <c r="DU147">
        <v>1.8711899999999999</v>
      </c>
      <c r="DV147">
        <v>1.8762000000000001</v>
      </c>
      <c r="DW147">
        <v>1.8763700000000001</v>
      </c>
      <c r="DX147">
        <v>1.8828400000000001</v>
      </c>
      <c r="DY147">
        <v>1.8756200000000001</v>
      </c>
      <c r="DZ147">
        <v>1.8746799999999999</v>
      </c>
      <c r="EA147">
        <v>1.8708800000000001</v>
      </c>
      <c r="EB147">
        <v>1.8746700000000001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-0.69199999999999995</v>
      </c>
      <c r="EQ147">
        <v>6.2600000000000003E-2</v>
      </c>
      <c r="ER147">
        <v>-0.69120000000003801</v>
      </c>
      <c r="ES147">
        <v>0</v>
      </c>
      <c r="ET147">
        <v>0</v>
      </c>
      <c r="EU147">
        <v>0</v>
      </c>
      <c r="EV147">
        <v>6.2609999999999402E-2</v>
      </c>
      <c r="EW147">
        <v>0</v>
      </c>
      <c r="EX147">
        <v>0</v>
      </c>
      <c r="EY147">
        <v>0</v>
      </c>
      <c r="EZ147">
        <v>-1</v>
      </c>
      <c r="FA147">
        <v>-1</v>
      </c>
      <c r="FB147">
        <v>-1</v>
      </c>
      <c r="FC147">
        <v>-1</v>
      </c>
      <c r="FD147">
        <v>0.3</v>
      </c>
      <c r="FE147">
        <v>0.7</v>
      </c>
      <c r="FF147">
        <v>1.46973</v>
      </c>
      <c r="FG147">
        <v>2.6013199999999999</v>
      </c>
      <c r="FH147">
        <v>2.19604</v>
      </c>
      <c r="FI147">
        <v>2.5744600000000002</v>
      </c>
      <c r="FJ147">
        <v>2.4462899999999999</v>
      </c>
      <c r="FK147">
        <v>2.2863799999999999</v>
      </c>
      <c r="FL147">
        <v>33.109900000000003</v>
      </c>
      <c r="FM147">
        <v>24.1313</v>
      </c>
      <c r="FN147">
        <v>19</v>
      </c>
      <c r="FO147">
        <v>863.98500000000001</v>
      </c>
      <c r="FP147">
        <v>574.21900000000005</v>
      </c>
      <c r="FQ147">
        <v>17.831299999999999</v>
      </c>
      <c r="FR147">
        <v>26.131599999999999</v>
      </c>
      <c r="FS147">
        <v>30</v>
      </c>
      <c r="FT147">
        <v>26.130099999999999</v>
      </c>
      <c r="FU147">
        <v>26.1295</v>
      </c>
      <c r="FV147">
        <v>29.4923</v>
      </c>
      <c r="FW147">
        <v>27.701799999999999</v>
      </c>
      <c r="FX147">
        <v>37.530799999999999</v>
      </c>
      <c r="FY147">
        <v>17.8324</v>
      </c>
      <c r="FZ147">
        <v>500</v>
      </c>
      <c r="GA147">
        <v>13.6884</v>
      </c>
      <c r="GB147">
        <v>99.792900000000003</v>
      </c>
      <c r="GC147">
        <v>99.773099999999999</v>
      </c>
    </row>
    <row r="148" spans="1:185" x14ac:dyDescent="0.2">
      <c r="A148">
        <v>133</v>
      </c>
      <c r="B148">
        <v>1771105772.0999999</v>
      </c>
      <c r="C148">
        <v>2659</v>
      </c>
      <c r="D148" t="s">
        <v>569</v>
      </c>
      <c r="E148" t="s">
        <v>570</v>
      </c>
      <c r="F148">
        <v>15</v>
      </c>
      <c r="G148">
        <v>1771105764.03333</v>
      </c>
      <c r="H148">
        <f t="shared" si="26"/>
        <v>1.4568260822492697E-3</v>
      </c>
      <c r="I148">
        <v>0</v>
      </c>
      <c r="J148">
        <f t="shared" si="38"/>
        <v>1.2972214741988536E-2</v>
      </c>
      <c r="K148">
        <f t="shared" si="27"/>
        <v>0.23195947012194604</v>
      </c>
      <c r="L148">
        <f t="shared" si="28"/>
        <v>70.252687360679175</v>
      </c>
      <c r="M148">
        <f t="shared" si="29"/>
        <v>1.5491437654114986</v>
      </c>
      <c r="N148">
        <f t="shared" si="30"/>
        <v>2.2051025001480058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26238.913864685113</v>
      </c>
      <c r="T148">
        <f t="shared" si="34"/>
        <v>799.99973333333298</v>
      </c>
      <c r="U148">
        <f t="shared" si="35"/>
        <v>674.39971872001865</v>
      </c>
      <c r="V148">
        <f t="shared" si="36"/>
        <v>0.84299992940000013</v>
      </c>
      <c r="W148">
        <f t="shared" si="37"/>
        <v>0.158699914444</v>
      </c>
      <c r="X148">
        <v>1</v>
      </c>
      <c r="Y148">
        <v>1771105764.03333</v>
      </c>
      <c r="Z148">
        <v>498.79860000000002</v>
      </c>
      <c r="AA148">
        <v>499.99686666666702</v>
      </c>
      <c r="AB148">
        <v>15.4907733333333</v>
      </c>
      <c r="AC148">
        <v>13.6979666666667</v>
      </c>
      <c r="AD148">
        <v>499.48966666666701</v>
      </c>
      <c r="AE148">
        <v>15.4281733333333</v>
      </c>
      <c r="AF148">
        <v>800.00746666666703</v>
      </c>
      <c r="AG148">
        <v>99.9410666666667</v>
      </c>
      <c r="AH148">
        <v>6.3221826666666703E-2</v>
      </c>
      <c r="AI148">
        <v>18.9994333333333</v>
      </c>
      <c r="AJ148">
        <v>999.9</v>
      </c>
      <c r="AK148">
        <v>999.9</v>
      </c>
      <c r="AL148">
        <v>0</v>
      </c>
      <c r="AM148">
        <v>0</v>
      </c>
      <c r="AN148">
        <v>5005.3</v>
      </c>
      <c r="AO148">
        <v>0</v>
      </c>
      <c r="AP148">
        <v>1.58087</v>
      </c>
      <c r="AQ148">
        <v>-1.1981246666666701</v>
      </c>
      <c r="AR148">
        <v>506.64693333333298</v>
      </c>
      <c r="AS148">
        <v>506.94073333333301</v>
      </c>
      <c r="AT148">
        <v>1.7928153333333301</v>
      </c>
      <c r="AU148">
        <v>499.99686666666702</v>
      </c>
      <c r="AV148">
        <v>13.6979666666667</v>
      </c>
      <c r="AW148">
        <v>1.54816333333333</v>
      </c>
      <c r="AX148">
        <v>1.3689893333333301</v>
      </c>
      <c r="AY148">
        <v>13.452313333333301</v>
      </c>
      <c r="AZ148">
        <v>11.5784133333333</v>
      </c>
      <c r="BA148">
        <v>799.99973333333298</v>
      </c>
      <c r="BB148">
        <v>0.90000100000000005</v>
      </c>
      <c r="BC148">
        <v>0</v>
      </c>
      <c r="BD148">
        <v>9.9998953333333404E-2</v>
      </c>
      <c r="BE148">
        <v>0</v>
      </c>
      <c r="BF148">
        <v>25</v>
      </c>
      <c r="BG148">
        <v>13191.02</v>
      </c>
      <c r="BH148">
        <v>1771105740.0999999</v>
      </c>
      <c r="BI148" t="s">
        <v>564</v>
      </c>
      <c r="BJ148">
        <v>1771105740.0999999</v>
      </c>
      <c r="BK148">
        <v>1771105716.0999999</v>
      </c>
      <c r="BL148">
        <v>20</v>
      </c>
      <c r="BM148">
        <v>3.5999999999999997E-2</v>
      </c>
      <c r="BN148">
        <v>-2.5999999999999999E-2</v>
      </c>
      <c r="BO148">
        <v>-0.69099999999999995</v>
      </c>
      <c r="BP148">
        <v>6.3E-2</v>
      </c>
      <c r="BQ148">
        <v>500</v>
      </c>
      <c r="BR148">
        <v>14</v>
      </c>
      <c r="BS148">
        <v>0.28999999999999998</v>
      </c>
      <c r="BT148">
        <v>0.03</v>
      </c>
      <c r="BU148">
        <v>-1.2052265</v>
      </c>
      <c r="BV148">
        <v>0.140514135338346</v>
      </c>
      <c r="BW148">
        <v>2.2411767729253299E-2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1.8041615</v>
      </c>
      <c r="CD148">
        <v>-0.27157488721804801</v>
      </c>
      <c r="CE148">
        <v>2.6645572479307E-2</v>
      </c>
      <c r="CF148">
        <v>0</v>
      </c>
      <c r="CG148">
        <v>1</v>
      </c>
      <c r="CH148">
        <v>2</v>
      </c>
      <c r="CI148" t="s">
        <v>299</v>
      </c>
      <c r="CJ148">
        <v>3.5325799999999998</v>
      </c>
      <c r="CK148">
        <v>2.7005499999999998</v>
      </c>
      <c r="CL148">
        <v>0.11296</v>
      </c>
      <c r="CM148">
        <v>0.111583</v>
      </c>
      <c r="CN148">
        <v>8.7196599999999999E-2</v>
      </c>
      <c r="CO148">
        <v>7.87379E-2</v>
      </c>
      <c r="CP148">
        <v>31072.6</v>
      </c>
      <c r="CQ148">
        <v>27360.5</v>
      </c>
      <c r="CR148">
        <v>32423.7</v>
      </c>
      <c r="CS148">
        <v>30726.7</v>
      </c>
      <c r="CT148">
        <v>40090</v>
      </c>
      <c r="CU148">
        <v>39824.400000000001</v>
      </c>
      <c r="CV148">
        <v>47365</v>
      </c>
      <c r="CW148">
        <v>46875</v>
      </c>
      <c r="CX148">
        <v>2.6127799999999999</v>
      </c>
      <c r="CY148">
        <v>2.1187399999999998</v>
      </c>
      <c r="CZ148">
        <v>0</v>
      </c>
      <c r="DA148">
        <v>0</v>
      </c>
      <c r="DB148">
        <v>999.9</v>
      </c>
      <c r="DC148">
        <v>999.9</v>
      </c>
      <c r="DD148">
        <v>45.055999999999997</v>
      </c>
      <c r="DE148">
        <v>28.852</v>
      </c>
      <c r="DF148">
        <v>17.976199999999999</v>
      </c>
      <c r="DG148">
        <v>30.528300000000002</v>
      </c>
      <c r="DH148">
        <v>16.8429</v>
      </c>
      <c r="DI148">
        <v>2</v>
      </c>
      <c r="DJ148">
        <v>-6.6099599999999994E-2</v>
      </c>
      <c r="DK148">
        <v>2.6847500000000002</v>
      </c>
      <c r="DL148">
        <v>20.187100000000001</v>
      </c>
      <c r="DM148">
        <v>5.2448399999999999</v>
      </c>
      <c r="DN148">
        <v>12.033899999999999</v>
      </c>
      <c r="DO148">
        <v>4.9664400000000004</v>
      </c>
      <c r="DP148">
        <v>3.2902800000000001</v>
      </c>
      <c r="DQ148">
        <v>608.4</v>
      </c>
      <c r="DR148">
        <v>9999</v>
      </c>
      <c r="DS148">
        <v>9999</v>
      </c>
      <c r="DT148">
        <v>9999</v>
      </c>
      <c r="DU148">
        <v>1.8711599999999999</v>
      </c>
      <c r="DV148">
        <v>1.8761699999999999</v>
      </c>
      <c r="DW148">
        <v>1.8763700000000001</v>
      </c>
      <c r="DX148">
        <v>1.8828199999999999</v>
      </c>
      <c r="DY148">
        <v>1.87561</v>
      </c>
      <c r="DZ148">
        <v>1.8746799999999999</v>
      </c>
      <c r="EA148">
        <v>1.8708800000000001</v>
      </c>
      <c r="EB148">
        <v>1.8746799999999999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-0.69199999999999995</v>
      </c>
      <c r="EQ148">
        <v>6.2600000000000003E-2</v>
      </c>
      <c r="ER148">
        <v>-0.69120000000003801</v>
      </c>
      <c r="ES148">
        <v>0</v>
      </c>
      <c r="ET148">
        <v>0</v>
      </c>
      <c r="EU148">
        <v>0</v>
      </c>
      <c r="EV148">
        <v>6.2609999999999402E-2</v>
      </c>
      <c r="EW148">
        <v>0</v>
      </c>
      <c r="EX148">
        <v>0</v>
      </c>
      <c r="EY148">
        <v>0</v>
      </c>
      <c r="EZ148">
        <v>-1</v>
      </c>
      <c r="FA148">
        <v>-1</v>
      </c>
      <c r="FB148">
        <v>-1</v>
      </c>
      <c r="FC148">
        <v>-1</v>
      </c>
      <c r="FD148">
        <v>0.5</v>
      </c>
      <c r="FE148">
        <v>0.9</v>
      </c>
      <c r="FF148">
        <v>1.46973</v>
      </c>
      <c r="FG148">
        <v>2.5964399999999999</v>
      </c>
      <c r="FH148">
        <v>2.19604</v>
      </c>
      <c r="FI148">
        <v>2.5744600000000002</v>
      </c>
      <c r="FJ148">
        <v>2.4462899999999999</v>
      </c>
      <c r="FK148">
        <v>2.3290999999999999</v>
      </c>
      <c r="FL148">
        <v>33.109900000000003</v>
      </c>
      <c r="FM148">
        <v>24.14</v>
      </c>
      <c r="FN148">
        <v>19</v>
      </c>
      <c r="FO148">
        <v>865.96400000000006</v>
      </c>
      <c r="FP148">
        <v>574.54100000000005</v>
      </c>
      <c r="FQ148">
        <v>17.834800000000001</v>
      </c>
      <c r="FR148">
        <v>26.131599999999999</v>
      </c>
      <c r="FS148">
        <v>30.0002</v>
      </c>
      <c r="FT148">
        <v>26.128</v>
      </c>
      <c r="FU148">
        <v>26.1295</v>
      </c>
      <c r="FV148">
        <v>29.491900000000001</v>
      </c>
      <c r="FW148">
        <v>27.701799999999999</v>
      </c>
      <c r="FX148">
        <v>37.530799999999999</v>
      </c>
      <c r="FY148">
        <v>17.807500000000001</v>
      </c>
      <c r="FZ148">
        <v>500</v>
      </c>
      <c r="GA148">
        <v>13.722899999999999</v>
      </c>
      <c r="GB148">
        <v>99.793700000000001</v>
      </c>
      <c r="GC148">
        <v>99.773600000000002</v>
      </c>
    </row>
    <row r="149" spans="1:185" x14ac:dyDescent="0.2">
      <c r="A149">
        <v>134</v>
      </c>
      <c r="B149">
        <v>1771105787.0999999</v>
      </c>
      <c r="C149">
        <v>2674</v>
      </c>
      <c r="D149" t="s">
        <v>571</v>
      </c>
      <c r="E149" t="s">
        <v>572</v>
      </c>
      <c r="F149">
        <v>15</v>
      </c>
      <c r="G149">
        <v>1771105779.03333</v>
      </c>
      <c r="H149">
        <f t="shared" si="26"/>
        <v>1.4195145304808068E-3</v>
      </c>
      <c r="I149">
        <v>0</v>
      </c>
      <c r="J149">
        <f t="shared" si="38"/>
        <v>1.3119672252592968E-2</v>
      </c>
      <c r="K149">
        <f t="shared" si="27"/>
        <v>0.23459619536166884</v>
      </c>
      <c r="L149">
        <f t="shared" si="28"/>
        <v>69.975573330715605</v>
      </c>
      <c r="M149">
        <f t="shared" si="29"/>
        <v>1.5433194426567081</v>
      </c>
      <c r="N149">
        <f t="shared" si="30"/>
        <v>2.205511679572437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26173.598220834887</v>
      </c>
      <c r="T149">
        <f t="shared" si="34"/>
        <v>799.99933333333297</v>
      </c>
      <c r="U149">
        <f t="shared" si="35"/>
        <v>674.39958567987662</v>
      </c>
      <c r="V149">
        <f t="shared" si="36"/>
        <v>0.84300018460000004</v>
      </c>
      <c r="W149">
        <f t="shared" si="37"/>
        <v>0.15869998079600001</v>
      </c>
      <c r="X149">
        <v>1</v>
      </c>
      <c r="Y149">
        <v>1771105779.03333</v>
      </c>
      <c r="Z149">
        <v>498.82299999999998</v>
      </c>
      <c r="AA149">
        <v>500.00133333333298</v>
      </c>
      <c r="AB149">
        <v>15.43258</v>
      </c>
      <c r="AC149">
        <v>13.685600000000001</v>
      </c>
      <c r="AD149">
        <v>499.51420000000002</v>
      </c>
      <c r="AE149">
        <v>15.3699733333333</v>
      </c>
      <c r="AF149">
        <v>800.0136</v>
      </c>
      <c r="AG149">
        <v>99.941033333333294</v>
      </c>
      <c r="AH149">
        <v>6.2948026666666698E-2</v>
      </c>
      <c r="AI149">
        <v>19.002406666666701</v>
      </c>
      <c r="AJ149">
        <v>999.9</v>
      </c>
      <c r="AK149">
        <v>999.9</v>
      </c>
      <c r="AL149">
        <v>0</v>
      </c>
      <c r="AM149">
        <v>0</v>
      </c>
      <c r="AN149">
        <v>4994.5666666666702</v>
      </c>
      <c r="AO149">
        <v>0</v>
      </c>
      <c r="AP149">
        <v>1.58087</v>
      </c>
      <c r="AQ149">
        <v>-1.1784273333333299</v>
      </c>
      <c r="AR149">
        <v>506.64173333333298</v>
      </c>
      <c r="AS149">
        <v>506.93920000000003</v>
      </c>
      <c r="AT149">
        <v>1.7469733333333299</v>
      </c>
      <c r="AU149">
        <v>500.00133333333298</v>
      </c>
      <c r="AV149">
        <v>13.685600000000001</v>
      </c>
      <c r="AW149">
        <v>1.5423466666666701</v>
      </c>
      <c r="AX149">
        <v>1.36775333333333</v>
      </c>
      <c r="AY149">
        <v>13.39456</v>
      </c>
      <c r="AZ149">
        <v>11.564766666666699</v>
      </c>
      <c r="BA149">
        <v>799.99933333333297</v>
      </c>
      <c r="BB149">
        <v>0.90000100000000005</v>
      </c>
      <c r="BC149">
        <v>0</v>
      </c>
      <c r="BD149">
        <v>9.9999246666666694E-2</v>
      </c>
      <c r="BE149">
        <v>0</v>
      </c>
      <c r="BF149">
        <v>25</v>
      </c>
      <c r="BG149">
        <v>13191.0133333333</v>
      </c>
      <c r="BH149">
        <v>1771105740.0999999</v>
      </c>
      <c r="BI149" t="s">
        <v>564</v>
      </c>
      <c r="BJ149">
        <v>1771105740.0999999</v>
      </c>
      <c r="BK149">
        <v>1771105716.0999999</v>
      </c>
      <c r="BL149">
        <v>20</v>
      </c>
      <c r="BM149">
        <v>3.5999999999999997E-2</v>
      </c>
      <c r="BN149">
        <v>-2.5999999999999999E-2</v>
      </c>
      <c r="BO149">
        <v>-0.69099999999999995</v>
      </c>
      <c r="BP149">
        <v>6.3E-2</v>
      </c>
      <c r="BQ149">
        <v>500</v>
      </c>
      <c r="BR149">
        <v>14</v>
      </c>
      <c r="BS149">
        <v>0.28999999999999998</v>
      </c>
      <c r="BT149">
        <v>0.03</v>
      </c>
      <c r="BU149">
        <v>-1.1826314285714301</v>
      </c>
      <c r="BV149">
        <v>7.1025194805193398E-2</v>
      </c>
      <c r="BW149">
        <v>1.4307239354927399E-2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1.75425095238095</v>
      </c>
      <c r="CD149">
        <v>-0.160009870129869</v>
      </c>
      <c r="CE149">
        <v>1.6398992972787699E-2</v>
      </c>
      <c r="CF149">
        <v>0</v>
      </c>
      <c r="CG149">
        <v>1</v>
      </c>
      <c r="CH149">
        <v>2</v>
      </c>
      <c r="CI149" t="s">
        <v>299</v>
      </c>
      <c r="CJ149">
        <v>3.5325799999999998</v>
      </c>
      <c r="CK149">
        <v>2.70106</v>
      </c>
      <c r="CL149">
        <v>0.11296399999999999</v>
      </c>
      <c r="CM149">
        <v>0.111582</v>
      </c>
      <c r="CN149">
        <v>8.7030700000000003E-2</v>
      </c>
      <c r="CO149">
        <v>7.8723100000000004E-2</v>
      </c>
      <c r="CP149">
        <v>31072.2</v>
      </c>
      <c r="CQ149">
        <v>27360.400000000001</v>
      </c>
      <c r="CR149">
        <v>32423.4</v>
      </c>
      <c r="CS149">
        <v>30726.6</v>
      </c>
      <c r="CT149">
        <v>40097.1</v>
      </c>
      <c r="CU149">
        <v>39824.9</v>
      </c>
      <c r="CV149">
        <v>47364.5</v>
      </c>
      <c r="CW149">
        <v>46874.9</v>
      </c>
      <c r="CX149">
        <v>2.6133000000000002</v>
      </c>
      <c r="CY149">
        <v>2.11904</v>
      </c>
      <c r="CZ149">
        <v>0</v>
      </c>
      <c r="DA149">
        <v>0</v>
      </c>
      <c r="DB149">
        <v>999.9</v>
      </c>
      <c r="DC149">
        <v>999.9</v>
      </c>
      <c r="DD149">
        <v>45.030999999999999</v>
      </c>
      <c r="DE149">
        <v>28.852</v>
      </c>
      <c r="DF149">
        <v>17.966899999999999</v>
      </c>
      <c r="DG149">
        <v>30.6783</v>
      </c>
      <c r="DH149">
        <v>16.790900000000001</v>
      </c>
      <c r="DI149">
        <v>2</v>
      </c>
      <c r="DJ149">
        <v>-6.57663E-2</v>
      </c>
      <c r="DK149">
        <v>2.7471800000000002</v>
      </c>
      <c r="DL149">
        <v>20.186599999999999</v>
      </c>
      <c r="DM149">
        <v>5.2498800000000001</v>
      </c>
      <c r="DN149">
        <v>12.033899999999999</v>
      </c>
      <c r="DO149">
        <v>4.9673600000000002</v>
      </c>
      <c r="DP149">
        <v>3.2909999999999999</v>
      </c>
      <c r="DQ149">
        <v>608.4</v>
      </c>
      <c r="DR149">
        <v>9999</v>
      </c>
      <c r="DS149">
        <v>9999</v>
      </c>
      <c r="DT149">
        <v>9999</v>
      </c>
      <c r="DU149">
        <v>1.8711800000000001</v>
      </c>
      <c r="DV149">
        <v>1.87615</v>
      </c>
      <c r="DW149">
        <v>1.8763700000000001</v>
      </c>
      <c r="DX149">
        <v>1.8828100000000001</v>
      </c>
      <c r="DY149">
        <v>1.87561</v>
      </c>
      <c r="DZ149">
        <v>1.87466</v>
      </c>
      <c r="EA149">
        <v>1.87087</v>
      </c>
      <c r="EB149">
        <v>1.8746700000000001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-0.69099999999999995</v>
      </c>
      <c r="EQ149">
        <v>6.2600000000000003E-2</v>
      </c>
      <c r="ER149">
        <v>-0.69120000000003801</v>
      </c>
      <c r="ES149">
        <v>0</v>
      </c>
      <c r="ET149">
        <v>0</v>
      </c>
      <c r="EU149">
        <v>0</v>
      </c>
      <c r="EV149">
        <v>6.2609999999999402E-2</v>
      </c>
      <c r="EW149">
        <v>0</v>
      </c>
      <c r="EX149">
        <v>0</v>
      </c>
      <c r="EY149">
        <v>0</v>
      </c>
      <c r="EZ149">
        <v>-1</v>
      </c>
      <c r="FA149">
        <v>-1</v>
      </c>
      <c r="FB149">
        <v>-1</v>
      </c>
      <c r="FC149">
        <v>-1</v>
      </c>
      <c r="FD149">
        <v>0.8</v>
      </c>
      <c r="FE149">
        <v>1.2</v>
      </c>
      <c r="FF149">
        <v>1.46973</v>
      </c>
      <c r="FG149">
        <v>2.6049799999999999</v>
      </c>
      <c r="FH149">
        <v>2.19604</v>
      </c>
      <c r="FI149">
        <v>2.5744600000000002</v>
      </c>
      <c r="FJ149">
        <v>2.4462899999999999</v>
      </c>
      <c r="FK149">
        <v>2.32056</v>
      </c>
      <c r="FL149">
        <v>33.109900000000003</v>
      </c>
      <c r="FM149">
        <v>24.14</v>
      </c>
      <c r="FN149">
        <v>19</v>
      </c>
      <c r="FO149">
        <v>866.48400000000004</v>
      </c>
      <c r="FP149">
        <v>574.79499999999996</v>
      </c>
      <c r="FQ149">
        <v>17.800799999999999</v>
      </c>
      <c r="FR149">
        <v>26.133900000000001</v>
      </c>
      <c r="FS149">
        <v>30</v>
      </c>
      <c r="FT149">
        <v>26.130199999999999</v>
      </c>
      <c r="FU149">
        <v>26.131699999999999</v>
      </c>
      <c r="FV149">
        <v>29.4925</v>
      </c>
      <c r="FW149">
        <v>27.701799999999999</v>
      </c>
      <c r="FX149">
        <v>37.530799999999999</v>
      </c>
      <c r="FY149">
        <v>17.8004</v>
      </c>
      <c r="FZ149">
        <v>500</v>
      </c>
      <c r="GA149">
        <v>13.722899999999999</v>
      </c>
      <c r="GB149">
        <v>99.792699999999996</v>
      </c>
      <c r="GC149">
        <v>99.773300000000006</v>
      </c>
    </row>
    <row r="150" spans="1:185" x14ac:dyDescent="0.2">
      <c r="A150">
        <v>135</v>
      </c>
      <c r="B150">
        <v>1771105802.0999999</v>
      </c>
      <c r="C150">
        <v>2689</v>
      </c>
      <c r="D150" t="s">
        <v>573</v>
      </c>
      <c r="E150" t="s">
        <v>574</v>
      </c>
      <c r="F150">
        <v>15</v>
      </c>
      <c r="G150">
        <v>1771105794.03333</v>
      </c>
      <c r="H150">
        <f t="shared" si="26"/>
        <v>1.4021872178219983E-3</v>
      </c>
      <c r="I150">
        <v>0</v>
      </c>
      <c r="J150">
        <f t="shared" si="38"/>
        <v>1.3898971529452369E-2</v>
      </c>
      <c r="K150">
        <f t="shared" si="27"/>
        <v>0.24853104387613403</v>
      </c>
      <c r="L150">
        <f t="shared" si="28"/>
        <v>69.858416531306816</v>
      </c>
      <c r="M150">
        <f t="shared" si="29"/>
        <v>1.5408823224285635</v>
      </c>
      <c r="N150">
        <f t="shared" si="30"/>
        <v>2.2057217998034955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26221.741545711517</v>
      </c>
      <c r="T150">
        <f t="shared" si="34"/>
        <v>800.00046666666697</v>
      </c>
      <c r="U150">
        <f t="shared" si="35"/>
        <v>674.40041468001289</v>
      </c>
      <c r="V150">
        <f t="shared" si="36"/>
        <v>0.84300002660000029</v>
      </c>
      <c r="W150">
        <f t="shared" si="37"/>
        <v>0.15869997555600004</v>
      </c>
      <c r="X150">
        <v>1</v>
      </c>
      <c r="Y150">
        <v>1771105794.03333</v>
      </c>
      <c r="Z150">
        <v>498.81153333333299</v>
      </c>
      <c r="AA150">
        <v>499.996466666667</v>
      </c>
      <c r="AB150">
        <v>15.4081333333333</v>
      </c>
      <c r="AC150">
        <v>13.6824266666667</v>
      </c>
      <c r="AD150">
        <v>499.50279999999998</v>
      </c>
      <c r="AE150">
        <v>15.3455266666667</v>
      </c>
      <c r="AF150">
        <v>800.00973333333297</v>
      </c>
      <c r="AG150">
        <v>99.941046666666693</v>
      </c>
      <c r="AH150">
        <v>6.3430780000000006E-2</v>
      </c>
      <c r="AI150">
        <v>19.0039333333333</v>
      </c>
      <c r="AJ150">
        <v>999.9</v>
      </c>
      <c r="AK150">
        <v>999.9</v>
      </c>
      <c r="AL150">
        <v>0</v>
      </c>
      <c r="AM150">
        <v>0</v>
      </c>
      <c r="AN150">
        <v>5002.5333333333301</v>
      </c>
      <c r="AO150">
        <v>0</v>
      </c>
      <c r="AP150">
        <v>1.58087</v>
      </c>
      <c r="AQ150">
        <v>-1.18482933333333</v>
      </c>
      <c r="AR150">
        <v>506.61759999999998</v>
      </c>
      <c r="AS150">
        <v>506.93266666666699</v>
      </c>
      <c r="AT150">
        <v>1.7256959999999999</v>
      </c>
      <c r="AU150">
        <v>499.996466666667</v>
      </c>
      <c r="AV150">
        <v>13.6824266666667</v>
      </c>
      <c r="AW150">
        <v>1.539906</v>
      </c>
      <c r="AX150">
        <v>1.3674373333333301</v>
      </c>
      <c r="AY150">
        <v>13.37026</v>
      </c>
      <c r="AZ150">
        <v>11.561260000000001</v>
      </c>
      <c r="BA150">
        <v>800.00046666666697</v>
      </c>
      <c r="BB150">
        <v>0.900000466666667</v>
      </c>
      <c r="BC150">
        <v>0</v>
      </c>
      <c r="BD150">
        <v>9.9999580000000005E-2</v>
      </c>
      <c r="BE150">
        <v>0</v>
      </c>
      <c r="BF150">
        <v>25</v>
      </c>
      <c r="BG150">
        <v>13191.0466666667</v>
      </c>
      <c r="BH150">
        <v>1771105740.0999999</v>
      </c>
      <c r="BI150" t="s">
        <v>564</v>
      </c>
      <c r="BJ150">
        <v>1771105740.0999999</v>
      </c>
      <c r="BK150">
        <v>1771105716.0999999</v>
      </c>
      <c r="BL150">
        <v>20</v>
      </c>
      <c r="BM150">
        <v>3.5999999999999997E-2</v>
      </c>
      <c r="BN150">
        <v>-2.5999999999999999E-2</v>
      </c>
      <c r="BO150">
        <v>-0.69099999999999995</v>
      </c>
      <c r="BP150">
        <v>6.3E-2</v>
      </c>
      <c r="BQ150">
        <v>500</v>
      </c>
      <c r="BR150">
        <v>14</v>
      </c>
      <c r="BS150">
        <v>0.28999999999999998</v>
      </c>
      <c r="BT150">
        <v>0.03</v>
      </c>
      <c r="BU150">
        <v>-1.1829799999999999</v>
      </c>
      <c r="BV150">
        <v>-0.19380631578947499</v>
      </c>
      <c r="BW150">
        <v>3.1889047492830502E-2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1.727139</v>
      </c>
      <c r="CD150">
        <v>-3.2534436090226701E-2</v>
      </c>
      <c r="CE150">
        <v>3.5016394731611101E-3</v>
      </c>
      <c r="CF150">
        <v>1</v>
      </c>
      <c r="CG150">
        <v>2</v>
      </c>
      <c r="CH150">
        <v>2</v>
      </c>
      <c r="CI150" t="s">
        <v>322</v>
      </c>
      <c r="CJ150">
        <v>3.53247</v>
      </c>
      <c r="CK150">
        <v>2.70105</v>
      </c>
      <c r="CL150">
        <v>0.11296100000000001</v>
      </c>
      <c r="CM150">
        <v>0.11158700000000001</v>
      </c>
      <c r="CN150">
        <v>8.6973200000000001E-2</v>
      </c>
      <c r="CO150">
        <v>7.8692200000000004E-2</v>
      </c>
      <c r="CP150">
        <v>31072.7</v>
      </c>
      <c r="CQ150">
        <v>27360.1</v>
      </c>
      <c r="CR150">
        <v>32423.8</v>
      </c>
      <c r="CS150">
        <v>30726.3</v>
      </c>
      <c r="CT150">
        <v>40100.400000000001</v>
      </c>
      <c r="CU150">
        <v>39826.199999999997</v>
      </c>
      <c r="CV150">
        <v>47365.2</v>
      </c>
      <c r="CW150">
        <v>46874.8</v>
      </c>
      <c r="CX150">
        <v>2.61354</v>
      </c>
      <c r="CY150">
        <v>2.11904</v>
      </c>
      <c r="CZ150">
        <v>0</v>
      </c>
      <c r="DA150">
        <v>0</v>
      </c>
      <c r="DB150">
        <v>999.9</v>
      </c>
      <c r="DC150">
        <v>999.9</v>
      </c>
      <c r="DD150">
        <v>45.006999999999998</v>
      </c>
      <c r="DE150">
        <v>28.852</v>
      </c>
      <c r="DF150">
        <v>17.956299999999999</v>
      </c>
      <c r="DG150">
        <v>30.378299999999999</v>
      </c>
      <c r="DH150">
        <v>16.943100000000001</v>
      </c>
      <c r="DI150">
        <v>2</v>
      </c>
      <c r="DJ150">
        <v>-6.5642300000000001E-2</v>
      </c>
      <c r="DK150">
        <v>2.7561900000000001</v>
      </c>
      <c r="DL150">
        <v>20.186399999999999</v>
      </c>
      <c r="DM150">
        <v>5.2478400000000001</v>
      </c>
      <c r="DN150">
        <v>12.033899999999999</v>
      </c>
      <c r="DO150">
        <v>4.9669600000000003</v>
      </c>
      <c r="DP150">
        <v>3.2907199999999999</v>
      </c>
      <c r="DQ150">
        <v>608.4</v>
      </c>
      <c r="DR150">
        <v>9999</v>
      </c>
      <c r="DS150">
        <v>9999</v>
      </c>
      <c r="DT150">
        <v>9999</v>
      </c>
      <c r="DU150">
        <v>1.8711899999999999</v>
      </c>
      <c r="DV150">
        <v>1.87618</v>
      </c>
      <c r="DW150">
        <v>1.8763700000000001</v>
      </c>
      <c r="DX150">
        <v>1.8828</v>
      </c>
      <c r="DY150">
        <v>1.8756200000000001</v>
      </c>
      <c r="DZ150">
        <v>1.8746799999999999</v>
      </c>
      <c r="EA150">
        <v>1.8708800000000001</v>
      </c>
      <c r="EB150">
        <v>1.8746799999999999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-0.69099999999999995</v>
      </c>
      <c r="EQ150">
        <v>6.2600000000000003E-2</v>
      </c>
      <c r="ER150">
        <v>-0.69120000000003801</v>
      </c>
      <c r="ES150">
        <v>0</v>
      </c>
      <c r="ET150">
        <v>0</v>
      </c>
      <c r="EU150">
        <v>0</v>
      </c>
      <c r="EV150">
        <v>6.2609999999999402E-2</v>
      </c>
      <c r="EW150">
        <v>0</v>
      </c>
      <c r="EX150">
        <v>0</v>
      </c>
      <c r="EY150">
        <v>0</v>
      </c>
      <c r="EZ150">
        <v>-1</v>
      </c>
      <c r="FA150">
        <v>-1</v>
      </c>
      <c r="FB150">
        <v>-1</v>
      </c>
      <c r="FC150">
        <v>-1</v>
      </c>
      <c r="FD150">
        <v>1</v>
      </c>
      <c r="FE150">
        <v>1.4</v>
      </c>
      <c r="FF150">
        <v>1.46973</v>
      </c>
      <c r="FG150">
        <v>2.6025399999999999</v>
      </c>
      <c r="FH150">
        <v>2.19604</v>
      </c>
      <c r="FI150">
        <v>2.5744600000000002</v>
      </c>
      <c r="FJ150">
        <v>2.4462899999999999</v>
      </c>
      <c r="FK150">
        <v>2.2900399999999999</v>
      </c>
      <c r="FL150">
        <v>33.087499999999999</v>
      </c>
      <c r="FM150">
        <v>24.1313</v>
      </c>
      <c r="FN150">
        <v>19</v>
      </c>
      <c r="FO150">
        <v>866.70799999999997</v>
      </c>
      <c r="FP150">
        <v>574.81899999999996</v>
      </c>
      <c r="FQ150">
        <v>17.793800000000001</v>
      </c>
      <c r="FR150">
        <v>26.133900000000001</v>
      </c>
      <c r="FS150">
        <v>30.0002</v>
      </c>
      <c r="FT150">
        <v>26.130199999999999</v>
      </c>
      <c r="FU150">
        <v>26.133900000000001</v>
      </c>
      <c r="FV150">
        <v>29.492799999999999</v>
      </c>
      <c r="FW150">
        <v>27.701799999999999</v>
      </c>
      <c r="FX150">
        <v>37.160299999999999</v>
      </c>
      <c r="FY150">
        <v>17.788399999999999</v>
      </c>
      <c r="FZ150">
        <v>500</v>
      </c>
      <c r="GA150">
        <v>13.723100000000001</v>
      </c>
      <c r="GB150">
        <v>99.794200000000004</v>
      </c>
      <c r="GC150">
        <v>99.772900000000007</v>
      </c>
    </row>
    <row r="151" spans="1:185" x14ac:dyDescent="0.2">
      <c r="A151">
        <v>136</v>
      </c>
      <c r="B151">
        <v>1771105817.0999999</v>
      </c>
      <c r="C151">
        <v>2704</v>
      </c>
      <c r="D151" t="s">
        <v>575</v>
      </c>
      <c r="E151" t="s">
        <v>576</v>
      </c>
      <c r="F151">
        <v>15</v>
      </c>
      <c r="G151">
        <v>1771105809.03333</v>
      </c>
      <c r="H151">
        <f t="shared" si="26"/>
        <v>1.4111284626182074E-3</v>
      </c>
      <c r="I151">
        <v>0</v>
      </c>
      <c r="J151">
        <f t="shared" si="38"/>
        <v>1.339692889557996E-2</v>
      </c>
      <c r="K151">
        <f t="shared" si="27"/>
        <v>0.23955389189030291</v>
      </c>
      <c r="L151">
        <f t="shared" si="28"/>
        <v>69.803860574494038</v>
      </c>
      <c r="M151">
        <f t="shared" si="29"/>
        <v>1.5395790521464254</v>
      </c>
      <c r="N151">
        <f t="shared" si="30"/>
        <v>2.2055786592253028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26194.147353997865</v>
      </c>
      <c r="T151">
        <f t="shared" si="34"/>
        <v>799.99993333333305</v>
      </c>
      <c r="U151">
        <f t="shared" si="35"/>
        <v>674.39990540000292</v>
      </c>
      <c r="V151">
        <f t="shared" si="36"/>
        <v>0.842999952</v>
      </c>
      <c r="W151">
        <f t="shared" si="37"/>
        <v>0.15869987999999999</v>
      </c>
      <c r="X151">
        <v>1</v>
      </c>
      <c r="Y151">
        <v>1771105809.03333</v>
      </c>
      <c r="Z151">
        <v>498.83286666666697</v>
      </c>
      <c r="AA151">
        <v>500.01220000000001</v>
      </c>
      <c r="AB151">
        <v>15.395146666666699</v>
      </c>
      <c r="AC151">
        <v>13.6584</v>
      </c>
      <c r="AD151">
        <v>499.52406666666701</v>
      </c>
      <c r="AE151">
        <v>15.33254</v>
      </c>
      <c r="AF151">
        <v>800.00379999999996</v>
      </c>
      <c r="AG151">
        <v>99.940986666666703</v>
      </c>
      <c r="AH151">
        <v>6.3195526666666696E-2</v>
      </c>
      <c r="AI151">
        <v>19.002893333333301</v>
      </c>
      <c r="AJ151">
        <v>999.9</v>
      </c>
      <c r="AK151">
        <v>999.9</v>
      </c>
      <c r="AL151">
        <v>0</v>
      </c>
      <c r="AM151">
        <v>0</v>
      </c>
      <c r="AN151">
        <v>4997.9666666666699</v>
      </c>
      <c r="AO151">
        <v>0</v>
      </c>
      <c r="AP151">
        <v>1.58087</v>
      </c>
      <c r="AQ151">
        <v>-1.1794100000000001</v>
      </c>
      <c r="AR151">
        <v>506.63253333333301</v>
      </c>
      <c r="AS151">
        <v>506.93619999999999</v>
      </c>
      <c r="AT151">
        <v>1.7367506666666701</v>
      </c>
      <c r="AU151">
        <v>500.01220000000001</v>
      </c>
      <c r="AV151">
        <v>13.6584</v>
      </c>
      <c r="AW151">
        <v>1.53860533333333</v>
      </c>
      <c r="AX151">
        <v>1.3650340000000001</v>
      </c>
      <c r="AY151">
        <v>13.357326666666699</v>
      </c>
      <c r="AZ151">
        <v>11.53468</v>
      </c>
      <c r="BA151">
        <v>799.99993333333305</v>
      </c>
      <c r="BB151">
        <v>0.90000159999999996</v>
      </c>
      <c r="BC151">
        <v>0</v>
      </c>
      <c r="BD151">
        <v>9.9998400000000001E-2</v>
      </c>
      <c r="BE151">
        <v>0</v>
      </c>
      <c r="BF151">
        <v>25</v>
      </c>
      <c r="BG151">
        <v>13191.026666666699</v>
      </c>
      <c r="BH151">
        <v>1771105740.0999999</v>
      </c>
      <c r="BI151" t="s">
        <v>564</v>
      </c>
      <c r="BJ151">
        <v>1771105740.0999999</v>
      </c>
      <c r="BK151">
        <v>1771105716.0999999</v>
      </c>
      <c r="BL151">
        <v>20</v>
      </c>
      <c r="BM151">
        <v>3.5999999999999997E-2</v>
      </c>
      <c r="BN151">
        <v>-2.5999999999999999E-2</v>
      </c>
      <c r="BO151">
        <v>-0.69099999999999995</v>
      </c>
      <c r="BP151">
        <v>6.3E-2</v>
      </c>
      <c r="BQ151">
        <v>500</v>
      </c>
      <c r="BR151">
        <v>14</v>
      </c>
      <c r="BS151">
        <v>0.28999999999999998</v>
      </c>
      <c r="BT151">
        <v>0.03</v>
      </c>
      <c r="BU151">
        <v>-1.1913965</v>
      </c>
      <c r="BV151">
        <v>0.314155037593986</v>
      </c>
      <c r="BW151">
        <v>3.8294134704285998E-2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1.7337264999999999</v>
      </c>
      <c r="CD151">
        <v>4.2810676691726397E-2</v>
      </c>
      <c r="CE151">
        <v>1.0373675951657601E-2</v>
      </c>
      <c r="CF151">
        <v>1</v>
      </c>
      <c r="CG151">
        <v>2</v>
      </c>
      <c r="CH151">
        <v>2</v>
      </c>
      <c r="CI151" t="s">
        <v>322</v>
      </c>
      <c r="CJ151">
        <v>3.5325600000000001</v>
      </c>
      <c r="CK151">
        <v>2.7013199999999999</v>
      </c>
      <c r="CL151">
        <v>0.112969</v>
      </c>
      <c r="CM151">
        <v>0.111586</v>
      </c>
      <c r="CN151">
        <v>8.6938199999999993E-2</v>
      </c>
      <c r="CO151">
        <v>7.8661700000000001E-2</v>
      </c>
      <c r="CP151">
        <v>31071.9</v>
      </c>
      <c r="CQ151">
        <v>27360</v>
      </c>
      <c r="CR151">
        <v>32423.200000000001</v>
      </c>
      <c r="CS151">
        <v>30726.2</v>
      </c>
      <c r="CT151">
        <v>40101.1</v>
      </c>
      <c r="CU151">
        <v>39827.300000000003</v>
      </c>
      <c r="CV151">
        <v>47364.3</v>
      </c>
      <c r="CW151">
        <v>46874.6</v>
      </c>
      <c r="CX151">
        <v>2.61354</v>
      </c>
      <c r="CY151">
        <v>2.1187</v>
      </c>
      <c r="CZ151">
        <v>0</v>
      </c>
      <c r="DA151">
        <v>0</v>
      </c>
      <c r="DB151">
        <v>999.9</v>
      </c>
      <c r="DC151">
        <v>999.9</v>
      </c>
      <c r="DD151">
        <v>44.933</v>
      </c>
      <c r="DE151">
        <v>28.852</v>
      </c>
      <c r="DF151">
        <v>17.926500000000001</v>
      </c>
      <c r="DG151">
        <v>30.438300000000002</v>
      </c>
      <c r="DH151">
        <v>16.975200000000001</v>
      </c>
      <c r="DI151">
        <v>2</v>
      </c>
      <c r="DJ151">
        <v>-6.5178899999999998E-2</v>
      </c>
      <c r="DK151">
        <v>2.76647</v>
      </c>
      <c r="DL151">
        <v>20.186399999999999</v>
      </c>
      <c r="DM151">
        <v>5.2497600000000002</v>
      </c>
      <c r="DN151">
        <v>12.033899999999999</v>
      </c>
      <c r="DO151">
        <v>4.9672000000000001</v>
      </c>
      <c r="DP151">
        <v>3.2909999999999999</v>
      </c>
      <c r="DQ151">
        <v>608.4</v>
      </c>
      <c r="DR151">
        <v>9999</v>
      </c>
      <c r="DS151">
        <v>9999</v>
      </c>
      <c r="DT151">
        <v>9999</v>
      </c>
      <c r="DU151">
        <v>1.8711899999999999</v>
      </c>
      <c r="DV151">
        <v>1.87618</v>
      </c>
      <c r="DW151">
        <v>1.8763700000000001</v>
      </c>
      <c r="DX151">
        <v>1.8828400000000001</v>
      </c>
      <c r="DY151">
        <v>1.8756200000000001</v>
      </c>
      <c r="DZ151">
        <v>1.87469</v>
      </c>
      <c r="EA151">
        <v>1.8708800000000001</v>
      </c>
      <c r="EB151">
        <v>1.8746799999999999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-0.69099999999999995</v>
      </c>
      <c r="EQ151">
        <v>6.2600000000000003E-2</v>
      </c>
      <c r="ER151">
        <v>-0.69120000000003801</v>
      </c>
      <c r="ES151">
        <v>0</v>
      </c>
      <c r="ET151">
        <v>0</v>
      </c>
      <c r="EU151">
        <v>0</v>
      </c>
      <c r="EV151">
        <v>6.2609999999999402E-2</v>
      </c>
      <c r="EW151">
        <v>0</v>
      </c>
      <c r="EX151">
        <v>0</v>
      </c>
      <c r="EY151">
        <v>0</v>
      </c>
      <c r="EZ151">
        <v>-1</v>
      </c>
      <c r="FA151">
        <v>-1</v>
      </c>
      <c r="FB151">
        <v>-1</v>
      </c>
      <c r="FC151">
        <v>-1</v>
      </c>
      <c r="FD151">
        <v>1.3</v>
      </c>
      <c r="FE151">
        <v>1.7</v>
      </c>
      <c r="FF151">
        <v>1.46973</v>
      </c>
      <c r="FG151">
        <v>2.6025399999999999</v>
      </c>
      <c r="FH151">
        <v>2.19604</v>
      </c>
      <c r="FI151">
        <v>2.5744600000000002</v>
      </c>
      <c r="FJ151">
        <v>2.4462899999999999</v>
      </c>
      <c r="FK151">
        <v>2.2717299999999998</v>
      </c>
      <c r="FL151">
        <v>33.109900000000003</v>
      </c>
      <c r="FM151">
        <v>24.1313</v>
      </c>
      <c r="FN151">
        <v>19</v>
      </c>
      <c r="FO151">
        <v>866.74300000000005</v>
      </c>
      <c r="FP151">
        <v>574.56700000000001</v>
      </c>
      <c r="FQ151">
        <v>17.784099999999999</v>
      </c>
      <c r="FR151">
        <v>26.135999999999999</v>
      </c>
      <c r="FS151">
        <v>30.0002</v>
      </c>
      <c r="FT151">
        <v>26.132400000000001</v>
      </c>
      <c r="FU151">
        <v>26.134699999999999</v>
      </c>
      <c r="FV151">
        <v>29.489899999999999</v>
      </c>
      <c r="FW151">
        <v>27.424700000000001</v>
      </c>
      <c r="FX151">
        <v>37.160299999999999</v>
      </c>
      <c r="FY151">
        <v>17.779699999999998</v>
      </c>
      <c r="FZ151">
        <v>500</v>
      </c>
      <c r="GA151">
        <v>13.7309</v>
      </c>
      <c r="GB151">
        <v>99.792299999999997</v>
      </c>
      <c r="GC151">
        <v>99.772400000000005</v>
      </c>
    </row>
    <row r="152" spans="1:185" x14ac:dyDescent="0.2">
      <c r="A152">
        <v>137</v>
      </c>
      <c r="B152">
        <v>1771105832.0999999</v>
      </c>
      <c r="C152">
        <v>2719</v>
      </c>
      <c r="D152" t="s">
        <v>577</v>
      </c>
      <c r="E152" t="s">
        <v>578</v>
      </c>
      <c r="F152">
        <v>15</v>
      </c>
      <c r="G152">
        <v>1771105824.03333</v>
      </c>
      <c r="H152">
        <f t="shared" si="26"/>
        <v>1.3916258707878158E-3</v>
      </c>
      <c r="I152">
        <v>0</v>
      </c>
      <c r="J152">
        <f t="shared" si="38"/>
        <v>1.3129747149228916E-2</v>
      </c>
      <c r="K152">
        <f t="shared" si="27"/>
        <v>0.23477634715006346</v>
      </c>
      <c r="L152">
        <f t="shared" si="28"/>
        <v>69.785234095848438</v>
      </c>
      <c r="M152">
        <f t="shared" si="29"/>
        <v>1.5390613022241397</v>
      </c>
      <c r="N152">
        <f t="shared" si="30"/>
        <v>2.2054254344268216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26200.891372770609</v>
      </c>
      <c r="T152">
        <f t="shared" si="34"/>
        <v>799.99946666666699</v>
      </c>
      <c r="U152">
        <f t="shared" si="35"/>
        <v>674.39972575988327</v>
      </c>
      <c r="V152">
        <f t="shared" si="36"/>
        <v>0.8430002191999999</v>
      </c>
      <c r="W152">
        <f t="shared" si="37"/>
        <v>0.15869997635200001</v>
      </c>
      <c r="X152">
        <v>1</v>
      </c>
      <c r="Y152">
        <v>1771105824.03333</v>
      </c>
      <c r="Z152">
        <v>498.84513333333302</v>
      </c>
      <c r="AA152">
        <v>500.00633333333298</v>
      </c>
      <c r="AB152">
        <v>15.3900666666667</v>
      </c>
      <c r="AC152">
        <v>13.677346666666701</v>
      </c>
      <c r="AD152">
        <v>499.53646666666702</v>
      </c>
      <c r="AE152">
        <v>15.32746</v>
      </c>
      <c r="AF152">
        <v>800.01906666666696</v>
      </c>
      <c r="AG152">
        <v>99.940133333333307</v>
      </c>
      <c r="AH152">
        <v>6.3416719999999996E-2</v>
      </c>
      <c r="AI152">
        <v>19.00178</v>
      </c>
      <c r="AJ152">
        <v>999.9</v>
      </c>
      <c r="AK152">
        <v>999.9</v>
      </c>
      <c r="AL152">
        <v>0</v>
      </c>
      <c r="AM152">
        <v>0</v>
      </c>
      <c r="AN152">
        <v>4999.1000000000004</v>
      </c>
      <c r="AO152">
        <v>0</v>
      </c>
      <c r="AP152">
        <v>1.58087</v>
      </c>
      <c r="AQ152">
        <v>-1.1610053333333299</v>
      </c>
      <c r="AR152">
        <v>506.64246666666702</v>
      </c>
      <c r="AS152">
        <v>506.94</v>
      </c>
      <c r="AT152">
        <v>1.71273733333333</v>
      </c>
      <c r="AU152">
        <v>500.00633333333298</v>
      </c>
      <c r="AV152">
        <v>13.677346666666701</v>
      </c>
      <c r="AW152">
        <v>1.5380866666666699</v>
      </c>
      <c r="AX152">
        <v>1.366916</v>
      </c>
      <c r="AY152">
        <v>13.352119999999999</v>
      </c>
      <c r="AZ152">
        <v>11.5555066666667</v>
      </c>
      <c r="BA152">
        <v>799.99946666666699</v>
      </c>
      <c r="BB152">
        <v>0.90000119999999995</v>
      </c>
      <c r="BC152">
        <v>0</v>
      </c>
      <c r="BD152">
        <v>9.9999093333333303E-2</v>
      </c>
      <c r="BE152">
        <v>0</v>
      </c>
      <c r="BF152">
        <v>25</v>
      </c>
      <c r="BG152">
        <v>13191.0133333333</v>
      </c>
      <c r="BH152">
        <v>1771105740.0999999</v>
      </c>
      <c r="BI152" t="s">
        <v>564</v>
      </c>
      <c r="BJ152">
        <v>1771105740.0999999</v>
      </c>
      <c r="BK152">
        <v>1771105716.0999999</v>
      </c>
      <c r="BL152">
        <v>20</v>
      </c>
      <c r="BM152">
        <v>3.5999999999999997E-2</v>
      </c>
      <c r="BN152">
        <v>-2.5999999999999999E-2</v>
      </c>
      <c r="BO152">
        <v>-0.69099999999999995</v>
      </c>
      <c r="BP152">
        <v>6.3E-2</v>
      </c>
      <c r="BQ152">
        <v>500</v>
      </c>
      <c r="BR152">
        <v>14</v>
      </c>
      <c r="BS152">
        <v>0.28999999999999998</v>
      </c>
      <c r="BT152">
        <v>0.03</v>
      </c>
      <c r="BU152">
        <v>-1.1551640000000001</v>
      </c>
      <c r="BV152">
        <v>-1.46093233082697E-2</v>
      </c>
      <c r="BW152">
        <v>2.1342734220338298E-2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1.7165435</v>
      </c>
      <c r="CD152">
        <v>-0.118728270676693</v>
      </c>
      <c r="CE152">
        <v>1.3778683999206899E-2</v>
      </c>
      <c r="CF152">
        <v>0</v>
      </c>
      <c r="CG152">
        <v>1</v>
      </c>
      <c r="CH152">
        <v>2</v>
      </c>
      <c r="CI152" t="s">
        <v>299</v>
      </c>
      <c r="CJ152">
        <v>3.5325299999999999</v>
      </c>
      <c r="CK152">
        <v>2.7012499999999999</v>
      </c>
      <c r="CL152">
        <v>0.11296399999999999</v>
      </c>
      <c r="CM152">
        <v>0.111577</v>
      </c>
      <c r="CN152">
        <v>8.6961800000000006E-2</v>
      </c>
      <c r="CO152">
        <v>7.8905799999999998E-2</v>
      </c>
      <c r="CP152">
        <v>31071.599999999999</v>
      </c>
      <c r="CQ152">
        <v>27360.400000000001</v>
      </c>
      <c r="CR152">
        <v>32422.799999999999</v>
      </c>
      <c r="CS152">
        <v>30726.400000000001</v>
      </c>
      <c r="CT152">
        <v>40099.599999999999</v>
      </c>
      <c r="CU152">
        <v>39816.6</v>
      </c>
      <c r="CV152">
        <v>47363.8</v>
      </c>
      <c r="CW152">
        <v>46874.6</v>
      </c>
      <c r="CX152">
        <v>2.6132399999999998</v>
      </c>
      <c r="CY152">
        <v>2.1188600000000002</v>
      </c>
      <c r="CZ152">
        <v>0</v>
      </c>
      <c r="DA152">
        <v>0</v>
      </c>
      <c r="DB152">
        <v>999.9</v>
      </c>
      <c r="DC152">
        <v>999.9</v>
      </c>
      <c r="DD152">
        <v>44.908999999999999</v>
      </c>
      <c r="DE152">
        <v>28.852</v>
      </c>
      <c r="DF152">
        <v>17.917899999999999</v>
      </c>
      <c r="DG152">
        <v>30.4983</v>
      </c>
      <c r="DH152">
        <v>16.991199999999999</v>
      </c>
      <c r="DI152">
        <v>2</v>
      </c>
      <c r="DJ152">
        <v>-6.5280500000000005E-2</v>
      </c>
      <c r="DK152">
        <v>2.7692800000000002</v>
      </c>
      <c r="DL152">
        <v>20.186499999999999</v>
      </c>
      <c r="DM152">
        <v>5.2495200000000004</v>
      </c>
      <c r="DN152">
        <v>12.033899999999999</v>
      </c>
      <c r="DO152">
        <v>4.9672799999999997</v>
      </c>
      <c r="DP152">
        <v>3.2909999999999999</v>
      </c>
      <c r="DQ152">
        <v>608.4</v>
      </c>
      <c r="DR152">
        <v>9999</v>
      </c>
      <c r="DS152">
        <v>9999</v>
      </c>
      <c r="DT152">
        <v>9999</v>
      </c>
      <c r="DU152">
        <v>1.8711800000000001</v>
      </c>
      <c r="DV152">
        <v>1.8761699999999999</v>
      </c>
      <c r="DW152">
        <v>1.8763700000000001</v>
      </c>
      <c r="DX152">
        <v>1.88283</v>
      </c>
      <c r="DY152">
        <v>1.8756200000000001</v>
      </c>
      <c r="DZ152">
        <v>1.8746799999999999</v>
      </c>
      <c r="EA152">
        <v>1.87087</v>
      </c>
      <c r="EB152">
        <v>1.8746799999999999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-0.69099999999999995</v>
      </c>
      <c r="EQ152">
        <v>6.2600000000000003E-2</v>
      </c>
      <c r="ER152">
        <v>-0.69120000000003801</v>
      </c>
      <c r="ES152">
        <v>0</v>
      </c>
      <c r="ET152">
        <v>0</v>
      </c>
      <c r="EU152">
        <v>0</v>
      </c>
      <c r="EV152">
        <v>6.2609999999999402E-2</v>
      </c>
      <c r="EW152">
        <v>0</v>
      </c>
      <c r="EX152">
        <v>0</v>
      </c>
      <c r="EY152">
        <v>0</v>
      </c>
      <c r="EZ152">
        <v>-1</v>
      </c>
      <c r="FA152">
        <v>-1</v>
      </c>
      <c r="FB152">
        <v>-1</v>
      </c>
      <c r="FC152">
        <v>-1</v>
      </c>
      <c r="FD152">
        <v>1.5</v>
      </c>
      <c r="FE152">
        <v>1.9</v>
      </c>
      <c r="FF152">
        <v>1.46973</v>
      </c>
      <c r="FG152">
        <v>2.6000999999999999</v>
      </c>
      <c r="FH152">
        <v>2.19604</v>
      </c>
      <c r="FI152">
        <v>2.5744600000000002</v>
      </c>
      <c r="FJ152">
        <v>2.4462899999999999</v>
      </c>
      <c r="FK152">
        <v>2.3059099999999999</v>
      </c>
      <c r="FL152">
        <v>33.109900000000003</v>
      </c>
      <c r="FM152">
        <v>24.1313</v>
      </c>
      <c r="FN152">
        <v>19</v>
      </c>
      <c r="FO152">
        <v>866.49099999999999</v>
      </c>
      <c r="FP152">
        <v>574.70899999999995</v>
      </c>
      <c r="FQ152">
        <v>17.7758</v>
      </c>
      <c r="FR152">
        <v>26.138200000000001</v>
      </c>
      <c r="FS152">
        <v>30.0001</v>
      </c>
      <c r="FT152">
        <v>26.1342</v>
      </c>
      <c r="FU152">
        <v>26.136500000000002</v>
      </c>
      <c r="FV152">
        <v>29.490200000000002</v>
      </c>
      <c r="FW152">
        <v>27.145700000000001</v>
      </c>
      <c r="FX152">
        <v>37.160299999999999</v>
      </c>
      <c r="FY152">
        <v>17.775200000000002</v>
      </c>
      <c r="FZ152">
        <v>500</v>
      </c>
      <c r="GA152">
        <v>13.7318</v>
      </c>
      <c r="GB152">
        <v>99.7911</v>
      </c>
      <c r="GC152">
        <v>99.7727</v>
      </c>
    </row>
    <row r="153" spans="1:185" x14ac:dyDescent="0.2">
      <c r="A153">
        <v>138</v>
      </c>
      <c r="B153">
        <v>1771105847.0999999</v>
      </c>
      <c r="C153">
        <v>2734</v>
      </c>
      <c r="D153" t="s">
        <v>579</v>
      </c>
      <c r="E153" t="s">
        <v>580</v>
      </c>
      <c r="F153">
        <v>15</v>
      </c>
      <c r="G153">
        <v>1771105839.03333</v>
      </c>
      <c r="H153">
        <f t="shared" si="26"/>
        <v>1.3559263393085187E-3</v>
      </c>
      <c r="I153">
        <v>0</v>
      </c>
      <c r="J153">
        <f t="shared" si="38"/>
        <v>1.3129035848943399E-2</v>
      </c>
      <c r="K153">
        <f t="shared" si="27"/>
        <v>0.23476362820880262</v>
      </c>
      <c r="L153">
        <f t="shared" si="28"/>
        <v>69.833806580334809</v>
      </c>
      <c r="M153">
        <f t="shared" si="29"/>
        <v>1.5400691024841902</v>
      </c>
      <c r="N153">
        <f t="shared" si="30"/>
        <v>2.2053346049703575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26215.925331802584</v>
      </c>
      <c r="T153">
        <f t="shared" si="34"/>
        <v>800.00019999999995</v>
      </c>
      <c r="U153">
        <f t="shared" si="35"/>
        <v>674.40018572000417</v>
      </c>
      <c r="V153">
        <f t="shared" si="36"/>
        <v>0.84300002139999997</v>
      </c>
      <c r="W153">
        <f t="shared" si="37"/>
        <v>0.15870001452399998</v>
      </c>
      <c r="X153">
        <v>1</v>
      </c>
      <c r="Y153">
        <v>1771105839.03333</v>
      </c>
      <c r="Z153">
        <v>498.83980000000003</v>
      </c>
      <c r="AA153">
        <v>499.97873333333303</v>
      </c>
      <c r="AB153">
        <v>15.400126666666701</v>
      </c>
      <c r="AC153">
        <v>13.7313333333333</v>
      </c>
      <c r="AD153">
        <v>499.531133333333</v>
      </c>
      <c r="AE153">
        <v>15.337493333333301</v>
      </c>
      <c r="AF153">
        <v>800.00613333333297</v>
      </c>
      <c r="AG153">
        <v>99.940240000000003</v>
      </c>
      <c r="AH153">
        <v>6.34246333333333E-2</v>
      </c>
      <c r="AI153">
        <v>19.00112</v>
      </c>
      <c r="AJ153">
        <v>999.9</v>
      </c>
      <c r="AK153">
        <v>999.9</v>
      </c>
      <c r="AL153">
        <v>0</v>
      </c>
      <c r="AM153">
        <v>0</v>
      </c>
      <c r="AN153">
        <v>5001.5666666666702</v>
      </c>
      <c r="AO153">
        <v>0</v>
      </c>
      <c r="AP153">
        <v>1.58087</v>
      </c>
      <c r="AQ153">
        <v>-1.1388226666666701</v>
      </c>
      <c r="AR153">
        <v>506.642333333333</v>
      </c>
      <c r="AS153">
        <v>506.93966666666699</v>
      </c>
      <c r="AT153">
        <v>1.668776</v>
      </c>
      <c r="AU153">
        <v>499.97873333333303</v>
      </c>
      <c r="AV153">
        <v>13.7313333333333</v>
      </c>
      <c r="AW153">
        <v>1.5390919999999999</v>
      </c>
      <c r="AX153">
        <v>1.3723133333333299</v>
      </c>
      <c r="AY153">
        <v>13.36214</v>
      </c>
      <c r="AZ153">
        <v>11.6151066666667</v>
      </c>
      <c r="BA153">
        <v>800.00019999999995</v>
      </c>
      <c r="BB153">
        <v>0.89999986666666698</v>
      </c>
      <c r="BC153">
        <v>0</v>
      </c>
      <c r="BD153">
        <v>0.10000015333333299</v>
      </c>
      <c r="BE153">
        <v>0</v>
      </c>
      <c r="BF153">
        <v>25</v>
      </c>
      <c r="BG153">
        <v>13191.0333333333</v>
      </c>
      <c r="BH153">
        <v>1771105740.0999999</v>
      </c>
      <c r="BI153" t="s">
        <v>564</v>
      </c>
      <c r="BJ153">
        <v>1771105740.0999999</v>
      </c>
      <c r="BK153">
        <v>1771105716.0999999</v>
      </c>
      <c r="BL153">
        <v>20</v>
      </c>
      <c r="BM153">
        <v>3.5999999999999997E-2</v>
      </c>
      <c r="BN153">
        <v>-2.5999999999999999E-2</v>
      </c>
      <c r="BO153">
        <v>-0.69099999999999995</v>
      </c>
      <c r="BP153">
        <v>6.3E-2</v>
      </c>
      <c r="BQ153">
        <v>500</v>
      </c>
      <c r="BR153">
        <v>14</v>
      </c>
      <c r="BS153">
        <v>0.28999999999999998</v>
      </c>
      <c r="BT153">
        <v>0.03</v>
      </c>
      <c r="BU153">
        <v>-1.1417966666666699</v>
      </c>
      <c r="BV153">
        <v>4.2131688311687898E-2</v>
      </c>
      <c r="BW153">
        <v>1.7669521602205099E-2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1.67766857142857</v>
      </c>
      <c r="CD153">
        <v>-0.1162012987013</v>
      </c>
      <c r="CE153">
        <v>1.7418090564455199E-2</v>
      </c>
      <c r="CF153">
        <v>0</v>
      </c>
      <c r="CG153">
        <v>1</v>
      </c>
      <c r="CH153">
        <v>2</v>
      </c>
      <c r="CI153" t="s">
        <v>299</v>
      </c>
      <c r="CJ153">
        <v>3.5325899999999999</v>
      </c>
      <c r="CK153">
        <v>2.70147</v>
      </c>
      <c r="CL153">
        <v>0.112967</v>
      </c>
      <c r="CM153">
        <v>0.111581</v>
      </c>
      <c r="CN153">
        <v>8.7048100000000003E-2</v>
      </c>
      <c r="CO153">
        <v>7.8930899999999998E-2</v>
      </c>
      <c r="CP153">
        <v>31071.200000000001</v>
      </c>
      <c r="CQ153">
        <v>27359.5</v>
      </c>
      <c r="CR153">
        <v>32422.5</v>
      </c>
      <c r="CS153">
        <v>30725.5</v>
      </c>
      <c r="CT153">
        <v>40095.300000000003</v>
      </c>
      <c r="CU153">
        <v>39814.5</v>
      </c>
      <c r="CV153">
        <v>47363.3</v>
      </c>
      <c r="CW153">
        <v>46873.4</v>
      </c>
      <c r="CX153">
        <v>2.61354</v>
      </c>
      <c r="CY153">
        <v>2.1188799999999999</v>
      </c>
      <c r="CZ153">
        <v>0</v>
      </c>
      <c r="DA153">
        <v>0</v>
      </c>
      <c r="DB153">
        <v>999.9</v>
      </c>
      <c r="DC153">
        <v>999.9</v>
      </c>
      <c r="DD153">
        <v>44.884999999999998</v>
      </c>
      <c r="DE153">
        <v>28.873000000000001</v>
      </c>
      <c r="DF153">
        <v>17.9312</v>
      </c>
      <c r="DG153">
        <v>30.468299999999999</v>
      </c>
      <c r="DH153">
        <v>16.9191</v>
      </c>
      <c r="DI153">
        <v>2</v>
      </c>
      <c r="DJ153">
        <v>-6.5217499999999998E-2</v>
      </c>
      <c r="DK153">
        <v>2.7351700000000001</v>
      </c>
      <c r="DL153">
        <v>20.187000000000001</v>
      </c>
      <c r="DM153">
        <v>5.2496400000000003</v>
      </c>
      <c r="DN153">
        <v>12.033899999999999</v>
      </c>
      <c r="DO153">
        <v>4.9672000000000001</v>
      </c>
      <c r="DP153">
        <v>3.2909999999999999</v>
      </c>
      <c r="DQ153">
        <v>608.4</v>
      </c>
      <c r="DR153">
        <v>9999</v>
      </c>
      <c r="DS153">
        <v>9999</v>
      </c>
      <c r="DT153">
        <v>9999</v>
      </c>
      <c r="DU153">
        <v>1.8711899999999999</v>
      </c>
      <c r="DV153">
        <v>1.8762099999999999</v>
      </c>
      <c r="DW153">
        <v>1.8763700000000001</v>
      </c>
      <c r="DX153">
        <v>1.88286</v>
      </c>
      <c r="DY153">
        <v>1.87564</v>
      </c>
      <c r="DZ153">
        <v>1.87469</v>
      </c>
      <c r="EA153">
        <v>1.8708800000000001</v>
      </c>
      <c r="EB153">
        <v>1.8746799999999999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-0.69099999999999995</v>
      </c>
      <c r="EQ153">
        <v>6.2600000000000003E-2</v>
      </c>
      <c r="ER153">
        <v>-0.69120000000003801</v>
      </c>
      <c r="ES153">
        <v>0</v>
      </c>
      <c r="ET153">
        <v>0</v>
      </c>
      <c r="EU153">
        <v>0</v>
      </c>
      <c r="EV153">
        <v>6.2609999999999402E-2</v>
      </c>
      <c r="EW153">
        <v>0</v>
      </c>
      <c r="EX153">
        <v>0</v>
      </c>
      <c r="EY153">
        <v>0</v>
      </c>
      <c r="EZ153">
        <v>-1</v>
      </c>
      <c r="FA153">
        <v>-1</v>
      </c>
      <c r="FB153">
        <v>-1</v>
      </c>
      <c r="FC153">
        <v>-1</v>
      </c>
      <c r="FD153">
        <v>1.8</v>
      </c>
      <c r="FE153">
        <v>2.2000000000000002</v>
      </c>
      <c r="FF153">
        <v>1.46973</v>
      </c>
      <c r="FG153">
        <v>2.5988799999999999</v>
      </c>
      <c r="FH153">
        <v>2.19604</v>
      </c>
      <c r="FI153">
        <v>2.5744600000000002</v>
      </c>
      <c r="FJ153">
        <v>2.4462899999999999</v>
      </c>
      <c r="FK153">
        <v>2.3168899999999999</v>
      </c>
      <c r="FL153">
        <v>33.109900000000003</v>
      </c>
      <c r="FM153">
        <v>24.14</v>
      </c>
      <c r="FN153">
        <v>19</v>
      </c>
      <c r="FO153">
        <v>866.77800000000002</v>
      </c>
      <c r="FP153">
        <v>574.745</v>
      </c>
      <c r="FQ153">
        <v>17.7883</v>
      </c>
      <c r="FR153">
        <v>26.138300000000001</v>
      </c>
      <c r="FS153">
        <v>30.0002</v>
      </c>
      <c r="FT153">
        <v>26.134599999999999</v>
      </c>
      <c r="FU153">
        <v>26.138200000000001</v>
      </c>
      <c r="FV153">
        <v>29.493600000000001</v>
      </c>
      <c r="FW153">
        <v>27.145700000000001</v>
      </c>
      <c r="FX153">
        <v>37.160299999999999</v>
      </c>
      <c r="FY153">
        <v>17.783799999999999</v>
      </c>
      <c r="FZ153">
        <v>500</v>
      </c>
      <c r="GA153">
        <v>13.7326</v>
      </c>
      <c r="GB153">
        <v>99.79</v>
      </c>
      <c r="GC153">
        <v>99.770099999999999</v>
      </c>
    </row>
    <row r="154" spans="1:185" x14ac:dyDescent="0.2">
      <c r="A154">
        <v>139</v>
      </c>
      <c r="B154">
        <v>1771105862.0999999</v>
      </c>
      <c r="C154">
        <v>2749</v>
      </c>
      <c r="D154" t="s">
        <v>581</v>
      </c>
      <c r="E154" t="s">
        <v>582</v>
      </c>
      <c r="F154">
        <v>15</v>
      </c>
      <c r="G154">
        <v>1771105854.03333</v>
      </c>
      <c r="H154">
        <f t="shared" si="26"/>
        <v>1.393172221604078E-3</v>
      </c>
      <c r="I154">
        <v>0</v>
      </c>
      <c r="J154">
        <f t="shared" si="38"/>
        <v>1.3670985232468741E-2</v>
      </c>
      <c r="K154">
        <f t="shared" si="27"/>
        <v>0.24445436293188377</v>
      </c>
      <c r="L154">
        <f t="shared" si="28"/>
        <v>69.877426149195074</v>
      </c>
      <c r="M154">
        <f t="shared" si="29"/>
        <v>1.5410560627094301</v>
      </c>
      <c r="N154">
        <f t="shared" si="30"/>
        <v>2.2053703858798777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26198.204950026524</v>
      </c>
      <c r="T154">
        <f t="shared" si="34"/>
        <v>800.00033333333295</v>
      </c>
      <c r="U154">
        <f t="shared" si="35"/>
        <v>674.40033060002031</v>
      </c>
      <c r="V154">
        <f t="shared" si="36"/>
        <v>0.84300006199999999</v>
      </c>
      <c r="W154">
        <f t="shared" si="37"/>
        <v>0.15870015500000001</v>
      </c>
      <c r="X154">
        <v>1</v>
      </c>
      <c r="Y154">
        <v>1771105854.03333</v>
      </c>
      <c r="Z154">
        <v>498.83846666666699</v>
      </c>
      <c r="AA154">
        <v>500.01273333333302</v>
      </c>
      <c r="AB154">
        <v>15.4098133333333</v>
      </c>
      <c r="AC154">
        <v>13.6952</v>
      </c>
      <c r="AD154">
        <v>499.52960000000002</v>
      </c>
      <c r="AE154">
        <v>15.347213333333301</v>
      </c>
      <c r="AF154">
        <v>800.00760000000002</v>
      </c>
      <c r="AG154">
        <v>99.941306666666705</v>
      </c>
      <c r="AH154">
        <v>6.3542799999999997E-2</v>
      </c>
      <c r="AI154">
        <v>19.001380000000001</v>
      </c>
      <c r="AJ154">
        <v>999.9</v>
      </c>
      <c r="AK154">
        <v>999.9</v>
      </c>
      <c r="AL154">
        <v>0</v>
      </c>
      <c r="AM154">
        <v>0</v>
      </c>
      <c r="AN154">
        <v>4998.6000000000004</v>
      </c>
      <c r="AO154">
        <v>0</v>
      </c>
      <c r="AP154">
        <v>1.58087</v>
      </c>
      <c r="AQ154">
        <v>-1.1743726666666701</v>
      </c>
      <c r="AR154">
        <v>506.64566666666701</v>
      </c>
      <c r="AS154">
        <v>506.9556</v>
      </c>
      <c r="AT154">
        <v>1.7146266666666701</v>
      </c>
      <c r="AU154">
        <v>500.01273333333302</v>
      </c>
      <c r="AV154">
        <v>13.6952</v>
      </c>
      <c r="AW154">
        <v>1.5400780000000001</v>
      </c>
      <c r="AX154">
        <v>1.368716</v>
      </c>
      <c r="AY154">
        <v>13.371973333333299</v>
      </c>
      <c r="AZ154">
        <v>11.5753866666667</v>
      </c>
      <c r="BA154">
        <v>800.00033333333295</v>
      </c>
      <c r="BB154">
        <v>0.899997933333333</v>
      </c>
      <c r="BC154">
        <v>0</v>
      </c>
      <c r="BD154">
        <v>0.100002066666667</v>
      </c>
      <c r="BE154">
        <v>0</v>
      </c>
      <c r="BF154">
        <v>25</v>
      </c>
      <c r="BG154">
        <v>13191.04</v>
      </c>
      <c r="BH154">
        <v>1771105740.0999999</v>
      </c>
      <c r="BI154" t="s">
        <v>564</v>
      </c>
      <c r="BJ154">
        <v>1771105740.0999999</v>
      </c>
      <c r="BK154">
        <v>1771105716.0999999</v>
      </c>
      <c r="BL154">
        <v>20</v>
      </c>
      <c r="BM154">
        <v>3.5999999999999997E-2</v>
      </c>
      <c r="BN154">
        <v>-2.5999999999999999E-2</v>
      </c>
      <c r="BO154">
        <v>-0.69099999999999995</v>
      </c>
      <c r="BP154">
        <v>6.3E-2</v>
      </c>
      <c r="BQ154">
        <v>500</v>
      </c>
      <c r="BR154">
        <v>14</v>
      </c>
      <c r="BS154">
        <v>0.28999999999999998</v>
      </c>
      <c r="BT154">
        <v>0.03</v>
      </c>
      <c r="BU154">
        <v>-1.1647945</v>
      </c>
      <c r="BV154">
        <v>-0.18108135338345799</v>
      </c>
      <c r="BW154">
        <v>2.85331418660827E-2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1.7043085</v>
      </c>
      <c r="CD154">
        <v>0.23769699248120399</v>
      </c>
      <c r="CE154">
        <v>2.4542936106953499E-2</v>
      </c>
      <c r="CF154">
        <v>0</v>
      </c>
      <c r="CG154">
        <v>1</v>
      </c>
      <c r="CH154">
        <v>2</v>
      </c>
      <c r="CI154" t="s">
        <v>299</v>
      </c>
      <c r="CJ154">
        <v>3.5325299999999999</v>
      </c>
      <c r="CK154">
        <v>2.7012299999999998</v>
      </c>
      <c r="CL154">
        <v>0.112967</v>
      </c>
      <c r="CM154">
        <v>0.111585</v>
      </c>
      <c r="CN154">
        <v>8.6932700000000002E-2</v>
      </c>
      <c r="CO154">
        <v>7.8663499999999997E-2</v>
      </c>
      <c r="CP154">
        <v>31071.200000000001</v>
      </c>
      <c r="CQ154">
        <v>27359.599999999999</v>
      </c>
      <c r="CR154">
        <v>32422.5</v>
      </c>
      <c r="CS154">
        <v>30725.8</v>
      </c>
      <c r="CT154">
        <v>40100.5</v>
      </c>
      <c r="CU154">
        <v>39826.400000000001</v>
      </c>
      <c r="CV154">
        <v>47363.3</v>
      </c>
      <c r="CW154">
        <v>46873.599999999999</v>
      </c>
      <c r="CX154">
        <v>2.6132200000000001</v>
      </c>
      <c r="CY154">
        <v>2.11876</v>
      </c>
      <c r="CZ154">
        <v>0</v>
      </c>
      <c r="DA154">
        <v>0</v>
      </c>
      <c r="DB154">
        <v>999.9</v>
      </c>
      <c r="DC154">
        <v>999.9</v>
      </c>
      <c r="DD154">
        <v>44.792999999999999</v>
      </c>
      <c r="DE154">
        <v>28.852</v>
      </c>
      <c r="DF154">
        <v>17.872699999999998</v>
      </c>
      <c r="DG154">
        <v>30.528300000000002</v>
      </c>
      <c r="DH154">
        <v>16.863</v>
      </c>
      <c r="DI154">
        <v>2</v>
      </c>
      <c r="DJ154">
        <v>-6.4855700000000002E-2</v>
      </c>
      <c r="DK154">
        <v>2.7629100000000002</v>
      </c>
      <c r="DL154">
        <v>20.186299999999999</v>
      </c>
      <c r="DM154">
        <v>5.2490399999999999</v>
      </c>
      <c r="DN154">
        <v>12.033899999999999</v>
      </c>
      <c r="DO154">
        <v>4.9672400000000003</v>
      </c>
      <c r="DP154">
        <v>3.2909999999999999</v>
      </c>
      <c r="DQ154">
        <v>608.4</v>
      </c>
      <c r="DR154">
        <v>9999</v>
      </c>
      <c r="DS154">
        <v>9999</v>
      </c>
      <c r="DT154">
        <v>9999</v>
      </c>
      <c r="DU154">
        <v>1.8711899999999999</v>
      </c>
      <c r="DV154">
        <v>1.87622</v>
      </c>
      <c r="DW154">
        <v>1.8763700000000001</v>
      </c>
      <c r="DX154">
        <v>1.8829</v>
      </c>
      <c r="DY154">
        <v>1.87564</v>
      </c>
      <c r="DZ154">
        <v>1.87469</v>
      </c>
      <c r="EA154">
        <v>1.8708899999999999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-0.69099999999999995</v>
      </c>
      <c r="EQ154">
        <v>6.2600000000000003E-2</v>
      </c>
      <c r="ER154">
        <v>-0.69120000000003801</v>
      </c>
      <c r="ES154">
        <v>0</v>
      </c>
      <c r="ET154">
        <v>0</v>
      </c>
      <c r="EU154">
        <v>0</v>
      </c>
      <c r="EV154">
        <v>6.2609999999999402E-2</v>
      </c>
      <c r="EW154">
        <v>0</v>
      </c>
      <c r="EX154">
        <v>0</v>
      </c>
      <c r="EY154">
        <v>0</v>
      </c>
      <c r="EZ154">
        <v>-1</v>
      </c>
      <c r="FA154">
        <v>-1</v>
      </c>
      <c r="FB154">
        <v>-1</v>
      </c>
      <c r="FC154">
        <v>-1</v>
      </c>
      <c r="FD154">
        <v>2</v>
      </c>
      <c r="FE154">
        <v>2.4</v>
      </c>
      <c r="FF154">
        <v>1.46973</v>
      </c>
      <c r="FG154">
        <v>2.6049799999999999</v>
      </c>
      <c r="FH154">
        <v>2.19604</v>
      </c>
      <c r="FI154">
        <v>2.5744600000000002</v>
      </c>
      <c r="FJ154">
        <v>2.4462899999999999</v>
      </c>
      <c r="FK154">
        <v>2.31812</v>
      </c>
      <c r="FL154">
        <v>33.109900000000003</v>
      </c>
      <c r="FM154">
        <v>24.14</v>
      </c>
      <c r="FN154">
        <v>19</v>
      </c>
      <c r="FO154">
        <v>866.51400000000001</v>
      </c>
      <c r="FP154">
        <v>574.66600000000005</v>
      </c>
      <c r="FQ154">
        <v>17.782699999999998</v>
      </c>
      <c r="FR154">
        <v>26.140499999999999</v>
      </c>
      <c r="FS154">
        <v>30.0002</v>
      </c>
      <c r="FT154">
        <v>26.136800000000001</v>
      </c>
      <c r="FU154">
        <v>26.139500000000002</v>
      </c>
      <c r="FV154">
        <v>29.490100000000002</v>
      </c>
      <c r="FW154">
        <v>27.145700000000001</v>
      </c>
      <c r="FX154">
        <v>36.785400000000003</v>
      </c>
      <c r="FY154">
        <v>17.779699999999998</v>
      </c>
      <c r="FZ154">
        <v>500</v>
      </c>
      <c r="GA154">
        <v>13.7424</v>
      </c>
      <c r="GB154">
        <v>99.790099999999995</v>
      </c>
      <c r="GC154">
        <v>99.770600000000002</v>
      </c>
    </row>
    <row r="155" spans="1:185" x14ac:dyDescent="0.2">
      <c r="A155">
        <v>140</v>
      </c>
      <c r="B155">
        <v>1771105968.0999999</v>
      </c>
      <c r="C155">
        <v>2855</v>
      </c>
      <c r="D155" t="s">
        <v>583</v>
      </c>
      <c r="E155" t="s">
        <v>584</v>
      </c>
      <c r="F155">
        <v>15</v>
      </c>
      <c r="G155">
        <v>1771105960.0999999</v>
      </c>
      <c r="H155">
        <f t="shared" si="26"/>
        <v>-3.5768986310124713E-5</v>
      </c>
      <c r="I155">
        <v>0</v>
      </c>
      <c r="J155">
        <f t="shared" si="38"/>
        <v>1.4693322876868802</v>
      </c>
      <c r="K155">
        <f t="shared" si="27"/>
        <v>26.273504229137494</v>
      </c>
      <c r="L155">
        <f t="shared" si="28"/>
        <v>72.446435300712096</v>
      </c>
      <c r="M155">
        <f t="shared" si="29"/>
        <v>1.5912597542327067</v>
      </c>
      <c r="N155">
        <f t="shared" si="30"/>
        <v>2.1964638392871563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26195.295991596879</v>
      </c>
      <c r="T155">
        <f t="shared" si="34"/>
        <v>799.99953333333303</v>
      </c>
      <c r="U155">
        <f t="shared" si="35"/>
        <v>674.39951860005101</v>
      </c>
      <c r="V155">
        <f t="shared" si="36"/>
        <v>0.84299988999999997</v>
      </c>
      <c r="W155">
        <f t="shared" si="37"/>
        <v>0.15870011475999998</v>
      </c>
      <c r="X155">
        <v>1</v>
      </c>
      <c r="Y155">
        <v>1771105960.0999999</v>
      </c>
      <c r="Z155">
        <v>767.39086666666697</v>
      </c>
      <c r="AA155">
        <v>800.19860000000006</v>
      </c>
      <c r="AB155">
        <v>15.9121733333333</v>
      </c>
      <c r="AC155">
        <v>15.9561733333333</v>
      </c>
      <c r="AD155">
        <v>768.08206666666604</v>
      </c>
      <c r="AE155">
        <v>15.849546666666701</v>
      </c>
      <c r="AF155">
        <v>799.99599999999998</v>
      </c>
      <c r="AG155">
        <v>99.940386666666697</v>
      </c>
      <c r="AH155">
        <v>6.2279273333333302E-2</v>
      </c>
      <c r="AI155">
        <v>18.9365466666667</v>
      </c>
      <c r="AJ155">
        <v>999.9</v>
      </c>
      <c r="AK155">
        <v>999.9</v>
      </c>
      <c r="AL155">
        <v>0</v>
      </c>
      <c r="AM155">
        <v>0</v>
      </c>
      <c r="AN155">
        <v>4997.2</v>
      </c>
      <c r="AO155">
        <v>0</v>
      </c>
      <c r="AP155">
        <v>1.539096</v>
      </c>
      <c r="AQ155">
        <v>-32.8076333333333</v>
      </c>
      <c r="AR155">
        <v>779.80160000000001</v>
      </c>
      <c r="AS155">
        <v>813.17359999999996</v>
      </c>
      <c r="AT155">
        <v>-4.4000873333333398E-2</v>
      </c>
      <c r="AU155">
        <v>800.19860000000006</v>
      </c>
      <c r="AV155">
        <v>15.9561733333333</v>
      </c>
      <c r="AW155">
        <v>1.5902673333333299</v>
      </c>
      <c r="AX155">
        <v>1.59466533333333</v>
      </c>
      <c r="AY155">
        <v>13.863580000000001</v>
      </c>
      <c r="AZ155">
        <v>13.905886666666699</v>
      </c>
      <c r="BA155">
        <v>799.99953333333303</v>
      </c>
      <c r="BB155">
        <v>0.89999786666666703</v>
      </c>
      <c r="BC155">
        <v>0</v>
      </c>
      <c r="BD155">
        <v>0.100001933333333</v>
      </c>
      <c r="BE155">
        <v>0</v>
      </c>
      <c r="BF155">
        <v>25</v>
      </c>
      <c r="BG155">
        <v>13191.026666666699</v>
      </c>
      <c r="BH155">
        <v>1771105740.0999999</v>
      </c>
      <c r="BI155" t="s">
        <v>564</v>
      </c>
      <c r="BJ155">
        <v>1771105740.0999999</v>
      </c>
      <c r="BK155">
        <v>1771105716.0999999</v>
      </c>
      <c r="BL155">
        <v>20</v>
      </c>
      <c r="BM155">
        <v>3.5999999999999997E-2</v>
      </c>
      <c r="BN155">
        <v>-2.5999999999999999E-2</v>
      </c>
      <c r="BO155">
        <v>-0.69099999999999995</v>
      </c>
      <c r="BP155">
        <v>6.3E-2</v>
      </c>
      <c r="BQ155">
        <v>500</v>
      </c>
      <c r="BR155">
        <v>14</v>
      </c>
      <c r="BS155">
        <v>0.28999999999999998</v>
      </c>
      <c r="BT155">
        <v>0.03</v>
      </c>
      <c r="BU155">
        <v>-41.586089999999999</v>
      </c>
      <c r="BV155">
        <v>185.67</v>
      </c>
      <c r="BW155">
        <v>18.221788336381799</v>
      </c>
      <c r="BX155">
        <v>0</v>
      </c>
      <c r="BY155">
        <v>0</v>
      </c>
      <c r="BZ155">
        <v>0</v>
      </c>
      <c r="CA155">
        <v>0</v>
      </c>
      <c r="CB155">
        <v>-1</v>
      </c>
      <c r="CC155">
        <v>-0.29632195500000003</v>
      </c>
      <c r="CD155">
        <v>6.0677108977443597</v>
      </c>
      <c r="CE155">
        <v>0.58396474248191899</v>
      </c>
      <c r="CF155">
        <v>0</v>
      </c>
      <c r="CG155">
        <v>0</v>
      </c>
      <c r="CH155">
        <v>2</v>
      </c>
      <c r="CI155" t="s">
        <v>290</v>
      </c>
      <c r="CJ155">
        <v>3.5325799999999998</v>
      </c>
      <c r="CK155">
        <v>2.70058</v>
      </c>
      <c r="CL155">
        <v>0.15476599999999999</v>
      </c>
      <c r="CM155">
        <v>0.154751</v>
      </c>
      <c r="CN155">
        <v>9.0309100000000003E-2</v>
      </c>
      <c r="CO155">
        <v>8.6290900000000004E-2</v>
      </c>
      <c r="CP155">
        <v>29608.6</v>
      </c>
      <c r="CQ155">
        <v>26032</v>
      </c>
      <c r="CR155">
        <v>32423.599999999999</v>
      </c>
      <c r="CS155">
        <v>30727.1</v>
      </c>
      <c r="CT155">
        <v>39951.9</v>
      </c>
      <c r="CU155">
        <v>39494</v>
      </c>
      <c r="CV155">
        <v>47363.3</v>
      </c>
      <c r="CW155">
        <v>46875.9</v>
      </c>
      <c r="CX155">
        <v>2.61008</v>
      </c>
      <c r="CY155">
        <v>2.1243400000000001</v>
      </c>
      <c r="CZ155">
        <v>0</v>
      </c>
      <c r="DA155">
        <v>0</v>
      </c>
      <c r="DB155">
        <v>999.9</v>
      </c>
      <c r="DC155">
        <v>999.9</v>
      </c>
      <c r="DD155">
        <v>45.628999999999998</v>
      </c>
      <c r="DE155">
        <v>28.873000000000001</v>
      </c>
      <c r="DF155">
        <v>18.226700000000001</v>
      </c>
      <c r="DG155">
        <v>30.478300000000001</v>
      </c>
      <c r="DH155">
        <v>16.662700000000001</v>
      </c>
      <c r="DI155">
        <v>2</v>
      </c>
      <c r="DJ155">
        <v>-6.5518300000000002E-2</v>
      </c>
      <c r="DK155">
        <v>2.7717999999999998</v>
      </c>
      <c r="DL155">
        <v>20.187000000000001</v>
      </c>
      <c r="DM155">
        <v>5.2503500000000001</v>
      </c>
      <c r="DN155">
        <v>12.033899999999999</v>
      </c>
      <c r="DO155">
        <v>4.9677600000000002</v>
      </c>
      <c r="DP155">
        <v>3.2909999999999999</v>
      </c>
      <c r="DQ155">
        <v>608.4</v>
      </c>
      <c r="DR155">
        <v>9999</v>
      </c>
      <c r="DS155">
        <v>9999</v>
      </c>
      <c r="DT155">
        <v>9999</v>
      </c>
      <c r="DU155">
        <v>1.8711800000000001</v>
      </c>
      <c r="DV155">
        <v>1.8761699999999999</v>
      </c>
      <c r="DW155">
        <v>1.8763700000000001</v>
      </c>
      <c r="DX155">
        <v>1.8828499999999999</v>
      </c>
      <c r="DY155">
        <v>1.87564</v>
      </c>
      <c r="DZ155">
        <v>1.8746799999999999</v>
      </c>
      <c r="EA155">
        <v>1.8708800000000001</v>
      </c>
      <c r="EB155">
        <v>1.8746799999999999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-0.69099999999999995</v>
      </c>
      <c r="EQ155">
        <v>6.2600000000000003E-2</v>
      </c>
      <c r="ER155">
        <v>-0.69120000000003801</v>
      </c>
      <c r="ES155">
        <v>0</v>
      </c>
      <c r="ET155">
        <v>0</v>
      </c>
      <c r="EU155">
        <v>0</v>
      </c>
      <c r="EV155">
        <v>6.2609999999999402E-2</v>
      </c>
      <c r="EW155">
        <v>0</v>
      </c>
      <c r="EX155">
        <v>0</v>
      </c>
      <c r="EY155">
        <v>0</v>
      </c>
      <c r="EZ155">
        <v>-1</v>
      </c>
      <c r="FA155">
        <v>-1</v>
      </c>
      <c r="FB155">
        <v>-1</v>
      </c>
      <c r="FC155">
        <v>-1</v>
      </c>
      <c r="FD155">
        <v>3.8</v>
      </c>
      <c r="FE155">
        <v>4.2</v>
      </c>
      <c r="FF155">
        <v>2.1594199999999999</v>
      </c>
      <c r="FG155">
        <v>2.5915499999999998</v>
      </c>
      <c r="FH155">
        <v>2.19604</v>
      </c>
      <c r="FI155">
        <v>2.5744600000000002</v>
      </c>
      <c r="FJ155">
        <v>2.4462899999999999</v>
      </c>
      <c r="FK155">
        <v>2.32422</v>
      </c>
      <c r="FL155">
        <v>33.132199999999997</v>
      </c>
      <c r="FM155">
        <v>24.14</v>
      </c>
      <c r="FN155">
        <v>19</v>
      </c>
      <c r="FO155">
        <v>863.67</v>
      </c>
      <c r="FP155">
        <v>578.971</v>
      </c>
      <c r="FQ155">
        <v>17.359500000000001</v>
      </c>
      <c r="FR155">
        <v>26.1449</v>
      </c>
      <c r="FS155">
        <v>29.999500000000001</v>
      </c>
      <c r="FT155">
        <v>26.141999999999999</v>
      </c>
      <c r="FU155">
        <v>26.1404</v>
      </c>
      <c r="FV155">
        <v>43.331699999999998</v>
      </c>
      <c r="FW155">
        <v>21.143899999999999</v>
      </c>
      <c r="FX155">
        <v>39.957799999999999</v>
      </c>
      <c r="FY155">
        <v>17.421399999999998</v>
      </c>
      <c r="FZ155">
        <v>800</v>
      </c>
      <c r="GA155">
        <v>15.101599999999999</v>
      </c>
      <c r="GB155">
        <v>99.791399999999996</v>
      </c>
      <c r="GC155">
        <v>99.775300000000001</v>
      </c>
    </row>
    <row r="156" spans="1:185" x14ac:dyDescent="0.2">
      <c r="A156">
        <v>141</v>
      </c>
      <c r="B156">
        <v>1771105983.0999999</v>
      </c>
      <c r="C156">
        <v>2870</v>
      </c>
      <c r="D156" t="s">
        <v>585</v>
      </c>
      <c r="E156" t="s">
        <v>586</v>
      </c>
      <c r="F156">
        <v>15</v>
      </c>
      <c r="G156">
        <v>1771105975.03333</v>
      </c>
      <c r="H156">
        <f t="shared" si="26"/>
        <v>8.4991349890174944E-4</v>
      </c>
      <c r="I156">
        <v>0</v>
      </c>
      <c r="J156">
        <f t="shared" si="38"/>
        <v>0.45232289906222223</v>
      </c>
      <c r="K156">
        <f t="shared" si="27"/>
        <v>8.0881007659307436</v>
      </c>
      <c r="L156">
        <f t="shared" si="28"/>
        <v>73.972374935023154</v>
      </c>
      <c r="M156">
        <f t="shared" si="29"/>
        <v>1.6207415196556858</v>
      </c>
      <c r="N156">
        <f t="shared" si="30"/>
        <v>2.1910091721123384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26210.441686473401</v>
      </c>
      <c r="T156">
        <f t="shared" si="34"/>
        <v>799.99940000000004</v>
      </c>
      <c r="U156">
        <f t="shared" si="35"/>
        <v>674.3993998000708</v>
      </c>
      <c r="V156">
        <f t="shared" si="36"/>
        <v>0.84299988199999998</v>
      </c>
      <c r="W156">
        <f t="shared" si="37"/>
        <v>0.15870009476000002</v>
      </c>
      <c r="X156">
        <v>1</v>
      </c>
      <c r="Y156">
        <v>1771105975.03333</v>
      </c>
      <c r="Z156">
        <v>789.23413333333303</v>
      </c>
      <c r="AA156">
        <v>800.18280000000004</v>
      </c>
      <c r="AB156">
        <v>16.206880000000002</v>
      </c>
      <c r="AC156">
        <v>15.1617</v>
      </c>
      <c r="AD156">
        <v>789.92533333333301</v>
      </c>
      <c r="AE156">
        <v>16.144266666666699</v>
      </c>
      <c r="AF156">
        <v>799.99526666666702</v>
      </c>
      <c r="AG156">
        <v>99.940593333333297</v>
      </c>
      <c r="AH156">
        <v>6.2708946666666696E-2</v>
      </c>
      <c r="AI156">
        <v>18.896726666666702</v>
      </c>
      <c r="AJ156">
        <v>999.9</v>
      </c>
      <c r="AK156">
        <v>999.9</v>
      </c>
      <c r="AL156">
        <v>0</v>
      </c>
      <c r="AM156">
        <v>0</v>
      </c>
      <c r="AN156">
        <v>4999.1000000000004</v>
      </c>
      <c r="AO156">
        <v>0</v>
      </c>
      <c r="AP156">
        <v>1.58087</v>
      </c>
      <c r="AQ156">
        <v>-10.9486926666667</v>
      </c>
      <c r="AR156">
        <v>802.23580000000004</v>
      </c>
      <c r="AS156">
        <v>812.50160000000005</v>
      </c>
      <c r="AT156">
        <v>1.0451831333333299</v>
      </c>
      <c r="AU156">
        <v>800.18280000000004</v>
      </c>
      <c r="AV156">
        <v>15.1617</v>
      </c>
      <c r="AW156">
        <v>1.6197253333333299</v>
      </c>
      <c r="AX156">
        <v>1.51526733333333</v>
      </c>
      <c r="AY156">
        <v>14.1477466666667</v>
      </c>
      <c r="AZ156">
        <v>13.1218733333333</v>
      </c>
      <c r="BA156">
        <v>799.99940000000004</v>
      </c>
      <c r="BB156">
        <v>0.89999813333333301</v>
      </c>
      <c r="BC156">
        <v>0</v>
      </c>
      <c r="BD156">
        <v>0.100001666666667</v>
      </c>
      <c r="BE156">
        <v>0</v>
      </c>
      <c r="BF156">
        <v>25</v>
      </c>
      <c r="BG156">
        <v>13191.0133333333</v>
      </c>
      <c r="BH156">
        <v>1771105740.0999999</v>
      </c>
      <c r="BI156" t="s">
        <v>564</v>
      </c>
      <c r="BJ156">
        <v>1771105740.0999999</v>
      </c>
      <c r="BK156">
        <v>1771105716.0999999</v>
      </c>
      <c r="BL156">
        <v>20</v>
      </c>
      <c r="BM156">
        <v>3.5999999999999997E-2</v>
      </c>
      <c r="BN156">
        <v>-2.5999999999999999E-2</v>
      </c>
      <c r="BO156">
        <v>-0.69099999999999995</v>
      </c>
      <c r="BP156">
        <v>6.3E-2</v>
      </c>
      <c r="BQ156">
        <v>500</v>
      </c>
      <c r="BR156">
        <v>14</v>
      </c>
      <c r="BS156">
        <v>0.28999999999999998</v>
      </c>
      <c r="BT156">
        <v>0.03</v>
      </c>
      <c r="BU156">
        <v>-14.4865935</v>
      </c>
      <c r="BV156">
        <v>60.198900902255602</v>
      </c>
      <c r="BW156">
        <v>5.9081915499358004</v>
      </c>
      <c r="BX156">
        <v>0</v>
      </c>
      <c r="BY156">
        <v>0</v>
      </c>
      <c r="BZ156">
        <v>0</v>
      </c>
      <c r="CA156">
        <v>0</v>
      </c>
      <c r="CB156">
        <v>-1</v>
      </c>
      <c r="CC156">
        <v>0.84398894999999996</v>
      </c>
      <c r="CD156">
        <v>3.42995390977444</v>
      </c>
      <c r="CE156">
        <v>0.33377401387218197</v>
      </c>
      <c r="CF156">
        <v>0</v>
      </c>
      <c r="CG156">
        <v>0</v>
      </c>
      <c r="CH156">
        <v>2</v>
      </c>
      <c r="CI156" t="s">
        <v>290</v>
      </c>
      <c r="CJ156">
        <v>3.5325199999999999</v>
      </c>
      <c r="CK156">
        <v>2.70058</v>
      </c>
      <c r="CL156">
        <v>0.15615499999999999</v>
      </c>
      <c r="CM156">
        <v>0.15471099999999999</v>
      </c>
      <c r="CN156">
        <v>9.0271900000000002E-2</v>
      </c>
      <c r="CO156">
        <v>8.3483699999999994E-2</v>
      </c>
      <c r="CP156">
        <v>29559.8</v>
      </c>
      <c r="CQ156">
        <v>26032.6</v>
      </c>
      <c r="CR156">
        <v>32423.4</v>
      </c>
      <c r="CS156">
        <v>30726.400000000001</v>
      </c>
      <c r="CT156">
        <v>39954.400000000001</v>
      </c>
      <c r="CU156">
        <v>39617.699999999997</v>
      </c>
      <c r="CV156">
        <v>47364</v>
      </c>
      <c r="CW156">
        <v>46874.9</v>
      </c>
      <c r="CX156">
        <v>2.61138</v>
      </c>
      <c r="CY156">
        <v>2.1231800000000001</v>
      </c>
      <c r="CZ156">
        <v>0</v>
      </c>
      <c r="DA156">
        <v>0</v>
      </c>
      <c r="DB156">
        <v>999.9</v>
      </c>
      <c r="DC156">
        <v>999.9</v>
      </c>
      <c r="DD156">
        <v>45.628999999999998</v>
      </c>
      <c r="DE156">
        <v>28.873000000000001</v>
      </c>
      <c r="DF156">
        <v>18.2271</v>
      </c>
      <c r="DG156">
        <v>30.508299999999998</v>
      </c>
      <c r="DH156">
        <v>16.826899999999998</v>
      </c>
      <c r="DI156">
        <v>2</v>
      </c>
      <c r="DJ156">
        <v>-6.6331299999999996E-2</v>
      </c>
      <c r="DK156">
        <v>2.5317799999999999</v>
      </c>
      <c r="DL156">
        <v>20.191099999999999</v>
      </c>
      <c r="DM156">
        <v>5.2510700000000003</v>
      </c>
      <c r="DN156">
        <v>12.033899999999999</v>
      </c>
      <c r="DO156">
        <v>4.9677199999999999</v>
      </c>
      <c r="DP156">
        <v>3.2909999999999999</v>
      </c>
      <c r="DQ156">
        <v>608.4</v>
      </c>
      <c r="DR156">
        <v>9999</v>
      </c>
      <c r="DS156">
        <v>9999</v>
      </c>
      <c r="DT156">
        <v>9999</v>
      </c>
      <c r="DU156">
        <v>1.8711800000000001</v>
      </c>
      <c r="DV156">
        <v>1.87618</v>
      </c>
      <c r="DW156">
        <v>1.8763700000000001</v>
      </c>
      <c r="DX156">
        <v>1.8828499999999999</v>
      </c>
      <c r="DY156">
        <v>1.8756200000000001</v>
      </c>
      <c r="DZ156">
        <v>1.8746799999999999</v>
      </c>
      <c r="EA156">
        <v>1.8708800000000001</v>
      </c>
      <c r="EB156">
        <v>1.87469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-0.69199999999999995</v>
      </c>
      <c r="EQ156">
        <v>6.2600000000000003E-2</v>
      </c>
      <c r="ER156">
        <v>-0.69120000000003801</v>
      </c>
      <c r="ES156">
        <v>0</v>
      </c>
      <c r="ET156">
        <v>0</v>
      </c>
      <c r="EU156">
        <v>0</v>
      </c>
      <c r="EV156">
        <v>6.2609999999999402E-2</v>
      </c>
      <c r="EW156">
        <v>0</v>
      </c>
      <c r="EX156">
        <v>0</v>
      </c>
      <c r="EY156">
        <v>0</v>
      </c>
      <c r="EZ156">
        <v>-1</v>
      </c>
      <c r="FA156">
        <v>-1</v>
      </c>
      <c r="FB156">
        <v>-1</v>
      </c>
      <c r="FC156">
        <v>-1</v>
      </c>
      <c r="FD156">
        <v>4</v>
      </c>
      <c r="FE156">
        <v>4.5</v>
      </c>
      <c r="FF156">
        <v>2.1594199999999999</v>
      </c>
      <c r="FG156">
        <v>2.5988799999999999</v>
      </c>
      <c r="FH156">
        <v>2.19604</v>
      </c>
      <c r="FI156">
        <v>2.5744600000000002</v>
      </c>
      <c r="FJ156">
        <v>2.4462899999999999</v>
      </c>
      <c r="FK156">
        <v>2.2997999999999998</v>
      </c>
      <c r="FL156">
        <v>33.132199999999997</v>
      </c>
      <c r="FM156">
        <v>24.14</v>
      </c>
      <c r="FN156">
        <v>19</v>
      </c>
      <c r="FO156">
        <v>864.86800000000005</v>
      </c>
      <c r="FP156">
        <v>578.07600000000002</v>
      </c>
      <c r="FQ156">
        <v>17.559200000000001</v>
      </c>
      <c r="FR156">
        <v>26.1449</v>
      </c>
      <c r="FS156">
        <v>29.9998</v>
      </c>
      <c r="FT156">
        <v>26.141200000000001</v>
      </c>
      <c r="FU156">
        <v>26.1404</v>
      </c>
      <c r="FV156">
        <v>43.314300000000003</v>
      </c>
      <c r="FW156">
        <v>24.8232</v>
      </c>
      <c r="FX156">
        <v>39.957799999999999</v>
      </c>
      <c r="FY156">
        <v>17.6387</v>
      </c>
      <c r="FZ156">
        <v>800</v>
      </c>
      <c r="GA156">
        <v>14.493399999999999</v>
      </c>
      <c r="GB156">
        <v>99.792199999999994</v>
      </c>
      <c r="GC156">
        <v>99.772999999999996</v>
      </c>
    </row>
    <row r="157" spans="1:185" x14ac:dyDescent="0.2">
      <c r="A157">
        <v>142</v>
      </c>
      <c r="B157">
        <v>1771105998.0999999</v>
      </c>
      <c r="C157">
        <v>2885</v>
      </c>
      <c r="D157" t="s">
        <v>587</v>
      </c>
      <c r="E157" t="s">
        <v>588</v>
      </c>
      <c r="F157">
        <v>15</v>
      </c>
      <c r="G157">
        <v>1771105990.03333</v>
      </c>
      <c r="H157">
        <f t="shared" si="26"/>
        <v>1.2488373894640359E-3</v>
      </c>
      <c r="I157">
        <v>0</v>
      </c>
      <c r="J157">
        <f t="shared" si="38"/>
        <v>0.14970093580380733</v>
      </c>
      <c r="K157">
        <f t="shared" si="27"/>
        <v>2.6768404961270029</v>
      </c>
      <c r="L157">
        <f t="shared" si="28"/>
        <v>73.529950965153546</v>
      </c>
      <c r="M157">
        <f t="shared" si="29"/>
        <v>1.6105784985709874</v>
      </c>
      <c r="N157">
        <f t="shared" si="30"/>
        <v>2.1903706957920508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26235.033795525709</v>
      </c>
      <c r="T157">
        <f t="shared" si="34"/>
        <v>800.00113333333297</v>
      </c>
      <c r="U157">
        <f t="shared" si="35"/>
        <v>674.40089651991605</v>
      </c>
      <c r="V157">
        <f t="shared" si="36"/>
        <v>0.84299992639999966</v>
      </c>
      <c r="W157">
        <f t="shared" si="37"/>
        <v>0.15870010182399993</v>
      </c>
      <c r="X157">
        <v>1</v>
      </c>
      <c r="Y157">
        <v>1771105990.03333</v>
      </c>
      <c r="Z157">
        <v>795.51293333333297</v>
      </c>
      <c r="AA157">
        <v>800.10080000000005</v>
      </c>
      <c r="AB157">
        <v>16.1052866666667</v>
      </c>
      <c r="AC157">
        <v>14.5693866666667</v>
      </c>
      <c r="AD157">
        <v>796.20413333333295</v>
      </c>
      <c r="AE157">
        <v>16.0426866666667</v>
      </c>
      <c r="AF157">
        <v>800.00293333333298</v>
      </c>
      <c r="AG157">
        <v>99.940313333333293</v>
      </c>
      <c r="AH157">
        <v>6.2780799999999998E-2</v>
      </c>
      <c r="AI157">
        <v>18.892060000000001</v>
      </c>
      <c r="AJ157">
        <v>999.9</v>
      </c>
      <c r="AK157">
        <v>999.9</v>
      </c>
      <c r="AL157">
        <v>0</v>
      </c>
      <c r="AM157">
        <v>0</v>
      </c>
      <c r="AN157">
        <v>5003.1000000000004</v>
      </c>
      <c r="AO157">
        <v>0</v>
      </c>
      <c r="AP157">
        <v>1.58087</v>
      </c>
      <c r="AQ157">
        <v>-4.5878206666666701</v>
      </c>
      <c r="AR157">
        <v>808.53459999999995</v>
      </c>
      <c r="AS157">
        <v>811.93</v>
      </c>
      <c r="AT157">
        <v>1.53591266666667</v>
      </c>
      <c r="AU157">
        <v>800.10080000000005</v>
      </c>
      <c r="AV157">
        <v>14.5693866666667</v>
      </c>
      <c r="AW157">
        <v>1.6095693333333301</v>
      </c>
      <c r="AX157">
        <v>1.45606866666667</v>
      </c>
      <c r="AY157">
        <v>14.050646666666699</v>
      </c>
      <c r="AZ157">
        <v>12.513806666666699</v>
      </c>
      <c r="BA157">
        <v>800.00113333333297</v>
      </c>
      <c r="BB157">
        <v>0.89999819999999997</v>
      </c>
      <c r="BC157">
        <v>0</v>
      </c>
      <c r="BD157">
        <v>0.100001653333333</v>
      </c>
      <c r="BE157">
        <v>0</v>
      </c>
      <c r="BF157">
        <v>25</v>
      </c>
      <c r="BG157">
        <v>13191.026666666699</v>
      </c>
      <c r="BH157">
        <v>1771105740.0999999</v>
      </c>
      <c r="BI157" t="s">
        <v>564</v>
      </c>
      <c r="BJ157">
        <v>1771105740.0999999</v>
      </c>
      <c r="BK157">
        <v>1771105716.0999999</v>
      </c>
      <c r="BL157">
        <v>20</v>
      </c>
      <c r="BM157">
        <v>3.5999999999999997E-2</v>
      </c>
      <c r="BN157">
        <v>-2.5999999999999999E-2</v>
      </c>
      <c r="BO157">
        <v>-0.69099999999999995</v>
      </c>
      <c r="BP157">
        <v>6.3E-2</v>
      </c>
      <c r="BQ157">
        <v>500</v>
      </c>
      <c r="BR157">
        <v>14</v>
      </c>
      <c r="BS157">
        <v>0.28999999999999998</v>
      </c>
      <c r="BT157">
        <v>0.03</v>
      </c>
      <c r="BU157">
        <v>-5.7617933333333298</v>
      </c>
      <c r="BV157">
        <v>17.589790129870099</v>
      </c>
      <c r="BW157">
        <v>1.8210666821538399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1.42865714285714</v>
      </c>
      <c r="CD157">
        <v>1.63257584415584</v>
      </c>
      <c r="CE157">
        <v>0.16615210670727401</v>
      </c>
      <c r="CF157">
        <v>0</v>
      </c>
      <c r="CG157">
        <v>0</v>
      </c>
      <c r="CH157">
        <v>2</v>
      </c>
      <c r="CI157" t="s">
        <v>290</v>
      </c>
      <c r="CJ157">
        <v>3.5325000000000002</v>
      </c>
      <c r="CK157">
        <v>2.7009099999999999</v>
      </c>
      <c r="CL157">
        <v>0.15653900000000001</v>
      </c>
      <c r="CM157">
        <v>0.15470300000000001</v>
      </c>
      <c r="CN157">
        <v>8.9545899999999998E-2</v>
      </c>
      <c r="CO157">
        <v>8.1452899999999995E-2</v>
      </c>
      <c r="CP157">
        <v>29546.6</v>
      </c>
      <c r="CQ157">
        <v>26032.9</v>
      </c>
      <c r="CR157">
        <v>32423.7</v>
      </c>
      <c r="CS157">
        <v>30726.6</v>
      </c>
      <c r="CT157">
        <v>39987.5</v>
      </c>
      <c r="CU157">
        <v>39708</v>
      </c>
      <c r="CV157">
        <v>47364.3</v>
      </c>
      <c r="CW157">
        <v>46875.1</v>
      </c>
      <c r="CX157">
        <v>2.6120000000000001</v>
      </c>
      <c r="CY157">
        <v>2.1223399999999999</v>
      </c>
      <c r="CZ157">
        <v>0</v>
      </c>
      <c r="DA157">
        <v>0</v>
      </c>
      <c r="DB157">
        <v>999.9</v>
      </c>
      <c r="DC157">
        <v>999.9</v>
      </c>
      <c r="DD157">
        <v>45.654000000000003</v>
      </c>
      <c r="DE157">
        <v>28.873000000000001</v>
      </c>
      <c r="DF157">
        <v>18.236499999999999</v>
      </c>
      <c r="DG157">
        <v>30.5383</v>
      </c>
      <c r="DH157">
        <v>16.911100000000001</v>
      </c>
      <c r="DI157">
        <v>2</v>
      </c>
      <c r="DJ157">
        <v>-6.7050799999999994E-2</v>
      </c>
      <c r="DK157">
        <v>2.2937699999999999</v>
      </c>
      <c r="DL157">
        <v>20.195399999999999</v>
      </c>
      <c r="DM157">
        <v>5.2511900000000002</v>
      </c>
      <c r="DN157">
        <v>12.033899999999999</v>
      </c>
      <c r="DO157">
        <v>4.9678000000000004</v>
      </c>
      <c r="DP157">
        <v>3.2909999999999999</v>
      </c>
      <c r="DQ157">
        <v>608.4</v>
      </c>
      <c r="DR157">
        <v>9999</v>
      </c>
      <c r="DS157">
        <v>9999</v>
      </c>
      <c r="DT157">
        <v>9999</v>
      </c>
      <c r="DU157">
        <v>1.8711899999999999</v>
      </c>
      <c r="DV157">
        <v>1.87616</v>
      </c>
      <c r="DW157">
        <v>1.8763700000000001</v>
      </c>
      <c r="DX157">
        <v>1.88283</v>
      </c>
      <c r="DY157">
        <v>1.8756200000000001</v>
      </c>
      <c r="DZ157">
        <v>1.87469</v>
      </c>
      <c r="EA157">
        <v>1.8708800000000001</v>
      </c>
      <c r="EB157">
        <v>1.87469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-0.69099999999999995</v>
      </c>
      <c r="EQ157">
        <v>6.2600000000000003E-2</v>
      </c>
      <c r="ER157">
        <v>-0.69120000000003801</v>
      </c>
      <c r="ES157">
        <v>0</v>
      </c>
      <c r="ET157">
        <v>0</v>
      </c>
      <c r="EU157">
        <v>0</v>
      </c>
      <c r="EV157">
        <v>6.2609999999999402E-2</v>
      </c>
      <c r="EW157">
        <v>0</v>
      </c>
      <c r="EX157">
        <v>0</v>
      </c>
      <c r="EY157">
        <v>0</v>
      </c>
      <c r="EZ157">
        <v>-1</v>
      </c>
      <c r="FA157">
        <v>-1</v>
      </c>
      <c r="FB157">
        <v>-1</v>
      </c>
      <c r="FC157">
        <v>-1</v>
      </c>
      <c r="FD157">
        <v>4.3</v>
      </c>
      <c r="FE157">
        <v>4.7</v>
      </c>
      <c r="FF157">
        <v>2.1581999999999999</v>
      </c>
      <c r="FG157">
        <v>2.5988799999999999</v>
      </c>
      <c r="FH157">
        <v>2.19604</v>
      </c>
      <c r="FI157">
        <v>2.5744600000000002</v>
      </c>
      <c r="FJ157">
        <v>2.4462899999999999</v>
      </c>
      <c r="FK157">
        <v>2.2558600000000002</v>
      </c>
      <c r="FL157">
        <v>33.109900000000003</v>
      </c>
      <c r="FM157">
        <v>24.1313</v>
      </c>
      <c r="FN157">
        <v>19</v>
      </c>
      <c r="FO157">
        <v>865.41800000000001</v>
      </c>
      <c r="FP157">
        <v>577.42899999999997</v>
      </c>
      <c r="FQ157">
        <v>17.791399999999999</v>
      </c>
      <c r="FR157">
        <v>26.1449</v>
      </c>
      <c r="FS157">
        <v>29.9999</v>
      </c>
      <c r="FT157">
        <v>26.139399999999998</v>
      </c>
      <c r="FU157">
        <v>26.1404</v>
      </c>
      <c r="FV157">
        <v>43.303400000000003</v>
      </c>
      <c r="FW157">
        <v>26.981100000000001</v>
      </c>
      <c r="FX157">
        <v>39.957799999999999</v>
      </c>
      <c r="FY157">
        <v>17.865400000000001</v>
      </c>
      <c r="FZ157">
        <v>800</v>
      </c>
      <c r="GA157">
        <v>14.112</v>
      </c>
      <c r="GB157">
        <v>99.792900000000003</v>
      </c>
      <c r="GC157">
        <v>99.773600000000002</v>
      </c>
    </row>
    <row r="158" spans="1:185" x14ac:dyDescent="0.2">
      <c r="A158">
        <v>143</v>
      </c>
      <c r="B158">
        <v>1771106013.0999999</v>
      </c>
      <c r="C158">
        <v>2900</v>
      </c>
      <c r="D158" t="s">
        <v>589</v>
      </c>
      <c r="E158" t="s">
        <v>590</v>
      </c>
      <c r="F158">
        <v>15</v>
      </c>
      <c r="G158">
        <v>1771106005.03333</v>
      </c>
      <c r="H158">
        <f t="shared" si="26"/>
        <v>1.428759208234694E-3</v>
      </c>
      <c r="I158">
        <v>0</v>
      </c>
      <c r="J158">
        <f t="shared" si="38"/>
        <v>6.3217303824995255E-2</v>
      </c>
      <c r="K158">
        <f t="shared" si="27"/>
        <v>1.1304046833514045</v>
      </c>
      <c r="L158">
        <f t="shared" si="28"/>
        <v>72.617715155562919</v>
      </c>
      <c r="M158">
        <f t="shared" si="29"/>
        <v>1.5920898565216512</v>
      </c>
      <c r="N158">
        <f t="shared" si="30"/>
        <v>2.1924262600538298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26214.363905203983</v>
      </c>
      <c r="T158">
        <f t="shared" si="34"/>
        <v>799.99953333333303</v>
      </c>
      <c r="U158">
        <f t="shared" si="35"/>
        <v>674.39960020000331</v>
      </c>
      <c r="V158">
        <f t="shared" si="36"/>
        <v>0.84299999199999975</v>
      </c>
      <c r="W158">
        <f t="shared" si="37"/>
        <v>0.15870010991999994</v>
      </c>
      <c r="X158">
        <v>1</v>
      </c>
      <c r="Y158">
        <v>1771106005.03333</v>
      </c>
      <c r="Z158">
        <v>797.22866666666698</v>
      </c>
      <c r="AA158">
        <v>800.06546666666702</v>
      </c>
      <c r="AB158">
        <v>15.920206666666701</v>
      </c>
      <c r="AC158">
        <v>14.162699999999999</v>
      </c>
      <c r="AD158">
        <v>797.91993333333301</v>
      </c>
      <c r="AE158">
        <v>15.8576</v>
      </c>
      <c r="AF158">
        <v>800.00440000000003</v>
      </c>
      <c r="AG158">
        <v>99.941373333333303</v>
      </c>
      <c r="AH158">
        <v>6.2972706666666697E-2</v>
      </c>
      <c r="AI158">
        <v>18.907080000000001</v>
      </c>
      <c r="AJ158">
        <v>999.9</v>
      </c>
      <c r="AK158">
        <v>999.9</v>
      </c>
      <c r="AL158">
        <v>0</v>
      </c>
      <c r="AM158">
        <v>0</v>
      </c>
      <c r="AN158">
        <v>4999.8666666666704</v>
      </c>
      <c r="AO158">
        <v>0</v>
      </c>
      <c r="AP158">
        <v>1.58087</v>
      </c>
      <c r="AQ158">
        <v>-2.8367726666666702</v>
      </c>
      <c r="AR158">
        <v>810.12606666666704</v>
      </c>
      <c r="AS158">
        <v>811.55933333333303</v>
      </c>
      <c r="AT158">
        <v>1.75751866666667</v>
      </c>
      <c r="AU158">
        <v>800.06546666666702</v>
      </c>
      <c r="AV158">
        <v>14.162699999999999</v>
      </c>
      <c r="AW158">
        <v>1.59108933333333</v>
      </c>
      <c r="AX158">
        <v>1.41544133333333</v>
      </c>
      <c r="AY158">
        <v>13.8727066666667</v>
      </c>
      <c r="AZ158">
        <v>12.083693333333301</v>
      </c>
      <c r="BA158">
        <v>799.99953333333303</v>
      </c>
      <c r="BB158">
        <v>0.89999833333333301</v>
      </c>
      <c r="BC158">
        <v>0</v>
      </c>
      <c r="BD158">
        <v>0.1000016</v>
      </c>
      <c r="BE158">
        <v>0</v>
      </c>
      <c r="BF158">
        <v>25</v>
      </c>
      <c r="BG158">
        <v>13191.006666666701</v>
      </c>
      <c r="BH158">
        <v>1771105740.0999999</v>
      </c>
      <c r="BI158" t="s">
        <v>564</v>
      </c>
      <c r="BJ158">
        <v>1771105740.0999999</v>
      </c>
      <c r="BK158">
        <v>1771105716.0999999</v>
      </c>
      <c r="BL158">
        <v>20</v>
      </c>
      <c r="BM158">
        <v>3.5999999999999997E-2</v>
      </c>
      <c r="BN158">
        <v>-2.5999999999999999E-2</v>
      </c>
      <c r="BO158">
        <v>-0.69099999999999995</v>
      </c>
      <c r="BP158">
        <v>6.3E-2</v>
      </c>
      <c r="BQ158">
        <v>500</v>
      </c>
      <c r="BR158">
        <v>14</v>
      </c>
      <c r="BS158">
        <v>0.28999999999999998</v>
      </c>
      <c r="BT158">
        <v>0.03</v>
      </c>
      <c r="BU158">
        <v>-3.1076874999999999</v>
      </c>
      <c r="BV158">
        <v>4.4164479699248096</v>
      </c>
      <c r="BW158">
        <v>0.44204327422634798</v>
      </c>
      <c r="BX158">
        <v>0</v>
      </c>
      <c r="BY158">
        <v>0</v>
      </c>
      <c r="BZ158">
        <v>0</v>
      </c>
      <c r="CA158">
        <v>0</v>
      </c>
      <c r="CB158">
        <v>-1</v>
      </c>
      <c r="CC158">
        <v>1.7186025</v>
      </c>
      <c r="CD158">
        <v>0.72251052631579205</v>
      </c>
      <c r="CE158">
        <v>6.9676360975226004E-2</v>
      </c>
      <c r="CF158">
        <v>0</v>
      </c>
      <c r="CG158">
        <v>0</v>
      </c>
      <c r="CH158">
        <v>2</v>
      </c>
      <c r="CI158" t="s">
        <v>290</v>
      </c>
      <c r="CJ158">
        <v>3.5325700000000002</v>
      </c>
      <c r="CK158">
        <v>2.7006800000000002</v>
      </c>
      <c r="CL158">
        <v>0.156641</v>
      </c>
      <c r="CM158">
        <v>0.154694</v>
      </c>
      <c r="CN158">
        <v>8.8755500000000001E-2</v>
      </c>
      <c r="CO158">
        <v>8.0084900000000001E-2</v>
      </c>
      <c r="CP158">
        <v>29543</v>
      </c>
      <c r="CQ158">
        <v>26032.9</v>
      </c>
      <c r="CR158">
        <v>32423.7</v>
      </c>
      <c r="CS158">
        <v>30726.2</v>
      </c>
      <c r="CT158">
        <v>40023.4</v>
      </c>
      <c r="CU158">
        <v>39768.1</v>
      </c>
      <c r="CV158">
        <v>47364.5</v>
      </c>
      <c r="CW158">
        <v>46874.6</v>
      </c>
      <c r="CX158">
        <v>2.6125799999999999</v>
      </c>
      <c r="CY158">
        <v>2.1215600000000001</v>
      </c>
      <c r="CZ158">
        <v>0</v>
      </c>
      <c r="DA158">
        <v>0</v>
      </c>
      <c r="DB158">
        <v>999.9</v>
      </c>
      <c r="DC158">
        <v>999.9</v>
      </c>
      <c r="DD158">
        <v>45.628999999999998</v>
      </c>
      <c r="DE158">
        <v>28.873000000000001</v>
      </c>
      <c r="DF158">
        <v>18.227799999999998</v>
      </c>
      <c r="DG158">
        <v>30.328299999999999</v>
      </c>
      <c r="DH158">
        <v>16.895</v>
      </c>
      <c r="DI158">
        <v>2</v>
      </c>
      <c r="DJ158">
        <v>-6.7613800000000002E-2</v>
      </c>
      <c r="DK158">
        <v>2.1561699999999999</v>
      </c>
      <c r="DL158">
        <v>20.196300000000001</v>
      </c>
      <c r="DM158">
        <v>5.2508299999999997</v>
      </c>
      <c r="DN158">
        <v>12.033899999999999</v>
      </c>
      <c r="DO158">
        <v>4.9670399999999999</v>
      </c>
      <c r="DP158">
        <v>3.2909999999999999</v>
      </c>
      <c r="DQ158">
        <v>608.5</v>
      </c>
      <c r="DR158">
        <v>9999</v>
      </c>
      <c r="DS158">
        <v>9999</v>
      </c>
      <c r="DT158">
        <v>9999</v>
      </c>
      <c r="DU158">
        <v>1.87117</v>
      </c>
      <c r="DV158">
        <v>1.8761699999999999</v>
      </c>
      <c r="DW158">
        <v>1.8763700000000001</v>
      </c>
      <c r="DX158">
        <v>1.8828</v>
      </c>
      <c r="DY158">
        <v>1.8756200000000001</v>
      </c>
      <c r="DZ158">
        <v>1.87469</v>
      </c>
      <c r="EA158">
        <v>1.8708800000000001</v>
      </c>
      <c r="EB158">
        <v>1.87469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-0.69099999999999995</v>
      </c>
      <c r="EQ158">
        <v>6.2700000000000006E-2</v>
      </c>
      <c r="ER158">
        <v>-0.69120000000003801</v>
      </c>
      <c r="ES158">
        <v>0</v>
      </c>
      <c r="ET158">
        <v>0</v>
      </c>
      <c r="EU158">
        <v>0</v>
      </c>
      <c r="EV158">
        <v>6.2609999999999402E-2</v>
      </c>
      <c r="EW158">
        <v>0</v>
      </c>
      <c r="EX158">
        <v>0</v>
      </c>
      <c r="EY158">
        <v>0</v>
      </c>
      <c r="EZ158">
        <v>-1</v>
      </c>
      <c r="FA158">
        <v>-1</v>
      </c>
      <c r="FB158">
        <v>-1</v>
      </c>
      <c r="FC158">
        <v>-1</v>
      </c>
      <c r="FD158">
        <v>4.5</v>
      </c>
      <c r="FE158">
        <v>5</v>
      </c>
      <c r="FF158">
        <v>2.1581999999999999</v>
      </c>
      <c r="FG158">
        <v>2.5903299999999998</v>
      </c>
      <c r="FH158">
        <v>2.19604</v>
      </c>
      <c r="FI158">
        <v>2.5756800000000002</v>
      </c>
      <c r="FJ158">
        <v>2.4462899999999999</v>
      </c>
      <c r="FK158">
        <v>2.3107899999999999</v>
      </c>
      <c r="FL158">
        <v>33.132199999999997</v>
      </c>
      <c r="FM158">
        <v>24.14</v>
      </c>
      <c r="FN158">
        <v>19</v>
      </c>
      <c r="FO158">
        <v>865.952</v>
      </c>
      <c r="FP158">
        <v>576.82799999999997</v>
      </c>
      <c r="FQ158">
        <v>18.0032</v>
      </c>
      <c r="FR158">
        <v>26.1449</v>
      </c>
      <c r="FS158">
        <v>29.9999</v>
      </c>
      <c r="FT158">
        <v>26.138999999999999</v>
      </c>
      <c r="FU158">
        <v>26.1404</v>
      </c>
      <c r="FV158">
        <v>43.294899999999998</v>
      </c>
      <c r="FW158">
        <v>28.147099999999998</v>
      </c>
      <c r="FX158">
        <v>39.582500000000003</v>
      </c>
      <c r="FY158">
        <v>18.060300000000002</v>
      </c>
      <c r="FZ158">
        <v>800</v>
      </c>
      <c r="GA158">
        <v>13.8668</v>
      </c>
      <c r="GB158">
        <v>99.793099999999995</v>
      </c>
      <c r="GC158">
        <v>99.772400000000005</v>
      </c>
    </row>
    <row r="159" spans="1:185" x14ac:dyDescent="0.2">
      <c r="A159">
        <v>144</v>
      </c>
      <c r="B159">
        <v>1771106028.0999999</v>
      </c>
      <c r="C159">
        <v>2915</v>
      </c>
      <c r="D159" t="s">
        <v>591</v>
      </c>
      <c r="E159" t="s">
        <v>592</v>
      </c>
      <c r="F159">
        <v>15</v>
      </c>
      <c r="G159">
        <v>1771106020.03333</v>
      </c>
      <c r="H159">
        <f t="shared" si="26"/>
        <v>1.4900941668049314E-3</v>
      </c>
      <c r="I159">
        <v>0</v>
      </c>
      <c r="J159">
        <f t="shared" si="38"/>
        <v>4.0231021806641391E-2</v>
      </c>
      <c r="K159">
        <f t="shared" si="27"/>
        <v>0.71938113008006521</v>
      </c>
      <c r="L159">
        <f t="shared" si="28"/>
        <v>71.67701570768493</v>
      </c>
      <c r="M159">
        <f t="shared" si="29"/>
        <v>1.5745936823865117</v>
      </c>
      <c r="N159">
        <f t="shared" si="30"/>
        <v>2.1967902358101243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26222.157424434186</v>
      </c>
      <c r="T159">
        <f t="shared" si="34"/>
        <v>800.00059999999996</v>
      </c>
      <c r="U159">
        <f t="shared" si="35"/>
        <v>674.40044819995683</v>
      </c>
      <c r="V159">
        <f t="shared" si="36"/>
        <v>0.84299992800000001</v>
      </c>
      <c r="W159">
        <f t="shared" si="37"/>
        <v>0.15870020975999999</v>
      </c>
      <c r="X159">
        <v>1</v>
      </c>
      <c r="Y159">
        <v>1771106020.03333</v>
      </c>
      <c r="Z159">
        <v>797.68293333333304</v>
      </c>
      <c r="AA159">
        <v>800.06793333333303</v>
      </c>
      <c r="AB159">
        <v>15.7452466666667</v>
      </c>
      <c r="AC159">
        <v>13.911960000000001</v>
      </c>
      <c r="AD159">
        <v>798.37406666666698</v>
      </c>
      <c r="AE159">
        <v>15.682639999999999</v>
      </c>
      <c r="AF159">
        <v>800.00160000000005</v>
      </c>
      <c r="AG159">
        <v>99.941166666666703</v>
      </c>
      <c r="AH159">
        <v>6.3216606666666703E-2</v>
      </c>
      <c r="AI159">
        <v>18.938926666666699</v>
      </c>
      <c r="AJ159">
        <v>999.9</v>
      </c>
      <c r="AK159">
        <v>999.9</v>
      </c>
      <c r="AL159">
        <v>0</v>
      </c>
      <c r="AM159">
        <v>0</v>
      </c>
      <c r="AN159">
        <v>5001.6333333333296</v>
      </c>
      <c r="AO159">
        <v>0</v>
      </c>
      <c r="AP159">
        <v>1.58087</v>
      </c>
      <c r="AQ159">
        <v>-2.3850099999999999</v>
      </c>
      <c r="AR159">
        <v>810.4434</v>
      </c>
      <c r="AS159">
        <v>811.35533333333296</v>
      </c>
      <c r="AT159">
        <v>1.83327533333333</v>
      </c>
      <c r="AU159">
        <v>800.06793333333303</v>
      </c>
      <c r="AV159">
        <v>13.911960000000001</v>
      </c>
      <c r="AW159">
        <v>1.5735980000000001</v>
      </c>
      <c r="AX159">
        <v>1.39037733333333</v>
      </c>
      <c r="AY159">
        <v>13.7026133333333</v>
      </c>
      <c r="AZ159">
        <v>11.812993333333299</v>
      </c>
      <c r="BA159">
        <v>800.00059999999996</v>
      </c>
      <c r="BB159">
        <v>0.89999660000000004</v>
      </c>
      <c r="BC159">
        <v>0</v>
      </c>
      <c r="BD159">
        <v>0.1000032</v>
      </c>
      <c r="BE159">
        <v>0</v>
      </c>
      <c r="BF159">
        <v>25</v>
      </c>
      <c r="BG159">
        <v>13191.026666666699</v>
      </c>
      <c r="BH159">
        <v>1771105740.0999999</v>
      </c>
      <c r="BI159" t="s">
        <v>564</v>
      </c>
      <c r="BJ159">
        <v>1771105740.0999999</v>
      </c>
      <c r="BK159">
        <v>1771105716.0999999</v>
      </c>
      <c r="BL159">
        <v>20</v>
      </c>
      <c r="BM159">
        <v>3.5999999999999997E-2</v>
      </c>
      <c r="BN159">
        <v>-2.5999999999999999E-2</v>
      </c>
      <c r="BO159">
        <v>-0.69099999999999995</v>
      </c>
      <c r="BP159">
        <v>6.3E-2</v>
      </c>
      <c r="BQ159">
        <v>500</v>
      </c>
      <c r="BR159">
        <v>14</v>
      </c>
      <c r="BS159">
        <v>0.28999999999999998</v>
      </c>
      <c r="BT159">
        <v>0.03</v>
      </c>
      <c r="BU159">
        <v>-2.4755452380952399</v>
      </c>
      <c r="BV159">
        <v>1.3389490909091</v>
      </c>
      <c r="BW159">
        <v>0.143149920600049</v>
      </c>
      <c r="BX159">
        <v>0</v>
      </c>
      <c r="BY159">
        <v>0</v>
      </c>
      <c r="BZ159">
        <v>0</v>
      </c>
      <c r="CA159">
        <v>0</v>
      </c>
      <c r="CB159">
        <v>-1</v>
      </c>
      <c r="CC159">
        <v>1.8238771428571401</v>
      </c>
      <c r="CD159">
        <v>0.15555038961039</v>
      </c>
      <c r="CE159">
        <v>1.7812232859913499E-2</v>
      </c>
      <c r="CF159">
        <v>0</v>
      </c>
      <c r="CG159">
        <v>0</v>
      </c>
      <c r="CH159">
        <v>2</v>
      </c>
      <c r="CI159" t="s">
        <v>290</v>
      </c>
      <c r="CJ159">
        <v>3.5325299999999999</v>
      </c>
      <c r="CK159">
        <v>2.7011699999999998</v>
      </c>
      <c r="CL159">
        <v>0.15665799999999999</v>
      </c>
      <c r="CM159">
        <v>0.15468699999999999</v>
      </c>
      <c r="CN159">
        <v>8.8150599999999996E-2</v>
      </c>
      <c r="CO159">
        <v>7.9342800000000005E-2</v>
      </c>
      <c r="CP159">
        <v>29542.1</v>
      </c>
      <c r="CQ159">
        <v>26032.7</v>
      </c>
      <c r="CR159">
        <v>32423.4</v>
      </c>
      <c r="CS159">
        <v>30725.8</v>
      </c>
      <c r="CT159">
        <v>40050.199999999997</v>
      </c>
      <c r="CU159">
        <v>39800.699999999997</v>
      </c>
      <c r="CV159">
        <v>47363.8</v>
      </c>
      <c r="CW159">
        <v>46874.2</v>
      </c>
      <c r="CX159">
        <v>2.6125600000000002</v>
      </c>
      <c r="CY159">
        <v>2.1209199999999999</v>
      </c>
      <c r="CZ159">
        <v>0</v>
      </c>
      <c r="DA159">
        <v>0</v>
      </c>
      <c r="DB159">
        <v>999.9</v>
      </c>
      <c r="DC159">
        <v>999.9</v>
      </c>
      <c r="DD159">
        <v>45.604999999999997</v>
      </c>
      <c r="DE159">
        <v>28.873000000000001</v>
      </c>
      <c r="DF159">
        <v>18.217400000000001</v>
      </c>
      <c r="DG159">
        <v>30.508299999999998</v>
      </c>
      <c r="DH159">
        <v>16.822900000000001</v>
      </c>
      <c r="DI159">
        <v>2</v>
      </c>
      <c r="DJ159">
        <v>-6.74207E-2</v>
      </c>
      <c r="DK159">
        <v>2.1247099999999999</v>
      </c>
      <c r="DL159">
        <v>20.197500000000002</v>
      </c>
      <c r="DM159">
        <v>5.2515499999999999</v>
      </c>
      <c r="DN159">
        <v>12.033899999999999</v>
      </c>
      <c r="DO159">
        <v>4.9676799999999997</v>
      </c>
      <c r="DP159">
        <v>3.2909999999999999</v>
      </c>
      <c r="DQ159">
        <v>608.5</v>
      </c>
      <c r="DR159">
        <v>9999</v>
      </c>
      <c r="DS159">
        <v>9999</v>
      </c>
      <c r="DT159">
        <v>9999</v>
      </c>
      <c r="DU159">
        <v>1.87117</v>
      </c>
      <c r="DV159">
        <v>1.87616</v>
      </c>
      <c r="DW159">
        <v>1.87636</v>
      </c>
      <c r="DX159">
        <v>1.8828199999999999</v>
      </c>
      <c r="DY159">
        <v>1.87564</v>
      </c>
      <c r="DZ159">
        <v>1.87469</v>
      </c>
      <c r="EA159">
        <v>1.8708800000000001</v>
      </c>
      <c r="EB159">
        <v>1.8746799999999999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-0.69199999999999995</v>
      </c>
      <c r="EQ159">
        <v>6.2600000000000003E-2</v>
      </c>
      <c r="ER159">
        <v>-0.69120000000003801</v>
      </c>
      <c r="ES159">
        <v>0</v>
      </c>
      <c r="ET159">
        <v>0</v>
      </c>
      <c r="EU159">
        <v>0</v>
      </c>
      <c r="EV159">
        <v>6.2609999999999402E-2</v>
      </c>
      <c r="EW159">
        <v>0</v>
      </c>
      <c r="EX159">
        <v>0</v>
      </c>
      <c r="EY159">
        <v>0</v>
      </c>
      <c r="EZ159">
        <v>-1</v>
      </c>
      <c r="FA159">
        <v>-1</v>
      </c>
      <c r="FB159">
        <v>-1</v>
      </c>
      <c r="FC159">
        <v>-1</v>
      </c>
      <c r="FD159">
        <v>4.8</v>
      </c>
      <c r="FE159">
        <v>5.2</v>
      </c>
      <c r="FF159">
        <v>2.1569799999999999</v>
      </c>
      <c r="FG159">
        <v>2.5939899999999998</v>
      </c>
      <c r="FH159">
        <v>2.19604</v>
      </c>
      <c r="FI159">
        <v>2.5744600000000002</v>
      </c>
      <c r="FJ159">
        <v>2.4462899999999999</v>
      </c>
      <c r="FK159">
        <v>2.2900399999999999</v>
      </c>
      <c r="FL159">
        <v>33.132199999999997</v>
      </c>
      <c r="FM159">
        <v>24.14</v>
      </c>
      <c r="FN159">
        <v>19</v>
      </c>
      <c r="FO159">
        <v>865.93399999999997</v>
      </c>
      <c r="FP159">
        <v>576.33600000000001</v>
      </c>
      <c r="FQ159">
        <v>18.161100000000001</v>
      </c>
      <c r="FR159">
        <v>26.1449</v>
      </c>
      <c r="FS159">
        <v>30.0001</v>
      </c>
      <c r="FT159">
        <v>26.138999999999999</v>
      </c>
      <c r="FU159">
        <v>26.1404</v>
      </c>
      <c r="FV159">
        <v>43.287199999999999</v>
      </c>
      <c r="FW159">
        <v>29.009</v>
      </c>
      <c r="FX159">
        <v>39.582500000000003</v>
      </c>
      <c r="FY159">
        <v>18.188199999999998</v>
      </c>
      <c r="FZ159">
        <v>800</v>
      </c>
      <c r="GA159">
        <v>13.707000000000001</v>
      </c>
      <c r="GB159">
        <v>99.792000000000002</v>
      </c>
      <c r="GC159">
        <v>99.7714</v>
      </c>
    </row>
    <row r="160" spans="1:185" x14ac:dyDescent="0.2">
      <c r="A160">
        <v>145</v>
      </c>
      <c r="B160">
        <v>1771106043.0999999</v>
      </c>
      <c r="C160">
        <v>2930</v>
      </c>
      <c r="D160" t="s">
        <v>593</v>
      </c>
      <c r="E160" t="s">
        <v>594</v>
      </c>
      <c r="F160">
        <v>15</v>
      </c>
      <c r="G160">
        <v>1771106035.03333</v>
      </c>
      <c r="H160">
        <f t="shared" si="26"/>
        <v>1.5222146970957037E-3</v>
      </c>
      <c r="I160">
        <v>0</v>
      </c>
      <c r="J160">
        <f t="shared" si="38"/>
        <v>3.2604466634739204E-2</v>
      </c>
      <c r="K160">
        <f t="shared" si="27"/>
        <v>0.5830087579203489</v>
      </c>
      <c r="L160">
        <f t="shared" si="28"/>
        <v>70.91259816987791</v>
      </c>
      <c r="M160">
        <f t="shared" si="29"/>
        <v>1.5618456786564769</v>
      </c>
      <c r="N160">
        <f t="shared" si="30"/>
        <v>2.2024939417886316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26229.480016182159</v>
      </c>
      <c r="T160">
        <f t="shared" si="34"/>
        <v>799.99953333333303</v>
      </c>
      <c r="U160">
        <f t="shared" si="35"/>
        <v>674.39954420003608</v>
      </c>
      <c r="V160">
        <f t="shared" si="36"/>
        <v>0.84299992199999996</v>
      </c>
      <c r="W160">
        <f t="shared" si="37"/>
        <v>0.15870019476</v>
      </c>
      <c r="X160">
        <v>1</v>
      </c>
      <c r="Y160">
        <v>1771106035.03333</v>
      </c>
      <c r="Z160">
        <v>797.78599999999994</v>
      </c>
      <c r="AA160">
        <v>800.032733333333</v>
      </c>
      <c r="AB160">
        <v>15.617793333333299</v>
      </c>
      <c r="AC160">
        <v>13.744766666666701</v>
      </c>
      <c r="AD160">
        <v>798.47726666666699</v>
      </c>
      <c r="AE160">
        <v>15.55518</v>
      </c>
      <c r="AF160">
        <v>800.010533333333</v>
      </c>
      <c r="AG160">
        <v>99.940953333333297</v>
      </c>
      <c r="AH160">
        <v>6.3294726666666606E-2</v>
      </c>
      <c r="AI160">
        <v>18.9804666666667</v>
      </c>
      <c r="AJ160">
        <v>999.9</v>
      </c>
      <c r="AK160">
        <v>999.9</v>
      </c>
      <c r="AL160">
        <v>0</v>
      </c>
      <c r="AM160">
        <v>0</v>
      </c>
      <c r="AN160">
        <v>5003.4666666666699</v>
      </c>
      <c r="AO160">
        <v>0</v>
      </c>
      <c r="AP160">
        <v>1.58087</v>
      </c>
      <c r="AQ160">
        <v>-2.2467160000000002</v>
      </c>
      <c r="AR160">
        <v>810.44333333333304</v>
      </c>
      <c r="AS160">
        <v>811.18213333333301</v>
      </c>
      <c r="AT160">
        <v>1.87301933333333</v>
      </c>
      <c r="AU160">
        <v>800.032733333333</v>
      </c>
      <c r="AV160">
        <v>13.744766666666701</v>
      </c>
      <c r="AW160">
        <v>1.5608553333333299</v>
      </c>
      <c r="AX160">
        <v>1.3736646666666701</v>
      </c>
      <c r="AY160">
        <v>13.5776733333333</v>
      </c>
      <c r="AZ160">
        <v>11.629906666666701</v>
      </c>
      <c r="BA160">
        <v>799.99953333333303</v>
      </c>
      <c r="BB160">
        <v>0.89999680000000004</v>
      </c>
      <c r="BC160">
        <v>0</v>
      </c>
      <c r="BD160">
        <v>0.10000299999999999</v>
      </c>
      <c r="BE160">
        <v>0</v>
      </c>
      <c r="BF160">
        <v>25</v>
      </c>
      <c r="BG160">
        <v>13190.993333333299</v>
      </c>
      <c r="BH160">
        <v>1771105740.0999999</v>
      </c>
      <c r="BI160" t="s">
        <v>564</v>
      </c>
      <c r="BJ160">
        <v>1771105740.0999999</v>
      </c>
      <c r="BK160">
        <v>1771105716.0999999</v>
      </c>
      <c r="BL160">
        <v>20</v>
      </c>
      <c r="BM160">
        <v>3.5999999999999997E-2</v>
      </c>
      <c r="BN160">
        <v>-2.5999999999999999E-2</v>
      </c>
      <c r="BO160">
        <v>-0.69099999999999995</v>
      </c>
      <c r="BP160">
        <v>6.3E-2</v>
      </c>
      <c r="BQ160">
        <v>500</v>
      </c>
      <c r="BR160">
        <v>14</v>
      </c>
      <c r="BS160">
        <v>0.28999999999999998</v>
      </c>
      <c r="BT160">
        <v>0.03</v>
      </c>
      <c r="BU160">
        <v>-2.2645140000000001</v>
      </c>
      <c r="BV160">
        <v>0.48630586466165099</v>
      </c>
      <c r="BW160">
        <v>6.0263443429661397E-2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1.8627590000000001</v>
      </c>
      <c r="CD160">
        <v>0.15440210526315101</v>
      </c>
      <c r="CE160">
        <v>1.6504930445173E-2</v>
      </c>
      <c r="CF160">
        <v>0</v>
      </c>
      <c r="CG160">
        <v>1</v>
      </c>
      <c r="CH160">
        <v>2</v>
      </c>
      <c r="CI160" t="s">
        <v>299</v>
      </c>
      <c r="CJ160">
        <v>3.53247</v>
      </c>
      <c r="CK160">
        <v>2.7010000000000001</v>
      </c>
      <c r="CL160">
        <v>0.15665599999999999</v>
      </c>
      <c r="CM160">
        <v>0.15467500000000001</v>
      </c>
      <c r="CN160">
        <v>8.76001E-2</v>
      </c>
      <c r="CO160">
        <v>7.8579499999999997E-2</v>
      </c>
      <c r="CP160">
        <v>29542.3</v>
      </c>
      <c r="CQ160">
        <v>26032.799999999999</v>
      </c>
      <c r="CR160">
        <v>32423.599999999999</v>
      </c>
      <c r="CS160">
        <v>30725.5</v>
      </c>
      <c r="CT160">
        <v>40075.300000000003</v>
      </c>
      <c r="CU160">
        <v>39834.300000000003</v>
      </c>
      <c r="CV160">
        <v>47364.1</v>
      </c>
      <c r="CW160">
        <v>46874</v>
      </c>
      <c r="CX160">
        <v>2.6128800000000001</v>
      </c>
      <c r="CY160">
        <v>2.1206200000000002</v>
      </c>
      <c r="CZ160">
        <v>0</v>
      </c>
      <c r="DA160">
        <v>0</v>
      </c>
      <c r="DB160">
        <v>999.9</v>
      </c>
      <c r="DC160">
        <v>999.9</v>
      </c>
      <c r="DD160">
        <v>45.531999999999996</v>
      </c>
      <c r="DE160">
        <v>28.882999999999999</v>
      </c>
      <c r="DF160">
        <v>18.1982</v>
      </c>
      <c r="DG160">
        <v>30.4483</v>
      </c>
      <c r="DH160">
        <v>17.043299999999999</v>
      </c>
      <c r="DI160">
        <v>2</v>
      </c>
      <c r="DJ160">
        <v>-6.6951200000000002E-2</v>
      </c>
      <c r="DK160">
        <v>2.2101099999999998</v>
      </c>
      <c r="DL160">
        <v>20.195900000000002</v>
      </c>
      <c r="DM160">
        <v>5.24796</v>
      </c>
      <c r="DN160">
        <v>12.033899999999999</v>
      </c>
      <c r="DO160">
        <v>4.9672000000000001</v>
      </c>
      <c r="DP160">
        <v>3.2906</v>
      </c>
      <c r="DQ160">
        <v>608.5</v>
      </c>
      <c r="DR160">
        <v>9999</v>
      </c>
      <c r="DS160">
        <v>9999</v>
      </c>
      <c r="DT160">
        <v>9999</v>
      </c>
      <c r="DU160">
        <v>1.8711899999999999</v>
      </c>
      <c r="DV160">
        <v>1.8762000000000001</v>
      </c>
      <c r="DW160">
        <v>1.8763700000000001</v>
      </c>
      <c r="DX160">
        <v>1.8828800000000001</v>
      </c>
      <c r="DY160">
        <v>1.8756299999999999</v>
      </c>
      <c r="DZ160">
        <v>1.8747</v>
      </c>
      <c r="EA160">
        <v>1.8708800000000001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-0.69099999999999995</v>
      </c>
      <c r="EQ160">
        <v>6.2600000000000003E-2</v>
      </c>
      <c r="ER160">
        <v>-0.69120000000003801</v>
      </c>
      <c r="ES160">
        <v>0</v>
      </c>
      <c r="ET160">
        <v>0</v>
      </c>
      <c r="EU160">
        <v>0</v>
      </c>
      <c r="EV160">
        <v>6.2609999999999402E-2</v>
      </c>
      <c r="EW160">
        <v>0</v>
      </c>
      <c r="EX160">
        <v>0</v>
      </c>
      <c r="EY160">
        <v>0</v>
      </c>
      <c r="EZ160">
        <v>-1</v>
      </c>
      <c r="FA160">
        <v>-1</v>
      </c>
      <c r="FB160">
        <v>-1</v>
      </c>
      <c r="FC160">
        <v>-1</v>
      </c>
      <c r="FD160">
        <v>5</v>
      </c>
      <c r="FE160">
        <v>5.5</v>
      </c>
      <c r="FF160">
        <v>2.1569799999999999</v>
      </c>
      <c r="FG160">
        <v>2.5988799999999999</v>
      </c>
      <c r="FH160">
        <v>2.19604</v>
      </c>
      <c r="FI160">
        <v>2.5756800000000002</v>
      </c>
      <c r="FJ160">
        <v>2.4462899999999999</v>
      </c>
      <c r="FK160">
        <v>2.2778299999999998</v>
      </c>
      <c r="FL160">
        <v>33.132199999999997</v>
      </c>
      <c r="FM160">
        <v>24.1313</v>
      </c>
      <c r="FN160">
        <v>19</v>
      </c>
      <c r="FO160">
        <v>866.25300000000004</v>
      </c>
      <c r="FP160">
        <v>576.10500000000002</v>
      </c>
      <c r="FQ160">
        <v>18.232900000000001</v>
      </c>
      <c r="FR160">
        <v>26.1431</v>
      </c>
      <c r="FS160">
        <v>30.0001</v>
      </c>
      <c r="FT160">
        <v>26.1403</v>
      </c>
      <c r="FU160">
        <v>26.1404</v>
      </c>
      <c r="FV160">
        <v>43.286499999999997</v>
      </c>
      <c r="FW160">
        <v>29.009</v>
      </c>
      <c r="FX160">
        <v>39.208100000000002</v>
      </c>
      <c r="FY160">
        <v>18.2288</v>
      </c>
      <c r="FZ160">
        <v>800</v>
      </c>
      <c r="GA160">
        <v>13.725300000000001</v>
      </c>
      <c r="GB160">
        <v>99.792400000000001</v>
      </c>
      <c r="GC160">
        <v>99.770700000000005</v>
      </c>
    </row>
    <row r="161" spans="1:185" x14ac:dyDescent="0.2">
      <c r="A161">
        <v>146</v>
      </c>
      <c r="B161">
        <v>1771106058.0999999</v>
      </c>
      <c r="C161">
        <v>2945</v>
      </c>
      <c r="D161" t="s">
        <v>595</v>
      </c>
      <c r="E161" t="s">
        <v>596</v>
      </c>
      <c r="F161">
        <v>15</v>
      </c>
      <c r="G161">
        <v>1771106050.03333</v>
      </c>
      <c r="H161">
        <f t="shared" si="26"/>
        <v>1.4979184353341702E-3</v>
      </c>
      <c r="I161">
        <v>0</v>
      </c>
      <c r="J161">
        <f t="shared" si="38"/>
        <v>3.3928896666372013E-2</v>
      </c>
      <c r="K161">
        <f t="shared" si="27"/>
        <v>0.60669122806607856</v>
      </c>
      <c r="L161">
        <f t="shared" si="28"/>
        <v>70.242503741513787</v>
      </c>
      <c r="M161">
        <f t="shared" si="29"/>
        <v>1.5502510016543958</v>
      </c>
      <c r="N161">
        <f t="shared" si="30"/>
        <v>2.2069984967494647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26156.336214025392</v>
      </c>
      <c r="T161">
        <f t="shared" si="34"/>
        <v>799.99980000000005</v>
      </c>
      <c r="U161">
        <f t="shared" si="35"/>
        <v>674.39986659999124</v>
      </c>
      <c r="V161">
        <f t="shared" si="36"/>
        <v>0.84300004399999995</v>
      </c>
      <c r="W161">
        <f t="shared" si="37"/>
        <v>0.15870011000000003</v>
      </c>
      <c r="X161">
        <v>1</v>
      </c>
      <c r="Y161">
        <v>1771106050.03333</v>
      </c>
      <c r="Z161">
        <v>797.73839999999996</v>
      </c>
      <c r="AA161">
        <v>799.99040000000002</v>
      </c>
      <c r="AB161">
        <v>15.501799999999999</v>
      </c>
      <c r="AC161">
        <v>13.658466666666699</v>
      </c>
      <c r="AD161">
        <v>798.42973333333305</v>
      </c>
      <c r="AE161">
        <v>15.4391933333333</v>
      </c>
      <c r="AF161">
        <v>800.01700000000005</v>
      </c>
      <c r="AG161">
        <v>99.941299999999998</v>
      </c>
      <c r="AH161">
        <v>6.3280219999999998E-2</v>
      </c>
      <c r="AI161">
        <v>19.013206666666701</v>
      </c>
      <c r="AJ161">
        <v>999.9</v>
      </c>
      <c r="AK161">
        <v>999.9</v>
      </c>
      <c r="AL161">
        <v>0</v>
      </c>
      <c r="AM161">
        <v>0</v>
      </c>
      <c r="AN161">
        <v>4991.8666666666704</v>
      </c>
      <c r="AO161">
        <v>0</v>
      </c>
      <c r="AP161">
        <v>1.58087</v>
      </c>
      <c r="AQ161">
        <v>-2.2518946666666699</v>
      </c>
      <c r="AR161">
        <v>810.29973333333305</v>
      </c>
      <c r="AS161">
        <v>811.0684</v>
      </c>
      <c r="AT161">
        <v>1.8433326666666701</v>
      </c>
      <c r="AU161">
        <v>799.99040000000002</v>
      </c>
      <c r="AV161">
        <v>13.658466666666699</v>
      </c>
      <c r="AW161">
        <v>1.5492693333333301</v>
      </c>
      <c r="AX161">
        <v>1.36504466666667</v>
      </c>
      <c r="AY161">
        <v>13.4632666666667</v>
      </c>
      <c r="AZ161">
        <v>11.53478</v>
      </c>
      <c r="BA161">
        <v>799.99980000000005</v>
      </c>
      <c r="BB161">
        <v>0.89999853333333302</v>
      </c>
      <c r="BC161">
        <v>0</v>
      </c>
      <c r="BD161">
        <v>0.100001466666667</v>
      </c>
      <c r="BE161">
        <v>0</v>
      </c>
      <c r="BF161">
        <v>25</v>
      </c>
      <c r="BG161">
        <v>13191.0133333333</v>
      </c>
      <c r="BH161">
        <v>1771105740.0999999</v>
      </c>
      <c r="BI161" t="s">
        <v>564</v>
      </c>
      <c r="BJ161">
        <v>1771105740.0999999</v>
      </c>
      <c r="BK161">
        <v>1771105716.0999999</v>
      </c>
      <c r="BL161">
        <v>20</v>
      </c>
      <c r="BM161">
        <v>3.5999999999999997E-2</v>
      </c>
      <c r="BN161">
        <v>-2.5999999999999999E-2</v>
      </c>
      <c r="BO161">
        <v>-0.69099999999999995</v>
      </c>
      <c r="BP161">
        <v>6.3E-2</v>
      </c>
      <c r="BQ161">
        <v>500</v>
      </c>
      <c r="BR161">
        <v>14</v>
      </c>
      <c r="BS161">
        <v>0.28999999999999998</v>
      </c>
      <c r="BT161">
        <v>0.03</v>
      </c>
      <c r="BU161">
        <v>-2.2421739999999999</v>
      </c>
      <c r="BV161">
        <v>-0.33888360902255699</v>
      </c>
      <c r="BW161">
        <v>6.8734689233312204E-2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1.8536025</v>
      </c>
      <c r="CD161">
        <v>-0.36863233082707098</v>
      </c>
      <c r="CE161">
        <v>4.0100144123805803E-2</v>
      </c>
      <c r="CF161">
        <v>0</v>
      </c>
      <c r="CG161">
        <v>1</v>
      </c>
      <c r="CH161">
        <v>2</v>
      </c>
      <c r="CI161" t="s">
        <v>299</v>
      </c>
      <c r="CJ161">
        <v>3.53254</v>
      </c>
      <c r="CK161">
        <v>2.7010299999999998</v>
      </c>
      <c r="CL161">
        <v>0.156663</v>
      </c>
      <c r="CM161">
        <v>0.15467900000000001</v>
      </c>
      <c r="CN161">
        <v>8.7246599999999994E-2</v>
      </c>
      <c r="CO161">
        <v>7.8781299999999999E-2</v>
      </c>
      <c r="CP161">
        <v>29541.200000000001</v>
      </c>
      <c r="CQ161">
        <v>26031.8</v>
      </c>
      <c r="CR161">
        <v>32422.6</v>
      </c>
      <c r="CS161">
        <v>30724.400000000001</v>
      </c>
      <c r="CT161">
        <v>40089.9</v>
      </c>
      <c r="CU161">
        <v>39824.1</v>
      </c>
      <c r="CV161">
        <v>47362.5</v>
      </c>
      <c r="CW161">
        <v>46872.5</v>
      </c>
      <c r="CX161">
        <v>2.6128</v>
      </c>
      <c r="CY161">
        <v>2.1207799999999999</v>
      </c>
      <c r="CZ161">
        <v>0</v>
      </c>
      <c r="DA161">
        <v>0</v>
      </c>
      <c r="DB161">
        <v>999.9</v>
      </c>
      <c r="DC161">
        <v>999.9</v>
      </c>
      <c r="DD161">
        <v>45.433999999999997</v>
      </c>
      <c r="DE161">
        <v>28.873000000000001</v>
      </c>
      <c r="DF161">
        <v>18.148299999999999</v>
      </c>
      <c r="DG161">
        <v>30.5383</v>
      </c>
      <c r="DH161">
        <v>16.826899999999998</v>
      </c>
      <c r="DI161">
        <v>2</v>
      </c>
      <c r="DJ161">
        <v>-6.1223600000000003E-2</v>
      </c>
      <c r="DK161">
        <v>3.3568600000000002</v>
      </c>
      <c r="DL161">
        <v>20.1723</v>
      </c>
      <c r="DM161">
        <v>5.2503500000000001</v>
      </c>
      <c r="DN161">
        <v>12.033899999999999</v>
      </c>
      <c r="DO161">
        <v>4.9676799999999997</v>
      </c>
      <c r="DP161">
        <v>3.2909999999999999</v>
      </c>
      <c r="DQ161">
        <v>608.5</v>
      </c>
      <c r="DR161">
        <v>9999</v>
      </c>
      <c r="DS161">
        <v>9999</v>
      </c>
      <c r="DT161">
        <v>9999</v>
      </c>
      <c r="DU161">
        <v>1.8711899999999999</v>
      </c>
      <c r="DV161">
        <v>1.87618</v>
      </c>
      <c r="DW161">
        <v>1.8763700000000001</v>
      </c>
      <c r="DX161">
        <v>1.88286</v>
      </c>
      <c r="DY161">
        <v>1.87564</v>
      </c>
      <c r="DZ161">
        <v>1.87469</v>
      </c>
      <c r="EA161">
        <v>1.8708800000000001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-0.69099999999999995</v>
      </c>
      <c r="EQ161">
        <v>6.2600000000000003E-2</v>
      </c>
      <c r="ER161">
        <v>-0.69120000000003801</v>
      </c>
      <c r="ES161">
        <v>0</v>
      </c>
      <c r="ET161">
        <v>0</v>
      </c>
      <c r="EU161">
        <v>0</v>
      </c>
      <c r="EV161">
        <v>6.2609999999999402E-2</v>
      </c>
      <c r="EW161">
        <v>0</v>
      </c>
      <c r="EX161">
        <v>0</v>
      </c>
      <c r="EY161">
        <v>0</v>
      </c>
      <c r="EZ161">
        <v>-1</v>
      </c>
      <c r="FA161">
        <v>-1</v>
      </c>
      <c r="FB161">
        <v>-1</v>
      </c>
      <c r="FC161">
        <v>-1</v>
      </c>
      <c r="FD161">
        <v>5.3</v>
      </c>
      <c r="FE161">
        <v>5.7</v>
      </c>
      <c r="FF161">
        <v>2.1569799999999999</v>
      </c>
      <c r="FG161">
        <v>2.5903299999999998</v>
      </c>
      <c r="FH161">
        <v>2.19604</v>
      </c>
      <c r="FI161">
        <v>2.5756800000000002</v>
      </c>
      <c r="FJ161">
        <v>2.4462899999999999</v>
      </c>
      <c r="FK161">
        <v>2.3059099999999999</v>
      </c>
      <c r="FL161">
        <v>33.132199999999997</v>
      </c>
      <c r="FM161">
        <v>24.14</v>
      </c>
      <c r="FN161">
        <v>19</v>
      </c>
      <c r="FO161">
        <v>866.15800000000002</v>
      </c>
      <c r="FP161">
        <v>576.25300000000004</v>
      </c>
      <c r="FQ161">
        <v>17.726800000000001</v>
      </c>
      <c r="FR161">
        <v>26.142700000000001</v>
      </c>
      <c r="FS161">
        <v>30.000800000000002</v>
      </c>
      <c r="FT161">
        <v>26.138999999999999</v>
      </c>
      <c r="FU161">
        <v>26.142700000000001</v>
      </c>
      <c r="FV161">
        <v>43.285899999999998</v>
      </c>
      <c r="FW161">
        <v>28.704000000000001</v>
      </c>
      <c r="FX161">
        <v>39.208100000000002</v>
      </c>
      <c r="FY161">
        <v>17.729099999999999</v>
      </c>
      <c r="FZ161">
        <v>800</v>
      </c>
      <c r="GA161">
        <v>13.7447</v>
      </c>
      <c r="GB161">
        <v>99.789199999999994</v>
      </c>
      <c r="GC161">
        <v>99.767399999999995</v>
      </c>
    </row>
    <row r="162" spans="1:185" x14ac:dyDescent="0.2">
      <c r="A162">
        <v>147</v>
      </c>
      <c r="B162">
        <v>1771106073.0999999</v>
      </c>
      <c r="C162">
        <v>2960</v>
      </c>
      <c r="D162" t="s">
        <v>597</v>
      </c>
      <c r="E162" t="s">
        <v>598</v>
      </c>
      <c r="F162">
        <v>15</v>
      </c>
      <c r="G162">
        <v>1771106065.03333</v>
      </c>
      <c r="H162">
        <f t="shared" si="26"/>
        <v>1.4256810717001901E-3</v>
      </c>
      <c r="I162">
        <v>0</v>
      </c>
      <c r="J162">
        <f t="shared" si="38"/>
        <v>3.3891254005521031E-2</v>
      </c>
      <c r="K162">
        <f t="shared" si="27"/>
        <v>0.6060181300763644</v>
      </c>
      <c r="L162">
        <f t="shared" si="28"/>
        <v>70.059354061105935</v>
      </c>
      <c r="M162">
        <f t="shared" si="29"/>
        <v>1.545141524371145</v>
      </c>
      <c r="N162">
        <f t="shared" si="30"/>
        <v>2.2054749791490638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26206.714803568706</v>
      </c>
      <c r="T162">
        <f t="shared" si="34"/>
        <v>800.00046666666697</v>
      </c>
      <c r="U162">
        <f t="shared" si="35"/>
        <v>674.40027019992817</v>
      </c>
      <c r="V162">
        <f t="shared" si="36"/>
        <v>0.84299984599999966</v>
      </c>
      <c r="W162">
        <f t="shared" si="37"/>
        <v>0.15870013467999991</v>
      </c>
      <c r="X162">
        <v>1</v>
      </c>
      <c r="Y162">
        <v>1771106065.03333</v>
      </c>
      <c r="Z162">
        <v>797.80473333333305</v>
      </c>
      <c r="AA162">
        <v>799.98400000000004</v>
      </c>
      <c r="AB162">
        <v>15.450659999999999</v>
      </c>
      <c r="AC162">
        <v>13.696113333333299</v>
      </c>
      <c r="AD162">
        <v>798.49586666666698</v>
      </c>
      <c r="AE162">
        <v>15.3880533333333</v>
      </c>
      <c r="AF162">
        <v>800.00913333333301</v>
      </c>
      <c r="AG162">
        <v>99.941666666666606</v>
      </c>
      <c r="AH162">
        <v>6.3221433333333299E-2</v>
      </c>
      <c r="AI162">
        <v>19.002140000000001</v>
      </c>
      <c r="AJ162">
        <v>999.9</v>
      </c>
      <c r="AK162">
        <v>999.9</v>
      </c>
      <c r="AL162">
        <v>0</v>
      </c>
      <c r="AM162">
        <v>0</v>
      </c>
      <c r="AN162">
        <v>5000</v>
      </c>
      <c r="AO162">
        <v>0</v>
      </c>
      <c r="AP162">
        <v>1.58087</v>
      </c>
      <c r="AQ162">
        <v>-2.1792973333333299</v>
      </c>
      <c r="AR162">
        <v>810.32473333333303</v>
      </c>
      <c r="AS162">
        <v>811.09286666666696</v>
      </c>
      <c r="AT162">
        <v>1.75454333333333</v>
      </c>
      <c r="AU162">
        <v>799.98400000000004</v>
      </c>
      <c r="AV162">
        <v>13.696113333333299</v>
      </c>
      <c r="AW162">
        <v>1.54416466666667</v>
      </c>
      <c r="AX162">
        <v>1.3688119999999999</v>
      </c>
      <c r="AY162">
        <v>13.412613333333301</v>
      </c>
      <c r="AZ162">
        <v>11.5764866666667</v>
      </c>
      <c r="BA162">
        <v>800.00046666666697</v>
      </c>
      <c r="BB162">
        <v>0.89999739999999995</v>
      </c>
      <c r="BC162">
        <v>0</v>
      </c>
      <c r="BD162">
        <v>0.100002333333333</v>
      </c>
      <c r="BE162">
        <v>0</v>
      </c>
      <c r="BF162">
        <v>25</v>
      </c>
      <c r="BG162">
        <v>13191.0133333333</v>
      </c>
      <c r="BH162">
        <v>1771105740.0999999</v>
      </c>
      <c r="BI162" t="s">
        <v>564</v>
      </c>
      <c r="BJ162">
        <v>1771105740.0999999</v>
      </c>
      <c r="BK162">
        <v>1771105716.0999999</v>
      </c>
      <c r="BL162">
        <v>20</v>
      </c>
      <c r="BM162">
        <v>3.5999999999999997E-2</v>
      </c>
      <c r="BN162">
        <v>-2.5999999999999999E-2</v>
      </c>
      <c r="BO162">
        <v>-0.69099999999999995</v>
      </c>
      <c r="BP162">
        <v>6.3E-2</v>
      </c>
      <c r="BQ162">
        <v>500</v>
      </c>
      <c r="BR162">
        <v>14</v>
      </c>
      <c r="BS162">
        <v>0.28999999999999998</v>
      </c>
      <c r="BT162">
        <v>0.03</v>
      </c>
      <c r="BU162">
        <v>-2.2218195000000001</v>
      </c>
      <c r="BV162">
        <v>0.56349338345864497</v>
      </c>
      <c r="BW162">
        <v>8.0448818976725803E-2</v>
      </c>
      <c r="BX162">
        <v>0</v>
      </c>
      <c r="BY162">
        <v>0</v>
      </c>
      <c r="BZ162">
        <v>0</v>
      </c>
      <c r="CA162">
        <v>0</v>
      </c>
      <c r="CB162">
        <v>-1</v>
      </c>
      <c r="CC162">
        <v>1.7680830000000001</v>
      </c>
      <c r="CD162">
        <v>-0.216713684210526</v>
      </c>
      <c r="CE162">
        <v>2.4490465103790899E-2</v>
      </c>
      <c r="CF162">
        <v>0</v>
      </c>
      <c r="CG162">
        <v>0</v>
      </c>
      <c r="CH162">
        <v>2</v>
      </c>
      <c r="CI162" t="s">
        <v>290</v>
      </c>
      <c r="CJ162">
        <v>3.5325600000000001</v>
      </c>
      <c r="CK162">
        <v>2.7007500000000002</v>
      </c>
      <c r="CL162">
        <v>0.15665599999999999</v>
      </c>
      <c r="CM162">
        <v>0.15467500000000001</v>
      </c>
      <c r="CN162">
        <v>8.7149799999999999E-2</v>
      </c>
      <c r="CO162">
        <v>7.8764000000000001E-2</v>
      </c>
      <c r="CP162">
        <v>29541.9</v>
      </c>
      <c r="CQ162">
        <v>26033.1</v>
      </c>
      <c r="CR162">
        <v>32423.1</v>
      </c>
      <c r="CS162">
        <v>30725.8</v>
      </c>
      <c r="CT162">
        <v>40095.5</v>
      </c>
      <c r="CU162">
        <v>39826.5</v>
      </c>
      <c r="CV162">
        <v>47363.9</v>
      </c>
      <c r="CW162">
        <v>46874.400000000001</v>
      </c>
      <c r="CX162">
        <v>2.6128200000000001</v>
      </c>
      <c r="CY162">
        <v>2.1206999999999998</v>
      </c>
      <c r="CZ162">
        <v>0</v>
      </c>
      <c r="DA162">
        <v>0</v>
      </c>
      <c r="DB162">
        <v>999.9</v>
      </c>
      <c r="DC162">
        <v>999.9</v>
      </c>
      <c r="DD162">
        <v>45.41</v>
      </c>
      <c r="DE162">
        <v>28.873000000000001</v>
      </c>
      <c r="DF162">
        <v>18.1402</v>
      </c>
      <c r="DG162">
        <v>30.568300000000001</v>
      </c>
      <c r="DH162">
        <v>16.850999999999999</v>
      </c>
      <c r="DI162">
        <v>2</v>
      </c>
      <c r="DJ162">
        <v>-6.46809E-2</v>
      </c>
      <c r="DK162">
        <v>2.7958099999999999</v>
      </c>
      <c r="DL162">
        <v>20.185199999999998</v>
      </c>
      <c r="DM162">
        <v>5.2484400000000004</v>
      </c>
      <c r="DN162">
        <v>12.033899999999999</v>
      </c>
      <c r="DO162">
        <v>4.9669999999999996</v>
      </c>
      <c r="DP162">
        <v>3.2906399999999998</v>
      </c>
      <c r="DQ162">
        <v>608.5</v>
      </c>
      <c r="DR162">
        <v>9999</v>
      </c>
      <c r="DS162">
        <v>9999</v>
      </c>
      <c r="DT162">
        <v>9999</v>
      </c>
      <c r="DU162">
        <v>1.8711899999999999</v>
      </c>
      <c r="DV162">
        <v>1.8762000000000001</v>
      </c>
      <c r="DW162">
        <v>1.8763700000000001</v>
      </c>
      <c r="DX162">
        <v>1.88286</v>
      </c>
      <c r="DY162">
        <v>1.8756299999999999</v>
      </c>
      <c r="DZ162">
        <v>1.87469</v>
      </c>
      <c r="EA162">
        <v>1.8708800000000001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-0.69199999999999995</v>
      </c>
      <c r="EQ162">
        <v>6.2600000000000003E-2</v>
      </c>
      <c r="ER162">
        <v>-0.69120000000003801</v>
      </c>
      <c r="ES162">
        <v>0</v>
      </c>
      <c r="ET162">
        <v>0</v>
      </c>
      <c r="EU162">
        <v>0</v>
      </c>
      <c r="EV162">
        <v>6.2609999999999402E-2</v>
      </c>
      <c r="EW162">
        <v>0</v>
      </c>
      <c r="EX162">
        <v>0</v>
      </c>
      <c r="EY162">
        <v>0</v>
      </c>
      <c r="EZ162">
        <v>-1</v>
      </c>
      <c r="FA162">
        <v>-1</v>
      </c>
      <c r="FB162">
        <v>-1</v>
      </c>
      <c r="FC162">
        <v>-1</v>
      </c>
      <c r="FD162">
        <v>5.5</v>
      </c>
      <c r="FE162">
        <v>6</v>
      </c>
      <c r="FF162">
        <v>2.1569799999999999</v>
      </c>
      <c r="FG162">
        <v>2.5988799999999999</v>
      </c>
      <c r="FH162">
        <v>2.19604</v>
      </c>
      <c r="FI162">
        <v>2.5756800000000002</v>
      </c>
      <c r="FJ162">
        <v>2.4462899999999999</v>
      </c>
      <c r="FK162">
        <v>2.2985799999999998</v>
      </c>
      <c r="FL162">
        <v>33.132199999999997</v>
      </c>
      <c r="FM162">
        <v>24.1313</v>
      </c>
      <c r="FN162">
        <v>19</v>
      </c>
      <c r="FO162">
        <v>866.17600000000004</v>
      </c>
      <c r="FP162">
        <v>576.19100000000003</v>
      </c>
      <c r="FQ162">
        <v>17.6921</v>
      </c>
      <c r="FR162">
        <v>26.140499999999999</v>
      </c>
      <c r="FS162">
        <v>29.999400000000001</v>
      </c>
      <c r="FT162">
        <v>26.138999999999999</v>
      </c>
      <c r="FU162">
        <v>26.142700000000001</v>
      </c>
      <c r="FV162">
        <v>43.288899999999998</v>
      </c>
      <c r="FW162">
        <v>28.704000000000001</v>
      </c>
      <c r="FX162">
        <v>39.208100000000002</v>
      </c>
      <c r="FY162">
        <v>17.725899999999999</v>
      </c>
      <c r="FZ162">
        <v>800</v>
      </c>
      <c r="GA162">
        <v>13.75</v>
      </c>
      <c r="GB162">
        <v>99.791499999999999</v>
      </c>
      <c r="GC162">
        <v>99.771600000000007</v>
      </c>
    </row>
    <row r="163" spans="1:185" x14ac:dyDescent="0.2">
      <c r="A163">
        <v>148</v>
      </c>
      <c r="B163">
        <v>1771106088.0999999</v>
      </c>
      <c r="C163">
        <v>2975</v>
      </c>
      <c r="D163" t="s">
        <v>599</v>
      </c>
      <c r="E163" t="s">
        <v>600</v>
      </c>
      <c r="F163">
        <v>15</v>
      </c>
      <c r="G163">
        <v>1771106080.03333</v>
      </c>
      <c r="H163">
        <f t="shared" si="26"/>
        <v>1.4280210796735839E-3</v>
      </c>
      <c r="I163">
        <v>0</v>
      </c>
      <c r="J163">
        <f t="shared" si="38"/>
        <v>3.523160782824921E-2</v>
      </c>
      <c r="K163">
        <f t="shared" si="27"/>
        <v>0.62998533757945985</v>
      </c>
      <c r="L163">
        <f t="shared" si="28"/>
        <v>70.052063593267135</v>
      </c>
      <c r="M163">
        <f t="shared" si="29"/>
        <v>1.5430060888671815</v>
      </c>
      <c r="N163">
        <f t="shared" si="30"/>
        <v>2.2026561527524842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26247.931151092918</v>
      </c>
      <c r="T163">
        <f t="shared" si="34"/>
        <v>799.99946666666699</v>
      </c>
      <c r="U163">
        <f t="shared" si="35"/>
        <v>674.3995596799939</v>
      </c>
      <c r="V163">
        <f t="shared" si="36"/>
        <v>0.84300001159999971</v>
      </c>
      <c r="W163">
        <f t="shared" si="37"/>
        <v>0.15870000301599993</v>
      </c>
      <c r="X163">
        <v>1</v>
      </c>
      <c r="Y163">
        <v>1771106080.03333</v>
      </c>
      <c r="Z163">
        <v>797.79846666666697</v>
      </c>
      <c r="AA163">
        <v>800.01</v>
      </c>
      <c r="AB163">
        <v>15.4292</v>
      </c>
      <c r="AC163">
        <v>13.671746666666699</v>
      </c>
      <c r="AD163">
        <v>798.4896</v>
      </c>
      <c r="AE163">
        <v>15.3666</v>
      </c>
      <c r="AF163">
        <v>800.01433333333296</v>
      </c>
      <c r="AG163">
        <v>99.942400000000006</v>
      </c>
      <c r="AH163">
        <v>6.3179606666666693E-2</v>
      </c>
      <c r="AI163">
        <v>18.981646666666698</v>
      </c>
      <c r="AJ163">
        <v>999.9</v>
      </c>
      <c r="AK163">
        <v>999.9</v>
      </c>
      <c r="AL163">
        <v>0</v>
      </c>
      <c r="AM163">
        <v>0</v>
      </c>
      <c r="AN163">
        <v>5006.4666666666699</v>
      </c>
      <c r="AO163">
        <v>0</v>
      </c>
      <c r="AP163">
        <v>1.58087</v>
      </c>
      <c r="AQ163">
        <v>-2.21144733333333</v>
      </c>
      <c r="AR163">
        <v>810.30079999999998</v>
      </c>
      <c r="AS163">
        <v>811.0992</v>
      </c>
      <c r="AT163">
        <v>1.7574606666666699</v>
      </c>
      <c r="AU163">
        <v>800.01</v>
      </c>
      <c r="AV163">
        <v>13.671746666666699</v>
      </c>
      <c r="AW163">
        <v>1.5420326666666699</v>
      </c>
      <c r="AX163">
        <v>1.3663860000000001</v>
      </c>
      <c r="AY163">
        <v>13.39142</v>
      </c>
      <c r="AZ163">
        <v>11.5496533333333</v>
      </c>
      <c r="BA163">
        <v>799.99946666666699</v>
      </c>
      <c r="BB163">
        <v>0.9</v>
      </c>
      <c r="BC163">
        <v>0</v>
      </c>
      <c r="BD163">
        <v>0.100000013333333</v>
      </c>
      <c r="BE163">
        <v>0</v>
      </c>
      <c r="BF163">
        <v>25</v>
      </c>
      <c r="BG163">
        <v>13191.0133333333</v>
      </c>
      <c r="BH163">
        <v>1771105740.0999999</v>
      </c>
      <c r="BI163" t="s">
        <v>564</v>
      </c>
      <c r="BJ163">
        <v>1771105740.0999999</v>
      </c>
      <c r="BK163">
        <v>1771105716.0999999</v>
      </c>
      <c r="BL163">
        <v>20</v>
      </c>
      <c r="BM163">
        <v>3.5999999999999997E-2</v>
      </c>
      <c r="BN163">
        <v>-2.5999999999999999E-2</v>
      </c>
      <c r="BO163">
        <v>-0.69099999999999995</v>
      </c>
      <c r="BP163">
        <v>6.3E-2</v>
      </c>
      <c r="BQ163">
        <v>500</v>
      </c>
      <c r="BR163">
        <v>14</v>
      </c>
      <c r="BS163">
        <v>0.28999999999999998</v>
      </c>
      <c r="BT163">
        <v>0.03</v>
      </c>
      <c r="BU163">
        <v>-2.2079935000000002</v>
      </c>
      <c r="BV163">
        <v>-8.7757443609025002E-2</v>
      </c>
      <c r="BW163">
        <v>2.5010346314075699E-2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1.7553460000000001</v>
      </c>
      <c r="CD163">
        <v>8.6086917293236795E-2</v>
      </c>
      <c r="CE163">
        <v>1.4548274949285201E-2</v>
      </c>
      <c r="CF163">
        <v>1</v>
      </c>
      <c r="CG163">
        <v>2</v>
      </c>
      <c r="CH163">
        <v>2</v>
      </c>
      <c r="CI163" t="s">
        <v>322</v>
      </c>
      <c r="CJ163">
        <v>3.5325500000000001</v>
      </c>
      <c r="CK163">
        <v>2.7010399999999999</v>
      </c>
      <c r="CL163">
        <v>0.156662</v>
      </c>
      <c r="CM163">
        <v>0.15467500000000001</v>
      </c>
      <c r="CN163">
        <v>8.70277E-2</v>
      </c>
      <c r="CO163">
        <v>7.8711000000000003E-2</v>
      </c>
      <c r="CP163">
        <v>29542.6</v>
      </c>
      <c r="CQ163">
        <v>26033.4</v>
      </c>
      <c r="CR163">
        <v>32424.1</v>
      </c>
      <c r="CS163">
        <v>30726.1</v>
      </c>
      <c r="CT163">
        <v>40102.199999999997</v>
      </c>
      <c r="CU163">
        <v>39828.9</v>
      </c>
      <c r="CV163">
        <v>47365.4</v>
      </c>
      <c r="CW163">
        <v>46874.400000000001</v>
      </c>
      <c r="CX163">
        <v>2.6128200000000001</v>
      </c>
      <c r="CY163">
        <v>2.1207400000000001</v>
      </c>
      <c r="CZ163">
        <v>0</v>
      </c>
      <c r="DA163">
        <v>0</v>
      </c>
      <c r="DB163">
        <v>999.9</v>
      </c>
      <c r="DC163">
        <v>999.9</v>
      </c>
      <c r="DD163">
        <v>45.274999999999999</v>
      </c>
      <c r="DE163">
        <v>28.882999999999999</v>
      </c>
      <c r="DF163">
        <v>18.096299999999999</v>
      </c>
      <c r="DG163">
        <v>30.508299999999998</v>
      </c>
      <c r="DH163">
        <v>16.975200000000001</v>
      </c>
      <c r="DI163">
        <v>2</v>
      </c>
      <c r="DJ163">
        <v>-6.5447199999999997E-2</v>
      </c>
      <c r="DK163">
        <v>2.69414</v>
      </c>
      <c r="DL163">
        <v>20.187999999999999</v>
      </c>
      <c r="DM163">
        <v>5.2497600000000002</v>
      </c>
      <c r="DN163">
        <v>12.033899999999999</v>
      </c>
      <c r="DO163">
        <v>4.9674399999999999</v>
      </c>
      <c r="DP163">
        <v>3.2909999999999999</v>
      </c>
      <c r="DQ163">
        <v>608.5</v>
      </c>
      <c r="DR163">
        <v>9999</v>
      </c>
      <c r="DS163">
        <v>9999</v>
      </c>
      <c r="DT163">
        <v>9999</v>
      </c>
      <c r="DU163">
        <v>1.8711899999999999</v>
      </c>
      <c r="DV163">
        <v>1.8761699999999999</v>
      </c>
      <c r="DW163">
        <v>1.8763700000000001</v>
      </c>
      <c r="DX163">
        <v>1.88286</v>
      </c>
      <c r="DY163">
        <v>1.8756200000000001</v>
      </c>
      <c r="DZ163">
        <v>1.87469</v>
      </c>
      <c r="EA163">
        <v>1.8708800000000001</v>
      </c>
      <c r="EB163">
        <v>1.8746799999999999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-0.69099999999999995</v>
      </c>
      <c r="EQ163">
        <v>6.2600000000000003E-2</v>
      </c>
      <c r="ER163">
        <v>-0.69120000000003801</v>
      </c>
      <c r="ES163">
        <v>0</v>
      </c>
      <c r="ET163">
        <v>0</v>
      </c>
      <c r="EU163">
        <v>0</v>
      </c>
      <c r="EV163">
        <v>6.2609999999999402E-2</v>
      </c>
      <c r="EW163">
        <v>0</v>
      </c>
      <c r="EX163">
        <v>0</v>
      </c>
      <c r="EY163">
        <v>0</v>
      </c>
      <c r="EZ163">
        <v>-1</v>
      </c>
      <c r="FA163">
        <v>-1</v>
      </c>
      <c r="FB163">
        <v>-1</v>
      </c>
      <c r="FC163">
        <v>-1</v>
      </c>
      <c r="FD163">
        <v>5.8</v>
      </c>
      <c r="FE163">
        <v>6.2</v>
      </c>
      <c r="FF163">
        <v>2.1569799999999999</v>
      </c>
      <c r="FG163">
        <v>2.5964399999999999</v>
      </c>
      <c r="FH163">
        <v>2.19604</v>
      </c>
      <c r="FI163">
        <v>2.5756800000000002</v>
      </c>
      <c r="FJ163">
        <v>2.4462899999999999</v>
      </c>
      <c r="FK163">
        <v>2.2717299999999998</v>
      </c>
      <c r="FL163">
        <v>33.132199999999997</v>
      </c>
      <c r="FM163">
        <v>24.1313</v>
      </c>
      <c r="FN163">
        <v>19</v>
      </c>
      <c r="FO163">
        <v>866.17600000000004</v>
      </c>
      <c r="FP163">
        <v>576.22199999999998</v>
      </c>
      <c r="FQ163">
        <v>17.746200000000002</v>
      </c>
      <c r="FR163">
        <v>26.140499999999999</v>
      </c>
      <c r="FS163">
        <v>29.9998</v>
      </c>
      <c r="FT163">
        <v>26.138999999999999</v>
      </c>
      <c r="FU163">
        <v>26.142700000000001</v>
      </c>
      <c r="FV163">
        <v>43.288400000000003</v>
      </c>
      <c r="FW163">
        <v>28.132300000000001</v>
      </c>
      <c r="FX163">
        <v>38.837000000000003</v>
      </c>
      <c r="FY163">
        <v>17.764700000000001</v>
      </c>
      <c r="FZ163">
        <v>800</v>
      </c>
      <c r="GA163">
        <v>13.75</v>
      </c>
      <c r="GB163">
        <v>99.794799999999995</v>
      </c>
      <c r="GC163">
        <v>99.772099999999995</v>
      </c>
    </row>
    <row r="164" spans="1:185" x14ac:dyDescent="0.2">
      <c r="A164">
        <v>149</v>
      </c>
      <c r="B164">
        <v>1771106103.0999999</v>
      </c>
      <c r="C164">
        <v>2990</v>
      </c>
      <c r="D164" t="s">
        <v>601</v>
      </c>
      <c r="E164" t="s">
        <v>602</v>
      </c>
      <c r="F164">
        <v>15</v>
      </c>
      <c r="G164">
        <v>1771106095.03333</v>
      </c>
      <c r="H164">
        <f t="shared" si="26"/>
        <v>1.3876477958369993E-3</v>
      </c>
      <c r="I164">
        <v>0</v>
      </c>
      <c r="J164">
        <f t="shared" si="38"/>
        <v>3.4044963077770135E-2</v>
      </c>
      <c r="K164">
        <f t="shared" si="27"/>
        <v>0.60876664107938006</v>
      </c>
      <c r="L164">
        <f t="shared" si="28"/>
        <v>70.062026654229555</v>
      </c>
      <c r="M164">
        <f t="shared" si="29"/>
        <v>1.542489204531188</v>
      </c>
      <c r="N164">
        <f t="shared" si="30"/>
        <v>2.2016051750025558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26217.440486485855</v>
      </c>
      <c r="T164">
        <f t="shared" si="34"/>
        <v>800.00073333333296</v>
      </c>
      <c r="U164">
        <f t="shared" si="35"/>
        <v>674.40062300000454</v>
      </c>
      <c r="V164">
        <f t="shared" si="36"/>
        <v>0.84300000600000058</v>
      </c>
      <c r="W164">
        <f t="shared" si="37"/>
        <v>0.15870014492000012</v>
      </c>
      <c r="X164">
        <v>1</v>
      </c>
      <c r="Y164">
        <v>1771106095.03333</v>
      </c>
      <c r="Z164">
        <v>797.85786666666695</v>
      </c>
      <c r="AA164">
        <v>800.00273333333303</v>
      </c>
      <c r="AB164">
        <v>15.4241733333333</v>
      </c>
      <c r="AC164">
        <v>13.7163866666667</v>
      </c>
      <c r="AD164">
        <v>798.54906666666704</v>
      </c>
      <c r="AE164">
        <v>15.3615733333333</v>
      </c>
      <c r="AF164">
        <v>800.00886666666702</v>
      </c>
      <c r="AG164">
        <v>99.941353333333296</v>
      </c>
      <c r="AH164">
        <v>6.3306313333333294E-2</v>
      </c>
      <c r="AI164">
        <v>18.974</v>
      </c>
      <c r="AJ164">
        <v>999.9</v>
      </c>
      <c r="AK164">
        <v>999.9</v>
      </c>
      <c r="AL164">
        <v>0</v>
      </c>
      <c r="AM164">
        <v>0</v>
      </c>
      <c r="AN164">
        <v>5001.3666666666704</v>
      </c>
      <c r="AO164">
        <v>0</v>
      </c>
      <c r="AP164">
        <v>1.58087</v>
      </c>
      <c r="AQ164">
        <v>-2.144946</v>
      </c>
      <c r="AR164">
        <v>810.35693333333302</v>
      </c>
      <c r="AS164">
        <v>811.12853333333305</v>
      </c>
      <c r="AT164">
        <v>1.7077853333333299</v>
      </c>
      <c r="AU164">
        <v>800.00273333333303</v>
      </c>
      <c r="AV164">
        <v>13.7163866666667</v>
      </c>
      <c r="AW164">
        <v>1.54151333333333</v>
      </c>
      <c r="AX164">
        <v>1.37083666666667</v>
      </c>
      <c r="AY164">
        <v>13.38626</v>
      </c>
      <c r="AZ164">
        <v>11.598786666666699</v>
      </c>
      <c r="BA164">
        <v>800.00073333333296</v>
      </c>
      <c r="BB164">
        <v>0.89999786666666703</v>
      </c>
      <c r="BC164">
        <v>0</v>
      </c>
      <c r="BD164">
        <v>0.100002066666667</v>
      </c>
      <c r="BE164">
        <v>0</v>
      </c>
      <c r="BF164">
        <v>25</v>
      </c>
      <c r="BG164">
        <v>13191.026666666699</v>
      </c>
      <c r="BH164">
        <v>1771105740.0999999</v>
      </c>
      <c r="BI164" t="s">
        <v>564</v>
      </c>
      <c r="BJ164">
        <v>1771105740.0999999</v>
      </c>
      <c r="BK164">
        <v>1771105716.0999999</v>
      </c>
      <c r="BL164">
        <v>20</v>
      </c>
      <c r="BM164">
        <v>3.5999999999999997E-2</v>
      </c>
      <c r="BN164">
        <v>-2.5999999999999999E-2</v>
      </c>
      <c r="BO164">
        <v>-0.69099999999999995</v>
      </c>
      <c r="BP164">
        <v>6.3E-2</v>
      </c>
      <c r="BQ164">
        <v>500</v>
      </c>
      <c r="BR164">
        <v>14</v>
      </c>
      <c r="BS164">
        <v>0.28999999999999998</v>
      </c>
      <c r="BT164">
        <v>0.03</v>
      </c>
      <c r="BU164">
        <v>-2.168771</v>
      </c>
      <c r="BV164">
        <v>0.41935759398496097</v>
      </c>
      <c r="BW164">
        <v>4.8033447919132402E-2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1.7258765</v>
      </c>
      <c r="CD164">
        <v>-0.26524736842105201</v>
      </c>
      <c r="CE164">
        <v>3.08051778561657E-2</v>
      </c>
      <c r="CF164">
        <v>0</v>
      </c>
      <c r="CG164">
        <v>1</v>
      </c>
      <c r="CH164">
        <v>2</v>
      </c>
      <c r="CI164" t="s">
        <v>299</v>
      </c>
      <c r="CJ164">
        <v>3.5325299999999999</v>
      </c>
      <c r="CK164">
        <v>2.70113</v>
      </c>
      <c r="CL164">
        <v>0.15667</v>
      </c>
      <c r="CM164">
        <v>0.15468299999999999</v>
      </c>
      <c r="CN164">
        <v>8.7101700000000004E-2</v>
      </c>
      <c r="CO164">
        <v>7.8892400000000001E-2</v>
      </c>
      <c r="CP164">
        <v>29542.5</v>
      </c>
      <c r="CQ164">
        <v>26033.3</v>
      </c>
      <c r="CR164">
        <v>32424.3</v>
      </c>
      <c r="CS164">
        <v>30726.3</v>
      </c>
      <c r="CT164">
        <v>40098.9</v>
      </c>
      <c r="CU164">
        <v>39821.5</v>
      </c>
      <c r="CV164">
        <v>47365.4</v>
      </c>
      <c r="CW164">
        <v>46875.3</v>
      </c>
      <c r="CX164">
        <v>2.6128</v>
      </c>
      <c r="CY164">
        <v>2.1206200000000002</v>
      </c>
      <c r="CZ164">
        <v>0</v>
      </c>
      <c r="DA164">
        <v>0</v>
      </c>
      <c r="DB164">
        <v>999.9</v>
      </c>
      <c r="DC164">
        <v>999.9</v>
      </c>
      <c r="DD164">
        <v>45.225999999999999</v>
      </c>
      <c r="DE164">
        <v>28.873000000000001</v>
      </c>
      <c r="DF164">
        <v>18.066199999999998</v>
      </c>
      <c r="DG164">
        <v>30.5383</v>
      </c>
      <c r="DH164">
        <v>16.826899999999998</v>
      </c>
      <c r="DI164">
        <v>2</v>
      </c>
      <c r="DJ164">
        <v>-6.57581E-2</v>
      </c>
      <c r="DK164">
        <v>2.6162100000000001</v>
      </c>
      <c r="DL164">
        <v>20.189299999999999</v>
      </c>
      <c r="DM164">
        <v>5.2511900000000002</v>
      </c>
      <c r="DN164">
        <v>12.033899999999999</v>
      </c>
      <c r="DO164">
        <v>4.9677199999999999</v>
      </c>
      <c r="DP164">
        <v>3.2909999999999999</v>
      </c>
      <c r="DQ164">
        <v>608.5</v>
      </c>
      <c r="DR164">
        <v>9999</v>
      </c>
      <c r="DS164">
        <v>9999</v>
      </c>
      <c r="DT164">
        <v>9999</v>
      </c>
      <c r="DU164">
        <v>1.8711899999999999</v>
      </c>
      <c r="DV164">
        <v>1.87615</v>
      </c>
      <c r="DW164">
        <v>1.8763700000000001</v>
      </c>
      <c r="DX164">
        <v>1.88286</v>
      </c>
      <c r="DY164">
        <v>1.8756200000000001</v>
      </c>
      <c r="DZ164">
        <v>1.87469</v>
      </c>
      <c r="EA164">
        <v>1.87087</v>
      </c>
      <c r="EB164">
        <v>1.87469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-0.69099999999999995</v>
      </c>
      <c r="EQ164">
        <v>6.2600000000000003E-2</v>
      </c>
      <c r="ER164">
        <v>-0.69120000000003801</v>
      </c>
      <c r="ES164">
        <v>0</v>
      </c>
      <c r="ET164">
        <v>0</v>
      </c>
      <c r="EU164">
        <v>0</v>
      </c>
      <c r="EV164">
        <v>6.2609999999999402E-2</v>
      </c>
      <c r="EW164">
        <v>0</v>
      </c>
      <c r="EX164">
        <v>0</v>
      </c>
      <c r="EY164">
        <v>0</v>
      </c>
      <c r="EZ164">
        <v>-1</v>
      </c>
      <c r="FA164">
        <v>-1</v>
      </c>
      <c r="FB164">
        <v>-1</v>
      </c>
      <c r="FC164">
        <v>-1</v>
      </c>
      <c r="FD164">
        <v>6</v>
      </c>
      <c r="FE164">
        <v>6.5</v>
      </c>
      <c r="FF164">
        <v>2.1569799999999999</v>
      </c>
      <c r="FG164">
        <v>2.5903299999999998</v>
      </c>
      <c r="FH164">
        <v>2.19604</v>
      </c>
      <c r="FI164">
        <v>2.5744600000000002</v>
      </c>
      <c r="FJ164">
        <v>2.4462899999999999</v>
      </c>
      <c r="FK164">
        <v>2.3168899999999999</v>
      </c>
      <c r="FL164">
        <v>33.132199999999997</v>
      </c>
      <c r="FM164">
        <v>24.14</v>
      </c>
      <c r="FN164">
        <v>19</v>
      </c>
      <c r="FO164">
        <v>866.15800000000002</v>
      </c>
      <c r="FP164">
        <v>576.12599999999998</v>
      </c>
      <c r="FQ164">
        <v>17.798300000000001</v>
      </c>
      <c r="FR164">
        <v>26.140499999999999</v>
      </c>
      <c r="FS164">
        <v>30</v>
      </c>
      <c r="FT164">
        <v>26.138999999999999</v>
      </c>
      <c r="FU164">
        <v>26.142299999999999</v>
      </c>
      <c r="FV164">
        <v>43.285299999999999</v>
      </c>
      <c r="FW164">
        <v>28.132300000000001</v>
      </c>
      <c r="FX164">
        <v>38.837000000000003</v>
      </c>
      <c r="FY164">
        <v>17.819299999999998</v>
      </c>
      <c r="FZ164">
        <v>800</v>
      </c>
      <c r="GA164">
        <v>13.75</v>
      </c>
      <c r="GB164">
        <v>99.795000000000002</v>
      </c>
      <c r="GC164">
        <v>99.773499999999999</v>
      </c>
    </row>
    <row r="165" spans="1:185" x14ac:dyDescent="0.2">
      <c r="A165">
        <v>150</v>
      </c>
      <c r="B165">
        <v>1771106118.0999999</v>
      </c>
      <c r="C165">
        <v>3005</v>
      </c>
      <c r="D165" t="s">
        <v>603</v>
      </c>
      <c r="E165" t="s">
        <v>604</v>
      </c>
      <c r="F165">
        <v>15</v>
      </c>
      <c r="G165">
        <v>1771106110.03333</v>
      </c>
      <c r="H165">
        <f t="shared" si="26"/>
        <v>1.390545380045868E-3</v>
      </c>
      <c r="I165">
        <v>0</v>
      </c>
      <c r="J165">
        <f t="shared" si="38"/>
        <v>3.2639936571443283E-2</v>
      </c>
      <c r="K165">
        <f t="shared" si="27"/>
        <v>0.58364300487715459</v>
      </c>
      <c r="L165">
        <f t="shared" si="28"/>
        <v>70.100387491664577</v>
      </c>
      <c r="M165">
        <f t="shared" si="29"/>
        <v>1.5434037581897615</v>
      </c>
      <c r="N165">
        <f t="shared" si="30"/>
        <v>2.2017050310503388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26168.663715503255</v>
      </c>
      <c r="T165">
        <f t="shared" si="34"/>
        <v>800.00033333333295</v>
      </c>
      <c r="U165">
        <f t="shared" si="35"/>
        <v>674.40033860002416</v>
      </c>
      <c r="V165">
        <f t="shared" si="36"/>
        <v>0.8430000720000006</v>
      </c>
      <c r="W165">
        <f t="shared" si="37"/>
        <v>0.15870030992000014</v>
      </c>
      <c r="X165">
        <v>1</v>
      </c>
      <c r="Y165">
        <v>1771106110.03333</v>
      </c>
      <c r="Z165">
        <v>797.88319999999999</v>
      </c>
      <c r="AA165">
        <v>799.99959999999999</v>
      </c>
      <c r="AB165">
        <v>15.4332266666667</v>
      </c>
      <c r="AC165">
        <v>13.7218866666667</v>
      </c>
      <c r="AD165">
        <v>798.57446666666704</v>
      </c>
      <c r="AE165">
        <v>15.370620000000001</v>
      </c>
      <c r="AF165">
        <v>800.00746666666703</v>
      </c>
      <c r="AG165">
        <v>99.942033333333299</v>
      </c>
      <c r="AH165">
        <v>6.3221013333333298E-2</v>
      </c>
      <c r="AI165">
        <v>18.974726666666701</v>
      </c>
      <c r="AJ165">
        <v>999.9</v>
      </c>
      <c r="AK165">
        <v>999.9</v>
      </c>
      <c r="AL165">
        <v>0</v>
      </c>
      <c r="AM165">
        <v>0</v>
      </c>
      <c r="AN165">
        <v>4993.3</v>
      </c>
      <c r="AO165">
        <v>0</v>
      </c>
      <c r="AP165">
        <v>1.58087</v>
      </c>
      <c r="AQ165">
        <v>-2.116406</v>
      </c>
      <c r="AR165">
        <v>810.39020000000005</v>
      </c>
      <c r="AS165">
        <v>811.12973333333298</v>
      </c>
      <c r="AT165">
        <v>1.71133</v>
      </c>
      <c r="AU165">
        <v>799.99959999999999</v>
      </c>
      <c r="AV165">
        <v>13.7218866666667</v>
      </c>
      <c r="AW165">
        <v>1.5424279999999999</v>
      </c>
      <c r="AX165">
        <v>1.371394</v>
      </c>
      <c r="AY165">
        <v>13.395353333333301</v>
      </c>
      <c r="AZ165">
        <v>11.604979999999999</v>
      </c>
      <c r="BA165">
        <v>800.00033333333295</v>
      </c>
      <c r="BB165">
        <v>0.89999566666666697</v>
      </c>
      <c r="BC165">
        <v>0</v>
      </c>
      <c r="BD165">
        <v>0.10000426666666699</v>
      </c>
      <c r="BE165">
        <v>0</v>
      </c>
      <c r="BF165">
        <v>25</v>
      </c>
      <c r="BG165">
        <v>13191.0133333333</v>
      </c>
      <c r="BH165">
        <v>1771105740.0999999</v>
      </c>
      <c r="BI165" t="s">
        <v>564</v>
      </c>
      <c r="BJ165">
        <v>1771105740.0999999</v>
      </c>
      <c r="BK165">
        <v>1771105716.0999999</v>
      </c>
      <c r="BL165">
        <v>20</v>
      </c>
      <c r="BM165">
        <v>3.5999999999999997E-2</v>
      </c>
      <c r="BN165">
        <v>-2.5999999999999999E-2</v>
      </c>
      <c r="BO165">
        <v>-0.69099999999999995</v>
      </c>
      <c r="BP165">
        <v>6.3E-2</v>
      </c>
      <c r="BQ165">
        <v>500</v>
      </c>
      <c r="BR165">
        <v>14</v>
      </c>
      <c r="BS165">
        <v>0.28999999999999998</v>
      </c>
      <c r="BT165">
        <v>0.03</v>
      </c>
      <c r="BU165">
        <v>-2.1169129999999998</v>
      </c>
      <c r="BV165">
        <v>1.9523909774435799E-2</v>
      </c>
      <c r="BW165">
        <v>1.8344033117065599E-2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1.7100329999999999</v>
      </c>
      <c r="CD165">
        <v>5.4843609022555702E-2</v>
      </c>
      <c r="CE165">
        <v>6.3729420992191498E-3</v>
      </c>
      <c r="CF165">
        <v>1</v>
      </c>
      <c r="CG165">
        <v>2</v>
      </c>
      <c r="CH165">
        <v>2</v>
      </c>
      <c r="CI165" t="s">
        <v>322</v>
      </c>
      <c r="CJ165">
        <v>3.5325199999999999</v>
      </c>
      <c r="CK165">
        <v>2.7008700000000001</v>
      </c>
      <c r="CL165">
        <v>0.156665</v>
      </c>
      <c r="CM165">
        <v>0.15467900000000001</v>
      </c>
      <c r="CN165">
        <v>8.7158799999999995E-2</v>
      </c>
      <c r="CO165">
        <v>7.8875500000000001E-2</v>
      </c>
      <c r="CP165">
        <v>29542.5</v>
      </c>
      <c r="CQ165">
        <v>26033.8</v>
      </c>
      <c r="CR165">
        <v>32424.1</v>
      </c>
      <c r="CS165">
        <v>30726.799999999999</v>
      </c>
      <c r="CT165">
        <v>40096.199999999997</v>
      </c>
      <c r="CU165">
        <v>39822.6</v>
      </c>
      <c r="CV165">
        <v>47365.2</v>
      </c>
      <c r="CW165">
        <v>46875.6</v>
      </c>
      <c r="CX165">
        <v>2.6130800000000001</v>
      </c>
      <c r="CY165">
        <v>2.12066</v>
      </c>
      <c r="CZ165">
        <v>0</v>
      </c>
      <c r="DA165">
        <v>0</v>
      </c>
      <c r="DB165">
        <v>999.9</v>
      </c>
      <c r="DC165">
        <v>999.9</v>
      </c>
      <c r="DD165">
        <v>45.225999999999999</v>
      </c>
      <c r="DE165">
        <v>28.873000000000001</v>
      </c>
      <c r="DF165">
        <v>18.066199999999998</v>
      </c>
      <c r="DG165">
        <v>30.628299999999999</v>
      </c>
      <c r="DH165">
        <v>16.867000000000001</v>
      </c>
      <c r="DI165">
        <v>2</v>
      </c>
      <c r="DJ165">
        <v>-6.6223599999999994E-2</v>
      </c>
      <c r="DK165">
        <v>2.56677</v>
      </c>
      <c r="DL165">
        <v>20.190000000000001</v>
      </c>
      <c r="DM165">
        <v>5.2507099999999998</v>
      </c>
      <c r="DN165">
        <v>12.033899999999999</v>
      </c>
      <c r="DO165">
        <v>4.9671200000000004</v>
      </c>
      <c r="DP165">
        <v>3.2909999999999999</v>
      </c>
      <c r="DQ165">
        <v>608.5</v>
      </c>
      <c r="DR165">
        <v>9999</v>
      </c>
      <c r="DS165">
        <v>9999</v>
      </c>
      <c r="DT165">
        <v>9999</v>
      </c>
      <c r="DU165">
        <v>1.8711899999999999</v>
      </c>
      <c r="DV165">
        <v>1.87615</v>
      </c>
      <c r="DW165">
        <v>1.87636</v>
      </c>
      <c r="DX165">
        <v>1.8828199999999999</v>
      </c>
      <c r="DY165">
        <v>1.87561</v>
      </c>
      <c r="DZ165">
        <v>1.8746799999999999</v>
      </c>
      <c r="EA165">
        <v>1.8708800000000001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-0.69099999999999995</v>
      </c>
      <c r="EQ165">
        <v>6.2600000000000003E-2</v>
      </c>
      <c r="ER165">
        <v>-0.69120000000003801</v>
      </c>
      <c r="ES165">
        <v>0</v>
      </c>
      <c r="ET165">
        <v>0</v>
      </c>
      <c r="EU165">
        <v>0</v>
      </c>
      <c r="EV165">
        <v>6.2609999999999402E-2</v>
      </c>
      <c r="EW165">
        <v>0</v>
      </c>
      <c r="EX165">
        <v>0</v>
      </c>
      <c r="EY165">
        <v>0</v>
      </c>
      <c r="EZ165">
        <v>-1</v>
      </c>
      <c r="FA165">
        <v>-1</v>
      </c>
      <c r="FB165">
        <v>-1</v>
      </c>
      <c r="FC165">
        <v>-1</v>
      </c>
      <c r="FD165">
        <v>6.3</v>
      </c>
      <c r="FE165">
        <v>6.7</v>
      </c>
      <c r="FF165">
        <v>2.1569799999999999</v>
      </c>
      <c r="FG165">
        <v>2.5976599999999999</v>
      </c>
      <c r="FH165">
        <v>2.19604</v>
      </c>
      <c r="FI165">
        <v>2.5756800000000002</v>
      </c>
      <c r="FJ165">
        <v>2.4462899999999999</v>
      </c>
      <c r="FK165">
        <v>2.2973599999999998</v>
      </c>
      <c r="FL165">
        <v>33.154499999999999</v>
      </c>
      <c r="FM165">
        <v>24.1313</v>
      </c>
      <c r="FN165">
        <v>19</v>
      </c>
      <c r="FO165">
        <v>866.41899999999998</v>
      </c>
      <c r="FP165">
        <v>576.13599999999997</v>
      </c>
      <c r="FQ165">
        <v>17.856999999999999</v>
      </c>
      <c r="FR165">
        <v>26.138200000000001</v>
      </c>
      <c r="FS165">
        <v>30.0001</v>
      </c>
      <c r="FT165">
        <v>26.138999999999999</v>
      </c>
      <c r="FU165">
        <v>26.1404</v>
      </c>
      <c r="FV165">
        <v>43.286700000000003</v>
      </c>
      <c r="FW165">
        <v>28.132300000000001</v>
      </c>
      <c r="FX165">
        <v>38.837000000000003</v>
      </c>
      <c r="FY165">
        <v>17.872299999999999</v>
      </c>
      <c r="FZ165">
        <v>800</v>
      </c>
      <c r="GA165">
        <v>13.75</v>
      </c>
      <c r="GB165">
        <v>99.794499999999999</v>
      </c>
      <c r="GC165">
        <v>99.774500000000003</v>
      </c>
    </row>
    <row r="166" spans="1:185" x14ac:dyDescent="0.2">
      <c r="A166">
        <v>151</v>
      </c>
      <c r="B166">
        <v>1771106133.0999999</v>
      </c>
      <c r="C166">
        <v>3020</v>
      </c>
      <c r="D166" t="s">
        <v>605</v>
      </c>
      <c r="E166" t="s">
        <v>606</v>
      </c>
      <c r="F166">
        <v>15</v>
      </c>
      <c r="G166">
        <v>1771106125.03333</v>
      </c>
      <c r="H166">
        <f t="shared" si="26"/>
        <v>1.4204697873386027E-3</v>
      </c>
      <c r="I166">
        <v>0</v>
      </c>
      <c r="J166">
        <f t="shared" si="38"/>
        <v>3.2280415959055384E-2</v>
      </c>
      <c r="K166">
        <f t="shared" si="27"/>
        <v>0.57721432539519357</v>
      </c>
      <c r="L166">
        <f t="shared" si="28"/>
        <v>70.070586116579676</v>
      </c>
      <c r="M166">
        <f t="shared" si="29"/>
        <v>1.543467378105311</v>
      </c>
      <c r="N166">
        <f t="shared" si="30"/>
        <v>2.2027322213879774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26217.95200349173</v>
      </c>
      <c r="T166">
        <f t="shared" si="34"/>
        <v>799.999866666667</v>
      </c>
      <c r="U166">
        <f t="shared" si="35"/>
        <v>674.39994999998987</v>
      </c>
      <c r="V166">
        <f t="shared" si="36"/>
        <v>0.84300007799999999</v>
      </c>
      <c r="W166">
        <f t="shared" si="37"/>
        <v>0.15870019499999999</v>
      </c>
      <c r="X166">
        <v>1</v>
      </c>
      <c r="Y166">
        <v>1771106125.03333</v>
      </c>
      <c r="Z166">
        <v>797.87813333333304</v>
      </c>
      <c r="AA166">
        <v>800.01633333333302</v>
      </c>
      <c r="AB166">
        <v>15.4338266666667</v>
      </c>
      <c r="AC166">
        <v>13.68566</v>
      </c>
      <c r="AD166">
        <v>798.56939999999997</v>
      </c>
      <c r="AE166">
        <v>15.3712133333333</v>
      </c>
      <c r="AF166">
        <v>800.00753333333296</v>
      </c>
      <c r="AG166">
        <v>99.942260000000005</v>
      </c>
      <c r="AH166">
        <v>6.32286866666667E-2</v>
      </c>
      <c r="AI166">
        <v>18.982199999999999</v>
      </c>
      <c r="AJ166">
        <v>999.9</v>
      </c>
      <c r="AK166">
        <v>999.9</v>
      </c>
      <c r="AL166">
        <v>0</v>
      </c>
      <c r="AM166">
        <v>0</v>
      </c>
      <c r="AN166">
        <v>5001.5333333333301</v>
      </c>
      <c r="AO166">
        <v>0</v>
      </c>
      <c r="AP166">
        <v>1.58087</v>
      </c>
      <c r="AQ166">
        <v>-2.1381853333333298</v>
      </c>
      <c r="AR166">
        <v>810.385533333333</v>
      </c>
      <c r="AS166">
        <v>811.11706666666703</v>
      </c>
      <c r="AT166">
        <v>1.748186</v>
      </c>
      <c r="AU166">
        <v>800.01633333333302</v>
      </c>
      <c r="AV166">
        <v>13.68566</v>
      </c>
      <c r="AW166">
        <v>1.542492</v>
      </c>
      <c r="AX166">
        <v>1.3677746666666699</v>
      </c>
      <c r="AY166">
        <v>13.396000000000001</v>
      </c>
      <c r="AZ166">
        <v>11.5649866666667</v>
      </c>
      <c r="BA166">
        <v>799.999866666667</v>
      </c>
      <c r="BB166">
        <v>0.89999739999999995</v>
      </c>
      <c r="BC166">
        <v>0</v>
      </c>
      <c r="BD166">
        <v>0.1000026</v>
      </c>
      <c r="BE166">
        <v>0</v>
      </c>
      <c r="BF166">
        <v>25</v>
      </c>
      <c r="BG166">
        <v>13191.006666666701</v>
      </c>
      <c r="BH166">
        <v>1771105740.0999999</v>
      </c>
      <c r="BI166" t="s">
        <v>564</v>
      </c>
      <c r="BJ166">
        <v>1771105740.0999999</v>
      </c>
      <c r="BK166">
        <v>1771105716.0999999</v>
      </c>
      <c r="BL166">
        <v>20</v>
      </c>
      <c r="BM166">
        <v>3.5999999999999997E-2</v>
      </c>
      <c r="BN166">
        <v>-2.5999999999999999E-2</v>
      </c>
      <c r="BO166">
        <v>-0.69099999999999995</v>
      </c>
      <c r="BP166">
        <v>6.3E-2</v>
      </c>
      <c r="BQ166">
        <v>500</v>
      </c>
      <c r="BR166">
        <v>14</v>
      </c>
      <c r="BS166">
        <v>0.28999999999999998</v>
      </c>
      <c r="BT166">
        <v>0.03</v>
      </c>
      <c r="BU166">
        <v>-2.1345529999999999</v>
      </c>
      <c r="BV166">
        <v>-6.6989774436090402E-2</v>
      </c>
      <c r="BW166">
        <v>1.8119283125995901E-2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1.7398315</v>
      </c>
      <c r="CD166">
        <v>0.18491593984962101</v>
      </c>
      <c r="CE166">
        <v>2.12102183569618E-2</v>
      </c>
      <c r="CF166">
        <v>0</v>
      </c>
      <c r="CG166">
        <v>1</v>
      </c>
      <c r="CH166">
        <v>2</v>
      </c>
      <c r="CI166" t="s">
        <v>299</v>
      </c>
      <c r="CJ166">
        <v>3.5325299999999999</v>
      </c>
      <c r="CK166">
        <v>2.7013699999999998</v>
      </c>
      <c r="CL166">
        <v>0.156669</v>
      </c>
      <c r="CM166">
        <v>0.15468100000000001</v>
      </c>
      <c r="CN166">
        <v>8.7060100000000001E-2</v>
      </c>
      <c r="CO166">
        <v>7.8732700000000003E-2</v>
      </c>
      <c r="CP166">
        <v>29542.400000000001</v>
      </c>
      <c r="CQ166">
        <v>26033.9</v>
      </c>
      <c r="CR166">
        <v>32424.2</v>
      </c>
      <c r="CS166">
        <v>30726.9</v>
      </c>
      <c r="CT166">
        <v>40100.699999999997</v>
      </c>
      <c r="CU166">
        <v>39829.199999999997</v>
      </c>
      <c r="CV166">
        <v>47365.3</v>
      </c>
      <c r="CW166">
        <v>46876</v>
      </c>
      <c r="CX166">
        <v>2.6131199999999999</v>
      </c>
      <c r="CY166">
        <v>2.1204399999999999</v>
      </c>
      <c r="CZ166">
        <v>0</v>
      </c>
      <c r="DA166">
        <v>0</v>
      </c>
      <c r="DB166">
        <v>999.9</v>
      </c>
      <c r="DC166">
        <v>999.9</v>
      </c>
      <c r="DD166">
        <v>45.08</v>
      </c>
      <c r="DE166">
        <v>28.882999999999999</v>
      </c>
      <c r="DF166">
        <v>18.0169</v>
      </c>
      <c r="DG166">
        <v>30.478300000000001</v>
      </c>
      <c r="DH166">
        <v>16.9391</v>
      </c>
      <c r="DI166">
        <v>2</v>
      </c>
      <c r="DJ166">
        <v>-6.6302799999999995E-2</v>
      </c>
      <c r="DK166">
        <v>2.5544600000000002</v>
      </c>
      <c r="DL166">
        <v>20.1904</v>
      </c>
      <c r="DM166">
        <v>5.2507099999999998</v>
      </c>
      <c r="DN166">
        <v>12.033899999999999</v>
      </c>
      <c r="DO166">
        <v>4.9676</v>
      </c>
      <c r="DP166">
        <v>3.2909999999999999</v>
      </c>
      <c r="DQ166">
        <v>608.5</v>
      </c>
      <c r="DR166">
        <v>9999</v>
      </c>
      <c r="DS166">
        <v>9999</v>
      </c>
      <c r="DT166">
        <v>9999</v>
      </c>
      <c r="DU166">
        <v>1.8711800000000001</v>
      </c>
      <c r="DV166">
        <v>1.8761399999999999</v>
      </c>
      <c r="DW166">
        <v>1.87636</v>
      </c>
      <c r="DX166">
        <v>1.8828100000000001</v>
      </c>
      <c r="DY166">
        <v>1.87561</v>
      </c>
      <c r="DZ166">
        <v>1.87466</v>
      </c>
      <c r="EA166">
        <v>1.87087</v>
      </c>
      <c r="EB166">
        <v>1.8746799999999999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-0.69099999999999995</v>
      </c>
      <c r="EQ166">
        <v>6.2600000000000003E-2</v>
      </c>
      <c r="ER166">
        <v>-0.69120000000003801</v>
      </c>
      <c r="ES166">
        <v>0</v>
      </c>
      <c r="ET166">
        <v>0</v>
      </c>
      <c r="EU166">
        <v>0</v>
      </c>
      <c r="EV166">
        <v>6.2609999999999402E-2</v>
      </c>
      <c r="EW166">
        <v>0</v>
      </c>
      <c r="EX166">
        <v>0</v>
      </c>
      <c r="EY166">
        <v>0</v>
      </c>
      <c r="EZ166">
        <v>-1</v>
      </c>
      <c r="FA166">
        <v>-1</v>
      </c>
      <c r="FB166">
        <v>-1</v>
      </c>
      <c r="FC166">
        <v>-1</v>
      </c>
      <c r="FD166">
        <v>6.5</v>
      </c>
      <c r="FE166">
        <v>7</v>
      </c>
      <c r="FF166">
        <v>2.1569799999999999</v>
      </c>
      <c r="FG166">
        <v>2.5878899999999998</v>
      </c>
      <c r="FH166">
        <v>2.19604</v>
      </c>
      <c r="FI166">
        <v>2.5744600000000002</v>
      </c>
      <c r="FJ166">
        <v>2.4462899999999999</v>
      </c>
      <c r="FK166">
        <v>2.2692899999999998</v>
      </c>
      <c r="FL166">
        <v>33.132199999999997</v>
      </c>
      <c r="FM166">
        <v>24.1313</v>
      </c>
      <c r="FN166">
        <v>19</v>
      </c>
      <c r="FO166">
        <v>866.45600000000002</v>
      </c>
      <c r="FP166">
        <v>575.96699999999998</v>
      </c>
      <c r="FQ166">
        <v>17.900300000000001</v>
      </c>
      <c r="FR166">
        <v>26.138200000000001</v>
      </c>
      <c r="FS166">
        <v>30</v>
      </c>
      <c r="FT166">
        <v>26.138999999999999</v>
      </c>
      <c r="FU166">
        <v>26.1404</v>
      </c>
      <c r="FV166">
        <v>43.284599999999998</v>
      </c>
      <c r="FW166">
        <v>27.854900000000001</v>
      </c>
      <c r="FX166">
        <v>38.4649</v>
      </c>
      <c r="FY166">
        <v>17.909500000000001</v>
      </c>
      <c r="FZ166">
        <v>800</v>
      </c>
      <c r="GA166">
        <v>13.75</v>
      </c>
      <c r="GB166">
        <v>99.794799999999995</v>
      </c>
      <c r="GC166">
        <v>99.775199999999998</v>
      </c>
    </row>
    <row r="167" spans="1:185" x14ac:dyDescent="0.2">
      <c r="A167">
        <v>152</v>
      </c>
      <c r="B167">
        <v>1771106148.0999999</v>
      </c>
      <c r="C167">
        <v>3035</v>
      </c>
      <c r="D167" t="s">
        <v>607</v>
      </c>
      <c r="E167" t="s">
        <v>608</v>
      </c>
      <c r="F167">
        <v>15</v>
      </c>
      <c r="G167">
        <v>1771106140.03333</v>
      </c>
      <c r="H167">
        <f t="shared" si="26"/>
        <v>1.4089150551567595E-3</v>
      </c>
      <c r="I167">
        <v>0</v>
      </c>
      <c r="J167">
        <f t="shared" si="38"/>
        <v>3.2977556106356935E-2</v>
      </c>
      <c r="K167">
        <f t="shared" si="27"/>
        <v>0.58968006562422215</v>
      </c>
      <c r="L167">
        <f t="shared" si="28"/>
        <v>69.983596154691313</v>
      </c>
      <c r="M167">
        <f t="shared" si="29"/>
        <v>1.5422947643601483</v>
      </c>
      <c r="N167">
        <f t="shared" si="30"/>
        <v>2.2037946734704366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26194.0754195437</v>
      </c>
      <c r="T167">
        <f t="shared" si="34"/>
        <v>799.99993333333305</v>
      </c>
      <c r="U167">
        <f t="shared" si="35"/>
        <v>674.39987020000581</v>
      </c>
      <c r="V167">
        <f t="shared" si="36"/>
        <v>0.84299990799999991</v>
      </c>
      <c r="W167">
        <f t="shared" si="37"/>
        <v>0.15870015975999999</v>
      </c>
      <c r="X167">
        <v>1</v>
      </c>
      <c r="Y167">
        <v>1771106140.03333</v>
      </c>
      <c r="Z167">
        <v>797.85479999999995</v>
      </c>
      <c r="AA167">
        <v>799.99699999999996</v>
      </c>
      <c r="AB167">
        <v>15.422040000000001</v>
      </c>
      <c r="AC167">
        <v>13.688086666666701</v>
      </c>
      <c r="AD167">
        <v>798.54586666666705</v>
      </c>
      <c r="AE167">
        <v>15.359439999999999</v>
      </c>
      <c r="AF167">
        <v>800.01386666666701</v>
      </c>
      <c r="AG167">
        <v>99.942440000000005</v>
      </c>
      <c r="AH167">
        <v>6.3445366666666697E-2</v>
      </c>
      <c r="AI167">
        <v>18.989926666666701</v>
      </c>
      <c r="AJ167">
        <v>999.9</v>
      </c>
      <c r="AK167">
        <v>999.9</v>
      </c>
      <c r="AL167">
        <v>0</v>
      </c>
      <c r="AM167">
        <v>0</v>
      </c>
      <c r="AN167">
        <v>4997.7</v>
      </c>
      <c r="AO167">
        <v>0</v>
      </c>
      <c r="AP167">
        <v>1.58087</v>
      </c>
      <c r="AQ167">
        <v>-2.1423306666666702</v>
      </c>
      <c r="AR167">
        <v>810.35206666666704</v>
      </c>
      <c r="AS167">
        <v>811.09946666666701</v>
      </c>
      <c r="AT167">
        <v>1.7339593333333301</v>
      </c>
      <c r="AU167">
        <v>799.99699999999996</v>
      </c>
      <c r="AV167">
        <v>13.688086666666701</v>
      </c>
      <c r="AW167">
        <v>1.54131666666667</v>
      </c>
      <c r="AX167">
        <v>1.36802</v>
      </c>
      <c r="AY167">
        <v>13.3842933333333</v>
      </c>
      <c r="AZ167">
        <v>11.5677066666667</v>
      </c>
      <c r="BA167">
        <v>799.99993333333305</v>
      </c>
      <c r="BB167">
        <v>0.89999726666666702</v>
      </c>
      <c r="BC167">
        <v>0</v>
      </c>
      <c r="BD167">
        <v>0.100002533333333</v>
      </c>
      <c r="BE167">
        <v>0</v>
      </c>
      <c r="BF167">
        <v>25</v>
      </c>
      <c r="BG167">
        <v>13191.02</v>
      </c>
      <c r="BH167">
        <v>1771105740.0999999</v>
      </c>
      <c r="BI167" t="s">
        <v>564</v>
      </c>
      <c r="BJ167">
        <v>1771105740.0999999</v>
      </c>
      <c r="BK167">
        <v>1771105716.0999999</v>
      </c>
      <c r="BL167">
        <v>20</v>
      </c>
      <c r="BM167">
        <v>3.5999999999999997E-2</v>
      </c>
      <c r="BN167">
        <v>-2.5999999999999999E-2</v>
      </c>
      <c r="BO167">
        <v>-0.69099999999999995</v>
      </c>
      <c r="BP167">
        <v>6.3E-2</v>
      </c>
      <c r="BQ167">
        <v>500</v>
      </c>
      <c r="BR167">
        <v>14</v>
      </c>
      <c r="BS167">
        <v>0.28999999999999998</v>
      </c>
      <c r="BT167">
        <v>0.03</v>
      </c>
      <c r="BU167">
        <v>-2.1407885714285699</v>
      </c>
      <c r="BV167">
        <v>-3.7256103896107798E-2</v>
      </c>
      <c r="BW167">
        <v>1.8033533654123999E-2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1.74234142857143</v>
      </c>
      <c r="CD167">
        <v>-9.9614805194804396E-2</v>
      </c>
      <c r="CE167">
        <v>1.37652264733983E-2</v>
      </c>
      <c r="CF167">
        <v>1</v>
      </c>
      <c r="CG167">
        <v>2</v>
      </c>
      <c r="CH167">
        <v>2</v>
      </c>
      <c r="CI167" t="s">
        <v>322</v>
      </c>
      <c r="CJ167">
        <v>3.5326300000000002</v>
      </c>
      <c r="CK167">
        <v>2.7010900000000002</v>
      </c>
      <c r="CL167">
        <v>0.156667</v>
      </c>
      <c r="CM167">
        <v>0.15467400000000001</v>
      </c>
      <c r="CN167">
        <v>8.7094500000000005E-2</v>
      </c>
      <c r="CO167">
        <v>7.8851400000000002E-2</v>
      </c>
      <c r="CP167">
        <v>29542.1</v>
      </c>
      <c r="CQ167">
        <v>26034.3</v>
      </c>
      <c r="CR167">
        <v>32423.7</v>
      </c>
      <c r="CS167">
        <v>30727.1</v>
      </c>
      <c r="CT167">
        <v>40098.6</v>
      </c>
      <c r="CU167">
        <v>39823.9</v>
      </c>
      <c r="CV167">
        <v>47364.7</v>
      </c>
      <c r="CW167">
        <v>46876</v>
      </c>
      <c r="CX167">
        <v>2.6131000000000002</v>
      </c>
      <c r="CY167">
        <v>2.12086</v>
      </c>
      <c r="CZ167">
        <v>0</v>
      </c>
      <c r="DA167">
        <v>0</v>
      </c>
      <c r="DB167">
        <v>999.9</v>
      </c>
      <c r="DC167">
        <v>999.9</v>
      </c>
      <c r="DD167">
        <v>45.055999999999997</v>
      </c>
      <c r="DE167">
        <v>28.873000000000001</v>
      </c>
      <c r="DF167">
        <v>17.9969</v>
      </c>
      <c r="DG167">
        <v>30.658300000000001</v>
      </c>
      <c r="DH167">
        <v>16.814900000000002</v>
      </c>
      <c r="DI167">
        <v>2</v>
      </c>
      <c r="DJ167">
        <v>-6.6345500000000002E-2</v>
      </c>
      <c r="DK167">
        <v>2.5505800000000001</v>
      </c>
      <c r="DL167">
        <v>20.190300000000001</v>
      </c>
      <c r="DM167">
        <v>5.2511900000000002</v>
      </c>
      <c r="DN167">
        <v>12.033899999999999</v>
      </c>
      <c r="DO167">
        <v>4.9676400000000003</v>
      </c>
      <c r="DP167">
        <v>3.2909999999999999</v>
      </c>
      <c r="DQ167">
        <v>608.5</v>
      </c>
      <c r="DR167">
        <v>9999</v>
      </c>
      <c r="DS167">
        <v>9999</v>
      </c>
      <c r="DT167">
        <v>9999</v>
      </c>
      <c r="DU167">
        <v>1.8711800000000001</v>
      </c>
      <c r="DV167">
        <v>1.8762000000000001</v>
      </c>
      <c r="DW167">
        <v>1.8763700000000001</v>
      </c>
      <c r="DX167">
        <v>1.8828499999999999</v>
      </c>
      <c r="DY167">
        <v>1.8756200000000001</v>
      </c>
      <c r="DZ167">
        <v>1.87469</v>
      </c>
      <c r="EA167">
        <v>1.8708800000000001</v>
      </c>
      <c r="EB167">
        <v>1.87469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-0.69099999999999995</v>
      </c>
      <c r="EQ167">
        <v>6.2700000000000006E-2</v>
      </c>
      <c r="ER167">
        <v>-0.69120000000003801</v>
      </c>
      <c r="ES167">
        <v>0</v>
      </c>
      <c r="ET167">
        <v>0</v>
      </c>
      <c r="EU167">
        <v>0</v>
      </c>
      <c r="EV167">
        <v>6.2609999999999402E-2</v>
      </c>
      <c r="EW167">
        <v>0</v>
      </c>
      <c r="EX167">
        <v>0</v>
      </c>
      <c r="EY167">
        <v>0</v>
      </c>
      <c r="EZ167">
        <v>-1</v>
      </c>
      <c r="FA167">
        <v>-1</v>
      </c>
      <c r="FB167">
        <v>-1</v>
      </c>
      <c r="FC167">
        <v>-1</v>
      </c>
      <c r="FD167">
        <v>6.8</v>
      </c>
      <c r="FE167">
        <v>7.2</v>
      </c>
      <c r="FF167">
        <v>2.1569799999999999</v>
      </c>
      <c r="FG167">
        <v>2.5927699999999998</v>
      </c>
      <c r="FH167">
        <v>2.19604</v>
      </c>
      <c r="FI167">
        <v>2.5744600000000002</v>
      </c>
      <c r="FJ167">
        <v>2.4462899999999999</v>
      </c>
      <c r="FK167">
        <v>2.3156699999999999</v>
      </c>
      <c r="FL167">
        <v>33.132199999999997</v>
      </c>
      <c r="FM167">
        <v>24.14</v>
      </c>
      <c r="FN167">
        <v>19</v>
      </c>
      <c r="FO167">
        <v>866.40200000000004</v>
      </c>
      <c r="FP167">
        <v>576.29</v>
      </c>
      <c r="FQ167">
        <v>17.927</v>
      </c>
      <c r="FR167">
        <v>26.135999999999999</v>
      </c>
      <c r="FS167">
        <v>30.0001</v>
      </c>
      <c r="FT167">
        <v>26.136800000000001</v>
      </c>
      <c r="FU167">
        <v>26.1404</v>
      </c>
      <c r="FV167">
        <v>43.287300000000002</v>
      </c>
      <c r="FW167">
        <v>27.574400000000001</v>
      </c>
      <c r="FX167">
        <v>38.4649</v>
      </c>
      <c r="FY167">
        <v>17.930599999999998</v>
      </c>
      <c r="FZ167">
        <v>800</v>
      </c>
      <c r="GA167">
        <v>13.75</v>
      </c>
      <c r="GB167">
        <v>99.793400000000005</v>
      </c>
      <c r="GC167">
        <v>99.775300000000001</v>
      </c>
    </row>
    <row r="168" spans="1:185" x14ac:dyDescent="0.2">
      <c r="A168">
        <v>153</v>
      </c>
      <c r="B168">
        <v>1771106163.0999999</v>
      </c>
      <c r="C168">
        <v>3050</v>
      </c>
      <c r="D168" t="s">
        <v>609</v>
      </c>
      <c r="E168" t="s">
        <v>610</v>
      </c>
      <c r="F168">
        <v>15</v>
      </c>
      <c r="G168">
        <v>1771106155.03333</v>
      </c>
      <c r="H168">
        <f t="shared" si="26"/>
        <v>1.3736971001719366E-3</v>
      </c>
      <c r="I168">
        <v>0</v>
      </c>
      <c r="J168">
        <f t="shared" si="38"/>
        <v>3.3282528774828783E-2</v>
      </c>
      <c r="K168">
        <f t="shared" si="27"/>
        <v>0.59513335945163848</v>
      </c>
      <c r="L168">
        <f t="shared" si="28"/>
        <v>69.981089723216655</v>
      </c>
      <c r="M168">
        <f t="shared" si="29"/>
        <v>1.5431900685998583</v>
      </c>
      <c r="N168">
        <f t="shared" si="30"/>
        <v>2.2051529558961636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26243.628464386264</v>
      </c>
      <c r="T168">
        <f t="shared" si="34"/>
        <v>799.999866666667</v>
      </c>
      <c r="U168">
        <f t="shared" si="35"/>
        <v>674.39999799998179</v>
      </c>
      <c r="V168">
        <f t="shared" si="36"/>
        <v>0.84300013799999995</v>
      </c>
      <c r="W168">
        <f t="shared" si="37"/>
        <v>0.15870034499999999</v>
      </c>
      <c r="X168">
        <v>1</v>
      </c>
      <c r="Y168">
        <v>1771106155.03333</v>
      </c>
      <c r="Z168">
        <v>797.86953333333304</v>
      </c>
      <c r="AA168">
        <v>799.98346666666703</v>
      </c>
      <c r="AB168">
        <v>15.4310333333333</v>
      </c>
      <c r="AC168">
        <v>13.7404266666667</v>
      </c>
      <c r="AD168">
        <v>798.56086666666704</v>
      </c>
      <c r="AE168">
        <v>15.368413333333301</v>
      </c>
      <c r="AF168">
        <v>800.00840000000005</v>
      </c>
      <c r="AG168">
        <v>99.942226666666699</v>
      </c>
      <c r="AH168">
        <v>6.3394166666666696E-2</v>
      </c>
      <c r="AI168">
        <v>18.9998</v>
      </c>
      <c r="AJ168">
        <v>999.9</v>
      </c>
      <c r="AK168">
        <v>999.9</v>
      </c>
      <c r="AL168">
        <v>0</v>
      </c>
      <c r="AM168">
        <v>0</v>
      </c>
      <c r="AN168">
        <v>5006.0333333333301</v>
      </c>
      <c r="AO168">
        <v>0</v>
      </c>
      <c r="AP168">
        <v>1.58087</v>
      </c>
      <c r="AQ168">
        <v>-2.11409</v>
      </c>
      <c r="AR168">
        <v>810.37453333333303</v>
      </c>
      <c r="AS168">
        <v>811.12886666666702</v>
      </c>
      <c r="AT168">
        <v>1.6906099999999999</v>
      </c>
      <c r="AU168">
        <v>799.98346666666703</v>
      </c>
      <c r="AV168">
        <v>13.7404266666667</v>
      </c>
      <c r="AW168">
        <v>1.54221133333333</v>
      </c>
      <c r="AX168">
        <v>1.373248</v>
      </c>
      <c r="AY168">
        <v>13.3932066666667</v>
      </c>
      <c r="AZ168">
        <v>11.6254066666667</v>
      </c>
      <c r="BA168">
        <v>799.999866666667</v>
      </c>
      <c r="BB168">
        <v>0.8999954</v>
      </c>
      <c r="BC168">
        <v>0</v>
      </c>
      <c r="BD168">
        <v>0.1000046</v>
      </c>
      <c r="BE168">
        <v>0</v>
      </c>
      <c r="BF168">
        <v>25</v>
      </c>
      <c r="BG168">
        <v>13191.02</v>
      </c>
      <c r="BH168">
        <v>1771105740.0999999</v>
      </c>
      <c r="BI168" t="s">
        <v>564</v>
      </c>
      <c r="BJ168">
        <v>1771105740.0999999</v>
      </c>
      <c r="BK168">
        <v>1771105716.0999999</v>
      </c>
      <c r="BL168">
        <v>20</v>
      </c>
      <c r="BM168">
        <v>3.5999999999999997E-2</v>
      </c>
      <c r="BN168">
        <v>-2.5999999999999999E-2</v>
      </c>
      <c r="BO168">
        <v>-0.69099999999999995</v>
      </c>
      <c r="BP168">
        <v>6.3E-2</v>
      </c>
      <c r="BQ168">
        <v>500</v>
      </c>
      <c r="BR168">
        <v>14</v>
      </c>
      <c r="BS168">
        <v>0.28999999999999998</v>
      </c>
      <c r="BT168">
        <v>0.03</v>
      </c>
      <c r="BU168">
        <v>-2.11991285714286</v>
      </c>
      <c r="BV168">
        <v>0.11127428571428501</v>
      </c>
      <c r="BW168">
        <v>2.3562747463468901E-2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1.7026195238095201</v>
      </c>
      <c r="CD168">
        <v>-0.18170493506493701</v>
      </c>
      <c r="CE168">
        <v>2.1250813200393199E-2</v>
      </c>
      <c r="CF168">
        <v>0</v>
      </c>
      <c r="CG168">
        <v>1</v>
      </c>
      <c r="CH168">
        <v>2</v>
      </c>
      <c r="CI168" t="s">
        <v>299</v>
      </c>
      <c r="CJ168">
        <v>3.5326</v>
      </c>
      <c r="CK168">
        <v>2.7009799999999999</v>
      </c>
      <c r="CL168">
        <v>0.15667400000000001</v>
      </c>
      <c r="CM168">
        <v>0.15468000000000001</v>
      </c>
      <c r="CN168">
        <v>8.7130200000000005E-2</v>
      </c>
      <c r="CO168">
        <v>7.8988000000000003E-2</v>
      </c>
      <c r="CP168">
        <v>29542.3</v>
      </c>
      <c r="CQ168">
        <v>26034.1</v>
      </c>
      <c r="CR168">
        <v>32424.2</v>
      </c>
      <c r="CS168">
        <v>30727.1</v>
      </c>
      <c r="CT168">
        <v>40097.4</v>
      </c>
      <c r="CU168">
        <v>39818.300000000003</v>
      </c>
      <c r="CV168">
        <v>47365.2</v>
      </c>
      <c r="CW168">
        <v>46876.4</v>
      </c>
      <c r="CX168">
        <v>2.6130800000000001</v>
      </c>
      <c r="CY168">
        <v>2.1207799999999999</v>
      </c>
      <c r="CZ168">
        <v>0</v>
      </c>
      <c r="DA168">
        <v>0</v>
      </c>
      <c r="DB168">
        <v>999.9</v>
      </c>
      <c r="DC168">
        <v>999.9</v>
      </c>
      <c r="DD168">
        <v>45.006999999999998</v>
      </c>
      <c r="DE168">
        <v>28.873000000000001</v>
      </c>
      <c r="DF168">
        <v>17.978999999999999</v>
      </c>
      <c r="DG168">
        <v>30.298300000000001</v>
      </c>
      <c r="DH168">
        <v>16.762799999999999</v>
      </c>
      <c r="DI168">
        <v>2</v>
      </c>
      <c r="DJ168">
        <v>-6.4983700000000005E-2</v>
      </c>
      <c r="DK168">
        <v>2.9575200000000001</v>
      </c>
      <c r="DL168">
        <v>20.182200000000002</v>
      </c>
      <c r="DM168">
        <v>5.2508299999999997</v>
      </c>
      <c r="DN168">
        <v>12.033899999999999</v>
      </c>
      <c r="DO168">
        <v>4.9671599999999998</v>
      </c>
      <c r="DP168">
        <v>3.2909999999999999</v>
      </c>
      <c r="DQ168">
        <v>608.5</v>
      </c>
      <c r="DR168">
        <v>9999</v>
      </c>
      <c r="DS168">
        <v>9999</v>
      </c>
      <c r="DT168">
        <v>9999</v>
      </c>
      <c r="DU168">
        <v>1.8711800000000001</v>
      </c>
      <c r="DV168">
        <v>1.8761699999999999</v>
      </c>
      <c r="DW168">
        <v>1.87636</v>
      </c>
      <c r="DX168">
        <v>1.88286</v>
      </c>
      <c r="DY168">
        <v>1.8756200000000001</v>
      </c>
      <c r="DZ168">
        <v>1.87469</v>
      </c>
      <c r="EA168">
        <v>1.8708800000000001</v>
      </c>
      <c r="EB168">
        <v>1.87469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-0.69099999999999995</v>
      </c>
      <c r="EQ168">
        <v>6.2600000000000003E-2</v>
      </c>
      <c r="ER168">
        <v>-0.69120000000003801</v>
      </c>
      <c r="ES168">
        <v>0</v>
      </c>
      <c r="ET168">
        <v>0</v>
      </c>
      <c r="EU168">
        <v>0</v>
      </c>
      <c r="EV168">
        <v>6.2609999999999402E-2</v>
      </c>
      <c r="EW168">
        <v>0</v>
      </c>
      <c r="EX168">
        <v>0</v>
      </c>
      <c r="EY168">
        <v>0</v>
      </c>
      <c r="EZ168">
        <v>-1</v>
      </c>
      <c r="FA168">
        <v>-1</v>
      </c>
      <c r="FB168">
        <v>-1</v>
      </c>
      <c r="FC168">
        <v>-1</v>
      </c>
      <c r="FD168">
        <v>7</v>
      </c>
      <c r="FE168">
        <v>7.5</v>
      </c>
      <c r="FF168">
        <v>2.1569799999999999</v>
      </c>
      <c r="FG168">
        <v>2.5939899999999998</v>
      </c>
      <c r="FH168">
        <v>2.19604</v>
      </c>
      <c r="FI168">
        <v>2.5756800000000002</v>
      </c>
      <c r="FJ168">
        <v>2.4462899999999999</v>
      </c>
      <c r="FK168">
        <v>2.3095699999999999</v>
      </c>
      <c r="FL168">
        <v>33.154499999999999</v>
      </c>
      <c r="FM168">
        <v>24.14</v>
      </c>
      <c r="FN168">
        <v>19</v>
      </c>
      <c r="FO168">
        <v>866.38400000000001</v>
      </c>
      <c r="FP168">
        <v>576.22799999999995</v>
      </c>
      <c r="FQ168">
        <v>17.866499999999998</v>
      </c>
      <c r="FR168">
        <v>26.135999999999999</v>
      </c>
      <c r="FS168">
        <v>30.001000000000001</v>
      </c>
      <c r="FT168">
        <v>26.136800000000001</v>
      </c>
      <c r="FU168">
        <v>26.1404</v>
      </c>
      <c r="FV168">
        <v>43.287399999999998</v>
      </c>
      <c r="FW168">
        <v>27.574400000000001</v>
      </c>
      <c r="FX168">
        <v>38.4649</v>
      </c>
      <c r="FY168">
        <v>17.826899999999998</v>
      </c>
      <c r="FZ168">
        <v>800</v>
      </c>
      <c r="GA168">
        <v>13.75</v>
      </c>
      <c r="GB168">
        <v>99.794600000000003</v>
      </c>
      <c r="GC168">
        <v>99.775999999999996</v>
      </c>
    </row>
    <row r="169" spans="1:185" x14ac:dyDescent="0.2">
      <c r="A169">
        <v>154</v>
      </c>
      <c r="B169">
        <v>1771106178.0999999</v>
      </c>
      <c r="C169">
        <v>3065</v>
      </c>
      <c r="D169" t="s">
        <v>611</v>
      </c>
      <c r="E169" t="s">
        <v>612</v>
      </c>
      <c r="F169">
        <v>15</v>
      </c>
      <c r="G169">
        <v>1771106170.03333</v>
      </c>
      <c r="H169">
        <f t="shared" si="26"/>
        <v>1.3865693875837499E-3</v>
      </c>
      <c r="I169">
        <v>0</v>
      </c>
      <c r="J169">
        <f t="shared" si="38"/>
        <v>3.2448577761883056E-2</v>
      </c>
      <c r="K169">
        <f t="shared" si="27"/>
        <v>0.58022126934844165</v>
      </c>
      <c r="L169">
        <f t="shared" si="28"/>
        <v>69.976218899022811</v>
      </c>
      <c r="M169">
        <f t="shared" si="29"/>
        <v>1.5433426693786427</v>
      </c>
      <c r="N169">
        <f t="shared" si="30"/>
        <v>2.2055245248471045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26204.922282673648</v>
      </c>
      <c r="T169">
        <f t="shared" si="34"/>
        <v>800.00033333333295</v>
      </c>
      <c r="U169">
        <f t="shared" si="35"/>
        <v>674.40036260003365</v>
      </c>
      <c r="V169">
        <f t="shared" si="36"/>
        <v>0.84300010199999997</v>
      </c>
      <c r="W169">
        <f t="shared" si="37"/>
        <v>0.15870025499999998</v>
      </c>
      <c r="X169">
        <v>1</v>
      </c>
      <c r="Y169">
        <v>1771106170.03333</v>
      </c>
      <c r="Z169">
        <v>797.91333333333296</v>
      </c>
      <c r="AA169">
        <v>800.02153333333297</v>
      </c>
      <c r="AB169">
        <v>15.4326133333333</v>
      </c>
      <c r="AC169">
        <v>13.7261733333333</v>
      </c>
      <c r="AD169">
        <v>798.60446666666701</v>
      </c>
      <c r="AE169">
        <v>15.3699933333333</v>
      </c>
      <c r="AF169">
        <v>800.01113333333296</v>
      </c>
      <c r="AG169">
        <v>99.941886666666704</v>
      </c>
      <c r="AH169">
        <v>6.3383733333333303E-2</v>
      </c>
      <c r="AI169">
        <v>19.002500000000001</v>
      </c>
      <c r="AJ169">
        <v>999.9</v>
      </c>
      <c r="AK169">
        <v>999.9</v>
      </c>
      <c r="AL169">
        <v>0</v>
      </c>
      <c r="AM169">
        <v>0</v>
      </c>
      <c r="AN169">
        <v>4999.7</v>
      </c>
      <c r="AO169">
        <v>0</v>
      </c>
      <c r="AP169">
        <v>1.58087</v>
      </c>
      <c r="AQ169">
        <v>-2.10832</v>
      </c>
      <c r="AR169">
        <v>810.42026666666698</v>
      </c>
      <c r="AS169">
        <v>811.1558</v>
      </c>
      <c r="AT169">
        <v>1.7064346666666701</v>
      </c>
      <c r="AU169">
        <v>800.02153333333297</v>
      </c>
      <c r="AV169">
        <v>13.7261733333333</v>
      </c>
      <c r="AW169">
        <v>1.54236533333333</v>
      </c>
      <c r="AX169">
        <v>1.3718186666666701</v>
      </c>
      <c r="AY169">
        <v>13.3947133333333</v>
      </c>
      <c r="AZ169">
        <v>11.6096533333333</v>
      </c>
      <c r="BA169">
        <v>800.00033333333295</v>
      </c>
      <c r="BB169">
        <v>0.89999660000000004</v>
      </c>
      <c r="BC169">
        <v>0</v>
      </c>
      <c r="BD169">
        <v>0.10000340000000001</v>
      </c>
      <c r="BE169">
        <v>0</v>
      </c>
      <c r="BF169">
        <v>25</v>
      </c>
      <c r="BG169">
        <v>13191.02</v>
      </c>
      <c r="BH169">
        <v>1771105740.0999999</v>
      </c>
      <c r="BI169" t="s">
        <v>564</v>
      </c>
      <c r="BJ169">
        <v>1771105740.0999999</v>
      </c>
      <c r="BK169">
        <v>1771105716.0999999</v>
      </c>
      <c r="BL169">
        <v>20</v>
      </c>
      <c r="BM169">
        <v>3.5999999999999997E-2</v>
      </c>
      <c r="BN169">
        <v>-2.5999999999999999E-2</v>
      </c>
      <c r="BO169">
        <v>-0.69099999999999995</v>
      </c>
      <c r="BP169">
        <v>6.3E-2</v>
      </c>
      <c r="BQ169">
        <v>500</v>
      </c>
      <c r="BR169">
        <v>14</v>
      </c>
      <c r="BS169">
        <v>0.28999999999999998</v>
      </c>
      <c r="BT169">
        <v>0.03</v>
      </c>
      <c r="BU169">
        <v>-2.1105080952380999</v>
      </c>
      <c r="BV169">
        <v>-2.79272727272663E-3</v>
      </c>
      <c r="BW169">
        <v>2.4774179457662301E-2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1.69957523809524</v>
      </c>
      <c r="CD169">
        <v>0.117414545454549</v>
      </c>
      <c r="CE169">
        <v>1.24732852124422E-2</v>
      </c>
      <c r="CF169">
        <v>0</v>
      </c>
      <c r="CG169">
        <v>1</v>
      </c>
      <c r="CH169">
        <v>2</v>
      </c>
      <c r="CI169" t="s">
        <v>299</v>
      </c>
      <c r="CJ169">
        <v>3.5325099999999998</v>
      </c>
      <c r="CK169">
        <v>2.7013400000000001</v>
      </c>
      <c r="CL169">
        <v>0.15667400000000001</v>
      </c>
      <c r="CM169">
        <v>0.15468000000000001</v>
      </c>
      <c r="CN169">
        <v>8.7092199999999995E-2</v>
      </c>
      <c r="CO169">
        <v>7.8836699999999996E-2</v>
      </c>
      <c r="CP169">
        <v>29541.599999999999</v>
      </c>
      <c r="CQ169">
        <v>26034.1</v>
      </c>
      <c r="CR169">
        <v>32423.4</v>
      </c>
      <c r="CS169">
        <v>30727.1</v>
      </c>
      <c r="CT169">
        <v>40098.1</v>
      </c>
      <c r="CU169">
        <v>39824.9</v>
      </c>
      <c r="CV169">
        <v>47364</v>
      </c>
      <c r="CW169">
        <v>46876.3</v>
      </c>
      <c r="CX169">
        <v>2.6131199999999999</v>
      </c>
      <c r="CY169">
        <v>2.1207600000000002</v>
      </c>
      <c r="CZ169">
        <v>0</v>
      </c>
      <c r="DA169">
        <v>0</v>
      </c>
      <c r="DB169">
        <v>999.9</v>
      </c>
      <c r="DC169">
        <v>999.9</v>
      </c>
      <c r="DD169">
        <v>44.957999999999998</v>
      </c>
      <c r="DE169">
        <v>28.893000000000001</v>
      </c>
      <c r="DF169">
        <v>17.980599999999999</v>
      </c>
      <c r="DG169">
        <v>30.478300000000001</v>
      </c>
      <c r="DH169">
        <v>16.947099999999999</v>
      </c>
      <c r="DI169">
        <v>2</v>
      </c>
      <c r="DJ169">
        <v>-6.5725599999999995E-2</v>
      </c>
      <c r="DK169">
        <v>2.7181899999999999</v>
      </c>
      <c r="DL169">
        <v>20.187200000000001</v>
      </c>
      <c r="DM169">
        <v>5.2501199999999999</v>
      </c>
      <c r="DN169">
        <v>12.033899999999999</v>
      </c>
      <c r="DO169">
        <v>4.9673600000000002</v>
      </c>
      <c r="DP169">
        <v>3.2909999999999999</v>
      </c>
      <c r="DQ169">
        <v>608.5</v>
      </c>
      <c r="DR169">
        <v>9999</v>
      </c>
      <c r="DS169">
        <v>9999</v>
      </c>
      <c r="DT169">
        <v>9999</v>
      </c>
      <c r="DU169">
        <v>1.8711899999999999</v>
      </c>
      <c r="DV169">
        <v>1.8762000000000001</v>
      </c>
      <c r="DW169">
        <v>1.8763700000000001</v>
      </c>
      <c r="DX169">
        <v>1.88286</v>
      </c>
      <c r="DY169">
        <v>1.87561</v>
      </c>
      <c r="DZ169">
        <v>1.8746799999999999</v>
      </c>
      <c r="EA169">
        <v>1.87087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-0.69099999999999995</v>
      </c>
      <c r="EQ169">
        <v>6.2600000000000003E-2</v>
      </c>
      <c r="ER169">
        <v>-0.69120000000003801</v>
      </c>
      <c r="ES169">
        <v>0</v>
      </c>
      <c r="ET169">
        <v>0</v>
      </c>
      <c r="EU169">
        <v>0</v>
      </c>
      <c r="EV169">
        <v>6.2609999999999402E-2</v>
      </c>
      <c r="EW169">
        <v>0</v>
      </c>
      <c r="EX169">
        <v>0</v>
      </c>
      <c r="EY169">
        <v>0</v>
      </c>
      <c r="EZ169">
        <v>-1</v>
      </c>
      <c r="FA169">
        <v>-1</v>
      </c>
      <c r="FB169">
        <v>-1</v>
      </c>
      <c r="FC169">
        <v>-1</v>
      </c>
      <c r="FD169">
        <v>7.3</v>
      </c>
      <c r="FE169">
        <v>7.7</v>
      </c>
      <c r="FF169">
        <v>2.1569799999999999</v>
      </c>
      <c r="FG169">
        <v>2.5988799999999999</v>
      </c>
      <c r="FH169">
        <v>2.19604</v>
      </c>
      <c r="FI169">
        <v>2.5744600000000002</v>
      </c>
      <c r="FJ169">
        <v>2.4462899999999999</v>
      </c>
      <c r="FK169">
        <v>2.2509800000000002</v>
      </c>
      <c r="FL169">
        <v>33.132199999999997</v>
      </c>
      <c r="FM169">
        <v>24.1313</v>
      </c>
      <c r="FN169">
        <v>19</v>
      </c>
      <c r="FO169">
        <v>866.42100000000005</v>
      </c>
      <c r="FP169">
        <v>576.20899999999995</v>
      </c>
      <c r="FQ169">
        <v>17.811800000000002</v>
      </c>
      <c r="FR169">
        <v>26.133900000000001</v>
      </c>
      <c r="FS169">
        <v>30</v>
      </c>
      <c r="FT169">
        <v>26.136800000000001</v>
      </c>
      <c r="FU169">
        <v>26.14</v>
      </c>
      <c r="FV169">
        <v>43.283700000000003</v>
      </c>
      <c r="FW169">
        <v>27.574400000000001</v>
      </c>
      <c r="FX169">
        <v>38.092599999999997</v>
      </c>
      <c r="FY169">
        <v>17.819299999999998</v>
      </c>
      <c r="FZ169">
        <v>800</v>
      </c>
      <c r="GA169">
        <v>13.75</v>
      </c>
      <c r="GB169">
        <v>99.792100000000005</v>
      </c>
      <c r="GC169">
        <v>99.775700000000001</v>
      </c>
    </row>
    <row r="170" spans="1:185" x14ac:dyDescent="0.2">
      <c r="A170">
        <v>155</v>
      </c>
      <c r="B170">
        <v>1771106193.0999999</v>
      </c>
      <c r="C170">
        <v>3080</v>
      </c>
      <c r="D170" t="s">
        <v>613</v>
      </c>
      <c r="E170" t="s">
        <v>614</v>
      </c>
      <c r="F170">
        <v>15</v>
      </c>
      <c r="G170">
        <v>1771106185.03333</v>
      </c>
      <c r="H170">
        <f t="shared" si="26"/>
        <v>1.3940479751226279E-3</v>
      </c>
      <c r="I170">
        <v>0</v>
      </c>
      <c r="J170">
        <f t="shared" si="38"/>
        <v>3.0570824118436878E-2</v>
      </c>
      <c r="K170">
        <f t="shared" si="27"/>
        <v>0.54664467901159675</v>
      </c>
      <c r="L170">
        <f t="shared" si="28"/>
        <v>69.964564504853882</v>
      </c>
      <c r="M170">
        <f t="shared" si="29"/>
        <v>1.5426876709021928</v>
      </c>
      <c r="N170">
        <f t="shared" si="30"/>
        <v>2.2049557255447034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26198.435112856729</v>
      </c>
      <c r="T170">
        <f t="shared" si="34"/>
        <v>799.99839999999995</v>
      </c>
      <c r="U170">
        <f t="shared" si="35"/>
        <v>674.39875359979487</v>
      </c>
      <c r="V170">
        <f t="shared" si="36"/>
        <v>0.84300012799999968</v>
      </c>
      <c r="W170">
        <f t="shared" si="37"/>
        <v>0.15870044991999993</v>
      </c>
      <c r="X170">
        <v>1</v>
      </c>
      <c r="Y170">
        <v>1771106185.03333</v>
      </c>
      <c r="Z170">
        <v>797.94006666666701</v>
      </c>
      <c r="AA170">
        <v>800.01379999999995</v>
      </c>
      <c r="AB170">
        <v>15.42618</v>
      </c>
      <c r="AC170">
        <v>13.7105266666667</v>
      </c>
      <c r="AD170">
        <v>798.63133333333303</v>
      </c>
      <c r="AE170">
        <v>15.363566666666699</v>
      </c>
      <c r="AF170">
        <v>800.01193333333299</v>
      </c>
      <c r="AG170">
        <v>99.941153333333304</v>
      </c>
      <c r="AH170">
        <v>6.3363073333333297E-2</v>
      </c>
      <c r="AI170">
        <v>18.998366666666701</v>
      </c>
      <c r="AJ170">
        <v>999.9</v>
      </c>
      <c r="AK170">
        <v>999.9</v>
      </c>
      <c r="AL170">
        <v>0</v>
      </c>
      <c r="AM170">
        <v>0</v>
      </c>
      <c r="AN170">
        <v>4998.6000000000004</v>
      </c>
      <c r="AO170">
        <v>0</v>
      </c>
      <c r="AP170">
        <v>1.58087</v>
      </c>
      <c r="AQ170">
        <v>-2.0735920000000001</v>
      </c>
      <c r="AR170">
        <v>810.442133333333</v>
      </c>
      <c r="AS170">
        <v>811.13486666666699</v>
      </c>
      <c r="AT170">
        <v>1.7156433333333301</v>
      </c>
      <c r="AU170">
        <v>800.01379999999995</v>
      </c>
      <c r="AV170">
        <v>13.7105266666667</v>
      </c>
      <c r="AW170">
        <v>1.54170933333333</v>
      </c>
      <c r="AX170">
        <v>1.3702460000000001</v>
      </c>
      <c r="AY170">
        <v>13.388206666666701</v>
      </c>
      <c r="AZ170">
        <v>11.5922933333333</v>
      </c>
      <c r="BA170">
        <v>799.99839999999995</v>
      </c>
      <c r="BB170">
        <v>0.89999379999999995</v>
      </c>
      <c r="BC170">
        <v>0</v>
      </c>
      <c r="BD170">
        <v>0.100006133333333</v>
      </c>
      <c r="BE170">
        <v>0</v>
      </c>
      <c r="BF170">
        <v>25</v>
      </c>
      <c r="BG170">
        <v>13190.9666666667</v>
      </c>
      <c r="BH170">
        <v>1771105740.0999999</v>
      </c>
      <c r="BI170" t="s">
        <v>564</v>
      </c>
      <c r="BJ170">
        <v>1771105740.0999999</v>
      </c>
      <c r="BK170">
        <v>1771105716.0999999</v>
      </c>
      <c r="BL170">
        <v>20</v>
      </c>
      <c r="BM170">
        <v>3.5999999999999997E-2</v>
      </c>
      <c r="BN170">
        <v>-2.5999999999999999E-2</v>
      </c>
      <c r="BO170">
        <v>-0.69099999999999995</v>
      </c>
      <c r="BP170">
        <v>6.3E-2</v>
      </c>
      <c r="BQ170">
        <v>500</v>
      </c>
      <c r="BR170">
        <v>14</v>
      </c>
      <c r="BS170">
        <v>0.28999999999999998</v>
      </c>
      <c r="BT170">
        <v>0.03</v>
      </c>
      <c r="BU170">
        <v>-2.0851376190476199</v>
      </c>
      <c r="BV170">
        <v>0.31095194805194798</v>
      </c>
      <c r="BW170">
        <v>4.1003185811739298E-2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1.7158638095238099</v>
      </c>
      <c r="CD170">
        <v>-9.30155844155953E-3</v>
      </c>
      <c r="CE170">
        <v>1.48658597749364E-3</v>
      </c>
      <c r="CF170">
        <v>1</v>
      </c>
      <c r="CG170">
        <v>2</v>
      </c>
      <c r="CH170">
        <v>2</v>
      </c>
      <c r="CI170" t="s">
        <v>322</v>
      </c>
      <c r="CJ170">
        <v>3.5325099999999998</v>
      </c>
      <c r="CK170">
        <v>2.7011599999999998</v>
      </c>
      <c r="CL170">
        <v>0.15667900000000001</v>
      </c>
      <c r="CM170">
        <v>0.15467600000000001</v>
      </c>
      <c r="CN170">
        <v>8.7054800000000002E-2</v>
      </c>
      <c r="CO170">
        <v>7.8829499999999997E-2</v>
      </c>
      <c r="CP170">
        <v>29541.5</v>
      </c>
      <c r="CQ170">
        <v>26034.400000000001</v>
      </c>
      <c r="CR170">
        <v>32423.5</v>
      </c>
      <c r="CS170">
        <v>30727.4</v>
      </c>
      <c r="CT170">
        <v>40099.9</v>
      </c>
      <c r="CU170">
        <v>39825.599999999999</v>
      </c>
      <c r="CV170">
        <v>47364</v>
      </c>
      <c r="CW170">
        <v>46876.7</v>
      </c>
      <c r="CX170">
        <v>2.6130200000000001</v>
      </c>
      <c r="CY170">
        <v>2.1206200000000002</v>
      </c>
      <c r="CZ170">
        <v>0</v>
      </c>
      <c r="DA170">
        <v>0</v>
      </c>
      <c r="DB170">
        <v>999.9</v>
      </c>
      <c r="DC170">
        <v>999.9</v>
      </c>
      <c r="DD170">
        <v>44.908999999999999</v>
      </c>
      <c r="DE170">
        <v>28.893000000000001</v>
      </c>
      <c r="DF170">
        <v>17.9619</v>
      </c>
      <c r="DG170">
        <v>30.418399999999998</v>
      </c>
      <c r="DH170">
        <v>16.9391</v>
      </c>
      <c r="DI170">
        <v>2</v>
      </c>
      <c r="DJ170">
        <v>-6.6404500000000005E-2</v>
      </c>
      <c r="DK170">
        <v>2.6846100000000002</v>
      </c>
      <c r="DL170">
        <v>20.187799999999999</v>
      </c>
      <c r="DM170">
        <v>5.2501199999999999</v>
      </c>
      <c r="DN170">
        <v>12.033899999999999</v>
      </c>
      <c r="DO170">
        <v>4.9670800000000002</v>
      </c>
      <c r="DP170">
        <v>3.2909999999999999</v>
      </c>
      <c r="DQ170">
        <v>608.5</v>
      </c>
      <c r="DR170">
        <v>9999</v>
      </c>
      <c r="DS170">
        <v>9999</v>
      </c>
      <c r="DT170">
        <v>9999</v>
      </c>
      <c r="DU170">
        <v>1.8711899999999999</v>
      </c>
      <c r="DV170">
        <v>1.8761699999999999</v>
      </c>
      <c r="DW170">
        <v>1.8763700000000001</v>
      </c>
      <c r="DX170">
        <v>1.8828100000000001</v>
      </c>
      <c r="DY170">
        <v>1.87561</v>
      </c>
      <c r="DZ170">
        <v>1.8746799999999999</v>
      </c>
      <c r="EA170">
        <v>1.87086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-0.69099999999999995</v>
      </c>
      <c r="EQ170">
        <v>6.2600000000000003E-2</v>
      </c>
      <c r="ER170">
        <v>-0.69120000000003801</v>
      </c>
      <c r="ES170">
        <v>0</v>
      </c>
      <c r="ET170">
        <v>0</v>
      </c>
      <c r="EU170">
        <v>0</v>
      </c>
      <c r="EV170">
        <v>6.2609999999999402E-2</v>
      </c>
      <c r="EW170">
        <v>0</v>
      </c>
      <c r="EX170">
        <v>0</v>
      </c>
      <c r="EY170">
        <v>0</v>
      </c>
      <c r="EZ170">
        <v>-1</v>
      </c>
      <c r="FA170">
        <v>-1</v>
      </c>
      <c r="FB170">
        <v>-1</v>
      </c>
      <c r="FC170">
        <v>-1</v>
      </c>
      <c r="FD170">
        <v>7.5</v>
      </c>
      <c r="FE170">
        <v>8</v>
      </c>
      <c r="FF170">
        <v>2.1569799999999999</v>
      </c>
      <c r="FG170">
        <v>2.5915499999999998</v>
      </c>
      <c r="FH170">
        <v>2.19604</v>
      </c>
      <c r="FI170">
        <v>2.5744600000000002</v>
      </c>
      <c r="FJ170">
        <v>2.4462899999999999</v>
      </c>
      <c r="FK170">
        <v>2.3046899999999999</v>
      </c>
      <c r="FL170">
        <v>33.132199999999997</v>
      </c>
      <c r="FM170">
        <v>24.14</v>
      </c>
      <c r="FN170">
        <v>19</v>
      </c>
      <c r="FO170">
        <v>866.32799999999997</v>
      </c>
      <c r="FP170">
        <v>576.1</v>
      </c>
      <c r="FQ170">
        <v>17.822099999999999</v>
      </c>
      <c r="FR170">
        <v>26.133900000000001</v>
      </c>
      <c r="FS170">
        <v>29.9999</v>
      </c>
      <c r="FT170">
        <v>26.136800000000001</v>
      </c>
      <c r="FU170">
        <v>26.14</v>
      </c>
      <c r="FV170">
        <v>43.2851</v>
      </c>
      <c r="FW170">
        <v>27.574400000000001</v>
      </c>
      <c r="FX170">
        <v>38.092599999999997</v>
      </c>
      <c r="FY170">
        <v>17.8245</v>
      </c>
      <c r="FZ170">
        <v>800</v>
      </c>
      <c r="GA170">
        <v>13.75</v>
      </c>
      <c r="GB170">
        <v>99.792299999999997</v>
      </c>
      <c r="GC170">
        <v>99.776700000000005</v>
      </c>
    </row>
    <row r="171" spans="1:185" x14ac:dyDescent="0.2">
      <c r="A171">
        <v>156</v>
      </c>
      <c r="B171">
        <v>1771106208.0999999</v>
      </c>
      <c r="C171">
        <v>3095</v>
      </c>
      <c r="D171" t="s">
        <v>615</v>
      </c>
      <c r="E171" t="s">
        <v>616</v>
      </c>
      <c r="F171">
        <v>15</v>
      </c>
      <c r="G171">
        <v>1771106200.03333</v>
      </c>
      <c r="H171">
        <f t="shared" si="26"/>
        <v>1.3862527358488761E-3</v>
      </c>
      <c r="I171">
        <v>0</v>
      </c>
      <c r="J171">
        <f t="shared" si="38"/>
        <v>3.0119767901234506E-2</v>
      </c>
      <c r="K171">
        <f t="shared" si="27"/>
        <v>0.53857922810606906</v>
      </c>
      <c r="L171">
        <f t="shared" si="28"/>
        <v>69.914305477913601</v>
      </c>
      <c r="M171">
        <f t="shared" si="29"/>
        <v>1.5415089362781462</v>
      </c>
      <c r="N171">
        <f t="shared" si="30"/>
        <v>2.2048548229734175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26192.277949874198</v>
      </c>
      <c r="T171">
        <f t="shared" si="34"/>
        <v>799.99866666666696</v>
      </c>
      <c r="U171">
        <f t="shared" si="35"/>
        <v>674.39885776003064</v>
      </c>
      <c r="V171">
        <f t="shared" si="36"/>
        <v>0.84299997719999997</v>
      </c>
      <c r="W171">
        <f t="shared" si="37"/>
        <v>0.158700020952</v>
      </c>
      <c r="X171">
        <v>1</v>
      </c>
      <c r="Y171">
        <v>1771106200.03333</v>
      </c>
      <c r="Z171">
        <v>797.93926666666698</v>
      </c>
      <c r="AA171">
        <v>799.995133333333</v>
      </c>
      <c r="AB171">
        <v>15.4142333333333</v>
      </c>
      <c r="AC171">
        <v>13.708159999999999</v>
      </c>
      <c r="AD171">
        <v>798.63059999999996</v>
      </c>
      <c r="AE171">
        <v>15.35162</v>
      </c>
      <c r="AF171">
        <v>800.015266666667</v>
      </c>
      <c r="AG171">
        <v>99.942073333333298</v>
      </c>
      <c r="AH171">
        <v>6.3480166666666699E-2</v>
      </c>
      <c r="AI171">
        <v>18.997633333333301</v>
      </c>
      <c r="AJ171">
        <v>999.9</v>
      </c>
      <c r="AK171">
        <v>999.9</v>
      </c>
      <c r="AL171">
        <v>0</v>
      </c>
      <c r="AM171">
        <v>0</v>
      </c>
      <c r="AN171">
        <v>4997.5333333333301</v>
      </c>
      <c r="AO171">
        <v>0</v>
      </c>
      <c r="AP171">
        <v>1.58087</v>
      </c>
      <c r="AQ171">
        <v>-2.05579</v>
      </c>
      <c r="AR171">
        <v>810.43140000000005</v>
      </c>
      <c r="AS171">
        <v>811.11400000000003</v>
      </c>
      <c r="AT171">
        <v>1.7060626666666701</v>
      </c>
      <c r="AU171">
        <v>799.995133333333</v>
      </c>
      <c r="AV171">
        <v>13.708159999999999</v>
      </c>
      <c r="AW171">
        <v>1.54053066666667</v>
      </c>
      <c r="AX171">
        <v>1.3700226666666699</v>
      </c>
      <c r="AY171">
        <v>13.376480000000001</v>
      </c>
      <c r="AZ171">
        <v>11.589833333333299</v>
      </c>
      <c r="BA171">
        <v>799.99866666666696</v>
      </c>
      <c r="BB171">
        <v>0.89999960000000001</v>
      </c>
      <c r="BC171">
        <v>0</v>
      </c>
      <c r="BD171">
        <v>0.10000036</v>
      </c>
      <c r="BE171">
        <v>0</v>
      </c>
      <c r="BF171">
        <v>25</v>
      </c>
      <c r="BG171">
        <v>13190.993333333299</v>
      </c>
      <c r="BH171">
        <v>1771105740.0999999</v>
      </c>
      <c r="BI171" t="s">
        <v>564</v>
      </c>
      <c r="BJ171">
        <v>1771105740.0999999</v>
      </c>
      <c r="BK171">
        <v>1771105716.0999999</v>
      </c>
      <c r="BL171">
        <v>20</v>
      </c>
      <c r="BM171">
        <v>3.5999999999999997E-2</v>
      </c>
      <c r="BN171">
        <v>-2.5999999999999999E-2</v>
      </c>
      <c r="BO171">
        <v>-0.69099999999999995</v>
      </c>
      <c r="BP171">
        <v>6.3E-2</v>
      </c>
      <c r="BQ171">
        <v>500</v>
      </c>
      <c r="BR171">
        <v>14</v>
      </c>
      <c r="BS171">
        <v>0.28999999999999998</v>
      </c>
      <c r="BT171">
        <v>0.03</v>
      </c>
      <c r="BU171">
        <v>-2.0491540000000001</v>
      </c>
      <c r="BV171">
        <v>-9.2128421052631498E-2</v>
      </c>
      <c r="BW171">
        <v>2.2489944286280501E-2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1.7078610000000001</v>
      </c>
      <c r="CD171">
        <v>-2.2993082706768701E-2</v>
      </c>
      <c r="CE171">
        <v>4.1447543956186503E-3</v>
      </c>
      <c r="CF171">
        <v>1</v>
      </c>
      <c r="CG171">
        <v>2</v>
      </c>
      <c r="CH171">
        <v>2</v>
      </c>
      <c r="CI171" t="s">
        <v>322</v>
      </c>
      <c r="CJ171">
        <v>3.5326200000000001</v>
      </c>
      <c r="CK171">
        <v>2.7014499999999999</v>
      </c>
      <c r="CL171">
        <v>0.15667700000000001</v>
      </c>
      <c r="CM171">
        <v>0.15467900000000001</v>
      </c>
      <c r="CN171">
        <v>8.7053900000000004E-2</v>
      </c>
      <c r="CO171">
        <v>7.8821799999999997E-2</v>
      </c>
      <c r="CP171">
        <v>29541.3</v>
      </c>
      <c r="CQ171">
        <v>26034.6</v>
      </c>
      <c r="CR171">
        <v>32423.3</v>
      </c>
      <c r="CS171">
        <v>30727.599999999999</v>
      </c>
      <c r="CT171">
        <v>40099.699999999997</v>
      </c>
      <c r="CU171">
        <v>39826.5</v>
      </c>
      <c r="CV171">
        <v>47363.8</v>
      </c>
      <c r="CW171">
        <v>46877.4</v>
      </c>
      <c r="CX171">
        <v>2.6132599999999999</v>
      </c>
      <c r="CY171">
        <v>2.1207400000000001</v>
      </c>
      <c r="CZ171">
        <v>0</v>
      </c>
      <c r="DA171">
        <v>0</v>
      </c>
      <c r="DB171">
        <v>999.9</v>
      </c>
      <c r="DC171">
        <v>999.9</v>
      </c>
      <c r="DD171">
        <v>44.884999999999998</v>
      </c>
      <c r="DE171">
        <v>28.882999999999999</v>
      </c>
      <c r="DF171">
        <v>17.938500000000001</v>
      </c>
      <c r="DG171">
        <v>30.598400000000002</v>
      </c>
      <c r="DH171">
        <v>16.7788</v>
      </c>
      <c r="DI171">
        <v>2</v>
      </c>
      <c r="DJ171">
        <v>-6.6166699999999995E-2</v>
      </c>
      <c r="DK171">
        <v>2.6791900000000002</v>
      </c>
      <c r="DL171">
        <v>20.187999999999999</v>
      </c>
      <c r="DM171">
        <v>5.2501199999999999</v>
      </c>
      <c r="DN171">
        <v>12.033899999999999</v>
      </c>
      <c r="DO171">
        <v>4.9672400000000003</v>
      </c>
      <c r="DP171">
        <v>3.2909999999999999</v>
      </c>
      <c r="DQ171">
        <v>608.5</v>
      </c>
      <c r="DR171">
        <v>9999</v>
      </c>
      <c r="DS171">
        <v>9999</v>
      </c>
      <c r="DT171">
        <v>9999</v>
      </c>
      <c r="DU171">
        <v>1.87117</v>
      </c>
      <c r="DV171">
        <v>1.87615</v>
      </c>
      <c r="DW171">
        <v>1.87636</v>
      </c>
      <c r="DX171">
        <v>1.8828100000000001</v>
      </c>
      <c r="DY171">
        <v>1.87561</v>
      </c>
      <c r="DZ171">
        <v>1.8746799999999999</v>
      </c>
      <c r="EA171">
        <v>1.87086</v>
      </c>
      <c r="EB171">
        <v>1.87466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-0.69099999999999995</v>
      </c>
      <c r="EQ171">
        <v>6.2600000000000003E-2</v>
      </c>
      <c r="ER171">
        <v>-0.69120000000003801</v>
      </c>
      <c r="ES171">
        <v>0</v>
      </c>
      <c r="ET171">
        <v>0</v>
      </c>
      <c r="EU171">
        <v>0</v>
      </c>
      <c r="EV171">
        <v>6.2609999999999402E-2</v>
      </c>
      <c r="EW171">
        <v>0</v>
      </c>
      <c r="EX171">
        <v>0</v>
      </c>
      <c r="EY171">
        <v>0</v>
      </c>
      <c r="EZ171">
        <v>-1</v>
      </c>
      <c r="FA171">
        <v>-1</v>
      </c>
      <c r="FB171">
        <v>-1</v>
      </c>
      <c r="FC171">
        <v>-1</v>
      </c>
      <c r="FD171">
        <v>7.8</v>
      </c>
      <c r="FE171">
        <v>8.1999999999999993</v>
      </c>
      <c r="FF171">
        <v>2.1569799999999999</v>
      </c>
      <c r="FG171">
        <v>2.5915499999999998</v>
      </c>
      <c r="FH171">
        <v>2.19604</v>
      </c>
      <c r="FI171">
        <v>2.5744600000000002</v>
      </c>
      <c r="FJ171">
        <v>2.4462899999999999</v>
      </c>
      <c r="FK171">
        <v>2.2936999999999999</v>
      </c>
      <c r="FL171">
        <v>33.154499999999999</v>
      </c>
      <c r="FM171">
        <v>24.14</v>
      </c>
      <c r="FN171">
        <v>19</v>
      </c>
      <c r="FO171">
        <v>866.55200000000002</v>
      </c>
      <c r="FP171">
        <v>576.173</v>
      </c>
      <c r="FQ171">
        <v>17.827400000000001</v>
      </c>
      <c r="FR171">
        <v>26.131599999999999</v>
      </c>
      <c r="FS171">
        <v>30.0001</v>
      </c>
      <c r="FT171">
        <v>26.136800000000001</v>
      </c>
      <c r="FU171">
        <v>26.138200000000001</v>
      </c>
      <c r="FV171">
        <v>43.2849</v>
      </c>
      <c r="FW171">
        <v>27.574400000000001</v>
      </c>
      <c r="FX171">
        <v>38.092599999999997</v>
      </c>
      <c r="FY171">
        <v>17.829599999999999</v>
      </c>
      <c r="FZ171">
        <v>800</v>
      </c>
      <c r="GA171">
        <v>13.75</v>
      </c>
      <c r="GB171">
        <v>99.791700000000006</v>
      </c>
      <c r="GC171">
        <v>99.777799999999999</v>
      </c>
    </row>
    <row r="172" spans="1:185" x14ac:dyDescent="0.2">
      <c r="A172">
        <v>157</v>
      </c>
      <c r="B172">
        <v>1771106223.0999999</v>
      </c>
      <c r="C172">
        <v>3110</v>
      </c>
      <c r="D172" t="s">
        <v>617</v>
      </c>
      <c r="E172" t="s">
        <v>618</v>
      </c>
      <c r="F172">
        <v>15</v>
      </c>
      <c r="G172">
        <v>1771106215.03333</v>
      </c>
      <c r="H172">
        <f t="shared" si="26"/>
        <v>1.4119187967142962E-3</v>
      </c>
      <c r="I172">
        <v>0</v>
      </c>
      <c r="J172">
        <f t="shared" si="38"/>
        <v>3.065739902390599E-2</v>
      </c>
      <c r="K172">
        <f t="shared" si="27"/>
        <v>0.54819274690885966</v>
      </c>
      <c r="L172">
        <f t="shared" si="28"/>
        <v>69.96824127156313</v>
      </c>
      <c r="M172">
        <f t="shared" si="29"/>
        <v>1.5425428327360169</v>
      </c>
      <c r="N172">
        <f t="shared" si="30"/>
        <v>2.204632851566251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26209.869789889006</v>
      </c>
      <c r="T172">
        <f t="shared" si="34"/>
        <v>800.00066666666703</v>
      </c>
      <c r="U172">
        <f t="shared" si="35"/>
        <v>674.40048599993702</v>
      </c>
      <c r="V172">
        <f t="shared" si="36"/>
        <v>0.84299990499999999</v>
      </c>
      <c r="W172">
        <f t="shared" si="37"/>
        <v>0.15869982746</v>
      </c>
      <c r="X172">
        <v>1</v>
      </c>
      <c r="Y172">
        <v>1771106215.03333</v>
      </c>
      <c r="Z172">
        <v>797.91826666666702</v>
      </c>
      <c r="AA172">
        <v>800.01173333333304</v>
      </c>
      <c r="AB172">
        <v>15.424519999999999</v>
      </c>
      <c r="AC172">
        <v>13.686859999999999</v>
      </c>
      <c r="AD172">
        <v>798.60966666666695</v>
      </c>
      <c r="AE172">
        <v>15.3619066666667</v>
      </c>
      <c r="AF172">
        <v>800.00726666666696</v>
      </c>
      <c r="AG172">
        <v>99.942359999999994</v>
      </c>
      <c r="AH172">
        <v>6.3528853333333302E-2</v>
      </c>
      <c r="AI172">
        <v>18.996020000000001</v>
      </c>
      <c r="AJ172">
        <v>999.9</v>
      </c>
      <c r="AK172">
        <v>999.9</v>
      </c>
      <c r="AL172">
        <v>0</v>
      </c>
      <c r="AM172">
        <v>0</v>
      </c>
      <c r="AN172">
        <v>5000.3999999999996</v>
      </c>
      <c r="AO172">
        <v>0</v>
      </c>
      <c r="AP172">
        <v>1.58087</v>
      </c>
      <c r="AQ172">
        <v>-2.0933120000000001</v>
      </c>
      <c r="AR172">
        <v>810.41873333333297</v>
      </c>
      <c r="AS172">
        <v>811.11339999999996</v>
      </c>
      <c r="AT172">
        <v>1.7376480000000001</v>
      </c>
      <c r="AU172">
        <v>800.01173333333304</v>
      </c>
      <c r="AV172">
        <v>13.686859999999999</v>
      </c>
      <c r="AW172">
        <v>1.5415620000000001</v>
      </c>
      <c r="AX172">
        <v>1.36789733333333</v>
      </c>
      <c r="AY172">
        <v>13.38674</v>
      </c>
      <c r="AZ172">
        <v>11.5663533333333</v>
      </c>
      <c r="BA172">
        <v>800.00066666666703</v>
      </c>
      <c r="BB172">
        <v>0.90000219999999997</v>
      </c>
      <c r="BC172">
        <v>0</v>
      </c>
      <c r="BD172">
        <v>9.9997766666666696E-2</v>
      </c>
      <c r="BE172">
        <v>0</v>
      </c>
      <c r="BF172">
        <v>25</v>
      </c>
      <c r="BG172">
        <v>13191.053333333301</v>
      </c>
      <c r="BH172">
        <v>1771105740.0999999</v>
      </c>
      <c r="BI172" t="s">
        <v>564</v>
      </c>
      <c r="BJ172">
        <v>1771105740.0999999</v>
      </c>
      <c r="BK172">
        <v>1771105716.0999999</v>
      </c>
      <c r="BL172">
        <v>20</v>
      </c>
      <c r="BM172">
        <v>3.5999999999999997E-2</v>
      </c>
      <c r="BN172">
        <v>-2.5999999999999999E-2</v>
      </c>
      <c r="BO172">
        <v>-0.69099999999999995</v>
      </c>
      <c r="BP172">
        <v>6.3E-2</v>
      </c>
      <c r="BQ172">
        <v>500</v>
      </c>
      <c r="BR172">
        <v>14</v>
      </c>
      <c r="BS172">
        <v>0.28999999999999998</v>
      </c>
      <c r="BT172">
        <v>0.03</v>
      </c>
      <c r="BU172">
        <v>-2.0820523809523799</v>
      </c>
      <c r="BV172">
        <v>-0.20013662337662499</v>
      </c>
      <c r="BW172">
        <v>3.2988459151470098E-2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1.72900285714286</v>
      </c>
      <c r="CD172">
        <v>0.192535324675325</v>
      </c>
      <c r="CE172">
        <v>2.1193960986869001E-2</v>
      </c>
      <c r="CF172">
        <v>0</v>
      </c>
      <c r="CG172">
        <v>1</v>
      </c>
      <c r="CH172">
        <v>2</v>
      </c>
      <c r="CI172" t="s">
        <v>299</v>
      </c>
      <c r="CJ172">
        <v>3.5325799999999998</v>
      </c>
      <c r="CK172">
        <v>2.7010100000000001</v>
      </c>
      <c r="CL172">
        <v>0.15667500000000001</v>
      </c>
      <c r="CM172">
        <v>0.15467900000000001</v>
      </c>
      <c r="CN172">
        <v>8.70282E-2</v>
      </c>
      <c r="CO172">
        <v>7.8697299999999998E-2</v>
      </c>
      <c r="CP172">
        <v>29541.4</v>
      </c>
      <c r="CQ172">
        <v>26034.400000000001</v>
      </c>
      <c r="CR172">
        <v>32423.200000000001</v>
      </c>
      <c r="CS172">
        <v>30727.4</v>
      </c>
      <c r="CT172">
        <v>40100.5</v>
      </c>
      <c r="CU172">
        <v>39831.5</v>
      </c>
      <c r="CV172">
        <v>47363.3</v>
      </c>
      <c r="CW172">
        <v>46876.800000000003</v>
      </c>
      <c r="CX172">
        <v>2.6132200000000001</v>
      </c>
      <c r="CY172">
        <v>2.1206399999999999</v>
      </c>
      <c r="CZ172">
        <v>0</v>
      </c>
      <c r="DA172">
        <v>0</v>
      </c>
      <c r="DB172">
        <v>999.9</v>
      </c>
      <c r="DC172">
        <v>999.9</v>
      </c>
      <c r="DD172">
        <v>44.817</v>
      </c>
      <c r="DE172">
        <v>28.882999999999999</v>
      </c>
      <c r="DF172">
        <v>17.913499999999999</v>
      </c>
      <c r="DG172">
        <v>30.418399999999998</v>
      </c>
      <c r="DH172">
        <v>16.834900000000001</v>
      </c>
      <c r="DI172">
        <v>2</v>
      </c>
      <c r="DJ172">
        <v>-6.6250000000000003E-2</v>
      </c>
      <c r="DK172">
        <v>2.6637300000000002</v>
      </c>
      <c r="DL172">
        <v>20.188099999999999</v>
      </c>
      <c r="DM172">
        <v>5.2502399999999998</v>
      </c>
      <c r="DN172">
        <v>12.033899999999999</v>
      </c>
      <c r="DO172">
        <v>4.9674399999999999</v>
      </c>
      <c r="DP172">
        <v>3.2909999999999999</v>
      </c>
      <c r="DQ172">
        <v>608.5</v>
      </c>
      <c r="DR172">
        <v>9999</v>
      </c>
      <c r="DS172">
        <v>9999</v>
      </c>
      <c r="DT172">
        <v>9999</v>
      </c>
      <c r="DU172">
        <v>1.87117</v>
      </c>
      <c r="DV172">
        <v>1.8762000000000001</v>
      </c>
      <c r="DW172">
        <v>1.8763700000000001</v>
      </c>
      <c r="DX172">
        <v>1.88283</v>
      </c>
      <c r="DY172">
        <v>1.87561</v>
      </c>
      <c r="DZ172">
        <v>1.8746799999999999</v>
      </c>
      <c r="EA172">
        <v>1.8708800000000001</v>
      </c>
      <c r="EB172">
        <v>1.8746799999999999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-0.69199999999999995</v>
      </c>
      <c r="EQ172">
        <v>6.2600000000000003E-2</v>
      </c>
      <c r="ER172">
        <v>-0.69120000000003801</v>
      </c>
      <c r="ES172">
        <v>0</v>
      </c>
      <c r="ET172">
        <v>0</v>
      </c>
      <c r="EU172">
        <v>0</v>
      </c>
      <c r="EV172">
        <v>6.2609999999999402E-2</v>
      </c>
      <c r="EW172">
        <v>0</v>
      </c>
      <c r="EX172">
        <v>0</v>
      </c>
      <c r="EY172">
        <v>0</v>
      </c>
      <c r="EZ172">
        <v>-1</v>
      </c>
      <c r="FA172">
        <v>-1</v>
      </c>
      <c r="FB172">
        <v>-1</v>
      </c>
      <c r="FC172">
        <v>-1</v>
      </c>
      <c r="FD172">
        <v>8.1</v>
      </c>
      <c r="FE172">
        <v>8.4</v>
      </c>
      <c r="FF172">
        <v>2.1569799999999999</v>
      </c>
      <c r="FG172">
        <v>2.5976599999999999</v>
      </c>
      <c r="FH172">
        <v>2.19604</v>
      </c>
      <c r="FI172">
        <v>2.5744600000000002</v>
      </c>
      <c r="FJ172">
        <v>2.4462899999999999</v>
      </c>
      <c r="FK172">
        <v>2.2888199999999999</v>
      </c>
      <c r="FL172">
        <v>33.132199999999997</v>
      </c>
      <c r="FM172">
        <v>24.14</v>
      </c>
      <c r="FN172">
        <v>19</v>
      </c>
      <c r="FO172">
        <v>866.51400000000001</v>
      </c>
      <c r="FP172">
        <v>576.096</v>
      </c>
      <c r="FQ172">
        <v>17.834199999999999</v>
      </c>
      <c r="FR172">
        <v>26.131599999999999</v>
      </c>
      <c r="FS172">
        <v>30.0001</v>
      </c>
      <c r="FT172">
        <v>26.136700000000001</v>
      </c>
      <c r="FU172">
        <v>26.138200000000001</v>
      </c>
      <c r="FV172">
        <v>43.2834</v>
      </c>
      <c r="FW172">
        <v>27.279900000000001</v>
      </c>
      <c r="FX172">
        <v>37.7209</v>
      </c>
      <c r="FY172">
        <v>17.838000000000001</v>
      </c>
      <c r="FZ172">
        <v>800</v>
      </c>
      <c r="GA172">
        <v>13.75</v>
      </c>
      <c r="GB172">
        <v>99.790999999999997</v>
      </c>
      <c r="GC172">
        <v>99.776799999999994</v>
      </c>
    </row>
    <row r="173" spans="1:185" x14ac:dyDescent="0.2">
      <c r="A173">
        <v>158</v>
      </c>
      <c r="B173">
        <v>1771106238.0999999</v>
      </c>
      <c r="C173">
        <v>3125</v>
      </c>
      <c r="D173" t="s">
        <v>619</v>
      </c>
      <c r="E173" t="s">
        <v>620</v>
      </c>
      <c r="F173">
        <v>15</v>
      </c>
      <c r="G173">
        <v>1771106230.03333</v>
      </c>
      <c r="H173">
        <f t="shared" si="26"/>
        <v>1.3974595905912753E-3</v>
      </c>
      <c r="I173">
        <v>0</v>
      </c>
      <c r="J173">
        <f t="shared" si="38"/>
        <v>3.0053968969532708E-2</v>
      </c>
      <c r="K173">
        <f t="shared" si="27"/>
        <v>0.53740266067824682</v>
      </c>
      <c r="L173">
        <f t="shared" si="28"/>
        <v>69.907638129549625</v>
      </c>
      <c r="M173">
        <f t="shared" si="29"/>
        <v>1.5413061433070059</v>
      </c>
      <c r="N173">
        <f t="shared" si="30"/>
        <v>2.204775021079568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26208.686664067915</v>
      </c>
      <c r="T173">
        <f t="shared" si="34"/>
        <v>800.00233333333301</v>
      </c>
      <c r="U173">
        <f t="shared" si="35"/>
        <v>674.40197020000926</v>
      </c>
      <c r="V173">
        <f t="shared" si="36"/>
        <v>0.8430000040000003</v>
      </c>
      <c r="W173">
        <f t="shared" si="37"/>
        <v>0.15870026984000007</v>
      </c>
      <c r="X173">
        <v>1</v>
      </c>
      <c r="Y173">
        <v>1771106230.03333</v>
      </c>
      <c r="Z173">
        <v>797.94680000000005</v>
      </c>
      <c r="AA173">
        <v>800.01239999999996</v>
      </c>
      <c r="AB173">
        <v>15.4122866666667</v>
      </c>
      <c r="AC173">
        <v>13.692406666666701</v>
      </c>
      <c r="AD173">
        <v>798.63793333333297</v>
      </c>
      <c r="AE173">
        <v>15.349653333333301</v>
      </c>
      <c r="AF173">
        <v>800.01020000000005</v>
      </c>
      <c r="AG173">
        <v>99.942053333333305</v>
      </c>
      <c r="AH173">
        <v>6.2973606666666695E-2</v>
      </c>
      <c r="AI173">
        <v>18.997053333333302</v>
      </c>
      <c r="AJ173">
        <v>999.9</v>
      </c>
      <c r="AK173">
        <v>999.9</v>
      </c>
      <c r="AL173">
        <v>0</v>
      </c>
      <c r="AM173">
        <v>0</v>
      </c>
      <c r="AN173">
        <v>5000.2333333333299</v>
      </c>
      <c r="AO173">
        <v>0</v>
      </c>
      <c r="AP173">
        <v>1.58087</v>
      </c>
      <c r="AQ173">
        <v>-2.0655886666666698</v>
      </c>
      <c r="AR173">
        <v>810.43766666666704</v>
      </c>
      <c r="AS173">
        <v>811.11873333333301</v>
      </c>
      <c r="AT173">
        <v>1.7198646666666699</v>
      </c>
      <c r="AU173">
        <v>800.01239999999996</v>
      </c>
      <c r="AV173">
        <v>13.692406666666701</v>
      </c>
      <c r="AW173">
        <v>1.5403353333333301</v>
      </c>
      <c r="AX173">
        <v>1.3684466666666699</v>
      </c>
      <c r="AY173">
        <v>13.37452</v>
      </c>
      <c r="AZ173">
        <v>11.572433333333301</v>
      </c>
      <c r="BA173">
        <v>800.00233333333301</v>
      </c>
      <c r="BB173">
        <v>0.89999600000000002</v>
      </c>
      <c r="BC173">
        <v>0</v>
      </c>
      <c r="BD173">
        <v>0.100003866666667</v>
      </c>
      <c r="BE173">
        <v>0</v>
      </c>
      <c r="BF173">
        <v>25</v>
      </c>
      <c r="BG173">
        <v>13191.053333333301</v>
      </c>
      <c r="BH173">
        <v>1771105740.0999999</v>
      </c>
      <c r="BI173" t="s">
        <v>564</v>
      </c>
      <c r="BJ173">
        <v>1771105740.0999999</v>
      </c>
      <c r="BK173">
        <v>1771105716.0999999</v>
      </c>
      <c r="BL173">
        <v>20</v>
      </c>
      <c r="BM173">
        <v>3.5999999999999997E-2</v>
      </c>
      <c r="BN173">
        <v>-2.5999999999999999E-2</v>
      </c>
      <c r="BO173">
        <v>-0.69099999999999995</v>
      </c>
      <c r="BP173">
        <v>6.3E-2</v>
      </c>
      <c r="BQ173">
        <v>500</v>
      </c>
      <c r="BR173">
        <v>14</v>
      </c>
      <c r="BS173">
        <v>0.28999999999999998</v>
      </c>
      <c r="BT173">
        <v>0.03</v>
      </c>
      <c r="BU173">
        <v>-2.0772370000000002</v>
      </c>
      <c r="BV173">
        <v>0.20518827067669301</v>
      </c>
      <c r="BW173">
        <v>3.5725408339163899E-2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1.7285820000000001</v>
      </c>
      <c r="CD173">
        <v>-0.152370225563911</v>
      </c>
      <c r="CE173">
        <v>1.7088171523015599E-2</v>
      </c>
      <c r="CF173">
        <v>0</v>
      </c>
      <c r="CG173">
        <v>1</v>
      </c>
      <c r="CH173">
        <v>2</v>
      </c>
      <c r="CI173" t="s">
        <v>299</v>
      </c>
      <c r="CJ173">
        <v>3.5324800000000001</v>
      </c>
      <c r="CK173">
        <v>2.7008800000000002</v>
      </c>
      <c r="CL173">
        <v>0.15668199999999999</v>
      </c>
      <c r="CM173">
        <v>0.15468399999999999</v>
      </c>
      <c r="CN173">
        <v>8.7033700000000006E-2</v>
      </c>
      <c r="CO173">
        <v>7.8769599999999995E-2</v>
      </c>
      <c r="CP173">
        <v>29541.5</v>
      </c>
      <c r="CQ173">
        <v>26034.3</v>
      </c>
      <c r="CR173">
        <v>32423.7</v>
      </c>
      <c r="CS173">
        <v>30727.5</v>
      </c>
      <c r="CT173">
        <v>40100.9</v>
      </c>
      <c r="CU173">
        <v>39828.199999999997</v>
      </c>
      <c r="CV173">
        <v>47364.2</v>
      </c>
      <c r="CW173">
        <v>46876.7</v>
      </c>
      <c r="CX173">
        <v>2.6133600000000001</v>
      </c>
      <c r="CY173">
        <v>2.1205599999999998</v>
      </c>
      <c r="CZ173">
        <v>0</v>
      </c>
      <c r="DA173">
        <v>0</v>
      </c>
      <c r="DB173">
        <v>999.9</v>
      </c>
      <c r="DC173">
        <v>999.9</v>
      </c>
      <c r="DD173">
        <v>44.768999999999998</v>
      </c>
      <c r="DE173">
        <v>28.882999999999999</v>
      </c>
      <c r="DF173">
        <v>17.8931</v>
      </c>
      <c r="DG173">
        <v>30.5684</v>
      </c>
      <c r="DH173">
        <v>16.931100000000001</v>
      </c>
      <c r="DI173">
        <v>2</v>
      </c>
      <c r="DJ173">
        <v>-6.6398399999999996E-2</v>
      </c>
      <c r="DK173">
        <v>2.6520800000000002</v>
      </c>
      <c r="DL173">
        <v>20.188199999999998</v>
      </c>
      <c r="DM173">
        <v>5.2510700000000003</v>
      </c>
      <c r="DN173">
        <v>12.033899999999999</v>
      </c>
      <c r="DO173">
        <v>4.9675599999999998</v>
      </c>
      <c r="DP173">
        <v>3.2909999999999999</v>
      </c>
      <c r="DQ173">
        <v>608.5</v>
      </c>
      <c r="DR173">
        <v>9999</v>
      </c>
      <c r="DS173">
        <v>9999</v>
      </c>
      <c r="DT173">
        <v>9999</v>
      </c>
      <c r="DU173">
        <v>1.8711899999999999</v>
      </c>
      <c r="DV173">
        <v>1.87618</v>
      </c>
      <c r="DW173">
        <v>1.8763700000000001</v>
      </c>
      <c r="DX173">
        <v>1.88283</v>
      </c>
      <c r="DY173">
        <v>1.87561</v>
      </c>
      <c r="DZ173">
        <v>1.8746799999999999</v>
      </c>
      <c r="EA173">
        <v>1.87087</v>
      </c>
      <c r="EB173">
        <v>1.8746799999999999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-0.69099999999999995</v>
      </c>
      <c r="EQ173">
        <v>6.2600000000000003E-2</v>
      </c>
      <c r="ER173">
        <v>-0.69120000000003801</v>
      </c>
      <c r="ES173">
        <v>0</v>
      </c>
      <c r="ET173">
        <v>0</v>
      </c>
      <c r="EU173">
        <v>0</v>
      </c>
      <c r="EV173">
        <v>6.2609999999999402E-2</v>
      </c>
      <c r="EW173">
        <v>0</v>
      </c>
      <c r="EX173">
        <v>0</v>
      </c>
      <c r="EY173">
        <v>0</v>
      </c>
      <c r="EZ173">
        <v>-1</v>
      </c>
      <c r="FA173">
        <v>-1</v>
      </c>
      <c r="FB173">
        <v>-1</v>
      </c>
      <c r="FC173">
        <v>-1</v>
      </c>
      <c r="FD173">
        <v>8.3000000000000007</v>
      </c>
      <c r="FE173">
        <v>8.6999999999999993</v>
      </c>
      <c r="FF173">
        <v>2.1569799999999999</v>
      </c>
      <c r="FG173">
        <v>2.5964399999999999</v>
      </c>
      <c r="FH173">
        <v>2.19604</v>
      </c>
      <c r="FI173">
        <v>2.5744600000000002</v>
      </c>
      <c r="FJ173">
        <v>2.4462899999999999</v>
      </c>
      <c r="FK173">
        <v>2.2680699999999998</v>
      </c>
      <c r="FL173">
        <v>33.154499999999999</v>
      </c>
      <c r="FM173">
        <v>24.1313</v>
      </c>
      <c r="FN173">
        <v>19</v>
      </c>
      <c r="FO173">
        <v>866.61</v>
      </c>
      <c r="FP173">
        <v>576.03499999999997</v>
      </c>
      <c r="FQ173">
        <v>17.841699999999999</v>
      </c>
      <c r="FR173">
        <v>26.129799999999999</v>
      </c>
      <c r="FS173">
        <v>30</v>
      </c>
      <c r="FT173">
        <v>26.134599999999999</v>
      </c>
      <c r="FU173">
        <v>26.138200000000001</v>
      </c>
      <c r="FV173">
        <v>43.2821</v>
      </c>
      <c r="FW173">
        <v>27.279900000000001</v>
      </c>
      <c r="FX173">
        <v>37.7209</v>
      </c>
      <c r="FY173">
        <v>17.844100000000001</v>
      </c>
      <c r="FZ173">
        <v>800</v>
      </c>
      <c r="GA173">
        <v>13.75</v>
      </c>
      <c r="GB173">
        <v>99.792699999999996</v>
      </c>
      <c r="GC173">
        <v>99.776799999999994</v>
      </c>
    </row>
    <row r="174" spans="1:185" x14ac:dyDescent="0.2">
      <c r="A174">
        <v>159</v>
      </c>
      <c r="B174">
        <v>1771106253.0999999</v>
      </c>
      <c r="C174">
        <v>3140</v>
      </c>
      <c r="D174" t="s">
        <v>621</v>
      </c>
      <c r="E174" t="s">
        <v>622</v>
      </c>
      <c r="F174">
        <v>15</v>
      </c>
      <c r="G174">
        <v>1771106245.03333</v>
      </c>
      <c r="H174">
        <f t="shared" si="26"/>
        <v>1.3927451433789369E-3</v>
      </c>
      <c r="I174">
        <v>0</v>
      </c>
      <c r="J174">
        <f t="shared" si="38"/>
        <v>2.9966650157106218E-2</v>
      </c>
      <c r="K174">
        <f t="shared" si="27"/>
        <v>0.53584129079153298</v>
      </c>
      <c r="L174">
        <f t="shared" si="28"/>
        <v>69.885329621277833</v>
      </c>
      <c r="M174">
        <f t="shared" si="29"/>
        <v>1.5409501928504319</v>
      </c>
      <c r="N174">
        <f t="shared" si="30"/>
        <v>2.2049694852999049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26202.213137861476</v>
      </c>
      <c r="T174">
        <f t="shared" si="34"/>
        <v>799.9982</v>
      </c>
      <c r="U174">
        <f t="shared" si="35"/>
        <v>674.39849939996179</v>
      </c>
      <c r="V174">
        <f t="shared" si="36"/>
        <v>0.84300002099999949</v>
      </c>
      <c r="W174">
        <f t="shared" si="37"/>
        <v>0.15870011745999987</v>
      </c>
      <c r="X174">
        <v>1</v>
      </c>
      <c r="Y174">
        <v>1771106245.03333</v>
      </c>
      <c r="Z174">
        <v>797.947</v>
      </c>
      <c r="AA174">
        <v>800.00593333333302</v>
      </c>
      <c r="AB174">
        <v>15.40864</v>
      </c>
      <c r="AC174">
        <v>13.694566666666701</v>
      </c>
      <c r="AD174">
        <v>798.63833333333298</v>
      </c>
      <c r="AE174">
        <v>15.346019999999999</v>
      </c>
      <c r="AF174">
        <v>800.015266666667</v>
      </c>
      <c r="AG174">
        <v>99.942499999999995</v>
      </c>
      <c r="AH174">
        <v>6.3093800000000005E-2</v>
      </c>
      <c r="AI174">
        <v>18.998466666666701</v>
      </c>
      <c r="AJ174">
        <v>999.9</v>
      </c>
      <c r="AK174">
        <v>999.9</v>
      </c>
      <c r="AL174">
        <v>0</v>
      </c>
      <c r="AM174">
        <v>0</v>
      </c>
      <c r="AN174">
        <v>4999.1666666666697</v>
      </c>
      <c r="AO174">
        <v>0</v>
      </c>
      <c r="AP174">
        <v>1.58087</v>
      </c>
      <c r="AQ174">
        <v>-2.05895266666667</v>
      </c>
      <c r="AR174">
        <v>810.434666666667</v>
      </c>
      <c r="AS174">
        <v>811.11373333333302</v>
      </c>
      <c r="AT174">
        <v>1.714062</v>
      </c>
      <c r="AU174">
        <v>800.00593333333302</v>
      </c>
      <c r="AV174">
        <v>13.694566666666701</v>
      </c>
      <c r="AW174">
        <v>1.5399780000000001</v>
      </c>
      <c r="AX174">
        <v>1.3686700000000001</v>
      </c>
      <c r="AY174">
        <v>13.370953333333301</v>
      </c>
      <c r="AZ174">
        <v>11.57488</v>
      </c>
      <c r="BA174">
        <v>799.9982</v>
      </c>
      <c r="BB174">
        <v>0.89999833333333301</v>
      </c>
      <c r="BC174">
        <v>0</v>
      </c>
      <c r="BD174">
        <v>0.10000163333333301</v>
      </c>
      <c r="BE174">
        <v>0</v>
      </c>
      <c r="BF174">
        <v>25</v>
      </c>
      <c r="BG174">
        <v>13190.9866666667</v>
      </c>
      <c r="BH174">
        <v>1771105740.0999999</v>
      </c>
      <c r="BI174" t="s">
        <v>564</v>
      </c>
      <c r="BJ174">
        <v>1771105740.0999999</v>
      </c>
      <c r="BK174">
        <v>1771105716.0999999</v>
      </c>
      <c r="BL174">
        <v>20</v>
      </c>
      <c r="BM174">
        <v>3.5999999999999997E-2</v>
      </c>
      <c r="BN174">
        <v>-2.5999999999999999E-2</v>
      </c>
      <c r="BO174">
        <v>-0.69099999999999995</v>
      </c>
      <c r="BP174">
        <v>6.3E-2</v>
      </c>
      <c r="BQ174">
        <v>500</v>
      </c>
      <c r="BR174">
        <v>14</v>
      </c>
      <c r="BS174">
        <v>0.28999999999999998</v>
      </c>
      <c r="BT174">
        <v>0.03</v>
      </c>
      <c r="BU174">
        <v>-2.05652809523809</v>
      </c>
      <c r="BV174">
        <v>-2.7679480519479601E-2</v>
      </c>
      <c r="BW174">
        <v>2.7917539907146599E-2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1.71471333333333</v>
      </c>
      <c r="CD174">
        <v>-2.2522597402594598E-2</v>
      </c>
      <c r="CE174">
        <v>3.07691145907452E-3</v>
      </c>
      <c r="CF174">
        <v>1</v>
      </c>
      <c r="CG174">
        <v>2</v>
      </c>
      <c r="CH174">
        <v>2</v>
      </c>
      <c r="CI174" t="s">
        <v>322</v>
      </c>
      <c r="CJ174">
        <v>3.5325500000000001</v>
      </c>
      <c r="CK174">
        <v>2.7009400000000001</v>
      </c>
      <c r="CL174">
        <v>0.15668199999999999</v>
      </c>
      <c r="CM174">
        <v>0.15468199999999999</v>
      </c>
      <c r="CN174">
        <v>8.6990700000000004E-2</v>
      </c>
      <c r="CO174">
        <v>7.8762100000000002E-2</v>
      </c>
      <c r="CP174">
        <v>29541.5</v>
      </c>
      <c r="CQ174">
        <v>26034.3</v>
      </c>
      <c r="CR174">
        <v>32423.599999999999</v>
      </c>
      <c r="CS174">
        <v>30727.4</v>
      </c>
      <c r="CT174">
        <v>40102.800000000003</v>
      </c>
      <c r="CU174">
        <v>39828.6</v>
      </c>
      <c r="CV174">
        <v>47364.1</v>
      </c>
      <c r="CW174">
        <v>46876.800000000003</v>
      </c>
      <c r="CX174">
        <v>2.6133999999999999</v>
      </c>
      <c r="CY174">
        <v>2.1206999999999998</v>
      </c>
      <c r="CZ174">
        <v>0</v>
      </c>
      <c r="DA174">
        <v>0</v>
      </c>
      <c r="DB174">
        <v>999.9</v>
      </c>
      <c r="DC174">
        <v>999.9</v>
      </c>
      <c r="DD174">
        <v>44.744</v>
      </c>
      <c r="DE174">
        <v>28.882999999999999</v>
      </c>
      <c r="DF174">
        <v>17.8842</v>
      </c>
      <c r="DG174">
        <v>30.3584</v>
      </c>
      <c r="DH174">
        <v>16.9832</v>
      </c>
      <c r="DI174">
        <v>2</v>
      </c>
      <c r="DJ174">
        <v>-6.6475599999999996E-2</v>
      </c>
      <c r="DK174">
        <v>2.6555599999999999</v>
      </c>
      <c r="DL174">
        <v>20.188400000000001</v>
      </c>
      <c r="DM174">
        <v>5.2503500000000001</v>
      </c>
      <c r="DN174">
        <v>12.033899999999999</v>
      </c>
      <c r="DO174">
        <v>4.9676799999999997</v>
      </c>
      <c r="DP174">
        <v>3.2909999999999999</v>
      </c>
      <c r="DQ174">
        <v>608.5</v>
      </c>
      <c r="DR174">
        <v>9999</v>
      </c>
      <c r="DS174">
        <v>9999</v>
      </c>
      <c r="DT174">
        <v>9999</v>
      </c>
      <c r="DU174">
        <v>1.8711899999999999</v>
      </c>
      <c r="DV174">
        <v>1.8762099999999999</v>
      </c>
      <c r="DW174">
        <v>1.8763700000000001</v>
      </c>
      <c r="DX174">
        <v>1.88287</v>
      </c>
      <c r="DY174">
        <v>1.8756299999999999</v>
      </c>
      <c r="DZ174">
        <v>1.87469</v>
      </c>
      <c r="EA174">
        <v>1.8708800000000001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-0.69099999999999995</v>
      </c>
      <c r="EQ174">
        <v>6.2600000000000003E-2</v>
      </c>
      <c r="ER174">
        <v>-0.69120000000003801</v>
      </c>
      <c r="ES174">
        <v>0</v>
      </c>
      <c r="ET174">
        <v>0</v>
      </c>
      <c r="EU174">
        <v>0</v>
      </c>
      <c r="EV174">
        <v>6.2609999999999402E-2</v>
      </c>
      <c r="EW174">
        <v>0</v>
      </c>
      <c r="EX174">
        <v>0</v>
      </c>
      <c r="EY174">
        <v>0</v>
      </c>
      <c r="EZ174">
        <v>-1</v>
      </c>
      <c r="FA174">
        <v>-1</v>
      </c>
      <c r="FB174">
        <v>-1</v>
      </c>
      <c r="FC174">
        <v>-1</v>
      </c>
      <c r="FD174">
        <v>8.6</v>
      </c>
      <c r="FE174">
        <v>8.9</v>
      </c>
      <c r="FF174">
        <v>2.1569799999999999</v>
      </c>
      <c r="FG174">
        <v>2.5927699999999998</v>
      </c>
      <c r="FH174">
        <v>2.19604</v>
      </c>
      <c r="FI174">
        <v>2.5744600000000002</v>
      </c>
      <c r="FJ174">
        <v>2.4462899999999999</v>
      </c>
      <c r="FK174">
        <v>2.2546400000000002</v>
      </c>
      <c r="FL174">
        <v>33.132199999999997</v>
      </c>
      <c r="FM174">
        <v>24.1313</v>
      </c>
      <c r="FN174">
        <v>19</v>
      </c>
      <c r="FO174">
        <v>866.64800000000002</v>
      </c>
      <c r="FP174">
        <v>576.11900000000003</v>
      </c>
      <c r="FQ174">
        <v>17.846599999999999</v>
      </c>
      <c r="FR174">
        <v>26.1295</v>
      </c>
      <c r="FS174">
        <v>30.0001</v>
      </c>
      <c r="FT174">
        <v>26.134599999999999</v>
      </c>
      <c r="FU174">
        <v>26.136099999999999</v>
      </c>
      <c r="FV174">
        <v>43.28</v>
      </c>
      <c r="FW174">
        <v>27.279900000000001</v>
      </c>
      <c r="FX174">
        <v>37.7209</v>
      </c>
      <c r="FY174">
        <v>17.847200000000001</v>
      </c>
      <c r="FZ174">
        <v>800</v>
      </c>
      <c r="GA174">
        <v>13.75</v>
      </c>
      <c r="GB174">
        <v>99.792500000000004</v>
      </c>
      <c r="GC174">
        <v>99.776799999999994</v>
      </c>
    </row>
    <row r="175" spans="1:185" x14ac:dyDescent="0.2">
      <c r="A175">
        <v>160</v>
      </c>
      <c r="B175">
        <v>1771106268.0999999</v>
      </c>
      <c r="C175">
        <v>3155</v>
      </c>
      <c r="D175" t="s">
        <v>623</v>
      </c>
      <c r="E175" t="s">
        <v>624</v>
      </c>
      <c r="F175">
        <v>15</v>
      </c>
      <c r="G175">
        <v>1771106260.03333</v>
      </c>
      <c r="H175">
        <f t="shared" si="26"/>
        <v>1.3817026192480427E-3</v>
      </c>
      <c r="I175">
        <v>0</v>
      </c>
      <c r="J175">
        <f t="shared" si="38"/>
        <v>2.9256530068546602E-2</v>
      </c>
      <c r="K175">
        <f t="shared" si="27"/>
        <v>0.52314345293258402</v>
      </c>
      <c r="L175">
        <f t="shared" si="28"/>
        <v>69.847965150721166</v>
      </c>
      <c r="M175">
        <f t="shared" si="29"/>
        <v>1.5402499827298433</v>
      </c>
      <c r="N175">
        <f t="shared" si="30"/>
        <v>2.205146534199272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26195.134265746357</v>
      </c>
      <c r="T175">
        <f t="shared" si="34"/>
        <v>800.00006666666695</v>
      </c>
      <c r="U175">
        <f t="shared" si="35"/>
        <v>674.4000081999958</v>
      </c>
      <c r="V175">
        <f t="shared" si="36"/>
        <v>0.84299993999999945</v>
      </c>
      <c r="W175">
        <f t="shared" si="37"/>
        <v>0.15870010983999988</v>
      </c>
      <c r="X175">
        <v>1</v>
      </c>
      <c r="Y175">
        <v>1771106260.03333</v>
      </c>
      <c r="Z175">
        <v>797.95033333333299</v>
      </c>
      <c r="AA175">
        <v>799.98239999999998</v>
      </c>
      <c r="AB175">
        <v>15.4015733333333</v>
      </c>
      <c r="AC175">
        <v>13.7010666666667</v>
      </c>
      <c r="AD175">
        <v>798.64146666666704</v>
      </c>
      <c r="AE175">
        <v>15.3389733333333</v>
      </c>
      <c r="AF175">
        <v>800.00993333333304</v>
      </c>
      <c r="AG175">
        <v>99.942906666666701</v>
      </c>
      <c r="AH175">
        <v>6.3108913333333294E-2</v>
      </c>
      <c r="AI175">
        <v>18.999753333333299</v>
      </c>
      <c r="AJ175">
        <v>999.9</v>
      </c>
      <c r="AK175">
        <v>999.9</v>
      </c>
      <c r="AL175">
        <v>0</v>
      </c>
      <c r="AM175">
        <v>0</v>
      </c>
      <c r="AN175">
        <v>4998</v>
      </c>
      <c r="AO175">
        <v>0</v>
      </c>
      <c r="AP175">
        <v>1.58087</v>
      </c>
      <c r="AQ175">
        <v>-2.0321273333333298</v>
      </c>
      <c r="AR175">
        <v>810.43213333333301</v>
      </c>
      <c r="AS175">
        <v>811.09526666666704</v>
      </c>
      <c r="AT175">
        <v>1.70051666666667</v>
      </c>
      <c r="AU175">
        <v>799.98239999999998</v>
      </c>
      <c r="AV175">
        <v>13.7010666666667</v>
      </c>
      <c r="AW175">
        <v>1.53927866666667</v>
      </c>
      <c r="AX175">
        <v>1.369324</v>
      </c>
      <c r="AY175">
        <v>13.3640066666667</v>
      </c>
      <c r="AZ175">
        <v>11.582126666666699</v>
      </c>
      <c r="BA175">
        <v>800.00006666666695</v>
      </c>
      <c r="BB175">
        <v>0.89999813333333301</v>
      </c>
      <c r="BC175">
        <v>0</v>
      </c>
      <c r="BD175">
        <v>0.100001733333333</v>
      </c>
      <c r="BE175">
        <v>0</v>
      </c>
      <c r="BF175">
        <v>25</v>
      </c>
      <c r="BG175">
        <v>13191.006666666701</v>
      </c>
      <c r="BH175">
        <v>1771105740.0999999</v>
      </c>
      <c r="BI175" t="s">
        <v>564</v>
      </c>
      <c r="BJ175">
        <v>1771105740.0999999</v>
      </c>
      <c r="BK175">
        <v>1771105716.0999999</v>
      </c>
      <c r="BL175">
        <v>20</v>
      </c>
      <c r="BM175">
        <v>3.5999999999999997E-2</v>
      </c>
      <c r="BN175">
        <v>-2.5999999999999999E-2</v>
      </c>
      <c r="BO175">
        <v>-0.69099999999999995</v>
      </c>
      <c r="BP175">
        <v>6.3E-2</v>
      </c>
      <c r="BQ175">
        <v>500</v>
      </c>
      <c r="BR175">
        <v>14</v>
      </c>
      <c r="BS175">
        <v>0.28999999999999998</v>
      </c>
      <c r="BT175">
        <v>0.03</v>
      </c>
      <c r="BU175">
        <v>-2.0416525000000001</v>
      </c>
      <c r="BV175">
        <v>0.21555112781954799</v>
      </c>
      <c r="BW175">
        <v>3.1247137608907499E-2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1.7031734999999999</v>
      </c>
      <c r="CD175">
        <v>-0.109592030075186</v>
      </c>
      <c r="CE175">
        <v>1.36190610083809E-2</v>
      </c>
      <c r="CF175">
        <v>0</v>
      </c>
      <c r="CG175">
        <v>1</v>
      </c>
      <c r="CH175">
        <v>2</v>
      </c>
      <c r="CI175" t="s">
        <v>299</v>
      </c>
      <c r="CJ175">
        <v>3.5324900000000001</v>
      </c>
      <c r="CK175">
        <v>2.7009400000000001</v>
      </c>
      <c r="CL175">
        <v>0.15668000000000001</v>
      </c>
      <c r="CM175">
        <v>0.15468299999999999</v>
      </c>
      <c r="CN175">
        <v>8.6986300000000003E-2</v>
      </c>
      <c r="CO175">
        <v>7.8912300000000005E-2</v>
      </c>
      <c r="CP175">
        <v>29541.9</v>
      </c>
      <c r="CQ175">
        <v>26034.1</v>
      </c>
      <c r="CR175">
        <v>32423.9</v>
      </c>
      <c r="CS175">
        <v>30727.1</v>
      </c>
      <c r="CT175">
        <v>40103.300000000003</v>
      </c>
      <c r="CU175">
        <v>39821.800000000003</v>
      </c>
      <c r="CV175">
        <v>47364.5</v>
      </c>
      <c r="CW175">
        <v>46876.5</v>
      </c>
      <c r="CX175">
        <v>2.6132599999999999</v>
      </c>
      <c r="CY175">
        <v>2.1207400000000001</v>
      </c>
      <c r="CZ175">
        <v>0</v>
      </c>
      <c r="DA175">
        <v>0</v>
      </c>
      <c r="DB175">
        <v>999.9</v>
      </c>
      <c r="DC175">
        <v>999.9</v>
      </c>
      <c r="DD175">
        <v>44.695</v>
      </c>
      <c r="DE175">
        <v>28.882999999999999</v>
      </c>
      <c r="DF175">
        <v>17.865200000000002</v>
      </c>
      <c r="DG175">
        <v>30.628399999999999</v>
      </c>
      <c r="DH175">
        <v>16.963100000000001</v>
      </c>
      <c r="DI175">
        <v>2</v>
      </c>
      <c r="DJ175">
        <v>-6.6514199999999996E-2</v>
      </c>
      <c r="DK175">
        <v>2.6776300000000002</v>
      </c>
      <c r="DL175">
        <v>20.187999999999999</v>
      </c>
      <c r="DM175">
        <v>5.25143</v>
      </c>
      <c r="DN175">
        <v>12.033899999999999</v>
      </c>
      <c r="DO175">
        <v>4.9674399999999999</v>
      </c>
      <c r="DP175">
        <v>3.2909999999999999</v>
      </c>
      <c r="DQ175">
        <v>608.5</v>
      </c>
      <c r="DR175">
        <v>9999</v>
      </c>
      <c r="DS175">
        <v>9999</v>
      </c>
      <c r="DT175">
        <v>9999</v>
      </c>
      <c r="DU175">
        <v>1.8711899999999999</v>
      </c>
      <c r="DV175">
        <v>1.8761699999999999</v>
      </c>
      <c r="DW175">
        <v>1.87636</v>
      </c>
      <c r="DX175">
        <v>1.8828400000000001</v>
      </c>
      <c r="DY175">
        <v>1.8756200000000001</v>
      </c>
      <c r="DZ175">
        <v>1.87469</v>
      </c>
      <c r="EA175">
        <v>1.8708800000000001</v>
      </c>
      <c r="EB175">
        <v>1.8746700000000001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-0.69199999999999995</v>
      </c>
      <c r="EQ175">
        <v>6.2600000000000003E-2</v>
      </c>
      <c r="ER175">
        <v>-0.69120000000003801</v>
      </c>
      <c r="ES175">
        <v>0</v>
      </c>
      <c r="ET175">
        <v>0</v>
      </c>
      <c r="EU175">
        <v>0</v>
      </c>
      <c r="EV175">
        <v>6.2609999999999402E-2</v>
      </c>
      <c r="EW175">
        <v>0</v>
      </c>
      <c r="EX175">
        <v>0</v>
      </c>
      <c r="EY175">
        <v>0</v>
      </c>
      <c r="EZ175">
        <v>-1</v>
      </c>
      <c r="FA175">
        <v>-1</v>
      </c>
      <c r="FB175">
        <v>-1</v>
      </c>
      <c r="FC175">
        <v>-1</v>
      </c>
      <c r="FD175">
        <v>8.8000000000000007</v>
      </c>
      <c r="FE175">
        <v>9.1999999999999993</v>
      </c>
      <c r="FF175">
        <v>2.1569799999999999</v>
      </c>
      <c r="FG175">
        <v>2.5915499999999998</v>
      </c>
      <c r="FH175">
        <v>2.19604</v>
      </c>
      <c r="FI175">
        <v>2.5744600000000002</v>
      </c>
      <c r="FJ175">
        <v>2.4462899999999999</v>
      </c>
      <c r="FK175">
        <v>2.31934</v>
      </c>
      <c r="FL175">
        <v>33.154499999999999</v>
      </c>
      <c r="FM175">
        <v>24.1313</v>
      </c>
      <c r="FN175">
        <v>19</v>
      </c>
      <c r="FO175">
        <v>866.51700000000005</v>
      </c>
      <c r="FP175">
        <v>576.149</v>
      </c>
      <c r="FQ175">
        <v>17.849</v>
      </c>
      <c r="FR175">
        <v>26.127300000000002</v>
      </c>
      <c r="FS175">
        <v>30</v>
      </c>
      <c r="FT175">
        <v>26.134599999999999</v>
      </c>
      <c r="FU175">
        <v>26.136099999999999</v>
      </c>
      <c r="FV175">
        <v>43.284300000000002</v>
      </c>
      <c r="FW175">
        <v>27.008400000000002</v>
      </c>
      <c r="FX175">
        <v>37.349400000000003</v>
      </c>
      <c r="FY175">
        <v>17.835599999999999</v>
      </c>
      <c r="FZ175">
        <v>800</v>
      </c>
      <c r="GA175">
        <v>13.75</v>
      </c>
      <c r="GB175">
        <v>99.793300000000002</v>
      </c>
      <c r="GC175">
        <v>99.7761</v>
      </c>
    </row>
    <row r="176" spans="1:185" x14ac:dyDescent="0.2">
      <c r="A176">
        <v>161</v>
      </c>
      <c r="B176">
        <v>1771106283.0999999</v>
      </c>
      <c r="C176">
        <v>3170</v>
      </c>
      <c r="D176" t="s">
        <v>625</v>
      </c>
      <c r="E176" t="s">
        <v>626</v>
      </c>
      <c r="F176">
        <v>15</v>
      </c>
      <c r="G176">
        <v>1771106275.03333</v>
      </c>
      <c r="H176">
        <f t="shared" si="26"/>
        <v>1.3696041782248266E-3</v>
      </c>
      <c r="I176">
        <v>0</v>
      </c>
      <c r="J176">
        <f t="shared" si="38"/>
        <v>3.1449147661254555E-2</v>
      </c>
      <c r="K176">
        <f t="shared" si="27"/>
        <v>0.56235020560361093</v>
      </c>
      <c r="L176">
        <f t="shared" si="28"/>
        <v>69.886185075758988</v>
      </c>
      <c r="M176">
        <f t="shared" si="29"/>
        <v>1.5415211115901919</v>
      </c>
      <c r="N176">
        <f t="shared" si="30"/>
        <v>2.2057594214351961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26213.344236966801</v>
      </c>
      <c r="T176">
        <f t="shared" si="34"/>
        <v>799.99946666666699</v>
      </c>
      <c r="U176">
        <f t="shared" si="35"/>
        <v>674.39938176011253</v>
      </c>
      <c r="V176">
        <f t="shared" si="36"/>
        <v>0.84299978919999974</v>
      </c>
      <c r="W176">
        <f t="shared" si="37"/>
        <v>0.15870007063199995</v>
      </c>
      <c r="X176">
        <v>1</v>
      </c>
      <c r="Y176">
        <v>1771106275.03333</v>
      </c>
      <c r="Z176">
        <v>797.95206666666695</v>
      </c>
      <c r="AA176">
        <v>800.02106666666702</v>
      </c>
      <c r="AB176">
        <v>15.414286666666699</v>
      </c>
      <c r="AC176">
        <v>13.7287</v>
      </c>
      <c r="AD176">
        <v>798.643466666667</v>
      </c>
      <c r="AE176">
        <v>15.3516666666667</v>
      </c>
      <c r="AF176">
        <v>800.01386666666701</v>
      </c>
      <c r="AG176">
        <v>99.943006666666705</v>
      </c>
      <c r="AH176">
        <v>6.2990686666666698E-2</v>
      </c>
      <c r="AI176">
        <v>19.0042066666667</v>
      </c>
      <c r="AJ176">
        <v>999.9</v>
      </c>
      <c r="AK176">
        <v>999.9</v>
      </c>
      <c r="AL176">
        <v>0</v>
      </c>
      <c r="AM176">
        <v>0</v>
      </c>
      <c r="AN176">
        <v>5001.0666666666702</v>
      </c>
      <c r="AO176">
        <v>0</v>
      </c>
      <c r="AP176">
        <v>1.58087</v>
      </c>
      <c r="AQ176">
        <v>-2.0689053333333298</v>
      </c>
      <c r="AR176">
        <v>810.44446666666704</v>
      </c>
      <c r="AS176">
        <v>811.15726666666706</v>
      </c>
      <c r="AT176">
        <v>1.6855846666666701</v>
      </c>
      <c r="AU176">
        <v>800.02106666666702</v>
      </c>
      <c r="AV176">
        <v>13.7287</v>
      </c>
      <c r="AW176">
        <v>1.5405500000000001</v>
      </c>
      <c r="AX176">
        <v>1.3720873333333301</v>
      </c>
      <c r="AY176">
        <v>13.37668</v>
      </c>
      <c r="AZ176">
        <v>11.612626666666699</v>
      </c>
      <c r="BA176">
        <v>799.99946666666699</v>
      </c>
      <c r="BB176">
        <v>0.89999813333333301</v>
      </c>
      <c r="BC176">
        <v>0</v>
      </c>
      <c r="BD176">
        <v>0.10000156</v>
      </c>
      <c r="BE176">
        <v>0</v>
      </c>
      <c r="BF176">
        <v>25</v>
      </c>
      <c r="BG176">
        <v>13191.006666666701</v>
      </c>
      <c r="BH176">
        <v>1771105740.0999999</v>
      </c>
      <c r="BI176" t="s">
        <v>564</v>
      </c>
      <c r="BJ176">
        <v>1771105740.0999999</v>
      </c>
      <c r="BK176">
        <v>1771105716.0999999</v>
      </c>
      <c r="BL176">
        <v>20</v>
      </c>
      <c r="BM176">
        <v>3.5999999999999997E-2</v>
      </c>
      <c r="BN176">
        <v>-2.5999999999999999E-2</v>
      </c>
      <c r="BO176">
        <v>-0.69099999999999995</v>
      </c>
      <c r="BP176">
        <v>6.3E-2</v>
      </c>
      <c r="BQ176">
        <v>500</v>
      </c>
      <c r="BR176">
        <v>14</v>
      </c>
      <c r="BS176">
        <v>0.28999999999999998</v>
      </c>
      <c r="BT176">
        <v>0.03</v>
      </c>
      <c r="BU176">
        <v>-2.0544638095238099</v>
      </c>
      <c r="BV176">
        <v>-0.115791428571431</v>
      </c>
      <c r="BW176">
        <v>4.1694796806383702E-2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1.68557523809524</v>
      </c>
      <c r="CD176">
        <v>1.7269870129870302E-2</v>
      </c>
      <c r="CE176">
        <v>7.7564060277373502E-3</v>
      </c>
      <c r="CF176">
        <v>1</v>
      </c>
      <c r="CG176">
        <v>2</v>
      </c>
      <c r="CH176">
        <v>2</v>
      </c>
      <c r="CI176" t="s">
        <v>322</v>
      </c>
      <c r="CJ176">
        <v>3.5325299999999999</v>
      </c>
      <c r="CK176">
        <v>2.70078</v>
      </c>
      <c r="CL176">
        <v>0.15668499999999999</v>
      </c>
      <c r="CM176">
        <v>0.15468199999999999</v>
      </c>
      <c r="CN176">
        <v>8.7063399999999999E-2</v>
      </c>
      <c r="CO176">
        <v>7.8914100000000001E-2</v>
      </c>
      <c r="CP176">
        <v>29542.1</v>
      </c>
      <c r="CQ176">
        <v>26034.1</v>
      </c>
      <c r="CR176">
        <v>32424.400000000001</v>
      </c>
      <c r="CS176">
        <v>30727.1</v>
      </c>
      <c r="CT176">
        <v>40100.300000000003</v>
      </c>
      <c r="CU176">
        <v>39821.699999999997</v>
      </c>
      <c r="CV176">
        <v>47365</v>
      </c>
      <c r="CW176">
        <v>46876.5</v>
      </c>
      <c r="CX176">
        <v>2.6133000000000002</v>
      </c>
      <c r="CY176">
        <v>2.1205400000000001</v>
      </c>
      <c r="CZ176">
        <v>0</v>
      </c>
      <c r="DA176">
        <v>0</v>
      </c>
      <c r="DB176">
        <v>999.9</v>
      </c>
      <c r="DC176">
        <v>999.9</v>
      </c>
      <c r="DD176">
        <v>44.670999999999999</v>
      </c>
      <c r="DE176">
        <v>28.893000000000001</v>
      </c>
      <c r="DF176">
        <v>17.864599999999999</v>
      </c>
      <c r="DG176">
        <v>30.448399999999999</v>
      </c>
      <c r="DH176">
        <v>16.9071</v>
      </c>
      <c r="DI176">
        <v>2</v>
      </c>
      <c r="DJ176">
        <v>-6.6571099999999994E-2</v>
      </c>
      <c r="DK176">
        <v>2.7176200000000001</v>
      </c>
      <c r="DL176">
        <v>20.187100000000001</v>
      </c>
      <c r="DM176">
        <v>5.2507099999999998</v>
      </c>
      <c r="DN176">
        <v>12.033899999999999</v>
      </c>
      <c r="DO176">
        <v>4.9676799999999997</v>
      </c>
      <c r="DP176">
        <v>3.2909999999999999</v>
      </c>
      <c r="DQ176">
        <v>608.5</v>
      </c>
      <c r="DR176">
        <v>9999</v>
      </c>
      <c r="DS176">
        <v>9999</v>
      </c>
      <c r="DT176">
        <v>9999</v>
      </c>
      <c r="DU176">
        <v>1.8711899999999999</v>
      </c>
      <c r="DV176">
        <v>1.8761699999999999</v>
      </c>
      <c r="DW176">
        <v>1.8763700000000001</v>
      </c>
      <c r="DX176">
        <v>1.8828499999999999</v>
      </c>
      <c r="DY176">
        <v>1.87561</v>
      </c>
      <c r="DZ176">
        <v>1.8746799999999999</v>
      </c>
      <c r="EA176">
        <v>1.87087</v>
      </c>
      <c r="EB176">
        <v>1.8746700000000001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-0.69199999999999995</v>
      </c>
      <c r="EQ176">
        <v>6.2600000000000003E-2</v>
      </c>
      <c r="ER176">
        <v>-0.69120000000003801</v>
      </c>
      <c r="ES176">
        <v>0</v>
      </c>
      <c r="ET176">
        <v>0</v>
      </c>
      <c r="EU176">
        <v>0</v>
      </c>
      <c r="EV176">
        <v>6.2609999999999402E-2</v>
      </c>
      <c r="EW176">
        <v>0</v>
      </c>
      <c r="EX176">
        <v>0</v>
      </c>
      <c r="EY176">
        <v>0</v>
      </c>
      <c r="EZ176">
        <v>-1</v>
      </c>
      <c r="FA176">
        <v>-1</v>
      </c>
      <c r="FB176">
        <v>-1</v>
      </c>
      <c r="FC176">
        <v>-1</v>
      </c>
      <c r="FD176">
        <v>9.1</v>
      </c>
      <c r="FE176">
        <v>9.4</v>
      </c>
      <c r="FF176">
        <v>2.1569799999999999</v>
      </c>
      <c r="FG176">
        <v>2.5964399999999999</v>
      </c>
      <c r="FH176">
        <v>2.19604</v>
      </c>
      <c r="FI176">
        <v>2.5744600000000002</v>
      </c>
      <c r="FJ176">
        <v>2.4462899999999999</v>
      </c>
      <c r="FK176">
        <v>2.3083499999999999</v>
      </c>
      <c r="FL176">
        <v>33.154499999999999</v>
      </c>
      <c r="FM176">
        <v>24.14</v>
      </c>
      <c r="FN176">
        <v>19</v>
      </c>
      <c r="FO176">
        <v>866.51900000000001</v>
      </c>
      <c r="FP176">
        <v>575.99599999999998</v>
      </c>
      <c r="FQ176">
        <v>17.8264</v>
      </c>
      <c r="FR176">
        <v>26.127300000000002</v>
      </c>
      <c r="FS176">
        <v>30.0002</v>
      </c>
      <c r="FT176">
        <v>26.132400000000001</v>
      </c>
      <c r="FU176">
        <v>26.136099999999999</v>
      </c>
      <c r="FV176">
        <v>43.281700000000001</v>
      </c>
      <c r="FW176">
        <v>27.008400000000002</v>
      </c>
      <c r="FX176">
        <v>37.349400000000003</v>
      </c>
      <c r="FY176">
        <v>17.822900000000001</v>
      </c>
      <c r="FZ176">
        <v>800</v>
      </c>
      <c r="GA176">
        <v>13.75</v>
      </c>
      <c r="GB176">
        <v>99.794700000000006</v>
      </c>
      <c r="GC176">
        <v>99.7761</v>
      </c>
    </row>
    <row r="177" spans="1:185" x14ac:dyDescent="0.2">
      <c r="A177">
        <v>162</v>
      </c>
      <c r="B177">
        <v>1771106298.0999999</v>
      </c>
      <c r="C177">
        <v>3185</v>
      </c>
      <c r="D177" t="s">
        <v>627</v>
      </c>
      <c r="E177" t="s">
        <v>628</v>
      </c>
      <c r="F177">
        <v>15</v>
      </c>
      <c r="G177">
        <v>1771106290.03333</v>
      </c>
      <c r="H177">
        <f t="shared" si="26"/>
        <v>1.3782684837964152E-3</v>
      </c>
      <c r="I177">
        <v>0</v>
      </c>
      <c r="J177">
        <f t="shared" si="38"/>
        <v>2.860424566176429E-2</v>
      </c>
      <c r="K177">
        <f t="shared" si="27"/>
        <v>0.51147978960481832</v>
      </c>
      <c r="L177">
        <f t="shared" si="28"/>
        <v>69.943059648506051</v>
      </c>
      <c r="M177">
        <f t="shared" si="29"/>
        <v>1.5424406386363267</v>
      </c>
      <c r="N177">
        <f t="shared" si="30"/>
        <v>2.2052804758438564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26192.535527792268</v>
      </c>
      <c r="T177">
        <f t="shared" si="34"/>
        <v>800.00173333333305</v>
      </c>
      <c r="U177">
        <f t="shared" si="35"/>
        <v>674.40154664018485</v>
      </c>
      <c r="V177">
        <f t="shared" si="36"/>
        <v>0.84300010679999993</v>
      </c>
      <c r="W177">
        <f t="shared" si="37"/>
        <v>0.15870018904799998</v>
      </c>
      <c r="X177">
        <v>1</v>
      </c>
      <c r="Y177">
        <v>1771106290.03333</v>
      </c>
      <c r="Z177">
        <v>797.98873333333302</v>
      </c>
      <c r="AA177">
        <v>800.00286666666705</v>
      </c>
      <c r="AB177">
        <v>15.42356</v>
      </c>
      <c r="AC177">
        <v>13.727313333333299</v>
      </c>
      <c r="AD177">
        <v>798.67986666666695</v>
      </c>
      <c r="AE177">
        <v>15.360953333333301</v>
      </c>
      <c r="AF177">
        <v>800.00786666666704</v>
      </c>
      <c r="AG177">
        <v>99.9425733333333</v>
      </c>
      <c r="AH177">
        <v>6.2914286666666694E-2</v>
      </c>
      <c r="AI177">
        <v>19.000726666666701</v>
      </c>
      <c r="AJ177">
        <v>999.9</v>
      </c>
      <c r="AK177">
        <v>999.9</v>
      </c>
      <c r="AL177">
        <v>0</v>
      </c>
      <c r="AM177">
        <v>0</v>
      </c>
      <c r="AN177">
        <v>4997.6000000000004</v>
      </c>
      <c r="AO177">
        <v>0</v>
      </c>
      <c r="AP177">
        <v>1.58087</v>
      </c>
      <c r="AQ177">
        <v>-2.0142419999999999</v>
      </c>
      <c r="AR177">
        <v>810.48933333333298</v>
      </c>
      <c r="AS177">
        <v>811.13753333333295</v>
      </c>
      <c r="AT177">
        <v>1.6962506666666699</v>
      </c>
      <c r="AU177">
        <v>800.00286666666705</v>
      </c>
      <c r="AV177">
        <v>13.727313333333299</v>
      </c>
      <c r="AW177">
        <v>1.54147066666667</v>
      </c>
      <c r="AX177">
        <v>1.3719426666666701</v>
      </c>
      <c r="AY177">
        <v>13.385820000000001</v>
      </c>
      <c r="AZ177">
        <v>11.61102</v>
      </c>
      <c r="BA177">
        <v>800.00173333333305</v>
      </c>
      <c r="BB177">
        <v>0.89999759999999995</v>
      </c>
      <c r="BC177">
        <v>0</v>
      </c>
      <c r="BD177">
        <v>0.10000244</v>
      </c>
      <c r="BE177">
        <v>0</v>
      </c>
      <c r="BF177">
        <v>25</v>
      </c>
      <c r="BG177">
        <v>13191.0466666667</v>
      </c>
      <c r="BH177">
        <v>1771105740.0999999</v>
      </c>
      <c r="BI177" t="s">
        <v>564</v>
      </c>
      <c r="BJ177">
        <v>1771105740.0999999</v>
      </c>
      <c r="BK177">
        <v>1771105716.0999999</v>
      </c>
      <c r="BL177">
        <v>20</v>
      </c>
      <c r="BM177">
        <v>3.5999999999999997E-2</v>
      </c>
      <c r="BN177">
        <v>-2.5999999999999999E-2</v>
      </c>
      <c r="BO177">
        <v>-0.69099999999999995</v>
      </c>
      <c r="BP177">
        <v>6.3E-2</v>
      </c>
      <c r="BQ177">
        <v>500</v>
      </c>
      <c r="BR177">
        <v>14</v>
      </c>
      <c r="BS177">
        <v>0.28999999999999998</v>
      </c>
      <c r="BT177">
        <v>0.03</v>
      </c>
      <c r="BU177">
        <v>-2.021909</v>
      </c>
      <c r="BV177">
        <v>0.19760842105262999</v>
      </c>
      <c r="BW177">
        <v>3.3484297498977002E-2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1.694736</v>
      </c>
      <c r="CD177">
        <v>3.40439097744323E-2</v>
      </c>
      <c r="CE177">
        <v>3.4389931666114E-3</v>
      </c>
      <c r="CF177">
        <v>1</v>
      </c>
      <c r="CG177">
        <v>2</v>
      </c>
      <c r="CH177">
        <v>2</v>
      </c>
      <c r="CI177" t="s">
        <v>322</v>
      </c>
      <c r="CJ177">
        <v>3.5325299999999999</v>
      </c>
      <c r="CK177">
        <v>2.70085</v>
      </c>
      <c r="CL177">
        <v>0.15669</v>
      </c>
      <c r="CM177">
        <v>0.15467600000000001</v>
      </c>
      <c r="CN177">
        <v>8.7092100000000006E-2</v>
      </c>
      <c r="CO177">
        <v>7.8904699999999994E-2</v>
      </c>
      <c r="CP177">
        <v>29541.3</v>
      </c>
      <c r="CQ177">
        <v>26034.7</v>
      </c>
      <c r="CR177">
        <v>32423.599999999999</v>
      </c>
      <c r="CS177">
        <v>30727.599999999999</v>
      </c>
      <c r="CT177">
        <v>40098.300000000003</v>
      </c>
      <c r="CU177">
        <v>39822.5</v>
      </c>
      <c r="CV177">
        <v>47364.1</v>
      </c>
      <c r="CW177">
        <v>46877.1</v>
      </c>
      <c r="CX177">
        <v>2.6132200000000001</v>
      </c>
      <c r="CY177">
        <v>2.1207199999999999</v>
      </c>
      <c r="CZ177">
        <v>0</v>
      </c>
      <c r="DA177">
        <v>0</v>
      </c>
      <c r="DB177">
        <v>999.9</v>
      </c>
      <c r="DC177">
        <v>999.9</v>
      </c>
      <c r="DD177">
        <v>44.622</v>
      </c>
      <c r="DE177">
        <v>28.882999999999999</v>
      </c>
      <c r="DF177">
        <v>17.834900000000001</v>
      </c>
      <c r="DG177">
        <v>30.538399999999999</v>
      </c>
      <c r="DH177">
        <v>16.826899999999998</v>
      </c>
      <c r="DI177">
        <v>2</v>
      </c>
      <c r="DJ177">
        <v>-6.66321E-2</v>
      </c>
      <c r="DK177">
        <v>2.6919200000000001</v>
      </c>
      <c r="DL177">
        <v>20.1876</v>
      </c>
      <c r="DM177">
        <v>5.2508299999999997</v>
      </c>
      <c r="DN177">
        <v>12.033899999999999</v>
      </c>
      <c r="DO177">
        <v>4.9675200000000004</v>
      </c>
      <c r="DP177">
        <v>3.2909999999999999</v>
      </c>
      <c r="DQ177">
        <v>608.5</v>
      </c>
      <c r="DR177">
        <v>9999</v>
      </c>
      <c r="DS177">
        <v>9999</v>
      </c>
      <c r="DT177">
        <v>9999</v>
      </c>
      <c r="DU177">
        <v>1.8711800000000001</v>
      </c>
      <c r="DV177">
        <v>1.87616</v>
      </c>
      <c r="DW177">
        <v>1.87636</v>
      </c>
      <c r="DX177">
        <v>1.88283</v>
      </c>
      <c r="DY177">
        <v>1.87561</v>
      </c>
      <c r="DZ177">
        <v>1.8746799999999999</v>
      </c>
      <c r="EA177">
        <v>1.8708800000000001</v>
      </c>
      <c r="EB177">
        <v>1.8746499999999999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-0.69099999999999995</v>
      </c>
      <c r="EQ177">
        <v>6.2700000000000006E-2</v>
      </c>
      <c r="ER177">
        <v>-0.69120000000003801</v>
      </c>
      <c r="ES177">
        <v>0</v>
      </c>
      <c r="ET177">
        <v>0</v>
      </c>
      <c r="EU177">
        <v>0</v>
      </c>
      <c r="EV177">
        <v>6.2609999999999402E-2</v>
      </c>
      <c r="EW177">
        <v>0</v>
      </c>
      <c r="EX177">
        <v>0</v>
      </c>
      <c r="EY177">
        <v>0</v>
      </c>
      <c r="EZ177">
        <v>-1</v>
      </c>
      <c r="FA177">
        <v>-1</v>
      </c>
      <c r="FB177">
        <v>-1</v>
      </c>
      <c r="FC177">
        <v>-1</v>
      </c>
      <c r="FD177">
        <v>9.3000000000000007</v>
      </c>
      <c r="FE177">
        <v>9.6999999999999993</v>
      </c>
      <c r="FF177">
        <v>2.1569799999999999</v>
      </c>
      <c r="FG177">
        <v>2.5915499999999998</v>
      </c>
      <c r="FH177">
        <v>2.19604</v>
      </c>
      <c r="FI177">
        <v>2.5744600000000002</v>
      </c>
      <c r="FJ177">
        <v>2.4462899999999999</v>
      </c>
      <c r="FK177">
        <v>2.3156699999999999</v>
      </c>
      <c r="FL177">
        <v>33.132199999999997</v>
      </c>
      <c r="FM177">
        <v>24.14</v>
      </c>
      <c r="FN177">
        <v>19</v>
      </c>
      <c r="FO177">
        <v>866.44500000000005</v>
      </c>
      <c r="FP177">
        <v>576.13400000000001</v>
      </c>
      <c r="FQ177">
        <v>17.819299999999998</v>
      </c>
      <c r="FR177">
        <v>26.127199999999998</v>
      </c>
      <c r="FS177">
        <v>30</v>
      </c>
      <c r="FT177">
        <v>26.132400000000001</v>
      </c>
      <c r="FU177">
        <v>26.136099999999999</v>
      </c>
      <c r="FV177">
        <v>43.279299999999999</v>
      </c>
      <c r="FW177">
        <v>27.008400000000002</v>
      </c>
      <c r="FX177">
        <v>37.349400000000003</v>
      </c>
      <c r="FY177">
        <v>17.820799999999998</v>
      </c>
      <c r="FZ177">
        <v>800</v>
      </c>
      <c r="GA177">
        <v>13.75</v>
      </c>
      <c r="GB177">
        <v>99.792599999999993</v>
      </c>
      <c r="GC177">
        <v>99.7774</v>
      </c>
    </row>
    <row r="178" spans="1:185" x14ac:dyDescent="0.2">
      <c r="A178">
        <v>163</v>
      </c>
      <c r="B178">
        <v>1771106313.0999999</v>
      </c>
      <c r="C178">
        <v>3200</v>
      </c>
      <c r="D178" t="s">
        <v>629</v>
      </c>
      <c r="E178" t="s">
        <v>630</v>
      </c>
      <c r="F178">
        <v>15</v>
      </c>
      <c r="G178">
        <v>1771106305.03333</v>
      </c>
      <c r="H178">
        <f t="shared" si="26"/>
        <v>1.3838407597878983E-3</v>
      </c>
      <c r="I178">
        <v>0</v>
      </c>
      <c r="J178">
        <f t="shared" si="38"/>
        <v>2.9186070889739721E-2</v>
      </c>
      <c r="K178">
        <f t="shared" si="27"/>
        <v>0.52188355444135948</v>
      </c>
      <c r="L178">
        <f t="shared" si="28"/>
        <v>69.96715376245956</v>
      </c>
      <c r="M178">
        <f t="shared" si="29"/>
        <v>1.542934751520995</v>
      </c>
      <c r="N178">
        <f t="shared" si="30"/>
        <v>2.2052272652955152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26220.479098701522</v>
      </c>
      <c r="T178">
        <f t="shared" si="34"/>
        <v>799.99873333333301</v>
      </c>
      <c r="U178">
        <f t="shared" si="35"/>
        <v>674.39890020005055</v>
      </c>
      <c r="V178">
        <f t="shared" si="36"/>
        <v>0.84299996000000021</v>
      </c>
      <c r="W178">
        <f t="shared" si="37"/>
        <v>0.15870015984000008</v>
      </c>
      <c r="X178">
        <v>1</v>
      </c>
      <c r="Y178">
        <v>1771106305.03333</v>
      </c>
      <c r="Z178">
        <v>797.97346666666704</v>
      </c>
      <c r="AA178">
        <v>800.00613333333297</v>
      </c>
      <c r="AB178">
        <v>15.428546666666699</v>
      </c>
      <c r="AC178">
        <v>13.7254533333333</v>
      </c>
      <c r="AD178">
        <v>798.66466666666702</v>
      </c>
      <c r="AE178">
        <v>15.36594</v>
      </c>
      <c r="AF178">
        <v>800.00906666666697</v>
      </c>
      <c r="AG178">
        <v>99.941933333333296</v>
      </c>
      <c r="AH178">
        <v>6.3257359999999999E-2</v>
      </c>
      <c r="AI178">
        <v>19.000340000000001</v>
      </c>
      <c r="AJ178">
        <v>999.9</v>
      </c>
      <c r="AK178">
        <v>999.9</v>
      </c>
      <c r="AL178">
        <v>0</v>
      </c>
      <c r="AM178">
        <v>0</v>
      </c>
      <c r="AN178">
        <v>5002.2333333333299</v>
      </c>
      <c r="AO178">
        <v>0</v>
      </c>
      <c r="AP178">
        <v>1.58087</v>
      </c>
      <c r="AQ178">
        <v>-2.0326986666666702</v>
      </c>
      <c r="AR178">
        <v>810.477933333333</v>
      </c>
      <c r="AS178">
        <v>811.13933333333296</v>
      </c>
      <c r="AT178">
        <v>1.7030879999999999</v>
      </c>
      <c r="AU178">
        <v>800.00613333333297</v>
      </c>
      <c r="AV178">
        <v>13.7254533333333</v>
      </c>
      <c r="AW178">
        <v>1.5419593333333299</v>
      </c>
      <c r="AX178">
        <v>1.3717493333333299</v>
      </c>
      <c r="AY178">
        <v>13.390700000000001</v>
      </c>
      <c r="AZ178">
        <v>11.608886666666701</v>
      </c>
      <c r="BA178">
        <v>799.99873333333301</v>
      </c>
      <c r="BB178">
        <v>0.89999746666666702</v>
      </c>
      <c r="BC178">
        <v>0</v>
      </c>
      <c r="BD178">
        <v>0.10000240000000001</v>
      </c>
      <c r="BE178">
        <v>0</v>
      </c>
      <c r="BF178">
        <v>25</v>
      </c>
      <c r="BG178">
        <v>13190.993333333299</v>
      </c>
      <c r="BH178">
        <v>1771105740.0999999</v>
      </c>
      <c r="BI178" t="s">
        <v>564</v>
      </c>
      <c r="BJ178">
        <v>1771105740.0999999</v>
      </c>
      <c r="BK178">
        <v>1771105716.0999999</v>
      </c>
      <c r="BL178">
        <v>20</v>
      </c>
      <c r="BM178">
        <v>3.5999999999999997E-2</v>
      </c>
      <c r="BN178">
        <v>-2.5999999999999999E-2</v>
      </c>
      <c r="BO178">
        <v>-0.69099999999999995</v>
      </c>
      <c r="BP178">
        <v>6.3E-2</v>
      </c>
      <c r="BQ178">
        <v>500</v>
      </c>
      <c r="BR178">
        <v>14</v>
      </c>
      <c r="BS178">
        <v>0.28999999999999998</v>
      </c>
      <c r="BT178">
        <v>0.03</v>
      </c>
      <c r="BU178">
        <v>-2.0221533333333301</v>
      </c>
      <c r="BV178">
        <v>-0.19610181818181899</v>
      </c>
      <c r="BW178">
        <v>4.40301963844223E-2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1.70176095238095</v>
      </c>
      <c r="CD178">
        <v>3.8423376623403002E-3</v>
      </c>
      <c r="CE178">
        <v>4.5181000060201199E-3</v>
      </c>
      <c r="CF178">
        <v>1</v>
      </c>
      <c r="CG178">
        <v>2</v>
      </c>
      <c r="CH178">
        <v>2</v>
      </c>
      <c r="CI178" t="s">
        <v>322</v>
      </c>
      <c r="CJ178">
        <v>3.5325600000000001</v>
      </c>
      <c r="CK178">
        <v>2.7011799999999999</v>
      </c>
      <c r="CL178">
        <v>0.15668699999999999</v>
      </c>
      <c r="CM178">
        <v>0.154672</v>
      </c>
      <c r="CN178">
        <v>8.7100800000000006E-2</v>
      </c>
      <c r="CO178">
        <v>7.8896499999999994E-2</v>
      </c>
      <c r="CP178">
        <v>29541.3</v>
      </c>
      <c r="CQ178">
        <v>26034.799999999999</v>
      </c>
      <c r="CR178">
        <v>32423.599999999999</v>
      </c>
      <c r="CS178">
        <v>30727.599999999999</v>
      </c>
      <c r="CT178">
        <v>40097.5</v>
      </c>
      <c r="CU178">
        <v>39822.800000000003</v>
      </c>
      <c r="CV178">
        <v>47363.8</v>
      </c>
      <c r="CW178">
        <v>46877</v>
      </c>
      <c r="CX178">
        <v>2.61334</v>
      </c>
      <c r="CY178">
        <v>2.1206999999999998</v>
      </c>
      <c r="CZ178">
        <v>0</v>
      </c>
      <c r="DA178">
        <v>0</v>
      </c>
      <c r="DB178">
        <v>999.9</v>
      </c>
      <c r="DC178">
        <v>999.9</v>
      </c>
      <c r="DD178">
        <v>44.622</v>
      </c>
      <c r="DE178">
        <v>28.882999999999999</v>
      </c>
      <c r="DF178">
        <v>17.836099999999998</v>
      </c>
      <c r="DG178">
        <v>30.3584</v>
      </c>
      <c r="DH178">
        <v>16.8109</v>
      </c>
      <c r="DI178">
        <v>2</v>
      </c>
      <c r="DJ178">
        <v>-6.6839399999999993E-2</v>
      </c>
      <c r="DK178">
        <v>2.66343</v>
      </c>
      <c r="DL178">
        <v>20.187999999999999</v>
      </c>
      <c r="DM178">
        <v>5.2505899999999999</v>
      </c>
      <c r="DN178">
        <v>12.033899999999999</v>
      </c>
      <c r="DO178">
        <v>4.9674800000000001</v>
      </c>
      <c r="DP178">
        <v>3.2909999999999999</v>
      </c>
      <c r="DQ178">
        <v>608.5</v>
      </c>
      <c r="DR178">
        <v>9999</v>
      </c>
      <c r="DS178">
        <v>9999</v>
      </c>
      <c r="DT178">
        <v>9999</v>
      </c>
      <c r="DU178">
        <v>1.8711899999999999</v>
      </c>
      <c r="DV178">
        <v>1.87612</v>
      </c>
      <c r="DW178">
        <v>1.87636</v>
      </c>
      <c r="DX178">
        <v>1.8828100000000001</v>
      </c>
      <c r="DY178">
        <v>1.87561</v>
      </c>
      <c r="DZ178">
        <v>1.8746799999999999</v>
      </c>
      <c r="EA178">
        <v>1.87087</v>
      </c>
      <c r="EB178">
        <v>1.8746700000000001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-0.69199999999999995</v>
      </c>
      <c r="EQ178">
        <v>6.2600000000000003E-2</v>
      </c>
      <c r="ER178">
        <v>-0.69120000000003801</v>
      </c>
      <c r="ES178">
        <v>0</v>
      </c>
      <c r="ET178">
        <v>0</v>
      </c>
      <c r="EU178">
        <v>0</v>
      </c>
      <c r="EV178">
        <v>6.2609999999999402E-2</v>
      </c>
      <c r="EW178">
        <v>0</v>
      </c>
      <c r="EX178">
        <v>0</v>
      </c>
      <c r="EY178">
        <v>0</v>
      </c>
      <c r="EZ178">
        <v>-1</v>
      </c>
      <c r="FA178">
        <v>-1</v>
      </c>
      <c r="FB178">
        <v>-1</v>
      </c>
      <c r="FC178">
        <v>-1</v>
      </c>
      <c r="FD178">
        <v>9.6</v>
      </c>
      <c r="FE178">
        <v>9.9</v>
      </c>
      <c r="FF178">
        <v>2.1569799999999999</v>
      </c>
      <c r="FG178">
        <v>2.5939899999999998</v>
      </c>
      <c r="FH178">
        <v>2.19604</v>
      </c>
      <c r="FI178">
        <v>2.5744600000000002</v>
      </c>
      <c r="FJ178">
        <v>2.4462899999999999</v>
      </c>
      <c r="FK178">
        <v>2.3022499999999999</v>
      </c>
      <c r="FL178">
        <v>33.132199999999997</v>
      </c>
      <c r="FM178">
        <v>24.14</v>
      </c>
      <c r="FN178">
        <v>19</v>
      </c>
      <c r="FO178">
        <v>866.52099999999996</v>
      </c>
      <c r="FP178">
        <v>576.09400000000005</v>
      </c>
      <c r="FQ178">
        <v>17.8248</v>
      </c>
      <c r="FR178">
        <v>26.125</v>
      </c>
      <c r="FS178">
        <v>30.0001</v>
      </c>
      <c r="FT178">
        <v>26.130199999999999</v>
      </c>
      <c r="FU178">
        <v>26.133900000000001</v>
      </c>
      <c r="FV178">
        <v>43.281999999999996</v>
      </c>
      <c r="FW178">
        <v>27.008400000000002</v>
      </c>
      <c r="FX178">
        <v>37.349400000000003</v>
      </c>
      <c r="FY178">
        <v>17.825500000000002</v>
      </c>
      <c r="FZ178">
        <v>800</v>
      </c>
      <c r="GA178">
        <v>13.75</v>
      </c>
      <c r="GB178">
        <v>99.792100000000005</v>
      </c>
      <c r="GC178">
        <v>99.777199999999993</v>
      </c>
    </row>
    <row r="179" spans="1:185" x14ac:dyDescent="0.2">
      <c r="A179">
        <v>164</v>
      </c>
      <c r="B179">
        <v>1771106328.0999999</v>
      </c>
      <c r="C179">
        <v>3215</v>
      </c>
      <c r="D179" t="s">
        <v>631</v>
      </c>
      <c r="E179" t="s">
        <v>632</v>
      </c>
      <c r="F179">
        <v>15</v>
      </c>
      <c r="G179">
        <v>1771106320.03333</v>
      </c>
      <c r="H179">
        <f t="shared" si="26"/>
        <v>1.4063410795353418E-3</v>
      </c>
      <c r="I179">
        <v>0</v>
      </c>
      <c r="J179">
        <f t="shared" si="38"/>
        <v>2.7918033408418773E-2</v>
      </c>
      <c r="K179">
        <f t="shared" si="27"/>
        <v>0.49920945382614829</v>
      </c>
      <c r="L179">
        <f t="shared" si="28"/>
        <v>69.984569165002</v>
      </c>
      <c r="M179">
        <f t="shared" si="29"/>
        <v>1.5434157526312648</v>
      </c>
      <c r="N179">
        <f t="shared" si="30"/>
        <v>2.2053657985553463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26204.152169985129</v>
      </c>
      <c r="T179">
        <f t="shared" si="34"/>
        <v>799.99959999999999</v>
      </c>
      <c r="U179">
        <f t="shared" si="35"/>
        <v>674.39969431998418</v>
      </c>
      <c r="V179">
        <f t="shared" si="36"/>
        <v>0.8430000393999999</v>
      </c>
      <c r="W179">
        <f t="shared" si="37"/>
        <v>0.15870005952399996</v>
      </c>
      <c r="X179">
        <v>1</v>
      </c>
      <c r="Y179">
        <v>1771106320.03333</v>
      </c>
      <c r="Z179">
        <v>797.98940000000005</v>
      </c>
      <c r="AA179">
        <v>800.01620000000003</v>
      </c>
      <c r="AB179">
        <v>15.433313333333301</v>
      </c>
      <c r="AC179">
        <v>13.702533333333299</v>
      </c>
      <c r="AD179">
        <v>798.68073333333302</v>
      </c>
      <c r="AE179">
        <v>15.3643133333333</v>
      </c>
      <c r="AF179">
        <v>800.00726666666696</v>
      </c>
      <c r="AG179">
        <v>99.942406666666699</v>
      </c>
      <c r="AH179">
        <v>6.3063273333333295E-2</v>
      </c>
      <c r="AI179">
        <v>19.001346666666699</v>
      </c>
      <c r="AJ179">
        <v>999.9</v>
      </c>
      <c r="AK179">
        <v>999.9</v>
      </c>
      <c r="AL179">
        <v>0</v>
      </c>
      <c r="AM179">
        <v>0</v>
      </c>
      <c r="AN179">
        <v>4999.5333333333301</v>
      </c>
      <c r="AO179">
        <v>0</v>
      </c>
      <c r="AP179">
        <v>1.58087</v>
      </c>
      <c r="AQ179">
        <v>-2.0267033333333302</v>
      </c>
      <c r="AR179">
        <v>810.49293333333299</v>
      </c>
      <c r="AS179">
        <v>811.13066666666703</v>
      </c>
      <c r="AT179">
        <v>1.72438933333333</v>
      </c>
      <c r="AU179">
        <v>800.01620000000003</v>
      </c>
      <c r="AV179">
        <v>13.702533333333299</v>
      </c>
      <c r="AW179">
        <v>1.54180266666667</v>
      </c>
      <c r="AX179">
        <v>1.3694646666666701</v>
      </c>
      <c r="AY179">
        <v>13.389146666666701</v>
      </c>
      <c r="AZ179">
        <v>11.5836666666667</v>
      </c>
      <c r="BA179">
        <v>799.99959999999999</v>
      </c>
      <c r="BB179">
        <v>0.89999926666666696</v>
      </c>
      <c r="BC179">
        <v>0</v>
      </c>
      <c r="BD179">
        <v>0.100000753333333</v>
      </c>
      <c r="BE179">
        <v>0</v>
      </c>
      <c r="BF179">
        <v>25</v>
      </c>
      <c r="BG179">
        <v>13191.0133333333</v>
      </c>
      <c r="BH179">
        <v>1771106352.0999999</v>
      </c>
      <c r="BI179" t="s">
        <v>633</v>
      </c>
      <c r="BJ179">
        <v>1771105740.0999999</v>
      </c>
      <c r="BK179">
        <v>1771106352.0999999</v>
      </c>
      <c r="BL179">
        <v>21</v>
      </c>
      <c r="BM179">
        <v>3.5999999999999997E-2</v>
      </c>
      <c r="BN179">
        <v>7.0000000000000001E-3</v>
      </c>
      <c r="BO179">
        <v>-0.69099999999999995</v>
      </c>
      <c r="BP179">
        <v>6.9000000000000006E-2</v>
      </c>
      <c r="BQ179">
        <v>500</v>
      </c>
      <c r="BR179">
        <v>14</v>
      </c>
      <c r="BS179">
        <v>0.28999999999999998</v>
      </c>
      <c r="BT179">
        <v>0.02</v>
      </c>
      <c r="BU179">
        <v>-2.0323324999999999</v>
      </c>
      <c r="BV179">
        <v>-6.4730977443609505E-2</v>
      </c>
      <c r="BW179">
        <v>4.8051959676479399E-2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1.7181120000000001</v>
      </c>
      <c r="CD179">
        <v>0.16724120300751999</v>
      </c>
      <c r="CE179">
        <v>1.6828476045085E-2</v>
      </c>
      <c r="CF179">
        <v>0</v>
      </c>
      <c r="CG179">
        <v>1</v>
      </c>
      <c r="CH179">
        <v>2</v>
      </c>
      <c r="CI179" t="s">
        <v>299</v>
      </c>
      <c r="CJ179">
        <v>3.5325299999999999</v>
      </c>
      <c r="CK179">
        <v>2.7007099999999999</v>
      </c>
      <c r="CL179">
        <v>0.15668599999999999</v>
      </c>
      <c r="CM179">
        <v>0.15468699999999999</v>
      </c>
      <c r="CN179">
        <v>8.7058099999999999E-2</v>
      </c>
      <c r="CO179">
        <v>7.8725000000000003E-2</v>
      </c>
      <c r="CP179">
        <v>29541.8</v>
      </c>
      <c r="CQ179">
        <v>26034.9</v>
      </c>
      <c r="CR179">
        <v>32424.1</v>
      </c>
      <c r="CS179">
        <v>30728.3</v>
      </c>
      <c r="CT179">
        <v>40100.300000000003</v>
      </c>
      <c r="CU179">
        <v>39831.300000000003</v>
      </c>
      <c r="CV179">
        <v>47364.800000000003</v>
      </c>
      <c r="CW179">
        <v>46878.1</v>
      </c>
      <c r="CX179">
        <v>2.6135199999999998</v>
      </c>
      <c r="CY179">
        <v>2.12046</v>
      </c>
      <c r="CZ179">
        <v>0</v>
      </c>
      <c r="DA179">
        <v>0</v>
      </c>
      <c r="DB179">
        <v>999.9</v>
      </c>
      <c r="DC179">
        <v>999.9</v>
      </c>
      <c r="DD179">
        <v>44.548999999999999</v>
      </c>
      <c r="DE179">
        <v>28.882999999999999</v>
      </c>
      <c r="DF179">
        <v>17.804200000000002</v>
      </c>
      <c r="DG179">
        <v>30.6584</v>
      </c>
      <c r="DH179">
        <v>16.794899999999998</v>
      </c>
      <c r="DI179">
        <v>2</v>
      </c>
      <c r="DJ179">
        <v>-6.68435E-2</v>
      </c>
      <c r="DK179">
        <v>2.7031000000000001</v>
      </c>
      <c r="DL179">
        <v>20.1875</v>
      </c>
      <c r="DM179">
        <v>5.2507099999999998</v>
      </c>
      <c r="DN179">
        <v>12.033899999999999</v>
      </c>
      <c r="DO179">
        <v>4.9673600000000002</v>
      </c>
      <c r="DP179">
        <v>3.2909999999999999</v>
      </c>
      <c r="DQ179">
        <v>608.5</v>
      </c>
      <c r="DR179">
        <v>9999</v>
      </c>
      <c r="DS179">
        <v>9999</v>
      </c>
      <c r="DT179">
        <v>9999</v>
      </c>
      <c r="DU179">
        <v>1.8711899999999999</v>
      </c>
      <c r="DV179">
        <v>1.8761399999999999</v>
      </c>
      <c r="DW179">
        <v>1.87635</v>
      </c>
      <c r="DX179">
        <v>1.8828100000000001</v>
      </c>
      <c r="DY179">
        <v>1.87561</v>
      </c>
      <c r="DZ179">
        <v>1.87466</v>
      </c>
      <c r="EA179">
        <v>1.87087</v>
      </c>
      <c r="EB179">
        <v>1.8746499999999999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-0.69099999999999995</v>
      </c>
      <c r="EQ179">
        <v>6.9000000000000006E-2</v>
      </c>
      <c r="ER179">
        <v>-0.69120000000003801</v>
      </c>
      <c r="ES179">
        <v>0</v>
      </c>
      <c r="ET179">
        <v>0</v>
      </c>
      <c r="EU179">
        <v>0</v>
      </c>
      <c r="EV179">
        <v>6.2609999999999402E-2</v>
      </c>
      <c r="EW179">
        <v>0</v>
      </c>
      <c r="EX179">
        <v>0</v>
      </c>
      <c r="EY179">
        <v>0</v>
      </c>
      <c r="EZ179">
        <v>-1</v>
      </c>
      <c r="FA179">
        <v>-1</v>
      </c>
      <c r="FB179">
        <v>-1</v>
      </c>
      <c r="FC179">
        <v>-1</v>
      </c>
      <c r="FD179">
        <v>9.8000000000000007</v>
      </c>
      <c r="FE179">
        <v>10.199999999999999</v>
      </c>
      <c r="FF179">
        <v>2.1569799999999999</v>
      </c>
      <c r="FG179">
        <v>2.5964399999999999</v>
      </c>
      <c r="FH179">
        <v>2.19604</v>
      </c>
      <c r="FI179">
        <v>2.5744600000000002</v>
      </c>
      <c r="FJ179">
        <v>2.4462899999999999</v>
      </c>
      <c r="FK179">
        <v>2.2949199999999998</v>
      </c>
      <c r="FL179">
        <v>33.132199999999997</v>
      </c>
      <c r="FM179">
        <v>24.14</v>
      </c>
      <c r="FN179">
        <v>19</v>
      </c>
      <c r="FO179">
        <v>866.68899999999996</v>
      </c>
      <c r="FP179">
        <v>575.88599999999997</v>
      </c>
      <c r="FQ179">
        <v>17.825199999999999</v>
      </c>
      <c r="FR179">
        <v>26.122800000000002</v>
      </c>
      <c r="FS179">
        <v>30.0001</v>
      </c>
      <c r="FT179">
        <v>26.130199999999999</v>
      </c>
      <c r="FU179">
        <v>26.131699999999999</v>
      </c>
      <c r="FV179">
        <v>43.276699999999998</v>
      </c>
      <c r="FW179">
        <v>27.008400000000002</v>
      </c>
      <c r="FX179">
        <v>36.976700000000001</v>
      </c>
      <c r="FY179">
        <v>17.821400000000001</v>
      </c>
      <c r="FZ179">
        <v>800</v>
      </c>
      <c r="GA179">
        <v>13.75</v>
      </c>
      <c r="GB179">
        <v>99.793899999999994</v>
      </c>
      <c r="GC179">
        <v>99.779499999999999</v>
      </c>
    </row>
    <row r="180" spans="1:185" x14ac:dyDescent="0.2">
      <c r="A180">
        <v>165</v>
      </c>
      <c r="B180">
        <v>1771106354.0999999</v>
      </c>
      <c r="C180">
        <v>3241</v>
      </c>
      <c r="D180" t="s">
        <v>634</v>
      </c>
      <c r="E180" t="s">
        <v>635</v>
      </c>
      <c r="F180">
        <v>15</v>
      </c>
      <c r="G180">
        <v>1771106353.0999999</v>
      </c>
      <c r="H180">
        <f t="shared" si="26"/>
        <v>8.1110401064940774E-8</v>
      </c>
      <c r="I180">
        <v>0</v>
      </c>
      <c r="J180">
        <f t="shared" si="38"/>
        <v>-6.7473042243339785E-4</v>
      </c>
      <c r="K180">
        <f t="shared" si="27"/>
        <v>-1.2065026240755559E-2</v>
      </c>
      <c r="L180">
        <f t="shared" si="28"/>
        <v>62.031028722273376</v>
      </c>
      <c r="M180">
        <f t="shared" si="29"/>
        <v>1.3681522381919</v>
      </c>
      <c r="N180">
        <f t="shared" si="30"/>
        <v>2.2055933399354379</v>
      </c>
      <c r="O180">
        <v>495</v>
      </c>
      <c r="P180">
        <v>62</v>
      </c>
      <c r="Q180">
        <f t="shared" si="31"/>
        <v>1</v>
      </c>
      <c r="R180">
        <f t="shared" si="32"/>
        <v>0</v>
      </c>
      <c r="S180">
        <f t="shared" si="33"/>
        <v>26267.679784543445</v>
      </c>
      <c r="T180">
        <f t="shared" si="34"/>
        <v>800.01</v>
      </c>
      <c r="U180">
        <f t="shared" si="35"/>
        <v>674.40874200389999</v>
      </c>
      <c r="V180">
        <f t="shared" si="36"/>
        <v>0.84300039000000004</v>
      </c>
      <c r="W180">
        <f t="shared" si="37"/>
        <v>0.15870097499999999</v>
      </c>
      <c r="X180">
        <v>1</v>
      </c>
      <c r="Y180">
        <v>1771106353.0999999</v>
      </c>
      <c r="Z180">
        <v>800.03599999999994</v>
      </c>
      <c r="AA180">
        <v>800.02099999999996</v>
      </c>
      <c r="AB180">
        <v>13.678900000000001</v>
      </c>
      <c r="AC180">
        <v>13.678800000000001</v>
      </c>
      <c r="AD180">
        <v>800.68299999999999</v>
      </c>
      <c r="AE180">
        <v>13.6096</v>
      </c>
      <c r="AF180">
        <v>800.00900000000001</v>
      </c>
      <c r="AG180">
        <v>99.943399999999997</v>
      </c>
      <c r="AH180">
        <v>7.5771000000000005E-2</v>
      </c>
      <c r="AI180">
        <v>19.003</v>
      </c>
      <c r="AJ180">
        <v>999.9</v>
      </c>
      <c r="AK180">
        <v>999.9</v>
      </c>
      <c r="AL180">
        <v>0</v>
      </c>
      <c r="AM180">
        <v>0</v>
      </c>
      <c r="AN180">
        <v>5010</v>
      </c>
      <c r="AO180">
        <v>0</v>
      </c>
      <c r="AP180">
        <v>1.58087</v>
      </c>
      <c r="AQ180">
        <v>-2.9907199999999998E-2</v>
      </c>
      <c r="AR180">
        <v>811.08600000000001</v>
      </c>
      <c r="AS180">
        <v>811.11599999999999</v>
      </c>
      <c r="AT180">
        <v>1.0681200000000001E-4</v>
      </c>
      <c r="AU180">
        <v>800.02099999999996</v>
      </c>
      <c r="AV180">
        <v>13.678800000000001</v>
      </c>
      <c r="AW180">
        <v>1.3671199999999999</v>
      </c>
      <c r="AX180">
        <v>1.36711</v>
      </c>
      <c r="AY180">
        <v>11.557700000000001</v>
      </c>
      <c r="AZ180">
        <v>11.557600000000001</v>
      </c>
      <c r="BA180">
        <v>800.01</v>
      </c>
      <c r="BB180">
        <v>0.89998699999999998</v>
      </c>
      <c r="BC180">
        <v>0</v>
      </c>
      <c r="BD180">
        <v>0.100013</v>
      </c>
      <c r="BE180">
        <v>0</v>
      </c>
      <c r="BF180">
        <v>25</v>
      </c>
      <c r="BG180">
        <v>13191.1</v>
      </c>
      <c r="BH180">
        <v>1771106372.0999999</v>
      </c>
      <c r="BI180" t="s">
        <v>636</v>
      </c>
      <c r="BJ180">
        <v>1771106372.0999999</v>
      </c>
      <c r="BK180">
        <v>1771106352.0999999</v>
      </c>
      <c r="BL180">
        <v>22</v>
      </c>
      <c r="BM180">
        <v>4.3999999999999997E-2</v>
      </c>
      <c r="BN180">
        <v>7.0000000000000001E-3</v>
      </c>
      <c r="BO180">
        <v>-0.64700000000000002</v>
      </c>
      <c r="BP180">
        <v>6.9000000000000006E-2</v>
      </c>
      <c r="BQ180">
        <v>800</v>
      </c>
      <c r="BR180">
        <v>14</v>
      </c>
      <c r="BS180">
        <v>0.31</v>
      </c>
      <c r="BT180">
        <v>0.02</v>
      </c>
      <c r="BU180">
        <v>-9.2001369999999999E-2</v>
      </c>
      <c r="BV180">
        <v>0.515357918796993</v>
      </c>
      <c r="BW180">
        <v>9.2765868270679702E-2</v>
      </c>
      <c r="BX180">
        <v>0</v>
      </c>
      <c r="BY180">
        <v>0</v>
      </c>
      <c r="BZ180">
        <v>0</v>
      </c>
      <c r="CA180">
        <v>0</v>
      </c>
      <c r="CB180">
        <v>-1</v>
      </c>
      <c r="CC180">
        <v>1.6977582450000001E-2</v>
      </c>
      <c r="CD180">
        <v>-0.37730260299248097</v>
      </c>
      <c r="CE180">
        <v>7.8434599326233603E-2</v>
      </c>
      <c r="CF180">
        <v>0</v>
      </c>
      <c r="CG180">
        <v>0</v>
      </c>
      <c r="CH180">
        <v>2</v>
      </c>
      <c r="CI180" t="s">
        <v>290</v>
      </c>
      <c r="CJ180">
        <v>3.5337900000000002</v>
      </c>
      <c r="CK180">
        <v>2.7126800000000002</v>
      </c>
      <c r="CL180">
        <v>0.15690599999999999</v>
      </c>
      <c r="CM180">
        <v>0.15468499999999999</v>
      </c>
      <c r="CN180">
        <v>7.9562599999999997E-2</v>
      </c>
      <c r="CO180">
        <v>7.8700500000000007E-2</v>
      </c>
      <c r="CP180">
        <v>29535.1</v>
      </c>
      <c r="CQ180">
        <v>26035.1</v>
      </c>
      <c r="CR180">
        <v>32425.3</v>
      </c>
      <c r="CS180">
        <v>30728.5</v>
      </c>
      <c r="CT180">
        <v>40440.1</v>
      </c>
      <c r="CU180">
        <v>39832.800000000003</v>
      </c>
      <c r="CV180">
        <v>47366.5</v>
      </c>
      <c r="CW180">
        <v>46878.5</v>
      </c>
      <c r="CX180">
        <v>1.6592</v>
      </c>
      <c r="CY180">
        <v>1.58246</v>
      </c>
      <c r="CZ180">
        <v>0</v>
      </c>
      <c r="DA180">
        <v>0</v>
      </c>
      <c r="DB180">
        <v>999.9</v>
      </c>
      <c r="DC180">
        <v>999.9</v>
      </c>
      <c r="DD180">
        <v>44.5</v>
      </c>
      <c r="DE180">
        <v>28.893000000000001</v>
      </c>
      <c r="DF180">
        <v>17.7971</v>
      </c>
      <c r="DG180">
        <v>30.258400000000002</v>
      </c>
      <c r="DH180">
        <v>17.407900000000001</v>
      </c>
      <c r="DI180">
        <v>2</v>
      </c>
      <c r="DJ180">
        <v>-6.6884200000000005E-2</v>
      </c>
      <c r="DK180">
        <v>2.7284000000000002</v>
      </c>
      <c r="DL180">
        <v>20.185300000000002</v>
      </c>
      <c r="DM180">
        <v>5.2451999999999996</v>
      </c>
      <c r="DN180">
        <v>12.033899999999999</v>
      </c>
      <c r="DO180">
        <v>4.9661999999999997</v>
      </c>
      <c r="DP180">
        <v>3.2900800000000001</v>
      </c>
      <c r="DQ180">
        <v>608.5</v>
      </c>
      <c r="DR180">
        <v>9999</v>
      </c>
      <c r="DS180">
        <v>9999</v>
      </c>
      <c r="DT180">
        <v>9999</v>
      </c>
      <c r="DU180">
        <v>1.8711899999999999</v>
      </c>
      <c r="DV180">
        <v>1.87618</v>
      </c>
      <c r="DW180">
        <v>1.8763700000000001</v>
      </c>
      <c r="DX180">
        <v>1.88286</v>
      </c>
      <c r="DY180">
        <v>1.8756200000000001</v>
      </c>
      <c r="DZ180">
        <v>1.87469</v>
      </c>
      <c r="EA180">
        <v>1.87087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-0.64700000000000002</v>
      </c>
      <c r="EQ180">
        <v>6.93E-2</v>
      </c>
      <c r="ER180">
        <v>-0.69120000000003801</v>
      </c>
      <c r="ES180">
        <v>0</v>
      </c>
      <c r="ET180">
        <v>0</v>
      </c>
      <c r="EU180">
        <v>0</v>
      </c>
      <c r="EV180">
        <v>6.9300000000000098E-2</v>
      </c>
      <c r="EW180">
        <v>0</v>
      </c>
      <c r="EX180">
        <v>0</v>
      </c>
      <c r="EY180">
        <v>0</v>
      </c>
      <c r="EZ180">
        <v>-1</v>
      </c>
      <c r="FA180">
        <v>-1</v>
      </c>
      <c r="FB180">
        <v>-1</v>
      </c>
      <c r="FC180">
        <v>-1</v>
      </c>
      <c r="FD180">
        <v>10.199999999999999</v>
      </c>
      <c r="FE180">
        <v>0</v>
      </c>
      <c r="FF180">
        <v>2.1569799999999999</v>
      </c>
      <c r="FG180">
        <v>2.6013199999999999</v>
      </c>
      <c r="FH180">
        <v>2.19604</v>
      </c>
      <c r="FI180">
        <v>2.5744600000000002</v>
      </c>
      <c r="FJ180">
        <v>2.4462899999999999</v>
      </c>
      <c r="FK180">
        <v>2.2570800000000002</v>
      </c>
      <c r="FL180">
        <v>33.132199999999997</v>
      </c>
      <c r="FM180">
        <v>24.096299999999999</v>
      </c>
      <c r="FN180">
        <v>19</v>
      </c>
      <c r="FO180">
        <v>285.45999999999998</v>
      </c>
      <c r="FP180">
        <v>270.29899999999998</v>
      </c>
      <c r="FQ180">
        <v>17.813500000000001</v>
      </c>
      <c r="FR180">
        <v>26.122800000000002</v>
      </c>
      <c r="FS180">
        <v>30.0001</v>
      </c>
      <c r="FT180">
        <v>26.145199999999999</v>
      </c>
      <c r="FU180">
        <v>26.1465</v>
      </c>
      <c r="FV180">
        <v>43.275300000000001</v>
      </c>
      <c r="FW180">
        <v>22.839300000000001</v>
      </c>
      <c r="FX180">
        <v>36.976700000000001</v>
      </c>
      <c r="FY180">
        <v>17.810300000000002</v>
      </c>
      <c r="FZ180">
        <v>800</v>
      </c>
      <c r="GA180">
        <v>14.9358</v>
      </c>
      <c r="GB180">
        <v>99.797600000000003</v>
      </c>
      <c r="GC180">
        <v>99.7804</v>
      </c>
    </row>
    <row r="181" spans="1:185" x14ac:dyDescent="0.2">
      <c r="A181">
        <v>166</v>
      </c>
      <c r="B181">
        <v>1771106374.0999999</v>
      </c>
      <c r="C181">
        <v>3261</v>
      </c>
      <c r="D181" t="s">
        <v>637</v>
      </c>
      <c r="E181" t="s">
        <v>638</v>
      </c>
      <c r="F181">
        <v>15</v>
      </c>
      <c r="G181">
        <v>1771106373.0999999</v>
      </c>
      <c r="H181">
        <f t="shared" si="26"/>
        <v>-1.7937230718596773E-5</v>
      </c>
      <c r="I181">
        <v>0</v>
      </c>
      <c r="J181">
        <f t="shared" si="38"/>
        <v>-2.105942336930068E-3</v>
      </c>
      <c r="K181">
        <f t="shared" si="27"/>
        <v>-3.765689038437775E-2</v>
      </c>
      <c r="L181">
        <f t="shared" si="28"/>
        <v>65.049626481200249</v>
      </c>
      <c r="M181">
        <f t="shared" si="29"/>
        <v>1.4347033708005401</v>
      </c>
      <c r="N181">
        <f t="shared" si="30"/>
        <v>2.2055520506565527</v>
      </c>
      <c r="O181">
        <v>496</v>
      </c>
      <c r="P181">
        <v>62</v>
      </c>
      <c r="Q181">
        <f t="shared" si="31"/>
        <v>1</v>
      </c>
      <c r="R181">
        <f t="shared" si="32"/>
        <v>0</v>
      </c>
      <c r="S181">
        <f t="shared" si="33"/>
        <v>26240.470916833496</v>
      </c>
      <c r="T181">
        <f t="shared" si="34"/>
        <v>799.99900000000002</v>
      </c>
      <c r="U181">
        <f t="shared" si="35"/>
        <v>674.39946899961001</v>
      </c>
      <c r="V181">
        <f t="shared" si="36"/>
        <v>0.84300039000000004</v>
      </c>
      <c r="W181">
        <f t="shared" si="37"/>
        <v>0.15870097499999999</v>
      </c>
      <c r="X181">
        <v>1</v>
      </c>
      <c r="Y181">
        <v>1771106373.0999999</v>
      </c>
      <c r="Z181">
        <v>799.61699999999996</v>
      </c>
      <c r="AA181">
        <v>799.55200000000002</v>
      </c>
      <c r="AB181">
        <v>14.3443</v>
      </c>
      <c r="AC181">
        <v>14.366400000000001</v>
      </c>
      <c r="AD181">
        <v>800.26400000000001</v>
      </c>
      <c r="AE181">
        <v>14.275</v>
      </c>
      <c r="AF181">
        <v>799.99699999999996</v>
      </c>
      <c r="AG181">
        <v>99.9435</v>
      </c>
      <c r="AH181">
        <v>7.5557799999999994E-2</v>
      </c>
      <c r="AI181">
        <v>19.002700000000001</v>
      </c>
      <c r="AJ181">
        <v>999.9</v>
      </c>
      <c r="AK181">
        <v>999.9</v>
      </c>
      <c r="AL181">
        <v>0</v>
      </c>
      <c r="AM181">
        <v>0</v>
      </c>
      <c r="AN181">
        <v>5005.5</v>
      </c>
      <c r="AO181">
        <v>0</v>
      </c>
      <c r="AP181">
        <v>1.58087</v>
      </c>
      <c r="AQ181">
        <v>6.5124500000000002E-2</v>
      </c>
      <c r="AR181">
        <v>811.25400000000002</v>
      </c>
      <c r="AS181">
        <v>811.20600000000002</v>
      </c>
      <c r="AT181">
        <v>-2.213E-2</v>
      </c>
      <c r="AU181">
        <v>799.55200000000002</v>
      </c>
      <c r="AV181">
        <v>14.366400000000001</v>
      </c>
      <c r="AW181">
        <v>1.4336199999999999</v>
      </c>
      <c r="AX181">
        <v>1.4358299999999999</v>
      </c>
      <c r="AY181">
        <v>12.278</v>
      </c>
      <c r="AZ181">
        <v>12.301399999999999</v>
      </c>
      <c r="BA181">
        <v>799.99900000000002</v>
      </c>
      <c r="BB181">
        <v>0.89998699999999998</v>
      </c>
      <c r="BC181">
        <v>0</v>
      </c>
      <c r="BD181">
        <v>0.100013</v>
      </c>
      <c r="BE181">
        <v>0</v>
      </c>
      <c r="BF181">
        <v>25</v>
      </c>
      <c r="BG181">
        <v>13191</v>
      </c>
      <c r="BH181">
        <v>1771106372.0999999</v>
      </c>
      <c r="BI181" t="s">
        <v>636</v>
      </c>
      <c r="BJ181">
        <v>1771106372.0999999</v>
      </c>
      <c r="BK181">
        <v>1771106352.0999999</v>
      </c>
      <c r="BL181">
        <v>22</v>
      </c>
      <c r="BM181">
        <v>4.3999999999999997E-2</v>
      </c>
      <c r="BN181">
        <v>7.0000000000000001E-3</v>
      </c>
      <c r="BO181">
        <v>-0.64700000000000002</v>
      </c>
      <c r="BP181">
        <v>6.9000000000000006E-2</v>
      </c>
      <c r="BQ181">
        <v>800</v>
      </c>
      <c r="BR181">
        <v>14</v>
      </c>
      <c r="BS181">
        <v>0.31</v>
      </c>
      <c r="BT181">
        <v>0.02</v>
      </c>
      <c r="BU181">
        <v>-0.14070133400000001</v>
      </c>
      <c r="BV181">
        <v>1.3116547596992501</v>
      </c>
      <c r="BW181">
        <v>0.17766890804331301</v>
      </c>
      <c r="BX181">
        <v>0</v>
      </c>
      <c r="BY181">
        <v>0</v>
      </c>
      <c r="BZ181">
        <v>0</v>
      </c>
      <c r="CA181">
        <v>0</v>
      </c>
      <c r="CB181">
        <v>-1</v>
      </c>
      <c r="CC181">
        <v>0.14268206</v>
      </c>
      <c r="CD181">
        <v>-1.8066425774436099</v>
      </c>
      <c r="CE181">
        <v>0.25349306415398298</v>
      </c>
      <c r="CF181">
        <v>0</v>
      </c>
      <c r="CG181">
        <v>0</v>
      </c>
      <c r="CH181">
        <v>2</v>
      </c>
      <c r="CI181" t="s">
        <v>290</v>
      </c>
      <c r="CJ181">
        <v>3.53328</v>
      </c>
      <c r="CK181">
        <v>2.7124700000000002</v>
      </c>
      <c r="CL181">
        <v>0.156863</v>
      </c>
      <c r="CM181">
        <v>0.15463299999999999</v>
      </c>
      <c r="CN181">
        <v>8.2472699999999996E-2</v>
      </c>
      <c r="CO181">
        <v>8.16196E-2</v>
      </c>
      <c r="CP181">
        <v>29536.2</v>
      </c>
      <c r="CQ181">
        <v>26036.9</v>
      </c>
      <c r="CR181">
        <v>32424.799999999999</v>
      </c>
      <c r="CS181">
        <v>30728.6</v>
      </c>
      <c r="CT181">
        <v>40308.199999999997</v>
      </c>
      <c r="CU181">
        <v>39703.699999999997</v>
      </c>
      <c r="CV181">
        <v>47365.8</v>
      </c>
      <c r="CW181">
        <v>46878.7</v>
      </c>
      <c r="CX181">
        <v>1.6562600000000001</v>
      </c>
      <c r="CY181">
        <v>1.5792600000000001</v>
      </c>
      <c r="CZ181">
        <v>0</v>
      </c>
      <c r="DA181">
        <v>0</v>
      </c>
      <c r="DB181">
        <v>999.9</v>
      </c>
      <c r="DC181">
        <v>999.9</v>
      </c>
      <c r="DD181">
        <v>44.47</v>
      </c>
      <c r="DE181">
        <v>28.893000000000001</v>
      </c>
      <c r="DF181">
        <v>17.785</v>
      </c>
      <c r="DG181">
        <v>30.398399999999999</v>
      </c>
      <c r="DH181">
        <v>17.527999999999999</v>
      </c>
      <c r="DI181">
        <v>2</v>
      </c>
      <c r="DJ181">
        <v>-6.6676799999999994E-2</v>
      </c>
      <c r="DK181">
        <v>2.7524700000000002</v>
      </c>
      <c r="DL181">
        <v>20.185099999999998</v>
      </c>
      <c r="DM181">
        <v>5.2454400000000003</v>
      </c>
      <c r="DN181">
        <v>12.033899999999999</v>
      </c>
      <c r="DO181">
        <v>4.9663599999999999</v>
      </c>
      <c r="DP181">
        <v>3.29006</v>
      </c>
      <c r="DQ181">
        <v>608.6</v>
      </c>
      <c r="DR181">
        <v>9999</v>
      </c>
      <c r="DS181">
        <v>9999</v>
      </c>
      <c r="DT181">
        <v>9999</v>
      </c>
      <c r="DU181">
        <v>1.8711800000000001</v>
      </c>
      <c r="DV181">
        <v>1.87616</v>
      </c>
      <c r="DW181">
        <v>1.87635</v>
      </c>
      <c r="DX181">
        <v>1.88286</v>
      </c>
      <c r="DY181">
        <v>1.8756200000000001</v>
      </c>
      <c r="DZ181">
        <v>1.8746799999999999</v>
      </c>
      <c r="EA181">
        <v>1.8708800000000001</v>
      </c>
      <c r="EB181">
        <v>1.8746799999999999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-0.64700000000000002</v>
      </c>
      <c r="EQ181">
        <v>6.93E-2</v>
      </c>
      <c r="ER181">
        <v>-0.64699999999993496</v>
      </c>
      <c r="ES181">
        <v>0</v>
      </c>
      <c r="ET181">
        <v>0</v>
      </c>
      <c r="EU181">
        <v>0</v>
      </c>
      <c r="EV181">
        <v>6.9300000000000098E-2</v>
      </c>
      <c r="EW181">
        <v>0</v>
      </c>
      <c r="EX181">
        <v>0</v>
      </c>
      <c r="EY181">
        <v>0</v>
      </c>
      <c r="EZ181">
        <v>-1</v>
      </c>
      <c r="FA181">
        <v>-1</v>
      </c>
      <c r="FB181">
        <v>-1</v>
      </c>
      <c r="FC181">
        <v>-1</v>
      </c>
      <c r="FD181">
        <v>0</v>
      </c>
      <c r="FE181">
        <v>0.4</v>
      </c>
      <c r="FF181">
        <v>2.1569799999999999</v>
      </c>
      <c r="FG181">
        <v>2.5952099999999998</v>
      </c>
      <c r="FH181">
        <v>2.19604</v>
      </c>
      <c r="FI181">
        <v>2.5732400000000002</v>
      </c>
      <c r="FJ181">
        <v>2.4462899999999999</v>
      </c>
      <c r="FK181">
        <v>2.3046899999999999</v>
      </c>
      <c r="FL181">
        <v>33.132199999999997</v>
      </c>
      <c r="FM181">
        <v>24.105</v>
      </c>
      <c r="FN181">
        <v>19</v>
      </c>
      <c r="FO181">
        <v>283.86799999999999</v>
      </c>
      <c r="FP181">
        <v>268.495</v>
      </c>
      <c r="FQ181">
        <v>17.796099999999999</v>
      </c>
      <c r="FR181">
        <v>26.123799999999999</v>
      </c>
      <c r="FS181">
        <v>30.0002</v>
      </c>
      <c r="FT181">
        <v>26.1478</v>
      </c>
      <c r="FU181">
        <v>26.148800000000001</v>
      </c>
      <c r="FV181">
        <v>43.2849</v>
      </c>
      <c r="FW181">
        <v>24.823399999999999</v>
      </c>
      <c r="FX181">
        <v>36.976700000000001</v>
      </c>
      <c r="FY181">
        <v>17.7928</v>
      </c>
      <c r="FZ181">
        <v>800</v>
      </c>
      <c r="GA181">
        <v>14.5589</v>
      </c>
      <c r="GB181">
        <v>99.796099999999996</v>
      </c>
      <c r="GC181">
        <v>99.780799999999999</v>
      </c>
    </row>
    <row r="182" spans="1:185" x14ac:dyDescent="0.2">
      <c r="A182">
        <v>167</v>
      </c>
      <c r="B182">
        <v>1771106389.0999999</v>
      </c>
      <c r="C182">
        <v>3276</v>
      </c>
      <c r="D182" t="s">
        <v>639</v>
      </c>
      <c r="E182" t="s">
        <v>640</v>
      </c>
      <c r="F182">
        <v>15</v>
      </c>
      <c r="G182">
        <v>1771106381.03333</v>
      </c>
      <c r="H182">
        <f t="shared" si="26"/>
        <v>1.1930865356161364E-3</v>
      </c>
      <c r="I182">
        <v>0</v>
      </c>
      <c r="J182">
        <f t="shared" si="38"/>
        <v>2.1733814785411306E-2</v>
      </c>
      <c r="K182">
        <f t="shared" si="27"/>
        <v>0.38862786822627965</v>
      </c>
      <c r="L182">
        <f t="shared" si="28"/>
        <v>69.886271987895995</v>
      </c>
      <c r="M182">
        <f t="shared" si="29"/>
        <v>1.5411241966446962</v>
      </c>
      <c r="N182">
        <f t="shared" si="30"/>
        <v>2.2051887342218115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26201.362538365986</v>
      </c>
      <c r="T182">
        <f t="shared" si="34"/>
        <v>799.99720000000002</v>
      </c>
      <c r="U182">
        <f t="shared" si="35"/>
        <v>674.39774359963576</v>
      </c>
      <c r="V182">
        <f t="shared" si="36"/>
        <v>0.84300012999999963</v>
      </c>
      <c r="W182">
        <f t="shared" si="37"/>
        <v>0.15870045491999996</v>
      </c>
      <c r="X182">
        <v>1</v>
      </c>
      <c r="Y182">
        <v>1771106381.03333</v>
      </c>
      <c r="Z182">
        <v>798.27186666666603</v>
      </c>
      <c r="AA182">
        <v>799.94726666666702</v>
      </c>
      <c r="AB182">
        <v>15.4098666666667</v>
      </c>
      <c r="AC182">
        <v>13.942273333333301</v>
      </c>
      <c r="AD182">
        <v>798.91880000000003</v>
      </c>
      <c r="AE182">
        <v>15.3405666666667</v>
      </c>
      <c r="AF182">
        <v>800.42693333333295</v>
      </c>
      <c r="AG182">
        <v>99.943653333333302</v>
      </c>
      <c r="AH182">
        <v>6.5271466666666694E-2</v>
      </c>
      <c r="AI182">
        <v>19.000060000000001</v>
      </c>
      <c r="AJ182">
        <v>999.9</v>
      </c>
      <c r="AK182">
        <v>999.9</v>
      </c>
      <c r="AL182">
        <v>0</v>
      </c>
      <c r="AM182">
        <v>0</v>
      </c>
      <c r="AN182">
        <v>4999</v>
      </c>
      <c r="AO182">
        <v>0</v>
      </c>
      <c r="AP182">
        <v>1.58087</v>
      </c>
      <c r="AQ182">
        <v>-1.6754637666666701</v>
      </c>
      <c r="AR182">
        <v>810.76559999999995</v>
      </c>
      <c r="AS182">
        <v>811.25833333333298</v>
      </c>
      <c r="AT182">
        <v>1.46757893333333</v>
      </c>
      <c r="AU182">
        <v>799.94726666666702</v>
      </c>
      <c r="AV182">
        <v>13.942273333333301</v>
      </c>
      <c r="AW182">
        <v>1.5401193333333301</v>
      </c>
      <c r="AX182">
        <v>1.39344333333333</v>
      </c>
      <c r="AY182">
        <v>13.36716</v>
      </c>
      <c r="AZ182">
        <v>11.844200000000001</v>
      </c>
      <c r="BA182">
        <v>799.99720000000002</v>
      </c>
      <c r="BB182">
        <v>0.89999373333333299</v>
      </c>
      <c r="BC182">
        <v>0</v>
      </c>
      <c r="BD182">
        <v>0.1000062</v>
      </c>
      <c r="BE182">
        <v>0</v>
      </c>
      <c r="BF182">
        <v>25</v>
      </c>
      <c r="BG182">
        <v>13190.96</v>
      </c>
      <c r="BH182">
        <v>1771106372.0999999</v>
      </c>
      <c r="BI182" t="s">
        <v>636</v>
      </c>
      <c r="BJ182">
        <v>1771106372.0999999</v>
      </c>
      <c r="BK182">
        <v>1771106352.0999999</v>
      </c>
      <c r="BL182">
        <v>22</v>
      </c>
      <c r="BM182">
        <v>4.3999999999999997E-2</v>
      </c>
      <c r="BN182">
        <v>7.0000000000000001E-3</v>
      </c>
      <c r="BO182">
        <v>-0.64700000000000002</v>
      </c>
      <c r="BP182">
        <v>6.9000000000000006E-2</v>
      </c>
      <c r="BQ182">
        <v>800</v>
      </c>
      <c r="BR182">
        <v>14</v>
      </c>
      <c r="BS182">
        <v>0.31</v>
      </c>
      <c r="BT182">
        <v>0.02</v>
      </c>
      <c r="BU182">
        <v>-1.1644593839999999</v>
      </c>
      <c r="BV182">
        <v>-8.7243573257142906</v>
      </c>
      <c r="BW182">
        <v>0.95471211387325905</v>
      </c>
      <c r="BX182">
        <v>0</v>
      </c>
      <c r="BY182">
        <v>0</v>
      </c>
      <c r="BZ182">
        <v>0</v>
      </c>
      <c r="CA182">
        <v>0</v>
      </c>
      <c r="CB182">
        <v>-1</v>
      </c>
      <c r="CC182">
        <v>1.0016553989999999</v>
      </c>
      <c r="CD182">
        <v>8.4638310920300697</v>
      </c>
      <c r="CE182">
        <v>0.87427866072938398</v>
      </c>
      <c r="CF182">
        <v>0</v>
      </c>
      <c r="CG182">
        <v>0</v>
      </c>
      <c r="CH182">
        <v>2</v>
      </c>
      <c r="CI182" t="s">
        <v>290</v>
      </c>
      <c r="CJ182">
        <v>3.5325700000000002</v>
      </c>
      <c r="CK182">
        <v>2.70085</v>
      </c>
      <c r="CL182">
        <v>0.15668299999999999</v>
      </c>
      <c r="CM182">
        <v>0.15467500000000001</v>
      </c>
      <c r="CN182">
        <v>8.7741E-2</v>
      </c>
      <c r="CO182">
        <v>7.8884700000000002E-2</v>
      </c>
      <c r="CP182">
        <v>29541.7</v>
      </c>
      <c r="CQ182">
        <v>26034.6</v>
      </c>
      <c r="CR182">
        <v>32423.8</v>
      </c>
      <c r="CS182">
        <v>30727.5</v>
      </c>
      <c r="CT182">
        <v>40069.4</v>
      </c>
      <c r="CU182">
        <v>39823.5</v>
      </c>
      <c r="CV182">
        <v>47364.7</v>
      </c>
      <c r="CW182">
        <v>46877.2</v>
      </c>
      <c r="CX182">
        <v>2.6105200000000002</v>
      </c>
      <c r="CY182">
        <v>2.11938</v>
      </c>
      <c r="CZ182">
        <v>0</v>
      </c>
      <c r="DA182">
        <v>0</v>
      </c>
      <c r="DB182">
        <v>999.9</v>
      </c>
      <c r="DC182">
        <v>999.9</v>
      </c>
      <c r="DD182">
        <v>44.445</v>
      </c>
      <c r="DE182">
        <v>28.913</v>
      </c>
      <c r="DF182">
        <v>17.794599999999999</v>
      </c>
      <c r="DG182">
        <v>30.4284</v>
      </c>
      <c r="DH182">
        <v>16.859000000000002</v>
      </c>
      <c r="DI182">
        <v>2</v>
      </c>
      <c r="DJ182">
        <v>-6.6372E-2</v>
      </c>
      <c r="DK182">
        <v>2.7016399999999998</v>
      </c>
      <c r="DL182">
        <v>20.1875</v>
      </c>
      <c r="DM182">
        <v>5.2507099999999998</v>
      </c>
      <c r="DN182">
        <v>12.033899999999999</v>
      </c>
      <c r="DO182">
        <v>4.9675200000000004</v>
      </c>
      <c r="DP182">
        <v>3.2909999999999999</v>
      </c>
      <c r="DQ182">
        <v>608.6</v>
      </c>
      <c r="DR182">
        <v>9999</v>
      </c>
      <c r="DS182">
        <v>9999</v>
      </c>
      <c r="DT182">
        <v>9999</v>
      </c>
      <c r="DU182">
        <v>1.87117</v>
      </c>
      <c r="DV182">
        <v>1.8761000000000001</v>
      </c>
      <c r="DW182">
        <v>1.87632</v>
      </c>
      <c r="DX182">
        <v>1.8828</v>
      </c>
      <c r="DY182">
        <v>1.87561</v>
      </c>
      <c r="DZ182">
        <v>1.8746700000000001</v>
      </c>
      <c r="EA182">
        <v>1.8708800000000001</v>
      </c>
      <c r="EB182">
        <v>1.8746700000000001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-0.64700000000000002</v>
      </c>
      <c r="EQ182">
        <v>6.93E-2</v>
      </c>
      <c r="ER182">
        <v>-0.64699999999993496</v>
      </c>
      <c r="ES182">
        <v>0</v>
      </c>
      <c r="ET182">
        <v>0</v>
      </c>
      <c r="EU182">
        <v>0</v>
      </c>
      <c r="EV182">
        <v>6.9300000000000098E-2</v>
      </c>
      <c r="EW182">
        <v>0</v>
      </c>
      <c r="EX182">
        <v>0</v>
      </c>
      <c r="EY182">
        <v>0</v>
      </c>
      <c r="EZ182">
        <v>-1</v>
      </c>
      <c r="FA182">
        <v>-1</v>
      </c>
      <c r="FB182">
        <v>-1</v>
      </c>
      <c r="FC182">
        <v>-1</v>
      </c>
      <c r="FD182">
        <v>0.3</v>
      </c>
      <c r="FE182">
        <v>0.6</v>
      </c>
      <c r="FF182">
        <v>2.1569799999999999</v>
      </c>
      <c r="FG182">
        <v>2.5915499999999998</v>
      </c>
      <c r="FH182">
        <v>2.19604</v>
      </c>
      <c r="FI182">
        <v>2.5744600000000002</v>
      </c>
      <c r="FJ182">
        <v>2.4462899999999999</v>
      </c>
      <c r="FK182">
        <v>2.3022499999999999</v>
      </c>
      <c r="FL182">
        <v>33.132199999999997</v>
      </c>
      <c r="FM182">
        <v>24.14</v>
      </c>
      <c r="FN182">
        <v>19</v>
      </c>
      <c r="FO182">
        <v>863.92700000000002</v>
      </c>
      <c r="FP182">
        <v>575.05600000000004</v>
      </c>
      <c r="FQ182">
        <v>17.789899999999999</v>
      </c>
      <c r="FR182">
        <v>26.125</v>
      </c>
      <c r="FS182">
        <v>30.0002</v>
      </c>
      <c r="FT182">
        <v>26.132400000000001</v>
      </c>
      <c r="FU182">
        <v>26.131699999999999</v>
      </c>
      <c r="FV182">
        <v>43.277900000000002</v>
      </c>
      <c r="FW182">
        <v>26.764399999999998</v>
      </c>
      <c r="FX182">
        <v>36.976700000000001</v>
      </c>
      <c r="FY182">
        <v>17.807300000000001</v>
      </c>
      <c r="FZ182">
        <v>800</v>
      </c>
      <c r="GA182">
        <v>13.681800000000001</v>
      </c>
      <c r="GB182">
        <v>99.793499999999995</v>
      </c>
      <c r="GC182">
        <v>99.7774</v>
      </c>
    </row>
    <row r="183" spans="1:185" x14ac:dyDescent="0.2">
      <c r="A183">
        <v>168</v>
      </c>
      <c r="B183">
        <v>1771106404.0999999</v>
      </c>
      <c r="C183">
        <v>3291</v>
      </c>
      <c r="D183" t="s">
        <v>641</v>
      </c>
      <c r="E183" t="s">
        <v>642</v>
      </c>
      <c r="F183">
        <v>15</v>
      </c>
      <c r="G183">
        <v>1771106396.03333</v>
      </c>
      <c r="H183">
        <f t="shared" si="26"/>
        <v>1.4757942223737643E-3</v>
      </c>
      <c r="I183">
        <v>0</v>
      </c>
      <c r="J183">
        <f t="shared" si="38"/>
        <v>2.3894726222439051E-2</v>
      </c>
      <c r="K183">
        <f t="shared" si="27"/>
        <v>0.42726767506596908</v>
      </c>
      <c r="L183">
        <f t="shared" si="28"/>
        <v>70.449226788163415</v>
      </c>
      <c r="M183">
        <f t="shared" si="29"/>
        <v>1.5532960662350368</v>
      </c>
      <c r="N183">
        <f t="shared" si="30"/>
        <v>2.20484473293895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26185.322474174267</v>
      </c>
      <c r="T183">
        <f t="shared" si="34"/>
        <v>800.00026666666599</v>
      </c>
      <c r="U183">
        <f t="shared" si="35"/>
        <v>674.40038160005167</v>
      </c>
      <c r="V183">
        <f t="shared" si="36"/>
        <v>0.84300019599999998</v>
      </c>
      <c r="W183">
        <f t="shared" si="37"/>
        <v>0.15870049</v>
      </c>
      <c r="X183">
        <v>1</v>
      </c>
      <c r="Y183">
        <v>1771106396.03333</v>
      </c>
      <c r="Z183">
        <v>797.98006666666697</v>
      </c>
      <c r="AA183">
        <v>799.98620000000005</v>
      </c>
      <c r="AB183">
        <v>15.5317266666667</v>
      </c>
      <c r="AC183">
        <v>13.7156533333333</v>
      </c>
      <c r="AD183">
        <v>798.62706666666702</v>
      </c>
      <c r="AE183">
        <v>15.4624333333333</v>
      </c>
      <c r="AF183">
        <v>800.00766666666698</v>
      </c>
      <c r="AG183">
        <v>99.944800000000001</v>
      </c>
      <c r="AH183">
        <v>6.3145000000000007E-2</v>
      </c>
      <c r="AI183">
        <v>18.99756</v>
      </c>
      <c r="AJ183">
        <v>999.9</v>
      </c>
      <c r="AK183">
        <v>999.9</v>
      </c>
      <c r="AL183">
        <v>0</v>
      </c>
      <c r="AM183">
        <v>0</v>
      </c>
      <c r="AN183">
        <v>4996.2666666666701</v>
      </c>
      <c r="AO183">
        <v>0</v>
      </c>
      <c r="AP183">
        <v>1.58087</v>
      </c>
      <c r="AQ183">
        <v>-2.00620933333333</v>
      </c>
      <c r="AR183">
        <v>810.56953333333297</v>
      </c>
      <c r="AS183">
        <v>811.11113333333299</v>
      </c>
      <c r="AT183">
        <v>1.8160620000000001</v>
      </c>
      <c r="AU183">
        <v>799.98620000000005</v>
      </c>
      <c r="AV183">
        <v>13.7156533333333</v>
      </c>
      <c r="AW183">
        <v>1.5523153333333299</v>
      </c>
      <c r="AX183">
        <v>1.3708073333333299</v>
      </c>
      <c r="AY183">
        <v>13.493406666666701</v>
      </c>
      <c r="AZ183">
        <v>11.598520000000001</v>
      </c>
      <c r="BA183">
        <v>800.00026666666599</v>
      </c>
      <c r="BB183">
        <v>0.89999346666666702</v>
      </c>
      <c r="BC183">
        <v>0</v>
      </c>
      <c r="BD183">
        <v>0.10000653333333299</v>
      </c>
      <c r="BE183">
        <v>0</v>
      </c>
      <c r="BF183">
        <v>25</v>
      </c>
      <c r="BG183">
        <v>13191</v>
      </c>
      <c r="BH183">
        <v>1771106372.0999999</v>
      </c>
      <c r="BI183" t="s">
        <v>636</v>
      </c>
      <c r="BJ183">
        <v>1771106372.0999999</v>
      </c>
      <c r="BK183">
        <v>1771106352.0999999</v>
      </c>
      <c r="BL183">
        <v>22</v>
      </c>
      <c r="BM183">
        <v>4.3999999999999997E-2</v>
      </c>
      <c r="BN183">
        <v>7.0000000000000001E-3</v>
      </c>
      <c r="BO183">
        <v>-0.64700000000000002</v>
      </c>
      <c r="BP183">
        <v>6.9000000000000006E-2</v>
      </c>
      <c r="BQ183">
        <v>800</v>
      </c>
      <c r="BR183">
        <v>14</v>
      </c>
      <c r="BS183">
        <v>0.31</v>
      </c>
      <c r="BT183">
        <v>0.02</v>
      </c>
      <c r="BU183">
        <v>-1.9952209999999999</v>
      </c>
      <c r="BV183">
        <v>-0.244689924812031</v>
      </c>
      <c r="BW183">
        <v>3.3634126701907997E-2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1.8351295000000001</v>
      </c>
      <c r="CD183">
        <v>-0.41958721804511101</v>
      </c>
      <c r="CE183">
        <v>4.1213407706109401E-2</v>
      </c>
      <c r="CF183">
        <v>0</v>
      </c>
      <c r="CG183">
        <v>1</v>
      </c>
      <c r="CH183">
        <v>2</v>
      </c>
      <c r="CI183" t="s">
        <v>299</v>
      </c>
      <c r="CJ183">
        <v>3.5325899999999999</v>
      </c>
      <c r="CK183">
        <v>2.7008399999999999</v>
      </c>
      <c r="CL183">
        <v>0.15668599999999999</v>
      </c>
      <c r="CM183">
        <v>0.15468199999999999</v>
      </c>
      <c r="CN183">
        <v>8.7340100000000004E-2</v>
      </c>
      <c r="CO183">
        <v>7.8840900000000005E-2</v>
      </c>
      <c r="CP183">
        <v>29541.200000000001</v>
      </c>
      <c r="CQ183">
        <v>26034.7</v>
      </c>
      <c r="CR183">
        <v>32423.4</v>
      </c>
      <c r="CS183">
        <v>30727.9</v>
      </c>
      <c r="CT183">
        <v>40086.9</v>
      </c>
      <c r="CU183">
        <v>39825.9</v>
      </c>
      <c r="CV183">
        <v>47363.9</v>
      </c>
      <c r="CW183">
        <v>46877.7</v>
      </c>
      <c r="CX183">
        <v>2.6126999999999998</v>
      </c>
      <c r="CY183">
        <v>2.1201599999999998</v>
      </c>
      <c r="CZ183">
        <v>0</v>
      </c>
      <c r="DA183">
        <v>0</v>
      </c>
      <c r="DB183">
        <v>999.9</v>
      </c>
      <c r="DC183">
        <v>999.9</v>
      </c>
      <c r="DD183">
        <v>44.420999999999999</v>
      </c>
      <c r="DE183">
        <v>28.893000000000001</v>
      </c>
      <c r="DF183">
        <v>17.7652</v>
      </c>
      <c r="DG183">
        <v>30.6084</v>
      </c>
      <c r="DH183">
        <v>16.822900000000001</v>
      </c>
      <c r="DI183">
        <v>2</v>
      </c>
      <c r="DJ183">
        <v>-6.6786600000000002E-2</v>
      </c>
      <c r="DK183">
        <v>2.6986300000000001</v>
      </c>
      <c r="DL183">
        <v>20.1874</v>
      </c>
      <c r="DM183">
        <v>5.2495200000000004</v>
      </c>
      <c r="DN183">
        <v>12.033899999999999</v>
      </c>
      <c r="DO183">
        <v>4.9673999999999996</v>
      </c>
      <c r="DP183">
        <v>3.2907999999999999</v>
      </c>
      <c r="DQ183">
        <v>608.6</v>
      </c>
      <c r="DR183">
        <v>9999</v>
      </c>
      <c r="DS183">
        <v>9999</v>
      </c>
      <c r="DT183">
        <v>9999</v>
      </c>
      <c r="DU183">
        <v>1.8711800000000001</v>
      </c>
      <c r="DV183">
        <v>1.8761099999999999</v>
      </c>
      <c r="DW183">
        <v>1.8763399999999999</v>
      </c>
      <c r="DX183">
        <v>1.8828100000000001</v>
      </c>
      <c r="DY183">
        <v>1.87561</v>
      </c>
      <c r="DZ183">
        <v>1.8746799999999999</v>
      </c>
      <c r="EA183">
        <v>1.8708800000000001</v>
      </c>
      <c r="EB183">
        <v>1.8746700000000001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-0.64700000000000002</v>
      </c>
      <c r="EQ183">
        <v>6.93E-2</v>
      </c>
      <c r="ER183">
        <v>-0.64699999999993496</v>
      </c>
      <c r="ES183">
        <v>0</v>
      </c>
      <c r="ET183">
        <v>0</v>
      </c>
      <c r="EU183">
        <v>0</v>
      </c>
      <c r="EV183">
        <v>6.9300000000000098E-2</v>
      </c>
      <c r="EW183">
        <v>0</v>
      </c>
      <c r="EX183">
        <v>0</v>
      </c>
      <c r="EY183">
        <v>0</v>
      </c>
      <c r="EZ183">
        <v>-1</v>
      </c>
      <c r="FA183">
        <v>-1</v>
      </c>
      <c r="FB183">
        <v>-1</v>
      </c>
      <c r="FC183">
        <v>-1</v>
      </c>
      <c r="FD183">
        <v>0.5</v>
      </c>
      <c r="FE183">
        <v>0.9</v>
      </c>
      <c r="FF183">
        <v>2.1569799999999999</v>
      </c>
      <c r="FG183">
        <v>2.5903299999999998</v>
      </c>
      <c r="FH183">
        <v>2.19604</v>
      </c>
      <c r="FI183">
        <v>2.5744600000000002</v>
      </c>
      <c r="FJ183">
        <v>2.4462899999999999</v>
      </c>
      <c r="FK183">
        <v>2.3327599999999999</v>
      </c>
      <c r="FL183">
        <v>33.132199999999997</v>
      </c>
      <c r="FM183">
        <v>24.14</v>
      </c>
      <c r="FN183">
        <v>19</v>
      </c>
      <c r="FO183">
        <v>865.92399999999998</v>
      </c>
      <c r="FP183">
        <v>575.65499999999997</v>
      </c>
      <c r="FQ183">
        <v>17.812100000000001</v>
      </c>
      <c r="FR183">
        <v>26.125</v>
      </c>
      <c r="FS183">
        <v>30.0001</v>
      </c>
      <c r="FT183">
        <v>26.130199999999999</v>
      </c>
      <c r="FU183">
        <v>26.131699999999999</v>
      </c>
      <c r="FV183">
        <v>43.276600000000002</v>
      </c>
      <c r="FW183">
        <v>26.764399999999998</v>
      </c>
      <c r="FX183">
        <v>36.976700000000001</v>
      </c>
      <c r="FY183">
        <v>17.812200000000001</v>
      </c>
      <c r="FZ183">
        <v>800</v>
      </c>
      <c r="GA183">
        <v>13.698</v>
      </c>
      <c r="GB183">
        <v>99.792000000000002</v>
      </c>
      <c r="GC183">
        <v>99.778499999999994</v>
      </c>
    </row>
    <row r="184" spans="1:185" x14ac:dyDescent="0.2">
      <c r="A184">
        <v>169</v>
      </c>
      <c r="B184">
        <v>1771106419.0999999</v>
      </c>
      <c r="C184">
        <v>3306</v>
      </c>
      <c r="D184" t="s">
        <v>643</v>
      </c>
      <c r="E184" t="s">
        <v>644</v>
      </c>
      <c r="F184">
        <v>15</v>
      </c>
      <c r="G184">
        <v>1771106411.03333</v>
      </c>
      <c r="H184">
        <f t="shared" si="26"/>
        <v>1.4359621091909827E-3</v>
      </c>
      <c r="I184">
        <v>0</v>
      </c>
      <c r="J184">
        <f t="shared" si="38"/>
        <v>2.3515466725695523E-2</v>
      </c>
      <c r="K184">
        <f t="shared" si="27"/>
        <v>0.42048603957402847</v>
      </c>
      <c r="L184">
        <f t="shared" si="28"/>
        <v>70.163962597496649</v>
      </c>
      <c r="M184">
        <f t="shared" si="29"/>
        <v>1.5471911554151367</v>
      </c>
      <c r="N184">
        <f t="shared" si="30"/>
        <v>2.2051080043622542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26231.917509935607</v>
      </c>
      <c r="T184">
        <f t="shared" si="34"/>
        <v>799.99973333333298</v>
      </c>
      <c r="U184">
        <f t="shared" si="35"/>
        <v>674.3998919999608</v>
      </c>
      <c r="V184">
        <f t="shared" si="36"/>
        <v>0.84300014600000006</v>
      </c>
      <c r="W184">
        <f t="shared" si="37"/>
        <v>0.15870036500000004</v>
      </c>
      <c r="X184">
        <v>1</v>
      </c>
      <c r="Y184">
        <v>1771106411.03333</v>
      </c>
      <c r="Z184">
        <v>798.02573333333305</v>
      </c>
      <c r="AA184">
        <v>799.98373333333302</v>
      </c>
      <c r="AB184">
        <v>15.4707266666667</v>
      </c>
      <c r="AC184">
        <v>13.703566666666701</v>
      </c>
      <c r="AD184">
        <v>798.67273333333299</v>
      </c>
      <c r="AE184">
        <v>15.401426666666699</v>
      </c>
      <c r="AF184">
        <v>800.01059999999995</v>
      </c>
      <c r="AG184">
        <v>99.944433333333293</v>
      </c>
      <c r="AH184">
        <v>6.3225566666666705E-2</v>
      </c>
      <c r="AI184">
        <v>18.999473333333299</v>
      </c>
      <c r="AJ184">
        <v>999.9</v>
      </c>
      <c r="AK184">
        <v>999.9</v>
      </c>
      <c r="AL184">
        <v>0</v>
      </c>
      <c r="AM184">
        <v>0</v>
      </c>
      <c r="AN184">
        <v>5004</v>
      </c>
      <c r="AO184">
        <v>0</v>
      </c>
      <c r="AP184">
        <v>1.58087</v>
      </c>
      <c r="AQ184">
        <v>-1.9579626666666701</v>
      </c>
      <c r="AR184">
        <v>810.56586666666601</v>
      </c>
      <c r="AS184">
        <v>811.09860000000003</v>
      </c>
      <c r="AT184">
        <v>1.7671619999999999</v>
      </c>
      <c r="AU184">
        <v>799.98373333333302</v>
      </c>
      <c r="AV184">
        <v>13.703566666666701</v>
      </c>
      <c r="AW184">
        <v>1.5462146666666701</v>
      </c>
      <c r="AX184">
        <v>1.3695953333333299</v>
      </c>
      <c r="AY184">
        <v>13.432973333333299</v>
      </c>
      <c r="AZ184">
        <v>11.585126666666699</v>
      </c>
      <c r="BA184">
        <v>799.99973333333298</v>
      </c>
      <c r="BB184">
        <v>0.89999513333333303</v>
      </c>
      <c r="BC184">
        <v>0</v>
      </c>
      <c r="BD184">
        <v>0.100004866666667</v>
      </c>
      <c r="BE184">
        <v>0</v>
      </c>
      <c r="BF184">
        <v>25</v>
      </c>
      <c r="BG184">
        <v>13191</v>
      </c>
      <c r="BH184">
        <v>1771106372.0999999</v>
      </c>
      <c r="BI184" t="s">
        <v>636</v>
      </c>
      <c r="BJ184">
        <v>1771106372.0999999</v>
      </c>
      <c r="BK184">
        <v>1771106352.0999999</v>
      </c>
      <c r="BL184">
        <v>22</v>
      </c>
      <c r="BM184">
        <v>4.3999999999999997E-2</v>
      </c>
      <c r="BN184">
        <v>7.0000000000000001E-3</v>
      </c>
      <c r="BO184">
        <v>-0.64700000000000002</v>
      </c>
      <c r="BP184">
        <v>6.9000000000000006E-2</v>
      </c>
      <c r="BQ184">
        <v>800</v>
      </c>
      <c r="BR184">
        <v>14</v>
      </c>
      <c r="BS184">
        <v>0.31</v>
      </c>
      <c r="BT184">
        <v>0.02</v>
      </c>
      <c r="BU184">
        <v>-1.97957952380952</v>
      </c>
      <c r="BV184">
        <v>0.26140753246753501</v>
      </c>
      <c r="BW184">
        <v>4.2280721316119201E-2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1.7740185714285699</v>
      </c>
      <c r="CD184">
        <v>-9.6821298701298797E-2</v>
      </c>
      <c r="CE184">
        <v>1.45491732004374E-2</v>
      </c>
      <c r="CF184">
        <v>1</v>
      </c>
      <c r="CG184">
        <v>2</v>
      </c>
      <c r="CH184">
        <v>2</v>
      </c>
      <c r="CI184" t="s">
        <v>322</v>
      </c>
      <c r="CJ184">
        <v>3.5325600000000001</v>
      </c>
      <c r="CK184">
        <v>2.7013600000000002</v>
      </c>
      <c r="CL184">
        <v>0.156693</v>
      </c>
      <c r="CM184">
        <v>0.154691</v>
      </c>
      <c r="CN184">
        <v>8.7205900000000003E-2</v>
      </c>
      <c r="CO184">
        <v>7.8683500000000003E-2</v>
      </c>
      <c r="CP184">
        <v>29541.5</v>
      </c>
      <c r="CQ184">
        <v>26035.1</v>
      </c>
      <c r="CR184">
        <v>32424</v>
      </c>
      <c r="CS184">
        <v>30728.7</v>
      </c>
      <c r="CT184">
        <v>40093.4</v>
      </c>
      <c r="CU184">
        <v>39833.800000000003</v>
      </c>
      <c r="CV184">
        <v>47364.5</v>
      </c>
      <c r="CW184">
        <v>46878.8</v>
      </c>
      <c r="CX184">
        <v>2.6132399999999998</v>
      </c>
      <c r="CY184">
        <v>2.12046</v>
      </c>
      <c r="CZ184">
        <v>0</v>
      </c>
      <c r="DA184">
        <v>0</v>
      </c>
      <c r="DB184">
        <v>999.9</v>
      </c>
      <c r="DC184">
        <v>999.9</v>
      </c>
      <c r="DD184">
        <v>44.396000000000001</v>
      </c>
      <c r="DE184">
        <v>28.893000000000001</v>
      </c>
      <c r="DF184">
        <v>17.7545</v>
      </c>
      <c r="DG184">
        <v>30.5184</v>
      </c>
      <c r="DH184">
        <v>16.806899999999999</v>
      </c>
      <c r="DI184">
        <v>2</v>
      </c>
      <c r="DJ184">
        <v>-6.6717499999999999E-2</v>
      </c>
      <c r="DK184">
        <v>2.7202999999999999</v>
      </c>
      <c r="DL184">
        <v>20.1877</v>
      </c>
      <c r="DM184">
        <v>5.2508299999999997</v>
      </c>
      <c r="DN184">
        <v>12.033899999999999</v>
      </c>
      <c r="DO184">
        <v>4.9675599999999998</v>
      </c>
      <c r="DP184">
        <v>3.2909999999999999</v>
      </c>
      <c r="DQ184">
        <v>608.6</v>
      </c>
      <c r="DR184">
        <v>9999</v>
      </c>
      <c r="DS184">
        <v>9999</v>
      </c>
      <c r="DT184">
        <v>9999</v>
      </c>
      <c r="DU184">
        <v>1.8711599999999999</v>
      </c>
      <c r="DV184">
        <v>1.87609</v>
      </c>
      <c r="DW184">
        <v>1.87632</v>
      </c>
      <c r="DX184">
        <v>1.8827799999999999</v>
      </c>
      <c r="DY184">
        <v>1.87561</v>
      </c>
      <c r="DZ184">
        <v>1.8746499999999999</v>
      </c>
      <c r="EA184">
        <v>1.87087</v>
      </c>
      <c r="EB184">
        <v>1.87462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-0.64700000000000002</v>
      </c>
      <c r="EQ184">
        <v>6.93E-2</v>
      </c>
      <c r="ER184">
        <v>-0.64699999999993496</v>
      </c>
      <c r="ES184">
        <v>0</v>
      </c>
      <c r="ET184">
        <v>0</v>
      </c>
      <c r="EU184">
        <v>0</v>
      </c>
      <c r="EV184">
        <v>6.9300000000000098E-2</v>
      </c>
      <c r="EW184">
        <v>0</v>
      </c>
      <c r="EX184">
        <v>0</v>
      </c>
      <c r="EY184">
        <v>0</v>
      </c>
      <c r="EZ184">
        <v>-1</v>
      </c>
      <c r="FA184">
        <v>-1</v>
      </c>
      <c r="FB184">
        <v>-1</v>
      </c>
      <c r="FC184">
        <v>-1</v>
      </c>
      <c r="FD184">
        <v>0.8</v>
      </c>
      <c r="FE184">
        <v>1.1000000000000001</v>
      </c>
      <c r="FF184">
        <v>2.1569799999999999</v>
      </c>
      <c r="FG184">
        <v>2.5878899999999998</v>
      </c>
      <c r="FH184">
        <v>2.19604</v>
      </c>
      <c r="FI184">
        <v>2.5744600000000002</v>
      </c>
      <c r="FJ184">
        <v>2.4462899999999999</v>
      </c>
      <c r="FK184">
        <v>2.3071299999999999</v>
      </c>
      <c r="FL184">
        <v>33.132199999999997</v>
      </c>
      <c r="FM184">
        <v>24.14</v>
      </c>
      <c r="FN184">
        <v>19</v>
      </c>
      <c r="FO184">
        <v>866.428</v>
      </c>
      <c r="FP184">
        <v>575.88599999999997</v>
      </c>
      <c r="FQ184">
        <v>17.8141</v>
      </c>
      <c r="FR184">
        <v>26.125</v>
      </c>
      <c r="FS184">
        <v>30.0001</v>
      </c>
      <c r="FT184">
        <v>26.130199999999999</v>
      </c>
      <c r="FU184">
        <v>26.131699999999999</v>
      </c>
      <c r="FV184">
        <v>43.277200000000001</v>
      </c>
      <c r="FW184">
        <v>26.764399999999998</v>
      </c>
      <c r="FX184">
        <v>36.605699999999999</v>
      </c>
      <c r="FY184">
        <v>17.8109</v>
      </c>
      <c r="FZ184">
        <v>800</v>
      </c>
      <c r="GA184">
        <v>13.712300000000001</v>
      </c>
      <c r="GB184">
        <v>99.793499999999995</v>
      </c>
      <c r="GC184">
        <v>99.781000000000006</v>
      </c>
    </row>
    <row r="185" spans="1:185" x14ac:dyDescent="0.2">
      <c r="A185">
        <v>170</v>
      </c>
      <c r="B185">
        <v>1771106434.0999999</v>
      </c>
      <c r="C185">
        <v>3321</v>
      </c>
      <c r="D185" t="s">
        <v>645</v>
      </c>
      <c r="E185" t="s">
        <v>646</v>
      </c>
      <c r="F185">
        <v>15</v>
      </c>
      <c r="G185">
        <v>1771106426.03333</v>
      </c>
      <c r="H185">
        <f t="shared" si="26"/>
        <v>1.4380566178057296E-3</v>
      </c>
      <c r="I185">
        <v>0</v>
      </c>
      <c r="J185">
        <f t="shared" si="38"/>
        <v>2.3831658374371071E-2</v>
      </c>
      <c r="K185">
        <f t="shared" si="27"/>
        <v>0.42613994283900958</v>
      </c>
      <c r="L185">
        <f t="shared" si="28"/>
        <v>70.029076569553453</v>
      </c>
      <c r="M185">
        <f t="shared" si="29"/>
        <v>1.5442431124697733</v>
      </c>
      <c r="N185">
        <f t="shared" si="30"/>
        <v>2.2051456168153503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26211.395863283346</v>
      </c>
      <c r="T185">
        <f t="shared" si="34"/>
        <v>799.99879999999996</v>
      </c>
      <c r="U185">
        <f t="shared" si="35"/>
        <v>674.39897832001543</v>
      </c>
      <c r="V185">
        <f t="shared" si="36"/>
        <v>0.84299998740000048</v>
      </c>
      <c r="W185">
        <f t="shared" si="37"/>
        <v>0.15870005944400012</v>
      </c>
      <c r="X185">
        <v>1</v>
      </c>
      <c r="Y185">
        <v>1771106426.03333</v>
      </c>
      <c r="Z185">
        <v>798.04413333333298</v>
      </c>
      <c r="AA185">
        <v>800.01133333333303</v>
      </c>
      <c r="AB185">
        <v>15.441179999999999</v>
      </c>
      <c r="AC185">
        <v>13.671379999999999</v>
      </c>
      <c r="AD185">
        <v>798.69113333333405</v>
      </c>
      <c r="AE185">
        <v>15.371880000000001</v>
      </c>
      <c r="AF185">
        <v>800.00639999999999</v>
      </c>
      <c r="AG185">
        <v>99.944833333333307</v>
      </c>
      <c r="AH185">
        <v>6.3269186666666699E-2</v>
      </c>
      <c r="AI185">
        <v>18.999746666666699</v>
      </c>
      <c r="AJ185">
        <v>999.9</v>
      </c>
      <c r="AK185">
        <v>999.9</v>
      </c>
      <c r="AL185">
        <v>0</v>
      </c>
      <c r="AM185">
        <v>0</v>
      </c>
      <c r="AN185">
        <v>5000.6000000000004</v>
      </c>
      <c r="AO185">
        <v>0</v>
      </c>
      <c r="AP185">
        <v>1.58087</v>
      </c>
      <c r="AQ185">
        <v>-1.96719933333333</v>
      </c>
      <c r="AR185">
        <v>810.56020000000001</v>
      </c>
      <c r="AS185">
        <v>811.10026666666704</v>
      </c>
      <c r="AT185">
        <v>1.76981266666667</v>
      </c>
      <c r="AU185">
        <v>800.01133333333303</v>
      </c>
      <c r="AV185">
        <v>13.671379999999999</v>
      </c>
      <c r="AW185">
        <v>1.5432666666666699</v>
      </c>
      <c r="AX185">
        <v>1.3663846666666699</v>
      </c>
      <c r="AY185">
        <v>13.4037066666667</v>
      </c>
      <c r="AZ185">
        <v>11.5496266666667</v>
      </c>
      <c r="BA185">
        <v>799.99879999999996</v>
      </c>
      <c r="BB185">
        <v>0.89999906666666696</v>
      </c>
      <c r="BC185">
        <v>0</v>
      </c>
      <c r="BD185">
        <v>0.100000886666667</v>
      </c>
      <c r="BE185">
        <v>0</v>
      </c>
      <c r="BF185">
        <v>25</v>
      </c>
      <c r="BG185">
        <v>13191</v>
      </c>
      <c r="BH185">
        <v>1771106372.0999999</v>
      </c>
      <c r="BI185" t="s">
        <v>636</v>
      </c>
      <c r="BJ185">
        <v>1771106372.0999999</v>
      </c>
      <c r="BK185">
        <v>1771106352.0999999</v>
      </c>
      <c r="BL185">
        <v>22</v>
      </c>
      <c r="BM185">
        <v>4.3999999999999997E-2</v>
      </c>
      <c r="BN185">
        <v>7.0000000000000001E-3</v>
      </c>
      <c r="BO185">
        <v>-0.64700000000000002</v>
      </c>
      <c r="BP185">
        <v>6.9000000000000006E-2</v>
      </c>
      <c r="BQ185">
        <v>800</v>
      </c>
      <c r="BR185">
        <v>14</v>
      </c>
      <c r="BS185">
        <v>0.31</v>
      </c>
      <c r="BT185">
        <v>0.02</v>
      </c>
      <c r="BU185">
        <v>-1.965719</v>
      </c>
      <c r="BV185">
        <v>1.6274887218046898E-2</v>
      </c>
      <c r="BW185">
        <v>2.86998816896516E-2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1.7701745</v>
      </c>
      <c r="CD185">
        <v>-4.9633533834586401E-2</v>
      </c>
      <c r="CE185">
        <v>9.6345952042626304E-3</v>
      </c>
      <c r="CF185">
        <v>1</v>
      </c>
      <c r="CG185">
        <v>2</v>
      </c>
      <c r="CH185">
        <v>2</v>
      </c>
      <c r="CI185" t="s">
        <v>322</v>
      </c>
      <c r="CJ185">
        <v>3.5325600000000001</v>
      </c>
      <c r="CK185">
        <v>2.70113</v>
      </c>
      <c r="CL185">
        <v>0.15668799999999999</v>
      </c>
      <c r="CM185">
        <v>0.15468699999999999</v>
      </c>
      <c r="CN185">
        <v>8.7078799999999998E-2</v>
      </c>
      <c r="CO185">
        <v>7.86602E-2</v>
      </c>
      <c r="CP185">
        <v>29542</v>
      </c>
      <c r="CQ185">
        <v>26035.1</v>
      </c>
      <c r="CR185">
        <v>32424.3</v>
      </c>
      <c r="CS185">
        <v>30728.5</v>
      </c>
      <c r="CT185">
        <v>40099.699999999997</v>
      </c>
      <c r="CU185">
        <v>39834.5</v>
      </c>
      <c r="CV185">
        <v>47365.1</v>
      </c>
      <c r="CW185">
        <v>46878.400000000001</v>
      </c>
      <c r="CX185">
        <v>2.6134400000000002</v>
      </c>
      <c r="CY185">
        <v>2.12032</v>
      </c>
      <c r="CZ185">
        <v>0</v>
      </c>
      <c r="DA185">
        <v>0</v>
      </c>
      <c r="DB185">
        <v>999.9</v>
      </c>
      <c r="DC185">
        <v>999.9</v>
      </c>
      <c r="DD185">
        <v>44.347000000000001</v>
      </c>
      <c r="DE185">
        <v>28.913</v>
      </c>
      <c r="DF185">
        <v>17.755199999999999</v>
      </c>
      <c r="DG185">
        <v>30.488399999999999</v>
      </c>
      <c r="DH185">
        <v>16.790900000000001</v>
      </c>
      <c r="DI185">
        <v>2</v>
      </c>
      <c r="DJ185">
        <v>-6.6837400000000005E-2</v>
      </c>
      <c r="DK185">
        <v>2.7146400000000002</v>
      </c>
      <c r="DL185">
        <v>20.1874</v>
      </c>
      <c r="DM185">
        <v>5.2508299999999997</v>
      </c>
      <c r="DN185">
        <v>12.033899999999999</v>
      </c>
      <c r="DO185">
        <v>4.9675599999999998</v>
      </c>
      <c r="DP185">
        <v>3.2909999999999999</v>
      </c>
      <c r="DQ185">
        <v>608.6</v>
      </c>
      <c r="DR185">
        <v>9999</v>
      </c>
      <c r="DS185">
        <v>9999</v>
      </c>
      <c r="DT185">
        <v>9999</v>
      </c>
      <c r="DU185">
        <v>1.8711899999999999</v>
      </c>
      <c r="DV185">
        <v>1.87615</v>
      </c>
      <c r="DW185">
        <v>1.87636</v>
      </c>
      <c r="DX185">
        <v>1.88283</v>
      </c>
      <c r="DY185">
        <v>1.87561</v>
      </c>
      <c r="DZ185">
        <v>1.87469</v>
      </c>
      <c r="EA185">
        <v>1.8708800000000001</v>
      </c>
      <c r="EB185">
        <v>1.8746700000000001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-0.64700000000000002</v>
      </c>
      <c r="EQ185">
        <v>6.93E-2</v>
      </c>
      <c r="ER185">
        <v>-0.64699999999993496</v>
      </c>
      <c r="ES185">
        <v>0</v>
      </c>
      <c r="ET185">
        <v>0</v>
      </c>
      <c r="EU185">
        <v>0</v>
      </c>
      <c r="EV185">
        <v>6.9300000000000098E-2</v>
      </c>
      <c r="EW185">
        <v>0</v>
      </c>
      <c r="EX185">
        <v>0</v>
      </c>
      <c r="EY185">
        <v>0</v>
      </c>
      <c r="EZ185">
        <v>-1</v>
      </c>
      <c r="FA185">
        <v>-1</v>
      </c>
      <c r="FB185">
        <v>-1</v>
      </c>
      <c r="FC185">
        <v>-1</v>
      </c>
      <c r="FD185">
        <v>1</v>
      </c>
      <c r="FE185">
        <v>1.4</v>
      </c>
      <c r="FF185">
        <v>2.1569799999999999</v>
      </c>
      <c r="FG185">
        <v>2.5927699999999998</v>
      </c>
      <c r="FH185">
        <v>2.19604</v>
      </c>
      <c r="FI185">
        <v>2.5744600000000002</v>
      </c>
      <c r="FJ185">
        <v>2.4462899999999999</v>
      </c>
      <c r="FK185">
        <v>2.2875999999999999</v>
      </c>
      <c r="FL185">
        <v>33.154499999999999</v>
      </c>
      <c r="FM185">
        <v>24.14</v>
      </c>
      <c r="FN185">
        <v>19</v>
      </c>
      <c r="FO185">
        <v>866.58</v>
      </c>
      <c r="FP185">
        <v>575.77800000000002</v>
      </c>
      <c r="FQ185">
        <v>17.8111</v>
      </c>
      <c r="FR185">
        <v>26.125</v>
      </c>
      <c r="FS185">
        <v>30.0001</v>
      </c>
      <c r="FT185">
        <v>26.128</v>
      </c>
      <c r="FU185">
        <v>26.131699999999999</v>
      </c>
      <c r="FV185">
        <v>43.275399999999998</v>
      </c>
      <c r="FW185">
        <v>26.764399999999998</v>
      </c>
      <c r="FX185">
        <v>36.605699999999999</v>
      </c>
      <c r="FY185">
        <v>17.811299999999999</v>
      </c>
      <c r="FZ185">
        <v>800</v>
      </c>
      <c r="GA185">
        <v>13.712300000000001</v>
      </c>
      <c r="GB185">
        <v>99.794700000000006</v>
      </c>
      <c r="GC185">
        <v>99.780199999999994</v>
      </c>
    </row>
    <row r="186" spans="1:185" x14ac:dyDescent="0.2">
      <c r="A186">
        <v>171</v>
      </c>
      <c r="B186">
        <v>1771106449.0999999</v>
      </c>
      <c r="C186">
        <v>3336</v>
      </c>
      <c r="D186" t="s">
        <v>647</v>
      </c>
      <c r="E186" t="s">
        <v>648</v>
      </c>
      <c r="F186">
        <v>15</v>
      </c>
      <c r="G186">
        <v>1771106441.03333</v>
      </c>
      <c r="H186">
        <f t="shared" si="26"/>
        <v>1.4288941375723934E-3</v>
      </c>
      <c r="I186">
        <v>0</v>
      </c>
      <c r="J186">
        <f t="shared" si="38"/>
        <v>2.4050381425057849E-2</v>
      </c>
      <c r="K186">
        <f t="shared" si="27"/>
        <v>0.43005098532094921</v>
      </c>
      <c r="L186">
        <f t="shared" si="28"/>
        <v>69.965192492677318</v>
      </c>
      <c r="M186">
        <f t="shared" si="29"/>
        <v>1.5427618480705667</v>
      </c>
      <c r="N186">
        <f t="shared" si="30"/>
        <v>2.2050419545862536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26224.867998787664</v>
      </c>
      <c r="T186">
        <f t="shared" si="34"/>
        <v>800.00206666666702</v>
      </c>
      <c r="U186">
        <f t="shared" si="35"/>
        <v>674.40178556011199</v>
      </c>
      <c r="V186">
        <f t="shared" si="36"/>
        <v>0.84300005419999957</v>
      </c>
      <c r="W186">
        <f t="shared" si="37"/>
        <v>0.15870014849199993</v>
      </c>
      <c r="X186">
        <v>1</v>
      </c>
      <c r="Y186">
        <v>1771106441.03333</v>
      </c>
      <c r="Z186">
        <v>798.04200000000003</v>
      </c>
      <c r="AA186">
        <v>800.00493333333304</v>
      </c>
      <c r="AB186">
        <v>15.426306666666701</v>
      </c>
      <c r="AC186">
        <v>13.667766666666701</v>
      </c>
      <c r="AD186">
        <v>798.68899999999996</v>
      </c>
      <c r="AE186">
        <v>15.357006666666701</v>
      </c>
      <c r="AF186">
        <v>800.01113333333296</v>
      </c>
      <c r="AG186">
        <v>99.945113333333396</v>
      </c>
      <c r="AH186">
        <v>6.3390413333333298E-2</v>
      </c>
      <c r="AI186">
        <v>18.998993333333299</v>
      </c>
      <c r="AJ186">
        <v>999.9</v>
      </c>
      <c r="AK186">
        <v>999.9</v>
      </c>
      <c r="AL186">
        <v>0</v>
      </c>
      <c r="AM186">
        <v>0</v>
      </c>
      <c r="AN186">
        <v>5002.8</v>
      </c>
      <c r="AO186">
        <v>0</v>
      </c>
      <c r="AP186">
        <v>1.58087</v>
      </c>
      <c r="AQ186">
        <v>-1.96275666666667</v>
      </c>
      <c r="AR186">
        <v>810.546066666667</v>
      </c>
      <c r="AS186">
        <v>811.09073333333299</v>
      </c>
      <c r="AT186">
        <v>1.75855933333333</v>
      </c>
      <c r="AU186">
        <v>800.00493333333304</v>
      </c>
      <c r="AV186">
        <v>13.667766666666701</v>
      </c>
      <c r="AW186">
        <v>1.54178333333333</v>
      </c>
      <c r="AX186">
        <v>1.36602466666667</v>
      </c>
      <c r="AY186">
        <v>13.3889533333333</v>
      </c>
      <c r="AZ186">
        <v>11.54566</v>
      </c>
      <c r="BA186">
        <v>800.00206666666702</v>
      </c>
      <c r="BB186">
        <v>0.89999799999999996</v>
      </c>
      <c r="BC186">
        <v>0</v>
      </c>
      <c r="BD186">
        <v>0.100001993333333</v>
      </c>
      <c r="BE186">
        <v>0</v>
      </c>
      <c r="BF186">
        <v>25</v>
      </c>
      <c r="BG186">
        <v>13191.053333333301</v>
      </c>
      <c r="BH186">
        <v>1771106372.0999999</v>
      </c>
      <c r="BI186" t="s">
        <v>636</v>
      </c>
      <c r="BJ186">
        <v>1771106372.0999999</v>
      </c>
      <c r="BK186">
        <v>1771106352.0999999</v>
      </c>
      <c r="BL186">
        <v>22</v>
      </c>
      <c r="BM186">
        <v>4.3999999999999997E-2</v>
      </c>
      <c r="BN186">
        <v>7.0000000000000001E-3</v>
      </c>
      <c r="BO186">
        <v>-0.64700000000000002</v>
      </c>
      <c r="BP186">
        <v>6.9000000000000006E-2</v>
      </c>
      <c r="BQ186">
        <v>800</v>
      </c>
      <c r="BR186">
        <v>14</v>
      </c>
      <c r="BS186">
        <v>0.31</v>
      </c>
      <c r="BT186">
        <v>0.02</v>
      </c>
      <c r="BU186">
        <v>-1.96540190476191</v>
      </c>
      <c r="BV186">
        <v>0.152156883116883</v>
      </c>
      <c r="BW186">
        <v>3.4854617050044001E-2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1.7590595238095199</v>
      </c>
      <c r="CD186">
        <v>-4.1485714285690797E-3</v>
      </c>
      <c r="CE186">
        <v>2.5027156225844701E-3</v>
      </c>
      <c r="CF186">
        <v>1</v>
      </c>
      <c r="CG186">
        <v>2</v>
      </c>
      <c r="CH186">
        <v>2</v>
      </c>
      <c r="CI186" t="s">
        <v>322</v>
      </c>
      <c r="CJ186">
        <v>3.53261</v>
      </c>
      <c r="CK186">
        <v>2.7011400000000001</v>
      </c>
      <c r="CL186">
        <v>0.156696</v>
      </c>
      <c r="CM186">
        <v>0.15468499999999999</v>
      </c>
      <c r="CN186">
        <v>8.7023000000000003E-2</v>
      </c>
      <c r="CO186">
        <v>7.8650600000000001E-2</v>
      </c>
      <c r="CP186">
        <v>29542.2</v>
      </c>
      <c r="CQ186">
        <v>26035.1</v>
      </c>
      <c r="CR186">
        <v>32424.9</v>
      </c>
      <c r="CS186">
        <v>30728.400000000001</v>
      </c>
      <c r="CT186">
        <v>40102.800000000003</v>
      </c>
      <c r="CU186">
        <v>39835.1</v>
      </c>
      <c r="CV186">
        <v>47365.8</v>
      </c>
      <c r="CW186">
        <v>46878.6</v>
      </c>
      <c r="CX186">
        <v>2.6135600000000001</v>
      </c>
      <c r="CY186">
        <v>2.12046</v>
      </c>
      <c r="CZ186">
        <v>0</v>
      </c>
      <c r="DA186">
        <v>0</v>
      </c>
      <c r="DB186">
        <v>999.9</v>
      </c>
      <c r="DC186">
        <v>999.9</v>
      </c>
      <c r="DD186">
        <v>44.298999999999999</v>
      </c>
      <c r="DE186">
        <v>28.913</v>
      </c>
      <c r="DF186">
        <v>17.736000000000001</v>
      </c>
      <c r="DG186">
        <v>30.4284</v>
      </c>
      <c r="DH186">
        <v>16.802900000000001</v>
      </c>
      <c r="DI186">
        <v>2</v>
      </c>
      <c r="DJ186">
        <v>-6.6869899999999996E-2</v>
      </c>
      <c r="DK186">
        <v>2.71021</v>
      </c>
      <c r="DL186">
        <v>20.1876</v>
      </c>
      <c r="DM186">
        <v>5.2507099999999998</v>
      </c>
      <c r="DN186">
        <v>12.033899999999999</v>
      </c>
      <c r="DO186">
        <v>4.9675599999999998</v>
      </c>
      <c r="DP186">
        <v>3.2910200000000001</v>
      </c>
      <c r="DQ186">
        <v>608.6</v>
      </c>
      <c r="DR186">
        <v>9999</v>
      </c>
      <c r="DS186">
        <v>9999</v>
      </c>
      <c r="DT186">
        <v>9999</v>
      </c>
      <c r="DU186">
        <v>1.8711500000000001</v>
      </c>
      <c r="DV186">
        <v>1.87609</v>
      </c>
      <c r="DW186">
        <v>1.8763399999999999</v>
      </c>
      <c r="DX186">
        <v>1.8828</v>
      </c>
      <c r="DY186">
        <v>1.87561</v>
      </c>
      <c r="DZ186">
        <v>1.8746700000000001</v>
      </c>
      <c r="EA186">
        <v>1.87086</v>
      </c>
      <c r="EB186">
        <v>1.87463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-0.64700000000000002</v>
      </c>
      <c r="EQ186">
        <v>6.93E-2</v>
      </c>
      <c r="ER186">
        <v>-0.64699999999993496</v>
      </c>
      <c r="ES186">
        <v>0</v>
      </c>
      <c r="ET186">
        <v>0</v>
      </c>
      <c r="EU186">
        <v>0</v>
      </c>
      <c r="EV186">
        <v>6.9300000000000098E-2</v>
      </c>
      <c r="EW186">
        <v>0</v>
      </c>
      <c r="EX186">
        <v>0</v>
      </c>
      <c r="EY186">
        <v>0</v>
      </c>
      <c r="EZ186">
        <v>-1</v>
      </c>
      <c r="FA186">
        <v>-1</v>
      </c>
      <c r="FB186">
        <v>-1</v>
      </c>
      <c r="FC186">
        <v>-1</v>
      </c>
      <c r="FD186">
        <v>1.3</v>
      </c>
      <c r="FE186">
        <v>1.6</v>
      </c>
      <c r="FF186">
        <v>2.1569799999999999</v>
      </c>
      <c r="FG186">
        <v>2.5939899999999998</v>
      </c>
      <c r="FH186">
        <v>2.19604</v>
      </c>
      <c r="FI186">
        <v>2.5744600000000002</v>
      </c>
      <c r="FJ186">
        <v>2.4462899999999999</v>
      </c>
      <c r="FK186">
        <v>2.3071299999999999</v>
      </c>
      <c r="FL186">
        <v>33.154499999999999</v>
      </c>
      <c r="FM186">
        <v>24.14</v>
      </c>
      <c r="FN186">
        <v>19</v>
      </c>
      <c r="FO186">
        <v>866.69200000000001</v>
      </c>
      <c r="FP186">
        <v>575.86599999999999</v>
      </c>
      <c r="FQ186">
        <v>17.813500000000001</v>
      </c>
      <c r="FR186">
        <v>26.123200000000001</v>
      </c>
      <c r="FS186">
        <v>30.0001</v>
      </c>
      <c r="FT186">
        <v>26.128</v>
      </c>
      <c r="FU186">
        <v>26.129899999999999</v>
      </c>
      <c r="FV186">
        <v>43.2776</v>
      </c>
      <c r="FW186">
        <v>26.764399999999998</v>
      </c>
      <c r="FX186">
        <v>36.605699999999999</v>
      </c>
      <c r="FY186">
        <v>17.813600000000001</v>
      </c>
      <c r="FZ186">
        <v>800</v>
      </c>
      <c r="GA186">
        <v>13.7128</v>
      </c>
      <c r="GB186">
        <v>99.796199999999999</v>
      </c>
      <c r="GC186">
        <v>99.780500000000004</v>
      </c>
    </row>
    <row r="187" spans="1:185" x14ac:dyDescent="0.2">
      <c r="A187">
        <v>172</v>
      </c>
      <c r="B187">
        <v>1771106464.0999999</v>
      </c>
      <c r="C187">
        <v>3351</v>
      </c>
      <c r="D187" t="s">
        <v>649</v>
      </c>
      <c r="E187" t="s">
        <v>650</v>
      </c>
      <c r="F187">
        <v>15</v>
      </c>
      <c r="G187">
        <v>1771106456.03333</v>
      </c>
      <c r="H187">
        <f t="shared" si="26"/>
        <v>1.4162136190288778E-3</v>
      </c>
      <c r="I187">
        <v>0</v>
      </c>
      <c r="J187">
        <f t="shared" si="38"/>
        <v>2.4798769812316906E-2</v>
      </c>
      <c r="K187">
        <f t="shared" si="27"/>
        <v>0.44343310835905564</v>
      </c>
      <c r="L187">
        <f t="shared" si="28"/>
        <v>69.870967230800062</v>
      </c>
      <c r="M187">
        <f t="shared" si="29"/>
        <v>1.5409982392417947</v>
      </c>
      <c r="N187">
        <f t="shared" si="30"/>
        <v>2.2054914942733208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26178.259277766356</v>
      </c>
      <c r="T187">
        <f t="shared" si="34"/>
        <v>800.00019999999995</v>
      </c>
      <c r="U187">
        <f t="shared" si="35"/>
        <v>674.40025820002234</v>
      </c>
      <c r="V187">
        <f t="shared" si="36"/>
        <v>0.84300011199999991</v>
      </c>
      <c r="W187">
        <f t="shared" si="37"/>
        <v>0.15870027999999997</v>
      </c>
      <c r="X187">
        <v>1</v>
      </c>
      <c r="Y187">
        <v>1771106456.03333</v>
      </c>
      <c r="Z187">
        <v>798.03053333333298</v>
      </c>
      <c r="AA187">
        <v>799.99753333333297</v>
      </c>
      <c r="AB187">
        <v>15.408566666666699</v>
      </c>
      <c r="AC187">
        <v>13.6655933333333</v>
      </c>
      <c r="AD187">
        <v>798.67740000000003</v>
      </c>
      <c r="AE187">
        <v>15.339266666666701</v>
      </c>
      <c r="AF187">
        <v>800.00753333333296</v>
      </c>
      <c r="AG187">
        <v>99.945666666666696</v>
      </c>
      <c r="AH187">
        <v>6.3521246666666698E-2</v>
      </c>
      <c r="AI187">
        <v>19.00226</v>
      </c>
      <c r="AJ187">
        <v>999.9</v>
      </c>
      <c r="AK187">
        <v>999.9</v>
      </c>
      <c r="AL187">
        <v>0</v>
      </c>
      <c r="AM187">
        <v>0</v>
      </c>
      <c r="AN187">
        <v>4995.1333333333296</v>
      </c>
      <c r="AO187">
        <v>0</v>
      </c>
      <c r="AP187">
        <v>1.58087</v>
      </c>
      <c r="AQ187">
        <v>-1.9671320000000001</v>
      </c>
      <c r="AR187">
        <v>810.51933333333295</v>
      </c>
      <c r="AS187">
        <v>811.08159999999998</v>
      </c>
      <c r="AT187">
        <v>1.7429699999999999</v>
      </c>
      <c r="AU187">
        <v>799.99753333333297</v>
      </c>
      <c r="AV187">
        <v>13.6655933333333</v>
      </c>
      <c r="AW187">
        <v>1.5400193333333301</v>
      </c>
      <c r="AX187">
        <v>1.3658173333333301</v>
      </c>
      <c r="AY187">
        <v>13.37138</v>
      </c>
      <c r="AZ187">
        <v>11.5433466666667</v>
      </c>
      <c r="BA187">
        <v>800.00019999999995</v>
      </c>
      <c r="BB187">
        <v>0.89999626666666699</v>
      </c>
      <c r="BC187">
        <v>0</v>
      </c>
      <c r="BD187">
        <v>0.100003733333333</v>
      </c>
      <c r="BE187">
        <v>0</v>
      </c>
      <c r="BF187">
        <v>25</v>
      </c>
      <c r="BG187">
        <v>13191.02</v>
      </c>
      <c r="BH187">
        <v>1771106372.0999999</v>
      </c>
      <c r="BI187" t="s">
        <v>636</v>
      </c>
      <c r="BJ187">
        <v>1771106372.0999999</v>
      </c>
      <c r="BK187">
        <v>1771106352.0999999</v>
      </c>
      <c r="BL187">
        <v>22</v>
      </c>
      <c r="BM187">
        <v>4.3999999999999997E-2</v>
      </c>
      <c r="BN187">
        <v>7.0000000000000001E-3</v>
      </c>
      <c r="BO187">
        <v>-0.64700000000000002</v>
      </c>
      <c r="BP187">
        <v>6.9000000000000006E-2</v>
      </c>
      <c r="BQ187">
        <v>800</v>
      </c>
      <c r="BR187">
        <v>14</v>
      </c>
      <c r="BS187">
        <v>0.31</v>
      </c>
      <c r="BT187">
        <v>0.02</v>
      </c>
      <c r="BU187">
        <v>-1.9585005</v>
      </c>
      <c r="BV187">
        <v>-0.17848917293233299</v>
      </c>
      <c r="BW187">
        <v>3.1438300125006799E-2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1.7467820000000001</v>
      </c>
      <c r="CD187">
        <v>-6.5049022556392902E-2</v>
      </c>
      <c r="CE187">
        <v>7.6092106029469397E-3</v>
      </c>
      <c r="CF187">
        <v>1</v>
      </c>
      <c r="CG187">
        <v>2</v>
      </c>
      <c r="CH187">
        <v>2</v>
      </c>
      <c r="CI187" t="s">
        <v>322</v>
      </c>
      <c r="CJ187">
        <v>3.5325500000000001</v>
      </c>
      <c r="CK187">
        <v>2.7012100000000001</v>
      </c>
      <c r="CL187">
        <v>0.156695</v>
      </c>
      <c r="CM187">
        <v>0.15468299999999999</v>
      </c>
      <c r="CN187">
        <v>8.6956699999999998E-2</v>
      </c>
      <c r="CO187">
        <v>7.8643199999999996E-2</v>
      </c>
      <c r="CP187">
        <v>29541.7</v>
      </c>
      <c r="CQ187">
        <v>26034.6</v>
      </c>
      <c r="CR187">
        <v>32424.3</v>
      </c>
      <c r="CS187">
        <v>30727.8</v>
      </c>
      <c r="CT187">
        <v>40104.9</v>
      </c>
      <c r="CU187">
        <v>39834.6</v>
      </c>
      <c r="CV187">
        <v>47364.800000000003</v>
      </c>
      <c r="CW187">
        <v>46877.599999999999</v>
      </c>
      <c r="CX187">
        <v>2.6135600000000001</v>
      </c>
      <c r="CY187">
        <v>2.1203799999999999</v>
      </c>
      <c r="CZ187">
        <v>0</v>
      </c>
      <c r="DA187">
        <v>0</v>
      </c>
      <c r="DB187">
        <v>999.9</v>
      </c>
      <c r="DC187">
        <v>999.9</v>
      </c>
      <c r="DD187">
        <v>44.298999999999999</v>
      </c>
      <c r="DE187">
        <v>28.893000000000001</v>
      </c>
      <c r="DF187">
        <v>17.715</v>
      </c>
      <c r="DG187">
        <v>30.5184</v>
      </c>
      <c r="DH187">
        <v>16.818899999999999</v>
      </c>
      <c r="DI187">
        <v>2</v>
      </c>
      <c r="DJ187">
        <v>-6.6814999999999999E-2</v>
      </c>
      <c r="DK187">
        <v>2.73848</v>
      </c>
      <c r="DL187">
        <v>20.187200000000001</v>
      </c>
      <c r="DM187">
        <v>5.2505899999999999</v>
      </c>
      <c r="DN187">
        <v>12.033899999999999</v>
      </c>
      <c r="DO187">
        <v>4.9675200000000004</v>
      </c>
      <c r="DP187">
        <v>3.2909999999999999</v>
      </c>
      <c r="DQ187">
        <v>608.6</v>
      </c>
      <c r="DR187">
        <v>9999</v>
      </c>
      <c r="DS187">
        <v>9999</v>
      </c>
      <c r="DT187">
        <v>9999</v>
      </c>
      <c r="DU187">
        <v>1.8711100000000001</v>
      </c>
      <c r="DV187">
        <v>1.87609</v>
      </c>
      <c r="DW187">
        <v>1.87629</v>
      </c>
      <c r="DX187">
        <v>1.88279</v>
      </c>
      <c r="DY187">
        <v>1.8755900000000001</v>
      </c>
      <c r="DZ187">
        <v>1.87463</v>
      </c>
      <c r="EA187">
        <v>1.87083</v>
      </c>
      <c r="EB187">
        <v>1.8746100000000001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-0.64700000000000002</v>
      </c>
      <c r="EQ187">
        <v>6.93E-2</v>
      </c>
      <c r="ER187">
        <v>-0.64699999999993496</v>
      </c>
      <c r="ES187">
        <v>0</v>
      </c>
      <c r="ET187">
        <v>0</v>
      </c>
      <c r="EU187">
        <v>0</v>
      </c>
      <c r="EV187">
        <v>6.9300000000000098E-2</v>
      </c>
      <c r="EW187">
        <v>0</v>
      </c>
      <c r="EX187">
        <v>0</v>
      </c>
      <c r="EY187">
        <v>0</v>
      </c>
      <c r="EZ187">
        <v>-1</v>
      </c>
      <c r="FA187">
        <v>-1</v>
      </c>
      <c r="FB187">
        <v>-1</v>
      </c>
      <c r="FC187">
        <v>-1</v>
      </c>
      <c r="FD187">
        <v>1.5</v>
      </c>
      <c r="FE187">
        <v>1.9</v>
      </c>
      <c r="FF187">
        <v>2.1569799999999999</v>
      </c>
      <c r="FG187">
        <v>2.5939899999999998</v>
      </c>
      <c r="FH187">
        <v>2.19604</v>
      </c>
      <c r="FI187">
        <v>2.5732400000000002</v>
      </c>
      <c r="FJ187">
        <v>2.4462899999999999</v>
      </c>
      <c r="FK187">
        <v>2.3303199999999999</v>
      </c>
      <c r="FL187">
        <v>33.154499999999999</v>
      </c>
      <c r="FM187">
        <v>24.14</v>
      </c>
      <c r="FN187">
        <v>19</v>
      </c>
      <c r="FO187">
        <v>866.69200000000001</v>
      </c>
      <c r="FP187">
        <v>575.82399999999996</v>
      </c>
      <c r="FQ187">
        <v>17.8109</v>
      </c>
      <c r="FR187">
        <v>26.122800000000002</v>
      </c>
      <c r="FS187">
        <v>30.0001</v>
      </c>
      <c r="FT187">
        <v>26.128</v>
      </c>
      <c r="FU187">
        <v>26.131699999999999</v>
      </c>
      <c r="FV187">
        <v>43.278500000000001</v>
      </c>
      <c r="FW187">
        <v>26.764399999999998</v>
      </c>
      <c r="FX187">
        <v>36.605699999999999</v>
      </c>
      <c r="FY187">
        <v>17.807400000000001</v>
      </c>
      <c r="FZ187">
        <v>800</v>
      </c>
      <c r="GA187">
        <v>13.7218</v>
      </c>
      <c r="GB187">
        <v>99.794300000000007</v>
      </c>
      <c r="GC187">
        <v>99.778400000000005</v>
      </c>
    </row>
    <row r="188" spans="1:185" x14ac:dyDescent="0.2">
      <c r="A188">
        <v>173</v>
      </c>
      <c r="B188">
        <v>1771106618.0999999</v>
      </c>
      <c r="C188">
        <v>3505</v>
      </c>
      <c r="D188" t="s">
        <v>651</v>
      </c>
      <c r="E188" t="s">
        <v>652</v>
      </c>
      <c r="F188">
        <v>15</v>
      </c>
      <c r="G188">
        <v>1771106610.0999999</v>
      </c>
      <c r="H188">
        <f t="shared" si="26"/>
        <v>6.467857019742181E-4</v>
      </c>
      <c r="I188">
        <v>0</v>
      </c>
      <c r="J188">
        <f t="shared" si="38"/>
        <v>1.2137221146907877</v>
      </c>
      <c r="K188">
        <f t="shared" si="27"/>
        <v>21.702873734250719</v>
      </c>
      <c r="L188">
        <f t="shared" si="28"/>
        <v>73.620581220169271</v>
      </c>
      <c r="M188">
        <f t="shared" si="29"/>
        <v>1.6130558495601228</v>
      </c>
      <c r="N188">
        <f t="shared" si="30"/>
        <v>2.1910392757374839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26231.75601701354</v>
      </c>
      <c r="T188">
        <f t="shared" si="34"/>
        <v>800.00173333333305</v>
      </c>
      <c r="U188">
        <f t="shared" si="35"/>
        <v>674.4014531999826</v>
      </c>
      <c r="V188">
        <f t="shared" si="36"/>
        <v>0.84299999000000025</v>
      </c>
      <c r="W188">
        <f t="shared" si="37"/>
        <v>0.15870023484000004</v>
      </c>
      <c r="X188">
        <v>1</v>
      </c>
      <c r="Y188">
        <v>1771106610.0999999</v>
      </c>
      <c r="Z188">
        <v>972.34180000000003</v>
      </c>
      <c r="AA188">
        <v>1000.25666666667</v>
      </c>
      <c r="AB188">
        <v>16.128786666666699</v>
      </c>
      <c r="AC188">
        <v>15.33334</v>
      </c>
      <c r="AD188">
        <v>972.98873333333302</v>
      </c>
      <c r="AE188">
        <v>16.0594866666667</v>
      </c>
      <c r="AF188">
        <v>799.99559999999997</v>
      </c>
      <c r="AG188">
        <v>99.947973333333394</v>
      </c>
      <c r="AH188">
        <v>6.3012173333333296E-2</v>
      </c>
      <c r="AI188">
        <v>18.8969466666667</v>
      </c>
      <c r="AJ188">
        <v>999.9</v>
      </c>
      <c r="AK188">
        <v>999.9</v>
      </c>
      <c r="AL188">
        <v>0</v>
      </c>
      <c r="AM188">
        <v>0</v>
      </c>
      <c r="AN188">
        <v>5002.3</v>
      </c>
      <c r="AO188">
        <v>0</v>
      </c>
      <c r="AP188">
        <v>1.5511393333333301</v>
      </c>
      <c r="AQ188">
        <v>-27.91442</v>
      </c>
      <c r="AR188">
        <v>988.28233333333299</v>
      </c>
      <c r="AS188">
        <v>1015.83333333333</v>
      </c>
      <c r="AT188">
        <v>0.79544360000000003</v>
      </c>
      <c r="AU188">
        <v>1000.25666666667</v>
      </c>
      <c r="AV188">
        <v>15.33334</v>
      </c>
      <c r="AW188">
        <v>1.61204066666667</v>
      </c>
      <c r="AX188">
        <v>1.5325373333333301</v>
      </c>
      <c r="AY188">
        <v>14.0742266666667</v>
      </c>
      <c r="AZ188">
        <v>13.295019999999999</v>
      </c>
      <c r="BA188">
        <v>800.00173333333305</v>
      </c>
      <c r="BB188">
        <v>0.89999646666666699</v>
      </c>
      <c r="BC188">
        <v>0</v>
      </c>
      <c r="BD188">
        <v>0.10000340000000001</v>
      </c>
      <c r="BE188">
        <v>0</v>
      </c>
      <c r="BF188">
        <v>25</v>
      </c>
      <c r="BG188">
        <v>13191.0466666667</v>
      </c>
      <c r="BH188">
        <v>1771106372.0999999</v>
      </c>
      <c r="BI188" t="s">
        <v>636</v>
      </c>
      <c r="BJ188">
        <v>1771106372.0999999</v>
      </c>
      <c r="BK188">
        <v>1771106352.0999999</v>
      </c>
      <c r="BL188">
        <v>22</v>
      </c>
      <c r="BM188">
        <v>4.3999999999999997E-2</v>
      </c>
      <c r="BN188">
        <v>7.0000000000000001E-3</v>
      </c>
      <c r="BO188">
        <v>-0.64700000000000002</v>
      </c>
      <c r="BP188">
        <v>6.9000000000000006E-2</v>
      </c>
      <c r="BQ188">
        <v>800</v>
      </c>
      <c r="BR188">
        <v>14</v>
      </c>
      <c r="BS188">
        <v>0.31</v>
      </c>
      <c r="BT188">
        <v>0.02</v>
      </c>
      <c r="BU188">
        <v>-39.936095238095199</v>
      </c>
      <c r="BV188">
        <v>176.238023376623</v>
      </c>
      <c r="BW188">
        <v>18.181016481549101</v>
      </c>
      <c r="BX188">
        <v>0</v>
      </c>
      <c r="BY188">
        <v>0</v>
      </c>
      <c r="BZ188">
        <v>0</v>
      </c>
      <c r="CA188">
        <v>0</v>
      </c>
      <c r="CB188">
        <v>-1</v>
      </c>
      <c r="CC188">
        <v>0.44764660000000001</v>
      </c>
      <c r="CD188">
        <v>5.1706226727272702</v>
      </c>
      <c r="CE188">
        <v>0.52486943239591199</v>
      </c>
      <c r="CF188">
        <v>0</v>
      </c>
      <c r="CG188">
        <v>0</v>
      </c>
      <c r="CH188">
        <v>2</v>
      </c>
      <c r="CI188" t="s">
        <v>290</v>
      </c>
      <c r="CJ188">
        <v>3.5325700000000002</v>
      </c>
      <c r="CK188">
        <v>2.7011599999999998</v>
      </c>
      <c r="CL188">
        <v>0.179896</v>
      </c>
      <c r="CM188">
        <v>0.17898600000000001</v>
      </c>
      <c r="CN188">
        <v>9.0293799999999994E-2</v>
      </c>
      <c r="CO188">
        <v>8.3907099999999998E-2</v>
      </c>
      <c r="CP188">
        <v>28730.2</v>
      </c>
      <c r="CQ188">
        <v>25287.4</v>
      </c>
      <c r="CR188">
        <v>32425.3</v>
      </c>
      <c r="CS188">
        <v>30728.799999999999</v>
      </c>
      <c r="CT188">
        <v>39957.5</v>
      </c>
      <c r="CU188">
        <v>39604.800000000003</v>
      </c>
      <c r="CV188">
        <v>47366.2</v>
      </c>
      <c r="CW188">
        <v>46879.199999999997</v>
      </c>
      <c r="CX188">
        <v>2.6130599999999999</v>
      </c>
      <c r="CY188">
        <v>2.12446</v>
      </c>
      <c r="CZ188">
        <v>0</v>
      </c>
      <c r="DA188">
        <v>0</v>
      </c>
      <c r="DB188">
        <v>999.9</v>
      </c>
      <c r="DC188">
        <v>999.9</v>
      </c>
      <c r="DD188">
        <v>45.41</v>
      </c>
      <c r="DE188">
        <v>28.922999999999998</v>
      </c>
      <c r="DF188">
        <v>18.190200000000001</v>
      </c>
      <c r="DG188">
        <v>30.558399999999999</v>
      </c>
      <c r="DH188">
        <v>16.782900000000001</v>
      </c>
      <c r="DI188">
        <v>2</v>
      </c>
      <c r="DJ188">
        <v>-6.6814999999999999E-2</v>
      </c>
      <c r="DK188">
        <v>2.6770900000000002</v>
      </c>
      <c r="DL188">
        <v>20.188800000000001</v>
      </c>
      <c r="DM188">
        <v>5.25143</v>
      </c>
      <c r="DN188">
        <v>12.033899999999999</v>
      </c>
      <c r="DO188">
        <v>4.9676</v>
      </c>
      <c r="DP188">
        <v>3.2909999999999999</v>
      </c>
      <c r="DQ188">
        <v>608.6</v>
      </c>
      <c r="DR188">
        <v>9999</v>
      </c>
      <c r="DS188">
        <v>9999</v>
      </c>
      <c r="DT188">
        <v>9999</v>
      </c>
      <c r="DU188">
        <v>1.8711199999999999</v>
      </c>
      <c r="DV188">
        <v>1.8761000000000001</v>
      </c>
      <c r="DW188">
        <v>1.87636</v>
      </c>
      <c r="DX188">
        <v>1.8828</v>
      </c>
      <c r="DY188">
        <v>1.87561</v>
      </c>
      <c r="DZ188">
        <v>1.8746499999999999</v>
      </c>
      <c r="EA188">
        <v>1.8708499999999999</v>
      </c>
      <c r="EB188">
        <v>1.87462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-0.64700000000000002</v>
      </c>
      <c r="EQ188">
        <v>6.93E-2</v>
      </c>
      <c r="ER188">
        <v>-0.64699999999993496</v>
      </c>
      <c r="ES188">
        <v>0</v>
      </c>
      <c r="ET188">
        <v>0</v>
      </c>
      <c r="EU188">
        <v>0</v>
      </c>
      <c r="EV188">
        <v>6.9300000000000098E-2</v>
      </c>
      <c r="EW188">
        <v>0</v>
      </c>
      <c r="EX188">
        <v>0</v>
      </c>
      <c r="EY188">
        <v>0</v>
      </c>
      <c r="EZ188">
        <v>-1</v>
      </c>
      <c r="FA188">
        <v>-1</v>
      </c>
      <c r="FB188">
        <v>-1</v>
      </c>
      <c r="FC188">
        <v>-1</v>
      </c>
      <c r="FD188">
        <v>4.0999999999999996</v>
      </c>
      <c r="FE188">
        <v>4.4000000000000004</v>
      </c>
      <c r="FF188">
        <v>2.5903299999999998</v>
      </c>
      <c r="FG188">
        <v>2.5927699999999998</v>
      </c>
      <c r="FH188">
        <v>2.19604</v>
      </c>
      <c r="FI188">
        <v>2.5744600000000002</v>
      </c>
      <c r="FJ188">
        <v>2.4462899999999999</v>
      </c>
      <c r="FK188">
        <v>2.3120099999999999</v>
      </c>
      <c r="FL188">
        <v>33.154499999999999</v>
      </c>
      <c r="FM188">
        <v>24.14</v>
      </c>
      <c r="FN188">
        <v>19</v>
      </c>
      <c r="FO188">
        <v>866.33</v>
      </c>
      <c r="FP188">
        <v>578.96600000000001</v>
      </c>
      <c r="FQ188">
        <v>17.3934</v>
      </c>
      <c r="FR188">
        <v>26.1374</v>
      </c>
      <c r="FS188">
        <v>29.9998</v>
      </c>
      <c r="FT188">
        <v>26.134599999999999</v>
      </c>
      <c r="FU188">
        <v>26.131699999999999</v>
      </c>
      <c r="FV188">
        <v>51.939799999999998</v>
      </c>
      <c r="FW188">
        <v>24.384799999999998</v>
      </c>
      <c r="FX188">
        <v>40.556600000000003</v>
      </c>
      <c r="FY188">
        <v>17.471699999999998</v>
      </c>
      <c r="FZ188">
        <v>1000</v>
      </c>
      <c r="GA188">
        <v>14.556699999999999</v>
      </c>
      <c r="GB188">
        <v>99.797300000000007</v>
      </c>
      <c r="GC188">
        <v>99.781700000000001</v>
      </c>
    </row>
    <row r="189" spans="1:185" x14ac:dyDescent="0.2">
      <c r="A189">
        <v>174</v>
      </c>
      <c r="B189">
        <v>1771106633.0999999</v>
      </c>
      <c r="C189">
        <v>3520</v>
      </c>
      <c r="D189" t="s">
        <v>653</v>
      </c>
      <c r="E189" t="s">
        <v>654</v>
      </c>
      <c r="F189">
        <v>15</v>
      </c>
      <c r="G189">
        <v>1771106625.03333</v>
      </c>
      <c r="H189">
        <f t="shared" si="26"/>
        <v>1.2158984138905917E-3</v>
      </c>
      <c r="I189">
        <v>0</v>
      </c>
      <c r="J189">
        <f t="shared" si="38"/>
        <v>0.37135361481137963</v>
      </c>
      <c r="K189">
        <f t="shared" si="27"/>
        <v>6.6402684069592004</v>
      </c>
      <c r="L189">
        <f t="shared" si="28"/>
        <v>73.771780117957803</v>
      </c>
      <c r="M189">
        <f t="shared" si="29"/>
        <v>1.61376073342799</v>
      </c>
      <c r="N189">
        <f t="shared" si="30"/>
        <v>2.1875041253547876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26192.851544985184</v>
      </c>
      <c r="T189">
        <f t="shared" si="34"/>
        <v>799.99973333333298</v>
      </c>
      <c r="U189">
        <f t="shared" si="35"/>
        <v>674.39995919993828</v>
      </c>
      <c r="V189">
        <f t="shared" si="36"/>
        <v>0.84300022999999991</v>
      </c>
      <c r="W189">
        <f t="shared" si="37"/>
        <v>0.15870057500000001</v>
      </c>
      <c r="X189">
        <v>1</v>
      </c>
      <c r="Y189">
        <v>1771106625.03333</v>
      </c>
      <c r="Z189">
        <v>990.30920000000003</v>
      </c>
      <c r="AA189">
        <v>1000.11466666667</v>
      </c>
      <c r="AB189">
        <v>16.1357933333333</v>
      </c>
      <c r="AC189">
        <v>14.640446666666699</v>
      </c>
      <c r="AD189">
        <v>990.95619999999997</v>
      </c>
      <c r="AE189">
        <v>16.066493333333302</v>
      </c>
      <c r="AF189">
        <v>800.00106666666704</v>
      </c>
      <c r="AG189">
        <v>99.947973333333294</v>
      </c>
      <c r="AH189">
        <v>6.3268759999999993E-2</v>
      </c>
      <c r="AI189">
        <v>18.871093333333299</v>
      </c>
      <c r="AJ189">
        <v>999.9</v>
      </c>
      <c r="AK189">
        <v>999.9</v>
      </c>
      <c r="AL189">
        <v>0</v>
      </c>
      <c r="AM189">
        <v>0</v>
      </c>
      <c r="AN189">
        <v>4995.5</v>
      </c>
      <c r="AO189">
        <v>0</v>
      </c>
      <c r="AP189">
        <v>1.57229</v>
      </c>
      <c r="AQ189">
        <v>-9.8060513333333308</v>
      </c>
      <c r="AR189">
        <v>1006.55</v>
      </c>
      <c r="AS189">
        <v>1014.976</v>
      </c>
      <c r="AT189">
        <v>1.4953540000000001</v>
      </c>
      <c r="AU189">
        <v>1000.11466666667</v>
      </c>
      <c r="AV189">
        <v>14.640446666666699</v>
      </c>
      <c r="AW189">
        <v>1.6127400000000001</v>
      </c>
      <c r="AX189">
        <v>1.4632813333333301</v>
      </c>
      <c r="AY189">
        <v>14.0810266666667</v>
      </c>
      <c r="AZ189">
        <v>12.588939999999999</v>
      </c>
      <c r="BA189">
        <v>799.99973333333298</v>
      </c>
      <c r="BB189">
        <v>0.89999233333333295</v>
      </c>
      <c r="BC189">
        <v>0</v>
      </c>
      <c r="BD189">
        <v>0.10000766666666699</v>
      </c>
      <c r="BE189">
        <v>0</v>
      </c>
      <c r="BF189">
        <v>25</v>
      </c>
      <c r="BG189">
        <v>13190.9866666667</v>
      </c>
      <c r="BH189">
        <v>1771106372.0999999</v>
      </c>
      <c r="BI189" t="s">
        <v>636</v>
      </c>
      <c r="BJ189">
        <v>1771106372.0999999</v>
      </c>
      <c r="BK189">
        <v>1771106352.0999999</v>
      </c>
      <c r="BL189">
        <v>22</v>
      </c>
      <c r="BM189">
        <v>4.3999999999999997E-2</v>
      </c>
      <c r="BN189">
        <v>7.0000000000000001E-3</v>
      </c>
      <c r="BO189">
        <v>-0.64700000000000002</v>
      </c>
      <c r="BP189">
        <v>6.9000000000000006E-2</v>
      </c>
      <c r="BQ189">
        <v>800</v>
      </c>
      <c r="BR189">
        <v>14</v>
      </c>
      <c r="BS189">
        <v>0.31</v>
      </c>
      <c r="BT189">
        <v>0.02</v>
      </c>
      <c r="BU189">
        <v>-12.697659</v>
      </c>
      <c r="BV189">
        <v>49.084919999999997</v>
      </c>
      <c r="BW189">
        <v>4.8227635668275299</v>
      </c>
      <c r="BX189">
        <v>0</v>
      </c>
      <c r="BY189">
        <v>0</v>
      </c>
      <c r="BZ189">
        <v>0</v>
      </c>
      <c r="CA189">
        <v>0</v>
      </c>
      <c r="CB189">
        <v>-1</v>
      </c>
      <c r="CC189">
        <v>1.37404185</v>
      </c>
      <c r="CD189">
        <v>2.0934819699248099</v>
      </c>
      <c r="CE189">
        <v>0.20364348309736699</v>
      </c>
      <c r="CF189">
        <v>0</v>
      </c>
      <c r="CG189">
        <v>0</v>
      </c>
      <c r="CH189">
        <v>2</v>
      </c>
      <c r="CI189" t="s">
        <v>290</v>
      </c>
      <c r="CJ189">
        <v>3.5324900000000001</v>
      </c>
      <c r="CK189">
        <v>2.7011799999999999</v>
      </c>
      <c r="CL189">
        <v>0.18090500000000001</v>
      </c>
      <c r="CM189">
        <v>0.17895800000000001</v>
      </c>
      <c r="CN189">
        <v>8.9730900000000002E-2</v>
      </c>
      <c r="CO189">
        <v>8.1648799999999994E-2</v>
      </c>
      <c r="CP189">
        <v>28694.9</v>
      </c>
      <c r="CQ189">
        <v>25287.9</v>
      </c>
      <c r="CR189">
        <v>32425.3</v>
      </c>
      <c r="CS189">
        <v>30728.400000000001</v>
      </c>
      <c r="CT189">
        <v>39983.1</v>
      </c>
      <c r="CU189">
        <v>39704.300000000003</v>
      </c>
      <c r="CV189">
        <v>47366.2</v>
      </c>
      <c r="CW189">
        <v>46878.5</v>
      </c>
      <c r="CX189">
        <v>2.6135000000000002</v>
      </c>
      <c r="CY189">
        <v>2.1235200000000001</v>
      </c>
      <c r="CZ189">
        <v>0</v>
      </c>
      <c r="DA189">
        <v>0</v>
      </c>
      <c r="DB189">
        <v>999.9</v>
      </c>
      <c r="DC189">
        <v>999.9</v>
      </c>
      <c r="DD189">
        <v>45.41</v>
      </c>
      <c r="DE189">
        <v>28.913</v>
      </c>
      <c r="DF189">
        <v>18.180499999999999</v>
      </c>
      <c r="DG189">
        <v>30.648399999999999</v>
      </c>
      <c r="DH189">
        <v>16.870999999999999</v>
      </c>
      <c r="DI189">
        <v>2</v>
      </c>
      <c r="DJ189">
        <v>-6.7697199999999999E-2</v>
      </c>
      <c r="DK189">
        <v>2.3579599999999998</v>
      </c>
      <c r="DL189">
        <v>20.194099999999999</v>
      </c>
      <c r="DM189">
        <v>5.2508299999999997</v>
      </c>
      <c r="DN189">
        <v>12.033899999999999</v>
      </c>
      <c r="DO189">
        <v>4.9676</v>
      </c>
      <c r="DP189">
        <v>3.2909999999999999</v>
      </c>
      <c r="DQ189">
        <v>608.6</v>
      </c>
      <c r="DR189">
        <v>9999</v>
      </c>
      <c r="DS189">
        <v>9999</v>
      </c>
      <c r="DT189">
        <v>9999</v>
      </c>
      <c r="DU189">
        <v>1.87117</v>
      </c>
      <c r="DV189">
        <v>1.8761300000000001</v>
      </c>
      <c r="DW189">
        <v>1.8763399999999999</v>
      </c>
      <c r="DX189">
        <v>1.88283</v>
      </c>
      <c r="DY189">
        <v>1.87561</v>
      </c>
      <c r="DZ189">
        <v>1.8746700000000001</v>
      </c>
      <c r="EA189">
        <v>1.87086</v>
      </c>
      <c r="EB189">
        <v>1.8746700000000001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-0.64700000000000002</v>
      </c>
      <c r="EQ189">
        <v>6.93E-2</v>
      </c>
      <c r="ER189">
        <v>-0.64699999999993496</v>
      </c>
      <c r="ES189">
        <v>0</v>
      </c>
      <c r="ET189">
        <v>0</v>
      </c>
      <c r="EU189">
        <v>0</v>
      </c>
      <c r="EV189">
        <v>6.9300000000000098E-2</v>
      </c>
      <c r="EW189">
        <v>0</v>
      </c>
      <c r="EX189">
        <v>0</v>
      </c>
      <c r="EY189">
        <v>0</v>
      </c>
      <c r="EZ189">
        <v>-1</v>
      </c>
      <c r="FA189">
        <v>-1</v>
      </c>
      <c r="FB189">
        <v>-1</v>
      </c>
      <c r="FC189">
        <v>-1</v>
      </c>
      <c r="FD189">
        <v>4.3</v>
      </c>
      <c r="FE189">
        <v>4.7</v>
      </c>
      <c r="FF189">
        <v>2.5891099999999998</v>
      </c>
      <c r="FG189">
        <v>2.5976599999999999</v>
      </c>
      <c r="FH189">
        <v>2.19604</v>
      </c>
      <c r="FI189">
        <v>2.5744600000000002</v>
      </c>
      <c r="FJ189">
        <v>2.4462899999999999</v>
      </c>
      <c r="FK189">
        <v>2.2705099999999998</v>
      </c>
      <c r="FL189">
        <v>33.154499999999999</v>
      </c>
      <c r="FM189">
        <v>24.113800000000001</v>
      </c>
      <c r="FN189">
        <v>19</v>
      </c>
      <c r="FO189">
        <v>866.70600000000002</v>
      </c>
      <c r="FP189">
        <v>578.23699999999997</v>
      </c>
      <c r="FQ189">
        <v>17.646000000000001</v>
      </c>
      <c r="FR189">
        <v>26.138200000000001</v>
      </c>
      <c r="FS189">
        <v>29.999700000000001</v>
      </c>
      <c r="FT189">
        <v>26.132400000000001</v>
      </c>
      <c r="FU189">
        <v>26.1313</v>
      </c>
      <c r="FV189">
        <v>51.927599999999998</v>
      </c>
      <c r="FW189">
        <v>26.893599999999999</v>
      </c>
      <c r="FX189">
        <v>40.186599999999999</v>
      </c>
      <c r="FY189">
        <v>17.742599999999999</v>
      </c>
      <c r="FZ189">
        <v>1000</v>
      </c>
      <c r="GA189">
        <v>14.1343</v>
      </c>
      <c r="GB189">
        <v>99.797200000000004</v>
      </c>
      <c r="GC189">
        <v>99.780199999999994</v>
      </c>
    </row>
    <row r="190" spans="1:185" x14ac:dyDescent="0.2">
      <c r="A190">
        <v>175</v>
      </c>
      <c r="B190">
        <v>1771106648.0999999</v>
      </c>
      <c r="C190">
        <v>3535</v>
      </c>
      <c r="D190" t="s">
        <v>655</v>
      </c>
      <c r="E190" t="s">
        <v>656</v>
      </c>
      <c r="F190">
        <v>15</v>
      </c>
      <c r="G190">
        <v>1771106640.03333</v>
      </c>
      <c r="H190">
        <f t="shared" si="26"/>
        <v>1.44239429289637E-3</v>
      </c>
      <c r="I190">
        <v>0</v>
      </c>
      <c r="J190">
        <f t="shared" si="38"/>
        <v>0.12747806392193894</v>
      </c>
      <c r="K190">
        <f t="shared" si="27"/>
        <v>2.2794676736111232</v>
      </c>
      <c r="L190">
        <f t="shared" si="28"/>
        <v>72.993544369281679</v>
      </c>
      <c r="M190">
        <f t="shared" si="29"/>
        <v>1.5971471034161058</v>
      </c>
      <c r="N190">
        <f t="shared" si="30"/>
        <v>2.1880662423186057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26257.882344312951</v>
      </c>
      <c r="T190">
        <f t="shared" si="34"/>
        <v>800.00093333333302</v>
      </c>
      <c r="U190">
        <f t="shared" si="35"/>
        <v>674.40096760020992</v>
      </c>
      <c r="V190">
        <f t="shared" si="36"/>
        <v>0.84300022599999913</v>
      </c>
      <c r="W190">
        <f t="shared" si="37"/>
        <v>0.15870056499999985</v>
      </c>
      <c r="X190">
        <v>1</v>
      </c>
      <c r="Y190">
        <v>1771106640.03333</v>
      </c>
      <c r="Z190">
        <v>995.44726666666702</v>
      </c>
      <c r="AA190">
        <v>1000.09133333333</v>
      </c>
      <c r="AB190">
        <v>15.9695066666667</v>
      </c>
      <c r="AC190">
        <v>14.1953266666667</v>
      </c>
      <c r="AD190">
        <v>996.09413333333305</v>
      </c>
      <c r="AE190">
        <v>15.900206666666699</v>
      </c>
      <c r="AF190">
        <v>800.00900000000001</v>
      </c>
      <c r="AG190">
        <v>99.949226666666704</v>
      </c>
      <c r="AH190">
        <v>6.30740733333333E-2</v>
      </c>
      <c r="AI190">
        <v>18.875206666666699</v>
      </c>
      <c r="AJ190">
        <v>999.9</v>
      </c>
      <c r="AK190">
        <v>999.9</v>
      </c>
      <c r="AL190">
        <v>0</v>
      </c>
      <c r="AM190">
        <v>0</v>
      </c>
      <c r="AN190">
        <v>5006.2333333333299</v>
      </c>
      <c r="AO190">
        <v>0</v>
      </c>
      <c r="AP190">
        <v>1.58087</v>
      </c>
      <c r="AQ190">
        <v>-4.6436973333333302</v>
      </c>
      <c r="AR190">
        <v>1011.60266666667</v>
      </c>
      <c r="AS190">
        <v>1014.49133333333</v>
      </c>
      <c r="AT190">
        <v>1.774184</v>
      </c>
      <c r="AU190">
        <v>1000.09133333333</v>
      </c>
      <c r="AV190">
        <v>14.1953266666667</v>
      </c>
      <c r="AW190">
        <v>1.5961380000000001</v>
      </c>
      <c r="AX190">
        <v>1.41881066666667</v>
      </c>
      <c r="AY190">
        <v>13.9215066666667</v>
      </c>
      <c r="AZ190">
        <v>12.1198</v>
      </c>
      <c r="BA190">
        <v>800.00093333333302</v>
      </c>
      <c r="BB190">
        <v>0.89999246666666599</v>
      </c>
      <c r="BC190">
        <v>0</v>
      </c>
      <c r="BD190">
        <v>0.100007533333333</v>
      </c>
      <c r="BE190">
        <v>0</v>
      </c>
      <c r="BF190">
        <v>25</v>
      </c>
      <c r="BG190">
        <v>13191.02</v>
      </c>
      <c r="BH190">
        <v>1771106372.0999999</v>
      </c>
      <c r="BI190" t="s">
        <v>636</v>
      </c>
      <c r="BJ190">
        <v>1771106372.0999999</v>
      </c>
      <c r="BK190">
        <v>1771106352.0999999</v>
      </c>
      <c r="BL190">
        <v>22</v>
      </c>
      <c r="BM190">
        <v>4.3999999999999997E-2</v>
      </c>
      <c r="BN190">
        <v>7.0000000000000001E-3</v>
      </c>
      <c r="BO190">
        <v>-0.64700000000000002</v>
      </c>
      <c r="BP190">
        <v>6.9000000000000006E-2</v>
      </c>
      <c r="BQ190">
        <v>800</v>
      </c>
      <c r="BR190">
        <v>14</v>
      </c>
      <c r="BS190">
        <v>0.31</v>
      </c>
      <c r="BT190">
        <v>0.02</v>
      </c>
      <c r="BU190">
        <v>-5.59925761904762</v>
      </c>
      <c r="BV190">
        <v>14.418240000000001</v>
      </c>
      <c r="BW190">
        <v>1.4921296240063</v>
      </c>
      <c r="BX190">
        <v>0</v>
      </c>
      <c r="BY190">
        <v>0</v>
      </c>
      <c r="BZ190">
        <v>0</v>
      </c>
      <c r="CA190">
        <v>0</v>
      </c>
      <c r="CB190">
        <v>-1</v>
      </c>
      <c r="CC190">
        <v>1.71656619047619</v>
      </c>
      <c r="CD190">
        <v>0.88069714285714495</v>
      </c>
      <c r="CE190">
        <v>8.9663681795399103E-2</v>
      </c>
      <c r="CF190">
        <v>0</v>
      </c>
      <c r="CG190">
        <v>0</v>
      </c>
      <c r="CH190">
        <v>2</v>
      </c>
      <c r="CI190" t="s">
        <v>290</v>
      </c>
      <c r="CJ190">
        <v>3.5324900000000001</v>
      </c>
      <c r="CK190">
        <v>2.70085</v>
      </c>
      <c r="CL190">
        <v>0.18118200000000001</v>
      </c>
      <c r="CM190">
        <v>0.178949</v>
      </c>
      <c r="CN190">
        <v>8.8971800000000004E-2</v>
      </c>
      <c r="CO190">
        <v>8.0174200000000001E-2</v>
      </c>
      <c r="CP190">
        <v>28685.4</v>
      </c>
      <c r="CQ190">
        <v>25288.1</v>
      </c>
      <c r="CR190">
        <v>32425.599999999999</v>
      </c>
      <c r="CS190">
        <v>30728.3</v>
      </c>
      <c r="CT190">
        <v>40017.800000000003</v>
      </c>
      <c r="CU190">
        <v>39769.5</v>
      </c>
      <c r="CV190">
        <v>47366.7</v>
      </c>
      <c r="CW190">
        <v>46878.2</v>
      </c>
      <c r="CX190">
        <v>2.61402</v>
      </c>
      <c r="CY190">
        <v>2.12276</v>
      </c>
      <c r="CZ190">
        <v>0</v>
      </c>
      <c r="DA190">
        <v>0</v>
      </c>
      <c r="DB190">
        <v>999.9</v>
      </c>
      <c r="DC190">
        <v>999.9</v>
      </c>
      <c r="DD190">
        <v>45.433999999999997</v>
      </c>
      <c r="DE190">
        <v>28.913</v>
      </c>
      <c r="DF190">
        <v>18.189</v>
      </c>
      <c r="DG190">
        <v>30.3184</v>
      </c>
      <c r="DH190">
        <v>16.967099999999999</v>
      </c>
      <c r="DI190">
        <v>2</v>
      </c>
      <c r="DJ190">
        <v>-6.8615899999999994E-2</v>
      </c>
      <c r="DK190">
        <v>2.1012400000000002</v>
      </c>
      <c r="DL190">
        <v>20.198399999999999</v>
      </c>
      <c r="DM190">
        <v>5.2509499999999996</v>
      </c>
      <c r="DN190">
        <v>12.033899999999999</v>
      </c>
      <c r="DO190">
        <v>4.9676799999999997</v>
      </c>
      <c r="DP190">
        <v>3.2909999999999999</v>
      </c>
      <c r="DQ190">
        <v>608.6</v>
      </c>
      <c r="DR190">
        <v>9999</v>
      </c>
      <c r="DS190">
        <v>9999</v>
      </c>
      <c r="DT190">
        <v>9999</v>
      </c>
      <c r="DU190">
        <v>1.87113</v>
      </c>
      <c r="DV190">
        <v>1.8761099999999999</v>
      </c>
      <c r="DW190">
        <v>1.87632</v>
      </c>
      <c r="DX190">
        <v>1.8828</v>
      </c>
      <c r="DY190">
        <v>1.87561</v>
      </c>
      <c r="DZ190">
        <v>1.8746700000000001</v>
      </c>
      <c r="EA190">
        <v>1.87086</v>
      </c>
      <c r="EB190">
        <v>1.8746400000000001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-0.64700000000000002</v>
      </c>
      <c r="EQ190">
        <v>6.93E-2</v>
      </c>
      <c r="ER190">
        <v>-0.64699999999993496</v>
      </c>
      <c r="ES190">
        <v>0</v>
      </c>
      <c r="ET190">
        <v>0</v>
      </c>
      <c r="EU190">
        <v>0</v>
      </c>
      <c r="EV190">
        <v>6.9300000000000098E-2</v>
      </c>
      <c r="EW190">
        <v>0</v>
      </c>
      <c r="EX190">
        <v>0</v>
      </c>
      <c r="EY190">
        <v>0</v>
      </c>
      <c r="EZ190">
        <v>-1</v>
      </c>
      <c r="FA190">
        <v>-1</v>
      </c>
      <c r="FB190">
        <v>-1</v>
      </c>
      <c r="FC190">
        <v>-1</v>
      </c>
      <c r="FD190">
        <v>4.5999999999999996</v>
      </c>
      <c r="FE190">
        <v>4.9000000000000004</v>
      </c>
      <c r="FF190">
        <v>2.5891099999999998</v>
      </c>
      <c r="FG190">
        <v>2.5939899999999998</v>
      </c>
      <c r="FH190">
        <v>2.19604</v>
      </c>
      <c r="FI190">
        <v>2.5744600000000002</v>
      </c>
      <c r="FJ190">
        <v>2.4462899999999999</v>
      </c>
      <c r="FK190">
        <v>2.2656200000000002</v>
      </c>
      <c r="FL190">
        <v>33.154499999999999</v>
      </c>
      <c r="FM190">
        <v>24.105</v>
      </c>
      <c r="FN190">
        <v>19</v>
      </c>
      <c r="FO190">
        <v>867.15599999999995</v>
      </c>
      <c r="FP190">
        <v>577.63099999999997</v>
      </c>
      <c r="FQ190">
        <v>17.923500000000001</v>
      </c>
      <c r="FR190">
        <v>26.138200000000001</v>
      </c>
      <c r="FS190">
        <v>29.999700000000001</v>
      </c>
      <c r="FT190">
        <v>26.130199999999999</v>
      </c>
      <c r="FU190">
        <v>26.1295</v>
      </c>
      <c r="FV190">
        <v>51.921799999999998</v>
      </c>
      <c r="FW190">
        <v>28.4267</v>
      </c>
      <c r="FX190">
        <v>40.186599999999999</v>
      </c>
      <c r="FY190">
        <v>18.0047</v>
      </c>
      <c r="FZ190">
        <v>1000</v>
      </c>
      <c r="GA190">
        <v>13.8498</v>
      </c>
      <c r="GB190">
        <v>99.798199999999994</v>
      </c>
      <c r="GC190">
        <v>99.779799999999994</v>
      </c>
    </row>
    <row r="191" spans="1:185" x14ac:dyDescent="0.2">
      <c r="A191">
        <v>176</v>
      </c>
      <c r="B191">
        <v>1771106663.0999999</v>
      </c>
      <c r="C191">
        <v>3550</v>
      </c>
      <c r="D191" t="s">
        <v>657</v>
      </c>
      <c r="E191" t="s">
        <v>658</v>
      </c>
      <c r="F191">
        <v>15</v>
      </c>
      <c r="G191">
        <v>1771106655.03333</v>
      </c>
      <c r="H191">
        <f t="shared" si="26"/>
        <v>1.5465131720810777E-3</v>
      </c>
      <c r="I191">
        <v>0</v>
      </c>
      <c r="J191">
        <f t="shared" si="38"/>
        <v>5.6489845028099679E-2</v>
      </c>
      <c r="K191">
        <f t="shared" si="27"/>
        <v>1.0101092820777813</v>
      </c>
      <c r="L191">
        <f t="shared" si="28"/>
        <v>72.0693047566605</v>
      </c>
      <c r="M191">
        <f t="shared" si="29"/>
        <v>1.5801051739790375</v>
      </c>
      <c r="N191">
        <f t="shared" si="30"/>
        <v>2.1924801124614808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26215.442836664453</v>
      </c>
      <c r="T191">
        <f t="shared" si="34"/>
        <v>800.00073333333296</v>
      </c>
      <c r="U191">
        <f t="shared" si="35"/>
        <v>674.40086140022265</v>
      </c>
      <c r="V191">
        <f t="shared" si="36"/>
        <v>0.84300030400000003</v>
      </c>
      <c r="W191">
        <f t="shared" si="37"/>
        <v>0.15870075999999997</v>
      </c>
      <c r="X191">
        <v>1</v>
      </c>
      <c r="Y191">
        <v>1771106655.03333</v>
      </c>
      <c r="Z191">
        <v>996.85566666666705</v>
      </c>
      <c r="AA191">
        <v>1000.0453333333299</v>
      </c>
      <c r="AB191">
        <v>15.799053333333299</v>
      </c>
      <c r="AC191">
        <v>13.896473333333301</v>
      </c>
      <c r="AD191">
        <v>997.50260000000003</v>
      </c>
      <c r="AE191">
        <v>15.729753333333299</v>
      </c>
      <c r="AF191">
        <v>800.00826666666705</v>
      </c>
      <c r="AG191">
        <v>99.949473333333302</v>
      </c>
      <c r="AH191">
        <v>6.3175566666666697E-2</v>
      </c>
      <c r="AI191">
        <v>18.9074733333333</v>
      </c>
      <c r="AJ191">
        <v>999.9</v>
      </c>
      <c r="AK191">
        <v>999.9</v>
      </c>
      <c r="AL191">
        <v>0</v>
      </c>
      <c r="AM191">
        <v>0</v>
      </c>
      <c r="AN191">
        <v>4999.7</v>
      </c>
      <c r="AO191">
        <v>0</v>
      </c>
      <c r="AP191">
        <v>1.58087</v>
      </c>
      <c r="AQ191">
        <v>-3.1896806666666699</v>
      </c>
      <c r="AR191">
        <v>1012.85733333333</v>
      </c>
      <c r="AS191">
        <v>1014.13866666667</v>
      </c>
      <c r="AT191">
        <v>1.90257733333333</v>
      </c>
      <c r="AU191">
        <v>1000.0453333333299</v>
      </c>
      <c r="AV191">
        <v>13.896473333333301</v>
      </c>
      <c r="AW191">
        <v>1.5791093333333299</v>
      </c>
      <c r="AX191">
        <v>1.38894733333333</v>
      </c>
      <c r="AY191">
        <v>13.7563733333333</v>
      </c>
      <c r="AZ191">
        <v>11.797306666666699</v>
      </c>
      <c r="BA191">
        <v>800.00073333333296</v>
      </c>
      <c r="BB191">
        <v>0.89998986666666703</v>
      </c>
      <c r="BC191">
        <v>0</v>
      </c>
      <c r="BD191">
        <v>0.100010133333333</v>
      </c>
      <c r="BE191">
        <v>0</v>
      </c>
      <c r="BF191">
        <v>25</v>
      </c>
      <c r="BG191">
        <v>13190.993333333299</v>
      </c>
      <c r="BH191">
        <v>1771106372.0999999</v>
      </c>
      <c r="BI191" t="s">
        <v>636</v>
      </c>
      <c r="BJ191">
        <v>1771106372.0999999</v>
      </c>
      <c r="BK191">
        <v>1771106352.0999999</v>
      </c>
      <c r="BL191">
        <v>22</v>
      </c>
      <c r="BM191">
        <v>4.3999999999999997E-2</v>
      </c>
      <c r="BN191">
        <v>7.0000000000000001E-3</v>
      </c>
      <c r="BO191">
        <v>-0.64700000000000002</v>
      </c>
      <c r="BP191">
        <v>6.9000000000000006E-2</v>
      </c>
      <c r="BQ191">
        <v>800</v>
      </c>
      <c r="BR191">
        <v>14</v>
      </c>
      <c r="BS191">
        <v>0.31</v>
      </c>
      <c r="BT191">
        <v>0.02</v>
      </c>
      <c r="BU191">
        <v>-3.4052945000000001</v>
      </c>
      <c r="BV191">
        <v>3.7196747368421001</v>
      </c>
      <c r="BW191">
        <v>0.365280781693686</v>
      </c>
      <c r="BX191">
        <v>0</v>
      </c>
      <c r="BY191">
        <v>0</v>
      </c>
      <c r="BZ191">
        <v>0</v>
      </c>
      <c r="CA191">
        <v>0</v>
      </c>
      <c r="CB191">
        <v>-1</v>
      </c>
      <c r="CC191">
        <v>1.8799364999999999</v>
      </c>
      <c r="CD191">
        <v>0.41507684210526302</v>
      </c>
      <c r="CE191">
        <v>4.0725242083381102E-2</v>
      </c>
      <c r="CF191">
        <v>0</v>
      </c>
      <c r="CG191">
        <v>0</v>
      </c>
      <c r="CH191">
        <v>2</v>
      </c>
      <c r="CI191" t="s">
        <v>290</v>
      </c>
      <c r="CJ191">
        <v>3.5325899999999999</v>
      </c>
      <c r="CK191">
        <v>2.7011500000000002</v>
      </c>
      <c r="CL191">
        <v>0.181255</v>
      </c>
      <c r="CM191">
        <v>0.17894499999999999</v>
      </c>
      <c r="CN191">
        <v>8.8294200000000003E-2</v>
      </c>
      <c r="CO191">
        <v>7.9187499999999994E-2</v>
      </c>
      <c r="CP191">
        <v>28682.1</v>
      </c>
      <c r="CQ191">
        <v>25288.2</v>
      </c>
      <c r="CR191">
        <v>32424.7</v>
      </c>
      <c r="CS191">
        <v>30728.400000000001</v>
      </c>
      <c r="CT191">
        <v>40047.199999999997</v>
      </c>
      <c r="CU191">
        <v>39813.199999999997</v>
      </c>
      <c r="CV191">
        <v>47365.2</v>
      </c>
      <c r="CW191">
        <v>46878.3</v>
      </c>
      <c r="CX191">
        <v>2.61402</v>
      </c>
      <c r="CY191">
        <v>2.1221000000000001</v>
      </c>
      <c r="CZ191">
        <v>0</v>
      </c>
      <c r="DA191">
        <v>0</v>
      </c>
      <c r="DB191">
        <v>999.9</v>
      </c>
      <c r="DC191">
        <v>999.9</v>
      </c>
      <c r="DD191">
        <v>45.384999999999998</v>
      </c>
      <c r="DE191">
        <v>28.922999999999998</v>
      </c>
      <c r="DF191">
        <v>18.1814</v>
      </c>
      <c r="DG191">
        <v>30.5884</v>
      </c>
      <c r="DH191">
        <v>16.847000000000001</v>
      </c>
      <c r="DI191">
        <v>2</v>
      </c>
      <c r="DJ191">
        <v>-6.8861800000000001E-2</v>
      </c>
      <c r="DK191">
        <v>2.0143499999999999</v>
      </c>
      <c r="DL191">
        <v>20.199300000000001</v>
      </c>
      <c r="DM191">
        <v>5.2510700000000003</v>
      </c>
      <c r="DN191">
        <v>12.033899999999999</v>
      </c>
      <c r="DO191">
        <v>4.9677199999999999</v>
      </c>
      <c r="DP191">
        <v>3.2909999999999999</v>
      </c>
      <c r="DQ191">
        <v>608.6</v>
      </c>
      <c r="DR191">
        <v>9999</v>
      </c>
      <c r="DS191">
        <v>9999</v>
      </c>
      <c r="DT191">
        <v>9999</v>
      </c>
      <c r="DU191">
        <v>1.87114</v>
      </c>
      <c r="DV191">
        <v>1.87609</v>
      </c>
      <c r="DW191">
        <v>1.8763300000000001</v>
      </c>
      <c r="DX191">
        <v>1.88283</v>
      </c>
      <c r="DY191">
        <v>1.8755999999999999</v>
      </c>
      <c r="DZ191">
        <v>1.8746700000000001</v>
      </c>
      <c r="EA191">
        <v>1.87086</v>
      </c>
      <c r="EB191">
        <v>1.8746400000000001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-0.64700000000000002</v>
      </c>
      <c r="EQ191">
        <v>6.93E-2</v>
      </c>
      <c r="ER191">
        <v>-0.64699999999993496</v>
      </c>
      <c r="ES191">
        <v>0</v>
      </c>
      <c r="ET191">
        <v>0</v>
      </c>
      <c r="EU191">
        <v>0</v>
      </c>
      <c r="EV191">
        <v>6.9300000000000098E-2</v>
      </c>
      <c r="EW191">
        <v>0</v>
      </c>
      <c r="EX191">
        <v>0</v>
      </c>
      <c r="EY191">
        <v>0</v>
      </c>
      <c r="EZ191">
        <v>-1</v>
      </c>
      <c r="FA191">
        <v>-1</v>
      </c>
      <c r="FB191">
        <v>-1</v>
      </c>
      <c r="FC191">
        <v>-1</v>
      </c>
      <c r="FD191">
        <v>4.8</v>
      </c>
      <c r="FE191">
        <v>5.2</v>
      </c>
      <c r="FF191">
        <v>2.5878899999999998</v>
      </c>
      <c r="FG191">
        <v>2.5878899999999998</v>
      </c>
      <c r="FH191">
        <v>2.19604</v>
      </c>
      <c r="FI191">
        <v>2.5756800000000002</v>
      </c>
      <c r="FJ191">
        <v>2.4462899999999999</v>
      </c>
      <c r="FK191">
        <v>2.3107899999999999</v>
      </c>
      <c r="FL191">
        <v>33.154499999999999</v>
      </c>
      <c r="FM191">
        <v>24.148800000000001</v>
      </c>
      <c r="FN191">
        <v>19</v>
      </c>
      <c r="FO191">
        <v>867.15599999999995</v>
      </c>
      <c r="FP191">
        <v>577.12300000000005</v>
      </c>
      <c r="FQ191">
        <v>18.150700000000001</v>
      </c>
      <c r="FR191">
        <v>26.135999999999999</v>
      </c>
      <c r="FS191">
        <v>30</v>
      </c>
      <c r="FT191">
        <v>26.130199999999999</v>
      </c>
      <c r="FU191">
        <v>26.1295</v>
      </c>
      <c r="FV191">
        <v>51.911999999999999</v>
      </c>
      <c r="FW191">
        <v>28.991599999999998</v>
      </c>
      <c r="FX191">
        <v>39.815800000000003</v>
      </c>
      <c r="FY191">
        <v>18.198699999999999</v>
      </c>
      <c r="FZ191">
        <v>1000</v>
      </c>
      <c r="GA191">
        <v>13.6723</v>
      </c>
      <c r="GB191">
        <v>99.795299999999997</v>
      </c>
      <c r="GC191">
        <v>99.78</v>
      </c>
    </row>
    <row r="192" spans="1:185" x14ac:dyDescent="0.2">
      <c r="A192">
        <v>177</v>
      </c>
      <c r="B192">
        <v>1771106678.0999999</v>
      </c>
      <c r="C192">
        <v>3565</v>
      </c>
      <c r="D192" t="s">
        <v>659</v>
      </c>
      <c r="E192" t="s">
        <v>660</v>
      </c>
      <c r="F192">
        <v>15</v>
      </c>
      <c r="G192">
        <v>1771106670.03333</v>
      </c>
      <c r="H192">
        <f t="shared" si="26"/>
        <v>1.5697503304766985E-3</v>
      </c>
      <c r="I192">
        <v>0</v>
      </c>
      <c r="J192">
        <f t="shared" si="38"/>
        <v>3.7864953331859109E-2</v>
      </c>
      <c r="K192">
        <f t="shared" si="27"/>
        <v>0.6770728580849773</v>
      </c>
      <c r="L192">
        <f t="shared" si="28"/>
        <v>71.212090901682032</v>
      </c>
      <c r="M192">
        <f t="shared" si="29"/>
        <v>1.5656425715472695</v>
      </c>
      <c r="N192">
        <f t="shared" si="30"/>
        <v>2.1985628447686669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26209.807097335713</v>
      </c>
      <c r="T192">
        <f t="shared" si="34"/>
        <v>800.00033333333295</v>
      </c>
      <c r="U192">
        <f t="shared" si="35"/>
        <v>674.40047780008217</v>
      </c>
      <c r="V192">
        <f t="shared" si="36"/>
        <v>0.84300024600000056</v>
      </c>
      <c r="W192">
        <f t="shared" si="37"/>
        <v>0.15870074492000014</v>
      </c>
      <c r="X192">
        <v>1</v>
      </c>
      <c r="Y192">
        <v>1771106670.03333</v>
      </c>
      <c r="Z192">
        <v>997.25340000000006</v>
      </c>
      <c r="AA192">
        <v>1000.05653333333</v>
      </c>
      <c r="AB192">
        <v>15.6544133333333</v>
      </c>
      <c r="AC192">
        <v>13.722946666666701</v>
      </c>
      <c r="AD192">
        <v>997.90026666666597</v>
      </c>
      <c r="AE192">
        <v>15.5851133333333</v>
      </c>
      <c r="AF192">
        <v>800.0018</v>
      </c>
      <c r="AG192">
        <v>99.949340000000007</v>
      </c>
      <c r="AH192">
        <v>6.35150466666667E-2</v>
      </c>
      <c r="AI192">
        <v>18.9518466666667</v>
      </c>
      <c r="AJ192">
        <v>999.9</v>
      </c>
      <c r="AK192">
        <v>999.9</v>
      </c>
      <c r="AL192">
        <v>0</v>
      </c>
      <c r="AM192">
        <v>0</v>
      </c>
      <c r="AN192">
        <v>4999.4333333333298</v>
      </c>
      <c r="AO192">
        <v>0</v>
      </c>
      <c r="AP192">
        <v>1.58087</v>
      </c>
      <c r="AQ192">
        <v>-2.8031286666666699</v>
      </c>
      <c r="AR192">
        <v>1013.112</v>
      </c>
      <c r="AS192">
        <v>1013.97</v>
      </c>
      <c r="AT192">
        <v>1.9314720000000001</v>
      </c>
      <c r="AU192">
        <v>1000.05653333333</v>
      </c>
      <c r="AV192">
        <v>13.722946666666701</v>
      </c>
      <c r="AW192">
        <v>1.5646486666666699</v>
      </c>
      <c r="AX192">
        <v>1.3715980000000001</v>
      </c>
      <c r="AY192">
        <v>13.6149466666667</v>
      </c>
      <c r="AZ192">
        <v>11.607186666666699</v>
      </c>
      <c r="BA192">
        <v>800.00033333333295</v>
      </c>
      <c r="BB192">
        <v>0.89998986666666703</v>
      </c>
      <c r="BC192">
        <v>0</v>
      </c>
      <c r="BD192">
        <v>0.10001006666666699</v>
      </c>
      <c r="BE192">
        <v>0</v>
      </c>
      <c r="BF192">
        <v>25</v>
      </c>
      <c r="BG192">
        <v>13191</v>
      </c>
      <c r="BH192">
        <v>1771106372.0999999</v>
      </c>
      <c r="BI192" t="s">
        <v>636</v>
      </c>
      <c r="BJ192">
        <v>1771106372.0999999</v>
      </c>
      <c r="BK192">
        <v>1771106352.0999999</v>
      </c>
      <c r="BL192">
        <v>22</v>
      </c>
      <c r="BM192">
        <v>4.3999999999999997E-2</v>
      </c>
      <c r="BN192">
        <v>7.0000000000000001E-3</v>
      </c>
      <c r="BO192">
        <v>-0.64700000000000002</v>
      </c>
      <c r="BP192">
        <v>6.9000000000000006E-2</v>
      </c>
      <c r="BQ192">
        <v>800</v>
      </c>
      <c r="BR192">
        <v>14</v>
      </c>
      <c r="BS192">
        <v>0.31</v>
      </c>
      <c r="BT192">
        <v>0.02</v>
      </c>
      <c r="BU192">
        <v>-2.8757842857142899</v>
      </c>
      <c r="BV192">
        <v>1.1471961038961001</v>
      </c>
      <c r="BW192">
        <v>0.119829979259164</v>
      </c>
      <c r="BX192">
        <v>0</v>
      </c>
      <c r="BY192">
        <v>0</v>
      </c>
      <c r="BZ192">
        <v>0</v>
      </c>
      <c r="CA192">
        <v>0</v>
      </c>
      <c r="CB192">
        <v>-1</v>
      </c>
      <c r="CC192">
        <v>1.92964857142857</v>
      </c>
      <c r="CD192">
        <v>2.0759220779220801E-2</v>
      </c>
      <c r="CE192">
        <v>6.50280400011761E-3</v>
      </c>
      <c r="CF192">
        <v>1</v>
      </c>
      <c r="CG192">
        <v>1</v>
      </c>
      <c r="CH192">
        <v>2</v>
      </c>
      <c r="CI192" t="s">
        <v>299</v>
      </c>
      <c r="CJ192">
        <v>3.5325799999999998</v>
      </c>
      <c r="CK192">
        <v>2.70146</v>
      </c>
      <c r="CL192">
        <v>0.18127399999999999</v>
      </c>
      <c r="CM192">
        <v>0.17893899999999999</v>
      </c>
      <c r="CN192">
        <v>8.7803300000000001E-2</v>
      </c>
      <c r="CO192">
        <v>7.8654500000000002E-2</v>
      </c>
      <c r="CP192">
        <v>28681.599999999999</v>
      </c>
      <c r="CQ192">
        <v>25288.7</v>
      </c>
      <c r="CR192">
        <v>32424.9</v>
      </c>
      <c r="CS192">
        <v>30728.7</v>
      </c>
      <c r="CT192">
        <v>40070</v>
      </c>
      <c r="CU192">
        <v>39837.4</v>
      </c>
      <c r="CV192">
        <v>47365.9</v>
      </c>
      <c r="CW192">
        <v>46878.9</v>
      </c>
      <c r="CX192">
        <v>2.6139199999999998</v>
      </c>
      <c r="CY192">
        <v>2.1217600000000001</v>
      </c>
      <c r="CZ192">
        <v>0</v>
      </c>
      <c r="DA192">
        <v>0</v>
      </c>
      <c r="DB192">
        <v>999.9</v>
      </c>
      <c r="DC192">
        <v>999.9</v>
      </c>
      <c r="DD192">
        <v>45.384999999999998</v>
      </c>
      <c r="DE192">
        <v>28.913</v>
      </c>
      <c r="DF192">
        <v>18.1707</v>
      </c>
      <c r="DG192">
        <v>30.6784</v>
      </c>
      <c r="DH192">
        <v>16.774799999999999</v>
      </c>
      <c r="DI192">
        <v>2</v>
      </c>
      <c r="DJ192">
        <v>-6.8837400000000007E-2</v>
      </c>
      <c r="DK192">
        <v>2.0474600000000001</v>
      </c>
      <c r="DL192">
        <v>20.198399999999999</v>
      </c>
      <c r="DM192">
        <v>5.2510700000000003</v>
      </c>
      <c r="DN192">
        <v>12.033899999999999</v>
      </c>
      <c r="DO192">
        <v>4.9677600000000002</v>
      </c>
      <c r="DP192">
        <v>3.2909999999999999</v>
      </c>
      <c r="DQ192">
        <v>608.6</v>
      </c>
      <c r="DR192">
        <v>9999</v>
      </c>
      <c r="DS192">
        <v>9999</v>
      </c>
      <c r="DT192">
        <v>9999</v>
      </c>
      <c r="DU192">
        <v>1.8711500000000001</v>
      </c>
      <c r="DV192">
        <v>1.8761099999999999</v>
      </c>
      <c r="DW192">
        <v>1.87632</v>
      </c>
      <c r="DX192">
        <v>1.8828</v>
      </c>
      <c r="DY192">
        <v>1.87561</v>
      </c>
      <c r="DZ192">
        <v>1.87469</v>
      </c>
      <c r="EA192">
        <v>1.8708800000000001</v>
      </c>
      <c r="EB192">
        <v>1.8746400000000001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-0.64700000000000002</v>
      </c>
      <c r="EQ192">
        <v>6.93E-2</v>
      </c>
      <c r="ER192">
        <v>-0.64699999999993496</v>
      </c>
      <c r="ES192">
        <v>0</v>
      </c>
      <c r="ET192">
        <v>0</v>
      </c>
      <c r="EU192">
        <v>0</v>
      </c>
      <c r="EV192">
        <v>6.9300000000000098E-2</v>
      </c>
      <c r="EW192">
        <v>0</v>
      </c>
      <c r="EX192">
        <v>0</v>
      </c>
      <c r="EY192">
        <v>0</v>
      </c>
      <c r="EZ192">
        <v>-1</v>
      </c>
      <c r="FA192">
        <v>-1</v>
      </c>
      <c r="FB192">
        <v>-1</v>
      </c>
      <c r="FC192">
        <v>-1</v>
      </c>
      <c r="FD192">
        <v>5.0999999999999996</v>
      </c>
      <c r="FE192">
        <v>5.4</v>
      </c>
      <c r="FF192">
        <v>2.5878899999999998</v>
      </c>
      <c r="FG192">
        <v>2.5927699999999998</v>
      </c>
      <c r="FH192">
        <v>2.19604</v>
      </c>
      <c r="FI192">
        <v>2.5744600000000002</v>
      </c>
      <c r="FJ192">
        <v>2.4462899999999999</v>
      </c>
      <c r="FK192">
        <v>2.3083499999999999</v>
      </c>
      <c r="FL192">
        <v>33.154499999999999</v>
      </c>
      <c r="FM192">
        <v>24.14</v>
      </c>
      <c r="FN192">
        <v>19</v>
      </c>
      <c r="FO192">
        <v>867.02800000000002</v>
      </c>
      <c r="FP192">
        <v>576.86099999999999</v>
      </c>
      <c r="FQ192">
        <v>18.285299999999999</v>
      </c>
      <c r="FR192">
        <v>26.1342</v>
      </c>
      <c r="FS192">
        <v>30.0002</v>
      </c>
      <c r="FT192">
        <v>26.128</v>
      </c>
      <c r="FU192">
        <v>26.1295</v>
      </c>
      <c r="FV192">
        <v>51.906799999999997</v>
      </c>
      <c r="FW192">
        <v>29.554300000000001</v>
      </c>
      <c r="FX192">
        <v>39.815800000000003</v>
      </c>
      <c r="FY192">
        <v>18.299499999999998</v>
      </c>
      <c r="FZ192">
        <v>1000</v>
      </c>
      <c r="GA192">
        <v>13.5662</v>
      </c>
      <c r="GB192">
        <v>99.796400000000006</v>
      </c>
      <c r="GC192">
        <v>99.781199999999998</v>
      </c>
    </row>
    <row r="193" spans="1:185" x14ac:dyDescent="0.2">
      <c r="A193">
        <v>178</v>
      </c>
      <c r="B193">
        <v>1771106693.0999999</v>
      </c>
      <c r="C193">
        <v>3580</v>
      </c>
      <c r="D193" t="s">
        <v>661</v>
      </c>
      <c r="E193" t="s">
        <v>662</v>
      </c>
      <c r="F193">
        <v>15</v>
      </c>
      <c r="G193">
        <v>1771106685.03333</v>
      </c>
      <c r="H193">
        <f t="shared" si="26"/>
        <v>1.578568180572578E-3</v>
      </c>
      <c r="I193">
        <v>0</v>
      </c>
      <c r="J193">
        <f t="shared" si="38"/>
        <v>3.1457920671009658E-2</v>
      </c>
      <c r="K193">
        <f t="shared" si="27"/>
        <v>0.56250707802167088</v>
      </c>
      <c r="L193">
        <f t="shared" si="28"/>
        <v>70.491344049307685</v>
      </c>
      <c r="M193">
        <f t="shared" si="29"/>
        <v>1.554424496733348</v>
      </c>
      <c r="N193">
        <f t="shared" si="30"/>
        <v>2.2051281865842287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26198.494665257484</v>
      </c>
      <c r="T193">
        <f t="shared" si="34"/>
        <v>800.00033333333295</v>
      </c>
      <c r="U193">
        <f t="shared" si="35"/>
        <v>674.40056580011833</v>
      </c>
      <c r="V193">
        <f t="shared" si="36"/>
        <v>0.84300035600000001</v>
      </c>
      <c r="W193">
        <f t="shared" si="37"/>
        <v>0.15870089000000004</v>
      </c>
      <c r="X193">
        <v>1</v>
      </c>
      <c r="Y193">
        <v>1771106685.03333</v>
      </c>
      <c r="Z193">
        <v>997.37019999999995</v>
      </c>
      <c r="AA193">
        <v>1000.04133333333</v>
      </c>
      <c r="AB193">
        <v>15.542113333333299</v>
      </c>
      <c r="AC193">
        <v>13.599586666666699</v>
      </c>
      <c r="AD193">
        <v>998.01713333333305</v>
      </c>
      <c r="AE193">
        <v>15.472813333333299</v>
      </c>
      <c r="AF193">
        <v>800.00646666666705</v>
      </c>
      <c r="AG193">
        <v>99.950286666666699</v>
      </c>
      <c r="AH193">
        <v>6.3428546666666696E-2</v>
      </c>
      <c r="AI193">
        <v>18.99962</v>
      </c>
      <c r="AJ193">
        <v>999.9</v>
      </c>
      <c r="AK193">
        <v>999.9</v>
      </c>
      <c r="AL193">
        <v>0</v>
      </c>
      <c r="AM193">
        <v>0</v>
      </c>
      <c r="AN193">
        <v>4998.2333333333299</v>
      </c>
      <c r="AO193">
        <v>0</v>
      </c>
      <c r="AP193">
        <v>1.58087</v>
      </c>
      <c r="AQ193">
        <v>-2.6696293333333299</v>
      </c>
      <c r="AR193">
        <v>1013.11666666667</v>
      </c>
      <c r="AS193">
        <v>1013.82733333333</v>
      </c>
      <c r="AT193">
        <v>1.9425239999999999</v>
      </c>
      <c r="AU193">
        <v>1000.04133333333</v>
      </c>
      <c r="AV193">
        <v>13.599586666666699</v>
      </c>
      <c r="AW193">
        <v>1.5534393333333301</v>
      </c>
      <c r="AX193">
        <v>1.3592833333333301</v>
      </c>
      <c r="AY193">
        <v>13.504493333333301</v>
      </c>
      <c r="AZ193">
        <v>11.470833333333299</v>
      </c>
      <c r="BA193">
        <v>800.00033333333295</v>
      </c>
      <c r="BB193">
        <v>0.89998813333333305</v>
      </c>
      <c r="BC193">
        <v>0</v>
      </c>
      <c r="BD193">
        <v>0.100011866666667</v>
      </c>
      <c r="BE193">
        <v>0</v>
      </c>
      <c r="BF193">
        <v>25</v>
      </c>
      <c r="BG193">
        <v>13190.993333333299</v>
      </c>
      <c r="BH193">
        <v>1771106372.0999999</v>
      </c>
      <c r="BI193" t="s">
        <v>636</v>
      </c>
      <c r="BJ193">
        <v>1771106372.0999999</v>
      </c>
      <c r="BK193">
        <v>1771106352.0999999</v>
      </c>
      <c r="BL193">
        <v>22</v>
      </c>
      <c r="BM193">
        <v>4.3999999999999997E-2</v>
      </c>
      <c r="BN193">
        <v>7.0000000000000001E-3</v>
      </c>
      <c r="BO193">
        <v>-0.64700000000000002</v>
      </c>
      <c r="BP193">
        <v>6.9000000000000006E-2</v>
      </c>
      <c r="BQ193">
        <v>800</v>
      </c>
      <c r="BR193">
        <v>14</v>
      </c>
      <c r="BS193">
        <v>0.31</v>
      </c>
      <c r="BT193">
        <v>0.02</v>
      </c>
      <c r="BU193">
        <v>-2.6896309999999999</v>
      </c>
      <c r="BV193">
        <v>0.339552180451133</v>
      </c>
      <c r="BW193">
        <v>4.4147547825445499E-2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1.9382794999999999</v>
      </c>
      <c r="CD193">
        <v>4.9380902255637099E-2</v>
      </c>
      <c r="CE193">
        <v>9.0437323462163599E-3</v>
      </c>
      <c r="CF193">
        <v>1</v>
      </c>
      <c r="CG193">
        <v>2</v>
      </c>
      <c r="CH193">
        <v>2</v>
      </c>
      <c r="CI193" t="s">
        <v>322</v>
      </c>
      <c r="CJ193">
        <v>3.5325600000000001</v>
      </c>
      <c r="CK193">
        <v>2.7013400000000001</v>
      </c>
      <c r="CL193">
        <v>0.18127799999999999</v>
      </c>
      <c r="CM193">
        <v>0.17893400000000001</v>
      </c>
      <c r="CN193">
        <v>8.7336499999999997E-2</v>
      </c>
      <c r="CO193">
        <v>7.8114699999999995E-2</v>
      </c>
      <c r="CP193">
        <v>28681.8</v>
      </c>
      <c r="CQ193">
        <v>25288.400000000001</v>
      </c>
      <c r="CR193">
        <v>32425.200000000001</v>
      </c>
      <c r="CS193">
        <v>30728.1</v>
      </c>
      <c r="CT193">
        <v>40091.300000000003</v>
      </c>
      <c r="CU193">
        <v>39860.5</v>
      </c>
      <c r="CV193">
        <v>47366.1</v>
      </c>
      <c r="CW193">
        <v>46878</v>
      </c>
      <c r="CX193">
        <v>2.6140400000000001</v>
      </c>
      <c r="CY193">
        <v>2.1215000000000002</v>
      </c>
      <c r="CZ193">
        <v>0</v>
      </c>
      <c r="DA193">
        <v>0</v>
      </c>
      <c r="DB193">
        <v>999.9</v>
      </c>
      <c r="DC193">
        <v>999.9</v>
      </c>
      <c r="DD193">
        <v>45.311999999999998</v>
      </c>
      <c r="DE193">
        <v>28.893000000000001</v>
      </c>
      <c r="DF193">
        <v>18.1205</v>
      </c>
      <c r="DG193">
        <v>30.468399999999999</v>
      </c>
      <c r="DH193">
        <v>16.975200000000001</v>
      </c>
      <c r="DI193">
        <v>2</v>
      </c>
      <c r="DJ193">
        <v>-6.8420700000000001E-2</v>
      </c>
      <c r="DK193">
        <v>2.7324099999999998</v>
      </c>
      <c r="DL193">
        <v>20.1816</v>
      </c>
      <c r="DM193">
        <v>5.2510700000000003</v>
      </c>
      <c r="DN193">
        <v>12.033899999999999</v>
      </c>
      <c r="DO193">
        <v>4.9677199999999999</v>
      </c>
      <c r="DP193">
        <v>3.2909999999999999</v>
      </c>
      <c r="DQ193">
        <v>608.6</v>
      </c>
      <c r="DR193">
        <v>9999</v>
      </c>
      <c r="DS193">
        <v>9999</v>
      </c>
      <c r="DT193">
        <v>9999</v>
      </c>
      <c r="DU193">
        <v>1.8711599999999999</v>
      </c>
      <c r="DV193">
        <v>1.8761000000000001</v>
      </c>
      <c r="DW193">
        <v>1.8763399999999999</v>
      </c>
      <c r="DX193">
        <v>1.8827799999999999</v>
      </c>
      <c r="DY193">
        <v>1.87561</v>
      </c>
      <c r="DZ193">
        <v>1.8746799999999999</v>
      </c>
      <c r="EA193">
        <v>1.87086</v>
      </c>
      <c r="EB193">
        <v>1.87463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-0.64700000000000002</v>
      </c>
      <c r="EQ193">
        <v>6.93E-2</v>
      </c>
      <c r="ER193">
        <v>-0.64699999999993496</v>
      </c>
      <c r="ES193">
        <v>0</v>
      </c>
      <c r="ET193">
        <v>0</v>
      </c>
      <c r="EU193">
        <v>0</v>
      </c>
      <c r="EV193">
        <v>6.9300000000000098E-2</v>
      </c>
      <c r="EW193">
        <v>0</v>
      </c>
      <c r="EX193">
        <v>0</v>
      </c>
      <c r="EY193">
        <v>0</v>
      </c>
      <c r="EZ193">
        <v>-1</v>
      </c>
      <c r="FA193">
        <v>-1</v>
      </c>
      <c r="FB193">
        <v>-1</v>
      </c>
      <c r="FC193">
        <v>-1</v>
      </c>
      <c r="FD193">
        <v>5.3</v>
      </c>
      <c r="FE193">
        <v>5.7</v>
      </c>
      <c r="FF193">
        <v>2.5878899999999998</v>
      </c>
      <c r="FG193">
        <v>2.5952099999999998</v>
      </c>
      <c r="FH193">
        <v>2.19604</v>
      </c>
      <c r="FI193">
        <v>2.5744600000000002</v>
      </c>
      <c r="FJ193">
        <v>2.4462899999999999</v>
      </c>
      <c r="FK193">
        <v>2.2644000000000002</v>
      </c>
      <c r="FL193">
        <v>33.154499999999999</v>
      </c>
      <c r="FM193">
        <v>24.105</v>
      </c>
      <c r="FN193">
        <v>19</v>
      </c>
      <c r="FO193">
        <v>867.14099999999996</v>
      </c>
      <c r="FP193">
        <v>576.66099999999994</v>
      </c>
      <c r="FQ193">
        <v>18.3155</v>
      </c>
      <c r="FR193">
        <v>26.131599999999999</v>
      </c>
      <c r="FS193">
        <v>30.000299999999999</v>
      </c>
      <c r="FT193">
        <v>26.128</v>
      </c>
      <c r="FU193">
        <v>26.1295</v>
      </c>
      <c r="FV193">
        <v>51.904400000000003</v>
      </c>
      <c r="FW193">
        <v>29.277699999999999</v>
      </c>
      <c r="FX193">
        <v>39.443199999999997</v>
      </c>
      <c r="FY193">
        <v>17.767900000000001</v>
      </c>
      <c r="FZ193">
        <v>1000</v>
      </c>
      <c r="GA193">
        <v>13.638400000000001</v>
      </c>
      <c r="GB193">
        <v>99.7971</v>
      </c>
      <c r="GC193">
        <v>99.779300000000006</v>
      </c>
    </row>
    <row r="194" spans="1:185" x14ac:dyDescent="0.2">
      <c r="A194">
        <v>179</v>
      </c>
      <c r="B194">
        <v>1771106708.0999999</v>
      </c>
      <c r="C194">
        <v>3595</v>
      </c>
      <c r="D194" t="s">
        <v>663</v>
      </c>
      <c r="E194" t="s">
        <v>664</v>
      </c>
      <c r="F194">
        <v>15</v>
      </c>
      <c r="G194">
        <v>1771106700.03333</v>
      </c>
      <c r="H194">
        <f t="shared" si="26"/>
        <v>1.5284284515757469E-3</v>
      </c>
      <c r="I194">
        <v>0</v>
      </c>
      <c r="J194">
        <f t="shared" si="38"/>
        <v>3.1138702747146984E-2</v>
      </c>
      <c r="K194">
        <f t="shared" si="27"/>
        <v>0.55679906116060685</v>
      </c>
      <c r="L194">
        <f t="shared" si="28"/>
        <v>70.002974564574799</v>
      </c>
      <c r="M194">
        <f t="shared" si="29"/>
        <v>1.5458870676573722</v>
      </c>
      <c r="N194">
        <f t="shared" si="30"/>
        <v>2.2083162569489909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26189.408425096452</v>
      </c>
      <c r="T194">
        <f t="shared" si="34"/>
        <v>799.99940000000004</v>
      </c>
      <c r="U194">
        <f t="shared" si="35"/>
        <v>674.39974219981389</v>
      </c>
      <c r="V194">
        <f t="shared" si="36"/>
        <v>0.84300030999999975</v>
      </c>
      <c r="W194">
        <f t="shared" si="37"/>
        <v>0.15870090491999994</v>
      </c>
      <c r="X194">
        <v>1</v>
      </c>
      <c r="Y194">
        <v>1771106700.03333</v>
      </c>
      <c r="Z194">
        <v>997.41006666666703</v>
      </c>
      <c r="AA194">
        <v>1000.0116</v>
      </c>
      <c r="AB194">
        <v>15.45674</v>
      </c>
      <c r="AC194">
        <v>13.5757733333333</v>
      </c>
      <c r="AD194">
        <v>998.05693333333295</v>
      </c>
      <c r="AE194">
        <v>15.38744</v>
      </c>
      <c r="AF194">
        <v>800.01626666666698</v>
      </c>
      <c r="AG194">
        <v>99.950519999999997</v>
      </c>
      <c r="AH194">
        <v>6.3264773333333302E-2</v>
      </c>
      <c r="AI194">
        <v>19.022773333333301</v>
      </c>
      <c r="AJ194">
        <v>999.9</v>
      </c>
      <c r="AK194">
        <v>999.9</v>
      </c>
      <c r="AL194">
        <v>0</v>
      </c>
      <c r="AM194">
        <v>0</v>
      </c>
      <c r="AN194">
        <v>4997.0666666666702</v>
      </c>
      <c r="AO194">
        <v>0</v>
      </c>
      <c r="AP194">
        <v>1.58087</v>
      </c>
      <c r="AQ194">
        <v>-2.6015086666666698</v>
      </c>
      <c r="AR194">
        <v>1013.06866666667</v>
      </c>
      <c r="AS194">
        <v>1013.774</v>
      </c>
      <c r="AT194">
        <v>1.8809659999999999</v>
      </c>
      <c r="AU194">
        <v>1000.0116</v>
      </c>
      <c r="AV194">
        <v>13.5757733333333</v>
      </c>
      <c r="AW194">
        <v>1.54490866666667</v>
      </c>
      <c r="AX194">
        <v>1.3569073333333299</v>
      </c>
      <c r="AY194">
        <v>13.4200066666667</v>
      </c>
      <c r="AZ194">
        <v>11.4443866666667</v>
      </c>
      <c r="BA194">
        <v>799.99940000000004</v>
      </c>
      <c r="BB194">
        <v>0.89998773333333304</v>
      </c>
      <c r="BC194">
        <v>0</v>
      </c>
      <c r="BD194">
        <v>0.1000122</v>
      </c>
      <c r="BE194">
        <v>0</v>
      </c>
      <c r="BF194">
        <v>25</v>
      </c>
      <c r="BG194">
        <v>13190.973333333301</v>
      </c>
      <c r="BH194">
        <v>1771106372.0999999</v>
      </c>
      <c r="BI194" t="s">
        <v>636</v>
      </c>
      <c r="BJ194">
        <v>1771106372.0999999</v>
      </c>
      <c r="BK194">
        <v>1771106352.0999999</v>
      </c>
      <c r="BL194">
        <v>22</v>
      </c>
      <c r="BM194">
        <v>4.3999999999999997E-2</v>
      </c>
      <c r="BN194">
        <v>7.0000000000000001E-3</v>
      </c>
      <c r="BO194">
        <v>-0.64700000000000002</v>
      </c>
      <c r="BP194">
        <v>6.9000000000000006E-2</v>
      </c>
      <c r="BQ194">
        <v>800</v>
      </c>
      <c r="BR194">
        <v>14</v>
      </c>
      <c r="BS194">
        <v>0.31</v>
      </c>
      <c r="BT194">
        <v>0.02</v>
      </c>
      <c r="BU194">
        <v>-2.6247119047619001</v>
      </c>
      <c r="BV194">
        <v>0.403870909090908</v>
      </c>
      <c r="BW194">
        <v>5.5374159748030997E-2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1.90403952380952</v>
      </c>
      <c r="CD194">
        <v>-0.39670207792207901</v>
      </c>
      <c r="CE194">
        <v>4.5021658118879197E-2</v>
      </c>
      <c r="CF194">
        <v>0</v>
      </c>
      <c r="CG194">
        <v>1</v>
      </c>
      <c r="CH194">
        <v>2</v>
      </c>
      <c r="CI194" t="s">
        <v>299</v>
      </c>
      <c r="CJ194">
        <v>3.5325899999999999</v>
      </c>
      <c r="CK194">
        <v>2.70099</v>
      </c>
      <c r="CL194">
        <v>0.181288</v>
      </c>
      <c r="CM194">
        <v>0.178928</v>
      </c>
      <c r="CN194">
        <v>8.7109599999999995E-2</v>
      </c>
      <c r="CO194">
        <v>7.8465400000000005E-2</v>
      </c>
      <c r="CP194">
        <v>28680.2</v>
      </c>
      <c r="CQ194">
        <v>25288</v>
      </c>
      <c r="CR194">
        <v>32423.8</v>
      </c>
      <c r="CS194">
        <v>30727.5</v>
      </c>
      <c r="CT194">
        <v>40099.9</v>
      </c>
      <c r="CU194">
        <v>39844.199999999997</v>
      </c>
      <c r="CV194">
        <v>47364.2</v>
      </c>
      <c r="CW194">
        <v>46877.1</v>
      </c>
      <c r="CX194">
        <v>2.6137600000000001</v>
      </c>
      <c r="CY194">
        <v>2.1217600000000001</v>
      </c>
      <c r="CZ194">
        <v>0</v>
      </c>
      <c r="DA194">
        <v>0</v>
      </c>
      <c r="DB194">
        <v>999.9</v>
      </c>
      <c r="DC194">
        <v>999.9</v>
      </c>
      <c r="DD194">
        <v>45.225999999999999</v>
      </c>
      <c r="DE194">
        <v>28.913</v>
      </c>
      <c r="DF194">
        <v>18.105599999999999</v>
      </c>
      <c r="DG194">
        <v>30.5884</v>
      </c>
      <c r="DH194">
        <v>16.847000000000001</v>
      </c>
      <c r="DI194">
        <v>2</v>
      </c>
      <c r="DJ194">
        <v>-6.4012200000000005E-2</v>
      </c>
      <c r="DK194">
        <v>3.1194500000000001</v>
      </c>
      <c r="DL194">
        <v>20.178100000000001</v>
      </c>
      <c r="DM194">
        <v>5.2509499999999996</v>
      </c>
      <c r="DN194">
        <v>12.033899999999999</v>
      </c>
      <c r="DO194">
        <v>4.9676799999999997</v>
      </c>
      <c r="DP194">
        <v>3.2909999999999999</v>
      </c>
      <c r="DQ194">
        <v>608.6</v>
      </c>
      <c r="DR194">
        <v>9999</v>
      </c>
      <c r="DS194">
        <v>9999</v>
      </c>
      <c r="DT194">
        <v>9999</v>
      </c>
      <c r="DU194">
        <v>1.8711100000000001</v>
      </c>
      <c r="DV194">
        <v>1.87608</v>
      </c>
      <c r="DW194">
        <v>1.8762799999999999</v>
      </c>
      <c r="DX194">
        <v>1.8827799999999999</v>
      </c>
      <c r="DY194">
        <v>1.8755900000000001</v>
      </c>
      <c r="DZ194">
        <v>1.87463</v>
      </c>
      <c r="EA194">
        <v>1.8708199999999999</v>
      </c>
      <c r="EB194">
        <v>1.8746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-0.64700000000000002</v>
      </c>
      <c r="EQ194">
        <v>6.93E-2</v>
      </c>
      <c r="ER194">
        <v>-0.64699999999993496</v>
      </c>
      <c r="ES194">
        <v>0</v>
      </c>
      <c r="ET194">
        <v>0</v>
      </c>
      <c r="EU194">
        <v>0</v>
      </c>
      <c r="EV194">
        <v>6.9300000000000098E-2</v>
      </c>
      <c r="EW194">
        <v>0</v>
      </c>
      <c r="EX194">
        <v>0</v>
      </c>
      <c r="EY194">
        <v>0</v>
      </c>
      <c r="EZ194">
        <v>-1</v>
      </c>
      <c r="FA194">
        <v>-1</v>
      </c>
      <c r="FB194">
        <v>-1</v>
      </c>
      <c r="FC194">
        <v>-1</v>
      </c>
      <c r="FD194">
        <v>5.6</v>
      </c>
      <c r="FE194">
        <v>5.9</v>
      </c>
      <c r="FF194">
        <v>2.5878899999999998</v>
      </c>
      <c r="FG194">
        <v>2.5842299999999998</v>
      </c>
      <c r="FH194">
        <v>2.19604</v>
      </c>
      <c r="FI194">
        <v>2.5744600000000002</v>
      </c>
      <c r="FJ194">
        <v>2.4462899999999999</v>
      </c>
      <c r="FK194">
        <v>2.3046899999999999</v>
      </c>
      <c r="FL194">
        <v>33.154499999999999</v>
      </c>
      <c r="FM194">
        <v>24.14</v>
      </c>
      <c r="FN194">
        <v>19</v>
      </c>
      <c r="FO194">
        <v>866.84400000000005</v>
      </c>
      <c r="FP194">
        <v>576.83699999999999</v>
      </c>
      <c r="FQ194">
        <v>17.658799999999999</v>
      </c>
      <c r="FR194">
        <v>26.127700000000001</v>
      </c>
      <c r="FS194">
        <v>29.999099999999999</v>
      </c>
      <c r="FT194">
        <v>26.125800000000002</v>
      </c>
      <c r="FU194">
        <v>26.127300000000002</v>
      </c>
      <c r="FV194">
        <v>51.9056</v>
      </c>
      <c r="FW194">
        <v>29.002300000000002</v>
      </c>
      <c r="FX194">
        <v>39.443199999999997</v>
      </c>
      <c r="FY194">
        <v>17.699200000000001</v>
      </c>
      <c r="FZ194">
        <v>1000</v>
      </c>
      <c r="GA194">
        <v>13.651400000000001</v>
      </c>
      <c r="GB194">
        <v>99.792900000000003</v>
      </c>
      <c r="GC194">
        <v>99.777299999999997</v>
      </c>
    </row>
    <row r="195" spans="1:185" x14ac:dyDescent="0.2">
      <c r="A195">
        <v>180</v>
      </c>
      <c r="B195">
        <v>1771106723.0999999</v>
      </c>
      <c r="C195">
        <v>3610</v>
      </c>
      <c r="D195" t="s">
        <v>665</v>
      </c>
      <c r="E195" t="s">
        <v>666</v>
      </c>
      <c r="F195">
        <v>15</v>
      </c>
      <c r="G195">
        <v>1771106715.03333</v>
      </c>
      <c r="H195">
        <f t="shared" si="26"/>
        <v>1.4676181768220711E-3</v>
      </c>
      <c r="I195">
        <v>0</v>
      </c>
      <c r="J195">
        <f t="shared" si="38"/>
        <v>3.469637251062075E-2</v>
      </c>
      <c r="K195">
        <f t="shared" si="27"/>
        <v>0.62041465877580182</v>
      </c>
      <c r="L195">
        <f t="shared" si="28"/>
        <v>69.987750497929966</v>
      </c>
      <c r="M195">
        <f t="shared" si="29"/>
        <v>1.5429877038949182</v>
      </c>
      <c r="N195">
        <f t="shared" si="30"/>
        <v>2.204653947179736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26255.684136319473</v>
      </c>
      <c r="T195">
        <f t="shared" si="34"/>
        <v>799.99973333333298</v>
      </c>
      <c r="U195">
        <f t="shared" si="35"/>
        <v>674.40001679991917</v>
      </c>
      <c r="V195">
        <f t="shared" si="36"/>
        <v>0.84300030199999998</v>
      </c>
      <c r="W195">
        <f t="shared" si="37"/>
        <v>0.15870075500000003</v>
      </c>
      <c r="X195">
        <v>1</v>
      </c>
      <c r="Y195">
        <v>1771106715.03333</v>
      </c>
      <c r="Z195">
        <v>997.37699999999995</v>
      </c>
      <c r="AA195">
        <v>999.98220000000003</v>
      </c>
      <c r="AB195">
        <v>15.4277466666667</v>
      </c>
      <c r="AC195">
        <v>13.621546666666701</v>
      </c>
      <c r="AD195">
        <v>998.02393333333305</v>
      </c>
      <c r="AE195">
        <v>15.3584533333333</v>
      </c>
      <c r="AF195">
        <v>800.00893333333295</v>
      </c>
      <c r="AG195">
        <v>99.950746666666703</v>
      </c>
      <c r="AH195">
        <v>6.306204E-2</v>
      </c>
      <c r="AI195">
        <v>18.996173333333299</v>
      </c>
      <c r="AJ195">
        <v>999.9</v>
      </c>
      <c r="AK195">
        <v>999.9</v>
      </c>
      <c r="AL195">
        <v>0</v>
      </c>
      <c r="AM195">
        <v>0</v>
      </c>
      <c r="AN195">
        <v>5007.6000000000004</v>
      </c>
      <c r="AO195">
        <v>0</v>
      </c>
      <c r="AP195">
        <v>1.58087</v>
      </c>
      <c r="AQ195">
        <v>-2.60496066666667</v>
      </c>
      <c r="AR195">
        <v>1013.00533333333</v>
      </c>
      <c r="AS195">
        <v>1013.79333333333</v>
      </c>
      <c r="AT195">
        <v>1.80619666666667</v>
      </c>
      <c r="AU195">
        <v>999.98220000000003</v>
      </c>
      <c r="AV195">
        <v>13.621546666666701</v>
      </c>
      <c r="AW195">
        <v>1.5420160000000001</v>
      </c>
      <c r="AX195">
        <v>1.3614853333333301</v>
      </c>
      <c r="AY195">
        <v>13.391253333333299</v>
      </c>
      <c r="AZ195">
        <v>11.49532</v>
      </c>
      <c r="BA195">
        <v>799.99973333333298</v>
      </c>
      <c r="BB195">
        <v>0.89998993333333299</v>
      </c>
      <c r="BC195">
        <v>0</v>
      </c>
      <c r="BD195">
        <v>0.10001006666666699</v>
      </c>
      <c r="BE195">
        <v>0</v>
      </c>
      <c r="BF195">
        <v>25</v>
      </c>
      <c r="BG195">
        <v>13190.98</v>
      </c>
      <c r="BH195">
        <v>1771106372.0999999</v>
      </c>
      <c r="BI195" t="s">
        <v>636</v>
      </c>
      <c r="BJ195">
        <v>1771106372.0999999</v>
      </c>
      <c r="BK195">
        <v>1771106352.0999999</v>
      </c>
      <c r="BL195">
        <v>22</v>
      </c>
      <c r="BM195">
        <v>4.3999999999999997E-2</v>
      </c>
      <c r="BN195">
        <v>7.0000000000000001E-3</v>
      </c>
      <c r="BO195">
        <v>-0.64700000000000002</v>
      </c>
      <c r="BP195">
        <v>6.9000000000000006E-2</v>
      </c>
      <c r="BQ195">
        <v>800</v>
      </c>
      <c r="BR195">
        <v>14</v>
      </c>
      <c r="BS195">
        <v>0.31</v>
      </c>
      <c r="BT195">
        <v>0.02</v>
      </c>
      <c r="BU195">
        <v>-2.5844085714285701</v>
      </c>
      <c r="BV195">
        <v>-0.27069506493506501</v>
      </c>
      <c r="BW195">
        <v>5.4376277065306601E-2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1.8130252380952401</v>
      </c>
      <c r="CD195">
        <v>-0.105570389610388</v>
      </c>
      <c r="CE195">
        <v>1.44495544894405E-2</v>
      </c>
      <c r="CF195">
        <v>0</v>
      </c>
      <c r="CG195">
        <v>1</v>
      </c>
      <c r="CH195">
        <v>2</v>
      </c>
      <c r="CI195" t="s">
        <v>299</v>
      </c>
      <c r="CJ195">
        <v>3.5325799999999998</v>
      </c>
      <c r="CK195">
        <v>2.7009500000000002</v>
      </c>
      <c r="CL195">
        <v>0.18127699999999999</v>
      </c>
      <c r="CM195">
        <v>0.178927</v>
      </c>
      <c r="CN195">
        <v>8.7069400000000005E-2</v>
      </c>
      <c r="CO195">
        <v>7.8458399999999998E-2</v>
      </c>
      <c r="CP195">
        <v>28681.7</v>
      </c>
      <c r="CQ195">
        <v>25289.599999999999</v>
      </c>
      <c r="CR195">
        <v>32425.1</v>
      </c>
      <c r="CS195">
        <v>30729.4</v>
      </c>
      <c r="CT195">
        <v>40103.199999999997</v>
      </c>
      <c r="CU195">
        <v>39847.4</v>
      </c>
      <c r="CV195">
        <v>47366</v>
      </c>
      <c r="CW195">
        <v>46880.5</v>
      </c>
      <c r="CX195">
        <v>2.61382</v>
      </c>
      <c r="CY195">
        <v>2.1219800000000002</v>
      </c>
      <c r="CZ195">
        <v>0</v>
      </c>
      <c r="DA195">
        <v>0</v>
      </c>
      <c r="DB195">
        <v>999.9</v>
      </c>
      <c r="DC195">
        <v>999.9</v>
      </c>
      <c r="DD195">
        <v>45.225999999999999</v>
      </c>
      <c r="DE195">
        <v>28.913</v>
      </c>
      <c r="DF195">
        <v>18.106100000000001</v>
      </c>
      <c r="DG195">
        <v>30.138400000000001</v>
      </c>
      <c r="DH195">
        <v>16.718800000000002</v>
      </c>
      <c r="DI195">
        <v>2</v>
      </c>
      <c r="DJ195">
        <v>-6.7374000000000003E-2</v>
      </c>
      <c r="DK195">
        <v>2.7069000000000001</v>
      </c>
      <c r="DL195">
        <v>20.1877</v>
      </c>
      <c r="DM195">
        <v>5.2511900000000002</v>
      </c>
      <c r="DN195">
        <v>12.033899999999999</v>
      </c>
      <c r="DO195">
        <v>4.9675599999999998</v>
      </c>
      <c r="DP195">
        <v>3.2909999999999999</v>
      </c>
      <c r="DQ195">
        <v>608.70000000000005</v>
      </c>
      <c r="DR195">
        <v>9999</v>
      </c>
      <c r="DS195">
        <v>9999</v>
      </c>
      <c r="DT195">
        <v>9999</v>
      </c>
      <c r="DU195">
        <v>1.8710800000000001</v>
      </c>
      <c r="DV195">
        <v>1.8760699999999999</v>
      </c>
      <c r="DW195">
        <v>1.8762700000000001</v>
      </c>
      <c r="DX195">
        <v>1.8827799999999999</v>
      </c>
      <c r="DY195">
        <v>1.8755999999999999</v>
      </c>
      <c r="DZ195">
        <v>1.87459</v>
      </c>
      <c r="EA195">
        <v>1.87079</v>
      </c>
      <c r="EB195">
        <v>1.8746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-0.64700000000000002</v>
      </c>
      <c r="EQ195">
        <v>6.93E-2</v>
      </c>
      <c r="ER195">
        <v>-0.64699999999993496</v>
      </c>
      <c r="ES195">
        <v>0</v>
      </c>
      <c r="ET195">
        <v>0</v>
      </c>
      <c r="EU195">
        <v>0</v>
      </c>
      <c r="EV195">
        <v>6.9300000000000098E-2</v>
      </c>
      <c r="EW195">
        <v>0</v>
      </c>
      <c r="EX195">
        <v>0</v>
      </c>
      <c r="EY195">
        <v>0</v>
      </c>
      <c r="EZ195">
        <v>-1</v>
      </c>
      <c r="FA195">
        <v>-1</v>
      </c>
      <c r="FB195">
        <v>-1</v>
      </c>
      <c r="FC195">
        <v>-1</v>
      </c>
      <c r="FD195">
        <v>5.8</v>
      </c>
      <c r="FE195">
        <v>6.2</v>
      </c>
      <c r="FF195">
        <v>2.5878899999999998</v>
      </c>
      <c r="FG195">
        <v>2.5891099999999998</v>
      </c>
      <c r="FH195">
        <v>2.19604</v>
      </c>
      <c r="FI195">
        <v>2.5744600000000002</v>
      </c>
      <c r="FJ195">
        <v>2.4462899999999999</v>
      </c>
      <c r="FK195">
        <v>2.3107899999999999</v>
      </c>
      <c r="FL195">
        <v>33.154499999999999</v>
      </c>
      <c r="FM195">
        <v>24.14</v>
      </c>
      <c r="FN195">
        <v>19</v>
      </c>
      <c r="FO195">
        <v>866.86500000000001</v>
      </c>
      <c r="FP195">
        <v>576.98199999999997</v>
      </c>
      <c r="FQ195">
        <v>17.694299999999998</v>
      </c>
      <c r="FR195">
        <v>26.125</v>
      </c>
      <c r="FS195">
        <v>29.999199999999998</v>
      </c>
      <c r="FT195">
        <v>26.1236</v>
      </c>
      <c r="FU195">
        <v>26.1251</v>
      </c>
      <c r="FV195">
        <v>51.907400000000003</v>
      </c>
      <c r="FW195">
        <v>29.002300000000002</v>
      </c>
      <c r="FX195">
        <v>39.071100000000001</v>
      </c>
      <c r="FY195">
        <v>17.723800000000001</v>
      </c>
      <c r="FZ195">
        <v>1000</v>
      </c>
      <c r="GA195">
        <v>13.651400000000001</v>
      </c>
      <c r="GB195">
        <v>99.796800000000005</v>
      </c>
      <c r="GC195">
        <v>99.784099999999995</v>
      </c>
    </row>
    <row r="196" spans="1:185" x14ac:dyDescent="0.2">
      <c r="A196">
        <v>181</v>
      </c>
      <c r="B196">
        <v>1771106738.0999999</v>
      </c>
      <c r="C196">
        <v>3625</v>
      </c>
      <c r="D196" t="s">
        <v>667</v>
      </c>
      <c r="E196" t="s">
        <v>668</v>
      </c>
      <c r="F196">
        <v>15</v>
      </c>
      <c r="G196">
        <v>1771106730.03333</v>
      </c>
      <c r="H196">
        <f t="shared" si="26"/>
        <v>1.4933106955928644E-3</v>
      </c>
      <c r="I196">
        <v>0</v>
      </c>
      <c r="J196">
        <f t="shared" si="38"/>
        <v>3.1937697454725557E-2</v>
      </c>
      <c r="K196">
        <f t="shared" si="27"/>
        <v>0.57108608867952948</v>
      </c>
      <c r="L196">
        <f t="shared" si="28"/>
        <v>70.020034603570181</v>
      </c>
      <c r="M196">
        <f t="shared" si="29"/>
        <v>1.5418867418322004</v>
      </c>
      <c r="N196">
        <f t="shared" si="30"/>
        <v>2.2020650954570975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26171.427850289503</v>
      </c>
      <c r="T196">
        <f t="shared" si="34"/>
        <v>800.00113333333297</v>
      </c>
      <c r="U196">
        <f t="shared" si="35"/>
        <v>674.40116980030325</v>
      </c>
      <c r="V196">
        <f t="shared" si="36"/>
        <v>0.84300026799999972</v>
      </c>
      <c r="W196">
        <f t="shared" si="37"/>
        <v>0.15870079991999994</v>
      </c>
      <c r="X196">
        <v>1</v>
      </c>
      <c r="Y196">
        <v>1771106730.03333</v>
      </c>
      <c r="Z196">
        <v>997.42846666666696</v>
      </c>
      <c r="AA196">
        <v>1000.0041333333299</v>
      </c>
      <c r="AB196">
        <v>15.4167733333333</v>
      </c>
      <c r="AC196">
        <v>13.5789333333333</v>
      </c>
      <c r="AD196">
        <v>998.07539999999995</v>
      </c>
      <c r="AE196">
        <v>15.3474733333333</v>
      </c>
      <c r="AF196">
        <v>800.00906666666697</v>
      </c>
      <c r="AG196">
        <v>99.950400000000002</v>
      </c>
      <c r="AH196">
        <v>6.3183160000000002E-2</v>
      </c>
      <c r="AI196">
        <v>18.977346666666701</v>
      </c>
      <c r="AJ196">
        <v>999.9</v>
      </c>
      <c r="AK196">
        <v>999.9</v>
      </c>
      <c r="AL196">
        <v>0</v>
      </c>
      <c r="AM196">
        <v>0</v>
      </c>
      <c r="AN196">
        <v>4993.4333333333298</v>
      </c>
      <c r="AO196">
        <v>0</v>
      </c>
      <c r="AP196">
        <v>1.58087</v>
      </c>
      <c r="AQ196">
        <v>-2.5750359999999999</v>
      </c>
      <c r="AR196">
        <v>1013.04466666667</v>
      </c>
      <c r="AS196">
        <v>1013.768</v>
      </c>
      <c r="AT196">
        <v>1.83785666666667</v>
      </c>
      <c r="AU196">
        <v>1000.0041333333299</v>
      </c>
      <c r="AV196">
        <v>13.5789333333333</v>
      </c>
      <c r="AW196">
        <v>1.5409153333333301</v>
      </c>
      <c r="AX196">
        <v>1.3572200000000001</v>
      </c>
      <c r="AY196">
        <v>13.380280000000001</v>
      </c>
      <c r="AZ196">
        <v>11.447886666666699</v>
      </c>
      <c r="BA196">
        <v>800.00113333333297</v>
      </c>
      <c r="BB196">
        <v>0.89998913333333297</v>
      </c>
      <c r="BC196">
        <v>0</v>
      </c>
      <c r="BD196">
        <v>0.1000108</v>
      </c>
      <c r="BE196">
        <v>0</v>
      </c>
      <c r="BF196">
        <v>25</v>
      </c>
      <c r="BG196">
        <v>13191.006666666701</v>
      </c>
      <c r="BH196">
        <v>1771106372.0999999</v>
      </c>
      <c r="BI196" t="s">
        <v>636</v>
      </c>
      <c r="BJ196">
        <v>1771106372.0999999</v>
      </c>
      <c r="BK196">
        <v>1771106352.0999999</v>
      </c>
      <c r="BL196">
        <v>22</v>
      </c>
      <c r="BM196">
        <v>4.3999999999999997E-2</v>
      </c>
      <c r="BN196">
        <v>7.0000000000000001E-3</v>
      </c>
      <c r="BO196">
        <v>-0.64700000000000002</v>
      </c>
      <c r="BP196">
        <v>6.9000000000000006E-2</v>
      </c>
      <c r="BQ196">
        <v>800</v>
      </c>
      <c r="BR196">
        <v>14</v>
      </c>
      <c r="BS196">
        <v>0.31</v>
      </c>
      <c r="BT196">
        <v>0.02</v>
      </c>
      <c r="BU196">
        <v>-2.5810980952381</v>
      </c>
      <c r="BV196">
        <v>0.132197922077917</v>
      </c>
      <c r="BW196">
        <v>3.3519947383048802E-2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1.8277228571428601</v>
      </c>
      <c r="CD196">
        <v>0.160630129870133</v>
      </c>
      <c r="CE196">
        <v>2.2534408852084999E-2</v>
      </c>
      <c r="CF196">
        <v>0</v>
      </c>
      <c r="CG196">
        <v>1</v>
      </c>
      <c r="CH196">
        <v>2</v>
      </c>
      <c r="CI196" t="s">
        <v>299</v>
      </c>
      <c r="CJ196">
        <v>3.53254</v>
      </c>
      <c r="CK196">
        <v>2.7010299999999998</v>
      </c>
      <c r="CL196">
        <v>0.181285</v>
      </c>
      <c r="CM196">
        <v>0.17894399999999999</v>
      </c>
      <c r="CN196">
        <v>8.6957300000000001E-2</v>
      </c>
      <c r="CO196">
        <v>7.8263700000000005E-2</v>
      </c>
      <c r="CP196">
        <v>28682</v>
      </c>
      <c r="CQ196">
        <v>25289.7</v>
      </c>
      <c r="CR196">
        <v>32425.8</v>
      </c>
      <c r="CS196">
        <v>30730</v>
      </c>
      <c r="CT196">
        <v>40108.9</v>
      </c>
      <c r="CU196">
        <v>39856.400000000001</v>
      </c>
      <c r="CV196">
        <v>47366.8</v>
      </c>
      <c r="CW196">
        <v>46881</v>
      </c>
      <c r="CX196">
        <v>2.6138599999999999</v>
      </c>
      <c r="CY196">
        <v>2.12182</v>
      </c>
      <c r="CZ196">
        <v>0</v>
      </c>
      <c r="DA196">
        <v>0</v>
      </c>
      <c r="DB196">
        <v>999.9</v>
      </c>
      <c r="DC196">
        <v>999.9</v>
      </c>
      <c r="DD196">
        <v>45.103999999999999</v>
      </c>
      <c r="DE196">
        <v>28.913</v>
      </c>
      <c r="DF196">
        <v>18.0566</v>
      </c>
      <c r="DG196">
        <v>30.558399999999999</v>
      </c>
      <c r="DH196">
        <v>16.911100000000001</v>
      </c>
      <c r="DI196">
        <v>2</v>
      </c>
      <c r="DJ196">
        <v>-6.7739800000000003E-2</v>
      </c>
      <c r="DK196">
        <v>2.6615899999999999</v>
      </c>
      <c r="DL196">
        <v>20.188600000000001</v>
      </c>
      <c r="DM196">
        <v>5.2517899999999997</v>
      </c>
      <c r="DN196">
        <v>12.033899999999999</v>
      </c>
      <c r="DO196">
        <v>4.9676400000000003</v>
      </c>
      <c r="DP196">
        <v>3.2909999999999999</v>
      </c>
      <c r="DQ196">
        <v>608.70000000000005</v>
      </c>
      <c r="DR196">
        <v>9999</v>
      </c>
      <c r="DS196">
        <v>9999</v>
      </c>
      <c r="DT196">
        <v>9999</v>
      </c>
      <c r="DU196">
        <v>1.87117</v>
      </c>
      <c r="DV196">
        <v>1.8761099999999999</v>
      </c>
      <c r="DW196">
        <v>1.8763300000000001</v>
      </c>
      <c r="DX196">
        <v>1.88279</v>
      </c>
      <c r="DY196">
        <v>1.87561</v>
      </c>
      <c r="DZ196">
        <v>1.87466</v>
      </c>
      <c r="EA196">
        <v>1.8708400000000001</v>
      </c>
      <c r="EB196">
        <v>1.8746499999999999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-0.64700000000000002</v>
      </c>
      <c r="EQ196">
        <v>6.93E-2</v>
      </c>
      <c r="ER196">
        <v>-0.64699999999993496</v>
      </c>
      <c r="ES196">
        <v>0</v>
      </c>
      <c r="ET196">
        <v>0</v>
      </c>
      <c r="EU196">
        <v>0</v>
      </c>
      <c r="EV196">
        <v>6.9300000000000098E-2</v>
      </c>
      <c r="EW196">
        <v>0</v>
      </c>
      <c r="EX196">
        <v>0</v>
      </c>
      <c r="EY196">
        <v>0</v>
      </c>
      <c r="EZ196">
        <v>-1</v>
      </c>
      <c r="FA196">
        <v>-1</v>
      </c>
      <c r="FB196">
        <v>-1</v>
      </c>
      <c r="FC196">
        <v>-1</v>
      </c>
      <c r="FD196">
        <v>6.1</v>
      </c>
      <c r="FE196">
        <v>6.4</v>
      </c>
      <c r="FF196">
        <v>2.5878899999999998</v>
      </c>
      <c r="FG196">
        <v>2.5952099999999998</v>
      </c>
      <c r="FH196">
        <v>2.19604</v>
      </c>
      <c r="FI196">
        <v>2.5744600000000002</v>
      </c>
      <c r="FJ196">
        <v>2.4462899999999999</v>
      </c>
      <c r="FK196">
        <v>2.2753899999999998</v>
      </c>
      <c r="FL196">
        <v>33.154499999999999</v>
      </c>
      <c r="FM196">
        <v>24.1313</v>
      </c>
      <c r="FN196">
        <v>19</v>
      </c>
      <c r="FO196">
        <v>866.86800000000005</v>
      </c>
      <c r="FP196">
        <v>576.83500000000004</v>
      </c>
      <c r="FQ196">
        <v>17.749600000000001</v>
      </c>
      <c r="FR196">
        <v>26.121500000000001</v>
      </c>
      <c r="FS196">
        <v>29.9999</v>
      </c>
      <c r="FT196">
        <v>26.121400000000001</v>
      </c>
      <c r="FU196">
        <v>26.122900000000001</v>
      </c>
      <c r="FV196">
        <v>51.901800000000001</v>
      </c>
      <c r="FW196">
        <v>28.4406</v>
      </c>
      <c r="FX196">
        <v>39.071100000000001</v>
      </c>
      <c r="FY196">
        <v>17.7714</v>
      </c>
      <c r="FZ196">
        <v>1000</v>
      </c>
      <c r="GA196">
        <v>13.651400000000001</v>
      </c>
      <c r="GB196">
        <v>99.798599999999993</v>
      </c>
      <c r="GC196">
        <v>99.785499999999999</v>
      </c>
    </row>
    <row r="197" spans="1:185" x14ac:dyDescent="0.2">
      <c r="A197">
        <v>182</v>
      </c>
      <c r="B197">
        <v>1771106753.0999999</v>
      </c>
      <c r="C197">
        <v>3640</v>
      </c>
      <c r="D197" t="s">
        <v>669</v>
      </c>
      <c r="E197" t="s">
        <v>670</v>
      </c>
      <c r="F197">
        <v>15</v>
      </c>
      <c r="G197">
        <v>1771106745.03333</v>
      </c>
      <c r="H197">
        <f t="shared" si="26"/>
        <v>1.4482949211002264E-3</v>
      </c>
      <c r="I197">
        <v>0</v>
      </c>
      <c r="J197">
        <f t="shared" si="38"/>
        <v>3.2941380384241783E-2</v>
      </c>
      <c r="K197">
        <f t="shared" si="27"/>
        <v>0.58903319833902767</v>
      </c>
      <c r="L197">
        <f t="shared" si="28"/>
        <v>70.008166821843048</v>
      </c>
      <c r="M197">
        <f t="shared" si="29"/>
        <v>1.5410982070330062</v>
      </c>
      <c r="N197">
        <f t="shared" si="30"/>
        <v>2.2013120425718284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26209.231359709189</v>
      </c>
      <c r="T197">
        <f t="shared" si="34"/>
        <v>800.00146666666706</v>
      </c>
      <c r="U197">
        <f t="shared" si="35"/>
        <v>674.40141080032026</v>
      </c>
      <c r="V197">
        <f t="shared" si="36"/>
        <v>0.84300021800000025</v>
      </c>
      <c r="W197">
        <f t="shared" si="37"/>
        <v>0.15870080484000007</v>
      </c>
      <c r="X197">
        <v>1</v>
      </c>
      <c r="Y197">
        <v>1771106745.03333</v>
      </c>
      <c r="Z197">
        <v>997.45206666666695</v>
      </c>
      <c r="AA197">
        <v>999.99406666666698</v>
      </c>
      <c r="AB197">
        <v>15.408673333333301</v>
      </c>
      <c r="AC197">
        <v>13.6262333333333</v>
      </c>
      <c r="AD197">
        <v>998.09900000000005</v>
      </c>
      <c r="AE197">
        <v>15.339373333333301</v>
      </c>
      <c r="AF197">
        <v>800.01493333333303</v>
      </c>
      <c r="AG197">
        <v>99.951686666666703</v>
      </c>
      <c r="AH197">
        <v>6.3296693333333306E-2</v>
      </c>
      <c r="AI197">
        <v>18.971866666666699</v>
      </c>
      <c r="AJ197">
        <v>999.9</v>
      </c>
      <c r="AK197">
        <v>999.9</v>
      </c>
      <c r="AL197">
        <v>0</v>
      </c>
      <c r="AM197">
        <v>0</v>
      </c>
      <c r="AN197">
        <v>4999.5333333333301</v>
      </c>
      <c r="AO197">
        <v>0</v>
      </c>
      <c r="AP197">
        <v>1.58087</v>
      </c>
      <c r="AQ197">
        <v>-2.54186933333333</v>
      </c>
      <c r="AR197">
        <v>1013.062</v>
      </c>
      <c r="AS197">
        <v>1013.80933333333</v>
      </c>
      <c r="AT197">
        <v>1.7824599999999999</v>
      </c>
      <c r="AU197">
        <v>999.99406666666698</v>
      </c>
      <c r="AV197">
        <v>13.6262333333333</v>
      </c>
      <c r="AW197">
        <v>1.5401246666666699</v>
      </c>
      <c r="AX197">
        <v>1.361964</v>
      </c>
      <c r="AY197">
        <v>13.3724133333333</v>
      </c>
      <c r="AZ197">
        <v>11.500626666666699</v>
      </c>
      <c r="BA197">
        <v>800.00146666666706</v>
      </c>
      <c r="BB197">
        <v>0.899988866666667</v>
      </c>
      <c r="BC197">
        <v>0</v>
      </c>
      <c r="BD197">
        <v>0.100011</v>
      </c>
      <c r="BE197">
        <v>0</v>
      </c>
      <c r="BF197">
        <v>25</v>
      </c>
      <c r="BG197">
        <v>13191.0133333333</v>
      </c>
      <c r="BH197">
        <v>1771106372.0999999</v>
      </c>
      <c r="BI197" t="s">
        <v>636</v>
      </c>
      <c r="BJ197">
        <v>1771106372.0999999</v>
      </c>
      <c r="BK197">
        <v>1771106352.0999999</v>
      </c>
      <c r="BL197">
        <v>22</v>
      </c>
      <c r="BM197">
        <v>4.3999999999999997E-2</v>
      </c>
      <c r="BN197">
        <v>7.0000000000000001E-3</v>
      </c>
      <c r="BO197">
        <v>-0.64700000000000002</v>
      </c>
      <c r="BP197">
        <v>6.9000000000000006E-2</v>
      </c>
      <c r="BQ197">
        <v>800</v>
      </c>
      <c r="BR197">
        <v>14</v>
      </c>
      <c r="BS197">
        <v>0.31</v>
      </c>
      <c r="BT197">
        <v>0.02</v>
      </c>
      <c r="BU197">
        <v>-2.5502745</v>
      </c>
      <c r="BV197">
        <v>7.7081954887221096E-2</v>
      </c>
      <c r="BW197">
        <v>3.6739468895861799E-2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1.7987495</v>
      </c>
      <c r="CD197">
        <v>-0.294993834586467</v>
      </c>
      <c r="CE197">
        <v>3.0517944798921198E-2</v>
      </c>
      <c r="CF197">
        <v>0</v>
      </c>
      <c r="CG197">
        <v>1</v>
      </c>
      <c r="CH197">
        <v>2</v>
      </c>
      <c r="CI197" t="s">
        <v>299</v>
      </c>
      <c r="CJ197">
        <v>3.5325500000000001</v>
      </c>
      <c r="CK197">
        <v>2.7013199999999999</v>
      </c>
      <c r="CL197">
        <v>0.181287</v>
      </c>
      <c r="CM197">
        <v>0.17893800000000001</v>
      </c>
      <c r="CN197">
        <v>8.7055999999999994E-2</v>
      </c>
      <c r="CO197">
        <v>7.8568299999999994E-2</v>
      </c>
      <c r="CP197">
        <v>28682.1</v>
      </c>
      <c r="CQ197">
        <v>25290.400000000001</v>
      </c>
      <c r="CR197">
        <v>32425.9</v>
      </c>
      <c r="CS197">
        <v>30730.7</v>
      </c>
      <c r="CT197">
        <v>40105</v>
      </c>
      <c r="CU197">
        <v>39843.699999999997</v>
      </c>
      <c r="CV197">
        <v>47367.4</v>
      </c>
      <c r="CW197">
        <v>46881.9</v>
      </c>
      <c r="CX197">
        <v>2.6139000000000001</v>
      </c>
      <c r="CY197">
        <v>2.1221000000000001</v>
      </c>
      <c r="CZ197">
        <v>0</v>
      </c>
      <c r="DA197">
        <v>0</v>
      </c>
      <c r="DB197">
        <v>999.9</v>
      </c>
      <c r="DC197">
        <v>999.9</v>
      </c>
      <c r="DD197">
        <v>45.055999999999997</v>
      </c>
      <c r="DE197">
        <v>28.922999999999998</v>
      </c>
      <c r="DF197">
        <v>18.049299999999999</v>
      </c>
      <c r="DG197">
        <v>30.618400000000001</v>
      </c>
      <c r="DH197">
        <v>16.879000000000001</v>
      </c>
      <c r="DI197">
        <v>2</v>
      </c>
      <c r="DJ197">
        <v>-6.8276400000000001E-2</v>
      </c>
      <c r="DK197">
        <v>2.5924200000000002</v>
      </c>
      <c r="DL197">
        <v>20.189900000000002</v>
      </c>
      <c r="DM197">
        <v>5.2508299999999997</v>
      </c>
      <c r="DN197">
        <v>12.033899999999999</v>
      </c>
      <c r="DO197">
        <v>4.96732</v>
      </c>
      <c r="DP197">
        <v>3.2909999999999999</v>
      </c>
      <c r="DQ197">
        <v>608.70000000000005</v>
      </c>
      <c r="DR197">
        <v>9999</v>
      </c>
      <c r="DS197">
        <v>9999</v>
      </c>
      <c r="DT197">
        <v>9999</v>
      </c>
      <c r="DU197">
        <v>1.8711500000000001</v>
      </c>
      <c r="DV197">
        <v>1.87609</v>
      </c>
      <c r="DW197">
        <v>1.87632</v>
      </c>
      <c r="DX197">
        <v>1.88279</v>
      </c>
      <c r="DY197">
        <v>1.87561</v>
      </c>
      <c r="DZ197">
        <v>1.8746400000000001</v>
      </c>
      <c r="EA197">
        <v>1.87086</v>
      </c>
      <c r="EB197">
        <v>1.87463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-0.64700000000000002</v>
      </c>
      <c r="EQ197">
        <v>6.93E-2</v>
      </c>
      <c r="ER197">
        <v>-0.64699999999993496</v>
      </c>
      <c r="ES197">
        <v>0</v>
      </c>
      <c r="ET197">
        <v>0</v>
      </c>
      <c r="EU197">
        <v>0</v>
      </c>
      <c r="EV197">
        <v>6.9300000000000098E-2</v>
      </c>
      <c r="EW197">
        <v>0</v>
      </c>
      <c r="EX197">
        <v>0</v>
      </c>
      <c r="EY197">
        <v>0</v>
      </c>
      <c r="EZ197">
        <v>-1</v>
      </c>
      <c r="FA197">
        <v>-1</v>
      </c>
      <c r="FB197">
        <v>-1</v>
      </c>
      <c r="FC197">
        <v>-1</v>
      </c>
      <c r="FD197">
        <v>6.3</v>
      </c>
      <c r="FE197">
        <v>6.7</v>
      </c>
      <c r="FF197">
        <v>2.5878899999999998</v>
      </c>
      <c r="FG197">
        <v>2.5927699999999998</v>
      </c>
      <c r="FH197">
        <v>2.19604</v>
      </c>
      <c r="FI197">
        <v>2.5744600000000002</v>
      </c>
      <c r="FJ197">
        <v>2.4462899999999999</v>
      </c>
      <c r="FK197">
        <v>2.2875999999999999</v>
      </c>
      <c r="FL197">
        <v>33.176900000000003</v>
      </c>
      <c r="FM197">
        <v>24.1313</v>
      </c>
      <c r="FN197">
        <v>19</v>
      </c>
      <c r="FO197">
        <v>866.88300000000004</v>
      </c>
      <c r="FP197">
        <v>577.04999999999995</v>
      </c>
      <c r="FQ197">
        <v>17.811199999999999</v>
      </c>
      <c r="FR197">
        <v>26.118400000000001</v>
      </c>
      <c r="FS197">
        <v>29.9999</v>
      </c>
      <c r="FT197">
        <v>26.12</v>
      </c>
      <c r="FU197">
        <v>26.122900000000001</v>
      </c>
      <c r="FV197">
        <v>51.905700000000003</v>
      </c>
      <c r="FW197">
        <v>28.4406</v>
      </c>
      <c r="FX197">
        <v>39.071100000000001</v>
      </c>
      <c r="FY197">
        <v>17.830500000000001</v>
      </c>
      <c r="FZ197">
        <v>1000</v>
      </c>
      <c r="GA197">
        <v>13.651400000000001</v>
      </c>
      <c r="GB197">
        <v>99.799499999999995</v>
      </c>
      <c r="GC197">
        <v>99.787599999999998</v>
      </c>
    </row>
    <row r="198" spans="1:185" x14ac:dyDescent="0.2">
      <c r="A198">
        <v>183</v>
      </c>
      <c r="B198">
        <v>1771106768.0999999</v>
      </c>
      <c r="C198">
        <v>3655</v>
      </c>
      <c r="D198" t="s">
        <v>671</v>
      </c>
      <c r="E198" t="s">
        <v>672</v>
      </c>
      <c r="F198">
        <v>15</v>
      </c>
      <c r="G198">
        <v>1771106760.03333</v>
      </c>
      <c r="H198">
        <f t="shared" si="26"/>
        <v>1.4478215239007105E-3</v>
      </c>
      <c r="I198">
        <v>0</v>
      </c>
      <c r="J198">
        <f t="shared" si="38"/>
        <v>3.3478009659267338E-2</v>
      </c>
      <c r="K198">
        <f t="shared" si="27"/>
        <v>0.59862880284933118</v>
      </c>
      <c r="L198">
        <f t="shared" si="28"/>
        <v>70.055190901356127</v>
      </c>
      <c r="M198">
        <f t="shared" si="29"/>
        <v>1.542609556123101</v>
      </c>
      <c r="N198">
        <f t="shared" si="30"/>
        <v>2.201991795718937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26220.193274152276</v>
      </c>
      <c r="T198">
        <f t="shared" si="34"/>
        <v>800.00059999999996</v>
      </c>
      <c r="U198">
        <f t="shared" si="35"/>
        <v>674.40086580027003</v>
      </c>
      <c r="V198">
        <f t="shared" si="36"/>
        <v>0.84300045000000001</v>
      </c>
      <c r="W198">
        <f t="shared" si="37"/>
        <v>0.158701125</v>
      </c>
      <c r="X198">
        <v>1</v>
      </c>
      <c r="Y198">
        <v>1771106760.03333</v>
      </c>
      <c r="Z198">
        <v>997.44206666666696</v>
      </c>
      <c r="AA198">
        <v>999.99546666666697</v>
      </c>
      <c r="AB198">
        <v>15.423693333333301</v>
      </c>
      <c r="AC198">
        <v>13.6418533333333</v>
      </c>
      <c r="AD198">
        <v>998.08906666666701</v>
      </c>
      <c r="AE198">
        <v>15.3543933333333</v>
      </c>
      <c r="AF198">
        <v>800.010533333333</v>
      </c>
      <c r="AG198">
        <v>99.952039999999997</v>
      </c>
      <c r="AH198">
        <v>6.3534919999999995E-2</v>
      </c>
      <c r="AI198">
        <v>18.9768133333333</v>
      </c>
      <c r="AJ198">
        <v>999.9</v>
      </c>
      <c r="AK198">
        <v>999.9</v>
      </c>
      <c r="AL198">
        <v>0</v>
      </c>
      <c r="AM198">
        <v>0</v>
      </c>
      <c r="AN198">
        <v>5001.3999999999996</v>
      </c>
      <c r="AO198">
        <v>0</v>
      </c>
      <c r="AP198">
        <v>1.58087</v>
      </c>
      <c r="AQ198">
        <v>-2.5537926666666699</v>
      </c>
      <c r="AR198">
        <v>1013.06666666667</v>
      </c>
      <c r="AS198">
        <v>1013.826</v>
      </c>
      <c r="AT198">
        <v>1.78183333333333</v>
      </c>
      <c r="AU198">
        <v>999.99546666666697</v>
      </c>
      <c r="AV198">
        <v>13.6418533333333</v>
      </c>
      <c r="AW198">
        <v>1.5416273333333299</v>
      </c>
      <c r="AX198">
        <v>1.3635313333333301</v>
      </c>
      <c r="AY198">
        <v>13.3873933333333</v>
      </c>
      <c r="AZ198">
        <v>11.518026666666699</v>
      </c>
      <c r="BA198">
        <v>800.00059999999996</v>
      </c>
      <c r="BB198">
        <v>0.89998500000000003</v>
      </c>
      <c r="BC198">
        <v>0</v>
      </c>
      <c r="BD198">
        <v>0.10001500000000001</v>
      </c>
      <c r="BE198">
        <v>0</v>
      </c>
      <c r="BF198">
        <v>25</v>
      </c>
      <c r="BG198">
        <v>13190.98</v>
      </c>
      <c r="BH198">
        <v>1771106372.0999999</v>
      </c>
      <c r="BI198" t="s">
        <v>636</v>
      </c>
      <c r="BJ198">
        <v>1771106372.0999999</v>
      </c>
      <c r="BK198">
        <v>1771106352.0999999</v>
      </c>
      <c r="BL198">
        <v>22</v>
      </c>
      <c r="BM198">
        <v>4.3999999999999997E-2</v>
      </c>
      <c r="BN198">
        <v>7.0000000000000001E-3</v>
      </c>
      <c r="BO198">
        <v>-0.64700000000000002</v>
      </c>
      <c r="BP198">
        <v>6.9000000000000006E-2</v>
      </c>
      <c r="BQ198">
        <v>800</v>
      </c>
      <c r="BR198">
        <v>14</v>
      </c>
      <c r="BS198">
        <v>0.31</v>
      </c>
      <c r="BT198">
        <v>0.02</v>
      </c>
      <c r="BU198">
        <v>-2.5472419047619099</v>
      </c>
      <c r="BV198">
        <v>-3.0845454545458499E-2</v>
      </c>
      <c r="BW198">
        <v>2.316873706796E-2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1.77633285714286</v>
      </c>
      <c r="CD198">
        <v>6.4080000000002704E-2</v>
      </c>
      <c r="CE198">
        <v>8.0639226794155198E-3</v>
      </c>
      <c r="CF198">
        <v>1</v>
      </c>
      <c r="CG198">
        <v>2</v>
      </c>
      <c r="CH198">
        <v>2</v>
      </c>
      <c r="CI198" t="s">
        <v>322</v>
      </c>
      <c r="CJ198">
        <v>3.5325000000000002</v>
      </c>
      <c r="CK198">
        <v>2.7013199999999999</v>
      </c>
      <c r="CL198">
        <v>0.181287</v>
      </c>
      <c r="CM198">
        <v>0.178952</v>
      </c>
      <c r="CN198">
        <v>8.7092299999999997E-2</v>
      </c>
      <c r="CO198">
        <v>7.8370899999999993E-2</v>
      </c>
      <c r="CP198">
        <v>28681.3</v>
      </c>
      <c r="CQ198">
        <v>25290.2</v>
      </c>
      <c r="CR198">
        <v>32425</v>
      </c>
      <c r="CS198">
        <v>30730.9</v>
      </c>
      <c r="CT198">
        <v>40102.1</v>
      </c>
      <c r="CU198">
        <v>39852.5</v>
      </c>
      <c r="CV198">
        <v>47365.9</v>
      </c>
      <c r="CW198">
        <v>46882</v>
      </c>
      <c r="CX198">
        <v>2.6139800000000002</v>
      </c>
      <c r="CY198">
        <v>2.1218400000000002</v>
      </c>
      <c r="CZ198">
        <v>0</v>
      </c>
      <c r="DA198">
        <v>0</v>
      </c>
      <c r="DB198">
        <v>999.9</v>
      </c>
      <c r="DC198">
        <v>999.9</v>
      </c>
      <c r="DD198">
        <v>44.981999999999999</v>
      </c>
      <c r="DE198">
        <v>28.913</v>
      </c>
      <c r="DF198">
        <v>18.0077</v>
      </c>
      <c r="DG198">
        <v>30.4084</v>
      </c>
      <c r="DH198">
        <v>16.738800000000001</v>
      </c>
      <c r="DI198">
        <v>2</v>
      </c>
      <c r="DJ198">
        <v>-6.8682900000000005E-2</v>
      </c>
      <c r="DK198">
        <v>2.5671400000000002</v>
      </c>
      <c r="DL198">
        <v>20.190300000000001</v>
      </c>
      <c r="DM198">
        <v>5.25047</v>
      </c>
      <c r="DN198">
        <v>12.033899999999999</v>
      </c>
      <c r="DO198">
        <v>4.96732</v>
      </c>
      <c r="DP198">
        <v>3.2909999999999999</v>
      </c>
      <c r="DQ198">
        <v>608.70000000000005</v>
      </c>
      <c r="DR198">
        <v>9999</v>
      </c>
      <c r="DS198">
        <v>9999</v>
      </c>
      <c r="DT198">
        <v>9999</v>
      </c>
      <c r="DU198">
        <v>1.8711899999999999</v>
      </c>
      <c r="DV198">
        <v>1.8761699999999999</v>
      </c>
      <c r="DW198">
        <v>1.87635</v>
      </c>
      <c r="DX198">
        <v>1.8828400000000001</v>
      </c>
      <c r="DY198">
        <v>1.8756200000000001</v>
      </c>
      <c r="DZ198">
        <v>1.87469</v>
      </c>
      <c r="EA198">
        <v>1.87087</v>
      </c>
      <c r="EB198">
        <v>1.8746799999999999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-0.64700000000000002</v>
      </c>
      <c r="EQ198">
        <v>6.93E-2</v>
      </c>
      <c r="ER198">
        <v>-0.64699999999993496</v>
      </c>
      <c r="ES198">
        <v>0</v>
      </c>
      <c r="ET198">
        <v>0</v>
      </c>
      <c r="EU198">
        <v>0</v>
      </c>
      <c r="EV198">
        <v>6.9300000000000098E-2</v>
      </c>
      <c r="EW198">
        <v>0</v>
      </c>
      <c r="EX198">
        <v>0</v>
      </c>
      <c r="EY198">
        <v>0</v>
      </c>
      <c r="EZ198">
        <v>-1</v>
      </c>
      <c r="FA198">
        <v>-1</v>
      </c>
      <c r="FB198">
        <v>-1</v>
      </c>
      <c r="FC198">
        <v>-1</v>
      </c>
      <c r="FD198">
        <v>6.6</v>
      </c>
      <c r="FE198">
        <v>6.9</v>
      </c>
      <c r="FF198">
        <v>2.5878899999999998</v>
      </c>
      <c r="FG198">
        <v>2.5866699999999998</v>
      </c>
      <c r="FH198">
        <v>2.19604</v>
      </c>
      <c r="FI198">
        <v>2.5756800000000002</v>
      </c>
      <c r="FJ198">
        <v>2.4462899999999999</v>
      </c>
      <c r="FK198">
        <v>2.32056</v>
      </c>
      <c r="FL198">
        <v>33.176900000000003</v>
      </c>
      <c r="FM198">
        <v>24.14</v>
      </c>
      <c r="FN198">
        <v>19</v>
      </c>
      <c r="FO198">
        <v>866.94399999999996</v>
      </c>
      <c r="FP198">
        <v>576.82600000000002</v>
      </c>
      <c r="FQ198">
        <v>17.865200000000002</v>
      </c>
      <c r="FR198">
        <v>26.116199999999999</v>
      </c>
      <c r="FS198">
        <v>30.0001</v>
      </c>
      <c r="FT198">
        <v>26.119199999999999</v>
      </c>
      <c r="FU198">
        <v>26.120699999999999</v>
      </c>
      <c r="FV198">
        <v>51.902200000000001</v>
      </c>
      <c r="FW198">
        <v>28.4406</v>
      </c>
      <c r="FX198">
        <v>38.698799999999999</v>
      </c>
      <c r="FY198">
        <v>17.879100000000001</v>
      </c>
      <c r="FZ198">
        <v>1000</v>
      </c>
      <c r="GA198">
        <v>13.651400000000001</v>
      </c>
      <c r="GB198">
        <v>99.796499999999995</v>
      </c>
      <c r="GC198">
        <v>99.787999999999997</v>
      </c>
    </row>
    <row r="199" spans="1:185" x14ac:dyDescent="0.2">
      <c r="A199">
        <v>184</v>
      </c>
      <c r="B199">
        <v>1771106783.0999999</v>
      </c>
      <c r="C199">
        <v>3670</v>
      </c>
      <c r="D199" t="s">
        <v>673</v>
      </c>
      <c r="E199" t="s">
        <v>674</v>
      </c>
      <c r="F199">
        <v>15</v>
      </c>
      <c r="G199">
        <v>1771106775.03333</v>
      </c>
      <c r="H199">
        <f t="shared" si="26"/>
        <v>1.4843914928380959E-3</v>
      </c>
      <c r="I199">
        <v>0</v>
      </c>
      <c r="J199">
        <f t="shared" si="38"/>
        <v>3.0463250036345448E-2</v>
      </c>
      <c r="K199">
        <f t="shared" si="27"/>
        <v>0.54472111949789126</v>
      </c>
      <c r="L199">
        <f t="shared" si="28"/>
        <v>69.963890358062415</v>
      </c>
      <c r="M199">
        <f t="shared" si="29"/>
        <v>1.5413153048565864</v>
      </c>
      <c r="N199">
        <f t="shared" si="30"/>
        <v>2.203015436918125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26200.672539616829</v>
      </c>
      <c r="T199">
        <f t="shared" si="34"/>
        <v>799.99933333333297</v>
      </c>
      <c r="U199">
        <f t="shared" si="35"/>
        <v>674.39978519971032</v>
      </c>
      <c r="V199">
        <f t="shared" si="36"/>
        <v>0.84300043399999991</v>
      </c>
      <c r="W199">
        <f t="shared" si="37"/>
        <v>0.15870108500000002</v>
      </c>
      <c r="X199">
        <v>1</v>
      </c>
      <c r="Y199">
        <v>1771106775.03333</v>
      </c>
      <c r="Z199">
        <v>997.47013333333302</v>
      </c>
      <c r="AA199">
        <v>1000.0018</v>
      </c>
      <c r="AB199">
        <v>15.4107133333333</v>
      </c>
      <c r="AC199">
        <v>13.58384</v>
      </c>
      <c r="AD199">
        <v>998.11706666666703</v>
      </c>
      <c r="AE199">
        <v>15.3414133333333</v>
      </c>
      <c r="AF199">
        <v>800.00946666666698</v>
      </c>
      <c r="AG199">
        <v>99.952566666666698</v>
      </c>
      <c r="AH199">
        <v>6.3264626666666698E-2</v>
      </c>
      <c r="AI199">
        <v>18.984259999999999</v>
      </c>
      <c r="AJ199">
        <v>999.9</v>
      </c>
      <c r="AK199">
        <v>999.9</v>
      </c>
      <c r="AL199">
        <v>0</v>
      </c>
      <c r="AM199">
        <v>0</v>
      </c>
      <c r="AN199">
        <v>4998.2666666666701</v>
      </c>
      <c r="AO199">
        <v>0</v>
      </c>
      <c r="AP199">
        <v>1.58087</v>
      </c>
      <c r="AQ199">
        <v>-2.5311400000000002</v>
      </c>
      <c r="AR199">
        <v>1013.08066666667</v>
      </c>
      <c r="AS199">
        <v>1013.7713333333299</v>
      </c>
      <c r="AT199">
        <v>1.8268693333333299</v>
      </c>
      <c r="AU199">
        <v>1000.0018</v>
      </c>
      <c r="AV199">
        <v>13.58384</v>
      </c>
      <c r="AW199">
        <v>1.54034</v>
      </c>
      <c r="AX199">
        <v>1.3577393333333301</v>
      </c>
      <c r="AY199">
        <v>13.3745666666667</v>
      </c>
      <c r="AZ199">
        <v>11.4537</v>
      </c>
      <c r="BA199">
        <v>799.99933333333297</v>
      </c>
      <c r="BB199">
        <v>0.89998553333333298</v>
      </c>
      <c r="BC199">
        <v>0</v>
      </c>
      <c r="BD199">
        <v>0.100014466666667</v>
      </c>
      <c r="BE199">
        <v>0</v>
      </c>
      <c r="BF199">
        <v>25</v>
      </c>
      <c r="BG199">
        <v>13190.96</v>
      </c>
      <c r="BH199">
        <v>1771106372.0999999</v>
      </c>
      <c r="BI199" t="s">
        <v>636</v>
      </c>
      <c r="BJ199">
        <v>1771106372.0999999</v>
      </c>
      <c r="BK199">
        <v>1771106352.0999999</v>
      </c>
      <c r="BL199">
        <v>22</v>
      </c>
      <c r="BM199">
        <v>4.3999999999999997E-2</v>
      </c>
      <c r="BN199">
        <v>7.0000000000000001E-3</v>
      </c>
      <c r="BO199">
        <v>-0.64700000000000002</v>
      </c>
      <c r="BP199">
        <v>6.9000000000000006E-2</v>
      </c>
      <c r="BQ199">
        <v>800</v>
      </c>
      <c r="BR199">
        <v>14</v>
      </c>
      <c r="BS199">
        <v>0.31</v>
      </c>
      <c r="BT199">
        <v>0.02</v>
      </c>
      <c r="BU199">
        <v>-2.546027</v>
      </c>
      <c r="BV199">
        <v>0.262748571428565</v>
      </c>
      <c r="BW199">
        <v>7.4033766627127698E-2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1.8179395</v>
      </c>
      <c r="CD199">
        <v>7.8741203007518704E-2</v>
      </c>
      <c r="CE199">
        <v>2.2805402753514399E-2</v>
      </c>
      <c r="CF199">
        <v>1</v>
      </c>
      <c r="CG199">
        <v>2</v>
      </c>
      <c r="CH199">
        <v>2</v>
      </c>
      <c r="CI199" t="s">
        <v>322</v>
      </c>
      <c r="CJ199">
        <v>3.5325199999999999</v>
      </c>
      <c r="CK199">
        <v>2.7012999999999998</v>
      </c>
      <c r="CL199">
        <v>0.18129400000000001</v>
      </c>
      <c r="CM199">
        <v>0.17893600000000001</v>
      </c>
      <c r="CN199">
        <v>8.6990899999999996E-2</v>
      </c>
      <c r="CO199">
        <v>7.8354900000000005E-2</v>
      </c>
      <c r="CP199">
        <v>28681.1</v>
      </c>
      <c r="CQ199">
        <v>25289.4</v>
      </c>
      <c r="CR199">
        <v>32425.1</v>
      </c>
      <c r="CS199">
        <v>30729.4</v>
      </c>
      <c r="CT199">
        <v>40106.800000000003</v>
      </c>
      <c r="CU199">
        <v>39851.5</v>
      </c>
      <c r="CV199">
        <v>47366</v>
      </c>
      <c r="CW199">
        <v>46880</v>
      </c>
      <c r="CX199">
        <v>2.6139999999999999</v>
      </c>
      <c r="CY199">
        <v>2.12222</v>
      </c>
      <c r="CZ199">
        <v>0</v>
      </c>
      <c r="DA199">
        <v>0</v>
      </c>
      <c r="DB199">
        <v>999.9</v>
      </c>
      <c r="DC199">
        <v>999.9</v>
      </c>
      <c r="DD199">
        <v>44.884999999999998</v>
      </c>
      <c r="DE199">
        <v>28.922999999999998</v>
      </c>
      <c r="DF199">
        <v>17.979800000000001</v>
      </c>
      <c r="DG199">
        <v>30.5884</v>
      </c>
      <c r="DH199">
        <v>16.875</v>
      </c>
      <c r="DI199">
        <v>2</v>
      </c>
      <c r="DJ199">
        <v>-6.8656499999999995E-2</v>
      </c>
      <c r="DK199">
        <v>2.55844</v>
      </c>
      <c r="DL199">
        <v>20.1906</v>
      </c>
      <c r="DM199">
        <v>5.25047</v>
      </c>
      <c r="DN199">
        <v>12.033899999999999</v>
      </c>
      <c r="DO199">
        <v>4.9673600000000002</v>
      </c>
      <c r="DP199">
        <v>3.2909999999999999</v>
      </c>
      <c r="DQ199">
        <v>608.70000000000005</v>
      </c>
      <c r="DR199">
        <v>9999</v>
      </c>
      <c r="DS199">
        <v>9999</v>
      </c>
      <c r="DT199">
        <v>9999</v>
      </c>
      <c r="DU199">
        <v>1.8711899999999999</v>
      </c>
      <c r="DV199">
        <v>1.8762000000000001</v>
      </c>
      <c r="DW199">
        <v>1.8763700000000001</v>
      </c>
      <c r="DX199">
        <v>1.88289</v>
      </c>
      <c r="DY199">
        <v>1.8756299999999999</v>
      </c>
      <c r="DZ199">
        <v>1.87469</v>
      </c>
      <c r="EA199">
        <v>1.8708800000000001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-0.64700000000000002</v>
      </c>
      <c r="EQ199">
        <v>6.93E-2</v>
      </c>
      <c r="ER199">
        <v>-0.64699999999993496</v>
      </c>
      <c r="ES199">
        <v>0</v>
      </c>
      <c r="ET199">
        <v>0</v>
      </c>
      <c r="EU199">
        <v>0</v>
      </c>
      <c r="EV199">
        <v>6.9300000000000098E-2</v>
      </c>
      <c r="EW199">
        <v>0</v>
      </c>
      <c r="EX199">
        <v>0</v>
      </c>
      <c r="EY199">
        <v>0</v>
      </c>
      <c r="EZ199">
        <v>-1</v>
      </c>
      <c r="FA199">
        <v>-1</v>
      </c>
      <c r="FB199">
        <v>-1</v>
      </c>
      <c r="FC199">
        <v>-1</v>
      </c>
      <c r="FD199">
        <v>6.8</v>
      </c>
      <c r="FE199">
        <v>7.2</v>
      </c>
      <c r="FF199">
        <v>2.5878899999999998</v>
      </c>
      <c r="FG199">
        <v>2.5964399999999999</v>
      </c>
      <c r="FH199">
        <v>2.19604</v>
      </c>
      <c r="FI199">
        <v>2.5744600000000002</v>
      </c>
      <c r="FJ199">
        <v>2.4462899999999999</v>
      </c>
      <c r="FK199">
        <v>2.3046899999999999</v>
      </c>
      <c r="FL199">
        <v>33.176900000000003</v>
      </c>
      <c r="FM199">
        <v>24.1313</v>
      </c>
      <c r="FN199">
        <v>19</v>
      </c>
      <c r="FO199">
        <v>866.96199999999999</v>
      </c>
      <c r="FP199">
        <v>577.11800000000005</v>
      </c>
      <c r="FQ199">
        <v>17.904800000000002</v>
      </c>
      <c r="FR199">
        <v>26.116199999999999</v>
      </c>
      <c r="FS199">
        <v>30.0001</v>
      </c>
      <c r="FT199">
        <v>26.119199999999999</v>
      </c>
      <c r="FU199">
        <v>26.120699999999999</v>
      </c>
      <c r="FV199">
        <v>51.907200000000003</v>
      </c>
      <c r="FW199">
        <v>28.168099999999999</v>
      </c>
      <c r="FX199">
        <v>38.698799999999999</v>
      </c>
      <c r="FY199">
        <v>17.911999999999999</v>
      </c>
      <c r="FZ199">
        <v>1000</v>
      </c>
      <c r="GA199">
        <v>13.651400000000001</v>
      </c>
      <c r="GB199">
        <v>99.796800000000005</v>
      </c>
      <c r="GC199">
        <v>99.783500000000004</v>
      </c>
    </row>
    <row r="200" spans="1:185" x14ac:dyDescent="0.2">
      <c r="A200">
        <v>185</v>
      </c>
      <c r="B200">
        <v>1771106798.0999999</v>
      </c>
      <c r="C200">
        <v>3685</v>
      </c>
      <c r="D200" t="s">
        <v>675</v>
      </c>
      <c r="E200" t="s">
        <v>676</v>
      </c>
      <c r="F200">
        <v>15</v>
      </c>
      <c r="G200">
        <v>1771106790.03333</v>
      </c>
      <c r="H200">
        <f t="shared" si="26"/>
        <v>1.4693578501246119E-3</v>
      </c>
      <c r="I200">
        <v>0</v>
      </c>
      <c r="J200">
        <f t="shared" si="38"/>
        <v>3.0573414265565216E-2</v>
      </c>
      <c r="K200">
        <f t="shared" si="27"/>
        <v>0.54669099409097044</v>
      </c>
      <c r="L200">
        <f t="shared" si="28"/>
        <v>69.879135911566351</v>
      </c>
      <c r="M200">
        <f t="shared" si="29"/>
        <v>1.5406014602981239</v>
      </c>
      <c r="N200">
        <f t="shared" si="30"/>
        <v>2.2046658708656479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26220.910410265453</v>
      </c>
      <c r="T200">
        <f t="shared" si="34"/>
        <v>800.00086666666698</v>
      </c>
      <c r="U200">
        <f t="shared" si="35"/>
        <v>674.40092420021006</v>
      </c>
      <c r="V200">
        <f t="shared" si="36"/>
        <v>0.84300024200000001</v>
      </c>
      <c r="W200">
        <f t="shared" si="37"/>
        <v>0.15870099476000002</v>
      </c>
      <c r="X200">
        <v>1</v>
      </c>
      <c r="Y200">
        <v>1771106790.03333</v>
      </c>
      <c r="Z200">
        <v>997.48680000000002</v>
      </c>
      <c r="AA200">
        <v>1000.0022</v>
      </c>
      <c r="AB200">
        <v>15.403506666666701</v>
      </c>
      <c r="AC200">
        <v>13.595133333333299</v>
      </c>
      <c r="AD200">
        <v>998.13379999999995</v>
      </c>
      <c r="AE200">
        <v>15.334206666666701</v>
      </c>
      <c r="AF200">
        <v>800.01433333333296</v>
      </c>
      <c r="AG200">
        <v>99.952960000000004</v>
      </c>
      <c r="AH200">
        <v>6.3321593333333301E-2</v>
      </c>
      <c r="AI200">
        <v>18.996259999999999</v>
      </c>
      <c r="AJ200">
        <v>999.9</v>
      </c>
      <c r="AK200">
        <v>999.9</v>
      </c>
      <c r="AL200">
        <v>0</v>
      </c>
      <c r="AM200">
        <v>0</v>
      </c>
      <c r="AN200">
        <v>5001.7666666666701</v>
      </c>
      <c r="AO200">
        <v>0</v>
      </c>
      <c r="AP200">
        <v>1.58087</v>
      </c>
      <c r="AQ200">
        <v>-2.5150026666666698</v>
      </c>
      <c r="AR200">
        <v>1013.092</v>
      </c>
      <c r="AS200">
        <v>1013.78533333333</v>
      </c>
      <c r="AT200">
        <v>1.8083720000000001</v>
      </c>
      <c r="AU200">
        <v>1000.0022</v>
      </c>
      <c r="AV200">
        <v>13.595133333333299</v>
      </c>
      <c r="AW200">
        <v>1.5396240000000001</v>
      </c>
      <c r="AX200">
        <v>1.3588726666666699</v>
      </c>
      <c r="AY200">
        <v>13.3674466666667</v>
      </c>
      <c r="AZ200">
        <v>11.4663066666667</v>
      </c>
      <c r="BA200">
        <v>800.00086666666698</v>
      </c>
      <c r="BB200">
        <v>0.89998613333333299</v>
      </c>
      <c r="BC200">
        <v>0</v>
      </c>
      <c r="BD200">
        <v>0.100013666666667</v>
      </c>
      <c r="BE200">
        <v>0</v>
      </c>
      <c r="BF200">
        <v>25</v>
      </c>
      <c r="BG200">
        <v>13190.9866666667</v>
      </c>
      <c r="BH200">
        <v>1771106372.0999999</v>
      </c>
      <c r="BI200" t="s">
        <v>636</v>
      </c>
      <c r="BJ200">
        <v>1771106372.0999999</v>
      </c>
      <c r="BK200">
        <v>1771106352.0999999</v>
      </c>
      <c r="BL200">
        <v>22</v>
      </c>
      <c r="BM200">
        <v>4.3999999999999997E-2</v>
      </c>
      <c r="BN200">
        <v>7.0000000000000001E-3</v>
      </c>
      <c r="BO200">
        <v>-0.64700000000000002</v>
      </c>
      <c r="BP200">
        <v>6.9000000000000006E-2</v>
      </c>
      <c r="BQ200">
        <v>800</v>
      </c>
      <c r="BR200">
        <v>14</v>
      </c>
      <c r="BS200">
        <v>0.31</v>
      </c>
      <c r="BT200">
        <v>0.02</v>
      </c>
      <c r="BU200">
        <v>-2.5108266666666701</v>
      </c>
      <c r="BV200">
        <v>-0.170672727272728</v>
      </c>
      <c r="BW200">
        <v>4.2904040805736697E-2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1.8095423809523801</v>
      </c>
      <c r="CD200">
        <v>-1.7663376623373001E-2</v>
      </c>
      <c r="CE200">
        <v>3.2790313679527702E-3</v>
      </c>
      <c r="CF200">
        <v>1</v>
      </c>
      <c r="CG200">
        <v>2</v>
      </c>
      <c r="CH200">
        <v>2</v>
      </c>
      <c r="CI200" t="s">
        <v>322</v>
      </c>
      <c r="CJ200">
        <v>3.5325700000000002</v>
      </c>
      <c r="CK200">
        <v>2.7011099999999999</v>
      </c>
      <c r="CL200">
        <v>0.18129799999999999</v>
      </c>
      <c r="CM200">
        <v>0.17894299999999999</v>
      </c>
      <c r="CN200">
        <v>8.6967299999999997E-2</v>
      </c>
      <c r="CO200">
        <v>7.8347299999999995E-2</v>
      </c>
      <c r="CP200">
        <v>28681.1</v>
      </c>
      <c r="CQ200">
        <v>25289.599999999999</v>
      </c>
      <c r="CR200">
        <v>32425.200000000001</v>
      </c>
      <c r="CS200">
        <v>30729.8</v>
      </c>
      <c r="CT200">
        <v>40107.800000000003</v>
      </c>
      <c r="CU200">
        <v>39852.300000000003</v>
      </c>
      <c r="CV200">
        <v>47366</v>
      </c>
      <c r="CW200">
        <v>46880.4</v>
      </c>
      <c r="CX200">
        <v>2.6139399999999999</v>
      </c>
      <c r="CY200">
        <v>2.1222599999999998</v>
      </c>
      <c r="CZ200">
        <v>0</v>
      </c>
      <c r="DA200">
        <v>0</v>
      </c>
      <c r="DB200">
        <v>999.9</v>
      </c>
      <c r="DC200">
        <v>999.9</v>
      </c>
      <c r="DD200">
        <v>44.841999999999999</v>
      </c>
      <c r="DE200">
        <v>28.913</v>
      </c>
      <c r="DF200">
        <v>17.952200000000001</v>
      </c>
      <c r="DG200">
        <v>30.348400000000002</v>
      </c>
      <c r="DH200">
        <v>16.902999999999999</v>
      </c>
      <c r="DI200">
        <v>2</v>
      </c>
      <c r="DJ200">
        <v>-6.8449200000000002E-2</v>
      </c>
      <c r="DK200">
        <v>2.68913</v>
      </c>
      <c r="DL200">
        <v>20.187899999999999</v>
      </c>
      <c r="DM200">
        <v>5.25047</v>
      </c>
      <c r="DN200">
        <v>12.033899999999999</v>
      </c>
      <c r="DO200">
        <v>4.96732</v>
      </c>
      <c r="DP200">
        <v>3.2909999999999999</v>
      </c>
      <c r="DQ200">
        <v>608.70000000000005</v>
      </c>
      <c r="DR200">
        <v>9999</v>
      </c>
      <c r="DS200">
        <v>9999</v>
      </c>
      <c r="DT200">
        <v>9999</v>
      </c>
      <c r="DU200">
        <v>1.8711899999999999</v>
      </c>
      <c r="DV200">
        <v>1.8761699999999999</v>
      </c>
      <c r="DW200">
        <v>1.8763700000000001</v>
      </c>
      <c r="DX200">
        <v>1.88287</v>
      </c>
      <c r="DY200">
        <v>1.8756299999999999</v>
      </c>
      <c r="DZ200">
        <v>1.87469</v>
      </c>
      <c r="EA200">
        <v>1.8708800000000001</v>
      </c>
      <c r="EB200">
        <v>1.8746799999999999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-0.64700000000000002</v>
      </c>
      <c r="EQ200">
        <v>6.93E-2</v>
      </c>
      <c r="ER200">
        <v>-0.64699999999993496</v>
      </c>
      <c r="ES200">
        <v>0</v>
      </c>
      <c r="ET200">
        <v>0</v>
      </c>
      <c r="EU200">
        <v>0</v>
      </c>
      <c r="EV200">
        <v>6.9300000000000098E-2</v>
      </c>
      <c r="EW200">
        <v>0</v>
      </c>
      <c r="EX200">
        <v>0</v>
      </c>
      <c r="EY200">
        <v>0</v>
      </c>
      <c r="EZ200">
        <v>-1</v>
      </c>
      <c r="FA200">
        <v>-1</v>
      </c>
      <c r="FB200">
        <v>-1</v>
      </c>
      <c r="FC200">
        <v>-1</v>
      </c>
      <c r="FD200">
        <v>7.1</v>
      </c>
      <c r="FE200">
        <v>7.4</v>
      </c>
      <c r="FF200">
        <v>2.5878899999999998</v>
      </c>
      <c r="FG200">
        <v>2.5854499999999998</v>
      </c>
      <c r="FH200">
        <v>2.19604</v>
      </c>
      <c r="FI200">
        <v>2.5756800000000002</v>
      </c>
      <c r="FJ200">
        <v>2.4462899999999999</v>
      </c>
      <c r="FK200">
        <v>2.2924799999999999</v>
      </c>
      <c r="FL200">
        <v>33.154499999999999</v>
      </c>
      <c r="FM200">
        <v>24.1313</v>
      </c>
      <c r="FN200">
        <v>19</v>
      </c>
      <c r="FO200">
        <v>866.87199999999996</v>
      </c>
      <c r="FP200">
        <v>577.149</v>
      </c>
      <c r="FQ200">
        <v>17.922699999999999</v>
      </c>
      <c r="FR200">
        <v>26.114000000000001</v>
      </c>
      <c r="FS200">
        <v>30.0002</v>
      </c>
      <c r="FT200">
        <v>26.117000000000001</v>
      </c>
      <c r="FU200">
        <v>26.120699999999999</v>
      </c>
      <c r="FV200">
        <v>51.906599999999997</v>
      </c>
      <c r="FW200">
        <v>28.168099999999999</v>
      </c>
      <c r="FX200">
        <v>38.698799999999999</v>
      </c>
      <c r="FY200">
        <v>17.819099999999999</v>
      </c>
      <c r="FZ200">
        <v>1000</v>
      </c>
      <c r="GA200">
        <v>13.651400000000001</v>
      </c>
      <c r="GB200">
        <v>99.796800000000005</v>
      </c>
      <c r="GC200">
        <v>99.784599999999998</v>
      </c>
    </row>
    <row r="201" spans="1:185" x14ac:dyDescent="0.2">
      <c r="A201">
        <v>186</v>
      </c>
      <c r="B201">
        <v>1771106813.0999999</v>
      </c>
      <c r="C201">
        <v>3700</v>
      </c>
      <c r="D201" t="s">
        <v>677</v>
      </c>
      <c r="E201" t="s">
        <v>678</v>
      </c>
      <c r="F201">
        <v>15</v>
      </c>
      <c r="G201">
        <v>1771106805.03333</v>
      </c>
      <c r="H201">
        <f t="shared" si="26"/>
        <v>1.4600404730315993E-3</v>
      </c>
      <c r="I201">
        <v>0</v>
      </c>
      <c r="J201">
        <f t="shared" si="38"/>
        <v>3.1252789250510844E-2</v>
      </c>
      <c r="K201">
        <f t="shared" si="27"/>
        <v>0.55883907093493546</v>
      </c>
      <c r="L201">
        <f t="shared" si="28"/>
        <v>69.804536626034391</v>
      </c>
      <c r="M201">
        <f t="shared" si="29"/>
        <v>1.5395196682211645</v>
      </c>
      <c r="N201">
        <f t="shared" si="30"/>
        <v>2.205472226638896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26202.896839920224</v>
      </c>
      <c r="T201">
        <f t="shared" si="34"/>
        <v>799.99873333333301</v>
      </c>
      <c r="U201">
        <f t="shared" si="35"/>
        <v>674.39918659959733</v>
      </c>
      <c r="V201">
        <f t="shared" si="36"/>
        <v>0.84300031800000053</v>
      </c>
      <c r="W201">
        <f t="shared" si="37"/>
        <v>0.15870092492000012</v>
      </c>
      <c r="X201">
        <v>1</v>
      </c>
      <c r="Y201">
        <v>1771106805.03333</v>
      </c>
      <c r="Z201">
        <v>997.49386666666703</v>
      </c>
      <c r="AA201">
        <v>1000.01286666667</v>
      </c>
      <c r="AB201">
        <v>15.3926266666667</v>
      </c>
      <c r="AC201">
        <v>13.595686666666699</v>
      </c>
      <c r="AD201">
        <v>998.14086666666697</v>
      </c>
      <c r="AE201">
        <v>15.3233266666667</v>
      </c>
      <c r="AF201">
        <v>800.00813333333303</v>
      </c>
      <c r="AG201">
        <v>99.953293333333306</v>
      </c>
      <c r="AH201">
        <v>6.3403073333333296E-2</v>
      </c>
      <c r="AI201">
        <v>19.002120000000001</v>
      </c>
      <c r="AJ201">
        <v>999.9</v>
      </c>
      <c r="AK201">
        <v>999.9</v>
      </c>
      <c r="AL201">
        <v>0</v>
      </c>
      <c r="AM201">
        <v>0</v>
      </c>
      <c r="AN201">
        <v>4998.8666666666704</v>
      </c>
      <c r="AO201">
        <v>0</v>
      </c>
      <c r="AP201">
        <v>1.58087</v>
      </c>
      <c r="AQ201">
        <v>-2.51792066666667</v>
      </c>
      <c r="AR201">
        <v>1013.088</v>
      </c>
      <c r="AS201">
        <v>1013.79466666667</v>
      </c>
      <c r="AT201">
        <v>1.7969326666666701</v>
      </c>
      <c r="AU201">
        <v>1000.01286666667</v>
      </c>
      <c r="AV201">
        <v>13.595686666666699</v>
      </c>
      <c r="AW201">
        <v>1.53854466666667</v>
      </c>
      <c r="AX201">
        <v>1.3589340000000001</v>
      </c>
      <c r="AY201">
        <v>13.356673333333299</v>
      </c>
      <c r="AZ201">
        <v>11.466993333333299</v>
      </c>
      <c r="BA201">
        <v>799.99873333333301</v>
      </c>
      <c r="BB201">
        <v>0.89998746666666696</v>
      </c>
      <c r="BC201">
        <v>0</v>
      </c>
      <c r="BD201">
        <v>0.10001246666666699</v>
      </c>
      <c r="BE201">
        <v>0</v>
      </c>
      <c r="BF201">
        <v>25</v>
      </c>
      <c r="BG201">
        <v>13190.96</v>
      </c>
      <c r="BH201">
        <v>1771106372.0999999</v>
      </c>
      <c r="BI201" t="s">
        <v>636</v>
      </c>
      <c r="BJ201">
        <v>1771106372.0999999</v>
      </c>
      <c r="BK201">
        <v>1771106352.0999999</v>
      </c>
      <c r="BL201">
        <v>22</v>
      </c>
      <c r="BM201">
        <v>4.3999999999999997E-2</v>
      </c>
      <c r="BN201">
        <v>7.0000000000000001E-3</v>
      </c>
      <c r="BO201">
        <v>-0.64700000000000002</v>
      </c>
      <c r="BP201">
        <v>6.9000000000000006E-2</v>
      </c>
      <c r="BQ201">
        <v>800</v>
      </c>
      <c r="BR201">
        <v>14</v>
      </c>
      <c r="BS201">
        <v>0.31</v>
      </c>
      <c r="BT201">
        <v>0.02</v>
      </c>
      <c r="BU201">
        <v>-2.5248180952380999</v>
      </c>
      <c r="BV201">
        <v>0.16112259740259799</v>
      </c>
      <c r="BW201">
        <v>3.5175219310115698E-2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1.80042285714286</v>
      </c>
      <c r="CD201">
        <v>-8.81571428571436E-2</v>
      </c>
      <c r="CE201">
        <v>9.7796353729170896E-3</v>
      </c>
      <c r="CF201">
        <v>1</v>
      </c>
      <c r="CG201">
        <v>2</v>
      </c>
      <c r="CH201">
        <v>2</v>
      </c>
      <c r="CI201" t="s">
        <v>322</v>
      </c>
      <c r="CJ201">
        <v>3.5325799999999998</v>
      </c>
      <c r="CK201">
        <v>2.7013199999999999</v>
      </c>
      <c r="CL201">
        <v>0.18129500000000001</v>
      </c>
      <c r="CM201">
        <v>0.17894599999999999</v>
      </c>
      <c r="CN201">
        <v>8.6892999999999998E-2</v>
      </c>
      <c r="CO201">
        <v>7.8360399999999997E-2</v>
      </c>
      <c r="CP201">
        <v>28680.799999999999</v>
      </c>
      <c r="CQ201">
        <v>25289.5</v>
      </c>
      <c r="CR201">
        <v>32424.799999999999</v>
      </c>
      <c r="CS201">
        <v>30729.9</v>
      </c>
      <c r="CT201">
        <v>40110.699999999997</v>
      </c>
      <c r="CU201">
        <v>39851.599999999999</v>
      </c>
      <c r="CV201">
        <v>47365.5</v>
      </c>
      <c r="CW201">
        <v>46880.4</v>
      </c>
      <c r="CX201">
        <v>2.61402</v>
      </c>
      <c r="CY201">
        <v>2.1219000000000001</v>
      </c>
      <c r="CZ201">
        <v>0</v>
      </c>
      <c r="DA201">
        <v>0</v>
      </c>
      <c r="DB201">
        <v>999.9</v>
      </c>
      <c r="DC201">
        <v>999.9</v>
      </c>
      <c r="DD201">
        <v>44.768999999999998</v>
      </c>
      <c r="DE201">
        <v>28.913</v>
      </c>
      <c r="DF201">
        <v>17.923100000000002</v>
      </c>
      <c r="DG201">
        <v>30.4084</v>
      </c>
      <c r="DH201">
        <v>16.774799999999999</v>
      </c>
      <c r="DI201">
        <v>2</v>
      </c>
      <c r="DJ201">
        <v>-6.7583299999999999E-2</v>
      </c>
      <c r="DK201">
        <v>2.7641499999999999</v>
      </c>
      <c r="DL201">
        <v>20.186399999999999</v>
      </c>
      <c r="DM201">
        <v>5.2501199999999999</v>
      </c>
      <c r="DN201">
        <v>12.033899999999999</v>
      </c>
      <c r="DO201">
        <v>4.9672799999999997</v>
      </c>
      <c r="DP201">
        <v>3.2909999999999999</v>
      </c>
      <c r="DQ201">
        <v>608.70000000000005</v>
      </c>
      <c r="DR201">
        <v>9999</v>
      </c>
      <c r="DS201">
        <v>9999</v>
      </c>
      <c r="DT201">
        <v>9999</v>
      </c>
      <c r="DU201">
        <v>1.8711800000000001</v>
      </c>
      <c r="DV201">
        <v>1.87618</v>
      </c>
      <c r="DW201">
        <v>1.87636</v>
      </c>
      <c r="DX201">
        <v>1.8828199999999999</v>
      </c>
      <c r="DY201">
        <v>1.87561</v>
      </c>
      <c r="DZ201">
        <v>1.87469</v>
      </c>
      <c r="EA201">
        <v>1.87086</v>
      </c>
      <c r="EB201">
        <v>1.87469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-0.64700000000000002</v>
      </c>
      <c r="EQ201">
        <v>6.93E-2</v>
      </c>
      <c r="ER201">
        <v>-0.64699999999993496</v>
      </c>
      <c r="ES201">
        <v>0</v>
      </c>
      <c r="ET201">
        <v>0</v>
      </c>
      <c r="EU201">
        <v>0</v>
      </c>
      <c r="EV201">
        <v>6.9300000000000098E-2</v>
      </c>
      <c r="EW201">
        <v>0</v>
      </c>
      <c r="EX201">
        <v>0</v>
      </c>
      <c r="EY201">
        <v>0</v>
      </c>
      <c r="EZ201">
        <v>-1</v>
      </c>
      <c r="FA201">
        <v>-1</v>
      </c>
      <c r="FB201">
        <v>-1</v>
      </c>
      <c r="FC201">
        <v>-1</v>
      </c>
      <c r="FD201">
        <v>7.3</v>
      </c>
      <c r="FE201">
        <v>7.7</v>
      </c>
      <c r="FF201">
        <v>2.5878899999999998</v>
      </c>
      <c r="FG201">
        <v>2.5842299999999998</v>
      </c>
      <c r="FH201">
        <v>2.19604</v>
      </c>
      <c r="FI201">
        <v>2.5744600000000002</v>
      </c>
      <c r="FJ201">
        <v>2.4462899999999999</v>
      </c>
      <c r="FK201">
        <v>2.3010299999999999</v>
      </c>
      <c r="FL201">
        <v>33.154499999999999</v>
      </c>
      <c r="FM201">
        <v>24.14</v>
      </c>
      <c r="FN201">
        <v>19</v>
      </c>
      <c r="FO201">
        <v>866.947</v>
      </c>
      <c r="FP201">
        <v>576.87199999999996</v>
      </c>
      <c r="FQ201">
        <v>17.8034</v>
      </c>
      <c r="FR201">
        <v>26.114000000000001</v>
      </c>
      <c r="FS201">
        <v>30</v>
      </c>
      <c r="FT201">
        <v>26.117000000000001</v>
      </c>
      <c r="FU201">
        <v>26.120699999999999</v>
      </c>
      <c r="FV201">
        <v>51.903799999999997</v>
      </c>
      <c r="FW201">
        <v>27.8904</v>
      </c>
      <c r="FX201">
        <v>38.328699999999998</v>
      </c>
      <c r="FY201">
        <v>17.812799999999999</v>
      </c>
      <c r="FZ201">
        <v>1000</v>
      </c>
      <c r="GA201">
        <v>13.658799999999999</v>
      </c>
      <c r="GB201">
        <v>99.795699999999997</v>
      </c>
      <c r="GC201">
        <v>99.784599999999998</v>
      </c>
    </row>
    <row r="202" spans="1:185" x14ac:dyDescent="0.2">
      <c r="A202">
        <v>187</v>
      </c>
      <c r="B202">
        <v>1771106828.0999999</v>
      </c>
      <c r="C202">
        <v>3715</v>
      </c>
      <c r="D202" t="s">
        <v>679</v>
      </c>
      <c r="E202" t="s">
        <v>680</v>
      </c>
      <c r="F202">
        <v>15</v>
      </c>
      <c r="G202">
        <v>1771106820.03333</v>
      </c>
      <c r="H202">
        <f t="shared" si="26"/>
        <v>1.4580474137342761E-3</v>
      </c>
      <c r="I202">
        <v>0</v>
      </c>
      <c r="J202">
        <f t="shared" si="38"/>
        <v>2.9817294915203411E-2</v>
      </c>
      <c r="K202">
        <f t="shared" si="27"/>
        <v>0.53317063173594603</v>
      </c>
      <c r="L202">
        <f t="shared" si="28"/>
        <v>69.797493373190875</v>
      </c>
      <c r="M202">
        <f t="shared" si="29"/>
        <v>1.5392663536849731</v>
      </c>
      <c r="N202">
        <f t="shared" si="30"/>
        <v>2.2053318526137833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26209.919831919866</v>
      </c>
      <c r="T202">
        <f t="shared" si="34"/>
        <v>799.99919999999997</v>
      </c>
      <c r="U202">
        <f t="shared" si="35"/>
        <v>674.39954159978447</v>
      </c>
      <c r="V202">
        <f t="shared" si="36"/>
        <v>0.84300027000000055</v>
      </c>
      <c r="W202">
        <f t="shared" si="37"/>
        <v>0.15870080492000013</v>
      </c>
      <c r="X202">
        <v>1</v>
      </c>
      <c r="Y202">
        <v>1771106820.03333</v>
      </c>
      <c r="Z202">
        <v>997.51800000000003</v>
      </c>
      <c r="AA202">
        <v>1000.00246666667</v>
      </c>
      <c r="AB202">
        <v>15.3900466666667</v>
      </c>
      <c r="AC202">
        <v>13.595560000000001</v>
      </c>
      <c r="AD202">
        <v>998.16493333333301</v>
      </c>
      <c r="AE202">
        <v>15.3207466666667</v>
      </c>
      <c r="AF202">
        <v>800.0104</v>
      </c>
      <c r="AG202">
        <v>99.953533333333297</v>
      </c>
      <c r="AH202">
        <v>6.3470319999999997E-2</v>
      </c>
      <c r="AI202">
        <v>19.001100000000001</v>
      </c>
      <c r="AJ202">
        <v>999.9</v>
      </c>
      <c r="AK202">
        <v>999.9</v>
      </c>
      <c r="AL202">
        <v>0</v>
      </c>
      <c r="AM202">
        <v>0</v>
      </c>
      <c r="AN202">
        <v>5000</v>
      </c>
      <c r="AO202">
        <v>0</v>
      </c>
      <c r="AP202">
        <v>1.58087</v>
      </c>
      <c r="AQ202">
        <v>-2.4852306666666699</v>
      </c>
      <c r="AR202">
        <v>1013.11066666667</v>
      </c>
      <c r="AS202">
        <v>1013.7859999999999</v>
      </c>
      <c r="AT202">
        <v>1.7944833333333301</v>
      </c>
      <c r="AU202">
        <v>1000.00246666667</v>
      </c>
      <c r="AV202">
        <v>13.595560000000001</v>
      </c>
      <c r="AW202">
        <v>1.53829066666667</v>
      </c>
      <c r="AX202">
        <v>1.358924</v>
      </c>
      <c r="AY202">
        <v>13.3541333333333</v>
      </c>
      <c r="AZ202">
        <v>11.466886666666699</v>
      </c>
      <c r="BA202">
        <v>799.99919999999997</v>
      </c>
      <c r="BB202">
        <v>0.899989066666667</v>
      </c>
      <c r="BC202">
        <v>0</v>
      </c>
      <c r="BD202">
        <v>0.100010866666667</v>
      </c>
      <c r="BE202">
        <v>0</v>
      </c>
      <c r="BF202">
        <v>25</v>
      </c>
      <c r="BG202">
        <v>13190.973333333301</v>
      </c>
      <c r="BH202">
        <v>1771106372.0999999</v>
      </c>
      <c r="BI202" t="s">
        <v>636</v>
      </c>
      <c r="BJ202">
        <v>1771106372.0999999</v>
      </c>
      <c r="BK202">
        <v>1771106352.0999999</v>
      </c>
      <c r="BL202">
        <v>22</v>
      </c>
      <c r="BM202">
        <v>4.3999999999999997E-2</v>
      </c>
      <c r="BN202">
        <v>7.0000000000000001E-3</v>
      </c>
      <c r="BO202">
        <v>-0.64700000000000002</v>
      </c>
      <c r="BP202">
        <v>6.9000000000000006E-2</v>
      </c>
      <c r="BQ202">
        <v>800</v>
      </c>
      <c r="BR202">
        <v>14</v>
      </c>
      <c r="BS202">
        <v>0.31</v>
      </c>
      <c r="BT202">
        <v>0.02</v>
      </c>
      <c r="BU202">
        <v>-2.4862129999999998</v>
      </c>
      <c r="BV202">
        <v>6.69762406015047E-2</v>
      </c>
      <c r="BW202">
        <v>4.2192408570737E-2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1.792251</v>
      </c>
      <c r="CD202">
        <v>3.2323308270674998E-2</v>
      </c>
      <c r="CE202">
        <v>6.4308171331488003E-3</v>
      </c>
      <c r="CF202">
        <v>1</v>
      </c>
      <c r="CG202">
        <v>2</v>
      </c>
      <c r="CH202">
        <v>2</v>
      </c>
      <c r="CI202" t="s">
        <v>322</v>
      </c>
      <c r="CJ202">
        <v>3.5326</v>
      </c>
      <c r="CK202">
        <v>2.70126</v>
      </c>
      <c r="CL202">
        <v>0.18130299999999999</v>
      </c>
      <c r="CM202">
        <v>0.17893999999999999</v>
      </c>
      <c r="CN202">
        <v>8.6904400000000007E-2</v>
      </c>
      <c r="CO202">
        <v>7.8432600000000005E-2</v>
      </c>
      <c r="CP202">
        <v>28680.5</v>
      </c>
      <c r="CQ202">
        <v>25289.3</v>
      </c>
      <c r="CR202">
        <v>32424.7</v>
      </c>
      <c r="CS202">
        <v>30729.3</v>
      </c>
      <c r="CT202">
        <v>40110.1</v>
      </c>
      <c r="CU202">
        <v>39847.9</v>
      </c>
      <c r="CV202">
        <v>47365.4</v>
      </c>
      <c r="CW202">
        <v>46879.7</v>
      </c>
      <c r="CX202">
        <v>2.6142400000000001</v>
      </c>
      <c r="CY202">
        <v>2.12202</v>
      </c>
      <c r="CZ202">
        <v>0</v>
      </c>
      <c r="DA202">
        <v>0</v>
      </c>
      <c r="DB202">
        <v>999.9</v>
      </c>
      <c r="DC202">
        <v>999.9</v>
      </c>
      <c r="DD202">
        <v>44.695</v>
      </c>
      <c r="DE202">
        <v>28.913</v>
      </c>
      <c r="DF202">
        <v>17.892600000000002</v>
      </c>
      <c r="DG202">
        <v>30.558399999999999</v>
      </c>
      <c r="DH202">
        <v>16.7348</v>
      </c>
      <c r="DI202">
        <v>2</v>
      </c>
      <c r="DJ202">
        <v>-6.7792699999999997E-2</v>
      </c>
      <c r="DK202">
        <v>2.7255099999999999</v>
      </c>
      <c r="DL202">
        <v>20.1875</v>
      </c>
      <c r="DM202">
        <v>5.2503500000000001</v>
      </c>
      <c r="DN202">
        <v>12.033899999999999</v>
      </c>
      <c r="DO202">
        <v>4.9673600000000002</v>
      </c>
      <c r="DP202">
        <v>3.2909999999999999</v>
      </c>
      <c r="DQ202">
        <v>608.70000000000005</v>
      </c>
      <c r="DR202">
        <v>9999</v>
      </c>
      <c r="DS202">
        <v>9999</v>
      </c>
      <c r="DT202">
        <v>9999</v>
      </c>
      <c r="DU202">
        <v>1.87117</v>
      </c>
      <c r="DV202">
        <v>1.8761300000000001</v>
      </c>
      <c r="DW202">
        <v>1.87636</v>
      </c>
      <c r="DX202">
        <v>1.8828100000000001</v>
      </c>
      <c r="DY202">
        <v>1.87561</v>
      </c>
      <c r="DZ202">
        <v>1.87469</v>
      </c>
      <c r="EA202">
        <v>1.87086</v>
      </c>
      <c r="EB202">
        <v>1.8746799999999999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-0.64700000000000002</v>
      </c>
      <c r="EQ202">
        <v>6.93E-2</v>
      </c>
      <c r="ER202">
        <v>-0.64699999999993496</v>
      </c>
      <c r="ES202">
        <v>0</v>
      </c>
      <c r="ET202">
        <v>0</v>
      </c>
      <c r="EU202">
        <v>0</v>
      </c>
      <c r="EV202">
        <v>6.9300000000000098E-2</v>
      </c>
      <c r="EW202">
        <v>0</v>
      </c>
      <c r="EX202">
        <v>0</v>
      </c>
      <c r="EY202">
        <v>0</v>
      </c>
      <c r="EZ202">
        <v>-1</v>
      </c>
      <c r="FA202">
        <v>-1</v>
      </c>
      <c r="FB202">
        <v>-1</v>
      </c>
      <c r="FC202">
        <v>-1</v>
      </c>
      <c r="FD202">
        <v>7.6</v>
      </c>
      <c r="FE202">
        <v>7.9</v>
      </c>
      <c r="FF202">
        <v>2.5878899999999998</v>
      </c>
      <c r="FG202">
        <v>2.5915499999999998</v>
      </c>
      <c r="FH202">
        <v>2.19604</v>
      </c>
      <c r="FI202">
        <v>2.5744600000000002</v>
      </c>
      <c r="FJ202">
        <v>2.4462899999999999</v>
      </c>
      <c r="FK202">
        <v>2.3120099999999999</v>
      </c>
      <c r="FL202">
        <v>33.176900000000003</v>
      </c>
      <c r="FM202">
        <v>24.14</v>
      </c>
      <c r="FN202">
        <v>19</v>
      </c>
      <c r="FO202">
        <v>867.15200000000004</v>
      </c>
      <c r="FP202">
        <v>576.96400000000006</v>
      </c>
      <c r="FQ202">
        <v>17.8081</v>
      </c>
      <c r="FR202">
        <v>26.114000000000001</v>
      </c>
      <c r="FS202">
        <v>30.0002</v>
      </c>
      <c r="FT202">
        <v>26.117000000000001</v>
      </c>
      <c r="FU202">
        <v>26.120699999999999</v>
      </c>
      <c r="FV202">
        <v>51.903700000000001</v>
      </c>
      <c r="FW202">
        <v>27.612200000000001</v>
      </c>
      <c r="FX202">
        <v>38.328699999999998</v>
      </c>
      <c r="FY202">
        <v>17.808499999999999</v>
      </c>
      <c r="FZ202">
        <v>1000</v>
      </c>
      <c r="GA202">
        <v>13.6629</v>
      </c>
      <c r="GB202">
        <v>99.795500000000004</v>
      </c>
      <c r="GC202">
        <v>99.783000000000001</v>
      </c>
    </row>
    <row r="203" spans="1:185" x14ac:dyDescent="0.2">
      <c r="A203">
        <v>188</v>
      </c>
      <c r="B203">
        <v>1771106843.0999999</v>
      </c>
      <c r="C203">
        <v>3730</v>
      </c>
      <c r="D203" t="s">
        <v>681</v>
      </c>
      <c r="E203" t="s">
        <v>682</v>
      </c>
      <c r="F203">
        <v>15</v>
      </c>
      <c r="G203">
        <v>1771106835.03333</v>
      </c>
      <c r="H203">
        <f t="shared" si="26"/>
        <v>1.432192538193607E-3</v>
      </c>
      <c r="I203">
        <v>0</v>
      </c>
      <c r="J203">
        <f t="shared" si="38"/>
        <v>3.0141581318390797E-2</v>
      </c>
      <c r="K203">
        <f t="shared" si="27"/>
        <v>0.53896927936452876</v>
      </c>
      <c r="L203">
        <f t="shared" si="28"/>
        <v>69.812318400431721</v>
      </c>
      <c r="M203">
        <f t="shared" si="29"/>
        <v>1.539502987359455</v>
      </c>
      <c r="N203">
        <f t="shared" si="30"/>
        <v>2.2052024952518048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26208.290961458388</v>
      </c>
      <c r="T203">
        <f t="shared" si="34"/>
        <v>800.00166666666701</v>
      </c>
      <c r="U203">
        <f t="shared" si="35"/>
        <v>674.40170900063356</v>
      </c>
      <c r="V203">
        <f t="shared" si="36"/>
        <v>0.84300037999999999</v>
      </c>
      <c r="W203">
        <f t="shared" si="37"/>
        <v>0.15870095000000001</v>
      </c>
      <c r="X203">
        <v>1</v>
      </c>
      <c r="Y203">
        <v>1771106835.03333</v>
      </c>
      <c r="Z203">
        <v>997.54046666666704</v>
      </c>
      <c r="AA203">
        <v>1000</v>
      </c>
      <c r="AB203">
        <v>15.39236</v>
      </c>
      <c r="AC203">
        <v>13.6296866666667</v>
      </c>
      <c r="AD203">
        <v>998.18740000000003</v>
      </c>
      <c r="AE203">
        <v>15.32306</v>
      </c>
      <c r="AF203">
        <v>800.00513333333299</v>
      </c>
      <c r="AG203">
        <v>99.953933333333396</v>
      </c>
      <c r="AH203">
        <v>6.3412113333333298E-2</v>
      </c>
      <c r="AI203">
        <v>19.000160000000001</v>
      </c>
      <c r="AJ203">
        <v>999.9</v>
      </c>
      <c r="AK203">
        <v>999.9</v>
      </c>
      <c r="AL203">
        <v>0</v>
      </c>
      <c r="AM203">
        <v>0</v>
      </c>
      <c r="AN203">
        <v>4999.7</v>
      </c>
      <c r="AO203">
        <v>0</v>
      </c>
      <c r="AP203">
        <v>1.574322</v>
      </c>
      <c r="AQ203">
        <v>-2.4597579999999999</v>
      </c>
      <c r="AR203">
        <v>1013.13533333333</v>
      </c>
      <c r="AS203">
        <v>1013.81866666667</v>
      </c>
      <c r="AT203">
        <v>1.76267333333333</v>
      </c>
      <c r="AU203">
        <v>1000</v>
      </c>
      <c r="AV203">
        <v>13.6296866666667</v>
      </c>
      <c r="AW203">
        <v>1.5385279999999999</v>
      </c>
      <c r="AX203">
        <v>1.36233933333333</v>
      </c>
      <c r="AY203">
        <v>13.35652</v>
      </c>
      <c r="AZ203">
        <v>11.50482</v>
      </c>
      <c r="BA203">
        <v>800.00166666666701</v>
      </c>
      <c r="BB203">
        <v>0.89998733333333303</v>
      </c>
      <c r="BC203">
        <v>0</v>
      </c>
      <c r="BD203">
        <v>0.100012666666667</v>
      </c>
      <c r="BE203">
        <v>0</v>
      </c>
      <c r="BF203">
        <v>25</v>
      </c>
      <c r="BG203">
        <v>13191.006666666701</v>
      </c>
      <c r="BH203">
        <v>1771106372.0999999</v>
      </c>
      <c r="BI203" t="s">
        <v>636</v>
      </c>
      <c r="BJ203">
        <v>1771106372.0999999</v>
      </c>
      <c r="BK203">
        <v>1771106352.0999999</v>
      </c>
      <c r="BL203">
        <v>22</v>
      </c>
      <c r="BM203">
        <v>4.3999999999999997E-2</v>
      </c>
      <c r="BN203">
        <v>7.0000000000000001E-3</v>
      </c>
      <c r="BO203">
        <v>-0.64700000000000002</v>
      </c>
      <c r="BP203">
        <v>6.9000000000000006E-2</v>
      </c>
      <c r="BQ203">
        <v>800</v>
      </c>
      <c r="BR203">
        <v>14</v>
      </c>
      <c r="BS203">
        <v>0.31</v>
      </c>
      <c r="BT203">
        <v>0.02</v>
      </c>
      <c r="BU203">
        <v>-2.4684542857142899</v>
      </c>
      <c r="BV203">
        <v>5.3224675324676798E-2</v>
      </c>
      <c r="BW203">
        <v>3.8745900252730801E-2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1.7713476190476201</v>
      </c>
      <c r="CD203">
        <v>-0.118475064935063</v>
      </c>
      <c r="CE203">
        <v>1.53208031322376E-2</v>
      </c>
      <c r="CF203">
        <v>0</v>
      </c>
      <c r="CG203">
        <v>1</v>
      </c>
      <c r="CH203">
        <v>2</v>
      </c>
      <c r="CI203" t="s">
        <v>299</v>
      </c>
      <c r="CJ203">
        <v>3.5325799999999998</v>
      </c>
      <c r="CK203">
        <v>2.7010100000000001</v>
      </c>
      <c r="CL203">
        <v>0.18130599999999999</v>
      </c>
      <c r="CM203">
        <v>0.17894499999999999</v>
      </c>
      <c r="CN203">
        <v>8.6944599999999997E-2</v>
      </c>
      <c r="CO203">
        <v>7.8516500000000003E-2</v>
      </c>
      <c r="CP203">
        <v>28680.7</v>
      </c>
      <c r="CQ203">
        <v>25288.9</v>
      </c>
      <c r="CR203">
        <v>32425.1</v>
      </c>
      <c r="CS203">
        <v>30729.1</v>
      </c>
      <c r="CT203">
        <v>40108.9</v>
      </c>
      <c r="CU203">
        <v>39843.699999999997</v>
      </c>
      <c r="CV203">
        <v>47366</v>
      </c>
      <c r="CW203">
        <v>46879.199999999997</v>
      </c>
      <c r="CX203">
        <v>2.6141200000000002</v>
      </c>
      <c r="CY203">
        <v>2.1218400000000002</v>
      </c>
      <c r="CZ203">
        <v>0</v>
      </c>
      <c r="DA203">
        <v>0</v>
      </c>
      <c r="DB203">
        <v>999.9</v>
      </c>
      <c r="DC203">
        <v>999.9</v>
      </c>
      <c r="DD203">
        <v>44.670999999999999</v>
      </c>
      <c r="DE203">
        <v>28.922999999999998</v>
      </c>
      <c r="DF203">
        <v>17.893799999999999</v>
      </c>
      <c r="DG203">
        <v>30.378399999999999</v>
      </c>
      <c r="DH203">
        <v>16.875</v>
      </c>
      <c r="DI203">
        <v>2</v>
      </c>
      <c r="DJ203">
        <v>-6.7648399999999997E-2</v>
      </c>
      <c r="DK203">
        <v>2.7280799999999998</v>
      </c>
      <c r="DL203">
        <v>20.1873</v>
      </c>
      <c r="DM203">
        <v>5.2498800000000001</v>
      </c>
      <c r="DN203">
        <v>12.033899999999999</v>
      </c>
      <c r="DO203">
        <v>4.9677600000000002</v>
      </c>
      <c r="DP203">
        <v>3.2909999999999999</v>
      </c>
      <c r="DQ203">
        <v>608.70000000000005</v>
      </c>
      <c r="DR203">
        <v>9999</v>
      </c>
      <c r="DS203">
        <v>9999</v>
      </c>
      <c r="DT203">
        <v>9999</v>
      </c>
      <c r="DU203">
        <v>1.8711800000000001</v>
      </c>
      <c r="DV203">
        <v>1.87618</v>
      </c>
      <c r="DW203">
        <v>1.8763700000000001</v>
      </c>
      <c r="DX203">
        <v>1.8828800000000001</v>
      </c>
      <c r="DY203">
        <v>1.87564</v>
      </c>
      <c r="DZ203">
        <v>1.87469</v>
      </c>
      <c r="EA203">
        <v>1.87087</v>
      </c>
      <c r="EB203">
        <v>1.87469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-0.64700000000000002</v>
      </c>
      <c r="EQ203">
        <v>6.93E-2</v>
      </c>
      <c r="ER203">
        <v>-0.64699999999993496</v>
      </c>
      <c r="ES203">
        <v>0</v>
      </c>
      <c r="ET203">
        <v>0</v>
      </c>
      <c r="EU203">
        <v>0</v>
      </c>
      <c r="EV203">
        <v>6.9300000000000098E-2</v>
      </c>
      <c r="EW203">
        <v>0</v>
      </c>
      <c r="EX203">
        <v>0</v>
      </c>
      <c r="EY203">
        <v>0</v>
      </c>
      <c r="EZ203">
        <v>-1</v>
      </c>
      <c r="FA203">
        <v>-1</v>
      </c>
      <c r="FB203">
        <v>-1</v>
      </c>
      <c r="FC203">
        <v>-1</v>
      </c>
      <c r="FD203">
        <v>7.8</v>
      </c>
      <c r="FE203">
        <v>8.1999999999999993</v>
      </c>
      <c r="FF203">
        <v>2.5878899999999998</v>
      </c>
      <c r="FG203">
        <v>2.5927699999999998</v>
      </c>
      <c r="FH203">
        <v>2.19604</v>
      </c>
      <c r="FI203">
        <v>2.5744600000000002</v>
      </c>
      <c r="FJ203">
        <v>2.4462899999999999</v>
      </c>
      <c r="FK203">
        <v>2.2973599999999998</v>
      </c>
      <c r="FL203">
        <v>33.176900000000003</v>
      </c>
      <c r="FM203">
        <v>24.1313</v>
      </c>
      <c r="FN203">
        <v>19</v>
      </c>
      <c r="FO203">
        <v>867.07399999999996</v>
      </c>
      <c r="FP203">
        <v>576.84</v>
      </c>
      <c r="FQ203">
        <v>17.808199999999999</v>
      </c>
      <c r="FR203">
        <v>26.114000000000001</v>
      </c>
      <c r="FS203">
        <v>30.0002</v>
      </c>
      <c r="FT203">
        <v>26.119199999999999</v>
      </c>
      <c r="FU203">
        <v>26.122</v>
      </c>
      <c r="FV203">
        <v>51.902700000000003</v>
      </c>
      <c r="FW203">
        <v>27.612200000000001</v>
      </c>
      <c r="FX203">
        <v>38.328699999999998</v>
      </c>
      <c r="FY203">
        <v>17.808800000000002</v>
      </c>
      <c r="FZ203">
        <v>1000</v>
      </c>
      <c r="GA203">
        <v>13.660600000000001</v>
      </c>
      <c r="GB203">
        <v>99.796800000000005</v>
      </c>
      <c r="GC203">
        <v>99.7821</v>
      </c>
    </row>
    <row r="204" spans="1:185" x14ac:dyDescent="0.2">
      <c r="A204">
        <v>189</v>
      </c>
      <c r="B204">
        <v>1771106858.0999999</v>
      </c>
      <c r="C204">
        <v>3745</v>
      </c>
      <c r="D204" t="s">
        <v>683</v>
      </c>
      <c r="E204" t="s">
        <v>684</v>
      </c>
      <c r="F204">
        <v>15</v>
      </c>
      <c r="G204">
        <v>1771106850.03333</v>
      </c>
      <c r="H204">
        <f t="shared" si="26"/>
        <v>1.4316937160204714E-3</v>
      </c>
      <c r="I204">
        <v>0</v>
      </c>
      <c r="J204">
        <f t="shared" si="38"/>
        <v>3.124663624140582E-2</v>
      </c>
      <c r="K204">
        <f t="shared" si="27"/>
        <v>0.55872904741466201</v>
      </c>
      <c r="L204">
        <f t="shared" si="28"/>
        <v>69.804944414381424</v>
      </c>
      <c r="M204">
        <f t="shared" si="29"/>
        <v>1.5395196954294674</v>
      </c>
      <c r="N204">
        <f t="shared" si="30"/>
        <v>2.2054593816312686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26201.485482647415</v>
      </c>
      <c r="T204">
        <f t="shared" si="34"/>
        <v>800.00066666666703</v>
      </c>
      <c r="U204">
        <f t="shared" si="35"/>
        <v>674.40091720029625</v>
      </c>
      <c r="V204">
        <f t="shared" si="36"/>
        <v>0.84300044399999996</v>
      </c>
      <c r="W204">
        <f t="shared" si="37"/>
        <v>0.15870111000000001</v>
      </c>
      <c r="X204">
        <v>1</v>
      </c>
      <c r="Y204">
        <v>1771106850.03333</v>
      </c>
      <c r="Z204">
        <v>997.52279999999996</v>
      </c>
      <c r="AA204">
        <v>1000.00633333333</v>
      </c>
      <c r="AB204">
        <v>15.392440000000001</v>
      </c>
      <c r="AC204">
        <v>13.6304133333333</v>
      </c>
      <c r="AD204">
        <v>998.16966666666701</v>
      </c>
      <c r="AE204">
        <v>15.32314</v>
      </c>
      <c r="AF204">
        <v>800.01993333333303</v>
      </c>
      <c r="AG204">
        <v>99.954813333333306</v>
      </c>
      <c r="AH204">
        <v>6.3097760000000003E-2</v>
      </c>
      <c r="AI204">
        <v>19.002026666666701</v>
      </c>
      <c r="AJ204">
        <v>999.9</v>
      </c>
      <c r="AK204">
        <v>999.9</v>
      </c>
      <c r="AL204">
        <v>0</v>
      </c>
      <c r="AM204">
        <v>0</v>
      </c>
      <c r="AN204">
        <v>4998.5666666666702</v>
      </c>
      <c r="AO204">
        <v>0</v>
      </c>
      <c r="AP204">
        <v>1.5761286666666701</v>
      </c>
      <c r="AQ204">
        <v>-2.48442733333333</v>
      </c>
      <c r="AR204">
        <v>1013.11733333333</v>
      </c>
      <c r="AS204">
        <v>1013.826</v>
      </c>
      <c r="AT204">
        <v>1.76203333333333</v>
      </c>
      <c r="AU204">
        <v>1000.00633333333</v>
      </c>
      <c r="AV204">
        <v>13.6304133333333</v>
      </c>
      <c r="AW204">
        <v>1.538548</v>
      </c>
      <c r="AX204">
        <v>1.3624246666666699</v>
      </c>
      <c r="AY204">
        <v>13.356733333333301</v>
      </c>
      <c r="AZ204">
        <v>11.505753333333301</v>
      </c>
      <c r="BA204">
        <v>800.00066666666703</v>
      </c>
      <c r="BB204">
        <v>0.89998520000000004</v>
      </c>
      <c r="BC204">
        <v>0</v>
      </c>
      <c r="BD204">
        <v>0.1000148</v>
      </c>
      <c r="BE204">
        <v>0</v>
      </c>
      <c r="BF204">
        <v>25</v>
      </c>
      <c r="BG204">
        <v>13190.9666666667</v>
      </c>
      <c r="BH204">
        <v>1771106372.0999999</v>
      </c>
      <c r="BI204" t="s">
        <v>636</v>
      </c>
      <c r="BJ204">
        <v>1771106372.0999999</v>
      </c>
      <c r="BK204">
        <v>1771106352.0999999</v>
      </c>
      <c r="BL204">
        <v>22</v>
      </c>
      <c r="BM204">
        <v>4.3999999999999997E-2</v>
      </c>
      <c r="BN204">
        <v>7.0000000000000001E-3</v>
      </c>
      <c r="BO204">
        <v>-0.64700000000000002</v>
      </c>
      <c r="BP204">
        <v>6.9000000000000006E-2</v>
      </c>
      <c r="BQ204">
        <v>800</v>
      </c>
      <c r="BR204">
        <v>14</v>
      </c>
      <c r="BS204">
        <v>0.31</v>
      </c>
      <c r="BT204">
        <v>0.02</v>
      </c>
      <c r="BU204">
        <v>-2.4804529999999998</v>
      </c>
      <c r="BV204">
        <v>-0.223201804511274</v>
      </c>
      <c r="BW204">
        <v>3.2473796990804701E-2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1.7623745</v>
      </c>
      <c r="CD204">
        <v>3.73037593985002E-3</v>
      </c>
      <c r="CE204">
        <v>4.6037804845583301E-3</v>
      </c>
      <c r="CF204">
        <v>1</v>
      </c>
      <c r="CG204">
        <v>2</v>
      </c>
      <c r="CH204">
        <v>2</v>
      </c>
      <c r="CI204" t="s">
        <v>322</v>
      </c>
      <c r="CJ204">
        <v>3.53247</v>
      </c>
      <c r="CK204">
        <v>2.7010100000000001</v>
      </c>
      <c r="CL204">
        <v>0.18129700000000001</v>
      </c>
      <c r="CM204">
        <v>0.17894099999999999</v>
      </c>
      <c r="CN204">
        <v>8.6915599999999996E-2</v>
      </c>
      <c r="CO204">
        <v>7.83972E-2</v>
      </c>
      <c r="CP204">
        <v>28680.400000000001</v>
      </c>
      <c r="CQ204">
        <v>25289.200000000001</v>
      </c>
      <c r="CR204">
        <v>32424.400000000001</v>
      </c>
      <c r="CS204">
        <v>30729.200000000001</v>
      </c>
      <c r="CT204">
        <v>40109.4</v>
      </c>
      <c r="CU204">
        <v>39849.300000000003</v>
      </c>
      <c r="CV204">
        <v>47365.1</v>
      </c>
      <c r="CW204">
        <v>46879.6</v>
      </c>
      <c r="CX204">
        <v>2.6139399999999999</v>
      </c>
      <c r="CY204">
        <v>2.12216</v>
      </c>
      <c r="CZ204">
        <v>0</v>
      </c>
      <c r="DA204">
        <v>0</v>
      </c>
      <c r="DB204">
        <v>999.9</v>
      </c>
      <c r="DC204">
        <v>999.9</v>
      </c>
      <c r="DD204">
        <v>44.622</v>
      </c>
      <c r="DE204">
        <v>28.913</v>
      </c>
      <c r="DF204">
        <v>17.863299999999999</v>
      </c>
      <c r="DG204">
        <v>30.5884</v>
      </c>
      <c r="DH204">
        <v>16.923100000000002</v>
      </c>
      <c r="DI204">
        <v>2</v>
      </c>
      <c r="DJ204">
        <v>-6.7524399999999998E-2</v>
      </c>
      <c r="DK204">
        <v>2.74552</v>
      </c>
      <c r="DL204">
        <v>20.187000000000001</v>
      </c>
      <c r="DM204">
        <v>5.2511900000000002</v>
      </c>
      <c r="DN204">
        <v>12.033899999999999</v>
      </c>
      <c r="DO204">
        <v>4.9677600000000002</v>
      </c>
      <c r="DP204">
        <v>3.2909999999999999</v>
      </c>
      <c r="DQ204">
        <v>608.70000000000005</v>
      </c>
      <c r="DR204">
        <v>9999</v>
      </c>
      <c r="DS204">
        <v>9999</v>
      </c>
      <c r="DT204">
        <v>9999</v>
      </c>
      <c r="DU204">
        <v>1.8711599999999999</v>
      </c>
      <c r="DV204">
        <v>1.87616</v>
      </c>
      <c r="DW204">
        <v>1.8763700000000001</v>
      </c>
      <c r="DX204">
        <v>1.88286</v>
      </c>
      <c r="DY204">
        <v>1.87561</v>
      </c>
      <c r="DZ204">
        <v>1.87469</v>
      </c>
      <c r="EA204">
        <v>1.87087</v>
      </c>
      <c r="EB204">
        <v>1.8746799999999999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-0.64700000000000002</v>
      </c>
      <c r="EQ204">
        <v>6.93E-2</v>
      </c>
      <c r="ER204">
        <v>-0.64699999999993496</v>
      </c>
      <c r="ES204">
        <v>0</v>
      </c>
      <c r="ET204">
        <v>0</v>
      </c>
      <c r="EU204">
        <v>0</v>
      </c>
      <c r="EV204">
        <v>6.9300000000000098E-2</v>
      </c>
      <c r="EW204">
        <v>0</v>
      </c>
      <c r="EX204">
        <v>0</v>
      </c>
      <c r="EY204">
        <v>0</v>
      </c>
      <c r="EZ204">
        <v>-1</v>
      </c>
      <c r="FA204">
        <v>-1</v>
      </c>
      <c r="FB204">
        <v>-1</v>
      </c>
      <c r="FC204">
        <v>-1</v>
      </c>
      <c r="FD204">
        <v>8.1</v>
      </c>
      <c r="FE204">
        <v>8.4</v>
      </c>
      <c r="FF204">
        <v>2.5878899999999998</v>
      </c>
      <c r="FG204">
        <v>2.5903299999999998</v>
      </c>
      <c r="FH204">
        <v>2.19604</v>
      </c>
      <c r="FI204">
        <v>2.5744600000000002</v>
      </c>
      <c r="FJ204">
        <v>2.4462899999999999</v>
      </c>
      <c r="FK204">
        <v>2.2680699999999998</v>
      </c>
      <c r="FL204">
        <v>33.176900000000003</v>
      </c>
      <c r="FM204">
        <v>24.1313</v>
      </c>
      <c r="FN204">
        <v>19</v>
      </c>
      <c r="FO204">
        <v>866.90700000000004</v>
      </c>
      <c r="FP204">
        <v>577.09699999999998</v>
      </c>
      <c r="FQ204">
        <v>17.807300000000001</v>
      </c>
      <c r="FR204">
        <v>26.114000000000001</v>
      </c>
      <c r="FS204">
        <v>30.0001</v>
      </c>
      <c r="FT204">
        <v>26.119199999999999</v>
      </c>
      <c r="FU204">
        <v>26.122900000000001</v>
      </c>
      <c r="FV204">
        <v>51.904000000000003</v>
      </c>
      <c r="FW204">
        <v>27.612200000000001</v>
      </c>
      <c r="FX204">
        <v>37.956600000000002</v>
      </c>
      <c r="FY204">
        <v>17.803000000000001</v>
      </c>
      <c r="FZ204">
        <v>1000</v>
      </c>
      <c r="GA204">
        <v>13.666600000000001</v>
      </c>
      <c r="GB204">
        <v>99.794799999999995</v>
      </c>
      <c r="GC204">
        <v>99.782700000000006</v>
      </c>
    </row>
    <row r="205" spans="1:185" x14ac:dyDescent="0.2">
      <c r="A205">
        <v>190</v>
      </c>
      <c r="B205">
        <v>1771106873.0999999</v>
      </c>
      <c r="C205">
        <v>3760</v>
      </c>
      <c r="D205" t="s">
        <v>685</v>
      </c>
      <c r="E205" t="s">
        <v>686</v>
      </c>
      <c r="F205">
        <v>15</v>
      </c>
      <c r="G205">
        <v>1771106865.03333</v>
      </c>
      <c r="H205">
        <f t="shared" si="26"/>
        <v>1.4389822451737191E-3</v>
      </c>
      <c r="I205">
        <v>0</v>
      </c>
      <c r="J205">
        <f t="shared" si="38"/>
        <v>3.1134366283665789E-2</v>
      </c>
      <c r="K205">
        <f t="shared" si="27"/>
        <v>0.55672151975450868</v>
      </c>
      <c r="L205">
        <f t="shared" si="28"/>
        <v>69.789835307516498</v>
      </c>
      <c r="M205">
        <f t="shared" si="29"/>
        <v>1.539014872711445</v>
      </c>
      <c r="N205">
        <f t="shared" si="30"/>
        <v>2.2052135041300063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26205.153599240908</v>
      </c>
      <c r="T205">
        <f t="shared" si="34"/>
        <v>799.99993333333305</v>
      </c>
      <c r="U205">
        <f t="shared" si="35"/>
        <v>674.40027979997126</v>
      </c>
      <c r="V205">
        <f t="shared" si="36"/>
        <v>0.84300041999999942</v>
      </c>
      <c r="W205">
        <f t="shared" si="37"/>
        <v>0.15870130983999986</v>
      </c>
      <c r="X205">
        <v>1</v>
      </c>
      <c r="Y205">
        <v>1771106865.03333</v>
      </c>
      <c r="Z205">
        <v>997.51340000000005</v>
      </c>
      <c r="AA205">
        <v>1000.00353333333</v>
      </c>
      <c r="AB205">
        <v>15.3873466666667</v>
      </c>
      <c r="AC205">
        <v>13.6163133333333</v>
      </c>
      <c r="AD205">
        <v>998.16039999999998</v>
      </c>
      <c r="AE205">
        <v>15.318046666666699</v>
      </c>
      <c r="AF205">
        <v>800.00760000000002</v>
      </c>
      <c r="AG205">
        <v>99.955093333333295</v>
      </c>
      <c r="AH205">
        <v>6.3116826666666695E-2</v>
      </c>
      <c r="AI205">
        <v>19.000240000000002</v>
      </c>
      <c r="AJ205">
        <v>999.9</v>
      </c>
      <c r="AK205">
        <v>999.9</v>
      </c>
      <c r="AL205">
        <v>0</v>
      </c>
      <c r="AM205">
        <v>0</v>
      </c>
      <c r="AN205">
        <v>4999.1333333333296</v>
      </c>
      <c r="AO205">
        <v>0</v>
      </c>
      <c r="AP205">
        <v>1.58087</v>
      </c>
      <c r="AQ205">
        <v>-2.49116266666667</v>
      </c>
      <c r="AR205">
        <v>1013.10133333333</v>
      </c>
      <c r="AS205">
        <v>1013.80866666667</v>
      </c>
      <c r="AT205">
        <v>1.771018</v>
      </c>
      <c r="AU205">
        <v>1000.00353333333</v>
      </c>
      <c r="AV205">
        <v>13.6163133333333</v>
      </c>
      <c r="AW205">
        <v>1.5380446666666701</v>
      </c>
      <c r="AX205">
        <v>1.3610213333333301</v>
      </c>
      <c r="AY205">
        <v>13.3516933333333</v>
      </c>
      <c r="AZ205">
        <v>11.490159999999999</v>
      </c>
      <c r="BA205">
        <v>799.99993333333305</v>
      </c>
      <c r="BB205">
        <v>0.89998213333333299</v>
      </c>
      <c r="BC205">
        <v>0</v>
      </c>
      <c r="BD205">
        <v>0.100017733333333</v>
      </c>
      <c r="BE205">
        <v>0</v>
      </c>
      <c r="BF205">
        <v>25</v>
      </c>
      <c r="BG205">
        <v>13190.946666666699</v>
      </c>
      <c r="BH205">
        <v>1771106372.0999999</v>
      </c>
      <c r="BI205" t="s">
        <v>636</v>
      </c>
      <c r="BJ205">
        <v>1771106372.0999999</v>
      </c>
      <c r="BK205">
        <v>1771106352.0999999</v>
      </c>
      <c r="BL205">
        <v>22</v>
      </c>
      <c r="BM205">
        <v>4.3999999999999997E-2</v>
      </c>
      <c r="BN205">
        <v>7.0000000000000001E-3</v>
      </c>
      <c r="BO205">
        <v>-0.64700000000000002</v>
      </c>
      <c r="BP205">
        <v>6.9000000000000006E-2</v>
      </c>
      <c r="BQ205">
        <v>800</v>
      </c>
      <c r="BR205">
        <v>14</v>
      </c>
      <c r="BS205">
        <v>0.31</v>
      </c>
      <c r="BT205">
        <v>0.02</v>
      </c>
      <c r="BU205">
        <v>-2.4962019047619002</v>
      </c>
      <c r="BV205">
        <v>8.2136103896100002E-2</v>
      </c>
      <c r="BW205">
        <v>2.25235076391729E-2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1.7693142857142901</v>
      </c>
      <c r="CD205">
        <v>-6.7219480519482996E-2</v>
      </c>
      <c r="CE205">
        <v>1.9223803838304399E-2</v>
      </c>
      <c r="CF205">
        <v>1</v>
      </c>
      <c r="CG205">
        <v>2</v>
      </c>
      <c r="CH205">
        <v>2</v>
      </c>
      <c r="CI205" t="s">
        <v>322</v>
      </c>
      <c r="CJ205">
        <v>3.5325000000000002</v>
      </c>
      <c r="CK205">
        <v>2.7007400000000001</v>
      </c>
      <c r="CL205">
        <v>0.18130499999999999</v>
      </c>
      <c r="CM205">
        <v>0.178948</v>
      </c>
      <c r="CN205">
        <v>8.6970099999999995E-2</v>
      </c>
      <c r="CO205">
        <v>7.8616199999999997E-2</v>
      </c>
      <c r="CP205">
        <v>28680</v>
      </c>
      <c r="CQ205">
        <v>25288.6</v>
      </c>
      <c r="CR205">
        <v>32424.2</v>
      </c>
      <c r="CS205">
        <v>30728.799999999999</v>
      </c>
      <c r="CT205">
        <v>40106.699999999997</v>
      </c>
      <c r="CU205">
        <v>39839.300000000003</v>
      </c>
      <c r="CV205">
        <v>47364.9</v>
      </c>
      <c r="CW205">
        <v>46879.199999999997</v>
      </c>
      <c r="CX205">
        <v>2.6139600000000001</v>
      </c>
      <c r="CY205">
        <v>2.1219199999999998</v>
      </c>
      <c r="CZ205">
        <v>0</v>
      </c>
      <c r="DA205">
        <v>0</v>
      </c>
      <c r="DB205">
        <v>999.9</v>
      </c>
      <c r="DC205">
        <v>999.9</v>
      </c>
      <c r="DD205">
        <v>44.548999999999999</v>
      </c>
      <c r="DE205">
        <v>28.913</v>
      </c>
      <c r="DF205">
        <v>17.834</v>
      </c>
      <c r="DG205">
        <v>30.528400000000001</v>
      </c>
      <c r="DH205">
        <v>16.875</v>
      </c>
      <c r="DI205">
        <v>2</v>
      </c>
      <c r="DJ205">
        <v>-6.7355700000000004E-2</v>
      </c>
      <c r="DK205">
        <v>2.7318799999999999</v>
      </c>
      <c r="DL205">
        <v>20.1873</v>
      </c>
      <c r="DM205">
        <v>5.25143</v>
      </c>
      <c r="DN205">
        <v>12.033899999999999</v>
      </c>
      <c r="DO205">
        <v>4.9678000000000004</v>
      </c>
      <c r="DP205">
        <v>3.2909999999999999</v>
      </c>
      <c r="DQ205">
        <v>608.70000000000005</v>
      </c>
      <c r="DR205">
        <v>9999</v>
      </c>
      <c r="DS205">
        <v>9999</v>
      </c>
      <c r="DT205">
        <v>9999</v>
      </c>
      <c r="DU205">
        <v>1.8711800000000001</v>
      </c>
      <c r="DV205">
        <v>1.87615</v>
      </c>
      <c r="DW205">
        <v>1.87636</v>
      </c>
      <c r="DX205">
        <v>1.8828800000000001</v>
      </c>
      <c r="DY205">
        <v>1.8756200000000001</v>
      </c>
      <c r="DZ205">
        <v>1.87469</v>
      </c>
      <c r="EA205">
        <v>1.8708800000000001</v>
      </c>
      <c r="EB205">
        <v>1.8746799999999999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-0.64700000000000002</v>
      </c>
      <c r="EQ205">
        <v>6.93E-2</v>
      </c>
      <c r="ER205">
        <v>-0.64699999999993496</v>
      </c>
      <c r="ES205">
        <v>0</v>
      </c>
      <c r="ET205">
        <v>0</v>
      </c>
      <c r="EU205">
        <v>0</v>
      </c>
      <c r="EV205">
        <v>6.9300000000000098E-2</v>
      </c>
      <c r="EW205">
        <v>0</v>
      </c>
      <c r="EX205">
        <v>0</v>
      </c>
      <c r="EY205">
        <v>0</v>
      </c>
      <c r="EZ205">
        <v>-1</v>
      </c>
      <c r="FA205">
        <v>-1</v>
      </c>
      <c r="FB205">
        <v>-1</v>
      </c>
      <c r="FC205">
        <v>-1</v>
      </c>
      <c r="FD205">
        <v>8.3000000000000007</v>
      </c>
      <c r="FE205">
        <v>8.6999999999999993</v>
      </c>
      <c r="FF205">
        <v>2.5878899999999998</v>
      </c>
      <c r="FG205">
        <v>2.5854499999999998</v>
      </c>
      <c r="FH205">
        <v>2.19604</v>
      </c>
      <c r="FI205">
        <v>2.5744600000000002</v>
      </c>
      <c r="FJ205">
        <v>2.4462899999999999</v>
      </c>
      <c r="FK205">
        <v>2.2985799999999998</v>
      </c>
      <c r="FL205">
        <v>33.176900000000003</v>
      </c>
      <c r="FM205">
        <v>24.14</v>
      </c>
      <c r="FN205">
        <v>19</v>
      </c>
      <c r="FO205">
        <v>866.93200000000002</v>
      </c>
      <c r="FP205">
        <v>576.91200000000003</v>
      </c>
      <c r="FQ205">
        <v>17.8035</v>
      </c>
      <c r="FR205">
        <v>26.116199999999999</v>
      </c>
      <c r="FS205">
        <v>30.0002</v>
      </c>
      <c r="FT205">
        <v>26.119599999999998</v>
      </c>
      <c r="FU205">
        <v>26.122900000000001</v>
      </c>
      <c r="FV205">
        <v>51.902799999999999</v>
      </c>
      <c r="FW205">
        <v>27.334399999999999</v>
      </c>
      <c r="FX205">
        <v>37.956600000000002</v>
      </c>
      <c r="FY205">
        <v>17.805800000000001</v>
      </c>
      <c r="FZ205">
        <v>1000</v>
      </c>
      <c r="GA205">
        <v>13.6663</v>
      </c>
      <c r="GB205">
        <v>99.794300000000007</v>
      </c>
      <c r="GC205">
        <v>99.781700000000001</v>
      </c>
    </row>
    <row r="206" spans="1:185" x14ac:dyDescent="0.2">
      <c r="A206">
        <v>191</v>
      </c>
      <c r="B206">
        <v>1771106888.0999999</v>
      </c>
      <c r="C206">
        <v>3775</v>
      </c>
      <c r="D206" t="s">
        <v>687</v>
      </c>
      <c r="E206" t="s">
        <v>688</v>
      </c>
      <c r="F206">
        <v>15</v>
      </c>
      <c r="G206">
        <v>1771106880.03333</v>
      </c>
      <c r="H206">
        <f t="shared" si="26"/>
        <v>1.4231904841732197E-3</v>
      </c>
      <c r="I206">
        <v>0</v>
      </c>
      <c r="J206">
        <f t="shared" si="38"/>
        <v>3.1103043990872752E-2</v>
      </c>
      <c r="K206">
        <f t="shared" si="27"/>
        <v>0.55616143787305783</v>
      </c>
      <c r="L206">
        <f t="shared" si="28"/>
        <v>69.887809786045807</v>
      </c>
      <c r="M206">
        <f t="shared" si="29"/>
        <v>1.5410811716306583</v>
      </c>
      <c r="N206">
        <f t="shared" si="30"/>
        <v>2.2050786486921203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26226.220147815846</v>
      </c>
      <c r="T206">
        <f t="shared" si="34"/>
        <v>799.999866666667</v>
      </c>
      <c r="U206">
        <f t="shared" si="35"/>
        <v>674.40025399993988</v>
      </c>
      <c r="V206">
        <f t="shared" si="36"/>
        <v>0.84300045800000079</v>
      </c>
      <c r="W206">
        <f t="shared" si="37"/>
        <v>0.15870114500000015</v>
      </c>
      <c r="X206">
        <v>1</v>
      </c>
      <c r="Y206">
        <v>1771106880.03333</v>
      </c>
      <c r="Z206">
        <v>997.52473333333296</v>
      </c>
      <c r="AA206">
        <v>999.99446666666699</v>
      </c>
      <c r="AB206">
        <v>15.4078866666667</v>
      </c>
      <c r="AC206">
        <v>13.6563466666667</v>
      </c>
      <c r="AD206">
        <v>998.17160000000001</v>
      </c>
      <c r="AE206">
        <v>15.3385866666667</v>
      </c>
      <c r="AF206">
        <v>800.0172</v>
      </c>
      <c r="AG206">
        <v>99.955746666666698</v>
      </c>
      <c r="AH206">
        <v>6.3237440000000006E-2</v>
      </c>
      <c r="AI206">
        <v>18.99926</v>
      </c>
      <c r="AJ206">
        <v>999.9</v>
      </c>
      <c r="AK206">
        <v>999.9</v>
      </c>
      <c r="AL206">
        <v>0</v>
      </c>
      <c r="AM206">
        <v>0</v>
      </c>
      <c r="AN206">
        <v>5002.5666666666702</v>
      </c>
      <c r="AO206">
        <v>0</v>
      </c>
      <c r="AP206">
        <v>1.58087</v>
      </c>
      <c r="AQ206">
        <v>-2.4703613333333299</v>
      </c>
      <c r="AR206">
        <v>1013.134</v>
      </c>
      <c r="AS206">
        <v>1013.84066666667</v>
      </c>
      <c r="AT206">
        <v>1.7515480000000001</v>
      </c>
      <c r="AU206">
        <v>999.99446666666699</v>
      </c>
      <c r="AV206">
        <v>13.6563466666667</v>
      </c>
      <c r="AW206">
        <v>1.5401086666666699</v>
      </c>
      <c r="AX206">
        <v>1.3650313333333299</v>
      </c>
      <c r="AY206">
        <v>13.37228</v>
      </c>
      <c r="AZ206">
        <v>11.53464</v>
      </c>
      <c r="BA206">
        <v>799.999866666667</v>
      </c>
      <c r="BB206">
        <v>0.89998473333333395</v>
      </c>
      <c r="BC206">
        <v>0</v>
      </c>
      <c r="BD206">
        <v>0.100015266666667</v>
      </c>
      <c r="BE206">
        <v>0</v>
      </c>
      <c r="BF206">
        <v>25</v>
      </c>
      <c r="BG206">
        <v>13190.96</v>
      </c>
      <c r="BH206">
        <v>1771106372.0999999</v>
      </c>
      <c r="BI206" t="s">
        <v>636</v>
      </c>
      <c r="BJ206">
        <v>1771106372.0999999</v>
      </c>
      <c r="BK206">
        <v>1771106352.0999999</v>
      </c>
      <c r="BL206">
        <v>22</v>
      </c>
      <c r="BM206">
        <v>4.3999999999999997E-2</v>
      </c>
      <c r="BN206">
        <v>7.0000000000000001E-3</v>
      </c>
      <c r="BO206">
        <v>-0.64700000000000002</v>
      </c>
      <c r="BP206">
        <v>6.9000000000000006E-2</v>
      </c>
      <c r="BQ206">
        <v>800</v>
      </c>
      <c r="BR206">
        <v>14</v>
      </c>
      <c r="BS206">
        <v>0.31</v>
      </c>
      <c r="BT206">
        <v>0.02</v>
      </c>
      <c r="BU206">
        <v>-2.4763760000000001</v>
      </c>
      <c r="BV206">
        <v>0.13664210526316201</v>
      </c>
      <c r="BW206">
        <v>2.3104242770538901E-2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1.7495609999999999</v>
      </c>
      <c r="CD206">
        <v>5.06445112781964E-2</v>
      </c>
      <c r="CE206">
        <v>5.6960274753550698E-3</v>
      </c>
      <c r="CF206">
        <v>1</v>
      </c>
      <c r="CG206">
        <v>2</v>
      </c>
      <c r="CH206">
        <v>2</v>
      </c>
      <c r="CI206" t="s">
        <v>322</v>
      </c>
      <c r="CJ206">
        <v>3.5325600000000001</v>
      </c>
      <c r="CK206">
        <v>2.7013699999999998</v>
      </c>
      <c r="CL206">
        <v>0.18130399999999999</v>
      </c>
      <c r="CM206">
        <v>0.17893999999999999</v>
      </c>
      <c r="CN206">
        <v>8.7023299999999998E-2</v>
      </c>
      <c r="CO206">
        <v>7.8617599999999996E-2</v>
      </c>
      <c r="CP206">
        <v>28680.6</v>
      </c>
      <c r="CQ206">
        <v>25288.6</v>
      </c>
      <c r="CR206">
        <v>32424.9</v>
      </c>
      <c r="CS206">
        <v>30728.5</v>
      </c>
      <c r="CT206">
        <v>40105</v>
      </c>
      <c r="CU206">
        <v>39838.9</v>
      </c>
      <c r="CV206">
        <v>47365.7</v>
      </c>
      <c r="CW206">
        <v>46878.8</v>
      </c>
      <c r="CX206">
        <v>2.61382</v>
      </c>
      <c r="CY206">
        <v>2.1219000000000001</v>
      </c>
      <c r="CZ206">
        <v>0</v>
      </c>
      <c r="DA206">
        <v>0</v>
      </c>
      <c r="DB206">
        <v>999.9</v>
      </c>
      <c r="DC206">
        <v>999.9</v>
      </c>
      <c r="DD206">
        <v>44.5</v>
      </c>
      <c r="DE206">
        <v>28.913</v>
      </c>
      <c r="DF206">
        <v>17.8157</v>
      </c>
      <c r="DG206">
        <v>30.618400000000001</v>
      </c>
      <c r="DH206">
        <v>16.8109</v>
      </c>
      <c r="DI206">
        <v>2</v>
      </c>
      <c r="DJ206">
        <v>-6.7347599999999994E-2</v>
      </c>
      <c r="DK206">
        <v>2.73292</v>
      </c>
      <c r="DL206">
        <v>20.187200000000001</v>
      </c>
      <c r="DM206">
        <v>5.2509499999999996</v>
      </c>
      <c r="DN206">
        <v>12.033899999999999</v>
      </c>
      <c r="DO206">
        <v>4.9676</v>
      </c>
      <c r="DP206">
        <v>3.2909999999999999</v>
      </c>
      <c r="DQ206">
        <v>608.70000000000005</v>
      </c>
      <c r="DR206">
        <v>9999</v>
      </c>
      <c r="DS206">
        <v>9999</v>
      </c>
      <c r="DT206">
        <v>9999</v>
      </c>
      <c r="DU206">
        <v>1.87117</v>
      </c>
      <c r="DV206">
        <v>1.87616</v>
      </c>
      <c r="DW206">
        <v>1.87636</v>
      </c>
      <c r="DX206">
        <v>1.88287</v>
      </c>
      <c r="DY206">
        <v>1.8756200000000001</v>
      </c>
      <c r="DZ206">
        <v>1.87469</v>
      </c>
      <c r="EA206">
        <v>1.87087</v>
      </c>
      <c r="EB206">
        <v>1.8746799999999999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-0.64700000000000002</v>
      </c>
      <c r="EQ206">
        <v>6.93E-2</v>
      </c>
      <c r="ER206">
        <v>-0.64699999999993496</v>
      </c>
      <c r="ES206">
        <v>0</v>
      </c>
      <c r="ET206">
        <v>0</v>
      </c>
      <c r="EU206">
        <v>0</v>
      </c>
      <c r="EV206">
        <v>6.9300000000000098E-2</v>
      </c>
      <c r="EW206">
        <v>0</v>
      </c>
      <c r="EX206">
        <v>0</v>
      </c>
      <c r="EY206">
        <v>0</v>
      </c>
      <c r="EZ206">
        <v>-1</v>
      </c>
      <c r="FA206">
        <v>-1</v>
      </c>
      <c r="FB206">
        <v>-1</v>
      </c>
      <c r="FC206">
        <v>-1</v>
      </c>
      <c r="FD206">
        <v>8.6</v>
      </c>
      <c r="FE206">
        <v>8.9</v>
      </c>
      <c r="FF206">
        <v>2.5878899999999998</v>
      </c>
      <c r="FG206">
        <v>2.5842299999999998</v>
      </c>
      <c r="FH206">
        <v>2.19604</v>
      </c>
      <c r="FI206">
        <v>2.5744600000000002</v>
      </c>
      <c r="FJ206">
        <v>2.4462899999999999</v>
      </c>
      <c r="FK206">
        <v>2.3010299999999999</v>
      </c>
      <c r="FL206">
        <v>33.199199999999998</v>
      </c>
      <c r="FM206">
        <v>24.14</v>
      </c>
      <c r="FN206">
        <v>19</v>
      </c>
      <c r="FO206">
        <v>866.83</v>
      </c>
      <c r="FP206">
        <v>576.89700000000005</v>
      </c>
      <c r="FQ206">
        <v>17.808199999999999</v>
      </c>
      <c r="FR206">
        <v>26.118400000000001</v>
      </c>
      <c r="FS206">
        <v>30.0001</v>
      </c>
      <c r="FT206">
        <v>26.121400000000001</v>
      </c>
      <c r="FU206">
        <v>26.122900000000001</v>
      </c>
      <c r="FV206">
        <v>51.904699999999998</v>
      </c>
      <c r="FW206">
        <v>27.334399999999999</v>
      </c>
      <c r="FX206">
        <v>37.956600000000002</v>
      </c>
      <c r="FY206">
        <v>17.8066</v>
      </c>
      <c r="FZ206">
        <v>1000</v>
      </c>
      <c r="GA206">
        <v>13.6663</v>
      </c>
      <c r="GB206">
        <v>99.796000000000006</v>
      </c>
      <c r="GC206">
        <v>99.780799999999999</v>
      </c>
    </row>
    <row r="207" spans="1:185" x14ac:dyDescent="0.2">
      <c r="A207">
        <v>192</v>
      </c>
      <c r="B207">
        <v>1771106903.0999999</v>
      </c>
      <c r="C207">
        <v>3790</v>
      </c>
      <c r="D207" t="s">
        <v>689</v>
      </c>
      <c r="E207" t="s">
        <v>690</v>
      </c>
      <c r="F207">
        <v>15</v>
      </c>
      <c r="G207">
        <v>1771106895.03333</v>
      </c>
      <c r="H207">
        <f t="shared" si="26"/>
        <v>1.4334725688245843E-3</v>
      </c>
      <c r="I207">
        <v>0</v>
      </c>
      <c r="J207">
        <f t="shared" si="38"/>
        <v>3.1020226116772916E-2</v>
      </c>
      <c r="K207">
        <f t="shared" si="27"/>
        <v>0.55468055040897324</v>
      </c>
      <c r="L207">
        <f t="shared" si="28"/>
        <v>69.924545475581496</v>
      </c>
      <c r="M207">
        <f t="shared" si="29"/>
        <v>1.5422511179895522</v>
      </c>
      <c r="N207">
        <f t="shared" si="30"/>
        <v>2.2055933399354379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26190.80711839502</v>
      </c>
      <c r="T207">
        <f t="shared" si="34"/>
        <v>800.00019999999995</v>
      </c>
      <c r="U207">
        <f t="shared" si="35"/>
        <v>674.4004614000736</v>
      </c>
      <c r="V207">
        <f t="shared" si="36"/>
        <v>0.8430003660000005</v>
      </c>
      <c r="W207">
        <f t="shared" si="37"/>
        <v>0.15870104492000012</v>
      </c>
      <c r="X207">
        <v>1</v>
      </c>
      <c r="Y207">
        <v>1771106895.03333</v>
      </c>
      <c r="Z207">
        <v>997.52113333333295</v>
      </c>
      <c r="AA207">
        <v>1000.00186666667</v>
      </c>
      <c r="AB207">
        <v>15.4193933333333</v>
      </c>
      <c r="AC207">
        <v>13.655193333333299</v>
      </c>
      <c r="AD207">
        <v>998.168133333333</v>
      </c>
      <c r="AE207">
        <v>15.3500933333333</v>
      </c>
      <c r="AF207">
        <v>800.00526666666701</v>
      </c>
      <c r="AG207">
        <v>99.956800000000001</v>
      </c>
      <c r="AH207">
        <v>6.3420293333333294E-2</v>
      </c>
      <c r="AI207">
        <v>19.003</v>
      </c>
      <c r="AJ207">
        <v>999.9</v>
      </c>
      <c r="AK207">
        <v>999.9</v>
      </c>
      <c r="AL207">
        <v>0</v>
      </c>
      <c r="AM207">
        <v>0</v>
      </c>
      <c r="AN207">
        <v>4996.7333333333299</v>
      </c>
      <c r="AO207">
        <v>0</v>
      </c>
      <c r="AP207">
        <v>1.58087</v>
      </c>
      <c r="AQ207">
        <v>-2.4814706666666702</v>
      </c>
      <c r="AR207">
        <v>1013.14266666667</v>
      </c>
      <c r="AS207">
        <v>1013.846</v>
      </c>
      <c r="AT207">
        <v>1.7641993333333299</v>
      </c>
      <c r="AU207">
        <v>1000.00186666667</v>
      </c>
      <c r="AV207">
        <v>13.655193333333299</v>
      </c>
      <c r="AW207">
        <v>1.5412726666666701</v>
      </c>
      <c r="AX207">
        <v>1.3649293333333301</v>
      </c>
      <c r="AY207">
        <v>13.383853333333301</v>
      </c>
      <c r="AZ207">
        <v>11.533526666666701</v>
      </c>
      <c r="BA207">
        <v>800.00019999999995</v>
      </c>
      <c r="BB207">
        <v>0.89998586666666702</v>
      </c>
      <c r="BC207">
        <v>0</v>
      </c>
      <c r="BD207">
        <v>0.100014066666667</v>
      </c>
      <c r="BE207">
        <v>0</v>
      </c>
      <c r="BF207">
        <v>25</v>
      </c>
      <c r="BG207">
        <v>13190.98</v>
      </c>
      <c r="BH207">
        <v>1771106372.0999999</v>
      </c>
      <c r="BI207" t="s">
        <v>636</v>
      </c>
      <c r="BJ207">
        <v>1771106372.0999999</v>
      </c>
      <c r="BK207">
        <v>1771106352.0999999</v>
      </c>
      <c r="BL207">
        <v>22</v>
      </c>
      <c r="BM207">
        <v>4.3999999999999997E-2</v>
      </c>
      <c r="BN207">
        <v>7.0000000000000001E-3</v>
      </c>
      <c r="BO207">
        <v>-0.64700000000000002</v>
      </c>
      <c r="BP207">
        <v>6.9000000000000006E-2</v>
      </c>
      <c r="BQ207">
        <v>800</v>
      </c>
      <c r="BR207">
        <v>14</v>
      </c>
      <c r="BS207">
        <v>0.31</v>
      </c>
      <c r="BT207">
        <v>0.02</v>
      </c>
      <c r="BU207">
        <v>-2.4773014285714301</v>
      </c>
      <c r="BV207">
        <v>-0.108516623376625</v>
      </c>
      <c r="BW207">
        <v>2.9928674940155098E-2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1.7620323809523799</v>
      </c>
      <c r="CD207">
        <v>4.5307012987014103E-2</v>
      </c>
      <c r="CE207">
        <v>4.6314873726964502E-3</v>
      </c>
      <c r="CF207">
        <v>1</v>
      </c>
      <c r="CG207">
        <v>2</v>
      </c>
      <c r="CH207">
        <v>2</v>
      </c>
      <c r="CI207" t="s">
        <v>322</v>
      </c>
      <c r="CJ207">
        <v>3.5325000000000002</v>
      </c>
      <c r="CK207">
        <v>2.7010200000000002</v>
      </c>
      <c r="CL207">
        <v>0.18130399999999999</v>
      </c>
      <c r="CM207">
        <v>0.17894299999999999</v>
      </c>
      <c r="CN207">
        <v>8.7068900000000005E-2</v>
      </c>
      <c r="CO207">
        <v>7.8607399999999994E-2</v>
      </c>
      <c r="CP207">
        <v>28680.5</v>
      </c>
      <c r="CQ207">
        <v>25288.6</v>
      </c>
      <c r="CR207">
        <v>32424.799999999999</v>
      </c>
      <c r="CS207">
        <v>30728.7</v>
      </c>
      <c r="CT207">
        <v>40102.9</v>
      </c>
      <c r="CU207">
        <v>39839.5</v>
      </c>
      <c r="CV207">
        <v>47365.599999999999</v>
      </c>
      <c r="CW207">
        <v>46879</v>
      </c>
      <c r="CX207">
        <v>2.6140599999999998</v>
      </c>
      <c r="CY207">
        <v>2.1219399999999999</v>
      </c>
      <c r="CZ207">
        <v>0</v>
      </c>
      <c r="DA207">
        <v>0</v>
      </c>
      <c r="DB207">
        <v>999.9</v>
      </c>
      <c r="DC207">
        <v>999.9</v>
      </c>
      <c r="DD207">
        <v>44.5</v>
      </c>
      <c r="DE207">
        <v>28.922999999999998</v>
      </c>
      <c r="DF207">
        <v>17.8249</v>
      </c>
      <c r="DG207">
        <v>30.528400000000001</v>
      </c>
      <c r="DH207">
        <v>16.770800000000001</v>
      </c>
      <c r="DI207">
        <v>2</v>
      </c>
      <c r="DJ207">
        <v>-6.7069100000000006E-2</v>
      </c>
      <c r="DK207">
        <v>2.7680899999999999</v>
      </c>
      <c r="DL207">
        <v>20.186699999999998</v>
      </c>
      <c r="DM207">
        <v>5.25143</v>
      </c>
      <c r="DN207">
        <v>12.033899999999999</v>
      </c>
      <c r="DO207">
        <v>4.9677600000000002</v>
      </c>
      <c r="DP207">
        <v>3.2909999999999999</v>
      </c>
      <c r="DQ207">
        <v>608.70000000000005</v>
      </c>
      <c r="DR207">
        <v>9999</v>
      </c>
      <c r="DS207">
        <v>9999</v>
      </c>
      <c r="DT207">
        <v>9999</v>
      </c>
      <c r="DU207">
        <v>1.8711599999999999</v>
      </c>
      <c r="DV207">
        <v>1.8762000000000001</v>
      </c>
      <c r="DW207">
        <v>1.8763700000000001</v>
      </c>
      <c r="DX207">
        <v>1.88287</v>
      </c>
      <c r="DY207">
        <v>1.8756299999999999</v>
      </c>
      <c r="DZ207">
        <v>1.87469</v>
      </c>
      <c r="EA207">
        <v>1.8708800000000001</v>
      </c>
      <c r="EB207">
        <v>1.87469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-0.64700000000000002</v>
      </c>
      <c r="EQ207">
        <v>6.93E-2</v>
      </c>
      <c r="ER207">
        <v>-0.64699999999993496</v>
      </c>
      <c r="ES207">
        <v>0</v>
      </c>
      <c r="ET207">
        <v>0</v>
      </c>
      <c r="EU207">
        <v>0</v>
      </c>
      <c r="EV207">
        <v>6.9300000000000098E-2</v>
      </c>
      <c r="EW207">
        <v>0</v>
      </c>
      <c r="EX207">
        <v>0</v>
      </c>
      <c r="EY207">
        <v>0</v>
      </c>
      <c r="EZ207">
        <v>-1</v>
      </c>
      <c r="FA207">
        <v>-1</v>
      </c>
      <c r="FB207">
        <v>-1</v>
      </c>
      <c r="FC207">
        <v>-1</v>
      </c>
      <c r="FD207">
        <v>8.8000000000000007</v>
      </c>
      <c r="FE207">
        <v>9.1999999999999993</v>
      </c>
      <c r="FF207">
        <v>2.5878899999999998</v>
      </c>
      <c r="FG207">
        <v>2.5878899999999998</v>
      </c>
      <c r="FH207">
        <v>2.19604</v>
      </c>
      <c r="FI207">
        <v>2.5744600000000002</v>
      </c>
      <c r="FJ207">
        <v>2.4462899999999999</v>
      </c>
      <c r="FK207">
        <v>2.3059099999999999</v>
      </c>
      <c r="FL207">
        <v>33.176900000000003</v>
      </c>
      <c r="FM207">
        <v>24.14</v>
      </c>
      <c r="FN207">
        <v>19</v>
      </c>
      <c r="FO207">
        <v>867.05399999999997</v>
      </c>
      <c r="FP207">
        <v>576.952</v>
      </c>
      <c r="FQ207">
        <v>17.801300000000001</v>
      </c>
      <c r="FR207">
        <v>26.118500000000001</v>
      </c>
      <c r="FS207">
        <v>30.0001</v>
      </c>
      <c r="FT207">
        <v>26.121400000000001</v>
      </c>
      <c r="FU207">
        <v>26.1251</v>
      </c>
      <c r="FV207">
        <v>51.904499999999999</v>
      </c>
      <c r="FW207">
        <v>27.334399999999999</v>
      </c>
      <c r="FX207">
        <v>37.5839</v>
      </c>
      <c r="FY207">
        <v>17.797599999999999</v>
      </c>
      <c r="FZ207">
        <v>1000</v>
      </c>
      <c r="GA207">
        <v>13.6663</v>
      </c>
      <c r="GB207">
        <v>99.7958</v>
      </c>
      <c r="GC207">
        <v>99.781300000000002</v>
      </c>
    </row>
    <row r="208" spans="1:185" x14ac:dyDescent="0.2">
      <c r="A208">
        <v>193</v>
      </c>
      <c r="B208">
        <v>1771106918.0999999</v>
      </c>
      <c r="C208">
        <v>3805</v>
      </c>
      <c r="D208" t="s">
        <v>691</v>
      </c>
      <c r="E208" t="s">
        <v>692</v>
      </c>
      <c r="F208">
        <v>15</v>
      </c>
      <c r="G208">
        <v>1771106910.03333</v>
      </c>
      <c r="H208">
        <f t="shared" ref="H208:H227" si="39">AF208*Q208*(AB208-AC208)/(1000*X208*(1000-Q208*AB208))</f>
        <v>1.4557469286336847E-3</v>
      </c>
      <c r="I208">
        <v>0</v>
      </c>
      <c r="J208">
        <f t="shared" si="38"/>
        <v>3.04147862571508E-2</v>
      </c>
      <c r="K208">
        <f t="shared" ref="K208:K227" si="40">AF208*Q208*(AA208-Z208*(1000-Q208*AC208)/(1000-Q208*AB208))/(1000*X208)</f>
        <v>0.54385452633969211</v>
      </c>
      <c r="L208">
        <f t="shared" ref="L208:L227" si="41">(M208/N208*100)</f>
        <v>69.925953558463107</v>
      </c>
      <c r="M208">
        <f t="shared" ref="M208:M227" si="42">AB208*(AG208+AH208)/1000</f>
        <v>1.5419998916688653</v>
      </c>
      <c r="N208">
        <f t="shared" ref="N208:N227" si="43">0.61365*EXP(17.502*AI208/(240.97+AI208))</f>
        <v>2.2051896516214726</v>
      </c>
      <c r="O208">
        <v>0</v>
      </c>
      <c r="P208">
        <v>0</v>
      </c>
      <c r="Q208">
        <f t="shared" ref="Q208:Q227" si="44">IF(O208*$H$13&gt;=S208,1,(S208/(S208-O208*$H$13)))</f>
        <v>1</v>
      </c>
      <c r="R208">
        <f t="shared" ref="R208:R227" si="45">(Q208-1)*100</f>
        <v>0</v>
      </c>
      <c r="S208">
        <f t="shared" ref="S208:S227" si="46">MAX(0,($B$13+$C$13*AN208)/(1+$D$13*AN208)*AG208/(AI208+273)*$E$13)</f>
        <v>26213.348555424458</v>
      </c>
      <c r="T208">
        <f t="shared" ref="T208:T227" si="47">$B$11*AO208+$C$11*AP208+$D$11*BA208</f>
        <v>799.999866666667</v>
      </c>
      <c r="U208">
        <f t="shared" ref="U208:U227" si="48">T208*V208</f>
        <v>674.40010519996383</v>
      </c>
      <c r="V208">
        <f t="shared" ref="V208:V227" si="49">($B$11*$D$9+$C$11*$D$9+$D$11*(BB208*$E$9+BC208*$F$9+BD208*$G$9+BE208*$H$9))/($B$11+$C$11+$D$11)</f>
        <v>0.84300027199999972</v>
      </c>
      <c r="W208">
        <f t="shared" ref="W208:W227" si="50">($B$11*$L$9+$C$11*$L$9+$D$11*(BB208*$M$9+BC208*$N$9+BD208*$O$9+BE208*$P$9))/($B$11+$C$11+$D$11)</f>
        <v>0.15870119967999993</v>
      </c>
      <c r="X208">
        <v>1</v>
      </c>
      <c r="Y208">
        <v>1771106910.03333</v>
      </c>
      <c r="Z208">
        <v>997.54866666666703</v>
      </c>
      <c r="AA208">
        <v>1000.04366666667</v>
      </c>
      <c r="AB208">
        <v>15.417020000000001</v>
      </c>
      <c r="AC208">
        <v>13.62542</v>
      </c>
      <c r="AD208">
        <v>998.19566666666697</v>
      </c>
      <c r="AE208">
        <v>15.347720000000001</v>
      </c>
      <c r="AF208">
        <v>800.01319999999998</v>
      </c>
      <c r="AG208">
        <v>99.956239999999994</v>
      </c>
      <c r="AH208">
        <v>6.3082260000000001E-2</v>
      </c>
      <c r="AI208">
        <v>19.000066666666701</v>
      </c>
      <c r="AJ208">
        <v>999.9</v>
      </c>
      <c r="AK208">
        <v>999.9</v>
      </c>
      <c r="AL208">
        <v>0</v>
      </c>
      <c r="AM208">
        <v>0</v>
      </c>
      <c r="AN208">
        <v>5000.4333333333298</v>
      </c>
      <c r="AO208">
        <v>0</v>
      </c>
      <c r="AP208">
        <v>1.58087</v>
      </c>
      <c r="AQ208">
        <v>-2.4943620000000002</v>
      </c>
      <c r="AR208">
        <v>1013.168</v>
      </c>
      <c r="AS208">
        <v>1013.85666666667</v>
      </c>
      <c r="AT208">
        <v>1.7916046666666701</v>
      </c>
      <c r="AU208">
        <v>1000.04366666667</v>
      </c>
      <c r="AV208">
        <v>13.62542</v>
      </c>
      <c r="AW208">
        <v>1.5410280000000001</v>
      </c>
      <c r="AX208">
        <v>1.3619446666666699</v>
      </c>
      <c r="AY208">
        <v>13.381406666666701</v>
      </c>
      <c r="AZ208">
        <v>11.5004333333333</v>
      </c>
      <c r="BA208">
        <v>799.999866666667</v>
      </c>
      <c r="BB208">
        <v>0.89998319999999998</v>
      </c>
      <c r="BC208">
        <v>0</v>
      </c>
      <c r="BD208">
        <v>0.100016533333333</v>
      </c>
      <c r="BE208">
        <v>0</v>
      </c>
      <c r="BF208">
        <v>25</v>
      </c>
      <c r="BG208">
        <v>13190.96</v>
      </c>
      <c r="BH208">
        <v>1771106372.0999999</v>
      </c>
      <c r="BI208" t="s">
        <v>636</v>
      </c>
      <c r="BJ208">
        <v>1771106372.0999999</v>
      </c>
      <c r="BK208">
        <v>1771106352.0999999</v>
      </c>
      <c r="BL208">
        <v>22</v>
      </c>
      <c r="BM208">
        <v>4.3999999999999997E-2</v>
      </c>
      <c r="BN208">
        <v>7.0000000000000001E-3</v>
      </c>
      <c r="BO208">
        <v>-0.64700000000000002</v>
      </c>
      <c r="BP208">
        <v>6.9000000000000006E-2</v>
      </c>
      <c r="BQ208">
        <v>800</v>
      </c>
      <c r="BR208">
        <v>14</v>
      </c>
      <c r="BS208">
        <v>0.31</v>
      </c>
      <c r="BT208">
        <v>0.02</v>
      </c>
      <c r="BU208">
        <v>-2.49529523809524</v>
      </c>
      <c r="BV208">
        <v>1.45519480519482E-2</v>
      </c>
      <c r="BW208">
        <v>2.3323176214933398E-2</v>
      </c>
      <c r="BX208">
        <v>1</v>
      </c>
      <c r="BY208">
        <v>0</v>
      </c>
      <c r="BZ208">
        <v>0</v>
      </c>
      <c r="CA208">
        <v>0</v>
      </c>
      <c r="CB208">
        <v>-1</v>
      </c>
      <c r="CC208">
        <v>1.7838019047619</v>
      </c>
      <c r="CD208">
        <v>0.11529896103896201</v>
      </c>
      <c r="CE208">
        <v>1.4036293982132001E-2</v>
      </c>
      <c r="CF208">
        <v>0</v>
      </c>
      <c r="CG208">
        <v>1</v>
      </c>
      <c r="CH208">
        <v>2</v>
      </c>
      <c r="CI208" t="s">
        <v>299</v>
      </c>
      <c r="CJ208">
        <v>3.5325099999999998</v>
      </c>
      <c r="CK208">
        <v>2.70078</v>
      </c>
      <c r="CL208">
        <v>0.181311</v>
      </c>
      <c r="CM208">
        <v>0.178949</v>
      </c>
      <c r="CN208">
        <v>8.6965000000000001E-2</v>
      </c>
      <c r="CO208">
        <v>7.8439099999999998E-2</v>
      </c>
      <c r="CP208">
        <v>28679.9</v>
      </c>
      <c r="CQ208">
        <v>25288.1</v>
      </c>
      <c r="CR208">
        <v>32424.400000000001</v>
      </c>
      <c r="CS208">
        <v>30728.3</v>
      </c>
      <c r="CT208">
        <v>40107.300000000003</v>
      </c>
      <c r="CU208">
        <v>39846.400000000001</v>
      </c>
      <c r="CV208">
        <v>47365.3</v>
      </c>
      <c r="CW208">
        <v>46878.400000000001</v>
      </c>
      <c r="CX208">
        <v>2.61402</v>
      </c>
      <c r="CY208">
        <v>2.1215000000000002</v>
      </c>
      <c r="CZ208">
        <v>0</v>
      </c>
      <c r="DA208">
        <v>0</v>
      </c>
      <c r="DB208">
        <v>999.9</v>
      </c>
      <c r="DC208">
        <v>999.9</v>
      </c>
      <c r="DD208">
        <v>44.420999999999999</v>
      </c>
      <c r="DE208">
        <v>28.922999999999998</v>
      </c>
      <c r="DF208">
        <v>17.793600000000001</v>
      </c>
      <c r="DG208">
        <v>30.618400000000001</v>
      </c>
      <c r="DH208">
        <v>16.855</v>
      </c>
      <c r="DI208">
        <v>2</v>
      </c>
      <c r="DJ208">
        <v>-6.7186999999999997E-2</v>
      </c>
      <c r="DK208">
        <v>2.7352500000000002</v>
      </c>
      <c r="DL208">
        <v>20.187200000000001</v>
      </c>
      <c r="DM208">
        <v>5.25143</v>
      </c>
      <c r="DN208">
        <v>12.033899999999999</v>
      </c>
      <c r="DO208">
        <v>4.9677199999999999</v>
      </c>
      <c r="DP208">
        <v>3.2909999999999999</v>
      </c>
      <c r="DQ208">
        <v>608.70000000000005</v>
      </c>
      <c r="DR208">
        <v>9999</v>
      </c>
      <c r="DS208">
        <v>9999</v>
      </c>
      <c r="DT208">
        <v>9999</v>
      </c>
      <c r="DU208">
        <v>1.8711800000000001</v>
      </c>
      <c r="DV208">
        <v>1.87616</v>
      </c>
      <c r="DW208">
        <v>1.8763700000000001</v>
      </c>
      <c r="DX208">
        <v>1.8828499999999999</v>
      </c>
      <c r="DY208">
        <v>1.8756200000000001</v>
      </c>
      <c r="DZ208">
        <v>1.87469</v>
      </c>
      <c r="EA208">
        <v>1.8708800000000001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-0.64700000000000002</v>
      </c>
      <c r="EQ208">
        <v>6.93E-2</v>
      </c>
      <c r="ER208">
        <v>-0.64699999999993496</v>
      </c>
      <c r="ES208">
        <v>0</v>
      </c>
      <c r="ET208">
        <v>0</v>
      </c>
      <c r="EU208">
        <v>0</v>
      </c>
      <c r="EV208">
        <v>6.9300000000000098E-2</v>
      </c>
      <c r="EW208">
        <v>0</v>
      </c>
      <c r="EX208">
        <v>0</v>
      </c>
      <c r="EY208">
        <v>0</v>
      </c>
      <c r="EZ208">
        <v>-1</v>
      </c>
      <c r="FA208">
        <v>-1</v>
      </c>
      <c r="FB208">
        <v>-1</v>
      </c>
      <c r="FC208">
        <v>-1</v>
      </c>
      <c r="FD208">
        <v>9.1</v>
      </c>
      <c r="FE208">
        <v>9.4</v>
      </c>
      <c r="FF208">
        <v>2.5878899999999998</v>
      </c>
      <c r="FG208">
        <v>2.5891099999999998</v>
      </c>
      <c r="FH208">
        <v>2.19604</v>
      </c>
      <c r="FI208">
        <v>2.5744600000000002</v>
      </c>
      <c r="FJ208">
        <v>2.4462899999999999</v>
      </c>
      <c r="FK208">
        <v>2.3046899999999999</v>
      </c>
      <c r="FL208">
        <v>33.176900000000003</v>
      </c>
      <c r="FM208">
        <v>24.14</v>
      </c>
      <c r="FN208">
        <v>19</v>
      </c>
      <c r="FO208">
        <v>867.01700000000005</v>
      </c>
      <c r="FP208">
        <v>576.61300000000006</v>
      </c>
      <c r="FQ208">
        <v>17.8018</v>
      </c>
      <c r="FR208">
        <v>26.1206</v>
      </c>
      <c r="FS208">
        <v>30.0001</v>
      </c>
      <c r="FT208">
        <v>26.121400000000001</v>
      </c>
      <c r="FU208">
        <v>26.1251</v>
      </c>
      <c r="FV208">
        <v>51.895499999999998</v>
      </c>
      <c r="FW208">
        <v>27.334399999999999</v>
      </c>
      <c r="FX208">
        <v>37.5839</v>
      </c>
      <c r="FY208">
        <v>17.802</v>
      </c>
      <c r="FZ208">
        <v>1000</v>
      </c>
      <c r="GA208">
        <v>13.6663</v>
      </c>
      <c r="GB208">
        <v>99.794899999999998</v>
      </c>
      <c r="GC208">
        <v>99.78</v>
      </c>
    </row>
    <row r="209" spans="1:185" x14ac:dyDescent="0.2">
      <c r="A209">
        <v>194</v>
      </c>
      <c r="B209">
        <v>1771106933.0999999</v>
      </c>
      <c r="C209">
        <v>3820</v>
      </c>
      <c r="D209" t="s">
        <v>693</v>
      </c>
      <c r="E209" t="s">
        <v>694</v>
      </c>
      <c r="F209">
        <v>15</v>
      </c>
      <c r="G209">
        <v>1771106925.03333</v>
      </c>
      <c r="H209">
        <f t="shared" si="39"/>
        <v>1.4467273227083575E-3</v>
      </c>
      <c r="I209">
        <v>0</v>
      </c>
      <c r="J209">
        <f t="shared" ref="J209:J227" si="51">K209*(0.0007335/0.0131159)</f>
        <v>2.7817922364819839E-2</v>
      </c>
      <c r="K209">
        <f t="shared" si="40"/>
        <v>0.49741934280128225</v>
      </c>
      <c r="L209">
        <f t="shared" si="41"/>
        <v>69.819736590674978</v>
      </c>
      <c r="M209">
        <f t="shared" si="42"/>
        <v>1.5396806651793995</v>
      </c>
      <c r="N209">
        <f t="shared" si="43"/>
        <v>2.2052226782319844</v>
      </c>
      <c r="O209">
        <v>0</v>
      </c>
      <c r="P209">
        <v>0</v>
      </c>
      <c r="Q209">
        <f t="shared" si="44"/>
        <v>1</v>
      </c>
      <c r="R209">
        <f t="shared" si="45"/>
        <v>0</v>
      </c>
      <c r="S209">
        <f t="shared" si="46"/>
        <v>26208.888606481109</v>
      </c>
      <c r="T209">
        <f t="shared" si="47"/>
        <v>800</v>
      </c>
      <c r="U209">
        <f t="shared" si="48"/>
        <v>674.40031839999972</v>
      </c>
      <c r="V209">
        <f t="shared" si="49"/>
        <v>0.84300039799999971</v>
      </c>
      <c r="W209">
        <f t="shared" si="50"/>
        <v>0.15870112491999994</v>
      </c>
      <c r="X209">
        <v>1</v>
      </c>
      <c r="Y209">
        <v>1771106925.03333</v>
      </c>
      <c r="Z209">
        <v>997.56766666666601</v>
      </c>
      <c r="AA209">
        <v>999.99339999999995</v>
      </c>
      <c r="AB209">
        <v>15.3937133333333</v>
      </c>
      <c r="AC209">
        <v>13.61318</v>
      </c>
      <c r="AD209">
        <v>998.21466666666697</v>
      </c>
      <c r="AE209">
        <v>15.3244133333333</v>
      </c>
      <c r="AF209">
        <v>800.01693333333299</v>
      </c>
      <c r="AG209">
        <v>99.9570333333333</v>
      </c>
      <c r="AH209">
        <v>6.3061353333333306E-2</v>
      </c>
      <c r="AI209">
        <v>19.000306666666699</v>
      </c>
      <c r="AJ209">
        <v>999.9</v>
      </c>
      <c r="AK209">
        <v>999.9</v>
      </c>
      <c r="AL209">
        <v>0</v>
      </c>
      <c r="AM209">
        <v>0</v>
      </c>
      <c r="AN209">
        <v>4999.6666666666697</v>
      </c>
      <c r="AO209">
        <v>0</v>
      </c>
      <c r="AP209">
        <v>1.58087</v>
      </c>
      <c r="AQ209">
        <v>-2.4261633333333301</v>
      </c>
      <c r="AR209">
        <v>1013.164</v>
      </c>
      <c r="AS209">
        <v>1013.79466666667</v>
      </c>
      <c r="AT209">
        <v>1.780546</v>
      </c>
      <c r="AU209">
        <v>999.99339999999995</v>
      </c>
      <c r="AV209">
        <v>13.61318</v>
      </c>
      <c r="AW209">
        <v>1.5387093333333299</v>
      </c>
      <c r="AX209">
        <v>1.36073133333333</v>
      </c>
      <c r="AY209">
        <v>13.358333333333301</v>
      </c>
      <c r="AZ209">
        <v>11.486966666666699</v>
      </c>
      <c r="BA209">
        <v>800</v>
      </c>
      <c r="BB209">
        <v>0.89998480000000003</v>
      </c>
      <c r="BC209">
        <v>0</v>
      </c>
      <c r="BD209">
        <v>0.10001513333333301</v>
      </c>
      <c r="BE209">
        <v>0</v>
      </c>
      <c r="BF209">
        <v>25</v>
      </c>
      <c r="BG209">
        <v>13190.96</v>
      </c>
      <c r="BH209">
        <v>1771106372.0999999</v>
      </c>
      <c r="BI209" t="s">
        <v>636</v>
      </c>
      <c r="BJ209">
        <v>1771106372.0999999</v>
      </c>
      <c r="BK209">
        <v>1771106352.0999999</v>
      </c>
      <c r="BL209">
        <v>22</v>
      </c>
      <c r="BM209">
        <v>4.3999999999999997E-2</v>
      </c>
      <c r="BN209">
        <v>7.0000000000000001E-3</v>
      </c>
      <c r="BO209">
        <v>-0.64700000000000002</v>
      </c>
      <c r="BP209">
        <v>6.9000000000000006E-2</v>
      </c>
      <c r="BQ209">
        <v>800</v>
      </c>
      <c r="BR209">
        <v>14</v>
      </c>
      <c r="BS209">
        <v>0.31</v>
      </c>
      <c r="BT209">
        <v>0.02</v>
      </c>
      <c r="BU209">
        <v>-2.4421528571428599</v>
      </c>
      <c r="BV209">
        <v>0.26190077922077898</v>
      </c>
      <c r="BW209">
        <v>3.3360573842109401E-2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1.7837571428571399</v>
      </c>
      <c r="CD209">
        <v>-5.9971948051947499E-2</v>
      </c>
      <c r="CE209">
        <v>6.3209878242905899E-3</v>
      </c>
      <c r="CF209">
        <v>1</v>
      </c>
      <c r="CG209">
        <v>2</v>
      </c>
      <c r="CH209">
        <v>2</v>
      </c>
      <c r="CI209" t="s">
        <v>322</v>
      </c>
      <c r="CJ209">
        <v>3.5325299999999999</v>
      </c>
      <c r="CK209">
        <v>2.7009599999999998</v>
      </c>
      <c r="CL209">
        <v>0.181308</v>
      </c>
      <c r="CM209">
        <v>0.17893899999999999</v>
      </c>
      <c r="CN209">
        <v>8.6921399999999996E-2</v>
      </c>
      <c r="CO209">
        <v>7.8426599999999999E-2</v>
      </c>
      <c r="CP209">
        <v>28680.2</v>
      </c>
      <c r="CQ209">
        <v>25289</v>
      </c>
      <c r="CR209">
        <v>32424.6</v>
      </c>
      <c r="CS209">
        <v>30729</v>
      </c>
      <c r="CT209">
        <v>40109.5</v>
      </c>
      <c r="CU209">
        <v>39847.699999999997</v>
      </c>
      <c r="CV209">
        <v>47365.5</v>
      </c>
      <c r="CW209">
        <v>46879.199999999997</v>
      </c>
      <c r="CX209">
        <v>2.6140400000000001</v>
      </c>
      <c r="CY209">
        <v>2.1217199999999998</v>
      </c>
      <c r="CZ209">
        <v>0</v>
      </c>
      <c r="DA209">
        <v>0</v>
      </c>
      <c r="DB209">
        <v>999.9</v>
      </c>
      <c r="DC209">
        <v>999.9</v>
      </c>
      <c r="DD209">
        <v>44.36</v>
      </c>
      <c r="DE209">
        <v>28.943000000000001</v>
      </c>
      <c r="DF209">
        <v>17.789300000000001</v>
      </c>
      <c r="DG209">
        <v>30.348400000000002</v>
      </c>
      <c r="DH209">
        <v>16.863</v>
      </c>
      <c r="DI209">
        <v>2</v>
      </c>
      <c r="DJ209">
        <v>-6.7002000000000006E-2</v>
      </c>
      <c r="DK209">
        <v>2.73753</v>
      </c>
      <c r="DL209">
        <v>20.186900000000001</v>
      </c>
      <c r="DM209">
        <v>5.2511900000000002</v>
      </c>
      <c r="DN209">
        <v>12.033899999999999</v>
      </c>
      <c r="DO209">
        <v>4.9677199999999999</v>
      </c>
      <c r="DP209">
        <v>3.2909999999999999</v>
      </c>
      <c r="DQ209">
        <v>608.70000000000005</v>
      </c>
      <c r="DR209">
        <v>9999</v>
      </c>
      <c r="DS209">
        <v>9999</v>
      </c>
      <c r="DT209">
        <v>9999</v>
      </c>
      <c r="DU209">
        <v>1.8711800000000001</v>
      </c>
      <c r="DV209">
        <v>1.87616</v>
      </c>
      <c r="DW209">
        <v>1.8763700000000001</v>
      </c>
      <c r="DX209">
        <v>1.8828400000000001</v>
      </c>
      <c r="DY209">
        <v>1.87561</v>
      </c>
      <c r="DZ209">
        <v>1.8746799999999999</v>
      </c>
      <c r="EA209">
        <v>1.87087</v>
      </c>
      <c r="EB209">
        <v>1.87469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-0.64700000000000002</v>
      </c>
      <c r="EQ209">
        <v>6.93E-2</v>
      </c>
      <c r="ER209">
        <v>-0.64699999999993496</v>
      </c>
      <c r="ES209">
        <v>0</v>
      </c>
      <c r="ET209">
        <v>0</v>
      </c>
      <c r="EU209">
        <v>0</v>
      </c>
      <c r="EV209">
        <v>6.9300000000000098E-2</v>
      </c>
      <c r="EW209">
        <v>0</v>
      </c>
      <c r="EX209">
        <v>0</v>
      </c>
      <c r="EY209">
        <v>0</v>
      </c>
      <c r="EZ209">
        <v>-1</v>
      </c>
      <c r="FA209">
        <v>-1</v>
      </c>
      <c r="FB209">
        <v>-1</v>
      </c>
      <c r="FC209">
        <v>-1</v>
      </c>
      <c r="FD209">
        <v>9.3000000000000007</v>
      </c>
      <c r="FE209">
        <v>9.6999999999999993</v>
      </c>
      <c r="FF209">
        <v>2.5878899999999998</v>
      </c>
      <c r="FG209">
        <v>2.5927699999999998</v>
      </c>
      <c r="FH209">
        <v>2.19604</v>
      </c>
      <c r="FI209">
        <v>2.5744600000000002</v>
      </c>
      <c r="FJ209">
        <v>2.4462899999999999</v>
      </c>
      <c r="FK209">
        <v>2.2863799999999999</v>
      </c>
      <c r="FL209">
        <v>33.176900000000003</v>
      </c>
      <c r="FM209">
        <v>24.1313</v>
      </c>
      <c r="FN209">
        <v>19</v>
      </c>
      <c r="FO209">
        <v>867.04899999999998</v>
      </c>
      <c r="FP209">
        <v>576.78200000000004</v>
      </c>
      <c r="FQ209">
        <v>17.800899999999999</v>
      </c>
      <c r="FR209">
        <v>26.1206</v>
      </c>
      <c r="FS209">
        <v>30.0001</v>
      </c>
      <c r="FT209">
        <v>26.122299999999999</v>
      </c>
      <c r="FU209">
        <v>26.1251</v>
      </c>
      <c r="FV209">
        <v>51.901800000000001</v>
      </c>
      <c r="FW209">
        <v>27.334399999999999</v>
      </c>
      <c r="FX209">
        <v>37.5839</v>
      </c>
      <c r="FY209">
        <v>17.802</v>
      </c>
      <c r="FZ209">
        <v>1000</v>
      </c>
      <c r="GA209">
        <v>13.6684</v>
      </c>
      <c r="GB209">
        <v>99.795500000000004</v>
      </c>
      <c r="GC209">
        <v>99.781999999999996</v>
      </c>
    </row>
    <row r="210" spans="1:185" x14ac:dyDescent="0.2">
      <c r="A210">
        <v>195</v>
      </c>
      <c r="B210">
        <v>1771106948.0999999</v>
      </c>
      <c r="C210">
        <v>3835</v>
      </c>
      <c r="D210" t="s">
        <v>695</v>
      </c>
      <c r="E210" t="s">
        <v>696</v>
      </c>
      <c r="F210">
        <v>15</v>
      </c>
      <c r="G210">
        <v>1771106940.03333</v>
      </c>
      <c r="H210">
        <f t="shared" si="39"/>
        <v>1.4389196793748789E-3</v>
      </c>
      <c r="I210">
        <v>0</v>
      </c>
      <c r="J210">
        <f t="shared" si="51"/>
        <v>2.8084063114933635E-2</v>
      </c>
      <c r="K210">
        <f t="shared" si="40"/>
        <v>0.50217827322311936</v>
      </c>
      <c r="L210">
        <f t="shared" si="41"/>
        <v>69.783215422688343</v>
      </c>
      <c r="M210">
        <f t="shared" si="42"/>
        <v>1.5390225441622514</v>
      </c>
      <c r="N210">
        <f t="shared" si="43"/>
        <v>2.2054336918127664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26223.478718004972</v>
      </c>
      <c r="T210">
        <f t="shared" si="47"/>
        <v>800.00053333333301</v>
      </c>
      <c r="U210">
        <f t="shared" si="48"/>
        <v>674.40081760024475</v>
      </c>
      <c r="V210">
        <f t="shared" si="49"/>
        <v>0.84300045999999962</v>
      </c>
      <c r="W210">
        <f t="shared" si="50"/>
        <v>0.15870127991999997</v>
      </c>
      <c r="X210">
        <v>1</v>
      </c>
      <c r="Y210">
        <v>1771106940.03333</v>
      </c>
      <c r="Z210">
        <v>997.55240000000003</v>
      </c>
      <c r="AA210">
        <v>999.97433333333299</v>
      </c>
      <c r="AB210">
        <v>15.38714</v>
      </c>
      <c r="AC210">
        <v>13.6161933333333</v>
      </c>
      <c r="AD210">
        <v>998.19939999999997</v>
      </c>
      <c r="AE210">
        <v>15.31784</v>
      </c>
      <c r="AF210">
        <v>800.01213333333305</v>
      </c>
      <c r="AG210">
        <v>99.956959999999995</v>
      </c>
      <c r="AH210">
        <v>6.3092079999999995E-2</v>
      </c>
      <c r="AI210">
        <v>19.001840000000001</v>
      </c>
      <c r="AJ210">
        <v>999.9</v>
      </c>
      <c r="AK210">
        <v>999.9</v>
      </c>
      <c r="AL210">
        <v>0</v>
      </c>
      <c r="AM210">
        <v>0</v>
      </c>
      <c r="AN210">
        <v>5002.1000000000004</v>
      </c>
      <c r="AO210">
        <v>0</v>
      </c>
      <c r="AP210">
        <v>1.58087</v>
      </c>
      <c r="AQ210">
        <v>-2.42179733333333</v>
      </c>
      <c r="AR210">
        <v>1013.1420000000001</v>
      </c>
      <c r="AS210">
        <v>1013.77733333333</v>
      </c>
      <c r="AT210">
        <v>1.7709493333333299</v>
      </c>
      <c r="AU210">
        <v>999.97433333333299</v>
      </c>
      <c r="AV210">
        <v>13.6161933333333</v>
      </c>
      <c r="AW210">
        <v>1.53805066666667</v>
      </c>
      <c r="AX210">
        <v>1.361032</v>
      </c>
      <c r="AY210">
        <v>13.3517733333333</v>
      </c>
      <c r="AZ210">
        <v>11.4902933333333</v>
      </c>
      <c r="BA210">
        <v>800.00053333333301</v>
      </c>
      <c r="BB210">
        <v>0.89998273333333301</v>
      </c>
      <c r="BC210">
        <v>0</v>
      </c>
      <c r="BD210">
        <v>0.1000172</v>
      </c>
      <c r="BE210">
        <v>0</v>
      </c>
      <c r="BF210">
        <v>25</v>
      </c>
      <c r="BG210">
        <v>13190.98</v>
      </c>
      <c r="BH210">
        <v>1771106372.0999999</v>
      </c>
      <c r="BI210" t="s">
        <v>636</v>
      </c>
      <c r="BJ210">
        <v>1771106372.0999999</v>
      </c>
      <c r="BK210">
        <v>1771106352.0999999</v>
      </c>
      <c r="BL210">
        <v>22</v>
      </c>
      <c r="BM210">
        <v>4.3999999999999997E-2</v>
      </c>
      <c r="BN210">
        <v>7.0000000000000001E-3</v>
      </c>
      <c r="BO210">
        <v>-0.64700000000000002</v>
      </c>
      <c r="BP210">
        <v>6.9000000000000006E-2</v>
      </c>
      <c r="BQ210">
        <v>800</v>
      </c>
      <c r="BR210">
        <v>14</v>
      </c>
      <c r="BS210">
        <v>0.31</v>
      </c>
      <c r="BT210">
        <v>0.02</v>
      </c>
      <c r="BU210">
        <v>-2.4204620000000001</v>
      </c>
      <c r="BV210">
        <v>1.1659849624060499E-2</v>
      </c>
      <c r="BW210">
        <v>2.97340068944634E-2</v>
      </c>
      <c r="BX210">
        <v>1</v>
      </c>
      <c r="BY210">
        <v>0</v>
      </c>
      <c r="BZ210">
        <v>0</v>
      </c>
      <c r="CA210">
        <v>0</v>
      </c>
      <c r="CB210">
        <v>-1</v>
      </c>
      <c r="CC210">
        <v>1.772554</v>
      </c>
      <c r="CD210">
        <v>-7.1866466165411994E-2</v>
      </c>
      <c r="CE210">
        <v>9.0675566720037695E-3</v>
      </c>
      <c r="CF210">
        <v>1</v>
      </c>
      <c r="CG210">
        <v>2</v>
      </c>
      <c r="CH210">
        <v>2</v>
      </c>
      <c r="CI210" t="s">
        <v>322</v>
      </c>
      <c r="CJ210">
        <v>3.5325099999999998</v>
      </c>
      <c r="CK210">
        <v>2.7007400000000001</v>
      </c>
      <c r="CL210">
        <v>0.181308</v>
      </c>
      <c r="CM210">
        <v>0.17893999999999999</v>
      </c>
      <c r="CN210">
        <v>8.69032E-2</v>
      </c>
      <c r="CO210">
        <v>7.8565099999999999E-2</v>
      </c>
      <c r="CP210">
        <v>28680.6</v>
      </c>
      <c r="CQ210">
        <v>25288.7</v>
      </c>
      <c r="CR210">
        <v>32425.1</v>
      </c>
      <c r="CS210">
        <v>30728.7</v>
      </c>
      <c r="CT210">
        <v>40111.1</v>
      </c>
      <c r="CU210">
        <v>39841.1</v>
      </c>
      <c r="CV210">
        <v>47366.400000000001</v>
      </c>
      <c r="CW210">
        <v>46878.7</v>
      </c>
      <c r="CX210">
        <v>2.6140599999999998</v>
      </c>
      <c r="CY210">
        <v>2.12168</v>
      </c>
      <c r="CZ210">
        <v>0</v>
      </c>
      <c r="DA210">
        <v>0</v>
      </c>
      <c r="DB210">
        <v>999.9</v>
      </c>
      <c r="DC210">
        <v>999.9</v>
      </c>
      <c r="DD210">
        <v>44.347000000000001</v>
      </c>
      <c r="DE210">
        <v>28.922999999999998</v>
      </c>
      <c r="DF210">
        <v>17.7637</v>
      </c>
      <c r="DG210">
        <v>30.288399999999999</v>
      </c>
      <c r="DH210">
        <v>16.890999999999998</v>
      </c>
      <c r="DI210">
        <v>2</v>
      </c>
      <c r="DJ210">
        <v>-6.6845500000000002E-2</v>
      </c>
      <c r="DK210">
        <v>2.74918</v>
      </c>
      <c r="DL210">
        <v>20.187000000000001</v>
      </c>
      <c r="DM210">
        <v>5.2513100000000001</v>
      </c>
      <c r="DN210">
        <v>12.033899999999999</v>
      </c>
      <c r="DO210">
        <v>4.9676400000000003</v>
      </c>
      <c r="DP210">
        <v>3.2909999999999999</v>
      </c>
      <c r="DQ210">
        <v>608.70000000000005</v>
      </c>
      <c r="DR210">
        <v>9999</v>
      </c>
      <c r="DS210">
        <v>9999</v>
      </c>
      <c r="DT210">
        <v>9999</v>
      </c>
      <c r="DU210">
        <v>1.8711800000000001</v>
      </c>
      <c r="DV210">
        <v>1.87619</v>
      </c>
      <c r="DW210">
        <v>1.8763700000000001</v>
      </c>
      <c r="DX210">
        <v>1.8829199999999999</v>
      </c>
      <c r="DY210">
        <v>1.8756200000000001</v>
      </c>
      <c r="DZ210">
        <v>1.87469</v>
      </c>
      <c r="EA210">
        <v>1.8708800000000001</v>
      </c>
      <c r="EB210">
        <v>1.87469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-0.64700000000000002</v>
      </c>
      <c r="EQ210">
        <v>6.93E-2</v>
      </c>
      <c r="ER210">
        <v>-0.64699999999993496</v>
      </c>
      <c r="ES210">
        <v>0</v>
      </c>
      <c r="ET210">
        <v>0</v>
      </c>
      <c r="EU210">
        <v>0</v>
      </c>
      <c r="EV210">
        <v>6.9300000000000098E-2</v>
      </c>
      <c r="EW210">
        <v>0</v>
      </c>
      <c r="EX210">
        <v>0</v>
      </c>
      <c r="EY210">
        <v>0</v>
      </c>
      <c r="EZ210">
        <v>-1</v>
      </c>
      <c r="FA210">
        <v>-1</v>
      </c>
      <c r="FB210">
        <v>-1</v>
      </c>
      <c r="FC210">
        <v>-1</v>
      </c>
      <c r="FD210">
        <v>9.6</v>
      </c>
      <c r="FE210">
        <v>9.9</v>
      </c>
      <c r="FF210">
        <v>2.5878899999999998</v>
      </c>
      <c r="FG210">
        <v>2.5964399999999999</v>
      </c>
      <c r="FH210">
        <v>2.19604</v>
      </c>
      <c r="FI210">
        <v>2.5744600000000002</v>
      </c>
      <c r="FJ210">
        <v>2.4462899999999999</v>
      </c>
      <c r="FK210">
        <v>2.2522000000000002</v>
      </c>
      <c r="FL210">
        <v>33.199199999999998</v>
      </c>
      <c r="FM210">
        <v>24.1313</v>
      </c>
      <c r="FN210">
        <v>19</v>
      </c>
      <c r="FO210">
        <v>867.08900000000006</v>
      </c>
      <c r="FP210">
        <v>576.77499999999998</v>
      </c>
      <c r="FQ210">
        <v>17.8004</v>
      </c>
      <c r="FR210">
        <v>26.122800000000002</v>
      </c>
      <c r="FS210">
        <v>30.0002</v>
      </c>
      <c r="FT210">
        <v>26.1236</v>
      </c>
      <c r="FU210">
        <v>26.127300000000002</v>
      </c>
      <c r="FV210">
        <v>51.902099999999997</v>
      </c>
      <c r="FW210">
        <v>27.059799999999999</v>
      </c>
      <c r="FX210">
        <v>37.5839</v>
      </c>
      <c r="FY210">
        <v>17.797499999999999</v>
      </c>
      <c r="FZ210">
        <v>1000</v>
      </c>
      <c r="GA210">
        <v>13.674300000000001</v>
      </c>
      <c r="GB210">
        <v>99.797200000000004</v>
      </c>
      <c r="GC210">
        <v>99.780900000000003</v>
      </c>
    </row>
    <row r="211" spans="1:185" x14ac:dyDescent="0.2">
      <c r="A211">
        <v>196</v>
      </c>
      <c r="B211">
        <v>1771106963.0999999</v>
      </c>
      <c r="C211">
        <v>3850</v>
      </c>
      <c r="D211" t="s">
        <v>697</v>
      </c>
      <c r="E211" t="s">
        <v>698</v>
      </c>
      <c r="F211">
        <v>15</v>
      </c>
      <c r="G211">
        <v>1771106955.03333</v>
      </c>
      <c r="H211">
        <f t="shared" si="39"/>
        <v>1.4302496106015981E-3</v>
      </c>
      <c r="I211">
        <v>0</v>
      </c>
      <c r="J211">
        <f t="shared" si="51"/>
        <v>3.0313318880011982E-2</v>
      </c>
      <c r="K211">
        <f t="shared" si="40"/>
        <v>0.54204016236993746</v>
      </c>
      <c r="L211">
        <f t="shared" si="41"/>
        <v>69.824191829687237</v>
      </c>
      <c r="M211">
        <f t="shared" si="42"/>
        <v>1.5398109421837272</v>
      </c>
      <c r="N211">
        <f t="shared" si="43"/>
        <v>2.2052685492437649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26204.491758745637</v>
      </c>
      <c r="T211">
        <f t="shared" si="47"/>
        <v>799.99940000000004</v>
      </c>
      <c r="U211">
        <f t="shared" si="48"/>
        <v>674.3998733997156</v>
      </c>
      <c r="V211">
        <f t="shared" si="49"/>
        <v>0.843000474</v>
      </c>
      <c r="W211">
        <f t="shared" si="50"/>
        <v>0.15870118499999999</v>
      </c>
      <c r="X211">
        <v>1</v>
      </c>
      <c r="Y211">
        <v>1771106955.03333</v>
      </c>
      <c r="Z211">
        <v>997.54533333333302</v>
      </c>
      <c r="AA211">
        <v>1000.0062666666699</v>
      </c>
      <c r="AB211">
        <v>15.39486</v>
      </c>
      <c r="AC211">
        <v>13.634600000000001</v>
      </c>
      <c r="AD211">
        <v>998.19233333333295</v>
      </c>
      <c r="AE211">
        <v>15.32686</v>
      </c>
      <c r="AF211">
        <v>800.01313333333303</v>
      </c>
      <c r="AG211">
        <v>99.958100000000002</v>
      </c>
      <c r="AH211">
        <v>6.3007186666666701E-2</v>
      </c>
      <c r="AI211">
        <v>19.000640000000001</v>
      </c>
      <c r="AJ211">
        <v>999.9</v>
      </c>
      <c r="AK211">
        <v>999.9</v>
      </c>
      <c r="AL211">
        <v>0</v>
      </c>
      <c r="AM211">
        <v>0</v>
      </c>
      <c r="AN211">
        <v>4998.8999999999996</v>
      </c>
      <c r="AO211">
        <v>0</v>
      </c>
      <c r="AP211">
        <v>1.58087</v>
      </c>
      <c r="AQ211">
        <v>-2.4603846666666702</v>
      </c>
      <c r="AR211">
        <v>1013.14333333333</v>
      </c>
      <c r="AS211">
        <v>1013.8293333333301</v>
      </c>
      <c r="AT211">
        <v>1.761558</v>
      </c>
      <c r="AU211">
        <v>1000.0062666666699</v>
      </c>
      <c r="AV211">
        <v>13.634600000000001</v>
      </c>
      <c r="AW211">
        <v>1.5389699999999999</v>
      </c>
      <c r="AX211">
        <v>1.36288866666667</v>
      </c>
      <c r="AY211">
        <v>13.3609333333333</v>
      </c>
      <c r="AZ211">
        <v>11.5108866666667</v>
      </c>
      <c r="BA211">
        <v>799.99940000000004</v>
      </c>
      <c r="BB211">
        <v>0.89998420000000001</v>
      </c>
      <c r="BC211">
        <v>0</v>
      </c>
      <c r="BD211">
        <v>0.1000158</v>
      </c>
      <c r="BE211">
        <v>0</v>
      </c>
      <c r="BF211">
        <v>25</v>
      </c>
      <c r="BG211">
        <v>13190.96</v>
      </c>
      <c r="BH211">
        <v>1771106987.0999999</v>
      </c>
      <c r="BI211" t="s">
        <v>699</v>
      </c>
      <c r="BJ211">
        <v>1771106372.0999999</v>
      </c>
      <c r="BK211">
        <v>1771106987.0999999</v>
      </c>
      <c r="BL211">
        <v>23</v>
      </c>
      <c r="BM211">
        <v>4.3999999999999997E-2</v>
      </c>
      <c r="BN211">
        <v>-1E-3</v>
      </c>
      <c r="BO211">
        <v>-0.64700000000000002</v>
      </c>
      <c r="BP211">
        <v>6.8000000000000005E-2</v>
      </c>
      <c r="BQ211">
        <v>800</v>
      </c>
      <c r="BR211">
        <v>14</v>
      </c>
      <c r="BS211">
        <v>0.31</v>
      </c>
      <c r="BT211">
        <v>0.04</v>
      </c>
      <c r="BU211">
        <v>-2.4515966666666702</v>
      </c>
      <c r="BV211">
        <v>-0.188128831168832</v>
      </c>
      <c r="BW211">
        <v>4.2924195567061701E-2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1.76163380952381</v>
      </c>
      <c r="CD211">
        <v>7.0902857142859904E-2</v>
      </c>
      <c r="CE211">
        <v>1.5714611482914798E-2</v>
      </c>
      <c r="CF211">
        <v>1</v>
      </c>
      <c r="CG211">
        <v>2</v>
      </c>
      <c r="CH211">
        <v>2</v>
      </c>
      <c r="CI211" t="s">
        <v>322</v>
      </c>
      <c r="CJ211">
        <v>3.5325799999999998</v>
      </c>
      <c r="CK211">
        <v>2.7009799999999999</v>
      </c>
      <c r="CL211">
        <v>0.181315</v>
      </c>
      <c r="CM211">
        <v>0.178957</v>
      </c>
      <c r="CN211">
        <v>8.6954299999999998E-2</v>
      </c>
      <c r="CO211">
        <v>7.8386300000000006E-2</v>
      </c>
      <c r="CP211">
        <v>28680.2</v>
      </c>
      <c r="CQ211">
        <v>25288</v>
      </c>
      <c r="CR211">
        <v>32424.9</v>
      </c>
      <c r="CS211">
        <v>30728.5</v>
      </c>
      <c r="CT211">
        <v>40108.199999999997</v>
      </c>
      <c r="CU211">
        <v>39848.9</v>
      </c>
      <c r="CV211">
        <v>47365.8</v>
      </c>
      <c r="CW211">
        <v>46878.5</v>
      </c>
      <c r="CX211">
        <v>2.6137999999999999</v>
      </c>
      <c r="CY211">
        <v>2.12168</v>
      </c>
      <c r="CZ211">
        <v>0</v>
      </c>
      <c r="DA211">
        <v>0</v>
      </c>
      <c r="DB211">
        <v>999.9</v>
      </c>
      <c r="DC211">
        <v>999.9</v>
      </c>
      <c r="DD211">
        <v>44.286000000000001</v>
      </c>
      <c r="DE211">
        <v>28.943000000000001</v>
      </c>
      <c r="DF211">
        <v>17.759</v>
      </c>
      <c r="DG211">
        <v>30.4984</v>
      </c>
      <c r="DH211">
        <v>16.855</v>
      </c>
      <c r="DI211">
        <v>2</v>
      </c>
      <c r="DJ211">
        <v>-6.6772399999999996E-2</v>
      </c>
      <c r="DK211">
        <v>2.7402799999999998</v>
      </c>
      <c r="DL211">
        <v>20.186900000000001</v>
      </c>
      <c r="DM211">
        <v>5.2508299999999997</v>
      </c>
      <c r="DN211">
        <v>12.033899999999999</v>
      </c>
      <c r="DO211">
        <v>4.96732</v>
      </c>
      <c r="DP211">
        <v>3.2909999999999999</v>
      </c>
      <c r="DQ211">
        <v>608.70000000000005</v>
      </c>
      <c r="DR211">
        <v>9999</v>
      </c>
      <c r="DS211">
        <v>9999</v>
      </c>
      <c r="DT211">
        <v>9999</v>
      </c>
      <c r="DU211">
        <v>1.8711899999999999</v>
      </c>
      <c r="DV211">
        <v>1.8762000000000001</v>
      </c>
      <c r="DW211">
        <v>1.8763700000000001</v>
      </c>
      <c r="DX211">
        <v>1.8828800000000001</v>
      </c>
      <c r="DY211">
        <v>1.8756200000000001</v>
      </c>
      <c r="DZ211">
        <v>1.87469</v>
      </c>
      <c r="EA211">
        <v>1.8708800000000001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-0.64700000000000002</v>
      </c>
      <c r="EQ211">
        <v>6.8000000000000005E-2</v>
      </c>
      <c r="ER211">
        <v>-0.64699999999993496</v>
      </c>
      <c r="ES211">
        <v>0</v>
      </c>
      <c r="ET211">
        <v>0</v>
      </c>
      <c r="EU211">
        <v>0</v>
      </c>
      <c r="EV211">
        <v>6.9300000000000098E-2</v>
      </c>
      <c r="EW211">
        <v>0</v>
      </c>
      <c r="EX211">
        <v>0</v>
      </c>
      <c r="EY211">
        <v>0</v>
      </c>
      <c r="EZ211">
        <v>-1</v>
      </c>
      <c r="FA211">
        <v>-1</v>
      </c>
      <c r="FB211">
        <v>-1</v>
      </c>
      <c r="FC211">
        <v>-1</v>
      </c>
      <c r="FD211">
        <v>9.8000000000000007</v>
      </c>
      <c r="FE211">
        <v>10.199999999999999</v>
      </c>
      <c r="FF211">
        <v>2.5878899999999998</v>
      </c>
      <c r="FG211">
        <v>2.5927699999999998</v>
      </c>
      <c r="FH211">
        <v>2.19604</v>
      </c>
      <c r="FI211">
        <v>2.5732400000000002</v>
      </c>
      <c r="FJ211">
        <v>2.4462899999999999</v>
      </c>
      <c r="FK211">
        <v>2.2656200000000002</v>
      </c>
      <c r="FL211">
        <v>33.176900000000003</v>
      </c>
      <c r="FM211">
        <v>24.1313</v>
      </c>
      <c r="FN211">
        <v>19</v>
      </c>
      <c r="FO211">
        <v>866.846</v>
      </c>
      <c r="FP211">
        <v>576.75099999999998</v>
      </c>
      <c r="FQ211">
        <v>17.794599999999999</v>
      </c>
      <c r="FR211">
        <v>26.122800000000002</v>
      </c>
      <c r="FS211">
        <v>30.0001</v>
      </c>
      <c r="FT211">
        <v>26.1236</v>
      </c>
      <c r="FU211">
        <v>26.1251</v>
      </c>
      <c r="FV211">
        <v>51.898699999999998</v>
      </c>
      <c r="FW211">
        <v>27.059799999999999</v>
      </c>
      <c r="FX211">
        <v>37.211199999999998</v>
      </c>
      <c r="FY211">
        <v>17.798100000000002</v>
      </c>
      <c r="FZ211">
        <v>1000</v>
      </c>
      <c r="GA211">
        <v>13.674200000000001</v>
      </c>
      <c r="GB211">
        <v>99.796199999999999</v>
      </c>
      <c r="GC211">
        <v>99.7804</v>
      </c>
    </row>
    <row r="212" spans="1:185" x14ac:dyDescent="0.2">
      <c r="A212">
        <v>197</v>
      </c>
      <c r="B212">
        <v>1771106989.0999999</v>
      </c>
      <c r="C212">
        <v>3876</v>
      </c>
      <c r="D212" t="s">
        <v>700</v>
      </c>
      <c r="E212" t="s">
        <v>701</v>
      </c>
      <c r="F212">
        <v>15</v>
      </c>
      <c r="G212">
        <v>1771106988.0999999</v>
      </c>
      <c r="H212">
        <f t="shared" si="39"/>
        <v>-7.2993763501827106E-7</v>
      </c>
      <c r="I212">
        <v>0</v>
      </c>
      <c r="J212">
        <f t="shared" si="51"/>
        <v>2.143616305149575E-3</v>
      </c>
      <c r="K212">
        <f t="shared" si="40"/>
        <v>3.8330548189108804E-2</v>
      </c>
      <c r="L212">
        <f t="shared" si="41"/>
        <v>61.691636225417724</v>
      </c>
      <c r="M212">
        <f t="shared" si="42"/>
        <v>1.36019121088697</v>
      </c>
      <c r="N212">
        <f t="shared" si="43"/>
        <v>2.2048227184588018</v>
      </c>
      <c r="O212">
        <v>497</v>
      </c>
      <c r="P212">
        <v>62</v>
      </c>
      <c r="Q212">
        <f t="shared" si="44"/>
        <v>1</v>
      </c>
      <c r="R212">
        <f t="shared" si="45"/>
        <v>0</v>
      </c>
      <c r="S212">
        <f t="shared" si="46"/>
        <v>26308.738792746884</v>
      </c>
      <c r="T212">
        <f t="shared" si="47"/>
        <v>800</v>
      </c>
      <c r="U212">
        <f t="shared" si="48"/>
        <v>674.40018480000003</v>
      </c>
      <c r="V212">
        <f t="shared" si="49"/>
        <v>0.84300023099999999</v>
      </c>
      <c r="W212">
        <f t="shared" si="50"/>
        <v>0.15869999286</v>
      </c>
      <c r="X212">
        <v>1</v>
      </c>
      <c r="Y212">
        <v>1771106988.0999999</v>
      </c>
      <c r="Z212">
        <v>999.93499999999995</v>
      </c>
      <c r="AA212">
        <v>999.98199999999997</v>
      </c>
      <c r="AB212">
        <v>13.597099999999999</v>
      </c>
      <c r="AC212">
        <v>13.598000000000001</v>
      </c>
      <c r="AD212">
        <v>1000.57</v>
      </c>
      <c r="AE212">
        <v>13.528700000000001</v>
      </c>
      <c r="AF212">
        <v>800.01400000000001</v>
      </c>
      <c r="AG212">
        <v>99.959400000000002</v>
      </c>
      <c r="AH212">
        <v>7.5990699999999994E-2</v>
      </c>
      <c r="AI212">
        <v>18.997399999999999</v>
      </c>
      <c r="AJ212">
        <v>999.9</v>
      </c>
      <c r="AK212">
        <v>999.9</v>
      </c>
      <c r="AL212">
        <v>0</v>
      </c>
      <c r="AM212">
        <v>0</v>
      </c>
      <c r="AN212">
        <v>5016</v>
      </c>
      <c r="AO212">
        <v>0</v>
      </c>
      <c r="AP212">
        <v>1.58087</v>
      </c>
      <c r="AQ212">
        <v>-5.8227500000000001E-2</v>
      </c>
      <c r="AR212">
        <v>1013.71</v>
      </c>
      <c r="AS212">
        <v>1013.77</v>
      </c>
      <c r="AT212">
        <v>-9.1171299999999998E-4</v>
      </c>
      <c r="AU212">
        <v>999.98199999999997</v>
      </c>
      <c r="AV212">
        <v>13.598000000000001</v>
      </c>
      <c r="AW212">
        <v>1.3591599999999999</v>
      </c>
      <c r="AX212">
        <v>1.3592500000000001</v>
      </c>
      <c r="AY212">
        <v>11.4694</v>
      </c>
      <c r="AZ212">
        <v>11.470499999999999</v>
      </c>
      <c r="BA212">
        <v>800</v>
      </c>
      <c r="BB212">
        <v>0.90000100000000005</v>
      </c>
      <c r="BC212">
        <v>0</v>
      </c>
      <c r="BD212">
        <v>9.9999299999999999E-2</v>
      </c>
      <c r="BE212">
        <v>0</v>
      </c>
      <c r="BF212">
        <v>25</v>
      </c>
      <c r="BG212">
        <v>13191</v>
      </c>
      <c r="BH212">
        <v>1771107008.0999999</v>
      </c>
      <c r="BI212" t="s">
        <v>702</v>
      </c>
      <c r="BJ212">
        <v>1771107008.0999999</v>
      </c>
      <c r="BK212">
        <v>1771106987.0999999</v>
      </c>
      <c r="BL212">
        <v>24</v>
      </c>
      <c r="BM212">
        <v>1.0999999999999999E-2</v>
      </c>
      <c r="BN212">
        <v>-1E-3</v>
      </c>
      <c r="BO212">
        <v>-0.63500000000000001</v>
      </c>
      <c r="BP212">
        <v>6.8000000000000005E-2</v>
      </c>
      <c r="BQ212">
        <v>999</v>
      </c>
      <c r="BR212">
        <v>14</v>
      </c>
      <c r="BS212">
        <v>0.37</v>
      </c>
      <c r="BT212">
        <v>0.04</v>
      </c>
      <c r="BU212">
        <v>-0.14106948571428601</v>
      </c>
      <c r="BV212">
        <v>1.19976575064935</v>
      </c>
      <c r="BW212">
        <v>0.21665575770428799</v>
      </c>
      <c r="BX212">
        <v>0</v>
      </c>
      <c r="BY212">
        <v>0</v>
      </c>
      <c r="BZ212">
        <v>0</v>
      </c>
      <c r="CA212">
        <v>0</v>
      </c>
      <c r="CB212">
        <v>-1</v>
      </c>
      <c r="CC212">
        <v>5.7072087428571401E-2</v>
      </c>
      <c r="CD212">
        <v>-0.87058283770129796</v>
      </c>
      <c r="CE212">
        <v>0.165734999688089</v>
      </c>
      <c r="CF212">
        <v>0</v>
      </c>
      <c r="CG212">
        <v>0</v>
      </c>
      <c r="CH212">
        <v>2</v>
      </c>
      <c r="CI212" t="s">
        <v>290</v>
      </c>
      <c r="CJ212">
        <v>3.53383</v>
      </c>
      <c r="CK212">
        <v>2.71286</v>
      </c>
      <c r="CL212">
        <v>0.18152599999999999</v>
      </c>
      <c r="CM212">
        <v>0.17894099999999999</v>
      </c>
      <c r="CN212">
        <v>7.9204800000000006E-2</v>
      </c>
      <c r="CO212">
        <v>7.8365500000000005E-2</v>
      </c>
      <c r="CP212">
        <v>28673.7</v>
      </c>
      <c r="CQ212">
        <v>25288.7</v>
      </c>
      <c r="CR212">
        <v>32426</v>
      </c>
      <c r="CS212">
        <v>30728.799999999999</v>
      </c>
      <c r="CT212">
        <v>40459.699999999997</v>
      </c>
      <c r="CU212">
        <v>39850.300000000003</v>
      </c>
      <c r="CV212">
        <v>47367.8</v>
      </c>
      <c r="CW212">
        <v>46879.1</v>
      </c>
      <c r="CX212">
        <v>1.6555200000000001</v>
      </c>
      <c r="CY212">
        <v>1.58172</v>
      </c>
      <c r="CZ212">
        <v>0</v>
      </c>
      <c r="DA212">
        <v>0</v>
      </c>
      <c r="DB212">
        <v>999.9</v>
      </c>
      <c r="DC212">
        <v>999.9</v>
      </c>
      <c r="DD212">
        <v>44.195</v>
      </c>
      <c r="DE212">
        <v>28.943000000000001</v>
      </c>
      <c r="DF212">
        <v>17.723099999999999</v>
      </c>
      <c r="DG212">
        <v>30.698399999999999</v>
      </c>
      <c r="DH212">
        <v>17.255600000000001</v>
      </c>
      <c r="DI212">
        <v>2</v>
      </c>
      <c r="DJ212">
        <v>-6.7335400000000004E-2</v>
      </c>
      <c r="DK212">
        <v>2.7130100000000001</v>
      </c>
      <c r="DL212">
        <v>20.1859</v>
      </c>
      <c r="DM212">
        <v>5.2453200000000004</v>
      </c>
      <c r="DN212">
        <v>12.033899999999999</v>
      </c>
      <c r="DO212">
        <v>4.9662800000000002</v>
      </c>
      <c r="DP212">
        <v>3.2901199999999999</v>
      </c>
      <c r="DQ212">
        <v>608.70000000000005</v>
      </c>
      <c r="DR212">
        <v>9999</v>
      </c>
      <c r="DS212">
        <v>9999</v>
      </c>
      <c r="DT212">
        <v>9999</v>
      </c>
      <c r="DU212">
        <v>1.8711800000000001</v>
      </c>
      <c r="DV212">
        <v>1.87616</v>
      </c>
      <c r="DW212">
        <v>1.8763799999999999</v>
      </c>
      <c r="DX212">
        <v>1.8828800000000001</v>
      </c>
      <c r="DY212">
        <v>1.8756299999999999</v>
      </c>
      <c r="DZ212">
        <v>1.8747</v>
      </c>
      <c r="EA212">
        <v>1.8708800000000001</v>
      </c>
      <c r="EB212">
        <v>1.8746799999999999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-0.63500000000000001</v>
      </c>
      <c r="EQ212">
        <v>6.8400000000000002E-2</v>
      </c>
      <c r="ER212">
        <v>-0.64699999999993496</v>
      </c>
      <c r="ES212">
        <v>0</v>
      </c>
      <c r="ET212">
        <v>0</v>
      </c>
      <c r="EU212">
        <v>0</v>
      </c>
      <c r="EV212">
        <v>6.8400000000000502E-2</v>
      </c>
      <c r="EW212">
        <v>0</v>
      </c>
      <c r="EX212">
        <v>0</v>
      </c>
      <c r="EY212">
        <v>0</v>
      </c>
      <c r="EZ212">
        <v>-1</v>
      </c>
      <c r="FA212">
        <v>-1</v>
      </c>
      <c r="FB212">
        <v>-1</v>
      </c>
      <c r="FC212">
        <v>-1</v>
      </c>
      <c r="FD212">
        <v>10.3</v>
      </c>
      <c r="FE212">
        <v>0</v>
      </c>
      <c r="FF212">
        <v>2.5878899999999998</v>
      </c>
      <c r="FG212">
        <v>2.5866699999999998</v>
      </c>
      <c r="FH212">
        <v>2.19604</v>
      </c>
      <c r="FI212">
        <v>2.5732400000000002</v>
      </c>
      <c r="FJ212">
        <v>2.4462899999999999</v>
      </c>
      <c r="FK212">
        <v>2.2997999999999998</v>
      </c>
      <c r="FL212">
        <v>33.199199999999998</v>
      </c>
      <c r="FM212">
        <v>24.113800000000001</v>
      </c>
      <c r="FN212">
        <v>19</v>
      </c>
      <c r="FO212">
        <v>283.52</v>
      </c>
      <c r="FP212">
        <v>269.59199999999998</v>
      </c>
      <c r="FQ212">
        <v>17.802299999999999</v>
      </c>
      <c r="FR212">
        <v>26.122800000000002</v>
      </c>
      <c r="FS212">
        <v>30.0001</v>
      </c>
      <c r="FT212">
        <v>26.136800000000001</v>
      </c>
      <c r="FU212">
        <v>26.138200000000001</v>
      </c>
      <c r="FV212">
        <v>51.900100000000002</v>
      </c>
      <c r="FW212">
        <v>22.648599999999998</v>
      </c>
      <c r="FX212">
        <v>37.211199999999998</v>
      </c>
      <c r="FY212">
        <v>17.8047</v>
      </c>
      <c r="FZ212">
        <v>1000</v>
      </c>
      <c r="GA212">
        <v>14.930199999999999</v>
      </c>
      <c r="GB212">
        <v>99.8001</v>
      </c>
      <c r="GC212">
        <v>99.781599999999997</v>
      </c>
    </row>
    <row r="213" spans="1:185" x14ac:dyDescent="0.2">
      <c r="A213">
        <v>198</v>
      </c>
      <c r="B213">
        <v>1771107010.0999999</v>
      </c>
      <c r="C213">
        <v>3897</v>
      </c>
      <c r="D213" t="s">
        <v>703</v>
      </c>
      <c r="E213" t="s">
        <v>704</v>
      </c>
      <c r="F213">
        <v>15</v>
      </c>
      <c r="G213">
        <v>1771107009.0999999</v>
      </c>
      <c r="H213">
        <f t="shared" si="39"/>
        <v>-1.8504858322637792E-5</v>
      </c>
      <c r="I213">
        <v>0</v>
      </c>
      <c r="J213">
        <f t="shared" si="51"/>
        <v>1.9737740358924732E-3</v>
      </c>
      <c r="K213">
        <f t="shared" si="40"/>
        <v>3.5293555388360036E-2</v>
      </c>
      <c r="L213">
        <f t="shared" si="41"/>
        <v>64.965683927368516</v>
      </c>
      <c r="M213">
        <f t="shared" si="42"/>
        <v>1.4325122432626498</v>
      </c>
      <c r="N213">
        <f t="shared" si="43"/>
        <v>2.20502911177568</v>
      </c>
      <c r="O213">
        <v>464</v>
      </c>
      <c r="P213">
        <v>58</v>
      </c>
      <c r="Q213">
        <f t="shared" si="44"/>
        <v>1</v>
      </c>
      <c r="R213">
        <f t="shared" si="45"/>
        <v>0</v>
      </c>
      <c r="S213">
        <f t="shared" si="46"/>
        <v>26183.961143008979</v>
      </c>
      <c r="T213">
        <f t="shared" si="47"/>
        <v>800.005</v>
      </c>
      <c r="U213">
        <f t="shared" si="48"/>
        <v>674.40418619981995</v>
      </c>
      <c r="V213">
        <f t="shared" si="49"/>
        <v>0.84299996399999999</v>
      </c>
      <c r="W213">
        <f t="shared" si="50"/>
        <v>0.15869952024</v>
      </c>
      <c r="X213">
        <v>1</v>
      </c>
      <c r="Y213">
        <v>1771107009.0999999</v>
      </c>
      <c r="Z213">
        <v>999.39599999999996</v>
      </c>
      <c r="AA213">
        <v>999.41700000000003</v>
      </c>
      <c r="AB213">
        <v>14.3203</v>
      </c>
      <c r="AC213">
        <v>14.3431</v>
      </c>
      <c r="AD213">
        <v>1000.03</v>
      </c>
      <c r="AE213">
        <v>14.251899999999999</v>
      </c>
      <c r="AF213">
        <v>799.99400000000003</v>
      </c>
      <c r="AG213">
        <v>99.957800000000006</v>
      </c>
      <c r="AH213">
        <v>7.5875499999999999E-2</v>
      </c>
      <c r="AI213">
        <v>18.998899999999999</v>
      </c>
      <c r="AJ213">
        <v>999.9</v>
      </c>
      <c r="AK213">
        <v>999.9</v>
      </c>
      <c r="AL213">
        <v>0</v>
      </c>
      <c r="AM213">
        <v>0</v>
      </c>
      <c r="AN213">
        <v>4995.5</v>
      </c>
      <c r="AO213">
        <v>0</v>
      </c>
      <c r="AP213">
        <v>1.58087</v>
      </c>
      <c r="AQ213">
        <v>-2.09961E-2</v>
      </c>
      <c r="AR213">
        <v>1013.92</v>
      </c>
      <c r="AS213">
        <v>1013.96</v>
      </c>
      <c r="AT213">
        <v>-2.28176E-2</v>
      </c>
      <c r="AU213">
        <v>999.41700000000003</v>
      </c>
      <c r="AV213">
        <v>14.3431</v>
      </c>
      <c r="AW213">
        <v>1.43143</v>
      </c>
      <c r="AX213">
        <v>1.43371</v>
      </c>
      <c r="AY213">
        <v>12.2547</v>
      </c>
      <c r="AZ213">
        <v>12.2789</v>
      </c>
      <c r="BA213">
        <v>800.005</v>
      </c>
      <c r="BB213">
        <v>0.900007</v>
      </c>
      <c r="BC213">
        <v>0</v>
      </c>
      <c r="BD213">
        <v>9.9993200000000004E-2</v>
      </c>
      <c r="BE213">
        <v>0</v>
      </c>
      <c r="BF213">
        <v>25</v>
      </c>
      <c r="BG213">
        <v>13191.1</v>
      </c>
      <c r="BH213">
        <v>1771107008.0999999</v>
      </c>
      <c r="BI213" t="s">
        <v>702</v>
      </c>
      <c r="BJ213">
        <v>1771107008.0999999</v>
      </c>
      <c r="BK213">
        <v>1771106987.0999999</v>
      </c>
      <c r="BL213">
        <v>24</v>
      </c>
      <c r="BM213">
        <v>1.0999999999999999E-2</v>
      </c>
      <c r="BN213">
        <v>-1E-3</v>
      </c>
      <c r="BO213">
        <v>-0.63500000000000001</v>
      </c>
      <c r="BP213">
        <v>6.8000000000000005E-2</v>
      </c>
      <c r="BQ213">
        <v>999</v>
      </c>
      <c r="BR213">
        <v>14</v>
      </c>
      <c r="BS213">
        <v>0.37</v>
      </c>
      <c r="BT213">
        <v>0.04</v>
      </c>
      <c r="BU213">
        <v>-0.14064329149999999</v>
      </c>
      <c r="BV213">
        <v>1.7406529457142901</v>
      </c>
      <c r="BW213">
        <v>0.216758904163079</v>
      </c>
      <c r="BX213">
        <v>0</v>
      </c>
      <c r="BY213">
        <v>0</v>
      </c>
      <c r="BZ213">
        <v>0</v>
      </c>
      <c r="CA213">
        <v>0</v>
      </c>
      <c r="CB213">
        <v>-1</v>
      </c>
      <c r="CC213">
        <v>0.14176213500000001</v>
      </c>
      <c r="CD213">
        <v>-2.0980254180451099</v>
      </c>
      <c r="CE213">
        <v>0.26073503722017399</v>
      </c>
      <c r="CF213">
        <v>0</v>
      </c>
      <c r="CG213">
        <v>0</v>
      </c>
      <c r="CH213">
        <v>2</v>
      </c>
      <c r="CI213" t="s">
        <v>290</v>
      </c>
      <c r="CJ213">
        <v>3.5339299999999998</v>
      </c>
      <c r="CK213">
        <v>2.7120199999999999</v>
      </c>
      <c r="CL213">
        <v>0.181474</v>
      </c>
      <c r="CM213">
        <v>0.178895</v>
      </c>
      <c r="CN213">
        <v>8.2679799999999998E-2</v>
      </c>
      <c r="CO213">
        <v>8.1536899999999995E-2</v>
      </c>
      <c r="CP213">
        <v>28674.799999999999</v>
      </c>
      <c r="CQ213">
        <v>25290.6</v>
      </c>
      <c r="CR213">
        <v>32425.1</v>
      </c>
      <c r="CS213">
        <v>30729.3</v>
      </c>
      <c r="CT213">
        <v>40301.599999999999</v>
      </c>
      <c r="CU213">
        <v>39710.300000000003</v>
      </c>
      <c r="CV213">
        <v>47366.2</v>
      </c>
      <c r="CW213">
        <v>46879.7</v>
      </c>
      <c r="CX213">
        <v>1.7079599999999999</v>
      </c>
      <c r="CY213">
        <v>1.615</v>
      </c>
      <c r="CZ213">
        <v>0</v>
      </c>
      <c r="DA213">
        <v>0</v>
      </c>
      <c r="DB213">
        <v>999.9</v>
      </c>
      <c r="DC213">
        <v>999.9</v>
      </c>
      <c r="DD213">
        <v>44.17</v>
      </c>
      <c r="DE213">
        <v>28.943000000000001</v>
      </c>
      <c r="DF213">
        <v>17.712599999999998</v>
      </c>
      <c r="DG213">
        <v>30.6084</v>
      </c>
      <c r="DH213">
        <v>17.2196</v>
      </c>
      <c r="DI213">
        <v>2</v>
      </c>
      <c r="DJ213">
        <v>-6.7426799999999995E-2</v>
      </c>
      <c r="DK213">
        <v>2.7087699999999999</v>
      </c>
      <c r="DL213">
        <v>20.185300000000002</v>
      </c>
      <c r="DM213">
        <v>5.2423299999999999</v>
      </c>
      <c r="DN213">
        <v>12.033899999999999</v>
      </c>
      <c r="DO213">
        <v>4.9659199999999997</v>
      </c>
      <c r="DP213">
        <v>3.2896800000000002</v>
      </c>
      <c r="DQ213">
        <v>608.70000000000005</v>
      </c>
      <c r="DR213">
        <v>9999</v>
      </c>
      <c r="DS213">
        <v>9999</v>
      </c>
      <c r="DT213">
        <v>9999</v>
      </c>
      <c r="DU213">
        <v>1.8711599999999999</v>
      </c>
      <c r="DV213">
        <v>1.8761300000000001</v>
      </c>
      <c r="DW213">
        <v>1.8763700000000001</v>
      </c>
      <c r="DX213">
        <v>1.88286</v>
      </c>
      <c r="DY213">
        <v>1.8756200000000001</v>
      </c>
      <c r="DZ213">
        <v>1.87469</v>
      </c>
      <c r="EA213">
        <v>1.87087</v>
      </c>
      <c r="EB213">
        <v>1.8746799999999999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-0.63500000000000001</v>
      </c>
      <c r="EQ213">
        <v>6.8400000000000002E-2</v>
      </c>
      <c r="ER213">
        <v>-0.63499999999999102</v>
      </c>
      <c r="ES213">
        <v>0</v>
      </c>
      <c r="ET213">
        <v>0</v>
      </c>
      <c r="EU213">
        <v>0</v>
      </c>
      <c r="EV213">
        <v>6.8400000000000502E-2</v>
      </c>
      <c r="EW213">
        <v>0</v>
      </c>
      <c r="EX213">
        <v>0</v>
      </c>
      <c r="EY213">
        <v>0</v>
      </c>
      <c r="EZ213">
        <v>-1</v>
      </c>
      <c r="FA213">
        <v>-1</v>
      </c>
      <c r="FB213">
        <v>-1</v>
      </c>
      <c r="FC213">
        <v>-1</v>
      </c>
      <c r="FD213">
        <v>0</v>
      </c>
      <c r="FE213">
        <v>0.4</v>
      </c>
      <c r="FF213">
        <v>2.5878899999999998</v>
      </c>
      <c r="FG213">
        <v>2.5915499999999998</v>
      </c>
      <c r="FH213">
        <v>2.19604</v>
      </c>
      <c r="FI213">
        <v>2.5732400000000002</v>
      </c>
      <c r="FJ213">
        <v>2.4462899999999999</v>
      </c>
      <c r="FK213">
        <v>2.2924799999999999</v>
      </c>
      <c r="FL213">
        <v>33.176900000000003</v>
      </c>
      <c r="FM213">
        <v>24.105</v>
      </c>
      <c r="FN213">
        <v>19</v>
      </c>
      <c r="FO213">
        <v>315.07799999999997</v>
      </c>
      <c r="FP213">
        <v>287.70699999999999</v>
      </c>
      <c r="FQ213">
        <v>17.811</v>
      </c>
      <c r="FR213">
        <v>26.1206</v>
      </c>
      <c r="FS213">
        <v>30.0001</v>
      </c>
      <c r="FT213">
        <v>26.138999999999999</v>
      </c>
      <c r="FU213">
        <v>26.138200000000001</v>
      </c>
      <c r="FV213">
        <v>51.911200000000001</v>
      </c>
      <c r="FW213">
        <v>25.5885</v>
      </c>
      <c r="FX213">
        <v>37.211199999999998</v>
      </c>
      <c r="FY213">
        <v>17.811</v>
      </c>
      <c r="FZ213">
        <v>1000</v>
      </c>
      <c r="GA213">
        <v>14.1219</v>
      </c>
      <c r="GB213">
        <v>99.796999999999997</v>
      </c>
      <c r="GC213">
        <v>99.782899999999998</v>
      </c>
    </row>
    <row r="214" spans="1:185" x14ac:dyDescent="0.2">
      <c r="A214">
        <v>199</v>
      </c>
      <c r="B214">
        <v>1771107025.0999999</v>
      </c>
      <c r="C214">
        <v>3912</v>
      </c>
      <c r="D214" t="s">
        <v>705</v>
      </c>
      <c r="E214" t="s">
        <v>706</v>
      </c>
      <c r="F214">
        <v>15</v>
      </c>
      <c r="G214">
        <v>1771107017.03333</v>
      </c>
      <c r="H214">
        <f t="shared" si="39"/>
        <v>1.2477947931313009E-3</v>
      </c>
      <c r="I214">
        <v>0</v>
      </c>
      <c r="J214">
        <f t="shared" si="51"/>
        <v>2.8012692465440692E-2</v>
      </c>
      <c r="K214">
        <f t="shared" si="40"/>
        <v>0.50090207649280649</v>
      </c>
      <c r="L214">
        <f t="shared" si="41"/>
        <v>69.903939545106795</v>
      </c>
      <c r="M214">
        <f t="shared" si="42"/>
        <v>1.5414817349990526</v>
      </c>
      <c r="N214">
        <f t="shared" si="43"/>
        <v>2.2051428646655649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26217.974480317098</v>
      </c>
      <c r="T214">
        <f t="shared" si="47"/>
        <v>799.99753333333297</v>
      </c>
      <c r="U214">
        <f t="shared" si="48"/>
        <v>674.39818363918823</v>
      </c>
      <c r="V214">
        <f t="shared" si="49"/>
        <v>0.84300032879999942</v>
      </c>
      <c r="W214">
        <f t="shared" si="50"/>
        <v>0.15870100388799988</v>
      </c>
      <c r="X214">
        <v>1</v>
      </c>
      <c r="Y214">
        <v>1771107017.03333</v>
      </c>
      <c r="Z214">
        <v>997.78880000000004</v>
      </c>
      <c r="AA214">
        <v>999.97013333333302</v>
      </c>
      <c r="AB214">
        <v>15.411060000000001</v>
      </c>
      <c r="AC214">
        <v>13.87612</v>
      </c>
      <c r="AD214">
        <v>998.42373333333296</v>
      </c>
      <c r="AE214">
        <v>15.34266</v>
      </c>
      <c r="AF214">
        <v>800.39933333333295</v>
      </c>
      <c r="AG214">
        <v>99.959126666666705</v>
      </c>
      <c r="AH214">
        <v>6.5254199999999998E-2</v>
      </c>
      <c r="AI214">
        <v>18.9997266666667</v>
      </c>
      <c r="AJ214">
        <v>999.9</v>
      </c>
      <c r="AK214">
        <v>999.9</v>
      </c>
      <c r="AL214">
        <v>0</v>
      </c>
      <c r="AM214">
        <v>0</v>
      </c>
      <c r="AN214">
        <v>5001.0666666666702</v>
      </c>
      <c r="AO214">
        <v>0</v>
      </c>
      <c r="AP214">
        <v>1.58087</v>
      </c>
      <c r="AQ214">
        <v>-2.1807127400000001</v>
      </c>
      <c r="AR214">
        <v>1013.40666666667</v>
      </c>
      <c r="AS214">
        <v>1014.0406666666699</v>
      </c>
      <c r="AT214">
        <v>1.53494369333333</v>
      </c>
      <c r="AU214">
        <v>999.97013333333302</v>
      </c>
      <c r="AV214">
        <v>13.87612</v>
      </c>
      <c r="AW214">
        <v>1.540476</v>
      </c>
      <c r="AX214">
        <v>1.38704466666667</v>
      </c>
      <c r="AY214">
        <v>13.371126666666701</v>
      </c>
      <c r="AZ214">
        <v>11.774146666666701</v>
      </c>
      <c r="BA214">
        <v>799.99753333333297</v>
      </c>
      <c r="BB214">
        <v>0.899986333333333</v>
      </c>
      <c r="BC214">
        <v>0</v>
      </c>
      <c r="BD214">
        <v>0.10001357333333299</v>
      </c>
      <c r="BE214">
        <v>0</v>
      </c>
      <c r="BF214">
        <v>25</v>
      </c>
      <c r="BG214">
        <v>13190.92</v>
      </c>
      <c r="BH214">
        <v>1771107008.0999999</v>
      </c>
      <c r="BI214" t="s">
        <v>702</v>
      </c>
      <c r="BJ214">
        <v>1771107008.0999999</v>
      </c>
      <c r="BK214">
        <v>1771106987.0999999</v>
      </c>
      <c r="BL214">
        <v>24</v>
      </c>
      <c r="BM214">
        <v>1.0999999999999999E-2</v>
      </c>
      <c r="BN214">
        <v>-1E-3</v>
      </c>
      <c r="BO214">
        <v>-0.63500000000000001</v>
      </c>
      <c r="BP214">
        <v>6.8000000000000005E-2</v>
      </c>
      <c r="BQ214">
        <v>999</v>
      </c>
      <c r="BR214">
        <v>14</v>
      </c>
      <c r="BS214">
        <v>0.37</v>
      </c>
      <c r="BT214">
        <v>0.04</v>
      </c>
      <c r="BU214">
        <v>-1.5665659695238101</v>
      </c>
      <c r="BV214">
        <v>-10.231674526753199</v>
      </c>
      <c r="BW214">
        <v>1.18416052320733</v>
      </c>
      <c r="BX214">
        <v>0</v>
      </c>
      <c r="BY214">
        <v>0</v>
      </c>
      <c r="BZ214">
        <v>0</v>
      </c>
      <c r="CA214">
        <v>0</v>
      </c>
      <c r="CB214">
        <v>-1</v>
      </c>
      <c r="CC214">
        <v>1.0939006714285699</v>
      </c>
      <c r="CD214">
        <v>8.1524877116883108</v>
      </c>
      <c r="CE214">
        <v>0.89119348273307697</v>
      </c>
      <c r="CF214">
        <v>0</v>
      </c>
      <c r="CG214">
        <v>0</v>
      </c>
      <c r="CH214">
        <v>2</v>
      </c>
      <c r="CI214" t="s">
        <v>290</v>
      </c>
      <c r="CJ214">
        <v>3.53254</v>
      </c>
      <c r="CK214">
        <v>2.7008100000000002</v>
      </c>
      <c r="CL214">
        <v>0.181307</v>
      </c>
      <c r="CM214">
        <v>0.17894599999999999</v>
      </c>
      <c r="CN214">
        <v>8.7631799999999996E-2</v>
      </c>
      <c r="CO214">
        <v>7.8561400000000003E-2</v>
      </c>
      <c r="CP214">
        <v>28680.7</v>
      </c>
      <c r="CQ214">
        <v>25289.3</v>
      </c>
      <c r="CR214">
        <v>32425.1</v>
      </c>
      <c r="CS214">
        <v>30729.599999999999</v>
      </c>
      <c r="CT214">
        <v>40077.9</v>
      </c>
      <c r="CU214">
        <v>39842.5</v>
      </c>
      <c r="CV214">
        <v>47366.1</v>
      </c>
      <c r="CW214">
        <v>46880.1</v>
      </c>
      <c r="CX214">
        <v>2.6109399999999998</v>
      </c>
      <c r="CY214">
        <v>2.1207799999999999</v>
      </c>
      <c r="CZ214">
        <v>0</v>
      </c>
      <c r="DA214">
        <v>0</v>
      </c>
      <c r="DB214">
        <v>999.9</v>
      </c>
      <c r="DC214">
        <v>999.9</v>
      </c>
      <c r="DD214">
        <v>44.17</v>
      </c>
      <c r="DE214">
        <v>28.943000000000001</v>
      </c>
      <c r="DF214">
        <v>17.712199999999999</v>
      </c>
      <c r="DG214">
        <v>30.6084</v>
      </c>
      <c r="DH214">
        <v>16.902999999999999</v>
      </c>
      <c r="DI214">
        <v>2</v>
      </c>
      <c r="DJ214">
        <v>-6.7278500000000005E-2</v>
      </c>
      <c r="DK214">
        <v>2.7368600000000001</v>
      </c>
      <c r="DL214">
        <v>20.187000000000001</v>
      </c>
      <c r="DM214">
        <v>5.2505899999999999</v>
      </c>
      <c r="DN214">
        <v>12.033899999999999</v>
      </c>
      <c r="DO214">
        <v>4.9675599999999998</v>
      </c>
      <c r="DP214">
        <v>3.2909999999999999</v>
      </c>
      <c r="DQ214">
        <v>608.70000000000005</v>
      </c>
      <c r="DR214">
        <v>9999</v>
      </c>
      <c r="DS214">
        <v>9999</v>
      </c>
      <c r="DT214">
        <v>9999</v>
      </c>
      <c r="DU214">
        <v>1.8711800000000001</v>
      </c>
      <c r="DV214">
        <v>1.87615</v>
      </c>
      <c r="DW214">
        <v>1.8763700000000001</v>
      </c>
      <c r="DX214">
        <v>1.88289</v>
      </c>
      <c r="DY214">
        <v>1.8756200000000001</v>
      </c>
      <c r="DZ214">
        <v>1.87469</v>
      </c>
      <c r="EA214">
        <v>1.8708800000000001</v>
      </c>
      <c r="EB214">
        <v>1.8746799999999999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-0.63500000000000001</v>
      </c>
      <c r="EQ214">
        <v>6.8400000000000002E-2</v>
      </c>
      <c r="ER214">
        <v>-0.63499999999999102</v>
      </c>
      <c r="ES214">
        <v>0</v>
      </c>
      <c r="ET214">
        <v>0</v>
      </c>
      <c r="EU214">
        <v>0</v>
      </c>
      <c r="EV214">
        <v>6.8400000000000502E-2</v>
      </c>
      <c r="EW214">
        <v>0</v>
      </c>
      <c r="EX214">
        <v>0</v>
      </c>
      <c r="EY214">
        <v>0</v>
      </c>
      <c r="EZ214">
        <v>-1</v>
      </c>
      <c r="FA214">
        <v>-1</v>
      </c>
      <c r="FB214">
        <v>-1</v>
      </c>
      <c r="FC214">
        <v>-1</v>
      </c>
      <c r="FD214">
        <v>0.3</v>
      </c>
      <c r="FE214">
        <v>0.6</v>
      </c>
      <c r="FF214">
        <v>2.5878899999999998</v>
      </c>
      <c r="FG214">
        <v>2.5952099999999998</v>
      </c>
      <c r="FH214">
        <v>2.19604</v>
      </c>
      <c r="FI214">
        <v>2.5744600000000002</v>
      </c>
      <c r="FJ214">
        <v>2.4462899999999999</v>
      </c>
      <c r="FK214">
        <v>2.2802699999999998</v>
      </c>
      <c r="FL214">
        <v>33.176900000000003</v>
      </c>
      <c r="FM214">
        <v>24.1313</v>
      </c>
      <c r="FN214">
        <v>19</v>
      </c>
      <c r="FO214">
        <v>864.178</v>
      </c>
      <c r="FP214">
        <v>576.03499999999997</v>
      </c>
      <c r="FQ214">
        <v>17.811299999999999</v>
      </c>
      <c r="FR214">
        <v>26.1206</v>
      </c>
      <c r="FS214">
        <v>30.0002</v>
      </c>
      <c r="FT214">
        <v>26.1235</v>
      </c>
      <c r="FU214">
        <v>26.122900000000001</v>
      </c>
      <c r="FV214">
        <v>51.898800000000001</v>
      </c>
      <c r="FW214">
        <v>26.967600000000001</v>
      </c>
      <c r="FX214">
        <v>37.211199999999998</v>
      </c>
      <c r="FY214">
        <v>17.805199999999999</v>
      </c>
      <c r="FZ214">
        <v>1000</v>
      </c>
      <c r="GA214">
        <v>13.650700000000001</v>
      </c>
      <c r="GB214">
        <v>99.796800000000005</v>
      </c>
      <c r="GC214">
        <v>99.783799999999999</v>
      </c>
    </row>
    <row r="215" spans="1:185" x14ac:dyDescent="0.2">
      <c r="A215">
        <v>200</v>
      </c>
      <c r="B215">
        <v>1771107040.0999999</v>
      </c>
      <c r="C215">
        <v>3927</v>
      </c>
      <c r="D215" t="s">
        <v>707</v>
      </c>
      <c r="E215" t="s">
        <v>708</v>
      </c>
      <c r="F215">
        <v>15</v>
      </c>
      <c r="G215">
        <v>1771107032.03333</v>
      </c>
      <c r="H215">
        <f t="shared" si="39"/>
        <v>1.5169924768481289E-3</v>
      </c>
      <c r="I215">
        <v>0</v>
      </c>
      <c r="J215">
        <f t="shared" si="51"/>
        <v>2.5800440800969666E-2</v>
      </c>
      <c r="K215">
        <f t="shared" si="40"/>
        <v>0.46134424199241719</v>
      </c>
      <c r="L215">
        <f t="shared" si="41"/>
        <v>70.317366424541689</v>
      </c>
      <c r="M215">
        <f t="shared" si="42"/>
        <v>1.5506841859722678</v>
      </c>
      <c r="N215">
        <f t="shared" si="43"/>
        <v>2.2052648795320331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26217.338584941932</v>
      </c>
      <c r="T215">
        <f t="shared" si="47"/>
        <v>800.00059999999996</v>
      </c>
      <c r="U215">
        <f t="shared" si="48"/>
        <v>674.4008562002623</v>
      </c>
      <c r="V215">
        <f t="shared" si="49"/>
        <v>0.84300043799999935</v>
      </c>
      <c r="W215">
        <f t="shared" si="50"/>
        <v>0.15870135483999986</v>
      </c>
      <c r="X215">
        <v>1</v>
      </c>
      <c r="Y215">
        <v>1771107032.03333</v>
      </c>
      <c r="Z215">
        <v>997.49573333333296</v>
      </c>
      <c r="AA215">
        <v>999.96386666666695</v>
      </c>
      <c r="AB215">
        <v>15.5032333333333</v>
      </c>
      <c r="AC215">
        <v>13.636419999999999</v>
      </c>
      <c r="AD215">
        <v>998.13073333333398</v>
      </c>
      <c r="AE215">
        <v>15.4348333333333</v>
      </c>
      <c r="AF215">
        <v>800.01260000000002</v>
      </c>
      <c r="AG215">
        <v>99.960086666666697</v>
      </c>
      <c r="AH215">
        <v>6.3189293333333299E-2</v>
      </c>
      <c r="AI215">
        <v>19.000613333333298</v>
      </c>
      <c r="AJ215">
        <v>999.9</v>
      </c>
      <c r="AK215">
        <v>999.9</v>
      </c>
      <c r="AL215">
        <v>0</v>
      </c>
      <c r="AM215">
        <v>0</v>
      </c>
      <c r="AN215">
        <v>5000.9333333333298</v>
      </c>
      <c r="AO215">
        <v>0</v>
      </c>
      <c r="AP215">
        <v>1.58087</v>
      </c>
      <c r="AQ215">
        <v>-2.4679886666666699</v>
      </c>
      <c r="AR215">
        <v>1013.204</v>
      </c>
      <c r="AS215">
        <v>1013.78933333333</v>
      </c>
      <c r="AT215">
        <v>1.8668039999999999</v>
      </c>
      <c r="AU215">
        <v>999.96386666666695</v>
      </c>
      <c r="AV215">
        <v>13.636419999999999</v>
      </c>
      <c r="AW215">
        <v>1.54970266666667</v>
      </c>
      <c r="AX215">
        <v>1.3630993333333301</v>
      </c>
      <c r="AY215">
        <v>13.467546666666699</v>
      </c>
      <c r="AZ215">
        <v>11.513206666666701</v>
      </c>
      <c r="BA215">
        <v>800.00059999999996</v>
      </c>
      <c r="BB215">
        <v>0.89998153333333297</v>
      </c>
      <c r="BC215">
        <v>0</v>
      </c>
      <c r="BD215">
        <v>0.100018333333333</v>
      </c>
      <c r="BE215">
        <v>0</v>
      </c>
      <c r="BF215">
        <v>25</v>
      </c>
      <c r="BG215">
        <v>13190.96</v>
      </c>
      <c r="BH215">
        <v>1771107008.0999999</v>
      </c>
      <c r="BI215" t="s">
        <v>702</v>
      </c>
      <c r="BJ215">
        <v>1771107008.0999999</v>
      </c>
      <c r="BK215">
        <v>1771106987.0999999</v>
      </c>
      <c r="BL215">
        <v>24</v>
      </c>
      <c r="BM215">
        <v>1.0999999999999999E-2</v>
      </c>
      <c r="BN215">
        <v>-1E-3</v>
      </c>
      <c r="BO215">
        <v>-0.63500000000000001</v>
      </c>
      <c r="BP215">
        <v>6.8000000000000005E-2</v>
      </c>
      <c r="BQ215">
        <v>999</v>
      </c>
      <c r="BR215">
        <v>14</v>
      </c>
      <c r="BS215">
        <v>0.37</v>
      </c>
      <c r="BT215">
        <v>0.04</v>
      </c>
      <c r="BU215">
        <v>-2.4794274999999999</v>
      </c>
      <c r="BV215">
        <v>0.13469187969924601</v>
      </c>
      <c r="BW215">
        <v>3.8443601141802501E-2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1.8860865</v>
      </c>
      <c r="CD215">
        <v>-0.41987864661653801</v>
      </c>
      <c r="CE215">
        <v>4.1224151571014798E-2</v>
      </c>
      <c r="CF215">
        <v>0</v>
      </c>
      <c r="CG215">
        <v>1</v>
      </c>
      <c r="CH215">
        <v>2</v>
      </c>
      <c r="CI215" t="s">
        <v>299</v>
      </c>
      <c r="CJ215">
        <v>3.5325199999999999</v>
      </c>
      <c r="CK215">
        <v>2.70085</v>
      </c>
      <c r="CL215">
        <v>0.181315</v>
      </c>
      <c r="CM215">
        <v>0.178956</v>
      </c>
      <c r="CN215">
        <v>8.7231799999999998E-2</v>
      </c>
      <c r="CO215">
        <v>7.8516299999999997E-2</v>
      </c>
      <c r="CP215">
        <v>28679.9</v>
      </c>
      <c r="CQ215">
        <v>25289.3</v>
      </c>
      <c r="CR215">
        <v>32424.6</v>
      </c>
      <c r="CS215">
        <v>30730</v>
      </c>
      <c r="CT215">
        <v>40095.300000000003</v>
      </c>
      <c r="CU215">
        <v>39845</v>
      </c>
      <c r="CV215">
        <v>47365.4</v>
      </c>
      <c r="CW215">
        <v>46880.800000000003</v>
      </c>
      <c r="CX215">
        <v>2.6129799999999999</v>
      </c>
      <c r="CY215">
        <v>2.12134</v>
      </c>
      <c r="CZ215">
        <v>0</v>
      </c>
      <c r="DA215">
        <v>0</v>
      </c>
      <c r="DB215">
        <v>999.9</v>
      </c>
      <c r="DC215">
        <v>999.9</v>
      </c>
      <c r="DD215">
        <v>44.158000000000001</v>
      </c>
      <c r="DE215">
        <v>28.922999999999998</v>
      </c>
      <c r="DF215">
        <v>17.6873</v>
      </c>
      <c r="DG215">
        <v>30.5184</v>
      </c>
      <c r="DH215">
        <v>16.879000000000001</v>
      </c>
      <c r="DI215">
        <v>2</v>
      </c>
      <c r="DJ215">
        <v>-6.7109799999999997E-2</v>
      </c>
      <c r="DK215">
        <v>2.73204</v>
      </c>
      <c r="DL215">
        <v>20.186399999999999</v>
      </c>
      <c r="DM215">
        <v>5.2476000000000003</v>
      </c>
      <c r="DN215">
        <v>12.033899999999999</v>
      </c>
      <c r="DO215">
        <v>4.9670800000000002</v>
      </c>
      <c r="DP215">
        <v>3.29068</v>
      </c>
      <c r="DQ215">
        <v>608.70000000000005</v>
      </c>
      <c r="DR215">
        <v>9999</v>
      </c>
      <c r="DS215">
        <v>9999</v>
      </c>
      <c r="DT215">
        <v>9999</v>
      </c>
      <c r="DU215">
        <v>1.8711500000000001</v>
      </c>
      <c r="DV215">
        <v>1.87616</v>
      </c>
      <c r="DW215">
        <v>1.8763700000000001</v>
      </c>
      <c r="DX215">
        <v>1.88289</v>
      </c>
      <c r="DY215">
        <v>1.87561</v>
      </c>
      <c r="DZ215">
        <v>1.87469</v>
      </c>
      <c r="EA215">
        <v>1.87087</v>
      </c>
      <c r="EB215">
        <v>1.8746799999999999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-0.63500000000000001</v>
      </c>
      <c r="EQ215">
        <v>6.8400000000000002E-2</v>
      </c>
      <c r="ER215">
        <v>-0.63499999999999102</v>
      </c>
      <c r="ES215">
        <v>0</v>
      </c>
      <c r="ET215">
        <v>0</v>
      </c>
      <c r="EU215">
        <v>0</v>
      </c>
      <c r="EV215">
        <v>6.8400000000000502E-2</v>
      </c>
      <c r="EW215">
        <v>0</v>
      </c>
      <c r="EX215">
        <v>0</v>
      </c>
      <c r="EY215">
        <v>0</v>
      </c>
      <c r="EZ215">
        <v>-1</v>
      </c>
      <c r="FA215">
        <v>-1</v>
      </c>
      <c r="FB215">
        <v>-1</v>
      </c>
      <c r="FC215">
        <v>-1</v>
      </c>
      <c r="FD215">
        <v>0.5</v>
      </c>
      <c r="FE215">
        <v>0.9</v>
      </c>
      <c r="FF215">
        <v>2.5878899999999998</v>
      </c>
      <c r="FG215">
        <v>2.5866699999999998</v>
      </c>
      <c r="FH215">
        <v>2.19604</v>
      </c>
      <c r="FI215">
        <v>2.5744600000000002</v>
      </c>
      <c r="FJ215">
        <v>2.4462899999999999</v>
      </c>
      <c r="FK215">
        <v>2.2961399999999998</v>
      </c>
      <c r="FL215">
        <v>33.199199999999998</v>
      </c>
      <c r="FM215">
        <v>24.14</v>
      </c>
      <c r="FN215">
        <v>19</v>
      </c>
      <c r="FO215">
        <v>866.04600000000005</v>
      </c>
      <c r="FP215">
        <v>576.46600000000001</v>
      </c>
      <c r="FQ215">
        <v>17.8066</v>
      </c>
      <c r="FR215">
        <v>26.1206</v>
      </c>
      <c r="FS215">
        <v>30.0001</v>
      </c>
      <c r="FT215">
        <v>26.121400000000001</v>
      </c>
      <c r="FU215">
        <v>26.122900000000001</v>
      </c>
      <c r="FV215">
        <v>51.900399999999998</v>
      </c>
      <c r="FW215">
        <v>26.967600000000001</v>
      </c>
      <c r="FX215">
        <v>37.211199999999998</v>
      </c>
      <c r="FY215">
        <v>17.8062</v>
      </c>
      <c r="FZ215">
        <v>1000</v>
      </c>
      <c r="GA215">
        <v>13.6792</v>
      </c>
      <c r="GB215">
        <v>99.795299999999997</v>
      </c>
      <c r="GC215">
        <v>99.785300000000007</v>
      </c>
    </row>
    <row r="216" spans="1:185" x14ac:dyDescent="0.2">
      <c r="A216">
        <v>201</v>
      </c>
      <c r="B216">
        <v>1771107055.0999999</v>
      </c>
      <c r="C216">
        <v>3942</v>
      </c>
      <c r="D216" t="s">
        <v>709</v>
      </c>
      <c r="E216" t="s">
        <v>710</v>
      </c>
      <c r="F216">
        <v>15</v>
      </c>
      <c r="G216">
        <v>1771107047.03333</v>
      </c>
      <c r="H216">
        <f t="shared" si="39"/>
        <v>1.4704718581163164E-3</v>
      </c>
      <c r="I216">
        <v>0</v>
      </c>
      <c r="J216">
        <f t="shared" si="51"/>
        <v>2.6546898255369867E-2</v>
      </c>
      <c r="K216">
        <f t="shared" si="40"/>
        <v>0.4746918375291147</v>
      </c>
      <c r="L216">
        <f t="shared" si="41"/>
        <v>70.075656272951051</v>
      </c>
      <c r="M216">
        <f t="shared" si="42"/>
        <v>1.5454888496261689</v>
      </c>
      <c r="N216">
        <f t="shared" si="43"/>
        <v>2.205457546635524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26213.025609379638</v>
      </c>
      <c r="T216">
        <f t="shared" si="47"/>
        <v>800.00113333333297</v>
      </c>
      <c r="U216">
        <f t="shared" si="48"/>
        <v>674.40133140053251</v>
      </c>
      <c r="V216">
        <f t="shared" si="49"/>
        <v>0.84300047000000022</v>
      </c>
      <c r="W216">
        <f t="shared" si="50"/>
        <v>0.15870143484000004</v>
      </c>
      <c r="X216">
        <v>1</v>
      </c>
      <c r="Y216">
        <v>1771107047.03333</v>
      </c>
      <c r="Z216">
        <v>997.55640000000005</v>
      </c>
      <c r="AA216">
        <v>999.98333333333301</v>
      </c>
      <c r="AB216">
        <v>15.451359999999999</v>
      </c>
      <c r="AC216">
        <v>13.641693333333301</v>
      </c>
      <c r="AD216">
        <v>998.19140000000004</v>
      </c>
      <c r="AE216">
        <v>15.382960000000001</v>
      </c>
      <c r="AF216">
        <v>800.00980000000004</v>
      </c>
      <c r="AG216">
        <v>99.959526666666704</v>
      </c>
      <c r="AH216">
        <v>6.3309486666666706E-2</v>
      </c>
      <c r="AI216">
        <v>19.002013333333299</v>
      </c>
      <c r="AJ216">
        <v>999.9</v>
      </c>
      <c r="AK216">
        <v>999.9</v>
      </c>
      <c r="AL216">
        <v>0</v>
      </c>
      <c r="AM216">
        <v>0</v>
      </c>
      <c r="AN216">
        <v>5000.2666666666701</v>
      </c>
      <c r="AO216">
        <v>0</v>
      </c>
      <c r="AP216">
        <v>1.58087</v>
      </c>
      <c r="AQ216">
        <v>-2.4272253333333298</v>
      </c>
      <c r="AR216">
        <v>1013.212</v>
      </c>
      <c r="AS216">
        <v>1013.81266666667</v>
      </c>
      <c r="AT216">
        <v>1.8096399999999999</v>
      </c>
      <c r="AU216">
        <v>999.98333333333301</v>
      </c>
      <c r="AV216">
        <v>13.641693333333301</v>
      </c>
      <c r="AW216">
        <v>1.54450933333333</v>
      </c>
      <c r="AX216">
        <v>1.3636186666666701</v>
      </c>
      <c r="AY216">
        <v>13.41606</v>
      </c>
      <c r="AZ216">
        <v>11.519</v>
      </c>
      <c r="BA216">
        <v>800.00113333333297</v>
      </c>
      <c r="BB216">
        <v>0.89998046666666698</v>
      </c>
      <c r="BC216">
        <v>0</v>
      </c>
      <c r="BD216">
        <v>0.10001939999999999</v>
      </c>
      <c r="BE216">
        <v>0</v>
      </c>
      <c r="BF216">
        <v>25</v>
      </c>
      <c r="BG216">
        <v>13190.973333333301</v>
      </c>
      <c r="BH216">
        <v>1771107008.0999999</v>
      </c>
      <c r="BI216" t="s">
        <v>702</v>
      </c>
      <c r="BJ216">
        <v>1771107008.0999999</v>
      </c>
      <c r="BK216">
        <v>1771106987.0999999</v>
      </c>
      <c r="BL216">
        <v>24</v>
      </c>
      <c r="BM216">
        <v>1.0999999999999999E-2</v>
      </c>
      <c r="BN216">
        <v>-1E-3</v>
      </c>
      <c r="BO216">
        <v>-0.63500000000000001</v>
      </c>
      <c r="BP216">
        <v>6.8000000000000005E-2</v>
      </c>
      <c r="BQ216">
        <v>999</v>
      </c>
      <c r="BR216">
        <v>14</v>
      </c>
      <c r="BS216">
        <v>0.37</v>
      </c>
      <c r="BT216">
        <v>0.04</v>
      </c>
      <c r="BU216">
        <v>-2.4363109523809499</v>
      </c>
      <c r="BV216">
        <v>0.161954025974025</v>
      </c>
      <c r="BW216">
        <v>3.4954017400383397E-2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1.8188414285714301</v>
      </c>
      <c r="CD216">
        <v>-0.20211740259740399</v>
      </c>
      <c r="CE216">
        <v>2.06702114361785E-2</v>
      </c>
      <c r="CF216">
        <v>0</v>
      </c>
      <c r="CG216">
        <v>1</v>
      </c>
      <c r="CH216">
        <v>2</v>
      </c>
      <c r="CI216" t="s">
        <v>299</v>
      </c>
      <c r="CJ216">
        <v>3.5325500000000001</v>
      </c>
      <c r="CK216">
        <v>2.7012100000000001</v>
      </c>
      <c r="CL216">
        <v>0.181311</v>
      </c>
      <c r="CM216">
        <v>0.17895900000000001</v>
      </c>
      <c r="CN216">
        <v>8.7155099999999999E-2</v>
      </c>
      <c r="CO216">
        <v>7.8630099999999994E-2</v>
      </c>
      <c r="CP216">
        <v>28680.3</v>
      </c>
      <c r="CQ216">
        <v>25288.799999999999</v>
      </c>
      <c r="CR216">
        <v>32424.799999999999</v>
      </c>
      <c r="CS216">
        <v>30729.599999999999</v>
      </c>
      <c r="CT216">
        <v>40099</v>
      </c>
      <c r="CU216">
        <v>39839.5</v>
      </c>
      <c r="CV216">
        <v>47365.599999999999</v>
      </c>
      <c r="CW216">
        <v>46880.1</v>
      </c>
      <c r="CX216">
        <v>2.6137199999999998</v>
      </c>
      <c r="CY216">
        <v>2.12168</v>
      </c>
      <c r="CZ216">
        <v>0</v>
      </c>
      <c r="DA216">
        <v>0</v>
      </c>
      <c r="DB216">
        <v>999.9</v>
      </c>
      <c r="DC216">
        <v>999.9</v>
      </c>
      <c r="DD216">
        <v>44.146000000000001</v>
      </c>
      <c r="DE216">
        <v>28.943000000000001</v>
      </c>
      <c r="DF216">
        <v>17.7026</v>
      </c>
      <c r="DG216">
        <v>30.488399999999999</v>
      </c>
      <c r="DH216">
        <v>16.890999999999998</v>
      </c>
      <c r="DI216">
        <v>2</v>
      </c>
      <c r="DJ216">
        <v>-6.7067100000000004E-2</v>
      </c>
      <c r="DK216">
        <v>2.7512699999999999</v>
      </c>
      <c r="DL216">
        <v>20.186599999999999</v>
      </c>
      <c r="DM216">
        <v>5.2507099999999998</v>
      </c>
      <c r="DN216">
        <v>12.033899999999999</v>
      </c>
      <c r="DO216">
        <v>4.9675200000000004</v>
      </c>
      <c r="DP216">
        <v>3.2909999999999999</v>
      </c>
      <c r="DQ216">
        <v>608.70000000000005</v>
      </c>
      <c r="DR216">
        <v>9999</v>
      </c>
      <c r="DS216">
        <v>9999</v>
      </c>
      <c r="DT216">
        <v>9999</v>
      </c>
      <c r="DU216">
        <v>1.8711800000000001</v>
      </c>
      <c r="DV216">
        <v>1.87618</v>
      </c>
      <c r="DW216">
        <v>1.8763700000000001</v>
      </c>
      <c r="DX216">
        <v>1.88286</v>
      </c>
      <c r="DY216">
        <v>1.8756200000000001</v>
      </c>
      <c r="DZ216">
        <v>1.87469</v>
      </c>
      <c r="EA216">
        <v>1.8708800000000001</v>
      </c>
      <c r="EB216">
        <v>1.87469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-0.63500000000000001</v>
      </c>
      <c r="EQ216">
        <v>6.8400000000000002E-2</v>
      </c>
      <c r="ER216">
        <v>-0.63499999999999102</v>
      </c>
      <c r="ES216">
        <v>0</v>
      </c>
      <c r="ET216">
        <v>0</v>
      </c>
      <c r="EU216">
        <v>0</v>
      </c>
      <c r="EV216">
        <v>6.8400000000000502E-2</v>
      </c>
      <c r="EW216">
        <v>0</v>
      </c>
      <c r="EX216">
        <v>0</v>
      </c>
      <c r="EY216">
        <v>0</v>
      </c>
      <c r="EZ216">
        <v>-1</v>
      </c>
      <c r="FA216">
        <v>-1</v>
      </c>
      <c r="FB216">
        <v>-1</v>
      </c>
      <c r="FC216">
        <v>-1</v>
      </c>
      <c r="FD216">
        <v>0.8</v>
      </c>
      <c r="FE216">
        <v>1.1000000000000001</v>
      </c>
      <c r="FF216">
        <v>2.5878899999999998</v>
      </c>
      <c r="FG216">
        <v>2.5866699999999998</v>
      </c>
      <c r="FH216">
        <v>2.19604</v>
      </c>
      <c r="FI216">
        <v>2.5744600000000002</v>
      </c>
      <c r="FJ216">
        <v>2.4462899999999999</v>
      </c>
      <c r="FK216">
        <v>2.2973599999999998</v>
      </c>
      <c r="FL216">
        <v>33.176900000000003</v>
      </c>
      <c r="FM216">
        <v>24.14</v>
      </c>
      <c r="FN216">
        <v>19</v>
      </c>
      <c r="FO216">
        <v>866.73599999999999</v>
      </c>
      <c r="FP216">
        <v>576.75099999999998</v>
      </c>
      <c r="FQ216">
        <v>17.802299999999999</v>
      </c>
      <c r="FR216">
        <v>26.122800000000002</v>
      </c>
      <c r="FS216">
        <v>30.0002</v>
      </c>
      <c r="FT216">
        <v>26.121400000000001</v>
      </c>
      <c r="FU216">
        <v>26.1251</v>
      </c>
      <c r="FV216">
        <v>51.898499999999999</v>
      </c>
      <c r="FW216">
        <v>26.694800000000001</v>
      </c>
      <c r="FX216">
        <v>37.211199999999998</v>
      </c>
      <c r="FY216">
        <v>17.8001</v>
      </c>
      <c r="FZ216">
        <v>1000</v>
      </c>
      <c r="GA216">
        <v>13.6792</v>
      </c>
      <c r="GB216">
        <v>99.795900000000003</v>
      </c>
      <c r="GC216">
        <v>99.783900000000003</v>
      </c>
    </row>
    <row r="217" spans="1:185" x14ac:dyDescent="0.2">
      <c r="A217">
        <v>202</v>
      </c>
      <c r="B217">
        <v>1771107070.0999999</v>
      </c>
      <c r="C217">
        <v>3957</v>
      </c>
      <c r="D217" t="s">
        <v>711</v>
      </c>
      <c r="E217" t="s">
        <v>712</v>
      </c>
      <c r="F217">
        <v>15</v>
      </c>
      <c r="G217">
        <v>1771107062.03333</v>
      </c>
      <c r="H217">
        <f t="shared" si="39"/>
        <v>1.471706970542896E-3</v>
      </c>
      <c r="I217">
        <v>0</v>
      </c>
      <c r="J217">
        <f t="shared" si="51"/>
        <v>2.6864060206575641E-2</v>
      </c>
      <c r="K217">
        <f t="shared" si="40"/>
        <v>0.48036309102034824</v>
      </c>
      <c r="L217">
        <f t="shared" si="41"/>
        <v>70.005958046829278</v>
      </c>
      <c r="M217">
        <f t="shared" si="42"/>
        <v>1.5439240660285296</v>
      </c>
      <c r="N217">
        <f t="shared" si="43"/>
        <v>2.2054180945509643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26216.741108484683</v>
      </c>
      <c r="T217">
        <f t="shared" si="47"/>
        <v>799.99893333333398</v>
      </c>
      <c r="U217">
        <f t="shared" si="48"/>
        <v>674.39953759941818</v>
      </c>
      <c r="V217">
        <f t="shared" si="49"/>
        <v>0.84300054600000007</v>
      </c>
      <c r="W217">
        <f t="shared" si="50"/>
        <v>0.15870136500000001</v>
      </c>
      <c r="X217">
        <v>1</v>
      </c>
      <c r="Y217">
        <v>1771107062.03333</v>
      </c>
      <c r="Z217">
        <v>997.57826666666699</v>
      </c>
      <c r="AA217">
        <v>1000.01386666667</v>
      </c>
      <c r="AB217">
        <v>15.4358066666667</v>
      </c>
      <c r="AC217">
        <v>13.6245933333333</v>
      </c>
      <c r="AD217">
        <v>998.21326666666596</v>
      </c>
      <c r="AE217">
        <v>15.3674066666667</v>
      </c>
      <c r="AF217">
        <v>800.01066666666702</v>
      </c>
      <c r="AG217">
        <v>99.958960000000005</v>
      </c>
      <c r="AH217">
        <v>6.3286933333333295E-2</v>
      </c>
      <c r="AI217">
        <v>19.001726666666698</v>
      </c>
      <c r="AJ217">
        <v>999.9</v>
      </c>
      <c r="AK217">
        <v>999.9</v>
      </c>
      <c r="AL217">
        <v>0</v>
      </c>
      <c r="AM217">
        <v>0</v>
      </c>
      <c r="AN217">
        <v>5000.8999999999996</v>
      </c>
      <c r="AO217">
        <v>0</v>
      </c>
      <c r="AP217">
        <v>1.58087</v>
      </c>
      <c r="AQ217">
        <v>-2.4356373333333301</v>
      </c>
      <c r="AR217">
        <v>1013.21733333333</v>
      </c>
      <c r="AS217">
        <v>1013.82666666667</v>
      </c>
      <c r="AT217">
        <v>1.8112233333333301</v>
      </c>
      <c r="AU217">
        <v>1000.01386666667</v>
      </c>
      <c r="AV217">
        <v>13.6245933333333</v>
      </c>
      <c r="AW217">
        <v>1.5429473333333299</v>
      </c>
      <c r="AX217">
        <v>1.3618986666666699</v>
      </c>
      <c r="AY217">
        <v>13.4005333333333</v>
      </c>
      <c r="AZ217">
        <v>11.4999133333333</v>
      </c>
      <c r="BA217">
        <v>799.99893333333398</v>
      </c>
      <c r="BB217">
        <v>0.89998180000000005</v>
      </c>
      <c r="BC217">
        <v>0</v>
      </c>
      <c r="BD217">
        <v>0.1000182</v>
      </c>
      <c r="BE217">
        <v>0</v>
      </c>
      <c r="BF217">
        <v>25</v>
      </c>
      <c r="BG217">
        <v>13190.9533333333</v>
      </c>
      <c r="BH217">
        <v>1771107008.0999999</v>
      </c>
      <c r="BI217" t="s">
        <v>702</v>
      </c>
      <c r="BJ217">
        <v>1771107008.0999999</v>
      </c>
      <c r="BK217">
        <v>1771106987.0999999</v>
      </c>
      <c r="BL217">
        <v>24</v>
      </c>
      <c r="BM217">
        <v>1.0999999999999999E-2</v>
      </c>
      <c r="BN217">
        <v>-1E-3</v>
      </c>
      <c r="BO217">
        <v>-0.63500000000000001</v>
      </c>
      <c r="BP217">
        <v>6.8000000000000005E-2</v>
      </c>
      <c r="BQ217">
        <v>999</v>
      </c>
      <c r="BR217">
        <v>14</v>
      </c>
      <c r="BS217">
        <v>0.37</v>
      </c>
      <c r="BT217">
        <v>0.04</v>
      </c>
      <c r="BU217">
        <v>-2.4369174999999998</v>
      </c>
      <c r="BV217">
        <v>6.9059097744358297E-2</v>
      </c>
      <c r="BW217">
        <v>4.0008141280869297E-2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1.8056479999999999</v>
      </c>
      <c r="CD217">
        <v>0.14542105263157801</v>
      </c>
      <c r="CE217">
        <v>1.83349163074174E-2</v>
      </c>
      <c r="CF217">
        <v>0</v>
      </c>
      <c r="CG217">
        <v>1</v>
      </c>
      <c r="CH217">
        <v>2</v>
      </c>
      <c r="CI217" t="s">
        <v>299</v>
      </c>
      <c r="CJ217">
        <v>3.5325700000000002</v>
      </c>
      <c r="CK217">
        <v>2.7012200000000002</v>
      </c>
      <c r="CL217">
        <v>0.181309</v>
      </c>
      <c r="CM217">
        <v>0.17894699999999999</v>
      </c>
      <c r="CN217">
        <v>8.7043899999999993E-2</v>
      </c>
      <c r="CO217">
        <v>7.8483700000000003E-2</v>
      </c>
      <c r="CP217">
        <v>28679.9</v>
      </c>
      <c r="CQ217">
        <v>25289</v>
      </c>
      <c r="CR217">
        <v>32424.3</v>
      </c>
      <c r="CS217">
        <v>30729.3</v>
      </c>
      <c r="CT217">
        <v>40103.800000000003</v>
      </c>
      <c r="CU217">
        <v>39845.5</v>
      </c>
      <c r="CV217">
        <v>47365.3</v>
      </c>
      <c r="CW217">
        <v>46879.7</v>
      </c>
      <c r="CX217">
        <v>2.6139000000000001</v>
      </c>
      <c r="CY217">
        <v>2.12168</v>
      </c>
      <c r="CZ217">
        <v>0</v>
      </c>
      <c r="DA217">
        <v>0</v>
      </c>
      <c r="DB217">
        <v>999.9</v>
      </c>
      <c r="DC217">
        <v>999.9</v>
      </c>
      <c r="DD217">
        <v>44.024000000000001</v>
      </c>
      <c r="DE217">
        <v>28.952999999999999</v>
      </c>
      <c r="DF217">
        <v>17.665299999999998</v>
      </c>
      <c r="DG217">
        <v>30.6084</v>
      </c>
      <c r="DH217">
        <v>16.882999999999999</v>
      </c>
      <c r="DI217">
        <v>2</v>
      </c>
      <c r="DJ217">
        <v>-6.6859799999999997E-2</v>
      </c>
      <c r="DK217">
        <v>2.7561</v>
      </c>
      <c r="DL217">
        <v>20.186599999999999</v>
      </c>
      <c r="DM217">
        <v>5.2505899999999999</v>
      </c>
      <c r="DN217">
        <v>12.033899999999999</v>
      </c>
      <c r="DO217">
        <v>4.96732</v>
      </c>
      <c r="DP217">
        <v>3.2909999999999999</v>
      </c>
      <c r="DQ217">
        <v>608.70000000000005</v>
      </c>
      <c r="DR217">
        <v>9999</v>
      </c>
      <c r="DS217">
        <v>9999</v>
      </c>
      <c r="DT217">
        <v>9999</v>
      </c>
      <c r="DU217">
        <v>1.8711800000000001</v>
      </c>
      <c r="DV217">
        <v>1.87619</v>
      </c>
      <c r="DW217">
        <v>1.8763700000000001</v>
      </c>
      <c r="DX217">
        <v>1.88289</v>
      </c>
      <c r="DY217">
        <v>1.8756299999999999</v>
      </c>
      <c r="DZ217">
        <v>1.87469</v>
      </c>
      <c r="EA217">
        <v>1.8708800000000001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-0.63500000000000001</v>
      </c>
      <c r="EQ217">
        <v>6.8400000000000002E-2</v>
      </c>
      <c r="ER217">
        <v>-0.63499999999999102</v>
      </c>
      <c r="ES217">
        <v>0</v>
      </c>
      <c r="ET217">
        <v>0</v>
      </c>
      <c r="EU217">
        <v>0</v>
      </c>
      <c r="EV217">
        <v>6.8400000000000502E-2</v>
      </c>
      <c r="EW217">
        <v>0</v>
      </c>
      <c r="EX217">
        <v>0</v>
      </c>
      <c r="EY217">
        <v>0</v>
      </c>
      <c r="EZ217">
        <v>-1</v>
      </c>
      <c r="FA217">
        <v>-1</v>
      </c>
      <c r="FB217">
        <v>-1</v>
      </c>
      <c r="FC217">
        <v>-1</v>
      </c>
      <c r="FD217">
        <v>1</v>
      </c>
      <c r="FE217">
        <v>1.4</v>
      </c>
      <c r="FF217">
        <v>2.5878899999999998</v>
      </c>
      <c r="FG217">
        <v>2.5891099999999998</v>
      </c>
      <c r="FH217">
        <v>2.19604</v>
      </c>
      <c r="FI217">
        <v>2.5744600000000002</v>
      </c>
      <c r="FJ217">
        <v>2.4462899999999999</v>
      </c>
      <c r="FK217">
        <v>2.2924799999999999</v>
      </c>
      <c r="FL217">
        <v>33.176900000000003</v>
      </c>
      <c r="FM217">
        <v>24.14</v>
      </c>
      <c r="FN217">
        <v>19</v>
      </c>
      <c r="FO217">
        <v>866.93899999999996</v>
      </c>
      <c r="FP217">
        <v>576.75099999999998</v>
      </c>
      <c r="FQ217">
        <v>17.796600000000002</v>
      </c>
      <c r="FR217">
        <v>26.122800000000002</v>
      </c>
      <c r="FS217">
        <v>30.0002</v>
      </c>
      <c r="FT217">
        <v>26.1236</v>
      </c>
      <c r="FU217">
        <v>26.1251</v>
      </c>
      <c r="FV217">
        <v>51.901899999999998</v>
      </c>
      <c r="FW217">
        <v>26.405200000000001</v>
      </c>
      <c r="FX217">
        <v>36.839599999999997</v>
      </c>
      <c r="FY217">
        <v>17.795400000000001</v>
      </c>
      <c r="FZ217">
        <v>1000</v>
      </c>
      <c r="GA217">
        <v>13.6792</v>
      </c>
      <c r="GB217">
        <v>99.794899999999998</v>
      </c>
      <c r="GC217">
        <v>99.783000000000001</v>
      </c>
    </row>
    <row r="218" spans="1:185" x14ac:dyDescent="0.2">
      <c r="A218">
        <v>203</v>
      </c>
      <c r="B218">
        <v>1771107085.0999999</v>
      </c>
      <c r="C218">
        <v>3972</v>
      </c>
      <c r="D218" t="s">
        <v>713</v>
      </c>
      <c r="E218" t="s">
        <v>714</v>
      </c>
      <c r="F218">
        <v>15</v>
      </c>
      <c r="G218">
        <v>1771107077.03333</v>
      </c>
      <c r="H218">
        <f t="shared" si="39"/>
        <v>1.4364639133426793E-3</v>
      </c>
      <c r="I218">
        <v>0</v>
      </c>
      <c r="J218">
        <f t="shared" si="51"/>
        <v>2.7907484532202837E-2</v>
      </c>
      <c r="K218">
        <f t="shared" si="40"/>
        <v>0.49902082668836972</v>
      </c>
      <c r="L218">
        <f t="shared" si="41"/>
        <v>69.913385809032576</v>
      </c>
      <c r="M218">
        <f t="shared" si="42"/>
        <v>1.5418548792901092</v>
      </c>
      <c r="N218">
        <f t="shared" si="43"/>
        <v>2.2053786430851225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26206.145265970314</v>
      </c>
      <c r="T218">
        <f t="shared" si="47"/>
        <v>800.00113333333297</v>
      </c>
      <c r="U218">
        <f t="shared" si="48"/>
        <v>674.40143060067294</v>
      </c>
      <c r="V218">
        <f t="shared" si="49"/>
        <v>0.84300059400000005</v>
      </c>
      <c r="W218">
        <f t="shared" si="50"/>
        <v>0.158701485</v>
      </c>
      <c r="X218">
        <v>1</v>
      </c>
      <c r="Y218">
        <v>1771107077.03333</v>
      </c>
      <c r="Z218">
        <v>997.59</v>
      </c>
      <c r="AA218">
        <v>1000.005</v>
      </c>
      <c r="AB218">
        <v>15.41506</v>
      </c>
      <c r="AC218">
        <v>13.647180000000001</v>
      </c>
      <c r="AD218">
        <v>998.22506666666698</v>
      </c>
      <c r="AE218">
        <v>15.34666</v>
      </c>
      <c r="AF218">
        <v>800.00946666666698</v>
      </c>
      <c r="AG218">
        <v>99.959286666666699</v>
      </c>
      <c r="AH218">
        <v>6.3345700000000005E-2</v>
      </c>
      <c r="AI218">
        <v>19.001439999999999</v>
      </c>
      <c r="AJ218">
        <v>999.9</v>
      </c>
      <c r="AK218">
        <v>999.9</v>
      </c>
      <c r="AL218">
        <v>0</v>
      </c>
      <c r="AM218">
        <v>0</v>
      </c>
      <c r="AN218">
        <v>4999.1333333333296</v>
      </c>
      <c r="AO218">
        <v>0</v>
      </c>
      <c r="AP218">
        <v>1.58087</v>
      </c>
      <c r="AQ218">
        <v>-2.41573866666667</v>
      </c>
      <c r="AR218">
        <v>1013.20733333333</v>
      </c>
      <c r="AS218">
        <v>1013.842</v>
      </c>
      <c r="AT218">
        <v>1.76788066666667</v>
      </c>
      <c r="AU218">
        <v>1000.005</v>
      </c>
      <c r="AV218">
        <v>13.647180000000001</v>
      </c>
      <c r="AW218">
        <v>1.540878</v>
      </c>
      <c r="AX218">
        <v>1.36416266666667</v>
      </c>
      <c r="AY218">
        <v>13.379953333333299</v>
      </c>
      <c r="AZ218">
        <v>11.5250133333333</v>
      </c>
      <c r="BA218">
        <v>800.00113333333297</v>
      </c>
      <c r="BB218">
        <v>0.89998020000000001</v>
      </c>
      <c r="BC218">
        <v>0</v>
      </c>
      <c r="BD218">
        <v>0.10001980000000001</v>
      </c>
      <c r="BE218">
        <v>0</v>
      </c>
      <c r="BF218">
        <v>25</v>
      </c>
      <c r="BG218">
        <v>13190.973333333301</v>
      </c>
      <c r="BH218">
        <v>1771107008.0999999</v>
      </c>
      <c r="BI218" t="s">
        <v>702</v>
      </c>
      <c r="BJ218">
        <v>1771107008.0999999</v>
      </c>
      <c r="BK218">
        <v>1771106987.0999999</v>
      </c>
      <c r="BL218">
        <v>24</v>
      </c>
      <c r="BM218">
        <v>1.0999999999999999E-2</v>
      </c>
      <c r="BN218">
        <v>-1E-3</v>
      </c>
      <c r="BO218">
        <v>-0.63500000000000001</v>
      </c>
      <c r="BP218">
        <v>6.8000000000000005E-2</v>
      </c>
      <c r="BQ218">
        <v>999</v>
      </c>
      <c r="BR218">
        <v>14</v>
      </c>
      <c r="BS218">
        <v>0.37</v>
      </c>
      <c r="BT218">
        <v>0.04</v>
      </c>
      <c r="BU218">
        <v>-2.4166409523809498</v>
      </c>
      <c r="BV218">
        <v>-3.0799480519477802E-2</v>
      </c>
      <c r="BW218">
        <v>2.5243753570558101E-2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1.78291142857143</v>
      </c>
      <c r="CD218">
        <v>-0.23769194805194799</v>
      </c>
      <c r="CE218">
        <v>2.6482223019497899E-2</v>
      </c>
      <c r="CF218">
        <v>0</v>
      </c>
      <c r="CG218">
        <v>1</v>
      </c>
      <c r="CH218">
        <v>2</v>
      </c>
      <c r="CI218" t="s">
        <v>299</v>
      </c>
      <c r="CJ218">
        <v>3.5325500000000001</v>
      </c>
      <c r="CK218">
        <v>2.7012800000000001</v>
      </c>
      <c r="CL218">
        <v>0.18131700000000001</v>
      </c>
      <c r="CM218">
        <v>0.17894599999999999</v>
      </c>
      <c r="CN218">
        <v>8.7018700000000004E-2</v>
      </c>
      <c r="CO218">
        <v>7.8600400000000001E-2</v>
      </c>
      <c r="CP218">
        <v>28679.8</v>
      </c>
      <c r="CQ218">
        <v>25289.3</v>
      </c>
      <c r="CR218">
        <v>32424.5</v>
      </c>
      <c r="CS218">
        <v>30729.599999999999</v>
      </c>
      <c r="CT218">
        <v>40105</v>
      </c>
      <c r="CU218">
        <v>39841</v>
      </c>
      <c r="CV218">
        <v>47365.3</v>
      </c>
      <c r="CW218">
        <v>46880.4</v>
      </c>
      <c r="CX218">
        <v>2.6137000000000001</v>
      </c>
      <c r="CY218">
        <v>2.12154</v>
      </c>
      <c r="CZ218">
        <v>0</v>
      </c>
      <c r="DA218">
        <v>0</v>
      </c>
      <c r="DB218">
        <v>999.9</v>
      </c>
      <c r="DC218">
        <v>999.9</v>
      </c>
      <c r="DD218">
        <v>44</v>
      </c>
      <c r="DE218">
        <v>28.943000000000001</v>
      </c>
      <c r="DF218">
        <v>17.644300000000001</v>
      </c>
      <c r="DG218">
        <v>30.488399999999999</v>
      </c>
      <c r="DH218">
        <v>16.859000000000002</v>
      </c>
      <c r="DI218">
        <v>2</v>
      </c>
      <c r="DJ218">
        <v>-6.6839399999999993E-2</v>
      </c>
      <c r="DK218">
        <v>2.7540399999999998</v>
      </c>
      <c r="DL218">
        <v>20.186599999999999</v>
      </c>
      <c r="DM218">
        <v>5.2509499999999996</v>
      </c>
      <c r="DN218">
        <v>12.033899999999999</v>
      </c>
      <c r="DO218">
        <v>4.96732</v>
      </c>
      <c r="DP218">
        <v>3.2909999999999999</v>
      </c>
      <c r="DQ218">
        <v>608.79999999999995</v>
      </c>
      <c r="DR218">
        <v>9999</v>
      </c>
      <c r="DS218">
        <v>9999</v>
      </c>
      <c r="DT218">
        <v>9999</v>
      </c>
      <c r="DU218">
        <v>1.8711899999999999</v>
      </c>
      <c r="DV218">
        <v>1.8762099999999999</v>
      </c>
      <c r="DW218">
        <v>1.8763700000000001</v>
      </c>
      <c r="DX218">
        <v>1.88289</v>
      </c>
      <c r="DY218">
        <v>1.87564</v>
      </c>
      <c r="DZ218">
        <v>1.8747</v>
      </c>
      <c r="EA218">
        <v>1.8708800000000001</v>
      </c>
      <c r="EB218">
        <v>1.87469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-0.63500000000000001</v>
      </c>
      <c r="EQ218">
        <v>6.8400000000000002E-2</v>
      </c>
      <c r="ER218">
        <v>-0.63499999999999102</v>
      </c>
      <c r="ES218">
        <v>0</v>
      </c>
      <c r="ET218">
        <v>0</v>
      </c>
      <c r="EU218">
        <v>0</v>
      </c>
      <c r="EV218">
        <v>6.8400000000000502E-2</v>
      </c>
      <c r="EW218">
        <v>0</v>
      </c>
      <c r="EX218">
        <v>0</v>
      </c>
      <c r="EY218">
        <v>0</v>
      </c>
      <c r="EZ218">
        <v>-1</v>
      </c>
      <c r="FA218">
        <v>-1</v>
      </c>
      <c r="FB218">
        <v>-1</v>
      </c>
      <c r="FC218">
        <v>-1</v>
      </c>
      <c r="FD218">
        <v>1.3</v>
      </c>
      <c r="FE218">
        <v>1.6</v>
      </c>
      <c r="FF218">
        <v>2.5878899999999998</v>
      </c>
      <c r="FG218">
        <v>2.5866699999999998</v>
      </c>
      <c r="FH218">
        <v>2.19604</v>
      </c>
      <c r="FI218">
        <v>2.5732400000000002</v>
      </c>
      <c r="FJ218">
        <v>2.4462899999999999</v>
      </c>
      <c r="FK218">
        <v>2.3144499999999999</v>
      </c>
      <c r="FL218">
        <v>33.176900000000003</v>
      </c>
      <c r="FM218">
        <v>24.14</v>
      </c>
      <c r="FN218">
        <v>19</v>
      </c>
      <c r="FO218">
        <v>866.71799999999996</v>
      </c>
      <c r="FP218">
        <v>576.64400000000001</v>
      </c>
      <c r="FQ218">
        <v>17.792000000000002</v>
      </c>
      <c r="FR218">
        <v>26.122800000000002</v>
      </c>
      <c r="FS218">
        <v>30.0001</v>
      </c>
      <c r="FT218">
        <v>26.121400000000001</v>
      </c>
      <c r="FU218">
        <v>26.1251</v>
      </c>
      <c r="FV218">
        <v>51.901299999999999</v>
      </c>
      <c r="FW218">
        <v>26.405200000000001</v>
      </c>
      <c r="FX218">
        <v>36.839599999999997</v>
      </c>
      <c r="FY218">
        <v>17.7912</v>
      </c>
      <c r="FZ218">
        <v>1000</v>
      </c>
      <c r="GA218">
        <v>13.6792</v>
      </c>
      <c r="GB218">
        <v>99.795199999999994</v>
      </c>
      <c r="GC218">
        <v>99.784199999999998</v>
      </c>
    </row>
    <row r="219" spans="1:185" x14ac:dyDescent="0.2">
      <c r="A219">
        <v>204</v>
      </c>
      <c r="B219">
        <v>1771107100.0999999</v>
      </c>
      <c r="C219">
        <v>3987</v>
      </c>
      <c r="D219" t="s">
        <v>715</v>
      </c>
      <c r="E219" t="s">
        <v>716</v>
      </c>
      <c r="F219">
        <v>15</v>
      </c>
      <c r="G219">
        <v>1771107092.03333</v>
      </c>
      <c r="H219">
        <f t="shared" si="39"/>
        <v>1.4302542325341019E-3</v>
      </c>
      <c r="I219">
        <v>0</v>
      </c>
      <c r="J219">
        <f t="shared" si="51"/>
        <v>2.742372019446384E-2</v>
      </c>
      <c r="K219">
        <f t="shared" si="40"/>
        <v>0.49037051356314693</v>
      </c>
      <c r="L219">
        <f t="shared" si="41"/>
        <v>69.881856439760526</v>
      </c>
      <c r="M219">
        <f t="shared" si="42"/>
        <v>1.5414653897007882</v>
      </c>
      <c r="N219">
        <f t="shared" si="43"/>
        <v>2.2058163137517108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26207.886393723282</v>
      </c>
      <c r="T219">
        <f t="shared" si="47"/>
        <v>799.99913333333302</v>
      </c>
      <c r="U219">
        <f t="shared" si="48"/>
        <v>674.39977499945201</v>
      </c>
      <c r="V219">
        <f t="shared" si="49"/>
        <v>0.84300063199999997</v>
      </c>
      <c r="W219">
        <f t="shared" si="50"/>
        <v>0.15870158000000001</v>
      </c>
      <c r="X219">
        <v>1</v>
      </c>
      <c r="Y219">
        <v>1771107092.03333</v>
      </c>
      <c r="Z219">
        <v>997.60606666666695</v>
      </c>
      <c r="AA219">
        <v>1000.00253333333</v>
      </c>
      <c r="AB219">
        <v>15.41128</v>
      </c>
      <c r="AC219">
        <v>13.65104</v>
      </c>
      <c r="AD219">
        <v>998.24106666666705</v>
      </c>
      <c r="AE219">
        <v>15.342879999999999</v>
      </c>
      <c r="AF219">
        <v>800.01146666666705</v>
      </c>
      <c r="AG219">
        <v>99.958539999999999</v>
      </c>
      <c r="AH219">
        <v>6.3352386666666705E-2</v>
      </c>
      <c r="AI219">
        <v>19.004619999999999</v>
      </c>
      <c r="AJ219">
        <v>999.9</v>
      </c>
      <c r="AK219">
        <v>999.9</v>
      </c>
      <c r="AL219">
        <v>0</v>
      </c>
      <c r="AM219">
        <v>0</v>
      </c>
      <c r="AN219">
        <v>4999.5</v>
      </c>
      <c r="AO219">
        <v>0</v>
      </c>
      <c r="AP219">
        <v>1.58087</v>
      </c>
      <c r="AQ219">
        <v>-2.3969559999999999</v>
      </c>
      <c r="AR219">
        <v>1013.22133333333</v>
      </c>
      <c r="AS219">
        <v>1013.842</v>
      </c>
      <c r="AT219">
        <v>1.76023333333333</v>
      </c>
      <c r="AU219">
        <v>1000.00253333333</v>
      </c>
      <c r="AV219">
        <v>13.65104</v>
      </c>
      <c r="AW219">
        <v>1.5404886666666699</v>
      </c>
      <c r="AX219">
        <v>1.36453933333333</v>
      </c>
      <c r="AY219">
        <v>13.376060000000001</v>
      </c>
      <c r="AZ219">
        <v>11.529199999999999</v>
      </c>
      <c r="BA219">
        <v>799.99913333333302</v>
      </c>
      <c r="BB219">
        <v>0.89997893333333301</v>
      </c>
      <c r="BC219">
        <v>0</v>
      </c>
      <c r="BD219">
        <v>0.10002106666666701</v>
      </c>
      <c r="BE219">
        <v>0</v>
      </c>
      <c r="BF219">
        <v>25</v>
      </c>
      <c r="BG219">
        <v>13190.94</v>
      </c>
      <c r="BH219">
        <v>1771107008.0999999</v>
      </c>
      <c r="BI219" t="s">
        <v>702</v>
      </c>
      <c r="BJ219">
        <v>1771107008.0999999</v>
      </c>
      <c r="BK219">
        <v>1771106987.0999999</v>
      </c>
      <c r="BL219">
        <v>24</v>
      </c>
      <c r="BM219">
        <v>1.0999999999999999E-2</v>
      </c>
      <c r="BN219">
        <v>-1E-3</v>
      </c>
      <c r="BO219">
        <v>-0.63500000000000001</v>
      </c>
      <c r="BP219">
        <v>6.8000000000000005E-2</v>
      </c>
      <c r="BQ219">
        <v>999</v>
      </c>
      <c r="BR219">
        <v>14</v>
      </c>
      <c r="BS219">
        <v>0.37</v>
      </c>
      <c r="BT219">
        <v>0.04</v>
      </c>
      <c r="BU219">
        <v>-2.4050954999999998</v>
      </c>
      <c r="BV219">
        <v>0.123214285714288</v>
      </c>
      <c r="BW219">
        <v>3.3687088695077201E-2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1.7603475</v>
      </c>
      <c r="CD219">
        <v>-6.7195488721797604E-3</v>
      </c>
      <c r="CE219">
        <v>1.1654779062685E-3</v>
      </c>
      <c r="CF219">
        <v>1</v>
      </c>
      <c r="CG219">
        <v>2</v>
      </c>
      <c r="CH219">
        <v>2</v>
      </c>
      <c r="CI219" t="s">
        <v>322</v>
      </c>
      <c r="CJ219">
        <v>3.5325500000000001</v>
      </c>
      <c r="CK219">
        <v>2.70119</v>
      </c>
      <c r="CL219">
        <v>0.18131800000000001</v>
      </c>
      <c r="CM219">
        <v>0.17894699999999999</v>
      </c>
      <c r="CN219">
        <v>8.7015599999999999E-2</v>
      </c>
      <c r="CO219">
        <v>7.8598100000000004E-2</v>
      </c>
      <c r="CP219">
        <v>28679.9</v>
      </c>
      <c r="CQ219">
        <v>25289.1</v>
      </c>
      <c r="CR219">
        <v>32424.7</v>
      </c>
      <c r="CS219">
        <v>30729.4</v>
      </c>
      <c r="CT219">
        <v>40105.300000000003</v>
      </c>
      <c r="CU219">
        <v>39841</v>
      </c>
      <c r="CV219">
        <v>47365.599999999999</v>
      </c>
      <c r="CW219">
        <v>46880.3</v>
      </c>
      <c r="CX219">
        <v>2.6136400000000002</v>
      </c>
      <c r="CY219">
        <v>2.1216200000000001</v>
      </c>
      <c r="CZ219">
        <v>0</v>
      </c>
      <c r="DA219">
        <v>0</v>
      </c>
      <c r="DB219">
        <v>999.9</v>
      </c>
      <c r="DC219">
        <v>999.9</v>
      </c>
      <c r="DD219">
        <v>43.951000000000001</v>
      </c>
      <c r="DE219">
        <v>28.943000000000001</v>
      </c>
      <c r="DF219">
        <v>17.623899999999999</v>
      </c>
      <c r="DG219">
        <v>30.5184</v>
      </c>
      <c r="DH219">
        <v>16.867000000000001</v>
      </c>
      <c r="DI219">
        <v>2</v>
      </c>
      <c r="DJ219">
        <v>-6.67378E-2</v>
      </c>
      <c r="DK219">
        <v>2.7936399999999999</v>
      </c>
      <c r="DL219">
        <v>20.1859</v>
      </c>
      <c r="DM219">
        <v>5.2503500000000001</v>
      </c>
      <c r="DN219">
        <v>12.033899999999999</v>
      </c>
      <c r="DO219">
        <v>4.96732</v>
      </c>
      <c r="DP219">
        <v>3.2909999999999999</v>
      </c>
      <c r="DQ219">
        <v>608.79999999999995</v>
      </c>
      <c r="DR219">
        <v>9999</v>
      </c>
      <c r="DS219">
        <v>9999</v>
      </c>
      <c r="DT219">
        <v>9999</v>
      </c>
      <c r="DU219">
        <v>1.8711800000000001</v>
      </c>
      <c r="DV219">
        <v>1.87619</v>
      </c>
      <c r="DW219">
        <v>1.8763700000000001</v>
      </c>
      <c r="DX219">
        <v>1.88286</v>
      </c>
      <c r="DY219">
        <v>1.8756299999999999</v>
      </c>
      <c r="DZ219">
        <v>1.87469</v>
      </c>
      <c r="EA219">
        <v>1.8708800000000001</v>
      </c>
      <c r="EB219">
        <v>1.87469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-0.63500000000000001</v>
      </c>
      <c r="EQ219">
        <v>6.8400000000000002E-2</v>
      </c>
      <c r="ER219">
        <v>-0.63499999999999102</v>
      </c>
      <c r="ES219">
        <v>0</v>
      </c>
      <c r="ET219">
        <v>0</v>
      </c>
      <c r="EU219">
        <v>0</v>
      </c>
      <c r="EV219">
        <v>6.8400000000000502E-2</v>
      </c>
      <c r="EW219">
        <v>0</v>
      </c>
      <c r="EX219">
        <v>0</v>
      </c>
      <c r="EY219">
        <v>0</v>
      </c>
      <c r="EZ219">
        <v>-1</v>
      </c>
      <c r="FA219">
        <v>-1</v>
      </c>
      <c r="FB219">
        <v>-1</v>
      </c>
      <c r="FC219">
        <v>-1</v>
      </c>
      <c r="FD219">
        <v>1.5</v>
      </c>
      <c r="FE219">
        <v>1.9</v>
      </c>
      <c r="FF219">
        <v>2.5878899999999998</v>
      </c>
      <c r="FG219">
        <v>2.5866699999999998</v>
      </c>
      <c r="FH219">
        <v>2.19604</v>
      </c>
      <c r="FI219">
        <v>2.5732400000000002</v>
      </c>
      <c r="FJ219">
        <v>2.4462899999999999</v>
      </c>
      <c r="FK219">
        <v>2.3010299999999999</v>
      </c>
      <c r="FL219">
        <v>33.176900000000003</v>
      </c>
      <c r="FM219">
        <v>24.1313</v>
      </c>
      <c r="FN219">
        <v>19</v>
      </c>
      <c r="FO219">
        <v>866.66899999999998</v>
      </c>
      <c r="FP219">
        <v>576.70500000000004</v>
      </c>
      <c r="FQ219">
        <v>17.782900000000001</v>
      </c>
      <c r="FR219">
        <v>26.122800000000002</v>
      </c>
      <c r="FS219">
        <v>30.0002</v>
      </c>
      <c r="FT219">
        <v>26.1219</v>
      </c>
      <c r="FU219">
        <v>26.1251</v>
      </c>
      <c r="FV219">
        <v>51.900500000000001</v>
      </c>
      <c r="FW219">
        <v>26.405200000000001</v>
      </c>
      <c r="FX219">
        <v>36.839599999999997</v>
      </c>
      <c r="FY219">
        <v>17.778099999999998</v>
      </c>
      <c r="FZ219">
        <v>1000</v>
      </c>
      <c r="GA219">
        <v>13.6792</v>
      </c>
      <c r="GB219">
        <v>99.7958</v>
      </c>
      <c r="GC219">
        <v>99.783900000000003</v>
      </c>
    </row>
    <row r="220" spans="1:185" x14ac:dyDescent="0.2">
      <c r="A220">
        <v>205</v>
      </c>
      <c r="B220">
        <v>1771107115.0999999</v>
      </c>
      <c r="C220">
        <v>4002</v>
      </c>
      <c r="D220" t="s">
        <v>717</v>
      </c>
      <c r="E220" t="s">
        <v>718</v>
      </c>
      <c r="F220">
        <v>15</v>
      </c>
      <c r="G220">
        <v>1771107107.03333</v>
      </c>
      <c r="H220">
        <f t="shared" si="39"/>
        <v>1.4347671956711776E-3</v>
      </c>
      <c r="I220">
        <v>0</v>
      </c>
      <c r="J220">
        <f t="shared" si="51"/>
        <v>2.6033634086386398E-2</v>
      </c>
      <c r="K220">
        <f t="shared" si="40"/>
        <v>0.46551403042077077</v>
      </c>
      <c r="L220">
        <f t="shared" si="41"/>
        <v>69.903584815853677</v>
      </c>
      <c r="M220">
        <f t="shared" si="42"/>
        <v>1.5418125429713594</v>
      </c>
      <c r="N220">
        <f t="shared" si="43"/>
        <v>2.2056272894057449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26231.454342565819</v>
      </c>
      <c r="T220">
        <f t="shared" si="47"/>
        <v>799.99800000000005</v>
      </c>
      <c r="U220">
        <f t="shared" si="48"/>
        <v>674.39877959883609</v>
      </c>
      <c r="V220">
        <f t="shared" si="49"/>
        <v>0.84300058200000005</v>
      </c>
      <c r="W220">
        <f t="shared" si="50"/>
        <v>0.15870145499999999</v>
      </c>
      <c r="X220">
        <v>1</v>
      </c>
      <c r="Y220">
        <v>1771107107.03333</v>
      </c>
      <c r="Z220">
        <v>997.62559999999996</v>
      </c>
      <c r="AA220">
        <v>999.99666666666701</v>
      </c>
      <c r="AB220">
        <v>15.414873333333301</v>
      </c>
      <c r="AC220">
        <v>13.64908</v>
      </c>
      <c r="AD220">
        <v>998.26059999999995</v>
      </c>
      <c r="AE220">
        <v>15.3464733333333</v>
      </c>
      <c r="AF220">
        <v>800.00893333333295</v>
      </c>
      <c r="AG220">
        <v>99.957813333333306</v>
      </c>
      <c r="AH220">
        <v>6.3283800000000001E-2</v>
      </c>
      <c r="AI220">
        <v>19.003246666666701</v>
      </c>
      <c r="AJ220">
        <v>999.9</v>
      </c>
      <c r="AK220">
        <v>999.9</v>
      </c>
      <c r="AL220">
        <v>0</v>
      </c>
      <c r="AM220">
        <v>0</v>
      </c>
      <c r="AN220">
        <v>5003.3999999999996</v>
      </c>
      <c r="AO220">
        <v>0</v>
      </c>
      <c r="AP220">
        <v>1.58087</v>
      </c>
      <c r="AQ220">
        <v>-2.37166866666667</v>
      </c>
      <c r="AR220">
        <v>1013.244</v>
      </c>
      <c r="AS220">
        <v>1013.83466666667</v>
      </c>
      <c r="AT220">
        <v>1.76580733333333</v>
      </c>
      <c r="AU220">
        <v>999.99666666666701</v>
      </c>
      <c r="AV220">
        <v>13.64908</v>
      </c>
      <c r="AW220">
        <v>1.54083666666667</v>
      </c>
      <c r="AX220">
        <v>1.36433</v>
      </c>
      <c r="AY220">
        <v>13.379533333333301</v>
      </c>
      <c r="AZ220">
        <v>11.5268866666667</v>
      </c>
      <c r="BA220">
        <v>799.99800000000005</v>
      </c>
      <c r="BB220">
        <v>0.89998060000000002</v>
      </c>
      <c r="BC220">
        <v>0</v>
      </c>
      <c r="BD220">
        <v>0.10001939999999999</v>
      </c>
      <c r="BE220">
        <v>0</v>
      </c>
      <c r="BF220">
        <v>25</v>
      </c>
      <c r="BG220">
        <v>13190.92</v>
      </c>
      <c r="BH220">
        <v>1771107008.0999999</v>
      </c>
      <c r="BI220" t="s">
        <v>702</v>
      </c>
      <c r="BJ220">
        <v>1771107008.0999999</v>
      </c>
      <c r="BK220">
        <v>1771106987.0999999</v>
      </c>
      <c r="BL220">
        <v>24</v>
      </c>
      <c r="BM220">
        <v>1.0999999999999999E-2</v>
      </c>
      <c r="BN220">
        <v>-1E-3</v>
      </c>
      <c r="BO220">
        <v>-0.63500000000000001</v>
      </c>
      <c r="BP220">
        <v>6.8000000000000005E-2</v>
      </c>
      <c r="BQ220">
        <v>999</v>
      </c>
      <c r="BR220">
        <v>14</v>
      </c>
      <c r="BS220">
        <v>0.37</v>
      </c>
      <c r="BT220">
        <v>0.04</v>
      </c>
      <c r="BU220">
        <v>-2.3759333333333301</v>
      </c>
      <c r="BV220">
        <v>0.191063376623376</v>
      </c>
      <c r="BW220">
        <v>4.0382039068936101E-2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1.76398761904762</v>
      </c>
      <c r="CD220">
        <v>2.99688311688329E-2</v>
      </c>
      <c r="CE220">
        <v>3.4669911543583399E-3</v>
      </c>
      <c r="CF220">
        <v>1</v>
      </c>
      <c r="CG220">
        <v>2</v>
      </c>
      <c r="CH220">
        <v>2</v>
      </c>
      <c r="CI220" t="s">
        <v>322</v>
      </c>
      <c r="CJ220">
        <v>3.53247</v>
      </c>
      <c r="CK220">
        <v>2.7011599999999998</v>
      </c>
      <c r="CL220">
        <v>0.18131800000000001</v>
      </c>
      <c r="CM220">
        <v>0.17895</v>
      </c>
      <c r="CN220">
        <v>8.7024799999999999E-2</v>
      </c>
      <c r="CO220">
        <v>7.8580700000000003E-2</v>
      </c>
      <c r="CP220">
        <v>28679.4</v>
      </c>
      <c r="CQ220">
        <v>25289.5</v>
      </c>
      <c r="CR220">
        <v>32424.1</v>
      </c>
      <c r="CS220">
        <v>30730.1</v>
      </c>
      <c r="CT220">
        <v>40103.9</v>
      </c>
      <c r="CU220">
        <v>39842.6</v>
      </c>
      <c r="CV220">
        <v>47364.4</v>
      </c>
      <c r="CW220">
        <v>46881.2</v>
      </c>
      <c r="CX220">
        <v>2.6138400000000002</v>
      </c>
      <c r="CY220">
        <v>2.1215600000000001</v>
      </c>
      <c r="CZ220">
        <v>0</v>
      </c>
      <c r="DA220">
        <v>0</v>
      </c>
      <c r="DB220">
        <v>999.9</v>
      </c>
      <c r="DC220">
        <v>999.9</v>
      </c>
      <c r="DD220">
        <v>43.951000000000001</v>
      </c>
      <c r="DE220">
        <v>28.952999999999999</v>
      </c>
      <c r="DF220">
        <v>17.634799999999998</v>
      </c>
      <c r="DG220">
        <v>30.4284</v>
      </c>
      <c r="DH220">
        <v>16.9511</v>
      </c>
      <c r="DI220">
        <v>2</v>
      </c>
      <c r="DJ220">
        <v>-6.6833299999999998E-2</v>
      </c>
      <c r="DK220">
        <v>2.79454</v>
      </c>
      <c r="DL220">
        <v>20.186</v>
      </c>
      <c r="DM220">
        <v>5.25047</v>
      </c>
      <c r="DN220">
        <v>12.033899999999999</v>
      </c>
      <c r="DO220">
        <v>4.9672400000000003</v>
      </c>
      <c r="DP220">
        <v>3.2909999999999999</v>
      </c>
      <c r="DQ220">
        <v>608.79999999999995</v>
      </c>
      <c r="DR220">
        <v>9999</v>
      </c>
      <c r="DS220">
        <v>9999</v>
      </c>
      <c r="DT220">
        <v>9999</v>
      </c>
      <c r="DU220">
        <v>1.87117</v>
      </c>
      <c r="DV220">
        <v>1.8761300000000001</v>
      </c>
      <c r="DW220">
        <v>1.87636</v>
      </c>
      <c r="DX220">
        <v>1.8828199999999999</v>
      </c>
      <c r="DY220">
        <v>1.87561</v>
      </c>
      <c r="DZ220">
        <v>1.87469</v>
      </c>
      <c r="EA220">
        <v>1.87086</v>
      </c>
      <c r="EB220">
        <v>1.8746799999999999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-0.63500000000000001</v>
      </c>
      <c r="EQ220">
        <v>6.8400000000000002E-2</v>
      </c>
      <c r="ER220">
        <v>-0.63499999999999102</v>
      </c>
      <c r="ES220">
        <v>0</v>
      </c>
      <c r="ET220">
        <v>0</v>
      </c>
      <c r="EU220">
        <v>0</v>
      </c>
      <c r="EV220">
        <v>6.8400000000000502E-2</v>
      </c>
      <c r="EW220">
        <v>0</v>
      </c>
      <c r="EX220">
        <v>0</v>
      </c>
      <c r="EY220">
        <v>0</v>
      </c>
      <c r="EZ220">
        <v>-1</v>
      </c>
      <c r="FA220">
        <v>-1</v>
      </c>
      <c r="FB220">
        <v>-1</v>
      </c>
      <c r="FC220">
        <v>-1</v>
      </c>
      <c r="FD220">
        <v>1.8</v>
      </c>
      <c r="FE220">
        <v>2.1</v>
      </c>
      <c r="FF220">
        <v>2.5878899999999998</v>
      </c>
      <c r="FG220">
        <v>2.5878899999999998</v>
      </c>
      <c r="FH220">
        <v>2.19604</v>
      </c>
      <c r="FI220">
        <v>2.5732400000000002</v>
      </c>
      <c r="FJ220">
        <v>2.4462899999999999</v>
      </c>
      <c r="FK220">
        <v>2.2656200000000002</v>
      </c>
      <c r="FL220">
        <v>33.176900000000003</v>
      </c>
      <c r="FM220">
        <v>24.1313</v>
      </c>
      <c r="FN220">
        <v>19</v>
      </c>
      <c r="FO220">
        <v>866.87599999999998</v>
      </c>
      <c r="FP220">
        <v>576.65899999999999</v>
      </c>
      <c r="FQ220">
        <v>17.767499999999998</v>
      </c>
      <c r="FR220">
        <v>26.1233</v>
      </c>
      <c r="FS220">
        <v>30.0001</v>
      </c>
      <c r="FT220">
        <v>26.123100000000001</v>
      </c>
      <c r="FU220">
        <v>26.1251</v>
      </c>
      <c r="FV220">
        <v>51.899900000000002</v>
      </c>
      <c r="FW220">
        <v>26.405200000000001</v>
      </c>
      <c r="FX220">
        <v>36.839599999999997</v>
      </c>
      <c r="FY220">
        <v>17.767499999999998</v>
      </c>
      <c r="FZ220">
        <v>1000</v>
      </c>
      <c r="GA220">
        <v>13.6792</v>
      </c>
      <c r="GB220">
        <v>99.793599999999998</v>
      </c>
      <c r="GC220">
        <v>99.785899999999998</v>
      </c>
    </row>
    <row r="221" spans="1:185" x14ac:dyDescent="0.2">
      <c r="A221">
        <v>206</v>
      </c>
      <c r="B221">
        <v>1771107130.0999999</v>
      </c>
      <c r="C221">
        <v>4017</v>
      </c>
      <c r="D221" t="s">
        <v>719</v>
      </c>
      <c r="E221" t="s">
        <v>720</v>
      </c>
      <c r="F221">
        <v>15</v>
      </c>
      <c r="G221">
        <v>1771107122.03333</v>
      </c>
      <c r="H221">
        <f t="shared" si="39"/>
        <v>1.4475046110050563E-3</v>
      </c>
      <c r="I221">
        <v>0</v>
      </c>
      <c r="J221">
        <f t="shared" si="51"/>
        <v>2.7376546264666742E-2</v>
      </c>
      <c r="K221">
        <f t="shared" si="40"/>
        <v>0.48952698452998294</v>
      </c>
      <c r="L221">
        <f t="shared" si="41"/>
        <v>69.88727949198244</v>
      </c>
      <c r="M221">
        <f t="shared" si="42"/>
        <v>1.5410790950180697</v>
      </c>
      <c r="N221">
        <f t="shared" si="43"/>
        <v>2.2050924091198376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26193.818994889072</v>
      </c>
      <c r="T221">
        <f t="shared" si="47"/>
        <v>799.99973333333298</v>
      </c>
      <c r="U221">
        <f t="shared" si="48"/>
        <v>674.40021359985349</v>
      </c>
      <c r="V221">
        <f t="shared" si="49"/>
        <v>0.84300054799999991</v>
      </c>
      <c r="W221">
        <f t="shared" si="50"/>
        <v>0.15870137000000001</v>
      </c>
      <c r="X221">
        <v>1</v>
      </c>
      <c r="Y221">
        <v>1771107122.03333</v>
      </c>
      <c r="Z221">
        <v>997.6096</v>
      </c>
      <c r="AA221">
        <v>1000.02653333333</v>
      </c>
      <c r="AB221">
        <v>15.4074266666667</v>
      </c>
      <c r="AC221">
        <v>13.6259466666667</v>
      </c>
      <c r="AD221">
        <v>998.24459999999999</v>
      </c>
      <c r="AE221">
        <v>15.339026666666699</v>
      </c>
      <c r="AF221">
        <v>800.01026666666701</v>
      </c>
      <c r="AG221">
        <v>99.958566666666698</v>
      </c>
      <c r="AH221">
        <v>6.32688E-2</v>
      </c>
      <c r="AI221">
        <v>18.999359999999999</v>
      </c>
      <c r="AJ221">
        <v>999.9</v>
      </c>
      <c r="AK221">
        <v>999.9</v>
      </c>
      <c r="AL221">
        <v>0</v>
      </c>
      <c r="AM221">
        <v>0</v>
      </c>
      <c r="AN221">
        <v>4997.1000000000004</v>
      </c>
      <c r="AO221">
        <v>0</v>
      </c>
      <c r="AP221">
        <v>1.58087</v>
      </c>
      <c r="AQ221">
        <v>-2.4174566666666699</v>
      </c>
      <c r="AR221">
        <v>1013.222</v>
      </c>
      <c r="AS221">
        <v>1013.84266666667</v>
      </c>
      <c r="AT221">
        <v>1.78147733333333</v>
      </c>
      <c r="AU221">
        <v>1000.02653333333</v>
      </c>
      <c r="AV221">
        <v>13.6259466666667</v>
      </c>
      <c r="AW221">
        <v>1.54010333333333</v>
      </c>
      <c r="AX221">
        <v>1.3620286666666701</v>
      </c>
      <c r="AY221">
        <v>13.3722266666667</v>
      </c>
      <c r="AZ221">
        <v>11.50136</v>
      </c>
      <c r="BA221">
        <v>799.99973333333298</v>
      </c>
      <c r="BB221">
        <v>0.89998173333333298</v>
      </c>
      <c r="BC221">
        <v>0</v>
      </c>
      <c r="BD221">
        <v>0.10001826666666699</v>
      </c>
      <c r="BE221">
        <v>0</v>
      </c>
      <c r="BF221">
        <v>25</v>
      </c>
      <c r="BG221">
        <v>13190.9533333333</v>
      </c>
      <c r="BH221">
        <v>1771107008.0999999</v>
      </c>
      <c r="BI221" t="s">
        <v>702</v>
      </c>
      <c r="BJ221">
        <v>1771107008.0999999</v>
      </c>
      <c r="BK221">
        <v>1771106987.0999999</v>
      </c>
      <c r="BL221">
        <v>24</v>
      </c>
      <c r="BM221">
        <v>1.0999999999999999E-2</v>
      </c>
      <c r="BN221">
        <v>-1E-3</v>
      </c>
      <c r="BO221">
        <v>-0.63500000000000001</v>
      </c>
      <c r="BP221">
        <v>6.8000000000000005E-2</v>
      </c>
      <c r="BQ221">
        <v>999</v>
      </c>
      <c r="BR221">
        <v>14</v>
      </c>
      <c r="BS221">
        <v>0.37</v>
      </c>
      <c r="BT221">
        <v>0.04</v>
      </c>
      <c r="BU221">
        <v>-2.3911776190476202</v>
      </c>
      <c r="BV221">
        <v>-0.33247948051948301</v>
      </c>
      <c r="BW221">
        <v>5.2434990398974902E-2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1.7754904761904799</v>
      </c>
      <c r="CD221">
        <v>0.123226753246754</v>
      </c>
      <c r="CE221">
        <v>1.5623000283827701E-2</v>
      </c>
      <c r="CF221">
        <v>0</v>
      </c>
      <c r="CG221">
        <v>1</v>
      </c>
      <c r="CH221">
        <v>2</v>
      </c>
      <c r="CI221" t="s">
        <v>299</v>
      </c>
      <c r="CJ221">
        <v>3.5325500000000001</v>
      </c>
      <c r="CK221">
        <v>2.7008000000000001</v>
      </c>
      <c r="CL221">
        <v>0.181314</v>
      </c>
      <c r="CM221">
        <v>0.17894599999999999</v>
      </c>
      <c r="CN221">
        <v>8.69674E-2</v>
      </c>
      <c r="CO221">
        <v>7.8392100000000006E-2</v>
      </c>
      <c r="CP221">
        <v>28679.200000000001</v>
      </c>
      <c r="CQ221">
        <v>25288.799999999999</v>
      </c>
      <c r="CR221">
        <v>32423.8</v>
      </c>
      <c r="CS221">
        <v>30729</v>
      </c>
      <c r="CT221">
        <v>40106.699999999997</v>
      </c>
      <c r="CU221">
        <v>39849.599999999999</v>
      </c>
      <c r="CV221">
        <v>47364.7</v>
      </c>
      <c r="CW221">
        <v>46879.7</v>
      </c>
      <c r="CX221">
        <v>2.61388</v>
      </c>
      <c r="CY221">
        <v>2.1215799999999998</v>
      </c>
      <c r="CZ221">
        <v>0</v>
      </c>
      <c r="DA221">
        <v>0</v>
      </c>
      <c r="DB221">
        <v>999.9</v>
      </c>
      <c r="DC221">
        <v>999.9</v>
      </c>
      <c r="DD221">
        <v>43.877000000000002</v>
      </c>
      <c r="DE221">
        <v>28.952999999999999</v>
      </c>
      <c r="DF221">
        <v>17.605599999999999</v>
      </c>
      <c r="DG221">
        <v>30.398399999999999</v>
      </c>
      <c r="DH221">
        <v>16.931100000000001</v>
      </c>
      <c r="DI221">
        <v>2</v>
      </c>
      <c r="DJ221">
        <v>-6.6884200000000005E-2</v>
      </c>
      <c r="DK221">
        <v>2.7158699999999998</v>
      </c>
      <c r="DL221">
        <v>20.1874</v>
      </c>
      <c r="DM221">
        <v>5.25</v>
      </c>
      <c r="DN221">
        <v>12.033899999999999</v>
      </c>
      <c r="DO221">
        <v>4.9670800000000002</v>
      </c>
      <c r="DP221">
        <v>3.2909999999999999</v>
      </c>
      <c r="DQ221">
        <v>608.79999999999995</v>
      </c>
      <c r="DR221">
        <v>9999</v>
      </c>
      <c r="DS221">
        <v>9999</v>
      </c>
      <c r="DT221">
        <v>9999</v>
      </c>
      <c r="DU221">
        <v>1.8711899999999999</v>
      </c>
      <c r="DV221">
        <v>1.8761699999999999</v>
      </c>
      <c r="DW221">
        <v>1.8763700000000001</v>
      </c>
      <c r="DX221">
        <v>1.88289</v>
      </c>
      <c r="DY221">
        <v>1.8756299999999999</v>
      </c>
      <c r="DZ221">
        <v>1.87469</v>
      </c>
      <c r="EA221">
        <v>1.8708800000000001</v>
      </c>
      <c r="EB221">
        <v>1.8746799999999999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-0.63500000000000001</v>
      </c>
      <c r="EQ221">
        <v>6.8400000000000002E-2</v>
      </c>
      <c r="ER221">
        <v>-0.63499999999999102</v>
      </c>
      <c r="ES221">
        <v>0</v>
      </c>
      <c r="ET221">
        <v>0</v>
      </c>
      <c r="EU221">
        <v>0</v>
      </c>
      <c r="EV221">
        <v>6.8400000000000502E-2</v>
      </c>
      <c r="EW221">
        <v>0</v>
      </c>
      <c r="EX221">
        <v>0</v>
      </c>
      <c r="EY221">
        <v>0</v>
      </c>
      <c r="EZ221">
        <v>-1</v>
      </c>
      <c r="FA221">
        <v>-1</v>
      </c>
      <c r="FB221">
        <v>-1</v>
      </c>
      <c r="FC221">
        <v>-1</v>
      </c>
      <c r="FD221">
        <v>2</v>
      </c>
      <c r="FE221">
        <v>2.4</v>
      </c>
      <c r="FF221">
        <v>2.5878899999999998</v>
      </c>
      <c r="FG221">
        <v>2.5952099999999998</v>
      </c>
      <c r="FH221">
        <v>2.19604</v>
      </c>
      <c r="FI221">
        <v>2.5732400000000002</v>
      </c>
      <c r="FJ221">
        <v>2.4462899999999999</v>
      </c>
      <c r="FK221">
        <v>2.2595200000000002</v>
      </c>
      <c r="FL221">
        <v>33.199199999999998</v>
      </c>
      <c r="FM221">
        <v>24.1313</v>
      </c>
      <c r="FN221">
        <v>19</v>
      </c>
      <c r="FO221">
        <v>866.92100000000005</v>
      </c>
      <c r="FP221">
        <v>576.67499999999995</v>
      </c>
      <c r="FQ221">
        <v>17.782699999999998</v>
      </c>
      <c r="FR221">
        <v>26.125</v>
      </c>
      <c r="FS221">
        <v>30.0001</v>
      </c>
      <c r="FT221">
        <v>26.1236</v>
      </c>
      <c r="FU221">
        <v>26.1251</v>
      </c>
      <c r="FV221">
        <v>51.898499999999999</v>
      </c>
      <c r="FW221">
        <v>26.1294</v>
      </c>
      <c r="FX221">
        <v>36.468000000000004</v>
      </c>
      <c r="FY221">
        <v>17.787600000000001</v>
      </c>
      <c r="FZ221">
        <v>1000</v>
      </c>
      <c r="GA221">
        <v>13.679399999999999</v>
      </c>
      <c r="GB221">
        <v>99.793499999999995</v>
      </c>
      <c r="GC221">
        <v>99.782600000000002</v>
      </c>
    </row>
    <row r="222" spans="1:185" x14ac:dyDescent="0.2">
      <c r="A222">
        <v>207</v>
      </c>
      <c r="B222">
        <v>1771107145.0999999</v>
      </c>
      <c r="C222">
        <v>4032</v>
      </c>
      <c r="D222" t="s">
        <v>721</v>
      </c>
      <c r="E222" t="s">
        <v>722</v>
      </c>
      <c r="F222">
        <v>15</v>
      </c>
      <c r="G222">
        <v>1771107137.03333</v>
      </c>
      <c r="H222">
        <f t="shared" si="39"/>
        <v>1.4384274993750308E-3</v>
      </c>
      <c r="I222">
        <v>0</v>
      </c>
      <c r="J222">
        <f t="shared" si="51"/>
        <v>2.622598481184826E-2</v>
      </c>
      <c r="K222">
        <f t="shared" si="40"/>
        <v>0.4689535026499258</v>
      </c>
      <c r="L222">
        <f t="shared" si="41"/>
        <v>69.844345290245641</v>
      </c>
      <c r="M222">
        <f t="shared" si="42"/>
        <v>1.5398991470007963</v>
      </c>
      <c r="N222">
        <f t="shared" si="43"/>
        <v>2.2047585106590675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26212.717458426727</v>
      </c>
      <c r="T222">
        <f t="shared" si="47"/>
        <v>799.999866666667</v>
      </c>
      <c r="U222">
        <f t="shared" si="48"/>
        <v>674.40026839993675</v>
      </c>
      <c r="V222">
        <f t="shared" si="49"/>
        <v>0.84300047599999994</v>
      </c>
      <c r="W222">
        <f t="shared" si="50"/>
        <v>0.15870119000000005</v>
      </c>
      <c r="X222">
        <v>1</v>
      </c>
      <c r="Y222">
        <v>1771107137.03333</v>
      </c>
      <c r="Z222">
        <v>997.62666666666701</v>
      </c>
      <c r="AA222">
        <v>1000.0066</v>
      </c>
      <c r="AB222">
        <v>15.395706666666699</v>
      </c>
      <c r="AC222">
        <v>13.6253733333333</v>
      </c>
      <c r="AD222">
        <v>998.261666666667</v>
      </c>
      <c r="AE222">
        <v>15.327306666666701</v>
      </c>
      <c r="AF222">
        <v>800.0086</v>
      </c>
      <c r="AG222">
        <v>99.9581533333333</v>
      </c>
      <c r="AH222">
        <v>6.3182506666666693E-2</v>
      </c>
      <c r="AI222">
        <v>18.996933333333299</v>
      </c>
      <c r="AJ222">
        <v>999.9</v>
      </c>
      <c r="AK222">
        <v>999.9</v>
      </c>
      <c r="AL222">
        <v>0</v>
      </c>
      <c r="AM222">
        <v>0</v>
      </c>
      <c r="AN222">
        <v>5000.2</v>
      </c>
      <c r="AO222">
        <v>0</v>
      </c>
      <c r="AP222">
        <v>1.58087</v>
      </c>
      <c r="AQ222">
        <v>-2.3796133333333298</v>
      </c>
      <c r="AR222">
        <v>1013.226</v>
      </c>
      <c r="AS222">
        <v>1013.82066666667</v>
      </c>
      <c r="AT222">
        <v>1.770308</v>
      </c>
      <c r="AU222">
        <v>1000.0066</v>
      </c>
      <c r="AV222">
        <v>13.6253733333333</v>
      </c>
      <c r="AW222">
        <v>1.53892466666667</v>
      </c>
      <c r="AX222">
        <v>1.3619686666666699</v>
      </c>
      <c r="AY222">
        <v>13.360473333333299</v>
      </c>
      <c r="AZ222">
        <v>11.500679999999999</v>
      </c>
      <c r="BA222">
        <v>799.999866666667</v>
      </c>
      <c r="BB222">
        <v>0.89998413333333305</v>
      </c>
      <c r="BC222">
        <v>0</v>
      </c>
      <c r="BD222">
        <v>0.10001586666666699</v>
      </c>
      <c r="BE222">
        <v>0</v>
      </c>
      <c r="BF222">
        <v>25</v>
      </c>
      <c r="BG222">
        <v>13190.98</v>
      </c>
      <c r="BH222">
        <v>1771107008.0999999</v>
      </c>
      <c r="BI222" t="s">
        <v>702</v>
      </c>
      <c r="BJ222">
        <v>1771107008.0999999</v>
      </c>
      <c r="BK222">
        <v>1771106987.0999999</v>
      </c>
      <c r="BL222">
        <v>24</v>
      </c>
      <c r="BM222">
        <v>1.0999999999999999E-2</v>
      </c>
      <c r="BN222">
        <v>-1E-3</v>
      </c>
      <c r="BO222">
        <v>-0.63500000000000001</v>
      </c>
      <c r="BP222">
        <v>6.8000000000000005E-2</v>
      </c>
      <c r="BQ222">
        <v>999</v>
      </c>
      <c r="BR222">
        <v>14</v>
      </c>
      <c r="BS222">
        <v>0.37</v>
      </c>
      <c r="BT222">
        <v>0.04</v>
      </c>
      <c r="BU222">
        <v>-2.3893109523809501</v>
      </c>
      <c r="BV222">
        <v>0.11904077922077699</v>
      </c>
      <c r="BW222">
        <v>4.1748088967356399E-2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1.7790052380952399</v>
      </c>
      <c r="CD222">
        <v>-0.15185064935064899</v>
      </c>
      <c r="CE222">
        <v>1.7221566108488101E-2</v>
      </c>
      <c r="CF222">
        <v>0</v>
      </c>
      <c r="CG222">
        <v>1</v>
      </c>
      <c r="CH222">
        <v>2</v>
      </c>
      <c r="CI222" t="s">
        <v>299</v>
      </c>
      <c r="CJ222">
        <v>3.5325199999999999</v>
      </c>
      <c r="CK222">
        <v>2.7011099999999999</v>
      </c>
      <c r="CL222">
        <v>0.18131700000000001</v>
      </c>
      <c r="CM222">
        <v>0.17895</v>
      </c>
      <c r="CN222">
        <v>8.6944199999999999E-2</v>
      </c>
      <c r="CO222">
        <v>7.8510999999999997E-2</v>
      </c>
      <c r="CP222">
        <v>28679.7</v>
      </c>
      <c r="CQ222">
        <v>25288.799999999999</v>
      </c>
      <c r="CR222">
        <v>32424.5</v>
      </c>
      <c r="CS222">
        <v>30729.200000000001</v>
      </c>
      <c r="CT222">
        <v>40108.5</v>
      </c>
      <c r="CU222">
        <v>39844.400000000001</v>
      </c>
      <c r="CV222">
        <v>47365.5</v>
      </c>
      <c r="CW222">
        <v>46879.8</v>
      </c>
      <c r="CX222">
        <v>2.6139399999999999</v>
      </c>
      <c r="CY222">
        <v>2.1214599999999999</v>
      </c>
      <c r="CZ222">
        <v>0</v>
      </c>
      <c r="DA222">
        <v>0</v>
      </c>
      <c r="DB222">
        <v>999.9</v>
      </c>
      <c r="DC222">
        <v>999.9</v>
      </c>
      <c r="DD222">
        <v>43.816000000000003</v>
      </c>
      <c r="DE222">
        <v>28.943000000000001</v>
      </c>
      <c r="DF222">
        <v>17.572600000000001</v>
      </c>
      <c r="DG222">
        <v>30.6084</v>
      </c>
      <c r="DH222">
        <v>16.935099999999998</v>
      </c>
      <c r="DI222">
        <v>2</v>
      </c>
      <c r="DJ222">
        <v>-6.6959400000000002E-2</v>
      </c>
      <c r="DK222">
        <v>2.7282700000000002</v>
      </c>
      <c r="DL222">
        <v>20.187200000000001</v>
      </c>
      <c r="DM222">
        <v>5.2507099999999998</v>
      </c>
      <c r="DN222">
        <v>12.033899999999999</v>
      </c>
      <c r="DO222">
        <v>4.9676</v>
      </c>
      <c r="DP222">
        <v>3.2909999999999999</v>
      </c>
      <c r="DQ222">
        <v>608.79999999999995</v>
      </c>
      <c r="DR222">
        <v>9999</v>
      </c>
      <c r="DS222">
        <v>9999</v>
      </c>
      <c r="DT222">
        <v>9999</v>
      </c>
      <c r="DU222">
        <v>1.8711899999999999</v>
      </c>
      <c r="DV222">
        <v>1.8762000000000001</v>
      </c>
      <c r="DW222">
        <v>1.8763700000000001</v>
      </c>
      <c r="DX222">
        <v>1.8828800000000001</v>
      </c>
      <c r="DY222">
        <v>1.87565</v>
      </c>
      <c r="DZ222">
        <v>1.87469</v>
      </c>
      <c r="EA222">
        <v>1.8708800000000001</v>
      </c>
      <c r="EB222">
        <v>1.87469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-0.63500000000000001</v>
      </c>
      <c r="EQ222">
        <v>6.8400000000000002E-2</v>
      </c>
      <c r="ER222">
        <v>-0.63499999999999102</v>
      </c>
      <c r="ES222">
        <v>0</v>
      </c>
      <c r="ET222">
        <v>0</v>
      </c>
      <c r="EU222">
        <v>0</v>
      </c>
      <c r="EV222">
        <v>6.8400000000000502E-2</v>
      </c>
      <c r="EW222">
        <v>0</v>
      </c>
      <c r="EX222">
        <v>0</v>
      </c>
      <c r="EY222">
        <v>0</v>
      </c>
      <c r="EZ222">
        <v>-1</v>
      </c>
      <c r="FA222">
        <v>-1</v>
      </c>
      <c r="FB222">
        <v>-1</v>
      </c>
      <c r="FC222">
        <v>-1</v>
      </c>
      <c r="FD222">
        <v>2.2999999999999998</v>
      </c>
      <c r="FE222">
        <v>2.6</v>
      </c>
      <c r="FF222">
        <v>2.5878899999999998</v>
      </c>
      <c r="FG222">
        <v>2.5939899999999998</v>
      </c>
      <c r="FH222">
        <v>2.19604</v>
      </c>
      <c r="FI222">
        <v>2.5732400000000002</v>
      </c>
      <c r="FJ222">
        <v>2.4462899999999999</v>
      </c>
      <c r="FK222">
        <v>2.2607400000000002</v>
      </c>
      <c r="FL222">
        <v>33.176900000000003</v>
      </c>
      <c r="FM222">
        <v>24.1313</v>
      </c>
      <c r="FN222">
        <v>19</v>
      </c>
      <c r="FO222">
        <v>866.94200000000001</v>
      </c>
      <c r="FP222">
        <v>576.58199999999999</v>
      </c>
      <c r="FQ222">
        <v>17.7926</v>
      </c>
      <c r="FR222">
        <v>26.122800000000002</v>
      </c>
      <c r="FS222">
        <v>30</v>
      </c>
      <c r="FT222">
        <v>26.121400000000001</v>
      </c>
      <c r="FU222">
        <v>26.1251</v>
      </c>
      <c r="FV222">
        <v>51.894399999999997</v>
      </c>
      <c r="FW222">
        <v>26.1294</v>
      </c>
      <c r="FX222">
        <v>36.468000000000004</v>
      </c>
      <c r="FY222">
        <v>17.793800000000001</v>
      </c>
      <c r="FZ222">
        <v>1000</v>
      </c>
      <c r="GA222">
        <v>13.6845</v>
      </c>
      <c r="GB222">
        <v>99.795400000000001</v>
      </c>
      <c r="GC222">
        <v>99.783000000000001</v>
      </c>
    </row>
    <row r="223" spans="1:185" x14ac:dyDescent="0.2">
      <c r="A223">
        <v>208</v>
      </c>
      <c r="B223">
        <v>1771107160.0999999</v>
      </c>
      <c r="C223">
        <v>4047</v>
      </c>
      <c r="D223" t="s">
        <v>723</v>
      </c>
      <c r="E223" t="s">
        <v>724</v>
      </c>
      <c r="F223">
        <v>15</v>
      </c>
      <c r="G223">
        <v>1771107152.03333</v>
      </c>
      <c r="H223">
        <f t="shared" si="39"/>
        <v>1.432960768158073E-3</v>
      </c>
      <c r="I223">
        <v>0</v>
      </c>
      <c r="J223">
        <f t="shared" si="51"/>
        <v>2.6604953629146087E-2</v>
      </c>
      <c r="K223">
        <f t="shared" si="40"/>
        <v>0.47572994042878958</v>
      </c>
      <c r="L223">
        <f t="shared" si="41"/>
        <v>69.817237899105521</v>
      </c>
      <c r="M223">
        <f t="shared" si="42"/>
        <v>1.5397069103270182</v>
      </c>
      <c r="N223">
        <f t="shared" si="43"/>
        <v>2.2053391922380023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26206.59807990383</v>
      </c>
      <c r="T223">
        <f t="shared" si="47"/>
        <v>800.00053333333301</v>
      </c>
      <c r="U223">
        <f t="shared" si="48"/>
        <v>674.40091840031221</v>
      </c>
      <c r="V223">
        <f t="shared" si="49"/>
        <v>0.84300058599999994</v>
      </c>
      <c r="W223">
        <f t="shared" si="50"/>
        <v>0.15870146499999999</v>
      </c>
      <c r="X223">
        <v>1</v>
      </c>
      <c r="Y223">
        <v>1771107152.03333</v>
      </c>
      <c r="Z223">
        <v>997.61339999999996</v>
      </c>
      <c r="AA223">
        <v>999.99493333333305</v>
      </c>
      <c r="AB223">
        <v>15.393826666666699</v>
      </c>
      <c r="AC223">
        <v>13.630240000000001</v>
      </c>
      <c r="AD223">
        <v>998.24839999999995</v>
      </c>
      <c r="AE223">
        <v>15.325426666666701</v>
      </c>
      <c r="AF223">
        <v>800.01853333333304</v>
      </c>
      <c r="AG223">
        <v>99.957833333333397</v>
      </c>
      <c r="AH223">
        <v>6.3229893333333301E-2</v>
      </c>
      <c r="AI223">
        <v>19.001153333333299</v>
      </c>
      <c r="AJ223">
        <v>999.9</v>
      </c>
      <c r="AK223">
        <v>999.9</v>
      </c>
      <c r="AL223">
        <v>0</v>
      </c>
      <c r="AM223">
        <v>0</v>
      </c>
      <c r="AN223">
        <v>4999.2666666666701</v>
      </c>
      <c r="AO223">
        <v>0</v>
      </c>
      <c r="AP223">
        <v>1.58087</v>
      </c>
      <c r="AQ223">
        <v>-2.3814693333333299</v>
      </c>
      <c r="AR223">
        <v>1013.21133333333</v>
      </c>
      <c r="AS223">
        <v>1013.814</v>
      </c>
      <c r="AT223">
        <v>1.76359466666667</v>
      </c>
      <c r="AU223">
        <v>999.99493333333305</v>
      </c>
      <c r="AV223">
        <v>13.630240000000001</v>
      </c>
      <c r="AW223">
        <v>1.53873333333333</v>
      </c>
      <c r="AX223">
        <v>1.3624480000000001</v>
      </c>
      <c r="AY223">
        <v>13.3585733333333</v>
      </c>
      <c r="AZ223">
        <v>11.5060066666667</v>
      </c>
      <c r="BA223">
        <v>800.00053333333301</v>
      </c>
      <c r="BB223">
        <v>0.89998046666666698</v>
      </c>
      <c r="BC223">
        <v>0</v>
      </c>
      <c r="BD223">
        <v>0.10001953333333299</v>
      </c>
      <c r="BE223">
        <v>0</v>
      </c>
      <c r="BF223">
        <v>25</v>
      </c>
      <c r="BG223">
        <v>13190.96</v>
      </c>
      <c r="BH223">
        <v>1771107008.0999999</v>
      </c>
      <c r="BI223" t="s">
        <v>702</v>
      </c>
      <c r="BJ223">
        <v>1771107008.0999999</v>
      </c>
      <c r="BK223">
        <v>1771106987.0999999</v>
      </c>
      <c r="BL223">
        <v>24</v>
      </c>
      <c r="BM223">
        <v>1.0999999999999999E-2</v>
      </c>
      <c r="BN223">
        <v>-1E-3</v>
      </c>
      <c r="BO223">
        <v>-0.63500000000000001</v>
      </c>
      <c r="BP223">
        <v>6.8000000000000005E-2</v>
      </c>
      <c r="BQ223">
        <v>999</v>
      </c>
      <c r="BR223">
        <v>14</v>
      </c>
      <c r="BS223">
        <v>0.37</v>
      </c>
      <c r="BT223">
        <v>0.04</v>
      </c>
      <c r="BU223">
        <v>-2.3774744999999999</v>
      </c>
      <c r="BV223">
        <v>-0.18242030075187901</v>
      </c>
      <c r="BW223">
        <v>4.1340560648713998E-2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1.763846</v>
      </c>
      <c r="CD223">
        <v>-1.8676691729237999E-4</v>
      </c>
      <c r="CE223">
        <v>1.4974558424207299E-3</v>
      </c>
      <c r="CF223">
        <v>1</v>
      </c>
      <c r="CG223">
        <v>2</v>
      </c>
      <c r="CH223">
        <v>2</v>
      </c>
      <c r="CI223" t="s">
        <v>322</v>
      </c>
      <c r="CJ223">
        <v>3.53254</v>
      </c>
      <c r="CK223">
        <v>2.70079</v>
      </c>
      <c r="CL223">
        <v>0.18131700000000001</v>
      </c>
      <c r="CM223">
        <v>0.17894399999999999</v>
      </c>
      <c r="CN223">
        <v>8.6935399999999996E-2</v>
      </c>
      <c r="CO223">
        <v>7.85188E-2</v>
      </c>
      <c r="CP223">
        <v>28680</v>
      </c>
      <c r="CQ223">
        <v>25289.200000000001</v>
      </c>
      <c r="CR223">
        <v>32424.799999999999</v>
      </c>
      <c r="CS223">
        <v>30729.5</v>
      </c>
      <c r="CT223">
        <v>40108.9</v>
      </c>
      <c r="CU223">
        <v>39844.300000000003</v>
      </c>
      <c r="CV223">
        <v>47365.599999999999</v>
      </c>
      <c r="CW223">
        <v>46880.1</v>
      </c>
      <c r="CX223">
        <v>2.61374</v>
      </c>
      <c r="CY223">
        <v>2.12168</v>
      </c>
      <c r="CZ223">
        <v>0</v>
      </c>
      <c r="DA223">
        <v>0</v>
      </c>
      <c r="DB223">
        <v>999.9</v>
      </c>
      <c r="DC223">
        <v>999.9</v>
      </c>
      <c r="DD223">
        <v>43.792000000000002</v>
      </c>
      <c r="DE223">
        <v>28.952999999999999</v>
      </c>
      <c r="DF223">
        <v>17.572199999999999</v>
      </c>
      <c r="DG223">
        <v>30.308399999999999</v>
      </c>
      <c r="DH223">
        <v>16.859000000000002</v>
      </c>
      <c r="DI223">
        <v>2</v>
      </c>
      <c r="DJ223">
        <v>-6.6922800000000005E-2</v>
      </c>
      <c r="DK223">
        <v>2.7591800000000002</v>
      </c>
      <c r="DL223">
        <v>20.186599999999999</v>
      </c>
      <c r="DM223">
        <v>5.2509499999999996</v>
      </c>
      <c r="DN223">
        <v>12.033899999999999</v>
      </c>
      <c r="DO223">
        <v>4.9676799999999997</v>
      </c>
      <c r="DP223">
        <v>3.2909999999999999</v>
      </c>
      <c r="DQ223">
        <v>608.79999999999995</v>
      </c>
      <c r="DR223">
        <v>9999</v>
      </c>
      <c r="DS223">
        <v>9999</v>
      </c>
      <c r="DT223">
        <v>9999</v>
      </c>
      <c r="DU223">
        <v>1.8711899999999999</v>
      </c>
      <c r="DV223">
        <v>1.8762099999999999</v>
      </c>
      <c r="DW223">
        <v>1.8763799999999999</v>
      </c>
      <c r="DX223">
        <v>1.88289</v>
      </c>
      <c r="DY223">
        <v>1.8756600000000001</v>
      </c>
      <c r="DZ223">
        <v>1.87469</v>
      </c>
      <c r="EA223">
        <v>1.8708899999999999</v>
      </c>
      <c r="EB223">
        <v>1.87469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-0.63500000000000001</v>
      </c>
      <c r="EQ223">
        <v>6.8400000000000002E-2</v>
      </c>
      <c r="ER223">
        <v>-0.63499999999999102</v>
      </c>
      <c r="ES223">
        <v>0</v>
      </c>
      <c r="ET223">
        <v>0</v>
      </c>
      <c r="EU223">
        <v>0</v>
      </c>
      <c r="EV223">
        <v>6.8400000000000502E-2</v>
      </c>
      <c r="EW223">
        <v>0</v>
      </c>
      <c r="EX223">
        <v>0</v>
      </c>
      <c r="EY223">
        <v>0</v>
      </c>
      <c r="EZ223">
        <v>-1</v>
      </c>
      <c r="FA223">
        <v>-1</v>
      </c>
      <c r="FB223">
        <v>-1</v>
      </c>
      <c r="FC223">
        <v>-1</v>
      </c>
      <c r="FD223">
        <v>2.5</v>
      </c>
      <c r="FE223">
        <v>2.9</v>
      </c>
      <c r="FF223">
        <v>2.5878899999999998</v>
      </c>
      <c r="FG223">
        <v>2.5976599999999999</v>
      </c>
      <c r="FH223">
        <v>2.19604</v>
      </c>
      <c r="FI223">
        <v>2.5732400000000002</v>
      </c>
      <c r="FJ223">
        <v>2.4462899999999999</v>
      </c>
      <c r="FK223">
        <v>2.2631800000000002</v>
      </c>
      <c r="FL223">
        <v>33.176900000000003</v>
      </c>
      <c r="FM223">
        <v>24.1313</v>
      </c>
      <c r="FN223">
        <v>19</v>
      </c>
      <c r="FO223">
        <v>866.755</v>
      </c>
      <c r="FP223">
        <v>576.75199999999995</v>
      </c>
      <c r="FQ223">
        <v>17.791599999999999</v>
      </c>
      <c r="FR223">
        <v>26.122800000000002</v>
      </c>
      <c r="FS223">
        <v>30.0001</v>
      </c>
      <c r="FT223">
        <v>26.121400000000001</v>
      </c>
      <c r="FU223">
        <v>26.1251</v>
      </c>
      <c r="FV223">
        <v>51.8994</v>
      </c>
      <c r="FW223">
        <v>25.848700000000001</v>
      </c>
      <c r="FX223">
        <v>36.468000000000004</v>
      </c>
      <c r="FY223">
        <v>17.789000000000001</v>
      </c>
      <c r="FZ223">
        <v>1000</v>
      </c>
      <c r="GA223">
        <v>13.688499999999999</v>
      </c>
      <c r="GB223">
        <v>99.7958</v>
      </c>
      <c r="GC223">
        <v>99.783699999999996</v>
      </c>
    </row>
    <row r="224" spans="1:185" x14ac:dyDescent="0.2">
      <c r="A224">
        <v>209</v>
      </c>
      <c r="B224">
        <v>1771107175.0999999</v>
      </c>
      <c r="C224">
        <v>4062</v>
      </c>
      <c r="D224" t="s">
        <v>725</v>
      </c>
      <c r="E224" t="s">
        <v>726</v>
      </c>
      <c r="F224">
        <v>15</v>
      </c>
      <c r="G224">
        <v>1771107167.03333</v>
      </c>
      <c r="H224">
        <f t="shared" si="39"/>
        <v>1.3999105781697841E-3</v>
      </c>
      <c r="I224">
        <v>0</v>
      </c>
      <c r="J224">
        <f t="shared" si="51"/>
        <v>2.8662827890482741E-2</v>
      </c>
      <c r="K224">
        <f t="shared" si="40"/>
        <v>0.51252731333167356</v>
      </c>
      <c r="L224">
        <f t="shared" si="41"/>
        <v>69.849599117310319</v>
      </c>
      <c r="M224">
        <f t="shared" si="42"/>
        <v>1.5405961833952206</v>
      </c>
      <c r="N224">
        <f t="shared" si="43"/>
        <v>2.2055905872957631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26221.785640232523</v>
      </c>
      <c r="T224">
        <f t="shared" si="47"/>
        <v>800.00173333333305</v>
      </c>
      <c r="U224">
        <f t="shared" si="48"/>
        <v>674.40191880099121</v>
      </c>
      <c r="V224">
        <f t="shared" si="49"/>
        <v>0.843000572</v>
      </c>
      <c r="W224">
        <f t="shared" si="50"/>
        <v>0.15870143000000003</v>
      </c>
      <c r="X224">
        <v>1</v>
      </c>
      <c r="Y224">
        <v>1771107167.03333</v>
      </c>
      <c r="Z224">
        <v>997.59853333333297</v>
      </c>
      <c r="AA224">
        <v>999.98486666666702</v>
      </c>
      <c r="AB224">
        <v>15.402746666666699</v>
      </c>
      <c r="AC224">
        <v>13.679819999999999</v>
      </c>
      <c r="AD224">
        <v>998.23353333333296</v>
      </c>
      <c r="AE224">
        <v>15.334346666666701</v>
      </c>
      <c r="AF224">
        <v>800.00393333333295</v>
      </c>
      <c r="AG224">
        <v>99.957826666666705</v>
      </c>
      <c r="AH224">
        <v>6.3047320000000004E-2</v>
      </c>
      <c r="AI224">
        <v>19.002980000000001</v>
      </c>
      <c r="AJ224">
        <v>999.9</v>
      </c>
      <c r="AK224">
        <v>999.9</v>
      </c>
      <c r="AL224">
        <v>0</v>
      </c>
      <c r="AM224">
        <v>0</v>
      </c>
      <c r="AN224">
        <v>5001.8</v>
      </c>
      <c r="AO224">
        <v>0</v>
      </c>
      <c r="AP224">
        <v>1.55926866666667</v>
      </c>
      <c r="AQ224">
        <v>-2.3863453333333302</v>
      </c>
      <c r="AR224">
        <v>1013.20533333333</v>
      </c>
      <c r="AS224">
        <v>1013.85533333333</v>
      </c>
      <c r="AT224">
        <v>1.7229253333333301</v>
      </c>
      <c r="AU224">
        <v>999.98486666666702</v>
      </c>
      <c r="AV224">
        <v>13.679819999999999</v>
      </c>
      <c r="AW224">
        <v>1.53962466666667</v>
      </c>
      <c r="AX224">
        <v>1.3674046666666699</v>
      </c>
      <c r="AY224">
        <v>13.36748</v>
      </c>
      <c r="AZ224">
        <v>11.5609</v>
      </c>
      <c r="BA224">
        <v>800.00173333333305</v>
      </c>
      <c r="BB224">
        <v>0.89998093333333296</v>
      </c>
      <c r="BC224">
        <v>0</v>
      </c>
      <c r="BD224">
        <v>0.100019066666667</v>
      </c>
      <c r="BE224">
        <v>0</v>
      </c>
      <c r="BF224">
        <v>25</v>
      </c>
      <c r="BG224">
        <v>13190.973333333301</v>
      </c>
      <c r="BH224">
        <v>1771107008.0999999</v>
      </c>
      <c r="BI224" t="s">
        <v>702</v>
      </c>
      <c r="BJ224">
        <v>1771107008.0999999</v>
      </c>
      <c r="BK224">
        <v>1771106987.0999999</v>
      </c>
      <c r="BL224">
        <v>24</v>
      </c>
      <c r="BM224">
        <v>1.0999999999999999E-2</v>
      </c>
      <c r="BN224">
        <v>-1E-3</v>
      </c>
      <c r="BO224">
        <v>-0.63500000000000001</v>
      </c>
      <c r="BP224">
        <v>6.8000000000000005E-2</v>
      </c>
      <c r="BQ224">
        <v>999</v>
      </c>
      <c r="BR224">
        <v>14</v>
      </c>
      <c r="BS224">
        <v>0.37</v>
      </c>
      <c r="BT224">
        <v>0.04</v>
      </c>
      <c r="BU224">
        <v>-2.39316</v>
      </c>
      <c r="BV224">
        <v>-2.88709090909074E-2</v>
      </c>
      <c r="BW224">
        <v>4.69370514625706E-2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1.7347561904761899</v>
      </c>
      <c r="CD224">
        <v>-0.197161558441556</v>
      </c>
      <c r="CE224">
        <v>2.2834702595619399E-2</v>
      </c>
      <c r="CF224">
        <v>0</v>
      </c>
      <c r="CG224">
        <v>1</v>
      </c>
      <c r="CH224">
        <v>2</v>
      </c>
      <c r="CI224" t="s">
        <v>299</v>
      </c>
      <c r="CJ224">
        <v>3.5325500000000001</v>
      </c>
      <c r="CK224">
        <v>2.7010100000000001</v>
      </c>
      <c r="CL224">
        <v>0.181313</v>
      </c>
      <c r="CM224">
        <v>0.178954</v>
      </c>
      <c r="CN224">
        <v>8.7030499999999997E-2</v>
      </c>
      <c r="CO224">
        <v>7.8774200000000003E-2</v>
      </c>
      <c r="CP224">
        <v>28679.8</v>
      </c>
      <c r="CQ224">
        <v>25289.1</v>
      </c>
      <c r="CR224">
        <v>32424.400000000001</v>
      </c>
      <c r="CS224">
        <v>30729.7</v>
      </c>
      <c r="CT224">
        <v>40104.300000000003</v>
      </c>
      <c r="CU224">
        <v>39833.4</v>
      </c>
      <c r="CV224">
        <v>47365.2</v>
      </c>
      <c r="CW224">
        <v>46880.5</v>
      </c>
      <c r="CX224">
        <v>2.61382</v>
      </c>
      <c r="CY224">
        <v>2.1213199999999999</v>
      </c>
      <c r="CZ224">
        <v>0</v>
      </c>
      <c r="DA224">
        <v>0</v>
      </c>
      <c r="DB224">
        <v>999.9</v>
      </c>
      <c r="DC224">
        <v>999.9</v>
      </c>
      <c r="DD224">
        <v>43.768000000000001</v>
      </c>
      <c r="DE224">
        <v>28.943000000000001</v>
      </c>
      <c r="DF224">
        <v>17.552</v>
      </c>
      <c r="DG224">
        <v>30.4284</v>
      </c>
      <c r="DH224">
        <v>16.850999999999999</v>
      </c>
      <c r="DI224">
        <v>2</v>
      </c>
      <c r="DJ224">
        <v>-6.6874000000000003E-2</v>
      </c>
      <c r="DK224">
        <v>2.7667600000000001</v>
      </c>
      <c r="DL224">
        <v>20.186399999999999</v>
      </c>
      <c r="DM224">
        <v>5.2509499999999996</v>
      </c>
      <c r="DN224">
        <v>12.033899999999999</v>
      </c>
      <c r="DO224">
        <v>4.9675599999999998</v>
      </c>
      <c r="DP224">
        <v>3.2909999999999999</v>
      </c>
      <c r="DQ224">
        <v>608.79999999999995</v>
      </c>
      <c r="DR224">
        <v>9999</v>
      </c>
      <c r="DS224">
        <v>9999</v>
      </c>
      <c r="DT224">
        <v>9999</v>
      </c>
      <c r="DU224">
        <v>1.8711899999999999</v>
      </c>
      <c r="DV224">
        <v>1.8762000000000001</v>
      </c>
      <c r="DW224">
        <v>1.8763700000000001</v>
      </c>
      <c r="DX224">
        <v>1.88286</v>
      </c>
      <c r="DY224">
        <v>1.87564</v>
      </c>
      <c r="DZ224">
        <v>1.87469</v>
      </c>
      <c r="EA224">
        <v>1.8708800000000001</v>
      </c>
      <c r="EB224">
        <v>1.87469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-0.63500000000000001</v>
      </c>
      <c r="EQ224">
        <v>6.8400000000000002E-2</v>
      </c>
      <c r="ER224">
        <v>-0.63499999999999102</v>
      </c>
      <c r="ES224">
        <v>0</v>
      </c>
      <c r="ET224">
        <v>0</v>
      </c>
      <c r="EU224">
        <v>0</v>
      </c>
      <c r="EV224">
        <v>6.8400000000000502E-2</v>
      </c>
      <c r="EW224">
        <v>0</v>
      </c>
      <c r="EX224">
        <v>0</v>
      </c>
      <c r="EY224">
        <v>0</v>
      </c>
      <c r="EZ224">
        <v>-1</v>
      </c>
      <c r="FA224">
        <v>-1</v>
      </c>
      <c r="FB224">
        <v>-1</v>
      </c>
      <c r="FC224">
        <v>-1</v>
      </c>
      <c r="FD224">
        <v>2.8</v>
      </c>
      <c r="FE224">
        <v>3.1</v>
      </c>
      <c r="FF224">
        <v>2.5878899999999998</v>
      </c>
      <c r="FG224">
        <v>2.5927699999999998</v>
      </c>
      <c r="FH224">
        <v>2.19604</v>
      </c>
      <c r="FI224">
        <v>2.5732400000000002</v>
      </c>
      <c r="FJ224">
        <v>2.4462899999999999</v>
      </c>
      <c r="FK224">
        <v>2.2997999999999998</v>
      </c>
      <c r="FL224">
        <v>33.176900000000003</v>
      </c>
      <c r="FM224">
        <v>24.1313</v>
      </c>
      <c r="FN224">
        <v>19</v>
      </c>
      <c r="FO224">
        <v>866.83</v>
      </c>
      <c r="FP224">
        <v>576.47500000000002</v>
      </c>
      <c r="FQ224">
        <v>17.782599999999999</v>
      </c>
      <c r="FR224">
        <v>26.122800000000002</v>
      </c>
      <c r="FS224">
        <v>30.0001</v>
      </c>
      <c r="FT224">
        <v>26.121400000000001</v>
      </c>
      <c r="FU224">
        <v>26.1251</v>
      </c>
      <c r="FV224">
        <v>51.897399999999998</v>
      </c>
      <c r="FW224">
        <v>25.848700000000001</v>
      </c>
      <c r="FX224">
        <v>36.468000000000004</v>
      </c>
      <c r="FY224">
        <v>17.779499999999999</v>
      </c>
      <c r="FZ224">
        <v>1000</v>
      </c>
      <c r="GA224">
        <v>13.6891</v>
      </c>
      <c r="GB224">
        <v>99.794799999999995</v>
      </c>
      <c r="GC224">
        <v>99.784499999999994</v>
      </c>
    </row>
    <row r="225" spans="1:185" x14ac:dyDescent="0.2">
      <c r="A225">
        <v>210</v>
      </c>
      <c r="B225">
        <v>1771107190.0999999</v>
      </c>
      <c r="C225">
        <v>4077</v>
      </c>
      <c r="D225" t="s">
        <v>727</v>
      </c>
      <c r="E225" t="s">
        <v>728</v>
      </c>
      <c r="F225">
        <v>15</v>
      </c>
      <c r="G225">
        <v>1771107182.03333</v>
      </c>
      <c r="H225">
        <f t="shared" si="39"/>
        <v>1.4036663985715254E-3</v>
      </c>
      <c r="I225">
        <v>0</v>
      </c>
      <c r="J225">
        <f t="shared" si="51"/>
        <v>2.7593560866419866E-2</v>
      </c>
      <c r="K225">
        <f t="shared" si="40"/>
        <v>0.493407477802149</v>
      </c>
      <c r="L225">
        <f t="shared" si="41"/>
        <v>69.945780675564649</v>
      </c>
      <c r="M225">
        <f t="shared" si="42"/>
        <v>1.5424140167861677</v>
      </c>
      <c r="N225">
        <f t="shared" si="43"/>
        <v>2.2051566254446073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26207.209612548046</v>
      </c>
      <c r="T225">
        <f t="shared" si="47"/>
        <v>800.00033333333295</v>
      </c>
      <c r="U225">
        <f t="shared" si="48"/>
        <v>674.40081060022055</v>
      </c>
      <c r="V225">
        <f t="shared" si="49"/>
        <v>0.84300066200000023</v>
      </c>
      <c r="W225">
        <f t="shared" si="50"/>
        <v>0.15870152508000004</v>
      </c>
      <c r="X225">
        <v>1</v>
      </c>
      <c r="Y225">
        <v>1771107182.03333</v>
      </c>
      <c r="Z225">
        <v>997.63160000000005</v>
      </c>
      <c r="AA225">
        <v>999.99873333333301</v>
      </c>
      <c r="AB225">
        <v>15.42094</v>
      </c>
      <c r="AC225">
        <v>13.6934533333333</v>
      </c>
      <c r="AD225">
        <v>998.26660000000004</v>
      </c>
      <c r="AE225">
        <v>15.352539999999999</v>
      </c>
      <c r="AF225">
        <v>800.01806666666698</v>
      </c>
      <c r="AG225">
        <v>99.957400000000007</v>
      </c>
      <c r="AH225">
        <v>6.3352093333333304E-2</v>
      </c>
      <c r="AI225">
        <v>18.999826666666699</v>
      </c>
      <c r="AJ225">
        <v>999.9</v>
      </c>
      <c r="AK225">
        <v>999.9</v>
      </c>
      <c r="AL225">
        <v>0</v>
      </c>
      <c r="AM225">
        <v>0</v>
      </c>
      <c r="AN225">
        <v>4999.3666666666704</v>
      </c>
      <c r="AO225">
        <v>0</v>
      </c>
      <c r="AP225">
        <v>1.5395479999999999</v>
      </c>
      <c r="AQ225">
        <v>-2.367928</v>
      </c>
      <c r="AR225">
        <v>1013.25666666667</v>
      </c>
      <c r="AS225">
        <v>1013.88266666667</v>
      </c>
      <c r="AT225">
        <v>1.7274700000000001</v>
      </c>
      <c r="AU225">
        <v>999.99873333333301</v>
      </c>
      <c r="AV225">
        <v>13.6934533333333</v>
      </c>
      <c r="AW225">
        <v>1.541436</v>
      </c>
      <c r="AX225">
        <v>1.36876333333333</v>
      </c>
      <c r="AY225">
        <v>13.385486666666701</v>
      </c>
      <c r="AZ225">
        <v>11.57592</v>
      </c>
      <c r="BA225">
        <v>800.00033333333295</v>
      </c>
      <c r="BB225">
        <v>0.89997986666666696</v>
      </c>
      <c r="BC225">
        <v>0</v>
      </c>
      <c r="BD225">
        <v>0.1000202</v>
      </c>
      <c r="BE225">
        <v>0</v>
      </c>
      <c r="BF225">
        <v>25</v>
      </c>
      <c r="BG225">
        <v>13190.94</v>
      </c>
      <c r="BH225">
        <v>1771107008.0999999</v>
      </c>
      <c r="BI225" t="s">
        <v>702</v>
      </c>
      <c r="BJ225">
        <v>1771107008.0999999</v>
      </c>
      <c r="BK225">
        <v>1771106987.0999999</v>
      </c>
      <c r="BL225">
        <v>24</v>
      </c>
      <c r="BM225">
        <v>1.0999999999999999E-2</v>
      </c>
      <c r="BN225">
        <v>-1E-3</v>
      </c>
      <c r="BO225">
        <v>-0.63500000000000001</v>
      </c>
      <c r="BP225">
        <v>6.8000000000000005E-2</v>
      </c>
      <c r="BQ225">
        <v>999</v>
      </c>
      <c r="BR225">
        <v>14</v>
      </c>
      <c r="BS225">
        <v>0.37</v>
      </c>
      <c r="BT225">
        <v>0.04</v>
      </c>
      <c r="BU225">
        <v>-2.3783785000000002</v>
      </c>
      <c r="BV225">
        <v>0.20973879699248299</v>
      </c>
      <c r="BW225">
        <v>4.1925416906096503E-2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1.7250810000000001</v>
      </c>
      <c r="CD225">
        <v>5.2679097744360602E-2</v>
      </c>
      <c r="CE225">
        <v>5.2903496103754999E-3</v>
      </c>
      <c r="CF225">
        <v>1</v>
      </c>
      <c r="CG225">
        <v>2</v>
      </c>
      <c r="CH225">
        <v>2</v>
      </c>
      <c r="CI225" t="s">
        <v>322</v>
      </c>
      <c r="CJ225">
        <v>3.5325500000000001</v>
      </c>
      <c r="CK225">
        <v>2.7008899999999998</v>
      </c>
      <c r="CL225">
        <v>0.18132200000000001</v>
      </c>
      <c r="CM225">
        <v>0.178952</v>
      </c>
      <c r="CN225">
        <v>8.7072800000000006E-2</v>
      </c>
      <c r="CO225">
        <v>7.8777700000000006E-2</v>
      </c>
      <c r="CP225">
        <v>28679.9</v>
      </c>
      <c r="CQ225">
        <v>25288.7</v>
      </c>
      <c r="CR225">
        <v>32424.9</v>
      </c>
      <c r="CS225">
        <v>30729.1</v>
      </c>
      <c r="CT225">
        <v>40103</v>
      </c>
      <c r="CU225">
        <v>39832.6</v>
      </c>
      <c r="CV225">
        <v>47366</v>
      </c>
      <c r="CW225">
        <v>46879.7</v>
      </c>
      <c r="CX225">
        <v>2.6138599999999999</v>
      </c>
      <c r="CY225">
        <v>2.1216200000000001</v>
      </c>
      <c r="CZ225">
        <v>0</v>
      </c>
      <c r="DA225">
        <v>0</v>
      </c>
      <c r="DB225">
        <v>999.9</v>
      </c>
      <c r="DC225">
        <v>999.9</v>
      </c>
      <c r="DD225">
        <v>43.743000000000002</v>
      </c>
      <c r="DE225">
        <v>28.943000000000001</v>
      </c>
      <c r="DF225">
        <v>17.543600000000001</v>
      </c>
      <c r="DG225">
        <v>30.578399999999998</v>
      </c>
      <c r="DH225">
        <v>16.754799999999999</v>
      </c>
      <c r="DI225">
        <v>2</v>
      </c>
      <c r="DJ225">
        <v>-6.7028500000000005E-2</v>
      </c>
      <c r="DK225">
        <v>2.7124000000000001</v>
      </c>
      <c r="DL225">
        <v>20.1876</v>
      </c>
      <c r="DM225">
        <v>5.2507099999999998</v>
      </c>
      <c r="DN225">
        <v>12.033899999999999</v>
      </c>
      <c r="DO225">
        <v>4.9677600000000002</v>
      </c>
      <c r="DP225">
        <v>3.2909999999999999</v>
      </c>
      <c r="DQ225">
        <v>608.79999999999995</v>
      </c>
      <c r="DR225">
        <v>9999</v>
      </c>
      <c r="DS225">
        <v>9999</v>
      </c>
      <c r="DT225">
        <v>9999</v>
      </c>
      <c r="DU225">
        <v>1.8711899999999999</v>
      </c>
      <c r="DV225">
        <v>1.87616</v>
      </c>
      <c r="DW225">
        <v>1.87636</v>
      </c>
      <c r="DX225">
        <v>1.8828199999999999</v>
      </c>
      <c r="DY225">
        <v>1.8756299999999999</v>
      </c>
      <c r="DZ225">
        <v>1.87469</v>
      </c>
      <c r="EA225">
        <v>1.8708800000000001</v>
      </c>
      <c r="EB225">
        <v>1.8746799999999999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-0.63500000000000001</v>
      </c>
      <c r="EQ225">
        <v>6.8400000000000002E-2</v>
      </c>
      <c r="ER225">
        <v>-0.63499999999999102</v>
      </c>
      <c r="ES225">
        <v>0</v>
      </c>
      <c r="ET225">
        <v>0</v>
      </c>
      <c r="EU225">
        <v>0</v>
      </c>
      <c r="EV225">
        <v>6.8400000000000502E-2</v>
      </c>
      <c r="EW225">
        <v>0</v>
      </c>
      <c r="EX225">
        <v>0</v>
      </c>
      <c r="EY225">
        <v>0</v>
      </c>
      <c r="EZ225">
        <v>-1</v>
      </c>
      <c r="FA225">
        <v>-1</v>
      </c>
      <c r="FB225">
        <v>-1</v>
      </c>
      <c r="FC225">
        <v>-1</v>
      </c>
      <c r="FD225">
        <v>3</v>
      </c>
      <c r="FE225">
        <v>3.4</v>
      </c>
      <c r="FF225">
        <v>2.5878899999999998</v>
      </c>
      <c r="FG225">
        <v>2.5976599999999999</v>
      </c>
      <c r="FH225">
        <v>2.19604</v>
      </c>
      <c r="FI225">
        <v>2.5732400000000002</v>
      </c>
      <c r="FJ225">
        <v>2.4462899999999999</v>
      </c>
      <c r="FK225">
        <v>2.32178</v>
      </c>
      <c r="FL225">
        <v>33.176900000000003</v>
      </c>
      <c r="FM225">
        <v>24.14</v>
      </c>
      <c r="FN225">
        <v>19</v>
      </c>
      <c r="FO225">
        <v>866.86699999999996</v>
      </c>
      <c r="FP225">
        <v>576.68100000000004</v>
      </c>
      <c r="FQ225">
        <v>17.776</v>
      </c>
      <c r="FR225">
        <v>26.1206</v>
      </c>
      <c r="FS225">
        <v>30</v>
      </c>
      <c r="FT225">
        <v>26.121400000000001</v>
      </c>
      <c r="FU225">
        <v>26.122900000000001</v>
      </c>
      <c r="FV225">
        <v>51.898699999999998</v>
      </c>
      <c r="FW225">
        <v>25.848700000000001</v>
      </c>
      <c r="FX225">
        <v>36.0961</v>
      </c>
      <c r="FY225">
        <v>17.782900000000001</v>
      </c>
      <c r="FZ225">
        <v>1000</v>
      </c>
      <c r="GA225">
        <v>13.6891</v>
      </c>
      <c r="GB225">
        <v>99.796400000000006</v>
      </c>
      <c r="GC225">
        <v>99.782700000000006</v>
      </c>
    </row>
    <row r="226" spans="1:185" x14ac:dyDescent="0.2">
      <c r="A226">
        <v>211</v>
      </c>
      <c r="B226">
        <v>1771107205.0999999</v>
      </c>
      <c r="C226">
        <v>4092</v>
      </c>
      <c r="D226" t="s">
        <v>729</v>
      </c>
      <c r="E226" t="s">
        <v>730</v>
      </c>
      <c r="F226">
        <v>15</v>
      </c>
      <c r="G226">
        <v>1771107197.03333</v>
      </c>
      <c r="H226">
        <f t="shared" si="39"/>
        <v>1.4421725486509175E-3</v>
      </c>
      <c r="I226">
        <v>0</v>
      </c>
      <c r="J226">
        <f t="shared" si="51"/>
        <v>2.5492060329312206E-2</v>
      </c>
      <c r="K226">
        <f t="shared" si="40"/>
        <v>0.45583001236976955</v>
      </c>
      <c r="L226">
        <f t="shared" si="41"/>
        <v>69.934773541933509</v>
      </c>
      <c r="M226">
        <f t="shared" si="42"/>
        <v>1.5420012836033683</v>
      </c>
      <c r="N226">
        <f t="shared" si="43"/>
        <v>2.2049135294314932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26197.837753961459</v>
      </c>
      <c r="T226">
        <f t="shared" si="47"/>
        <v>800.00006666666695</v>
      </c>
      <c r="U226">
        <f t="shared" si="48"/>
        <v>674.40051540003844</v>
      </c>
      <c r="V226">
        <f t="shared" si="49"/>
        <v>0.84300057399999995</v>
      </c>
      <c r="W226">
        <f t="shared" si="50"/>
        <v>0.158701435</v>
      </c>
      <c r="X226">
        <v>1</v>
      </c>
      <c r="Y226">
        <v>1771107197.03333</v>
      </c>
      <c r="Z226">
        <v>997.63526666666701</v>
      </c>
      <c r="AA226">
        <v>1000.00346666667</v>
      </c>
      <c r="AB226">
        <v>15.416840000000001</v>
      </c>
      <c r="AC226">
        <v>13.6419466666667</v>
      </c>
      <c r="AD226">
        <v>998.270266666667</v>
      </c>
      <c r="AE226">
        <v>15.34844</v>
      </c>
      <c r="AF226">
        <v>800.0136</v>
      </c>
      <c r="AG226">
        <v>99.957266666666698</v>
      </c>
      <c r="AH226">
        <v>6.3313659999999994E-2</v>
      </c>
      <c r="AI226">
        <v>18.998059999999999</v>
      </c>
      <c r="AJ226">
        <v>999.9</v>
      </c>
      <c r="AK226">
        <v>999.9</v>
      </c>
      <c r="AL226">
        <v>0</v>
      </c>
      <c r="AM226">
        <v>0</v>
      </c>
      <c r="AN226">
        <v>4997.8</v>
      </c>
      <c r="AO226">
        <v>0</v>
      </c>
      <c r="AP226">
        <v>1.5266026666666701</v>
      </c>
      <c r="AQ226">
        <v>-2.3691580000000001</v>
      </c>
      <c r="AR226">
        <v>1013.25666666667</v>
      </c>
      <c r="AS226">
        <v>1013.83466666667</v>
      </c>
      <c r="AT226">
        <v>1.7748873333333299</v>
      </c>
      <c r="AU226">
        <v>1000.00346666667</v>
      </c>
      <c r="AV226">
        <v>13.6419466666667</v>
      </c>
      <c r="AW226">
        <v>1.5410253333333299</v>
      </c>
      <c r="AX226">
        <v>1.363612</v>
      </c>
      <c r="AY226">
        <v>13.381399999999999</v>
      </c>
      <c r="AZ226">
        <v>11.5189</v>
      </c>
      <c r="BA226">
        <v>800.00006666666695</v>
      </c>
      <c r="BB226">
        <v>0.89998086666666699</v>
      </c>
      <c r="BC226">
        <v>0</v>
      </c>
      <c r="BD226">
        <v>0.100019133333333</v>
      </c>
      <c r="BE226">
        <v>0</v>
      </c>
      <c r="BF226">
        <v>25</v>
      </c>
      <c r="BG226">
        <v>13190.9533333333</v>
      </c>
      <c r="BH226">
        <v>1771107008.0999999</v>
      </c>
      <c r="BI226" t="s">
        <v>702</v>
      </c>
      <c r="BJ226">
        <v>1771107008.0999999</v>
      </c>
      <c r="BK226">
        <v>1771106987.0999999</v>
      </c>
      <c r="BL226">
        <v>24</v>
      </c>
      <c r="BM226">
        <v>1.0999999999999999E-2</v>
      </c>
      <c r="BN226">
        <v>-1E-3</v>
      </c>
      <c r="BO226">
        <v>-0.63500000000000001</v>
      </c>
      <c r="BP226">
        <v>6.8000000000000005E-2</v>
      </c>
      <c r="BQ226">
        <v>999</v>
      </c>
      <c r="BR226">
        <v>14</v>
      </c>
      <c r="BS226">
        <v>0.37</v>
      </c>
      <c r="BT226">
        <v>0.04</v>
      </c>
      <c r="BU226">
        <v>-2.3665166666666702</v>
      </c>
      <c r="BV226">
        <v>-0.11880779220779</v>
      </c>
      <c r="BW226">
        <v>2.2548352771287201E-2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1.76241571428571</v>
      </c>
      <c r="CD226">
        <v>0.227070389610389</v>
      </c>
      <c r="CE226">
        <v>2.54564690199954E-2</v>
      </c>
      <c r="CF226">
        <v>0</v>
      </c>
      <c r="CG226">
        <v>1</v>
      </c>
      <c r="CH226">
        <v>2</v>
      </c>
      <c r="CI226" t="s">
        <v>299</v>
      </c>
      <c r="CJ226">
        <v>3.5325299999999999</v>
      </c>
      <c r="CK226">
        <v>2.7012700000000001</v>
      </c>
      <c r="CL226">
        <v>0.181316</v>
      </c>
      <c r="CM226">
        <v>0.17894499999999999</v>
      </c>
      <c r="CN226">
        <v>8.6955599999999994E-2</v>
      </c>
      <c r="CO226">
        <v>7.8475000000000003E-2</v>
      </c>
      <c r="CP226">
        <v>28679.3</v>
      </c>
      <c r="CQ226">
        <v>25289</v>
      </c>
      <c r="CR226">
        <v>32423.9</v>
      </c>
      <c r="CS226">
        <v>30729.200000000001</v>
      </c>
      <c r="CT226">
        <v>40107.300000000003</v>
      </c>
      <c r="CU226">
        <v>39846.199999999997</v>
      </c>
      <c r="CV226">
        <v>47364.7</v>
      </c>
      <c r="CW226">
        <v>46880</v>
      </c>
      <c r="CX226">
        <v>2.6139199999999998</v>
      </c>
      <c r="CY226">
        <v>2.1217999999999999</v>
      </c>
      <c r="CZ226">
        <v>0</v>
      </c>
      <c r="DA226">
        <v>0</v>
      </c>
      <c r="DB226">
        <v>999.9</v>
      </c>
      <c r="DC226">
        <v>999.9</v>
      </c>
      <c r="DD226">
        <v>43.652000000000001</v>
      </c>
      <c r="DE226">
        <v>28.952999999999999</v>
      </c>
      <c r="DF226">
        <v>17.514700000000001</v>
      </c>
      <c r="DG226">
        <v>30.578399999999998</v>
      </c>
      <c r="DH226">
        <v>16.806899999999999</v>
      </c>
      <c r="DI226">
        <v>2</v>
      </c>
      <c r="DJ226">
        <v>-6.7528500000000005E-2</v>
      </c>
      <c r="DK226">
        <v>2.7000899999999999</v>
      </c>
      <c r="DL226">
        <v>20.1877</v>
      </c>
      <c r="DM226">
        <v>5.2509499999999996</v>
      </c>
      <c r="DN226">
        <v>12.033899999999999</v>
      </c>
      <c r="DO226">
        <v>4.9676400000000003</v>
      </c>
      <c r="DP226">
        <v>3.2909999999999999</v>
      </c>
      <c r="DQ226">
        <v>608.79999999999995</v>
      </c>
      <c r="DR226">
        <v>9999</v>
      </c>
      <c r="DS226">
        <v>9999</v>
      </c>
      <c r="DT226">
        <v>9999</v>
      </c>
      <c r="DU226">
        <v>1.8711800000000001</v>
      </c>
      <c r="DV226">
        <v>1.87619</v>
      </c>
      <c r="DW226">
        <v>1.8763700000000001</v>
      </c>
      <c r="DX226">
        <v>1.8828400000000001</v>
      </c>
      <c r="DY226">
        <v>1.8756200000000001</v>
      </c>
      <c r="DZ226">
        <v>1.87469</v>
      </c>
      <c r="EA226">
        <v>1.8708800000000001</v>
      </c>
      <c r="EB226">
        <v>1.87469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-0.63500000000000001</v>
      </c>
      <c r="EQ226">
        <v>6.8400000000000002E-2</v>
      </c>
      <c r="ER226">
        <v>-0.63499999999999102</v>
      </c>
      <c r="ES226">
        <v>0</v>
      </c>
      <c r="ET226">
        <v>0</v>
      </c>
      <c r="EU226">
        <v>0</v>
      </c>
      <c r="EV226">
        <v>6.8400000000000502E-2</v>
      </c>
      <c r="EW226">
        <v>0</v>
      </c>
      <c r="EX226">
        <v>0</v>
      </c>
      <c r="EY226">
        <v>0</v>
      </c>
      <c r="EZ226">
        <v>-1</v>
      </c>
      <c r="FA226">
        <v>-1</v>
      </c>
      <c r="FB226">
        <v>-1</v>
      </c>
      <c r="FC226">
        <v>-1</v>
      </c>
      <c r="FD226">
        <v>3.3</v>
      </c>
      <c r="FE226">
        <v>3.6</v>
      </c>
      <c r="FF226">
        <v>2.5878899999999998</v>
      </c>
      <c r="FG226">
        <v>2.5939899999999998</v>
      </c>
      <c r="FH226">
        <v>2.19604</v>
      </c>
      <c r="FI226">
        <v>2.5732400000000002</v>
      </c>
      <c r="FJ226">
        <v>2.4462899999999999</v>
      </c>
      <c r="FK226">
        <v>2.2766099999999998</v>
      </c>
      <c r="FL226">
        <v>33.176900000000003</v>
      </c>
      <c r="FM226">
        <v>24.14</v>
      </c>
      <c r="FN226">
        <v>19</v>
      </c>
      <c r="FO226">
        <v>866.88800000000003</v>
      </c>
      <c r="FP226">
        <v>576.79600000000005</v>
      </c>
      <c r="FQ226">
        <v>17.785900000000002</v>
      </c>
      <c r="FR226">
        <v>26.118400000000001</v>
      </c>
      <c r="FS226">
        <v>30</v>
      </c>
      <c r="FT226">
        <v>26.119199999999999</v>
      </c>
      <c r="FU226">
        <v>26.120699999999999</v>
      </c>
      <c r="FV226">
        <v>51.901499999999999</v>
      </c>
      <c r="FW226">
        <v>25.848700000000001</v>
      </c>
      <c r="FX226">
        <v>36.0961</v>
      </c>
      <c r="FY226">
        <v>17.787199999999999</v>
      </c>
      <c r="FZ226">
        <v>1000</v>
      </c>
      <c r="GA226">
        <v>13.696</v>
      </c>
      <c r="GB226">
        <v>99.793599999999998</v>
      </c>
      <c r="GC226">
        <v>99.783299999999997</v>
      </c>
    </row>
    <row r="227" spans="1:185" x14ac:dyDescent="0.2">
      <c r="A227">
        <v>212</v>
      </c>
      <c r="B227">
        <v>1771107220.0999999</v>
      </c>
      <c r="C227">
        <v>4107</v>
      </c>
      <c r="D227" t="s">
        <v>731</v>
      </c>
      <c r="E227" t="s">
        <v>732</v>
      </c>
      <c r="F227">
        <v>15</v>
      </c>
      <c r="G227">
        <v>1771107212.03333</v>
      </c>
      <c r="H227">
        <f t="shared" si="39"/>
        <v>1.430371341144704E-3</v>
      </c>
      <c r="I227">
        <v>0</v>
      </c>
      <c r="J227">
        <f t="shared" si="51"/>
        <v>2.7597444238076418E-2</v>
      </c>
      <c r="K227">
        <f t="shared" si="40"/>
        <v>0.49347691735812743</v>
      </c>
      <c r="L227">
        <f t="shared" si="41"/>
        <v>69.858748694978075</v>
      </c>
      <c r="M227">
        <f t="shared" si="42"/>
        <v>1.5403326912481372</v>
      </c>
      <c r="N227">
        <f t="shared" si="43"/>
        <v>2.2049245370449455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26199.466738456664</v>
      </c>
      <c r="T227">
        <f t="shared" si="47"/>
        <v>800.00059999999996</v>
      </c>
      <c r="U227">
        <f t="shared" si="48"/>
        <v>674.40100820037674</v>
      </c>
      <c r="V227">
        <f t="shared" si="49"/>
        <v>0.84300062799999997</v>
      </c>
      <c r="W227">
        <f t="shared" si="50"/>
        <v>0.15870156999999999</v>
      </c>
      <c r="X227">
        <v>1</v>
      </c>
      <c r="Y227">
        <v>1771107212.03333</v>
      </c>
      <c r="Z227">
        <v>997.58806666666703</v>
      </c>
      <c r="AA227">
        <v>999.98853333333295</v>
      </c>
      <c r="AB227">
        <v>15.399986666666701</v>
      </c>
      <c r="AC227">
        <v>13.63958</v>
      </c>
      <c r="AD227">
        <v>998.22313333333295</v>
      </c>
      <c r="AE227">
        <v>15.3315866666667</v>
      </c>
      <c r="AF227">
        <v>800.0104</v>
      </c>
      <c r="AG227">
        <v>99.958113333333301</v>
      </c>
      <c r="AH227">
        <v>6.3576593333333306E-2</v>
      </c>
      <c r="AI227">
        <v>18.998139999999999</v>
      </c>
      <c r="AJ227">
        <v>999.9</v>
      </c>
      <c r="AK227">
        <v>999.9</v>
      </c>
      <c r="AL227">
        <v>0</v>
      </c>
      <c r="AM227">
        <v>0</v>
      </c>
      <c r="AN227">
        <v>4998.0333333333301</v>
      </c>
      <c r="AO227">
        <v>0</v>
      </c>
      <c r="AP227">
        <v>1.5320213333333299</v>
      </c>
      <c r="AQ227">
        <v>-2.399858</v>
      </c>
      <c r="AR227">
        <v>1013.19133333333</v>
      </c>
      <c r="AS227">
        <v>1013.81533333333</v>
      </c>
      <c r="AT227">
        <v>1.7604246666666701</v>
      </c>
      <c r="AU227">
        <v>999.98853333333295</v>
      </c>
      <c r="AV227">
        <v>13.63958</v>
      </c>
      <c r="AW227">
        <v>1.5393539999999999</v>
      </c>
      <c r="AX227">
        <v>1.363386</v>
      </c>
      <c r="AY227">
        <v>13.3647666666667</v>
      </c>
      <c r="AZ227">
        <v>11.5164066666667</v>
      </c>
      <c r="BA227">
        <v>800.00059999999996</v>
      </c>
      <c r="BB227">
        <v>0.89997906666666705</v>
      </c>
      <c r="BC227">
        <v>0</v>
      </c>
      <c r="BD227">
        <v>0.10002093333333301</v>
      </c>
      <c r="BE227">
        <v>0</v>
      </c>
      <c r="BF227">
        <v>25</v>
      </c>
      <c r="BG227">
        <v>13190.9533333333</v>
      </c>
      <c r="BH227">
        <v>1771107008.0999999</v>
      </c>
      <c r="BI227" t="s">
        <v>702</v>
      </c>
      <c r="BJ227">
        <v>1771107008.0999999</v>
      </c>
      <c r="BK227">
        <v>1771106987.0999999</v>
      </c>
      <c r="BL227">
        <v>24</v>
      </c>
      <c r="BM227">
        <v>1.0999999999999999E-2</v>
      </c>
      <c r="BN227">
        <v>-1E-3</v>
      </c>
      <c r="BO227">
        <v>-0.63500000000000001</v>
      </c>
      <c r="BP227">
        <v>6.8000000000000005E-2</v>
      </c>
      <c r="BQ227">
        <v>999</v>
      </c>
      <c r="BR227">
        <v>14</v>
      </c>
      <c r="BS227">
        <v>0.37</v>
      </c>
      <c r="BT227">
        <v>0.04</v>
      </c>
      <c r="BU227">
        <v>-2.3974365</v>
      </c>
      <c r="BV227">
        <v>-0.20326330827066999</v>
      </c>
      <c r="BW227">
        <v>3.3262329484719001E-2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1.7664595000000001</v>
      </c>
      <c r="CD227">
        <v>-0.122882255639101</v>
      </c>
      <c r="CE227">
        <v>1.28402945741132E-2</v>
      </c>
      <c r="CF227">
        <v>0</v>
      </c>
      <c r="CG227">
        <v>1</v>
      </c>
      <c r="CH227">
        <v>2</v>
      </c>
      <c r="CI227" t="s">
        <v>299</v>
      </c>
      <c r="CJ227">
        <v>3.5325700000000002</v>
      </c>
      <c r="CK227">
        <v>2.7014399999999998</v>
      </c>
      <c r="CL227">
        <v>0.18131800000000001</v>
      </c>
      <c r="CM227">
        <v>0.17895800000000001</v>
      </c>
      <c r="CN227">
        <v>8.6974200000000002E-2</v>
      </c>
      <c r="CO227">
        <v>7.8590300000000002E-2</v>
      </c>
      <c r="CP227">
        <v>28679.8</v>
      </c>
      <c r="CQ227">
        <v>25288.799999999999</v>
      </c>
      <c r="CR227">
        <v>32424.5</v>
      </c>
      <c r="CS227">
        <v>30729.4</v>
      </c>
      <c r="CT227">
        <v>40107.1</v>
      </c>
      <c r="CU227">
        <v>39841.4</v>
      </c>
      <c r="CV227">
        <v>47365.599999999999</v>
      </c>
      <c r="CW227">
        <v>46880.3</v>
      </c>
      <c r="CX227">
        <v>2.6138400000000002</v>
      </c>
      <c r="CY227">
        <v>2.1216200000000001</v>
      </c>
      <c r="CZ227">
        <v>0</v>
      </c>
      <c r="DA227">
        <v>0</v>
      </c>
      <c r="DB227">
        <v>999.9</v>
      </c>
      <c r="DC227">
        <v>999.9</v>
      </c>
      <c r="DD227">
        <v>43.597000000000001</v>
      </c>
      <c r="DE227">
        <v>28.952999999999999</v>
      </c>
      <c r="DF227">
        <v>17.493300000000001</v>
      </c>
      <c r="DG227">
        <v>30.728400000000001</v>
      </c>
      <c r="DH227">
        <v>16.762799999999999</v>
      </c>
      <c r="DI227">
        <v>2</v>
      </c>
      <c r="DJ227">
        <v>-6.7518300000000003E-2</v>
      </c>
      <c r="DK227">
        <v>2.70675</v>
      </c>
      <c r="DL227">
        <v>20.1875</v>
      </c>
      <c r="DM227">
        <v>5.2509499999999996</v>
      </c>
      <c r="DN227">
        <v>12.033899999999999</v>
      </c>
      <c r="DO227">
        <v>4.9675200000000004</v>
      </c>
      <c r="DP227">
        <v>3.2909999999999999</v>
      </c>
      <c r="DQ227">
        <v>608.79999999999995</v>
      </c>
      <c r="DR227">
        <v>9999</v>
      </c>
      <c r="DS227">
        <v>9999</v>
      </c>
      <c r="DT227">
        <v>9999</v>
      </c>
      <c r="DU227">
        <v>1.8711800000000001</v>
      </c>
      <c r="DV227">
        <v>1.87618</v>
      </c>
      <c r="DW227">
        <v>1.8763700000000001</v>
      </c>
      <c r="DX227">
        <v>1.88289</v>
      </c>
      <c r="DY227">
        <v>1.8756200000000001</v>
      </c>
      <c r="DZ227">
        <v>1.87469</v>
      </c>
      <c r="EA227">
        <v>1.8708800000000001</v>
      </c>
      <c r="EB227">
        <v>1.87469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-0.63500000000000001</v>
      </c>
      <c r="EQ227">
        <v>6.8400000000000002E-2</v>
      </c>
      <c r="ER227">
        <v>-0.63499999999999102</v>
      </c>
      <c r="ES227">
        <v>0</v>
      </c>
      <c r="ET227">
        <v>0</v>
      </c>
      <c r="EU227">
        <v>0</v>
      </c>
      <c r="EV227">
        <v>6.8400000000000502E-2</v>
      </c>
      <c r="EW227">
        <v>0</v>
      </c>
      <c r="EX227">
        <v>0</v>
      </c>
      <c r="EY227">
        <v>0</v>
      </c>
      <c r="EZ227">
        <v>-1</v>
      </c>
      <c r="FA227">
        <v>-1</v>
      </c>
      <c r="FB227">
        <v>-1</v>
      </c>
      <c r="FC227">
        <v>-1</v>
      </c>
      <c r="FD227">
        <v>3.5</v>
      </c>
      <c r="FE227">
        <v>3.9</v>
      </c>
      <c r="FF227">
        <v>2.5878899999999998</v>
      </c>
      <c r="FG227">
        <v>2.5878899999999998</v>
      </c>
      <c r="FH227">
        <v>2.19604</v>
      </c>
      <c r="FI227">
        <v>2.5732400000000002</v>
      </c>
      <c r="FJ227">
        <v>2.4462899999999999</v>
      </c>
      <c r="FK227">
        <v>2.32666</v>
      </c>
      <c r="FL227">
        <v>33.176900000000003</v>
      </c>
      <c r="FM227">
        <v>24.14</v>
      </c>
      <c r="FN227">
        <v>19</v>
      </c>
      <c r="FO227">
        <v>866.79899999999998</v>
      </c>
      <c r="FP227">
        <v>576.65700000000004</v>
      </c>
      <c r="FQ227">
        <v>17.7897</v>
      </c>
      <c r="FR227">
        <v>26.117100000000001</v>
      </c>
      <c r="FS227">
        <v>30</v>
      </c>
      <c r="FT227">
        <v>26.118200000000002</v>
      </c>
      <c r="FU227">
        <v>26.120699999999999</v>
      </c>
      <c r="FV227">
        <v>51.896900000000002</v>
      </c>
      <c r="FW227">
        <v>25.560300000000002</v>
      </c>
      <c r="FX227">
        <v>36.0961</v>
      </c>
      <c r="FY227">
        <v>17.790600000000001</v>
      </c>
      <c r="FZ227">
        <v>1000</v>
      </c>
      <c r="GA227">
        <v>13.6937</v>
      </c>
      <c r="GB227">
        <v>99.795500000000004</v>
      </c>
      <c r="GC227">
        <v>99.783799999999999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2026-02-14T17:17:43Z</dcterms:created>
  <dcterms:modified xsi:type="dcterms:W3CDTF">2026-06-02T23:56:31Z</dcterms:modified>
</cp:coreProperties>
</file>